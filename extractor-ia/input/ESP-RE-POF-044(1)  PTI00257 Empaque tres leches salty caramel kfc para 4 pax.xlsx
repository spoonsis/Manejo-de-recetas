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2" documentId="8_{E108C2B1-6DA3-4096-80A8-BD5074EC252C}" xr6:coauthVersionLast="47" xr6:coauthVersionMax="47" xr10:uidLastSave="{4426BD92-F4B3-4C19-8C16-FED47D588010}"/>
  <bookViews>
    <workbookView xWindow="20370" yWindow="-120" windowWidth="24240" windowHeight="13020" tabRatio="819" firstSheet="4" activeTab="4" xr2:uid="{93DF36B7-6ED9-40F2-93AD-A97D508EA7D8}"/>
  </bookViews>
  <sheets>
    <sheet name="COSTO MEZCLA LECHES SALT CARAM" sheetId="5" state="hidden" r:id="rId1"/>
    <sheet name="COSTO ROSQUETE" sheetId="6" state="hidden" r:id="rId2"/>
    <sheet name="COSTO ENSAMBLE " sheetId="7" state="hidden" r:id="rId3"/>
    <sheet name="Empaque" sheetId="3" state="hidden" r:id="rId4"/>
    <sheet name="Empaque 2" sheetId="9" r:id="rId5"/>
    <sheet name="COSTO EMPAQUE" sheetId="8" state="hidden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4" i="8" l="1"/>
  <c r="D72" i="8" l="1"/>
  <c r="D73" i="8" s="1"/>
  <c r="D75" i="8" s="1"/>
  <c r="D70" i="8"/>
  <c r="D68" i="8"/>
  <c r="F64" i="8"/>
  <c r="C72" i="8" s="1"/>
  <c r="D59" i="8"/>
  <c r="D84" i="8" s="1"/>
  <c r="D85" i="8" s="1"/>
  <c r="C50" i="8"/>
  <c r="E49" i="8"/>
  <c r="D49" i="8"/>
  <c r="B49" i="8"/>
  <c r="E48" i="8"/>
  <c r="D48" i="8"/>
  <c r="B48" i="8"/>
  <c r="E47" i="8"/>
  <c r="D47" i="8"/>
  <c r="B47" i="8"/>
  <c r="E46" i="8"/>
  <c r="D46" i="8"/>
  <c r="B46" i="8"/>
  <c r="E45" i="8"/>
  <c r="D45" i="8"/>
  <c r="B45" i="8"/>
  <c r="E44" i="8"/>
  <c r="D44" i="8"/>
  <c r="B44" i="8"/>
  <c r="E40" i="8"/>
  <c r="D40" i="8"/>
  <c r="B40" i="8"/>
  <c r="A40" i="8"/>
  <c r="A49" i="8" s="1"/>
  <c r="C49" i="8" s="1"/>
  <c r="E39" i="8"/>
  <c r="D39" i="8"/>
  <c r="B39" i="8"/>
  <c r="A39" i="8"/>
  <c r="C39" i="8" s="1"/>
  <c r="E38" i="8"/>
  <c r="D38" i="8"/>
  <c r="B38" i="8"/>
  <c r="A38" i="8"/>
  <c r="C38" i="8" s="1"/>
  <c r="E37" i="8"/>
  <c r="D37" i="8"/>
  <c r="B37" i="8"/>
  <c r="A37" i="8"/>
  <c r="A46" i="8" s="1"/>
  <c r="C46" i="8" s="1"/>
  <c r="E36" i="8"/>
  <c r="D36" i="8"/>
  <c r="B36" i="8"/>
  <c r="A36" i="8"/>
  <c r="C36" i="8" s="1"/>
  <c r="E35" i="8"/>
  <c r="D35" i="8"/>
  <c r="B35" i="8"/>
  <c r="A35" i="8"/>
  <c r="C35" i="8" s="1"/>
  <c r="A34" i="8"/>
  <c r="A43" i="8" s="1"/>
  <c r="C43" i="8" s="1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C27" i="8"/>
  <c r="B27" i="8"/>
  <c r="E24" i="8"/>
  <c r="D24" i="8"/>
  <c r="C24" i="8"/>
  <c r="B24" i="8"/>
  <c r="E23" i="8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E20" i="8"/>
  <c r="D20" i="8"/>
  <c r="C20" i="8"/>
  <c r="B20" i="8"/>
  <c r="E19" i="8"/>
  <c r="F19" i="8" s="1"/>
  <c r="D19" i="8"/>
  <c r="C19" i="8"/>
  <c r="B19" i="8"/>
  <c r="E18" i="8"/>
  <c r="F18" i="8" s="1"/>
  <c r="D18" i="8"/>
  <c r="C18" i="8"/>
  <c r="B18" i="8"/>
  <c r="C17" i="8"/>
  <c r="B15" i="8"/>
  <c r="E14" i="8"/>
  <c r="D14" i="8"/>
  <c r="C14" i="8"/>
  <c r="B14" i="8"/>
  <c r="E13" i="8"/>
  <c r="D13" i="8"/>
  <c r="C13" i="8"/>
  <c r="B13" i="8"/>
  <c r="E12" i="8"/>
  <c r="F12" i="8" s="1"/>
  <c r="D12" i="8"/>
  <c r="C12" i="8"/>
  <c r="B12" i="8"/>
  <c r="E11" i="8"/>
  <c r="D11" i="8"/>
  <c r="C11" i="8"/>
  <c r="B11" i="8"/>
  <c r="E10" i="8"/>
  <c r="D10" i="8"/>
  <c r="C10" i="8"/>
  <c r="B10" i="8"/>
  <c r="E9" i="8"/>
  <c r="F9" i="8" s="1"/>
  <c r="D9" i="8"/>
  <c r="C9" i="8"/>
  <c r="B9" i="8"/>
  <c r="E8" i="8"/>
  <c r="D8" i="8"/>
  <c r="C8" i="8"/>
  <c r="B8" i="8"/>
  <c r="H6" i="8"/>
  <c r="D73" i="7"/>
  <c r="D74" i="7" s="1"/>
  <c r="D76" i="7" s="1"/>
  <c r="D71" i="7"/>
  <c r="D69" i="7"/>
  <c r="F65" i="7"/>
  <c r="E51" i="7" s="1"/>
  <c r="D60" i="7"/>
  <c r="D81" i="7" s="1"/>
  <c r="C51" i="7"/>
  <c r="E50" i="7"/>
  <c r="D50" i="7"/>
  <c r="B50" i="7"/>
  <c r="E49" i="7"/>
  <c r="D49" i="7"/>
  <c r="B49" i="7"/>
  <c r="E48" i="7"/>
  <c r="D48" i="7"/>
  <c r="B48" i="7"/>
  <c r="A45" i="7"/>
  <c r="C45" i="7" s="1"/>
  <c r="E41" i="7"/>
  <c r="D41" i="7"/>
  <c r="C41" i="7"/>
  <c r="B41" i="7"/>
  <c r="A41" i="7"/>
  <c r="A50" i="7" s="1"/>
  <c r="C50" i="7" s="1"/>
  <c r="E40" i="7"/>
  <c r="D40" i="7"/>
  <c r="B40" i="7"/>
  <c r="A40" i="7"/>
  <c r="C40" i="7" s="1"/>
  <c r="E39" i="7"/>
  <c r="D39" i="7"/>
  <c r="B39" i="7"/>
  <c r="A39" i="7"/>
  <c r="C39" i="7" s="1"/>
  <c r="A38" i="7"/>
  <c r="A47" i="7" s="1"/>
  <c r="C47" i="7" s="1"/>
  <c r="A37" i="7"/>
  <c r="A46" i="7" s="1"/>
  <c r="C46" i="7" s="1"/>
  <c r="F46" i="7" s="1"/>
  <c r="A36" i="7"/>
  <c r="C36" i="7" s="1"/>
  <c r="A35" i="7"/>
  <c r="C35" i="7" s="1"/>
  <c r="E32" i="7"/>
  <c r="F32" i="7" s="1"/>
  <c r="D32" i="7"/>
  <c r="C32" i="7"/>
  <c r="B32" i="7"/>
  <c r="E31" i="7"/>
  <c r="F31" i="7" s="1"/>
  <c r="D31" i="7"/>
  <c r="C31" i="7"/>
  <c r="B31" i="7"/>
  <c r="C30" i="7"/>
  <c r="C29" i="7"/>
  <c r="F29" i="7" s="1"/>
  <c r="E28" i="7"/>
  <c r="D28" i="7"/>
  <c r="C28" i="7"/>
  <c r="B28" i="7"/>
  <c r="E27" i="7"/>
  <c r="D27" i="7"/>
  <c r="C27" i="7"/>
  <c r="B27" i="7"/>
  <c r="E24" i="7"/>
  <c r="F24" i="7" s="1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C20" i="7"/>
  <c r="C19" i="7"/>
  <c r="C18" i="7"/>
  <c r="C17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F11" i="7" s="1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H6" i="7"/>
  <c r="D85" i="6"/>
  <c r="D86" i="6" s="1"/>
  <c r="C85" i="6"/>
  <c r="D74" i="6"/>
  <c r="D76" i="6" s="1"/>
  <c r="D73" i="6"/>
  <c r="C73" i="6"/>
  <c r="D71" i="6"/>
  <c r="D69" i="6"/>
  <c r="F65" i="6"/>
  <c r="D60" i="6"/>
  <c r="D83" i="6" s="1"/>
  <c r="E51" i="6"/>
  <c r="C51" i="6"/>
  <c r="F51" i="6" s="1"/>
  <c r="E50" i="6"/>
  <c r="D50" i="6"/>
  <c r="B50" i="6"/>
  <c r="E49" i="6"/>
  <c r="D49" i="6"/>
  <c r="B49" i="6"/>
  <c r="E48" i="6"/>
  <c r="D48" i="6"/>
  <c r="B48" i="6"/>
  <c r="E47" i="6"/>
  <c r="D47" i="6"/>
  <c r="B47" i="6"/>
  <c r="E46" i="6"/>
  <c r="D46" i="6"/>
  <c r="B46" i="6"/>
  <c r="E45" i="6"/>
  <c r="D45" i="6"/>
  <c r="B45" i="6"/>
  <c r="E44" i="6"/>
  <c r="D44" i="6"/>
  <c r="B44" i="6"/>
  <c r="E41" i="6"/>
  <c r="F41" i="6" s="1"/>
  <c r="D41" i="6"/>
  <c r="C41" i="6"/>
  <c r="B41" i="6"/>
  <c r="A41" i="6"/>
  <c r="A50" i="6" s="1"/>
  <c r="C50" i="6" s="1"/>
  <c r="E40" i="6"/>
  <c r="D40" i="6"/>
  <c r="B40" i="6"/>
  <c r="A40" i="6"/>
  <c r="C40" i="6" s="1"/>
  <c r="E39" i="6"/>
  <c r="D39" i="6"/>
  <c r="B39" i="6"/>
  <c r="A39" i="6"/>
  <c r="C39" i="6" s="1"/>
  <c r="E38" i="6"/>
  <c r="D38" i="6"/>
  <c r="C38" i="6"/>
  <c r="B38" i="6"/>
  <c r="A38" i="6"/>
  <c r="A47" i="6" s="1"/>
  <c r="C47" i="6" s="1"/>
  <c r="E37" i="6"/>
  <c r="D37" i="6"/>
  <c r="B37" i="6"/>
  <c r="A37" i="6"/>
  <c r="C37" i="6" s="1"/>
  <c r="E36" i="6"/>
  <c r="D36" i="6"/>
  <c r="B36" i="6"/>
  <c r="A36" i="6"/>
  <c r="C36" i="6" s="1"/>
  <c r="E35" i="6"/>
  <c r="D35" i="6"/>
  <c r="B35" i="6"/>
  <c r="A35" i="6"/>
  <c r="A44" i="6" s="1"/>
  <c r="C44" i="6" s="1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F28" i="6"/>
  <c r="C28" i="6"/>
  <c r="E27" i="6"/>
  <c r="D27" i="6"/>
  <c r="C27" i="6"/>
  <c r="B27" i="6"/>
  <c r="E24" i="6"/>
  <c r="F24" i="6" s="1"/>
  <c r="D24" i="6"/>
  <c r="C24" i="6"/>
  <c r="B24" i="6"/>
  <c r="E23" i="6"/>
  <c r="F23" i="6" s="1"/>
  <c r="D23" i="6"/>
  <c r="C23" i="6"/>
  <c r="B23" i="6"/>
  <c r="E22" i="6"/>
  <c r="F22" i="6" s="1"/>
  <c r="D22" i="6"/>
  <c r="C22" i="6"/>
  <c r="B22" i="6"/>
  <c r="E21" i="6"/>
  <c r="F21" i="6" s="1"/>
  <c r="D21" i="6"/>
  <c r="C21" i="6"/>
  <c r="B21" i="6"/>
  <c r="E20" i="6"/>
  <c r="F20" i="6" s="1"/>
  <c r="D20" i="6"/>
  <c r="C20" i="6"/>
  <c r="B20" i="6"/>
  <c r="E19" i="6"/>
  <c r="F19" i="6" s="1"/>
  <c r="D19" i="6"/>
  <c r="C19" i="6"/>
  <c r="B19" i="6"/>
  <c r="E18" i="6"/>
  <c r="D18" i="6"/>
  <c r="C18" i="6"/>
  <c r="B18" i="6"/>
  <c r="D17" i="6"/>
  <c r="C17" i="6"/>
  <c r="B17" i="6"/>
  <c r="B15" i="6"/>
  <c r="E14" i="6"/>
  <c r="F14" i="6" s="1"/>
  <c r="D14" i="6"/>
  <c r="C14" i="6"/>
  <c r="B14" i="6"/>
  <c r="E13" i="6"/>
  <c r="F13" i="6" s="1"/>
  <c r="D13" i="6"/>
  <c r="C13" i="6"/>
  <c r="B13" i="6"/>
  <c r="E12" i="6"/>
  <c r="F12" i="6" s="1"/>
  <c r="D12" i="6"/>
  <c r="C12" i="6"/>
  <c r="B12" i="6"/>
  <c r="E11" i="6"/>
  <c r="F11" i="6" s="1"/>
  <c r="D11" i="6"/>
  <c r="C11" i="6"/>
  <c r="B11" i="6"/>
  <c r="E10" i="6"/>
  <c r="F10" i="6" s="1"/>
  <c r="D10" i="6"/>
  <c r="C10" i="6"/>
  <c r="B10" i="6"/>
  <c r="E9" i="6"/>
  <c r="F9" i="6" s="1"/>
  <c r="D9" i="6"/>
  <c r="C9" i="6"/>
  <c r="B9" i="6"/>
  <c r="E8" i="6"/>
  <c r="F8" i="6" s="1"/>
  <c r="D8" i="6"/>
  <c r="C8" i="6"/>
  <c r="B8" i="6"/>
  <c r="H6" i="6"/>
  <c r="D74" i="5"/>
  <c r="D76" i="5" s="1"/>
  <c r="D73" i="5"/>
  <c r="D71" i="5"/>
  <c r="D69" i="5"/>
  <c r="F65" i="5"/>
  <c r="E51" i="5" s="1"/>
  <c r="F51" i="5" s="1"/>
  <c r="D60" i="5"/>
  <c r="D85" i="5" s="1"/>
  <c r="D86" i="5" s="1"/>
  <c r="C51" i="5"/>
  <c r="E50" i="5"/>
  <c r="D50" i="5"/>
  <c r="B50" i="5"/>
  <c r="E49" i="5"/>
  <c r="D49" i="5"/>
  <c r="B49" i="5"/>
  <c r="E48" i="5"/>
  <c r="D48" i="5"/>
  <c r="B48" i="5"/>
  <c r="E47" i="5"/>
  <c r="D47" i="5"/>
  <c r="B47" i="5"/>
  <c r="E46" i="5"/>
  <c r="D46" i="5"/>
  <c r="B46" i="5"/>
  <c r="A46" i="5"/>
  <c r="C46" i="5" s="1"/>
  <c r="E45" i="5"/>
  <c r="D45" i="5"/>
  <c r="B45" i="5"/>
  <c r="E44" i="5"/>
  <c r="D44" i="5"/>
  <c r="B44" i="5"/>
  <c r="A44" i="5"/>
  <c r="C44" i="5" s="1"/>
  <c r="E41" i="5"/>
  <c r="D41" i="5"/>
  <c r="B41" i="5"/>
  <c r="A41" i="5"/>
  <c r="A50" i="5" s="1"/>
  <c r="C50" i="5" s="1"/>
  <c r="E40" i="5"/>
  <c r="D40" i="5"/>
  <c r="C40" i="5"/>
  <c r="B40" i="5"/>
  <c r="A40" i="5"/>
  <c r="A49" i="5" s="1"/>
  <c r="C49" i="5" s="1"/>
  <c r="E39" i="5"/>
  <c r="D39" i="5"/>
  <c r="B39" i="5"/>
  <c r="A39" i="5"/>
  <c r="C39" i="5" s="1"/>
  <c r="E38" i="5"/>
  <c r="D38" i="5"/>
  <c r="B38" i="5"/>
  <c r="A38" i="5"/>
  <c r="A47" i="5" s="1"/>
  <c r="C47" i="5" s="1"/>
  <c r="E37" i="5"/>
  <c r="D37" i="5"/>
  <c r="B37" i="5"/>
  <c r="A37" i="5"/>
  <c r="C37" i="5" s="1"/>
  <c r="E36" i="5"/>
  <c r="F36" i="5" s="1"/>
  <c r="D36" i="5"/>
  <c r="C36" i="5"/>
  <c r="B36" i="5"/>
  <c r="A36" i="5"/>
  <c r="A45" i="5" s="1"/>
  <c r="C45" i="5" s="1"/>
  <c r="E35" i="5"/>
  <c r="D35" i="5"/>
  <c r="B35" i="5"/>
  <c r="A35" i="5"/>
  <c r="C35" i="5" s="1"/>
  <c r="E32" i="5"/>
  <c r="F32" i="5" s="1"/>
  <c r="D32" i="5"/>
  <c r="C32" i="5"/>
  <c r="B32" i="5"/>
  <c r="E31" i="5"/>
  <c r="D31" i="5"/>
  <c r="C31" i="5"/>
  <c r="B31" i="5"/>
  <c r="E30" i="5"/>
  <c r="F30" i="5" s="1"/>
  <c r="D30" i="5"/>
  <c r="C30" i="5"/>
  <c r="B30" i="5"/>
  <c r="E29" i="5"/>
  <c r="D29" i="5"/>
  <c r="C29" i="5"/>
  <c r="B29" i="5"/>
  <c r="E28" i="5"/>
  <c r="F28" i="5" s="1"/>
  <c r="D28" i="5"/>
  <c r="C28" i="5"/>
  <c r="B28" i="5"/>
  <c r="E27" i="5"/>
  <c r="D27" i="5"/>
  <c r="C27" i="5"/>
  <c r="B27" i="5"/>
  <c r="E24" i="5"/>
  <c r="F24" i="5" s="1"/>
  <c r="D24" i="5"/>
  <c r="C24" i="5"/>
  <c r="B24" i="5"/>
  <c r="E23" i="5"/>
  <c r="F23" i="5" s="1"/>
  <c r="D23" i="5"/>
  <c r="C23" i="5"/>
  <c r="B23" i="5"/>
  <c r="E22" i="5"/>
  <c r="F22" i="5" s="1"/>
  <c r="D22" i="5"/>
  <c r="C22" i="5"/>
  <c r="B22" i="5"/>
  <c r="E21" i="5"/>
  <c r="F21" i="5" s="1"/>
  <c r="D21" i="5"/>
  <c r="C21" i="5"/>
  <c r="B21" i="5"/>
  <c r="E20" i="5"/>
  <c r="F20" i="5" s="1"/>
  <c r="D20" i="5"/>
  <c r="C20" i="5"/>
  <c r="B20" i="5"/>
  <c r="E19" i="5"/>
  <c r="F19" i="5" s="1"/>
  <c r="D19" i="5"/>
  <c r="C19" i="5"/>
  <c r="B19" i="5"/>
  <c r="E18" i="5"/>
  <c r="F18" i="5" s="1"/>
  <c r="D18" i="5"/>
  <c r="C18" i="5"/>
  <c r="B18" i="5"/>
  <c r="F17" i="5"/>
  <c r="D17" i="5"/>
  <c r="C17" i="5"/>
  <c r="B17" i="5"/>
  <c r="B15" i="5"/>
  <c r="E14" i="5"/>
  <c r="D14" i="5"/>
  <c r="C14" i="5"/>
  <c r="B14" i="5"/>
  <c r="E13" i="5"/>
  <c r="F13" i="5" s="1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C8" i="5"/>
  <c r="F8" i="5" s="1"/>
  <c r="H6" i="5"/>
  <c r="F30" i="6" l="1"/>
  <c r="F20" i="8"/>
  <c r="F30" i="8"/>
  <c r="F27" i="8"/>
  <c r="E72" i="8"/>
  <c r="C84" i="8"/>
  <c r="E84" i="8" s="1"/>
  <c r="F14" i="8"/>
  <c r="F49" i="8"/>
  <c r="F23" i="8"/>
  <c r="F28" i="8"/>
  <c r="F31" i="8"/>
  <c r="C37" i="8"/>
  <c r="F37" i="8" s="1"/>
  <c r="C40" i="8"/>
  <c r="E50" i="8"/>
  <c r="F50" i="8" s="1"/>
  <c r="F11" i="8"/>
  <c r="F40" i="8"/>
  <c r="F24" i="8"/>
  <c r="F29" i="8"/>
  <c r="F8" i="8"/>
  <c r="F38" i="8"/>
  <c r="A44" i="8"/>
  <c r="C44" i="8" s="1"/>
  <c r="F10" i="8"/>
  <c r="F13" i="8"/>
  <c r="F44" i="8"/>
  <c r="C34" i="8"/>
  <c r="F9" i="7"/>
  <c r="F11" i="5"/>
  <c r="F14" i="5"/>
  <c r="F13" i="7"/>
  <c r="F30" i="7"/>
  <c r="F31" i="6"/>
  <c r="F39" i="8"/>
  <c r="F9" i="5"/>
  <c r="F12" i="5"/>
  <c r="F10" i="5"/>
  <c r="F29" i="6"/>
  <c r="F32" i="6"/>
  <c r="F36" i="8"/>
  <c r="F39" i="7"/>
  <c r="F40" i="7"/>
  <c r="F41" i="7"/>
  <c r="F8" i="7"/>
  <c r="F14" i="7"/>
  <c r="F12" i="7"/>
  <c r="F10" i="7"/>
  <c r="F51" i="7"/>
  <c r="D83" i="7"/>
  <c r="D85" i="7"/>
  <c r="D86" i="7" s="1"/>
  <c r="F28" i="7"/>
  <c r="F27" i="7"/>
  <c r="F20" i="7"/>
  <c r="F47" i="7"/>
  <c r="C38" i="7"/>
  <c r="F38" i="7" s="1"/>
  <c r="C37" i="7"/>
  <c r="F37" i="7" s="1"/>
  <c r="F19" i="7"/>
  <c r="E85" i="6"/>
  <c r="E73" i="6"/>
  <c r="F40" i="6"/>
  <c r="F38" i="6"/>
  <c r="F47" i="6"/>
  <c r="F50" i="6"/>
  <c r="A45" i="6"/>
  <c r="C45" i="6" s="1"/>
  <c r="F45" i="6" s="1"/>
  <c r="F18" i="6"/>
  <c r="F27" i="6"/>
  <c r="F44" i="6"/>
  <c r="F17" i="6"/>
  <c r="C35" i="6"/>
  <c r="F35" i="6" s="1"/>
  <c r="C73" i="5"/>
  <c r="C85" i="5" s="1"/>
  <c r="E85" i="5"/>
  <c r="F45" i="5"/>
  <c r="F47" i="5"/>
  <c r="F39" i="5"/>
  <c r="F27" i="5"/>
  <c r="F31" i="5"/>
  <c r="F29" i="5"/>
  <c r="F40" i="5"/>
  <c r="F44" i="5"/>
  <c r="F35" i="5"/>
  <c r="F35" i="8"/>
  <c r="F46" i="8"/>
  <c r="D80" i="8"/>
  <c r="A48" i="8"/>
  <c r="C48" i="8" s="1"/>
  <c r="F48" i="8" s="1"/>
  <c r="D82" i="8"/>
  <c r="A45" i="8"/>
  <c r="C45" i="8" s="1"/>
  <c r="F45" i="8" s="1"/>
  <c r="A47" i="8"/>
  <c r="C47" i="8" s="1"/>
  <c r="F47" i="8" s="1"/>
  <c r="F50" i="7"/>
  <c r="C73" i="7"/>
  <c r="A49" i="7"/>
  <c r="C49" i="7" s="1"/>
  <c r="F49" i="7" s="1"/>
  <c r="A44" i="7"/>
  <c r="C44" i="7" s="1"/>
  <c r="A48" i="7"/>
  <c r="C48" i="7" s="1"/>
  <c r="F48" i="7" s="1"/>
  <c r="F37" i="6"/>
  <c r="F39" i="6"/>
  <c r="F36" i="6"/>
  <c r="D81" i="6"/>
  <c r="A49" i="6"/>
  <c r="C49" i="6" s="1"/>
  <c r="F49" i="6" s="1"/>
  <c r="A46" i="6"/>
  <c r="C46" i="6" s="1"/>
  <c r="F46" i="6" s="1"/>
  <c r="A48" i="6"/>
  <c r="C48" i="6" s="1"/>
  <c r="F48" i="6" s="1"/>
  <c r="F46" i="5"/>
  <c r="F50" i="5"/>
  <c r="F37" i="5"/>
  <c r="F49" i="5"/>
  <c r="C41" i="5"/>
  <c r="F41" i="5" s="1"/>
  <c r="D81" i="5"/>
  <c r="C38" i="5"/>
  <c r="F38" i="5" s="1"/>
  <c r="E73" i="5"/>
  <c r="D83" i="5"/>
  <c r="A48" i="5"/>
  <c r="C48" i="5" s="1"/>
  <c r="F48" i="5" s="1"/>
  <c r="F53" i="6" l="1"/>
  <c r="C69" i="6" s="1"/>
  <c r="F53" i="5"/>
  <c r="F64" i="5" s="1"/>
  <c r="C85" i="7"/>
  <c r="E85" i="7" s="1"/>
  <c r="E73" i="7"/>
  <c r="F54" i="6"/>
  <c r="F56" i="6"/>
  <c r="F56" i="5"/>
  <c r="F54" i="5"/>
  <c r="H53" i="5" l="1"/>
  <c r="F2" i="5" s="1"/>
  <c r="C69" i="5"/>
  <c r="E69" i="5" s="1"/>
  <c r="E18" i="7" s="1"/>
  <c r="F18" i="7" s="1"/>
  <c r="H53" i="6"/>
  <c r="F2" i="6" s="1"/>
  <c r="F64" i="6"/>
  <c r="F55" i="5"/>
  <c r="O54" i="5" s="1"/>
  <c r="C76" i="6"/>
  <c r="E76" i="6" s="1"/>
  <c r="H54" i="6"/>
  <c r="F55" i="6"/>
  <c r="H56" i="6"/>
  <c r="E44" i="7" s="1"/>
  <c r="F44" i="7" s="1"/>
  <c r="C74" i="6"/>
  <c r="E69" i="6"/>
  <c r="C81" i="6"/>
  <c r="E81" i="6" s="1"/>
  <c r="H56" i="5"/>
  <c r="C74" i="5"/>
  <c r="C76" i="5"/>
  <c r="E76" i="5" s="1"/>
  <c r="E36" i="7" s="1"/>
  <c r="F36" i="7" s="1"/>
  <c r="H54" i="5"/>
  <c r="G2" i="5" s="1"/>
  <c r="E17" i="7" l="1"/>
  <c r="F17" i="7" s="1"/>
  <c r="F53" i="7" s="1"/>
  <c r="F64" i="7" s="1"/>
  <c r="C81" i="5"/>
  <c r="E81" i="5" s="1"/>
  <c r="H55" i="5"/>
  <c r="F63" i="5"/>
  <c r="F66" i="5" s="1"/>
  <c r="G63" i="5" s="1"/>
  <c r="G2" i="6"/>
  <c r="E35" i="7"/>
  <c r="F35" i="7" s="1"/>
  <c r="F54" i="7" s="1"/>
  <c r="C86" i="6"/>
  <c r="E86" i="6" s="1"/>
  <c r="E74" i="6"/>
  <c r="E78" i="6" s="1"/>
  <c r="H55" i="6"/>
  <c r="O54" i="6"/>
  <c r="F63" i="6"/>
  <c r="O55" i="6"/>
  <c r="H2" i="6"/>
  <c r="H58" i="6"/>
  <c r="H59" i="6" s="1"/>
  <c r="O58" i="6" s="1"/>
  <c r="O55" i="5"/>
  <c r="H2" i="5"/>
  <c r="H58" i="5"/>
  <c r="H59" i="5" s="1"/>
  <c r="O58" i="5" s="1"/>
  <c r="C86" i="5"/>
  <c r="E86" i="5" s="1"/>
  <c r="E74" i="5"/>
  <c r="O56" i="5"/>
  <c r="O57" i="5" l="1"/>
  <c r="O59" i="5" s="1"/>
  <c r="E63" i="5"/>
  <c r="C71" i="5"/>
  <c r="E71" i="5" s="1"/>
  <c r="H53" i="7"/>
  <c r="C69" i="7"/>
  <c r="C81" i="7" s="1"/>
  <c r="E81" i="7" s="1"/>
  <c r="C76" i="7"/>
  <c r="E76" i="7" s="1"/>
  <c r="F55" i="7"/>
  <c r="H54" i="7"/>
  <c r="E78" i="5"/>
  <c r="E45" i="7"/>
  <c r="F45" i="7" s="1"/>
  <c r="F56" i="7" s="1"/>
  <c r="C71" i="6"/>
  <c r="E63" i="6"/>
  <c r="F66" i="6"/>
  <c r="G63" i="6" s="1"/>
  <c r="O56" i="6"/>
  <c r="O57" i="6" s="1"/>
  <c r="O59" i="6" s="1"/>
  <c r="G66" i="5"/>
  <c r="G65" i="5"/>
  <c r="G30" i="5"/>
  <c r="G21" i="5"/>
  <c r="G12" i="5"/>
  <c r="G24" i="5"/>
  <c r="G32" i="5"/>
  <c r="G8" i="5"/>
  <c r="G13" i="5"/>
  <c r="G27" i="5"/>
  <c r="G29" i="5"/>
  <c r="G36" i="5"/>
  <c r="G20" i="5"/>
  <c r="G44" i="5"/>
  <c r="G23" i="5"/>
  <c r="G31" i="5"/>
  <c r="G40" i="5"/>
  <c r="G18" i="5"/>
  <c r="G17" i="5"/>
  <c r="G28" i="5"/>
  <c r="G51" i="5"/>
  <c r="G10" i="5"/>
  <c r="G22" i="5"/>
  <c r="G39" i="5"/>
  <c r="G35" i="5"/>
  <c r="G9" i="5"/>
  <c r="G45" i="5"/>
  <c r="G19" i="5"/>
  <c r="G14" i="5"/>
  <c r="G11" i="5"/>
  <c r="G47" i="5"/>
  <c r="G48" i="5"/>
  <c r="G50" i="5"/>
  <c r="G46" i="5"/>
  <c r="G38" i="5"/>
  <c r="G49" i="5"/>
  <c r="G41" i="5"/>
  <c r="G37" i="5"/>
  <c r="G53" i="5"/>
  <c r="G54" i="5"/>
  <c r="G56" i="5"/>
  <c r="G55" i="5"/>
  <c r="G64" i="5"/>
  <c r="E69" i="7" l="1"/>
  <c r="G2" i="7"/>
  <c r="E34" i="8"/>
  <c r="F34" i="8" s="1"/>
  <c r="C83" i="5"/>
  <c r="E83" i="5" s="1"/>
  <c r="F2" i="7"/>
  <c r="E17" i="8"/>
  <c r="F17" i="8" s="1"/>
  <c r="H56" i="7"/>
  <c r="E43" i="8" s="1"/>
  <c r="F43" i="8" s="1"/>
  <c r="C74" i="7"/>
  <c r="H55" i="7"/>
  <c r="O54" i="7"/>
  <c r="F63" i="7"/>
  <c r="O60" i="5"/>
  <c r="O61" i="5" s="1"/>
  <c r="O62" i="5" s="1"/>
  <c r="O60" i="6"/>
  <c r="O61" i="6" s="1"/>
  <c r="O62" i="6" s="1"/>
  <c r="G66" i="6"/>
  <c r="G51" i="6"/>
  <c r="G24" i="6"/>
  <c r="G31" i="6"/>
  <c r="G50" i="6"/>
  <c r="G22" i="6"/>
  <c r="G41" i="6"/>
  <c r="G21" i="6"/>
  <c r="G47" i="6"/>
  <c r="G10" i="6"/>
  <c r="G40" i="6"/>
  <c r="G19" i="6"/>
  <c r="G11" i="6"/>
  <c r="G65" i="6"/>
  <c r="G14" i="6"/>
  <c r="G28" i="6"/>
  <c r="G29" i="6"/>
  <c r="G17" i="6"/>
  <c r="G13" i="6"/>
  <c r="G20" i="6"/>
  <c r="G35" i="6"/>
  <c r="G23" i="6"/>
  <c r="G12" i="6"/>
  <c r="G8" i="6"/>
  <c r="G18" i="6"/>
  <c r="G38" i="6"/>
  <c r="G44" i="6"/>
  <c r="G30" i="6"/>
  <c r="G9" i="6"/>
  <c r="G32" i="6"/>
  <c r="G27" i="6"/>
  <c r="G46" i="6"/>
  <c r="G36" i="6"/>
  <c r="G45" i="6"/>
  <c r="G49" i="6"/>
  <c r="G48" i="6"/>
  <c r="G37" i="6"/>
  <c r="G53" i="6"/>
  <c r="G39" i="6"/>
  <c r="G54" i="6"/>
  <c r="G56" i="6"/>
  <c r="G64" i="6"/>
  <c r="G55" i="6"/>
  <c r="C83" i="6"/>
  <c r="E83" i="6" s="1"/>
  <c r="E71" i="6"/>
  <c r="F55" i="8" l="1"/>
  <c r="F52" i="8"/>
  <c r="F53" i="8"/>
  <c r="C71" i="7"/>
  <c r="F66" i="7"/>
  <c r="E63" i="7"/>
  <c r="O56" i="7"/>
  <c r="E74" i="7"/>
  <c r="E78" i="7" s="1"/>
  <c r="C86" i="7"/>
  <c r="E86" i="7" s="1"/>
  <c r="H58" i="7"/>
  <c r="H59" i="7" s="1"/>
  <c r="O58" i="7" s="1"/>
  <c r="H2" i="7"/>
  <c r="O55" i="7"/>
  <c r="P62" i="5"/>
  <c r="E2" i="5"/>
  <c r="P62" i="6"/>
  <c r="E2" i="6"/>
  <c r="H53" i="8" l="1"/>
  <c r="G2" i="8" s="1"/>
  <c r="C75" i="8"/>
  <c r="E75" i="8" s="1"/>
  <c r="H55" i="8"/>
  <c r="C73" i="8"/>
  <c r="O57" i="7"/>
  <c r="O59" i="7" s="1"/>
  <c r="O60" i="7" s="1"/>
  <c r="O61" i="7" s="1"/>
  <c r="O62" i="7" s="1"/>
  <c r="E2" i="7" s="1"/>
  <c r="F63" i="8"/>
  <c r="F54" i="8"/>
  <c r="H52" i="8"/>
  <c r="F2" i="8" s="1"/>
  <c r="C68" i="8"/>
  <c r="G63" i="7"/>
  <c r="G20" i="7"/>
  <c r="G51" i="7"/>
  <c r="G12" i="7"/>
  <c r="G38" i="7"/>
  <c r="G19" i="7"/>
  <c r="G13" i="7"/>
  <c r="G32" i="7"/>
  <c r="G29" i="7"/>
  <c r="G28" i="7"/>
  <c r="G50" i="7"/>
  <c r="G41" i="7"/>
  <c r="G35" i="7"/>
  <c r="G21" i="7"/>
  <c r="G39" i="7"/>
  <c r="G18" i="7"/>
  <c r="G66" i="7"/>
  <c r="G47" i="7"/>
  <c r="G8" i="7"/>
  <c r="G24" i="7"/>
  <c r="G65" i="7"/>
  <c r="G40" i="7"/>
  <c r="G64" i="7"/>
  <c r="G44" i="7"/>
  <c r="G53" i="7"/>
  <c r="G56" i="7"/>
  <c r="G46" i="7"/>
  <c r="G14" i="7"/>
  <c r="G27" i="7"/>
  <c r="G45" i="7"/>
  <c r="G55" i="7"/>
  <c r="G31" i="7"/>
  <c r="G17" i="7"/>
  <c r="G49" i="7"/>
  <c r="G10" i="7"/>
  <c r="G30" i="7"/>
  <c r="G11" i="7"/>
  <c r="G37" i="7"/>
  <c r="G48" i="7"/>
  <c r="G54" i="7"/>
  <c r="G22" i="7"/>
  <c r="G36" i="7"/>
  <c r="G9" i="7"/>
  <c r="G23" i="7"/>
  <c r="E71" i="7"/>
  <c r="C83" i="7"/>
  <c r="E83" i="7" s="1"/>
  <c r="E68" i="8" l="1"/>
  <c r="C80" i="8"/>
  <c r="E80" i="8" s="1"/>
  <c r="O53" i="8"/>
  <c r="F62" i="8"/>
  <c r="H54" i="8"/>
  <c r="E73" i="8"/>
  <c r="C85" i="8"/>
  <c r="E85" i="8" s="1"/>
  <c r="H2" i="8"/>
  <c r="H57" i="8"/>
  <c r="H58" i="8" s="1"/>
  <c r="O57" i="8" s="1"/>
  <c r="O54" i="8"/>
  <c r="P62" i="7"/>
  <c r="E77" i="8" l="1"/>
  <c r="F65" i="8"/>
  <c r="G62" i="8" s="1"/>
  <c r="E62" i="8"/>
  <c r="C70" i="8"/>
  <c r="O55" i="8"/>
  <c r="O56" i="8" s="1"/>
  <c r="O58" i="8" s="1"/>
  <c r="O59" i="8" s="1"/>
  <c r="O60" i="8" s="1"/>
  <c r="O61" i="8" s="1"/>
  <c r="P61" i="8" l="1"/>
  <c r="E2" i="8"/>
  <c r="G65" i="8"/>
  <c r="G44" i="8"/>
  <c r="G19" i="8"/>
  <c r="G45" i="8"/>
  <c r="G40" i="8"/>
  <c r="G20" i="8"/>
  <c r="G35" i="8"/>
  <c r="G8" i="8"/>
  <c r="G36" i="8"/>
  <c r="G18" i="8"/>
  <c r="G37" i="8"/>
  <c r="G46" i="8"/>
  <c r="G30" i="8"/>
  <c r="G47" i="8"/>
  <c r="G22" i="8"/>
  <c r="G31" i="8"/>
  <c r="G64" i="8"/>
  <c r="G11" i="8"/>
  <c r="G23" i="8"/>
  <c r="G48" i="8"/>
  <c r="G12" i="8"/>
  <c r="G38" i="8"/>
  <c r="G21" i="8"/>
  <c r="G28" i="8"/>
  <c r="G49" i="8"/>
  <c r="G24" i="8"/>
  <c r="G9" i="8"/>
  <c r="G27" i="8"/>
  <c r="G50" i="8"/>
  <c r="G14" i="8"/>
  <c r="G29" i="8"/>
  <c r="G13" i="8"/>
  <c r="G39" i="8"/>
  <c r="G10" i="8"/>
  <c r="G43" i="8"/>
  <c r="G17" i="8"/>
  <c r="G34" i="8"/>
  <c r="G53" i="8"/>
  <c r="G55" i="8"/>
  <c r="G52" i="8"/>
  <c r="G54" i="8"/>
  <c r="G63" i="8"/>
  <c r="C82" i="8"/>
  <c r="E82" i="8" s="1"/>
  <c r="E70" i="8"/>
</calcChain>
</file>

<file path=xl/sharedStrings.xml><?xml version="1.0" encoding="utf-8"?>
<sst xmlns="http://schemas.openxmlformats.org/spreadsheetml/2006/main" count="553" uniqueCount="141">
  <si>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</si>
  <si>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</si>
  <si>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</si>
  <si>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</si>
  <si>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</si>
  <si>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</si>
  <si>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</si>
  <si>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</si>
  <si>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</si>
  <si>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</si>
  <si>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</si>
  <si>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</si>
  <si>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</si>
  <si>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</si>
  <si>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</si>
  <si>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</si>
  <si>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</si>
  <si>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</si>
  <si>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</si>
  <si>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</si>
  <si>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</si>
  <si>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</si>
  <si>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</si>
  <si>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</si>
  <si>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</si>
  <si>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</si>
  <si>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</si>
  <si>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</si>
  <si>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</si>
  <si>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</si>
  <si>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</si>
  <si>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</si>
  <si>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</si>
  <si>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</si>
  <si>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Codigo Netsuite</t>
  </si>
  <si>
    <t>Juan Pablo Brenes , chef</t>
  </si>
  <si>
    <t>FAS</t>
  </si>
  <si>
    <t>NUEVO</t>
  </si>
  <si>
    <t>MEZCLA TRES LECHES SALTY CARAMEL</t>
  </si>
  <si>
    <t>SE00533</t>
  </si>
  <si>
    <t>Manjar con Agua</t>
  </si>
  <si>
    <t>EMPAQUE</t>
  </si>
  <si>
    <t>EM10002</t>
  </si>
  <si>
    <t>Cemusa</t>
  </si>
  <si>
    <t>EM10004</t>
  </si>
  <si>
    <t>Etiplast</t>
  </si>
  <si>
    <t>EM10404</t>
  </si>
  <si>
    <t>Etiqueta KFC individual Navidad Rompope</t>
  </si>
  <si>
    <t>POSTRES</t>
  </si>
  <si>
    <t>SE00032</t>
  </si>
  <si>
    <t>Crema Dulce Leche</t>
  </si>
  <si>
    <t>EM10066</t>
  </si>
  <si>
    <t>CAJA SIX PACK MUSMANNI (UND)</t>
  </si>
  <si>
    <t>EM10248</t>
  </si>
  <si>
    <t xml:space="preserve">Cinta Adhesiva transp. 1/ 2*100 mts </t>
  </si>
  <si>
    <t>Mayca</t>
  </si>
  <si>
    <t>cm</t>
  </si>
  <si>
    <t>Etiq.Blanca 1 1/4 * 3/4</t>
  </si>
  <si>
    <t xml:space="preserve">Etiq.Fecha Vencimiento Blanco </t>
  </si>
  <si>
    <t>EM10011</t>
  </si>
  <si>
    <t>ETIQUETA BLANCA 2 5/8X1 15/16 (UND)</t>
  </si>
  <si>
    <t>caja</t>
  </si>
  <si>
    <t>1 caja con 8 unidades</t>
  </si>
  <si>
    <t>1- Tapar los contenedores.Armar la caja de carton, cerrar con cinta adhesiva, colocar sticker con nombre y dia juliano.</t>
  </si>
  <si>
    <t xml:space="preserve">2.- Colocar a la caja etiqueta con nombre </t>
  </si>
  <si>
    <t>ENSAMBLE TRES LECHES SALTY CARAMEL</t>
  </si>
  <si>
    <t>SABORIZANTE CARAMELO SALADO</t>
  </si>
  <si>
    <t>BOLSA TRANSPARENTE 90X32.5 x 265 mm</t>
  </si>
  <si>
    <t xml:space="preserve"> ROSQUETE  TRES LECHES SOUFFLE Unitario (20g) KFC</t>
  </si>
  <si>
    <t>CONTENEDOR KFC PEQUEÑO</t>
  </si>
  <si>
    <t>Empaque tres leches salty caramel kfc para 4 pax</t>
  </si>
  <si>
    <t>MP10758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</si>
  <si>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</si>
  <si>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</si>
  <si>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</si>
  <si>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</si>
  <si>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</si>
  <si>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</si>
  <si>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</si>
  <si>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</si>
  <si>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</si>
  <si>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</si>
  <si>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</si>
  <si>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</si>
  <si>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</si>
  <si>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</si>
  <si>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</si>
  <si>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</si>
  <si>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</si>
  <si>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</si>
  <si>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</si>
  <si>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</si>
  <si>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</si>
  <si>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</si>
  <si>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</si>
  <si>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</si>
  <si>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</si>
  <si>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</si>
  <si>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</si>
  <si>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</si>
  <si>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</si>
  <si>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</si>
  <si>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</si>
  <si>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</si>
  <si>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</si>
  <si>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</si>
  <si>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</si>
  <si>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</si>
  <si>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</si>
  <si>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</si>
  <si>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</si>
  <si>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</si>
  <si>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</si>
  <si>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</si>
  <si>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</si>
  <si>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</si>
  <si>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</si>
  <si>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</si>
  <si>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</si>
  <si>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</si>
  <si>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</si>
  <si>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</si>
  <si>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</si>
  <si>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907000001</t>
  </si>
  <si>
    <t>Gramo</t>
  </si>
  <si>
    <t>902000018</t>
  </si>
  <si>
    <t>0702123</t>
  </si>
  <si>
    <t>401000007</t>
  </si>
  <si>
    <t>Und</t>
  </si>
  <si>
    <t>902000019</t>
  </si>
  <si>
    <t xml:space="preserve">UND </t>
  </si>
  <si>
    <t>UND</t>
  </si>
  <si>
    <t>Gramos</t>
  </si>
  <si>
    <t>0702069</t>
  </si>
  <si>
    <t>0702007</t>
  </si>
  <si>
    <t>1952445</t>
  </si>
  <si>
    <t>CAJA NUEVA KFC</t>
  </si>
  <si>
    <t>PTI00257 Empaque tres leches salty caramel kfc para 4 pax</t>
  </si>
  <si>
    <t>SE00753</t>
  </si>
  <si>
    <t>EM10465</t>
  </si>
  <si>
    <t>ESP-RE-POF-044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</si>
</sst>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&quot;$&quot;#,##0_);[Red]\(&quot;$&quot;#,##0\)"/>
    <numFmt numFmtId="167" formatCode="_-* #,##0.0\ _€_-;\-* #,##0.0\ _€_-;_-* &quot;-&quot;??\ _€_-;_-@_-"/>
  </numFmts>
  <fonts count="49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Aptos Narrow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6"/>
      <color rgb="FF00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8"/>
      <name val="Century Gothic"/>
      <family val="2"/>
    </font>
    <font>
      <b/>
      <sz val="12"/>
      <color rgb="FFFF0000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71">
    <xf numFmtId="0" fontId="0" fillId="0" borderId="0" xfId="0"/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2" borderId="10" xfId="0" applyFont="1" applyFill="1" applyBorder="1"/>
    <xf numFmtId="0" fontId="12" fillId="0" borderId="0" xfId="0" applyFont="1" applyAlignment="1">
      <alignment horizontal="center"/>
    </xf>
    <xf numFmtId="0" fontId="12" fillId="0" borderId="0" xfId="0" applyFont="1"/>
    <xf numFmtId="0" fontId="2" fillId="4" borderId="18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wrapText="1"/>
    </xf>
    <xf numFmtId="0" fontId="13" fillId="4" borderId="11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10" xfId="0" applyFont="1" applyFill="1" applyBorder="1"/>
    <xf numFmtId="0" fontId="14" fillId="0" borderId="13" xfId="0" applyFont="1" applyBorder="1" applyAlignment="1">
      <alignment horizontal="right"/>
    </xf>
    <xf numFmtId="0" fontId="14" fillId="0" borderId="12" xfId="0" applyFont="1" applyBorder="1" applyAlignment="1">
      <alignment horizontal="center"/>
    </xf>
    <xf numFmtId="0" fontId="14" fillId="0" borderId="10" xfId="0" applyFont="1" applyBorder="1" applyAlignment="1">
      <alignment horizontal="right"/>
    </xf>
    <xf numFmtId="0" fontId="14" fillId="0" borderId="9" xfId="0" applyFont="1" applyBorder="1" applyAlignment="1">
      <alignment horizontal="center"/>
    </xf>
    <xf numFmtId="0" fontId="14" fillId="0" borderId="2" xfId="0" applyFont="1" applyBorder="1" applyAlignment="1">
      <alignment horizontal="right"/>
    </xf>
    <xf numFmtId="0" fontId="5" fillId="4" borderId="2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24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 wrapText="1"/>
    </xf>
    <xf numFmtId="0" fontId="4" fillId="7" borderId="25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13" fillId="0" borderId="12" xfId="0" applyFont="1" applyBorder="1"/>
    <xf numFmtId="0" fontId="10" fillId="0" borderId="11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9" fillId="0" borderId="10" xfId="0" applyFont="1" applyBorder="1"/>
    <xf numFmtId="0" fontId="2" fillId="4" borderId="17" xfId="0" applyFont="1" applyFill="1" applyBorder="1" applyAlignment="1">
      <alignment horizontal="center" wrapText="1"/>
    </xf>
    <xf numFmtId="0" fontId="13" fillId="4" borderId="9" xfId="0" applyFont="1" applyFill="1" applyBorder="1"/>
    <xf numFmtId="0" fontId="2" fillId="0" borderId="0" xfId="0" applyFont="1" applyAlignment="1">
      <alignment horizontal="center"/>
    </xf>
    <xf numFmtId="0" fontId="4" fillId="0" borderId="3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0" fillId="0" borderId="7" xfId="0" applyFont="1" applyBorder="1" applyAlignment="1">
      <alignment horizontal="center" wrapText="1"/>
    </xf>
    <xf numFmtId="0" fontId="10" fillId="0" borderId="10" xfId="0" applyFont="1" applyBorder="1" applyAlignment="1">
      <alignment horizontal="center"/>
    </xf>
    <xf numFmtId="0" fontId="2" fillId="0" borderId="10" xfId="0" applyFont="1" applyBorder="1" applyAlignment="1">
      <alignment wrapText="1"/>
    </xf>
    <xf numFmtId="0" fontId="10" fillId="0" borderId="10" xfId="0" applyFont="1" applyBorder="1" applyAlignment="1">
      <alignment horizontal="center" wrapText="1"/>
    </xf>
    <xf numFmtId="0" fontId="13" fillId="4" borderId="17" xfId="0" applyFont="1" applyFill="1" applyBorder="1" applyAlignment="1">
      <alignment horizontal="center"/>
    </xf>
    <xf numFmtId="0" fontId="13" fillId="4" borderId="3" xfId="0" applyFont="1" applyFill="1" applyBorder="1"/>
    <xf numFmtId="0" fontId="12" fillId="0" borderId="10" xfId="0" applyFont="1" applyBorder="1" applyAlignment="1">
      <alignment horizontal="center"/>
    </xf>
    <xf numFmtId="0" fontId="12" fillId="0" borderId="10" xfId="0" applyFont="1" applyBorder="1"/>
    <xf numFmtId="0" fontId="12" fillId="0" borderId="18" xfId="0" applyFont="1" applyBorder="1" applyAlignment="1">
      <alignment horizontal="center"/>
    </xf>
    <xf numFmtId="0" fontId="12" fillId="0" borderId="39" xfId="0" applyFont="1" applyBorder="1" applyAlignment="1">
      <alignment horizontal="center" vertical="center"/>
    </xf>
    <xf numFmtId="0" fontId="12" fillId="0" borderId="39" xfId="0" applyFont="1" applyBorder="1" applyAlignment="1">
      <alignment horizontal="left" vertical="center"/>
    </xf>
    <xf numFmtId="0" fontId="2" fillId="4" borderId="9" xfId="0" applyFont="1" applyFill="1" applyBorder="1" applyAlignment="1">
      <alignment horizontal="center"/>
    </xf>
    <xf numFmtId="0" fontId="13" fillId="4" borderId="23" xfId="0" applyFont="1" applyFill="1" applyBorder="1" applyAlignment="1">
      <alignment horizontal="left" vertical="center"/>
    </xf>
    <xf numFmtId="0" fontId="13" fillId="4" borderId="22" xfId="0" applyFont="1" applyFill="1" applyBorder="1" applyAlignment="1">
      <alignment horizontal="left" vertical="center"/>
    </xf>
    <xf numFmtId="0" fontId="2" fillId="4" borderId="22" xfId="0" applyFont="1" applyFill="1" applyBorder="1"/>
    <xf numFmtId="0" fontId="2" fillId="4" borderId="22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/>
    <xf numFmtId="0" fontId="4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wrapText="1"/>
    </xf>
    <xf numFmtId="0" fontId="2" fillId="7" borderId="14" xfId="0" applyFont="1" applyFill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9" borderId="10" xfId="0" applyFont="1" applyFill="1" applyBorder="1"/>
    <xf numFmtId="0" fontId="15" fillId="9" borderId="10" xfId="0" applyFont="1" applyFill="1" applyBorder="1" applyAlignment="1">
      <alignment horizontal="center"/>
    </xf>
    <xf numFmtId="0" fontId="15" fillId="5" borderId="10" xfId="0" applyFont="1" applyFill="1" applyBorder="1" applyAlignment="1">
      <alignment horizontal="left" wrapText="1"/>
    </xf>
    <xf numFmtId="0" fontId="9" fillId="2" borderId="0" xfId="0" applyFont="1" applyFill="1" applyAlignment="1">
      <alignment vertical="center"/>
    </xf>
    <xf numFmtId="0" fontId="16" fillId="10" borderId="10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3" fontId="16" fillId="0" borderId="10" xfId="5" applyFont="1" applyFill="1" applyBorder="1" applyAlignment="1">
      <alignment horizontal="center" vertical="center"/>
    </xf>
    <xf numFmtId="43" fontId="16" fillId="0" borderId="0" xfId="5" applyFont="1" applyFill="1" applyBorder="1" applyAlignment="1">
      <alignment horizontal="center" vertical="center"/>
    </xf>
    <xf numFmtId="43" fontId="19" fillId="0" borderId="0" xfId="5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65" fontId="22" fillId="0" borderId="0" xfId="0" applyNumberFormat="1" applyFont="1" applyAlignment="1">
      <alignment horizontal="center" vertical="center" wrapText="1"/>
    </xf>
    <xf numFmtId="0" fontId="16" fillId="11" borderId="48" xfId="0" applyFont="1" applyFill="1" applyBorder="1" applyAlignment="1">
      <alignment horizontal="center" vertical="center"/>
    </xf>
    <xf numFmtId="0" fontId="16" fillId="11" borderId="49" xfId="0" applyFont="1" applyFill="1" applyBorder="1" applyAlignment="1">
      <alignment horizontal="center" vertical="center"/>
    </xf>
    <xf numFmtId="0" fontId="16" fillId="11" borderId="49" xfId="0" applyFont="1" applyFill="1" applyBorder="1" applyAlignment="1">
      <alignment horizontal="center" vertical="center" wrapText="1"/>
    </xf>
    <xf numFmtId="0" fontId="16" fillId="11" borderId="5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" fontId="23" fillId="0" borderId="0" xfId="0" applyNumberFormat="1" applyFont="1" applyAlignment="1">
      <alignment horizontal="center"/>
    </xf>
    <xf numFmtId="4" fontId="23" fillId="0" borderId="0" xfId="6" applyNumberFormat="1" applyFont="1" applyFill="1" applyAlignment="1">
      <alignment horizontal="center" vertical="center"/>
    </xf>
    <xf numFmtId="4" fontId="16" fillId="0" borderId="0" xfId="6" applyNumberFormat="1" applyFont="1" applyFill="1" applyAlignment="1">
      <alignment horizontal="center" vertical="center"/>
    </xf>
    <xf numFmtId="10" fontId="16" fillId="0" borderId="0" xfId="2" applyNumberFormat="1" applyFont="1" applyFill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10" fontId="18" fillId="0" borderId="0" xfId="2" applyNumberFormat="1" applyFont="1" applyFill="1" applyAlignment="1">
      <alignment vertical="center"/>
    </xf>
    <xf numFmtId="0" fontId="9" fillId="0" borderId="0" xfId="0" applyFont="1"/>
    <xf numFmtId="49" fontId="16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43" fontId="9" fillId="0" borderId="0" xfId="5" applyFont="1" applyFill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4" fontId="16" fillId="0" borderId="0" xfId="5" applyNumberFormat="1" applyFont="1" applyFill="1" applyAlignment="1">
      <alignment vertical="center"/>
    </xf>
    <xf numFmtId="43" fontId="25" fillId="0" borderId="0" xfId="5" applyFont="1" applyFill="1" applyAlignment="1">
      <alignment horizontal="center" vertical="center"/>
    </xf>
    <xf numFmtId="10" fontId="18" fillId="11" borderId="38" xfId="2" applyNumberFormat="1" applyFont="1" applyFill="1" applyBorder="1" applyAlignment="1">
      <alignment vertical="center"/>
    </xf>
    <xf numFmtId="0" fontId="9" fillId="11" borderId="41" xfId="0" applyFont="1" applyFill="1" applyBorder="1" applyAlignment="1">
      <alignment vertical="center"/>
    </xf>
    <xf numFmtId="0" fontId="9" fillId="11" borderId="38" xfId="0" applyFont="1" applyFill="1" applyBorder="1" applyAlignment="1">
      <alignment vertical="center"/>
    </xf>
    <xf numFmtId="43" fontId="25" fillId="11" borderId="51" xfId="5" applyFont="1" applyFill="1" applyBorder="1" applyAlignment="1">
      <alignment horizontal="center" vertical="center"/>
    </xf>
    <xf numFmtId="43" fontId="27" fillId="0" borderId="0" xfId="5" applyFont="1" applyFill="1" applyBorder="1" applyAlignment="1">
      <alignment horizontal="right"/>
    </xf>
    <xf numFmtId="0" fontId="9" fillId="11" borderId="51" xfId="0" applyFont="1" applyFill="1" applyBorder="1" applyAlignment="1">
      <alignment vertical="center"/>
    </xf>
    <xf numFmtId="10" fontId="18" fillId="11" borderId="51" xfId="2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0" fontId="26" fillId="0" borderId="0" xfId="0" applyFont="1"/>
    <xf numFmtId="9" fontId="26" fillId="0" borderId="0" xfId="0" applyNumberFormat="1" applyFont="1"/>
    <xf numFmtId="9" fontId="28" fillId="0" borderId="0" xfId="2" applyFont="1" applyFill="1" applyAlignment="1">
      <alignment horizontal="center"/>
    </xf>
    <xf numFmtId="0" fontId="25" fillId="0" borderId="0" xfId="0" applyFont="1" applyAlignment="1">
      <alignment horizontal="right" vertical="center"/>
    </xf>
    <xf numFmtId="4" fontId="25" fillId="0" borderId="0" xfId="5" applyNumberFormat="1" applyFont="1" applyFill="1" applyAlignment="1">
      <alignment vertical="center"/>
    </xf>
    <xf numFmtId="4" fontId="25" fillId="0" borderId="0" xfId="6" applyNumberFormat="1" applyFont="1" applyAlignment="1">
      <alignment horizontal="center" vertical="center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0" fillId="0" borderId="14" xfId="0" applyFont="1" applyBorder="1" applyAlignment="1">
      <alignment horizontal="right"/>
    </xf>
    <xf numFmtId="43" fontId="31" fillId="3" borderId="52" xfId="5" applyFont="1" applyFill="1" applyBorder="1" applyAlignment="1">
      <alignment horizontal="right"/>
    </xf>
    <xf numFmtId="43" fontId="31" fillId="0" borderId="0" xfId="5" applyFont="1" applyFill="1" applyBorder="1" applyAlignment="1">
      <alignment horizontal="right"/>
    </xf>
    <xf numFmtId="43" fontId="16" fillId="0" borderId="10" xfId="5" applyFont="1" applyFill="1" applyBorder="1" applyAlignment="1">
      <alignment vertical="center"/>
    </xf>
    <xf numFmtId="0" fontId="32" fillId="0" borderId="0" xfId="0" applyFont="1" applyAlignment="1">
      <alignment horizontal="left" vertical="center"/>
    </xf>
    <xf numFmtId="4" fontId="25" fillId="0" borderId="0" xfId="6" applyNumberFormat="1" applyFont="1" applyFill="1" applyAlignment="1">
      <alignment horizontal="center" vertical="center"/>
    </xf>
    <xf numFmtId="10" fontId="33" fillId="0" borderId="0" xfId="2" applyNumberFormat="1" applyFont="1" applyFill="1" applyAlignment="1">
      <alignment horizontal="right"/>
    </xf>
    <xf numFmtId="167" fontId="16" fillId="11" borderId="10" xfId="5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43" fontId="16" fillId="12" borderId="10" xfId="5" applyFont="1" applyFill="1" applyBorder="1" applyAlignment="1">
      <alignment vertical="center"/>
    </xf>
    <xf numFmtId="164" fontId="34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0" fontId="18" fillId="11" borderId="53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2" fontId="33" fillId="0" borderId="0" xfId="5" applyNumberFormat="1" applyFont="1" applyFill="1" applyBorder="1" applyAlignment="1">
      <alignment horizontal="center"/>
    </xf>
    <xf numFmtId="2" fontId="30" fillId="0" borderId="0" xfId="5" applyNumberFormat="1" applyFont="1" applyFill="1" applyBorder="1" applyAlignment="1">
      <alignment horizontal="center"/>
    </xf>
    <xf numFmtId="0" fontId="9" fillId="11" borderId="53" xfId="0" applyFont="1" applyFill="1" applyBorder="1" applyAlignment="1">
      <alignment vertical="center"/>
    </xf>
    <xf numFmtId="10" fontId="9" fillId="0" borderId="0" xfId="2" applyNumberFormat="1" applyFont="1" applyFill="1" applyAlignment="1">
      <alignment vertical="center"/>
    </xf>
    <xf numFmtId="4" fontId="9" fillId="0" borderId="0" xfId="5" applyNumberFormat="1" applyFont="1" applyFill="1" applyAlignment="1">
      <alignment vertical="center"/>
    </xf>
    <xf numFmtId="43" fontId="31" fillId="11" borderId="41" xfId="5" applyFont="1" applyFill="1" applyBorder="1" applyAlignment="1">
      <alignment horizontal="right"/>
    </xf>
    <xf numFmtId="0" fontId="16" fillId="11" borderId="45" xfId="0" applyFont="1" applyFill="1" applyBorder="1" applyAlignment="1">
      <alignment horizontal="right" vertical="center"/>
    </xf>
    <xf numFmtId="10" fontId="37" fillId="0" borderId="0" xfId="5" applyNumberFormat="1" applyFont="1" applyFill="1" applyAlignment="1">
      <alignment vertical="center"/>
    </xf>
    <xf numFmtId="10" fontId="18" fillId="0" borderId="0" xfId="2" applyNumberFormat="1" applyFont="1" applyFill="1" applyBorder="1" applyAlignment="1">
      <alignment vertical="center"/>
    </xf>
    <xf numFmtId="164" fontId="38" fillId="0" borderId="0" xfId="0" applyNumberFormat="1" applyFont="1" applyAlignment="1">
      <alignment horizontal="center" vertical="center"/>
    </xf>
    <xf numFmtId="0" fontId="9" fillId="2" borderId="52" xfId="0" applyFont="1" applyFill="1" applyBorder="1" applyAlignment="1">
      <alignment horizontal="center" vertical="center"/>
    </xf>
    <xf numFmtId="43" fontId="39" fillId="0" borderId="0" xfId="5" applyFont="1" applyFill="1" applyAlignment="1">
      <alignment vertical="center"/>
    </xf>
    <xf numFmtId="4" fontId="40" fillId="0" borderId="0" xfId="6" applyNumberFormat="1" applyFont="1" applyFill="1" applyAlignment="1">
      <alignment horizontal="center" vertical="center" wrapText="1"/>
    </xf>
    <xf numFmtId="9" fontId="9" fillId="0" borderId="0" xfId="5" applyNumberFormat="1" applyFont="1" applyFill="1" applyAlignment="1">
      <alignment vertical="center"/>
    </xf>
    <xf numFmtId="0" fontId="2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4" fontId="24" fillId="0" borderId="0" xfId="5" applyNumberFormat="1" applyFont="1" applyFill="1" applyAlignment="1">
      <alignment vertical="center"/>
    </xf>
    <xf numFmtId="4" fontId="16" fillId="14" borderId="52" xfId="5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43" fontId="17" fillId="0" borderId="0" xfId="5" applyFont="1" applyFill="1" applyAlignment="1">
      <alignment vertical="center"/>
    </xf>
    <xf numFmtId="9" fontId="17" fillId="0" borderId="0" xfId="5" applyNumberFormat="1" applyFont="1" applyFill="1" applyAlignment="1">
      <alignment vertical="center"/>
    </xf>
    <xf numFmtId="4" fontId="16" fillId="0" borderId="0" xfId="5" applyNumberFormat="1" applyFont="1" applyFill="1" applyAlignment="1">
      <alignment horizontal="center" vertical="center"/>
    </xf>
    <xf numFmtId="10" fontId="34" fillId="0" borderId="0" xfId="2" applyNumberFormat="1" applyFont="1" applyFill="1" applyAlignment="1">
      <alignment vertical="center"/>
    </xf>
    <xf numFmtId="43" fontId="34" fillId="0" borderId="0" xfId="5" applyFont="1" applyFill="1" applyBorder="1" applyAlignment="1">
      <alignment vertical="center"/>
    </xf>
    <xf numFmtId="4" fontId="9" fillId="0" borderId="0" xfId="0" applyNumberFormat="1" applyFont="1" applyAlignment="1">
      <alignment horizontal="center"/>
    </xf>
    <xf numFmtId="43" fontId="9" fillId="0" borderId="0" xfId="5" applyFont="1" applyFill="1" applyBorder="1"/>
    <xf numFmtId="10" fontId="34" fillId="0" borderId="0" xfId="2" applyNumberFormat="1" applyFont="1" applyFill="1" applyBorder="1" applyAlignment="1">
      <alignment vertical="center"/>
    </xf>
    <xf numFmtId="0" fontId="34" fillId="0" borderId="0" xfId="0" applyFont="1" applyAlignment="1">
      <alignment horizontal="right"/>
    </xf>
    <xf numFmtId="43" fontId="9" fillId="0" borderId="0" xfId="5" applyFont="1" applyFill="1" applyBorder="1" applyAlignment="1">
      <alignment horizontal="center"/>
    </xf>
    <xf numFmtId="9" fontId="43" fillId="0" borderId="0" xfId="0" applyNumberFormat="1" applyFont="1" applyAlignment="1">
      <alignment horizontal="left"/>
    </xf>
    <xf numFmtId="4" fontId="16" fillId="0" borderId="0" xfId="0" applyNumberFormat="1" applyFont="1" applyAlignment="1">
      <alignment horizontal="center"/>
    </xf>
    <xf numFmtId="164" fontId="16" fillId="0" borderId="0" xfId="0" applyNumberFormat="1" applyFont="1"/>
    <xf numFmtId="0" fontId="44" fillId="9" borderId="10" xfId="0" applyFont="1" applyFill="1" applyBorder="1" applyAlignment="1">
      <alignment horizontal="center"/>
    </xf>
    <xf numFmtId="0" fontId="44" fillId="5" borderId="10" xfId="0" applyFont="1" applyFill="1" applyBorder="1" applyAlignment="1">
      <alignment horizontal="left" wrapText="1"/>
    </xf>
    <xf numFmtId="0" fontId="45" fillId="0" borderId="10" xfId="0" applyFont="1" applyBorder="1" applyAlignment="1">
      <alignment horizontal="center"/>
    </xf>
    <xf numFmtId="0" fontId="45" fillId="0" borderId="10" xfId="0" applyFont="1" applyBorder="1" applyAlignment="1">
      <alignment horizontal="center" wrapText="1"/>
    </xf>
    <xf numFmtId="0" fontId="45" fillId="0" borderId="13" xfId="0" applyFont="1" applyBorder="1" applyAlignment="1">
      <alignment horizontal="center"/>
    </xf>
    <xf numFmtId="0" fontId="45" fillId="0" borderId="19" xfId="0" applyFont="1" applyBorder="1" applyAlignment="1">
      <alignment horizontal="center" wrapText="1"/>
    </xf>
    <xf numFmtId="0" fontId="44" fillId="0" borderId="12" xfId="0" applyFont="1" applyBorder="1"/>
    <xf numFmtId="0" fontId="45" fillId="0" borderId="11" xfId="0" applyFont="1" applyBorder="1" applyAlignment="1">
      <alignment horizontal="center"/>
    </xf>
    <xf numFmtId="0" fontId="45" fillId="0" borderId="18" xfId="0" applyFont="1" applyBorder="1" applyAlignment="1">
      <alignment horizontal="center"/>
    </xf>
    <xf numFmtId="0" fontId="45" fillId="0" borderId="10" xfId="0" applyFont="1" applyBorder="1"/>
    <xf numFmtId="0" fontId="45" fillId="4" borderId="10" xfId="0" applyFont="1" applyFill="1" applyBorder="1" applyAlignment="1">
      <alignment horizontal="center"/>
    </xf>
    <xf numFmtId="0" fontId="45" fillId="4" borderId="17" xfId="0" applyFont="1" applyFill="1" applyBorder="1" applyAlignment="1">
      <alignment horizontal="center" wrapText="1"/>
    </xf>
    <xf numFmtId="0" fontId="44" fillId="4" borderId="9" xfId="0" applyFont="1" applyFill="1" applyBorder="1"/>
    <xf numFmtId="0" fontId="45" fillId="0" borderId="17" xfId="0" applyFont="1" applyBorder="1" applyAlignment="1">
      <alignment horizontal="center"/>
    </xf>
    <xf numFmtId="0" fontId="45" fillId="0" borderId="7" xfId="0" applyFont="1" applyBorder="1" applyAlignment="1">
      <alignment horizontal="center"/>
    </xf>
    <xf numFmtId="0" fontId="46" fillId="0" borderId="10" xfId="0" applyFont="1" applyBorder="1" applyAlignment="1">
      <alignment horizontal="center"/>
    </xf>
    <xf numFmtId="0" fontId="45" fillId="0" borderId="32" xfId="0" applyFont="1" applyBorder="1" applyAlignment="1">
      <alignment horizontal="center"/>
    </xf>
    <xf numFmtId="0" fontId="44" fillId="0" borderId="0" xfId="0" applyFont="1"/>
    <xf numFmtId="0" fontId="45" fillId="0" borderId="7" xfId="0" applyFont="1" applyBorder="1" applyAlignment="1">
      <alignment horizontal="center" wrapText="1"/>
    </xf>
    <xf numFmtId="0" fontId="45" fillId="0" borderId="10" xfId="0" applyFont="1" applyBorder="1" applyAlignment="1">
      <alignment wrapText="1"/>
    </xf>
    <xf numFmtId="0" fontId="44" fillId="4" borderId="17" xfId="0" applyFont="1" applyFill="1" applyBorder="1" applyAlignment="1">
      <alignment horizontal="center"/>
    </xf>
    <xf numFmtId="0" fontId="44" fillId="4" borderId="18" xfId="0" applyFont="1" applyFill="1" applyBorder="1" applyAlignment="1">
      <alignment horizontal="center"/>
    </xf>
    <xf numFmtId="0" fontId="44" fillId="4" borderId="3" xfId="0" applyFont="1" applyFill="1" applyBorder="1"/>
    <xf numFmtId="0" fontId="44" fillId="0" borderId="10" xfId="0" applyFont="1" applyBorder="1" applyAlignment="1">
      <alignment horizontal="center"/>
    </xf>
    <xf numFmtId="0" fontId="44" fillId="0" borderId="10" xfId="0" applyFont="1" applyBorder="1"/>
    <xf numFmtId="0" fontId="44" fillId="0" borderId="18" xfId="0" applyFont="1" applyBorder="1" applyAlignment="1">
      <alignment horizontal="center"/>
    </xf>
    <xf numFmtId="0" fontId="44" fillId="0" borderId="39" xfId="0" applyFont="1" applyBorder="1" applyAlignment="1">
      <alignment horizontal="left" vertical="center"/>
    </xf>
    <xf numFmtId="0" fontId="44" fillId="4" borderId="11" xfId="0" applyFont="1" applyFill="1" applyBorder="1" applyAlignment="1">
      <alignment horizontal="center"/>
    </xf>
    <xf numFmtId="0" fontId="44" fillId="4" borderId="10" xfId="0" applyFont="1" applyFill="1" applyBorder="1"/>
    <xf numFmtId="0" fontId="45" fillId="4" borderId="18" xfId="0" applyFont="1" applyFill="1" applyBorder="1" applyAlignment="1">
      <alignment horizontal="center"/>
    </xf>
    <xf numFmtId="0" fontId="45" fillId="4" borderId="10" xfId="0" applyFont="1" applyFill="1" applyBorder="1" applyAlignment="1">
      <alignment horizontal="center" wrapText="1"/>
    </xf>
    <xf numFmtId="0" fontId="45" fillId="4" borderId="9" xfId="0" applyFont="1" applyFill="1" applyBorder="1" applyAlignment="1">
      <alignment horizontal="center"/>
    </xf>
    <xf numFmtId="0" fontId="44" fillId="4" borderId="23" xfId="0" applyFont="1" applyFill="1" applyBorder="1" applyAlignment="1">
      <alignment horizontal="left" vertical="center"/>
    </xf>
    <xf numFmtId="0" fontId="44" fillId="4" borderId="22" xfId="0" applyFont="1" applyFill="1" applyBorder="1" applyAlignment="1">
      <alignment horizontal="left" vertical="center"/>
    </xf>
    <xf numFmtId="0" fontId="45" fillId="4" borderId="22" xfId="0" applyFont="1" applyFill="1" applyBorder="1"/>
    <xf numFmtId="0" fontId="45" fillId="4" borderId="22" xfId="0" applyFont="1" applyFill="1" applyBorder="1" applyAlignment="1">
      <alignment horizontal="center"/>
    </xf>
    <xf numFmtId="0" fontId="45" fillId="4" borderId="22" xfId="0" applyFont="1" applyFill="1" applyBorder="1" applyAlignment="1">
      <alignment horizontal="center" wrapText="1"/>
    </xf>
    <xf numFmtId="0" fontId="45" fillId="4" borderId="1" xfId="0" applyFont="1" applyFill="1" applyBorder="1" applyAlignment="1">
      <alignment horizontal="center"/>
    </xf>
    <xf numFmtId="0" fontId="45" fillId="7" borderId="15" xfId="0" applyFont="1" applyFill="1" applyBorder="1" applyAlignment="1">
      <alignment horizontal="center"/>
    </xf>
    <xf numFmtId="0" fontId="45" fillId="7" borderId="0" xfId="0" applyFont="1" applyFill="1" applyAlignment="1">
      <alignment horizontal="center"/>
    </xf>
    <xf numFmtId="0" fontId="45" fillId="7" borderId="0" xfId="0" applyFont="1" applyFill="1"/>
    <xf numFmtId="0" fontId="46" fillId="7" borderId="0" xfId="0" applyFont="1" applyFill="1" applyAlignment="1">
      <alignment horizontal="center"/>
    </xf>
    <xf numFmtId="0" fontId="45" fillId="7" borderId="0" xfId="0" applyFont="1" applyFill="1" applyAlignment="1">
      <alignment horizontal="center" wrapText="1"/>
    </xf>
    <xf numFmtId="0" fontId="45" fillId="7" borderId="14" xfId="0" applyFont="1" applyFill="1" applyBorder="1" applyAlignment="1">
      <alignment horizontal="center"/>
    </xf>
    <xf numFmtId="0" fontId="44" fillId="0" borderId="2" xfId="0" applyFont="1" applyBorder="1" applyAlignment="1">
      <alignment horizontal="center"/>
    </xf>
    <xf numFmtId="0" fontId="14" fillId="0" borderId="24" xfId="0" applyFont="1" applyBorder="1" applyAlignment="1">
      <alignment horizontal="right"/>
    </xf>
    <xf numFmtId="0" fontId="46" fillId="0" borderId="56" xfId="0" applyFont="1" applyBorder="1" applyAlignment="1">
      <alignment horizontal="center"/>
    </xf>
    <xf numFmtId="0" fontId="44" fillId="0" borderId="10" xfId="0" applyFont="1" applyBorder="1" applyAlignment="1">
      <alignment horizontal="center" vertical="center"/>
    </xf>
    <xf numFmtId="0" fontId="48" fillId="4" borderId="26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41" fillId="0" borderId="43" xfId="0" applyFont="1" applyBorder="1" applyAlignment="1">
      <alignment horizontal="right" vertical="center"/>
    </xf>
    <xf numFmtId="0" fontId="41" fillId="0" borderId="41" xfId="0" applyFont="1" applyBorder="1" applyAlignment="1">
      <alignment horizontal="right" vertical="center"/>
    </xf>
    <xf numFmtId="0" fontId="41" fillId="0" borderId="45" xfId="0" applyFont="1" applyBorder="1" applyAlignment="1">
      <alignment horizontal="right" vertical="center"/>
    </xf>
    <xf numFmtId="0" fontId="42" fillId="0" borderId="0" xfId="0" applyFont="1" applyAlignment="1">
      <alignment horizontal="right"/>
    </xf>
    <xf numFmtId="0" fontId="33" fillId="0" borderId="22" xfId="0" applyFont="1" applyBorder="1" applyAlignment="1">
      <alignment horizontal="right"/>
    </xf>
    <xf numFmtId="0" fontId="25" fillId="0" borderId="0" xfId="0" applyFont="1" applyAlignment="1">
      <alignment horizontal="right" vertical="center"/>
    </xf>
    <xf numFmtId="0" fontId="31" fillId="11" borderId="43" xfId="0" applyFont="1" applyFill="1" applyBorder="1" applyAlignment="1">
      <alignment horizontal="right"/>
    </xf>
    <xf numFmtId="0" fontId="31" fillId="11" borderId="41" xfId="0" applyFont="1" applyFill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16" fillId="0" borderId="22" xfId="0" applyFont="1" applyBorder="1" applyAlignment="1">
      <alignment horizontal="right" vertical="center"/>
    </xf>
    <xf numFmtId="0" fontId="16" fillId="0" borderId="26" xfId="0" applyFont="1" applyBorder="1" applyAlignment="1">
      <alignment horizontal="right" vertical="center"/>
    </xf>
    <xf numFmtId="0" fontId="16" fillId="13" borderId="43" xfId="0" applyFont="1" applyFill="1" applyBorder="1" applyAlignment="1">
      <alignment horizontal="right" vertical="center"/>
    </xf>
    <xf numFmtId="0" fontId="16" fillId="13" borderId="41" xfId="0" applyFont="1" applyFill="1" applyBorder="1" applyAlignment="1">
      <alignment horizontal="right" vertical="center"/>
    </xf>
    <xf numFmtId="0" fontId="16" fillId="13" borderId="45" xfId="0" applyFont="1" applyFill="1" applyBorder="1" applyAlignment="1">
      <alignment horizontal="right" vertical="center"/>
    </xf>
    <xf numFmtId="4" fontId="40" fillId="0" borderId="0" xfId="6" applyNumberFormat="1" applyFont="1" applyFill="1" applyAlignment="1">
      <alignment horizontal="center" vertical="center" wrapText="1"/>
    </xf>
    <xf numFmtId="0" fontId="34" fillId="0" borderId="10" xfId="0" applyFont="1" applyBorder="1" applyAlignment="1">
      <alignment horizontal="right" vertical="center"/>
    </xf>
    <xf numFmtId="0" fontId="35" fillId="0" borderId="15" xfId="0" applyFont="1" applyBorder="1" applyAlignment="1">
      <alignment horizontal="right"/>
    </xf>
    <xf numFmtId="0" fontId="35" fillId="0" borderId="0" xfId="0" applyFont="1" applyAlignment="1">
      <alignment horizontal="right"/>
    </xf>
    <xf numFmtId="0" fontId="35" fillId="0" borderId="14" xfId="0" applyFont="1" applyBorder="1" applyAlignment="1">
      <alignment horizontal="righ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26" fillId="0" borderId="33" xfId="0" applyFont="1" applyBorder="1" applyAlignment="1">
      <alignment horizontal="right"/>
    </xf>
    <xf numFmtId="0" fontId="26" fillId="0" borderId="35" xfId="0" applyFont="1" applyBorder="1" applyAlignment="1">
      <alignment horizontal="right"/>
    </xf>
    <xf numFmtId="0" fontId="9" fillId="0" borderId="10" xfId="0" applyFont="1" applyBorder="1" applyAlignment="1">
      <alignment horizontal="right" vertical="center"/>
    </xf>
    <xf numFmtId="0" fontId="26" fillId="0" borderId="0" xfId="0" applyFont="1" applyAlignment="1">
      <alignment horizontal="right"/>
    </xf>
    <xf numFmtId="0" fontId="20" fillId="0" borderId="22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right" vertical="center" wrapText="1"/>
    </xf>
    <xf numFmtId="0" fontId="13" fillId="0" borderId="43" xfId="0" applyFont="1" applyBorder="1" applyAlignment="1">
      <alignment horizontal="left"/>
    </xf>
    <xf numFmtId="0" fontId="13" fillId="0" borderId="41" xfId="0" applyFont="1" applyBorder="1" applyAlignment="1">
      <alignment horizontal="left"/>
    </xf>
    <xf numFmtId="0" fontId="13" fillId="0" borderId="44" xfId="0" applyFont="1" applyBorder="1" applyAlignment="1">
      <alignment horizontal="left"/>
    </xf>
    <xf numFmtId="0" fontId="2" fillId="0" borderId="43" xfId="0" applyFont="1" applyBorder="1" applyAlignment="1">
      <alignment horizontal="left" wrapText="1"/>
    </xf>
    <xf numFmtId="0" fontId="2" fillId="0" borderId="41" xfId="0" applyFont="1" applyBorder="1" applyAlignment="1">
      <alignment horizontal="left" wrapText="1"/>
    </xf>
    <xf numFmtId="0" fontId="2" fillId="0" borderId="44" xfId="0" applyFont="1" applyBorder="1" applyAlignment="1">
      <alignment horizontal="left" wrapText="1"/>
    </xf>
    <xf numFmtId="0" fontId="4" fillId="0" borderId="5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2" fillId="0" borderId="17" xfId="0" applyFont="1" applyBorder="1" applyAlignment="1">
      <alignment horizontal="right" wrapText="1"/>
    </xf>
    <xf numFmtId="0" fontId="2" fillId="0" borderId="18" xfId="0" applyFont="1" applyBorder="1" applyAlignment="1">
      <alignment horizontal="right" wrapText="1"/>
    </xf>
    <xf numFmtId="0" fontId="2" fillId="0" borderId="1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40" xfId="0" applyFont="1" applyBorder="1" applyAlignment="1">
      <alignment horizontal="right"/>
    </xf>
    <xf numFmtId="0" fontId="4" fillId="0" borderId="37" xfId="0" applyFont="1" applyBorder="1" applyAlignment="1">
      <alignment horizontal="right"/>
    </xf>
    <xf numFmtId="0" fontId="4" fillId="0" borderId="34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34" xfId="0" applyFont="1" applyBorder="1" applyAlignment="1">
      <alignment horizontal="right"/>
    </xf>
    <xf numFmtId="0" fontId="2" fillId="0" borderId="1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4" fillId="7" borderId="43" xfId="0" applyFont="1" applyFill="1" applyBorder="1" applyAlignment="1">
      <alignment horizontal="left"/>
    </xf>
    <xf numFmtId="0" fontId="4" fillId="7" borderId="41" xfId="0" applyFont="1" applyFill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4" fillId="8" borderId="21" xfId="0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/>
    </xf>
    <xf numFmtId="0" fontId="4" fillId="0" borderId="4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4" fillId="0" borderId="34" xfId="0" applyFont="1" applyBorder="1" applyAlignment="1">
      <alignment horizontal="left" wrapText="1"/>
    </xf>
    <xf numFmtId="0" fontId="2" fillId="0" borderId="17" xfId="0" applyFont="1" applyBorder="1" applyAlignment="1">
      <alignment horizontal="right"/>
    </xf>
    <xf numFmtId="0" fontId="2" fillId="0" borderId="18" xfId="0" applyFont="1" applyBorder="1" applyAlignment="1">
      <alignment horizontal="right"/>
    </xf>
    <xf numFmtId="0" fontId="2" fillId="4" borderId="17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4" fillId="0" borderId="21" xfId="0" applyFont="1" applyBorder="1" applyAlignment="1">
      <alignment horizontal="right"/>
    </xf>
    <xf numFmtId="0" fontId="4" fillId="0" borderId="31" xfId="0" applyFont="1" applyBorder="1" applyAlignment="1">
      <alignment horizontal="right"/>
    </xf>
    <xf numFmtId="0" fontId="4" fillId="0" borderId="20" xfId="0" applyFont="1" applyBorder="1" applyAlignment="1">
      <alignment horizontal="right"/>
    </xf>
    <xf numFmtId="0" fontId="2" fillId="0" borderId="19" xfId="0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0" fontId="2" fillId="4" borderId="19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right" vertical="center"/>
    </xf>
    <xf numFmtId="0" fontId="6" fillId="4" borderId="22" xfId="0" applyFont="1" applyFill="1" applyBorder="1" applyAlignment="1">
      <alignment horizontal="right" vertical="center"/>
    </xf>
    <xf numFmtId="0" fontId="5" fillId="4" borderId="41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vertical="center"/>
    </xf>
    <xf numFmtId="0" fontId="4" fillId="7" borderId="42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30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14" fontId="2" fillId="4" borderId="25" xfId="0" applyNumberFormat="1" applyFont="1" applyFill="1" applyBorder="1" applyAlignment="1">
      <alignment horizontal="center" vertical="center" wrapText="1"/>
    </xf>
    <xf numFmtId="14" fontId="2" fillId="4" borderId="27" xfId="0" applyNumberFormat="1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18" xfId="0" applyFont="1" applyFill="1" applyBorder="1" applyAlignment="1">
      <alignment horizontal="left"/>
    </xf>
    <xf numFmtId="0" fontId="2" fillId="4" borderId="16" xfId="0" applyFont="1" applyFill="1" applyBorder="1" applyAlignment="1">
      <alignment horizontal="left"/>
    </xf>
    <xf numFmtId="0" fontId="2" fillId="4" borderId="37" xfId="0" applyFont="1" applyFill="1" applyBorder="1" applyAlignment="1">
      <alignment horizontal="left"/>
    </xf>
    <xf numFmtId="0" fontId="2" fillId="4" borderId="34" xfId="0" applyFont="1" applyFill="1" applyBorder="1" applyAlignment="1">
      <alignment horizontal="left"/>
    </xf>
    <xf numFmtId="0" fontId="2" fillId="4" borderId="33" xfId="0" applyFont="1" applyFill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31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7" fillId="4" borderId="34" xfId="0" applyFont="1" applyFill="1" applyBorder="1" applyAlignment="1">
      <alignment horizontal="center"/>
    </xf>
    <xf numFmtId="0" fontId="6" fillId="6" borderId="21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right" vertical="top" wrapText="1"/>
    </xf>
    <xf numFmtId="0" fontId="4" fillId="4" borderId="28" xfId="0" applyFont="1" applyFill="1" applyBorder="1" applyAlignment="1">
      <alignment horizontal="right" vertical="top" wrapText="1"/>
    </xf>
    <xf numFmtId="14" fontId="2" fillId="4" borderId="10" xfId="0" applyNumberFormat="1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left"/>
    </xf>
    <xf numFmtId="0" fontId="47" fillId="6" borderId="21" xfId="0" applyFont="1" applyFill="1" applyBorder="1" applyAlignment="1">
      <alignment horizontal="center" vertical="center" wrapText="1"/>
    </xf>
    <xf numFmtId="0" fontId="47" fillId="6" borderId="31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right" vertical="center"/>
    </xf>
    <xf numFmtId="0" fontId="48" fillId="4" borderId="41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vertical="center"/>
    </xf>
    <xf numFmtId="0" fontId="4" fillId="7" borderId="54" xfId="0" applyFont="1" applyFill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 wrapText="1"/>
    </xf>
    <xf numFmtId="0" fontId="4" fillId="7" borderId="55" xfId="0" applyFont="1" applyFill="1" applyBorder="1" applyAlignment="1">
      <alignment horizontal="center" vertical="center"/>
    </xf>
    <xf numFmtId="0" fontId="4" fillId="7" borderId="36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0" fontId="44" fillId="4" borderId="17" xfId="0" applyFont="1" applyFill="1" applyBorder="1" applyAlignment="1">
      <alignment horizontal="center"/>
    </xf>
    <xf numFmtId="0" fontId="44" fillId="4" borderId="18" xfId="0" applyFont="1" applyFill="1" applyBorder="1" applyAlignment="1">
      <alignment horizontal="center"/>
    </xf>
    <xf numFmtId="0" fontId="45" fillId="4" borderId="17" xfId="0" applyFont="1" applyFill="1" applyBorder="1" applyAlignment="1">
      <alignment horizontal="center"/>
    </xf>
    <xf numFmtId="0" fontId="45" fillId="4" borderId="18" xfId="0" applyFont="1" applyFill="1" applyBorder="1" applyAlignment="1">
      <alignment horizontal="center"/>
    </xf>
    <xf numFmtId="0" fontId="46" fillId="0" borderId="21" xfId="0" applyFont="1" applyBorder="1" applyAlignment="1">
      <alignment horizontal="right"/>
    </xf>
    <xf numFmtId="0" fontId="46" fillId="0" borderId="31" xfId="0" applyFont="1" applyBorder="1" applyAlignment="1">
      <alignment horizontal="right"/>
    </xf>
    <xf numFmtId="0" fontId="46" fillId="0" borderId="20" xfId="0" applyFont="1" applyBorder="1" applyAlignment="1">
      <alignment horizontal="right"/>
    </xf>
    <xf numFmtId="0" fontId="45" fillId="0" borderId="19" xfId="0" applyFont="1" applyBorder="1" applyAlignment="1">
      <alignment horizontal="right"/>
    </xf>
    <xf numFmtId="0" fontId="45" fillId="0" borderId="20" xfId="0" applyFont="1" applyBorder="1" applyAlignment="1">
      <alignment horizontal="right"/>
    </xf>
    <xf numFmtId="0" fontId="45" fillId="4" borderId="10" xfId="0" applyFont="1" applyFill="1" applyBorder="1" applyAlignment="1">
      <alignment horizontal="center"/>
    </xf>
    <xf numFmtId="0" fontId="46" fillId="0" borderId="5" xfId="0" applyFont="1" applyBorder="1" applyAlignment="1">
      <alignment horizontal="right"/>
    </xf>
    <xf numFmtId="0" fontId="46" fillId="0" borderId="4" xfId="0" applyFont="1" applyBorder="1" applyAlignment="1">
      <alignment horizontal="right"/>
    </xf>
    <xf numFmtId="0" fontId="46" fillId="0" borderId="18" xfId="0" applyFont="1" applyBorder="1" applyAlignment="1">
      <alignment horizontal="right"/>
    </xf>
    <xf numFmtId="0" fontId="45" fillId="0" borderId="17" xfId="0" applyFont="1" applyBorder="1" applyAlignment="1">
      <alignment horizontal="right"/>
    </xf>
    <xf numFmtId="0" fontId="45" fillId="0" borderId="18" xfId="0" applyFont="1" applyBorder="1" applyAlignment="1">
      <alignment horizontal="right"/>
    </xf>
    <xf numFmtId="0" fontId="45" fillId="0" borderId="10" xfId="0" applyFont="1" applyBorder="1" applyAlignment="1">
      <alignment horizontal="center"/>
    </xf>
    <xf numFmtId="0" fontId="45" fillId="0" borderId="10" xfId="0" applyFont="1" applyBorder="1" applyAlignment="1">
      <alignment horizontal="left" wrapText="1"/>
    </xf>
    <xf numFmtId="0" fontId="45" fillId="0" borderId="17" xfId="0" applyFont="1" applyBorder="1" applyAlignment="1">
      <alignment horizontal="right" wrapText="1"/>
    </xf>
    <xf numFmtId="0" fontId="45" fillId="0" borderId="18" xfId="0" applyFont="1" applyBorder="1" applyAlignment="1">
      <alignment horizontal="right" wrapText="1"/>
    </xf>
    <xf numFmtId="0" fontId="46" fillId="0" borderId="40" xfId="0" applyFont="1" applyBorder="1" applyAlignment="1">
      <alignment horizontal="right"/>
    </xf>
    <xf numFmtId="0" fontId="46" fillId="0" borderId="37" xfId="0" applyFont="1" applyBorder="1" applyAlignment="1">
      <alignment horizontal="right"/>
    </xf>
    <xf numFmtId="0" fontId="46" fillId="0" borderId="34" xfId="0" applyFont="1" applyBorder="1" applyAlignment="1">
      <alignment horizontal="right"/>
    </xf>
    <xf numFmtId="0" fontId="45" fillId="0" borderId="16" xfId="0" applyFont="1" applyBorder="1" applyAlignment="1">
      <alignment horizontal="right"/>
    </xf>
    <xf numFmtId="0" fontId="45" fillId="0" borderId="34" xfId="0" applyFont="1" applyBorder="1" applyAlignment="1">
      <alignment horizontal="right"/>
    </xf>
    <xf numFmtId="0" fontId="46" fillId="7" borderId="33" xfId="0" applyFont="1" applyFill="1" applyBorder="1" applyAlignment="1">
      <alignment horizontal="center"/>
    </xf>
    <xf numFmtId="0" fontId="46" fillId="7" borderId="35" xfId="0" applyFont="1" applyFill="1" applyBorder="1" applyAlignment="1">
      <alignment horizontal="center"/>
    </xf>
    <xf numFmtId="0" fontId="46" fillId="7" borderId="0" xfId="0" applyFont="1" applyFill="1" applyAlignment="1">
      <alignment horizontal="center"/>
    </xf>
    <xf numFmtId="0" fontId="45" fillId="0" borderId="10" xfId="0" applyFont="1" applyBorder="1" applyAlignment="1">
      <alignment horizontal="left"/>
    </xf>
    <xf numFmtId="0" fontId="46" fillId="8" borderId="47" xfId="0" applyFont="1" applyFill="1" applyBorder="1" applyAlignment="1">
      <alignment horizontal="center"/>
    </xf>
    <xf numFmtId="0" fontId="46" fillId="8" borderId="46" xfId="0" applyFont="1" applyFill="1" applyBorder="1" applyAlignment="1">
      <alignment horizontal="center"/>
    </xf>
    <xf numFmtId="0" fontId="46" fillId="0" borderId="10" xfId="0" applyFont="1" applyBorder="1" applyAlignment="1">
      <alignment horizontal="left" wrapText="1"/>
    </xf>
    <xf numFmtId="0" fontId="44" fillId="0" borderId="10" xfId="0" applyFont="1" applyBorder="1" applyAlignment="1">
      <alignment horizontal="left"/>
    </xf>
  </cellXfs>
  <cellStyles count="8">
    <cellStyle name="Millares" xfId="5" builtinId="3"/>
    <cellStyle name="Millares [0]" xfId="6" builtinId="6"/>
    <cellStyle name="Millares 2" xfId="4" xr:uid="{255747A0-85CD-4CEA-B84D-54926DE90628}"/>
    <cellStyle name="Millares 2 2" xfId="7" xr:uid="{028CE9DB-203F-4088-AC11-26A5BA108852}"/>
    <cellStyle name="Normal" xfId="0" builtinId="0"/>
    <cellStyle name="Normal 2" xfId="3" xr:uid="{A3F08A6C-DFB4-4D65-94CC-E11460014757}"/>
    <cellStyle name="Normal 3" xfId="1" xr:uid="{803E519B-2740-4E7A-923A-CB7740063403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142875</xdr:rowOff>
    </xdr:from>
    <xdr:to>
      <xdr:col>1</xdr:col>
      <xdr:colOff>844145</xdr:colOff>
      <xdr:row>4</xdr:row>
      <xdr:rowOff>59531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887D868F-3CEE-4DD1-8237-9E135CF9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42875"/>
          <a:ext cx="1713301" cy="940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>
            <v>1000</v>
          </cell>
          <cell r="L11" t="e">
            <v>#DIV/0!</v>
          </cell>
          <cell r="M11" t="str">
            <v>Gramos</v>
          </cell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 t="str">
            <v>Gramos</v>
          </cell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 t="str">
            <v>Gramos</v>
          </cell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 t="str">
            <v>Gramos</v>
          </cell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 t="str">
            <v>Gramos</v>
          </cell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 t="str">
            <v>Gramos</v>
          </cell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 t="str">
            <v>Gramos</v>
          </cell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 t="str">
            <v>Gramos</v>
          </cell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 t="str">
            <v>Gramos</v>
          </cell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 t="str">
            <v>Gramos</v>
          </cell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 t="str">
            <v>Gramos</v>
          </cell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 t="str">
            <v>Gramos</v>
          </cell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 t="str">
            <v>Gramos</v>
          </cell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 t="str">
            <v>Gramos</v>
          </cell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 t="str">
            <v>Und</v>
          </cell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 t="str">
            <v>Und</v>
          </cell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 t="str">
            <v>Und</v>
          </cell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 t="str">
            <v>Und</v>
          </cell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 t="str">
            <v>Und</v>
          </cell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 t="str">
            <v>Und</v>
          </cell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 t="str">
            <v>und</v>
          </cell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>
            <v>10000</v>
          </cell>
          <cell r="L163" t="e">
            <v>#DIV/0!</v>
          </cell>
          <cell r="M163" t="str">
            <v>Cm</v>
          </cell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 t="str">
            <v>Gramos</v>
          </cell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 t="str">
            <v>Gramos</v>
          </cell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 t="str">
            <v>Mililitros</v>
          </cell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 t="str">
            <v>Und</v>
          </cell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 t="str">
            <v>Gramos</v>
          </cell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>
            <v>681</v>
          </cell>
          <cell r="L183" t="e">
            <v>#DIV/0!</v>
          </cell>
          <cell r="M183" t="str">
            <v>Gramos</v>
          </cell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 t="str">
            <v>Gramos</v>
          </cell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 t="str">
            <v>Gramos</v>
          </cell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 t="str">
            <v>Gramos</v>
          </cell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 t="str">
            <v>Mililitros</v>
          </cell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 t="str">
            <v>Gramos</v>
          </cell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 t="str">
            <v>Gramos</v>
          </cell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 t="str">
            <v>Gramos</v>
          </cell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 t="str">
            <v>Gramos</v>
          </cell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>
            <v>1000</v>
          </cell>
          <cell r="L219" t="e">
            <v>#DIV/0!</v>
          </cell>
          <cell r="M219" t="str">
            <v>Gramos</v>
          </cell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 t="str">
            <v>Gramos</v>
          </cell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 t="str">
            <v>Gramos</v>
          </cell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 t="str">
            <v>Gramos</v>
          </cell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 t="str">
            <v>Und</v>
          </cell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>
            <v>25000</v>
          </cell>
          <cell r="L240" t="e">
            <v>#DIV/0!</v>
          </cell>
          <cell r="M240" t="str">
            <v>Gramos</v>
          </cell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 t="str">
            <v>Gramos</v>
          </cell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 t="str">
            <v>Gramos</v>
          </cell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 t="str">
            <v>Gramos</v>
          </cell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>
            <v>25000</v>
          </cell>
          <cell r="L260" t="e">
            <v>#DIV/0!</v>
          </cell>
          <cell r="M260" t="str">
            <v>Gramos</v>
          </cell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 t="str">
            <v>Und</v>
          </cell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>
            <v>125</v>
          </cell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 t="str">
            <v>Und</v>
          </cell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 t="str">
            <v>Und</v>
          </cell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 t="str">
            <v>Und</v>
          </cell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>
            <v>500</v>
          </cell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 t="str">
            <v>Gramos</v>
          </cell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 t="str">
            <v>Und</v>
          </cell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 t="str">
            <v>Und</v>
          </cell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 t="str">
            <v>Und</v>
          </cell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 t="str">
            <v>Gramos</v>
          </cell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 t="str">
            <v>Und</v>
          </cell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 t="str">
            <v>Und</v>
          </cell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 t="str">
            <v>Und</v>
          </cell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 t="str">
            <v>Und</v>
          </cell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 t="str">
            <v>Und</v>
          </cell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 t="str">
            <v>Und</v>
          </cell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 t="str">
            <v>Und</v>
          </cell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 t="str">
            <v>Und</v>
          </cell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 t="str">
            <v>Und</v>
          </cell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 t="str">
            <v>Und</v>
          </cell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 t="str">
            <v>Und</v>
          </cell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 t="str">
            <v>Und</v>
          </cell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 t="str">
            <v>Und</v>
          </cell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 t="str">
            <v>Und</v>
          </cell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 t="str">
            <v>Und</v>
          </cell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 t="str">
            <v>Und</v>
          </cell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 t="str">
            <v>Und</v>
          </cell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 t="str">
            <v>Gramos</v>
          </cell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 t="str">
            <v>Gramos</v>
          </cell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 t="str">
            <v>Gramos</v>
          </cell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 t="str">
            <v>Gramos</v>
          </cell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 t="str">
            <v>Mililitros</v>
          </cell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 t="str">
            <v>Gramos</v>
          </cell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 t="str">
            <v>UND</v>
          </cell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 t="str">
            <v>Mililitros</v>
          </cell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 t="str">
            <v>Gramos</v>
          </cell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>
            <v>1820</v>
          </cell>
          <cell r="L362" t="e">
            <v>#DIV/0!</v>
          </cell>
          <cell r="M362" t="str">
            <v>Gramos</v>
          </cell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>
            <v>3140</v>
          </cell>
          <cell r="L364" t="e">
            <v>#DIV/0!</v>
          </cell>
          <cell r="M364" t="str">
            <v>Gramos</v>
          </cell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 t="str">
            <v>Gramos</v>
          </cell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 t="str">
            <v>Mililitros</v>
          </cell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 t="str">
            <v>und</v>
          </cell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 t="str">
            <v>Gramos</v>
          </cell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>
            <v>1800</v>
          </cell>
          <cell r="L373" t="e">
            <v>#DIV/0!</v>
          </cell>
          <cell r="M373" t="str">
            <v>Gramos</v>
          </cell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 t="str">
            <v>Gramos</v>
          </cell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>
            <v>12000</v>
          </cell>
          <cell r="L378" t="e">
            <v>#DIV/0!</v>
          </cell>
          <cell r="M378" t="str">
            <v>Gramos</v>
          </cell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 t="str">
            <v>Gramos</v>
          </cell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 t="str">
            <v>Gramos</v>
          </cell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 t="str">
            <v>Gramos</v>
          </cell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 t="str">
            <v>und</v>
          </cell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 t="str">
            <v>Gramos</v>
          </cell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 t="str">
            <v>Gramos</v>
          </cell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 t="str">
            <v>Gramos</v>
          </cell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 t="str">
            <v>Gramos</v>
          </cell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 t="str">
            <v>Gramos</v>
          </cell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 t="str">
            <v>Gramos</v>
          </cell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 t="str">
            <v>Gramos</v>
          </cell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>
            <v>1000</v>
          </cell>
          <cell r="L399" t="e">
            <v>#DIV/0!</v>
          </cell>
          <cell r="M399" t="str">
            <v>Gramos</v>
          </cell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 t="str">
            <v>Gramos</v>
          </cell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 t="str">
            <v>Gramos</v>
          </cell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 t="str">
            <v>Gramos</v>
          </cell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>
            <v>5000</v>
          </cell>
          <cell r="L405" t="e">
            <v>#DIV/0!</v>
          </cell>
          <cell r="M405" t="str">
            <v>Mililitros</v>
          </cell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 t="str">
            <v>Gramos</v>
          </cell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>
            <v>2500</v>
          </cell>
          <cell r="L409" t="e">
            <v>#DIV/0!</v>
          </cell>
          <cell r="M409" t="str">
            <v>Gramos</v>
          </cell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>
            <v>2500</v>
          </cell>
          <cell r="L410" t="e">
            <v>#DIV/0!</v>
          </cell>
          <cell r="M410" t="str">
            <v>Gramos</v>
          </cell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 t="str">
            <v>Gramos</v>
          </cell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 t="str">
            <v>Gramos</v>
          </cell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>
            <v>1000</v>
          </cell>
          <cell r="L415" t="e">
            <v>#DIV/0!</v>
          </cell>
          <cell r="M415" t="str">
            <v>Gramos</v>
          </cell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 t="str">
            <v>Gramos</v>
          </cell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 t="str">
            <v>Gramos</v>
          </cell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 t="str">
            <v>Mililitros</v>
          </cell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>
            <v>3785</v>
          </cell>
          <cell r="L421" t="e">
            <v>#DIV/0!</v>
          </cell>
          <cell r="M421" t="str">
            <v>Gramos</v>
          </cell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 t="str">
            <v>Gramos</v>
          </cell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 t="str">
            <v>Gramos</v>
          </cell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>
            <v>2000</v>
          </cell>
          <cell r="L426" t="e">
            <v>#DIV/0!</v>
          </cell>
          <cell r="M426" t="str">
            <v>Gramos</v>
          </cell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 t="str">
            <v>Mililitros</v>
          </cell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 t="str">
            <v>Mililitros</v>
          </cell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>
            <v>25000</v>
          </cell>
          <cell r="L433" t="e">
            <v>#DIV/0!</v>
          </cell>
          <cell r="M433" t="str">
            <v>Mililitros</v>
          </cell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 t="str">
            <v>Gramos</v>
          </cell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 t="str">
            <v>Gramos</v>
          </cell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 t="str">
            <v>Unidad</v>
          </cell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 t="str">
            <v>Gramos</v>
          </cell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 t="str">
            <v>Gramos</v>
          </cell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 t="str">
            <v>Gramos</v>
          </cell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 t="str">
            <v>Gramos</v>
          </cell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 t="str">
            <v>Mililitros</v>
          </cell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 t="str">
            <v>10100270</v>
          </cell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 t="str">
            <v>Mililitros</v>
          </cell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 t="str">
            <v>Mililitros</v>
          </cell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 t="str">
            <v>Mililitros</v>
          </cell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 t="str">
            <v>Unidad</v>
          </cell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 t="str">
            <v>Mililitros</v>
          </cell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>
            <v>800</v>
          </cell>
          <cell r="L458" t="e">
            <v>#DIV/0!</v>
          </cell>
          <cell r="M458" t="str">
            <v>Mililitros</v>
          </cell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>
            <v>800</v>
          </cell>
          <cell r="L459" t="e">
            <v>#DIV/0!</v>
          </cell>
          <cell r="M459" t="str">
            <v>Mililitros</v>
          </cell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>
            <v>3785</v>
          </cell>
          <cell r="L460" t="e">
            <v>#DIV/0!</v>
          </cell>
          <cell r="M460" t="str">
            <v>Gramos</v>
          </cell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>
            <v>3785</v>
          </cell>
          <cell r="L461" t="e">
            <v>#DIV/0!</v>
          </cell>
          <cell r="M461" t="str">
            <v>Mililitros</v>
          </cell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>
            <v>1000</v>
          </cell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>
            <v>1</v>
          </cell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>
            <v>1</v>
          </cell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>
            <v>1</v>
          </cell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 t="str">
            <v>Gramos</v>
          </cell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 t="str">
            <v>Gramos</v>
          </cell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 t="str">
            <v>Gramos</v>
          </cell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 t="str">
            <v>Gramos</v>
          </cell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 t="str">
            <v>Gramos</v>
          </cell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 t="str">
            <v>Gramos</v>
          </cell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 t="str">
            <v>Gramos</v>
          </cell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 t="str">
            <v>Gramos</v>
          </cell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 t="str">
            <v>Gramos</v>
          </cell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>
            <v>215</v>
          </cell>
          <cell r="L509" t="e">
            <v>#DIV/0!</v>
          </cell>
          <cell r="M509" t="str">
            <v>Und</v>
          </cell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 t="str">
            <v>Gramos</v>
          </cell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 t="str">
            <v>Und</v>
          </cell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 t="str">
            <v>Und</v>
          </cell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>
            <v>1500</v>
          </cell>
          <cell r="L516" t="e">
            <v>#DIV/0!</v>
          </cell>
          <cell r="M516" t="str">
            <v>Mililitros</v>
          </cell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 t="str">
            <v>Gramos</v>
          </cell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 t="str">
            <v>Gramos</v>
          </cell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 t="str">
            <v>Gramos</v>
          </cell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 t="str">
            <v>Gramos</v>
          </cell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 t="str">
            <v>Gramos</v>
          </cell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 t="str">
            <v>Gramos</v>
          </cell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 t="str">
            <v>Gramos</v>
          </cell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 t="str">
            <v>Gramos</v>
          </cell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 t="str">
            <v>Gramos</v>
          </cell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 t="str">
            <v>Gramos</v>
          </cell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 t="str">
            <v>Gramos</v>
          </cell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 t="str">
            <v>Gramos</v>
          </cell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 t="str">
            <v>Gramos</v>
          </cell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 t="str">
            <v>Gramos</v>
          </cell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 t="str">
            <v>Gramos</v>
          </cell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 t="str">
            <v>Gramos</v>
          </cell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>
            <v>25000</v>
          </cell>
          <cell r="L558" t="e">
            <v>#DIV/0!</v>
          </cell>
          <cell r="M558" t="str">
            <v>Gramos</v>
          </cell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 t="str">
            <v>Gramos</v>
          </cell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 t="str">
            <v>Gramos</v>
          </cell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 t="str">
            <v>Gramos</v>
          </cell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 t="str">
            <v>Gramos</v>
          </cell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 t="str">
            <v>Gramos</v>
          </cell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 t="str">
            <v>Gramos</v>
          </cell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 t="str">
            <v>Gramos</v>
          </cell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 t="str">
            <v>Gramos</v>
          </cell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 t="str">
            <v>Gramos</v>
          </cell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 t="str">
            <v>Gramos</v>
          </cell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 t="str">
            <v>Gramos</v>
          </cell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 t="str">
            <v>Gramos</v>
          </cell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 t="str">
            <v>Gramos</v>
          </cell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>
            <v>1000</v>
          </cell>
          <cell r="L593" t="e">
            <v>#DIV/0!</v>
          </cell>
          <cell r="M593" t="str">
            <v>Mililitros</v>
          </cell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 t="str">
            <v>Mililitros</v>
          </cell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 t="str">
            <v>Und</v>
          </cell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>
            <v>250</v>
          </cell>
          <cell r="L596" t="e">
            <v>#DIV/0!</v>
          </cell>
          <cell r="M596" t="str">
            <v>Gramos</v>
          </cell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 t="str">
            <v>Gramos</v>
          </cell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>
            <v>20</v>
          </cell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>
            <v>20</v>
          </cell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>
            <v>5000</v>
          </cell>
          <cell r="L601" t="e">
            <v>#DIV/0!</v>
          </cell>
          <cell r="M601" t="str">
            <v>Gramos</v>
          </cell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 t="str">
            <v>Gramos</v>
          </cell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>
            <v>1000</v>
          </cell>
          <cell r="L603" t="e">
            <v>#DIV/0!</v>
          </cell>
          <cell r="M603" t="str">
            <v>Gramos</v>
          </cell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>
            <v>1000</v>
          </cell>
          <cell r="L604" t="e">
            <v>#DIV/0!</v>
          </cell>
          <cell r="M604" t="str">
            <v>Gramos</v>
          </cell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>
            <v>454</v>
          </cell>
          <cell r="L605" t="e">
            <v>#DIV/0!</v>
          </cell>
          <cell r="M605" t="str">
            <v>Gramos</v>
          </cell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>
            <v>1000</v>
          </cell>
          <cell r="L606" t="e">
            <v>#DIV/0!</v>
          </cell>
          <cell r="M606" t="str">
            <v>Mililitros</v>
          </cell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>
            <v>1000</v>
          </cell>
          <cell r="L607" t="e">
            <v>#DIV/0!</v>
          </cell>
          <cell r="M607" t="str">
            <v>Mililitros</v>
          </cell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 t="str">
            <v>50100037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 t="str">
            <v>Und</v>
          </cell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 t="str">
            <v>Und</v>
          </cell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 t="str">
            <v>Und</v>
          </cell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>
            <v>1</v>
          </cell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 t="str">
            <v>Und</v>
          </cell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 t="str">
            <v>Und</v>
          </cell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 t="str">
            <v>Und</v>
          </cell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>
            <v>500</v>
          </cell>
          <cell r="L636" t="e">
            <v>#DIV/0!</v>
          </cell>
          <cell r="M636" t="str">
            <v>Und</v>
          </cell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 t="str">
            <v>Und</v>
          </cell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 t="str">
            <v>Und</v>
          </cell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 t="str">
            <v>Und</v>
          </cell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 t="str">
            <v>Und</v>
          </cell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 t="str">
            <v>Und</v>
          </cell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 t="str">
            <v>Und</v>
          </cell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 t="str">
            <v>Und</v>
          </cell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 t="str">
            <v>Und</v>
          </cell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 t="str">
            <v>Und</v>
          </cell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 t="str">
            <v>Und</v>
          </cell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 t="str">
            <v>Und</v>
          </cell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 t="str">
            <v>Und</v>
          </cell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 t="str">
            <v>Und</v>
          </cell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 t="str">
            <v>Und</v>
          </cell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 t="str">
            <v>Und</v>
          </cell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 t="str">
            <v>Und</v>
          </cell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>
            <v>100</v>
          </cell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>
            <v>50</v>
          </cell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>
            <v>100</v>
          </cell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>
            <v>1</v>
          </cell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>
            <v>45000</v>
          </cell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 t="str">
            <v>Und</v>
          </cell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 t="str">
            <v>Und</v>
          </cell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 t="str">
            <v>Und</v>
          </cell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 t="str">
            <v>Und</v>
          </cell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 t="str">
            <v>Und</v>
          </cell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 t="str">
            <v>Und</v>
          </cell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 t="str">
            <v>Und</v>
          </cell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 t="str">
            <v>Und</v>
          </cell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>
            <v>500</v>
          </cell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 t="str">
            <v>Und</v>
          </cell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 t="str">
            <v>Und</v>
          </cell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 t="str">
            <v>Und</v>
          </cell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 t="str">
            <v>Mililitros</v>
          </cell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 t="str">
            <v>Mililitros</v>
          </cell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 t="str">
            <v>Mililitros</v>
          </cell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>
            <v>930</v>
          </cell>
          <cell r="L708" t="e">
            <v>#DIV/0!</v>
          </cell>
          <cell r="M708" t="str">
            <v>Mililitros</v>
          </cell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>
            <v>3785</v>
          </cell>
          <cell r="L709" t="e">
            <v>#DIV/0!</v>
          </cell>
          <cell r="M709" t="str">
            <v>Mililitros</v>
          </cell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>
            <v>510</v>
          </cell>
          <cell r="L711" t="e">
            <v>#DIV/0!</v>
          </cell>
          <cell r="M711" t="str">
            <v>Mililitros</v>
          </cell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>
            <v>300</v>
          </cell>
          <cell r="L714" t="e">
            <v>#DIV/0!</v>
          </cell>
          <cell r="M714" t="str">
            <v>Gramos</v>
          </cell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>
            <v>750</v>
          </cell>
          <cell r="L716" t="e">
            <v>#DIV/0!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>
            <v>1000</v>
          </cell>
          <cell r="L717" t="e">
            <v>#DIV/0!</v>
          </cell>
          <cell r="M717" t="str">
            <v>Gramos</v>
          </cell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 t="str">
            <v>Gramos</v>
          </cell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 t="str">
            <v>Gramos</v>
          </cell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 t="str">
            <v>Gramos</v>
          </cell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 t="str">
            <v>Gramos</v>
          </cell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 t="str">
            <v>Gramos</v>
          </cell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 t="str">
            <v>Gramos</v>
          </cell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 t="str">
            <v>Gramos</v>
          </cell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 t="str">
            <v>Gramos</v>
          </cell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 t="str">
            <v>Gramos</v>
          </cell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 t="str">
            <v>Gramos</v>
          </cell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 t="str">
            <v>Gramos</v>
          </cell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 t="str">
            <v>Gramos</v>
          </cell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 t="str">
            <v>Gramos</v>
          </cell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>
            <v>1000</v>
          </cell>
          <cell r="L757" t="e">
            <v>#DIV/0!</v>
          </cell>
          <cell r="M757" t="str">
            <v>Gramos</v>
          </cell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 t="str">
            <v>Gramos</v>
          </cell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 t="str">
            <v>Gramos</v>
          </cell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>
            <v>150</v>
          </cell>
          <cell r="L761" t="e">
            <v>#DIV/0!</v>
          </cell>
          <cell r="M761" t="str">
            <v>Gramos</v>
          </cell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>
            <v>566</v>
          </cell>
          <cell r="L762" t="e">
            <v>#DIV/0!</v>
          </cell>
          <cell r="M762" t="str">
            <v>Gramos</v>
          </cell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>
            <v>150</v>
          </cell>
          <cell r="L763" t="e">
            <v>#DIV/0!</v>
          </cell>
          <cell r="M763" t="str">
            <v>Gramos</v>
          </cell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 t="str">
            <v>Gramos</v>
          </cell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>
            <v>126</v>
          </cell>
          <cell r="L765" t="e">
            <v>#DIV/0!</v>
          </cell>
          <cell r="M765" t="str">
            <v>Gramos</v>
          </cell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>
            <v>6</v>
          </cell>
          <cell r="L766" t="e">
            <v>#DIV/0!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>
            <v>126</v>
          </cell>
          <cell r="L767" t="e">
            <v>#DIV/0!</v>
          </cell>
          <cell r="M767" t="str">
            <v>Gramos</v>
          </cell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>
            <v>12000</v>
          </cell>
          <cell r="L768" t="e">
            <v>#DIV/0!</v>
          </cell>
          <cell r="M768" t="str">
            <v>Mililitros</v>
          </cell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>
            <v>4000</v>
          </cell>
          <cell r="L769" t="e">
            <v>#DIV/0!</v>
          </cell>
          <cell r="M769" t="str">
            <v>Gramos</v>
          </cell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 t="str">
            <v>Gramos</v>
          </cell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 t="str">
            <v>Gramos</v>
          </cell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>
            <v>1</v>
          </cell>
          <cell r="L779" t="e">
            <v>#DIV/0!</v>
          </cell>
          <cell r="M779" t="str">
            <v>Gramos</v>
          </cell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 t="str">
            <v>Centimetros</v>
          </cell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 t="str">
            <v>Centimetros</v>
          </cell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 t="str">
            <v>906000010</v>
          </cell>
          <cell r="E785" t="str">
            <v>ASEO</v>
          </cell>
          <cell r="F785" t="str">
            <v>1 CAJA</v>
          </cell>
          <cell r="G785">
            <v>500</v>
          </cell>
          <cell r="H785" t="str">
            <v>13/06/2020</v>
          </cell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 t="str">
            <v>516000002</v>
          </cell>
          <cell r="E786" t="str">
            <v>MATERIAS PRIMAS PLANTA</v>
          </cell>
          <cell r="F786" t="str">
            <v>LITRO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 t="str">
            <v>906000010</v>
          </cell>
          <cell r="E787" t="str">
            <v>MANO OBRA</v>
          </cell>
          <cell r="F787" t="str">
            <v>Minuto</v>
          </cell>
          <cell r="G787">
            <v>500</v>
          </cell>
          <cell r="H787" t="str">
            <v>13/06/2020</v>
          </cell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 t="str">
            <v>401000002</v>
          </cell>
          <cell r="E788" t="str">
            <v>EMPAQUES PLANTA</v>
          </cell>
          <cell r="F788" t="str">
            <v>UND</v>
          </cell>
          <cell r="G788">
            <v>500</v>
          </cell>
          <cell r="H788" t="str">
            <v>04/05/2020</v>
          </cell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 t="str">
            <v>401000003</v>
          </cell>
          <cell r="E789" t="str">
            <v>MATERIAS PRIMAS PLANTA</v>
          </cell>
          <cell r="F789" t="str">
            <v>UND</v>
          </cell>
          <cell r="G789">
            <v>500</v>
          </cell>
          <cell r="H789" t="str">
            <v>23/03/2020</v>
          </cell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 t="str">
            <v>401000004</v>
          </cell>
          <cell r="E790" t="str">
            <v>MATERIAS PRIMAS PLANTA</v>
          </cell>
          <cell r="F790" t="str">
            <v>UND</v>
          </cell>
          <cell r="G790">
            <v>500</v>
          </cell>
          <cell r="H790" t="str">
            <v>27/01/2020</v>
          </cell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 t="str">
            <v>401000005</v>
          </cell>
          <cell r="E791" t="str">
            <v>MATERIAS PRIMAS PLANTA</v>
          </cell>
          <cell r="F791" t="str">
            <v>UND</v>
          </cell>
          <cell r="G791">
            <v>500</v>
          </cell>
          <cell r="H791" t="str">
            <v>07/02/2020</v>
          </cell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 t="str">
            <v>401000006</v>
          </cell>
          <cell r="E792" t="str">
            <v>MATERIAS PRIMAS PLANTA</v>
          </cell>
          <cell r="F792" t="str">
            <v>PAQUETE</v>
          </cell>
          <cell r="G792">
            <v>500</v>
          </cell>
          <cell r="H792" t="str">
            <v>27/01/2020</v>
          </cell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 t="str">
            <v>503000036</v>
          </cell>
          <cell r="E793" t="str">
            <v>EMPAQUES PLANTA</v>
          </cell>
          <cell r="F793" t="str">
            <v>rollo</v>
          </cell>
          <cell r="G793">
            <v>500</v>
          </cell>
          <cell r="H793" t="str">
            <v>21/03/2020</v>
          </cell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 t="str">
            <v>EMPAQUES PLANTA</v>
          </cell>
          <cell r="F794" t="str">
            <v>rollo</v>
          </cell>
          <cell r="G794">
            <v>500</v>
          </cell>
          <cell r="H794" t="str">
            <v>17/03/2020</v>
          </cell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 t="str">
            <v>MATERIAS PRIMAS PLANTA</v>
          </cell>
          <cell r="F795" t="str">
            <v>PAQUETE</v>
          </cell>
          <cell r="G795">
            <v>500</v>
          </cell>
          <cell r="H795" t="str">
            <v>28/01/2020</v>
          </cell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 t="str">
            <v>EMPAQUES PLANTA</v>
          </cell>
          <cell r="F796" t="str">
            <v xml:space="preserve">1 UND </v>
          </cell>
          <cell r="G796">
            <v>500</v>
          </cell>
          <cell r="H796" t="str">
            <v>28/01/2020</v>
          </cell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 t="str">
            <v>EMPAQUES PLANTA</v>
          </cell>
          <cell r="F797" t="str">
            <v>1 UND</v>
          </cell>
          <cell r="G797">
            <v>500</v>
          </cell>
          <cell r="H797" t="str">
            <v>28/01/2020</v>
          </cell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 t="str">
            <v>EMPAQUES PLANTA</v>
          </cell>
          <cell r="F798" t="str">
            <v>1 UND</v>
          </cell>
          <cell r="G798">
            <v>500</v>
          </cell>
          <cell r="H798" t="str">
            <v>12/06/2020</v>
          </cell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 t="str">
            <v>EMPAQUES PLANTA</v>
          </cell>
          <cell r="F799" t="str">
            <v>1 UND</v>
          </cell>
          <cell r="G799">
            <v>500</v>
          </cell>
          <cell r="H799" t="str">
            <v>12/06/2020</v>
          </cell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 t="str">
            <v>EMPAQUES PLANTA</v>
          </cell>
          <cell r="F800" t="str">
            <v>1 PAQUETE</v>
          </cell>
          <cell r="G800">
            <v>500</v>
          </cell>
          <cell r="H800" t="str">
            <v>22/02/2020</v>
          </cell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 t="str">
            <v>EMPAQUES PLANTA</v>
          </cell>
          <cell r="F801" t="str">
            <v>1 UND</v>
          </cell>
          <cell r="G801">
            <v>500</v>
          </cell>
          <cell r="H801" t="str">
            <v>26/12/2019</v>
          </cell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 t="str">
            <v>MATERIAS PRIMAS PLANTA</v>
          </cell>
          <cell r="F802" t="str">
            <v>1 SACO</v>
          </cell>
          <cell r="G802">
            <v>500</v>
          </cell>
          <cell r="H802" t="str">
            <v>13/06/2020</v>
          </cell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 t="str">
            <v>MATERIAS PRIMAS PLANTA</v>
          </cell>
          <cell r="F803" t="str">
            <v>1 CAJA</v>
          </cell>
          <cell r="G803">
            <v>500</v>
          </cell>
          <cell r="H803" t="str">
            <v>27/01/2020</v>
          </cell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 t="str">
            <v>ASEO</v>
          </cell>
          <cell r="F804" t="str">
            <v>1 CAJA</v>
          </cell>
          <cell r="G804">
            <v>500</v>
          </cell>
          <cell r="H804" t="str">
            <v>07/02/2020</v>
          </cell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 t="str">
            <v>MATERIAS PRIMAS PLANTA</v>
          </cell>
          <cell r="F805" t="str">
            <v>LITRO</v>
          </cell>
          <cell r="G805">
            <v>500</v>
          </cell>
          <cell r="H805" t="str">
            <v>27/01/2020</v>
          </cell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 t="str">
            <v>MANO OBRA</v>
          </cell>
          <cell r="F806" t="str">
            <v>Minuto</v>
          </cell>
          <cell r="G806">
            <v>500</v>
          </cell>
          <cell r="H806" t="str">
            <v>21/03/2020</v>
          </cell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 t="str">
            <v>EMPAQUES PLANTA</v>
          </cell>
          <cell r="F807" t="str">
            <v>UND</v>
          </cell>
          <cell r="G807">
            <v>500</v>
          </cell>
          <cell r="H807" t="str">
            <v>17/03/2020</v>
          </cell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 t="str">
            <v>MATERIAS PRIMAS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 t="str">
            <v>MATERIAS PRIMAS PLANTA</v>
          </cell>
          <cell r="F809" t="str">
            <v>UND</v>
          </cell>
          <cell r="G809">
            <v>500</v>
          </cell>
          <cell r="H809" t="str">
            <v>28/01/2020</v>
          </cell>
          <cell r="I809">
            <v>83</v>
          </cell>
          <cell r="J809">
            <v>0</v>
          </cell>
          <cell r="K809">
            <v>4500</v>
          </cell>
          <cell r="L809">
            <v>0</v>
          </cell>
          <cell r="M809" t="str">
            <v>Und</v>
          </cell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 t="str">
            <v>EMPAQUES PLANTA</v>
          </cell>
          <cell r="F810" t="str">
            <v>CAJA</v>
          </cell>
          <cell r="G810">
            <v>500</v>
          </cell>
          <cell r="H810" t="str">
            <v>28/01/2020</v>
          </cell>
          <cell r="I810">
            <v>20298</v>
          </cell>
          <cell r="J810">
            <v>0</v>
          </cell>
          <cell r="K810">
            <v>4500</v>
          </cell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 t="str">
            <v>MATERIAS PRIMAS PLANTA</v>
          </cell>
          <cell r="F811" t="str">
            <v>PAQUETE</v>
          </cell>
          <cell r="G811">
            <v>500</v>
          </cell>
          <cell r="H811" t="str">
            <v>12/06/2020</v>
          </cell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 t="str">
            <v>MATERIAS PRIMAS PLANTA</v>
          </cell>
          <cell r="F812" t="str">
            <v>UND</v>
          </cell>
          <cell r="G812">
            <v>500</v>
          </cell>
          <cell r="H812" t="str">
            <v>12/06/2020</v>
          </cell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 t="str">
            <v>MATERIAS PRIMAS PLANTA</v>
          </cell>
          <cell r="F813" t="str">
            <v>PAQUETE</v>
          </cell>
          <cell r="G813">
            <v>500</v>
          </cell>
          <cell r="H813" t="str">
            <v>22/02/2020</v>
          </cell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 t="str">
            <v>MATERIAS PRIMAS PLANTA</v>
          </cell>
          <cell r="F818" t="str">
            <v>LITRO</v>
          </cell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 t="str">
            <v>MANO OBRA</v>
          </cell>
          <cell r="F819" t="str">
            <v>Minuto</v>
          </cell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 t="str">
            <v>EMPAQUES PLANTA</v>
          </cell>
          <cell r="F820" t="str">
            <v>UND</v>
          </cell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 t="str">
            <v>MATERIAS PRIMAS PLANTA</v>
          </cell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 t="str">
            <v>MATERIAS PRIMAS PLANTA</v>
          </cell>
          <cell r="F822" t="str">
            <v>UND</v>
          </cell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655.14477173718615</v>
          </cell>
          <cell r="H362">
            <v>655.14477173718615</v>
          </cell>
          <cell r="I362">
            <v>10.917717961890375</v>
          </cell>
          <cell r="J362">
            <v>10.917717961890375</v>
          </cell>
          <cell r="K362">
            <v>127.93610666011948</v>
          </cell>
          <cell r="L362">
            <v>127.93610666011948</v>
          </cell>
          <cell r="M362">
            <v>793.99859635919597</v>
          </cell>
        </row>
        <row r="363">
          <cell r="A363" t="str">
            <v>907000251</v>
          </cell>
          <cell r="B363" t="str">
            <v>Rosquete Vainilla Pastelero Real 550g</v>
          </cell>
          <cell r="C363">
            <v>0</v>
          </cell>
          <cell r="D363">
            <v>0</v>
          </cell>
          <cell r="E363" t="str">
            <v>Und</v>
          </cell>
          <cell r="F363" t="str">
            <v>Und</v>
          </cell>
          <cell r="G363">
            <v>570.67868233671038</v>
          </cell>
          <cell r="H363">
            <v>570.67868233671038</v>
          </cell>
          <cell r="I363">
            <v>27.589509639969808</v>
          </cell>
          <cell r="J363">
            <v>27.589509639969808</v>
          </cell>
          <cell r="K363">
            <v>125.82975090721573</v>
          </cell>
          <cell r="L363">
            <v>125.82975090721573</v>
          </cell>
          <cell r="M363">
            <v>724.09794288389594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A8F0-F787-43C3-8302-C3634F80E6BA}">
  <dimension ref="A1:Q91"/>
  <sheetViews>
    <sheetView topLeftCell="A56" workbookViewId="0">
      <selection activeCell="A15" sqref="A15"/>
    </sheetView>
  </sheetViews>
  <sheetFormatPr baseColWidth="10" defaultColWidth="8.42578125" defaultRowHeight="12.75" x14ac:dyDescent="0.25"/>
  <cols>
    <col min="1" max="1" width="10" style="74" bestFit="1" customWidth="1"/>
    <col min="2" max="2" width="44.28515625" style="74" bestFit="1" customWidth="1"/>
    <col min="3" max="3" width="10.42578125" style="74" bestFit="1" customWidth="1"/>
    <col min="4" max="4" width="10.42578125" style="74" customWidth="1"/>
    <col min="5" max="5" width="11" style="74" customWidth="1"/>
    <col min="6" max="6" width="9.5703125" style="74" bestFit="1" customWidth="1"/>
    <col min="7" max="7" width="10.85546875" style="156" customWidth="1"/>
    <col min="8" max="8" width="10.42578125" style="147" bestFit="1" customWidth="1"/>
    <col min="9" max="9" width="4.5703125" style="147" customWidth="1"/>
    <col min="10" max="10" width="1.85546875" style="73" customWidth="1"/>
    <col min="11" max="11" width="7" style="74" bestFit="1" customWidth="1"/>
    <col min="12" max="12" width="6.28515625" style="74" customWidth="1"/>
    <col min="13" max="13" width="20.42578125" style="74" customWidth="1"/>
    <col min="14" max="14" width="6.42578125" style="74" bestFit="1" customWidth="1"/>
    <col min="15" max="16" width="8.42578125" style="74"/>
    <col min="17" max="17" width="3.28515625" style="74" customWidth="1"/>
    <col min="18" max="16384" width="8.42578125" style="74"/>
  </cols>
  <sheetData>
    <row r="1" spans="1:10" ht="27.75" customHeight="1" x14ac:dyDescent="0.25">
      <c r="A1" s="69"/>
      <c r="B1" s="69"/>
      <c r="C1" s="69"/>
      <c r="D1" s="69"/>
      <c r="E1" s="70" t="s">
        <v>72</v>
      </c>
      <c r="F1" s="71" t="s">
        <v>73</v>
      </c>
      <c r="G1" s="71" t="s">
        <v>74</v>
      </c>
      <c r="H1" s="71" t="s">
        <v>75</v>
      </c>
      <c r="I1" s="72"/>
    </row>
    <row r="2" spans="1:10" ht="30.75" customHeight="1" x14ac:dyDescent="0.25">
      <c r="A2" s="69"/>
      <c r="B2" s="69"/>
      <c r="C2" s="69"/>
      <c r="D2" s="69"/>
      <c r="E2" s="75">
        <f>IFERROR(O62,"")</f>
        <v>16597.966636260444</v>
      </c>
      <c r="F2" s="75">
        <f>IFERROR(H53,"")</f>
        <v>11689.9</v>
      </c>
      <c r="G2" s="75">
        <f>IFERROR(H54,"")</f>
        <v>5.8995023771428574</v>
      </c>
      <c r="H2" s="75">
        <f>IFERROR(H56,"")</f>
        <v>2359.1679331813389</v>
      </c>
      <c r="I2" s="76"/>
    </row>
    <row r="3" spans="1:10" ht="15" customHeight="1" x14ac:dyDescent="0.25">
      <c r="A3" s="69"/>
      <c r="B3" s="69"/>
      <c r="C3" s="69"/>
      <c r="D3" s="69"/>
      <c r="E3" s="69"/>
      <c r="F3" s="77"/>
      <c r="G3" s="77"/>
      <c r="H3" s="77"/>
      <c r="I3" s="77"/>
    </row>
    <row r="4" spans="1:10" ht="24.75" customHeight="1" thickBot="1" x14ac:dyDescent="0.3">
      <c r="A4" s="241"/>
      <c r="B4" s="241"/>
      <c r="C4" s="241"/>
      <c r="D4" s="241"/>
      <c r="E4" s="241"/>
      <c r="F4" s="241"/>
      <c r="G4" s="241"/>
      <c r="H4" s="241"/>
      <c r="I4" s="78"/>
    </row>
    <row r="5" spans="1:10" ht="19.5" customHeight="1" thickBot="1" x14ac:dyDescent="0.3">
      <c r="A5" s="242" t="s">
        <v>76</v>
      </c>
      <c r="B5" s="243"/>
      <c r="C5" s="243"/>
      <c r="D5" s="243"/>
      <c r="E5" s="243"/>
      <c r="F5" s="243"/>
      <c r="G5" s="243"/>
      <c r="H5" s="244"/>
      <c r="I5" s="79"/>
    </row>
    <row r="6" spans="1:10" ht="19.5" thickBot="1" x14ac:dyDescent="0.3">
      <c r="A6" s="79"/>
      <c r="B6" s="79"/>
      <c r="C6" s="79"/>
      <c r="D6" s="79"/>
      <c r="E6" s="79"/>
      <c r="F6" s="245" t="s">
        <v>77</v>
      </c>
      <c r="G6" s="245"/>
      <c r="H6" s="80">
        <f ca="1">TODAY()</f>
        <v>45918</v>
      </c>
      <c r="I6" s="80"/>
    </row>
    <row r="7" spans="1:10" ht="26.25" thickBot="1" x14ac:dyDescent="0.3">
      <c r="A7" s="81" t="s">
        <v>78</v>
      </c>
      <c r="B7" s="82" t="s">
        <v>79</v>
      </c>
      <c r="C7" s="82" t="s">
        <v>78</v>
      </c>
      <c r="D7" s="83" t="s">
        <v>80</v>
      </c>
      <c r="E7" s="83" t="s">
        <v>81</v>
      </c>
      <c r="F7" s="83" t="s">
        <v>82</v>
      </c>
      <c r="G7" s="83" t="s">
        <v>83</v>
      </c>
      <c r="H7" s="84" t="s">
        <v>84</v>
      </c>
      <c r="I7" s="85"/>
    </row>
    <row r="8" spans="1:10" ht="13.5" x14ac:dyDescent="0.25">
      <c r="A8" s="86">
        <v>10</v>
      </c>
      <c r="B8" s="66" t="s">
        <v>66</v>
      </c>
      <c r="C8" s="87">
        <f>+A8</f>
        <v>10</v>
      </c>
      <c r="D8" s="88" t="s">
        <v>124</v>
      </c>
      <c r="E8" s="88">
        <v>6.49</v>
      </c>
      <c r="F8" s="88">
        <f>IFERROR(C8*E8,"")</f>
        <v>64.900000000000006</v>
      </c>
      <c r="G8" s="89">
        <f t="shared" ref="G8:G14" si="0">IFERROR(F8/$F$66,"")</f>
        <v>5.3369088144980883E-3</v>
      </c>
      <c r="H8" s="90" t="s">
        <v>71</v>
      </c>
      <c r="I8" s="90"/>
      <c r="J8" s="91"/>
    </row>
    <row r="9" spans="1:10" ht="13.5" hidden="1" x14ac:dyDescent="0.25">
      <c r="A9" s="86"/>
      <c r="B9" s="74" t="str">
        <f>IFERROR(VLOOKUP(H9,'[1]Consolidado MP Planta'!$A$2:$M$823,3,0),"")</f>
        <v/>
      </c>
      <c r="C9" s="87">
        <f t="shared" ref="C9:C14" si="1">+A9</f>
        <v>0</v>
      </c>
      <c r="D9" s="88" t="str">
        <f>IFERROR(VLOOKUP(H9,'[1]Consolidado MP Planta'!$A$2:$M$823,13,0),"")</f>
        <v/>
      </c>
      <c r="E9" s="88" t="str">
        <f>IFERROR(VLOOKUP(H9,'[1]Consolidado MP Planta'!$A$2:$M$823,12,0),"")</f>
        <v/>
      </c>
      <c r="F9" s="88" t="str">
        <f t="shared" ref="F9:F14" si="2">IFERROR(C9*E9,"")</f>
        <v/>
      </c>
      <c r="G9" s="89" t="str">
        <f t="shared" si="0"/>
        <v/>
      </c>
      <c r="H9" s="90"/>
      <c r="I9" s="90"/>
      <c r="J9" s="91"/>
    </row>
    <row r="10" spans="1:10" ht="13.5" hidden="1" x14ac:dyDescent="0.25">
      <c r="A10" s="86"/>
      <c r="B10" s="74" t="str">
        <f>IFERROR(VLOOKUP(H10,'[1]Consolidado MP Planta'!$A$2:$M$823,3,0),"")</f>
        <v/>
      </c>
      <c r="C10" s="87">
        <f t="shared" si="1"/>
        <v>0</v>
      </c>
      <c r="D10" s="88" t="str">
        <f>IFERROR(VLOOKUP(H10,'[1]Consolidado MP Planta'!$A$2:$M$823,13,0),"")</f>
        <v/>
      </c>
      <c r="E10" s="88" t="str">
        <f>IFERROR(VLOOKUP(H10,'[1]Consolidado MP Planta'!$A$2:$M$823,12,0),"")</f>
        <v/>
      </c>
      <c r="F10" s="88" t="str">
        <f t="shared" si="2"/>
        <v/>
      </c>
      <c r="G10" s="89" t="str">
        <f t="shared" si="0"/>
        <v/>
      </c>
      <c r="H10" s="90"/>
      <c r="I10" s="90"/>
      <c r="J10" s="91"/>
    </row>
    <row r="11" spans="1:10" ht="13.5" hidden="1" x14ac:dyDescent="0.25">
      <c r="A11" s="86"/>
      <c r="B11" s="74" t="str">
        <f>IFERROR(VLOOKUP(H11,'[1]Consolidado MP Planta'!$A$2:$M$823,3,0),"")</f>
        <v/>
      </c>
      <c r="C11" s="87">
        <f t="shared" si="1"/>
        <v>0</v>
      </c>
      <c r="D11" s="88" t="str">
        <f>IFERROR(VLOOKUP(H11,'[1]Consolidado MP Planta'!$A$2:$M$823,13,0),"")</f>
        <v/>
      </c>
      <c r="E11" s="88" t="str">
        <f>IFERROR(VLOOKUP(H11,'[1]Consolidado MP Planta'!$A$2:$M$823,12,0),"")</f>
        <v/>
      </c>
      <c r="F11" s="88" t="str">
        <f t="shared" si="2"/>
        <v/>
      </c>
      <c r="G11" s="89" t="str">
        <f t="shared" si="0"/>
        <v/>
      </c>
      <c r="H11" s="90"/>
      <c r="I11" s="90"/>
      <c r="J11" s="91"/>
    </row>
    <row r="12" spans="1:10" ht="13.5" hidden="1" x14ac:dyDescent="0.25">
      <c r="A12" s="86"/>
      <c r="B12" s="74" t="str">
        <f>IFERROR(VLOOKUP(H12,'[1]Consolidado MP Planta'!$A$2:$M$823,3,0),"")</f>
        <v/>
      </c>
      <c r="C12" s="87">
        <f t="shared" si="1"/>
        <v>0</v>
      </c>
      <c r="D12" s="88" t="str">
        <f>IFERROR(VLOOKUP(H12,'[1]Consolidado MP Planta'!$A$2:$M$823,13,0),"")</f>
        <v/>
      </c>
      <c r="E12" s="88" t="str">
        <f>IFERROR(VLOOKUP(H12,'[1]Consolidado MP Planta'!$A$2:$M$823,12,0),"")</f>
        <v/>
      </c>
      <c r="F12" s="88" t="str">
        <f t="shared" si="2"/>
        <v/>
      </c>
      <c r="G12" s="89" t="str">
        <f t="shared" si="0"/>
        <v/>
      </c>
      <c r="H12" s="90"/>
      <c r="I12" s="90"/>
      <c r="J12" s="91"/>
    </row>
    <row r="13" spans="1:10" ht="13.5" hidden="1" x14ac:dyDescent="0.25">
      <c r="A13" s="86"/>
      <c r="B13" s="74" t="str">
        <f>IFERROR(VLOOKUP(H13,'[1]Consolidado MP Planta'!$A$2:$M$823,3,0),"")</f>
        <v/>
      </c>
      <c r="C13" s="87">
        <f t="shared" si="1"/>
        <v>0</v>
      </c>
      <c r="D13" s="88" t="str">
        <f>IFERROR(VLOOKUP(H13,'[1]Consolidado MP Planta'!$A$2:$M$823,13,0),"")</f>
        <v/>
      </c>
      <c r="E13" s="88" t="str">
        <f>IFERROR(VLOOKUP(H13,'[1]Consolidado MP Planta'!$A$2:$M$823,12,0),"")</f>
        <v/>
      </c>
      <c r="F13" s="88" t="str">
        <f t="shared" si="2"/>
        <v/>
      </c>
      <c r="G13" s="89" t="str">
        <f t="shared" si="0"/>
        <v/>
      </c>
      <c r="H13" s="90"/>
      <c r="I13" s="90"/>
      <c r="J13" s="91"/>
    </row>
    <row r="14" spans="1:10" ht="13.5" hidden="1" x14ac:dyDescent="0.25">
      <c r="A14" s="86"/>
      <c r="B14" s="74" t="str">
        <f>IFERROR(VLOOKUP(H14,'[1]Consolidado MP Planta'!$A$2:$M$823,3,0),"")</f>
        <v/>
      </c>
      <c r="C14" s="87">
        <f t="shared" si="1"/>
        <v>0</v>
      </c>
      <c r="D14" s="88" t="str">
        <f>IFERROR(VLOOKUP(H14,'[1]Consolidado MP Planta'!$A$2:$M$823,13,0),"")</f>
        <v/>
      </c>
      <c r="E14" s="88" t="str">
        <f>IFERROR(VLOOKUP(H14,'[1]Consolidado MP Planta'!$A$2:$M$823,12,0),"")</f>
        <v/>
      </c>
      <c r="F14" s="88" t="str">
        <f t="shared" si="2"/>
        <v/>
      </c>
      <c r="G14" s="89" t="str">
        <f t="shared" si="0"/>
        <v/>
      </c>
      <c r="H14" s="90"/>
      <c r="I14" s="90"/>
      <c r="J14" s="91"/>
    </row>
    <row r="15" spans="1:10" ht="14.25" thickBot="1" x14ac:dyDescent="0.3">
      <c r="A15" s="86"/>
      <c r="B15" s="74" t="str">
        <f>IFERROR(VLOOKUP(H15,[2]Hoja2!$A$2:$G$589,2,0),"")</f>
        <v/>
      </c>
      <c r="C15" s="87"/>
      <c r="D15" s="88"/>
      <c r="E15" s="88"/>
      <c r="F15" s="88"/>
      <c r="G15" s="89"/>
      <c r="H15" s="90"/>
      <c r="I15" s="90"/>
      <c r="J15" s="91"/>
    </row>
    <row r="16" spans="1:10" ht="26.25" thickBot="1" x14ac:dyDescent="0.3">
      <c r="A16" s="81" t="s">
        <v>78</v>
      </c>
      <c r="B16" s="82" t="s">
        <v>85</v>
      </c>
      <c r="C16" s="82" t="s">
        <v>78</v>
      </c>
      <c r="D16" s="83" t="s">
        <v>80</v>
      </c>
      <c r="E16" s="83" t="s">
        <v>81</v>
      </c>
      <c r="F16" s="83" t="s">
        <v>82</v>
      </c>
      <c r="G16" s="83" t="s">
        <v>83</v>
      </c>
      <c r="H16" s="84" t="s">
        <v>84</v>
      </c>
      <c r="I16" s="85"/>
      <c r="J16" s="91"/>
    </row>
    <row r="17" spans="1:12" ht="13.5" x14ac:dyDescent="0.25">
      <c r="A17" s="86">
        <v>7500</v>
      </c>
      <c r="B17" s="74" t="str">
        <f>IFERROR(VLOOKUP(H17,[1]SEMIELABORADOS!$A$2:$M$6000,2,0),"")</f>
        <v>MEZCLA TRES LECHES PASTEURIZADA KILO</v>
      </c>
      <c r="C17" s="87">
        <f>+A17</f>
        <v>7500</v>
      </c>
      <c r="D17" s="87" t="str">
        <f>IFERROR(VLOOKUP(H17,[1]SEMIELABORADOS!$A$2:$M$6000,6,0),"")</f>
        <v>Gramo</v>
      </c>
      <c r="E17" s="88">
        <v>1.55</v>
      </c>
      <c r="F17" s="88">
        <f>IFERROR(E17*C17,"")</f>
        <v>11625</v>
      </c>
      <c r="G17" s="89">
        <f t="shared" ref="G17:G24" si="3">IFERROR(F17/$F$66,"")</f>
        <v>0.9559563169266605</v>
      </c>
      <c r="H17" s="90" t="s">
        <v>123</v>
      </c>
      <c r="I17" s="90"/>
      <c r="J17" s="91"/>
    </row>
    <row r="18" spans="1:12" ht="13.5" hidden="1" x14ac:dyDescent="0.25">
      <c r="A18" s="86"/>
      <c r="B18" s="74" t="str">
        <f>IFERROR(VLOOKUP(H18,[1]SEMIELABORADOS!$A$2:$M$6000,2,0),"")</f>
        <v/>
      </c>
      <c r="C18" s="87">
        <f t="shared" ref="C18:C24" si="4">+A18</f>
        <v>0</v>
      </c>
      <c r="D18" s="87" t="str">
        <f>IFERROR(VLOOKUP(H18,[1]SEMIELABORADOS!$A$2:$M$6000,6,0),"")</f>
        <v/>
      </c>
      <c r="E18" s="88" t="str">
        <f>IFERROR(VLOOKUP(H18,[1]SEMIELABORADOS!$A$2:$H$65536,8,0),"")</f>
        <v/>
      </c>
      <c r="F18" s="88" t="str">
        <f t="shared" ref="F18:F24" si="5">IFERROR(E18*C18,"")</f>
        <v/>
      </c>
      <c r="G18" s="89" t="str">
        <f t="shared" si="3"/>
        <v/>
      </c>
      <c r="H18" s="90"/>
      <c r="I18" s="90"/>
      <c r="J18" s="91"/>
    </row>
    <row r="19" spans="1:12" ht="13.5" hidden="1" x14ac:dyDescent="0.25">
      <c r="A19" s="86"/>
      <c r="B19" s="74" t="str">
        <f>IFERROR(VLOOKUP(H19,[1]SEMIELABORADOS!$A$2:$M$6000,2,0),"")</f>
        <v/>
      </c>
      <c r="C19" s="87">
        <f>+A19</f>
        <v>0</v>
      </c>
      <c r="D19" s="87" t="str">
        <f>IFERROR(VLOOKUP(H19,[1]SEMIELABORADOS!$A$2:$M$6000,6,0),"")</f>
        <v/>
      </c>
      <c r="E19" s="88" t="str">
        <f>IFERROR(VLOOKUP(H19,[1]SEMIELABORADOS!$A$2:$H$65536,8,0),"")</f>
        <v/>
      </c>
      <c r="F19" s="88" t="str">
        <f>IFERROR(E19*C19,"")</f>
        <v/>
      </c>
      <c r="G19" s="89" t="str">
        <f t="shared" si="3"/>
        <v/>
      </c>
      <c r="H19" s="90"/>
      <c r="I19" s="90"/>
      <c r="J19" s="91"/>
    </row>
    <row r="20" spans="1:12" ht="13.5" hidden="1" x14ac:dyDescent="0.25">
      <c r="A20" s="86"/>
      <c r="B20" s="74" t="str">
        <f>IFERROR(VLOOKUP(H20,[1]SEMIELABORADOS!$A$2:$M$6000,2,0),"")</f>
        <v/>
      </c>
      <c r="C20" s="87">
        <f>+A20</f>
        <v>0</v>
      </c>
      <c r="D20" s="87" t="str">
        <f>IFERROR(VLOOKUP(H20,[1]SEMIELABORADOS!$A$2:$M$6000,6,0),"")</f>
        <v/>
      </c>
      <c r="E20" s="88" t="str">
        <f>IFERROR(VLOOKUP(H20,[1]SEMIELABORADOS!$A$2:$H$65536,8,0),"")</f>
        <v/>
      </c>
      <c r="F20" s="88" t="str">
        <f>IFERROR(E20*C20,"")</f>
        <v/>
      </c>
      <c r="G20" s="89" t="str">
        <f t="shared" si="3"/>
        <v/>
      </c>
      <c r="H20" s="90"/>
      <c r="I20" s="90"/>
      <c r="J20" s="91"/>
    </row>
    <row r="21" spans="1:12" ht="13.5" hidden="1" x14ac:dyDescent="0.25">
      <c r="A21" s="86"/>
      <c r="B21" s="74" t="str">
        <f>IFERROR(VLOOKUP(H21,[1]SEMIELABORADOS!$A$2:$M$6000,2,0),"")</f>
        <v/>
      </c>
      <c r="C21" s="87">
        <f>+A21</f>
        <v>0</v>
      </c>
      <c r="D21" s="87" t="str">
        <f>IFERROR(VLOOKUP(H21,[1]SEMIELABORADOS!$A$2:$M$6000,6,0),"")</f>
        <v/>
      </c>
      <c r="E21" s="88" t="str">
        <f>IFERROR(VLOOKUP(H21,[1]SEMIELABORADOS!$A$2:$H$65536,8,0),"")</f>
        <v/>
      </c>
      <c r="F21" s="88" t="str">
        <f>IFERROR(E21*C21,"")</f>
        <v/>
      </c>
      <c r="G21" s="89" t="str">
        <f t="shared" si="3"/>
        <v/>
      </c>
      <c r="H21" s="90"/>
      <c r="I21" s="90"/>
      <c r="J21" s="91"/>
    </row>
    <row r="22" spans="1:12" ht="13.5" hidden="1" x14ac:dyDescent="0.25">
      <c r="A22" s="86"/>
      <c r="B22" s="74" t="str">
        <f>IFERROR(VLOOKUP(H22,[1]SEMIELABORADOS!$A$2:$M$6000,2,0),"")</f>
        <v/>
      </c>
      <c r="C22" s="87">
        <f t="shared" si="4"/>
        <v>0</v>
      </c>
      <c r="D22" s="87" t="str">
        <f>IFERROR(VLOOKUP(H22,[1]SEMIELABORADOS!$A$2:$M$6000,6,0),"")</f>
        <v/>
      </c>
      <c r="E22" s="88" t="str">
        <f>IFERROR(VLOOKUP(H22,[1]SEMIELABORADOS!$A$2:$H$65536,8,0),"")</f>
        <v/>
      </c>
      <c r="F22" s="88" t="str">
        <f t="shared" si="5"/>
        <v/>
      </c>
      <c r="G22" s="89" t="str">
        <f t="shared" si="3"/>
        <v/>
      </c>
      <c r="H22" s="90"/>
      <c r="I22" s="90"/>
      <c r="J22" s="91"/>
    </row>
    <row r="23" spans="1:12" ht="13.5" hidden="1" x14ac:dyDescent="0.25">
      <c r="A23" s="86"/>
      <c r="B23" s="74" t="str">
        <f>IFERROR(VLOOKUP(H23,[1]SEMIELABORADOS!$A$2:$M$6000,2,0),"")</f>
        <v/>
      </c>
      <c r="C23" s="87">
        <f t="shared" si="4"/>
        <v>0</v>
      </c>
      <c r="D23" s="87" t="str">
        <f>IFERROR(VLOOKUP(H23,[1]SEMIELABORADOS!$A$2:$M$6000,6,0),"")</f>
        <v/>
      </c>
      <c r="E23" s="88" t="str">
        <f>IFERROR(VLOOKUP(H23,[1]SEMIELABORADOS!$A$2:$H$65536,8,0),"")</f>
        <v/>
      </c>
      <c r="F23" s="88" t="str">
        <f t="shared" si="5"/>
        <v/>
      </c>
      <c r="G23" s="89" t="str">
        <f t="shared" si="3"/>
        <v/>
      </c>
      <c r="H23" s="90"/>
      <c r="I23" s="90"/>
      <c r="J23" s="91"/>
    </row>
    <row r="24" spans="1:12" ht="13.5" hidden="1" x14ac:dyDescent="0.25">
      <c r="A24" s="86"/>
      <c r="B24" s="74" t="str">
        <f>IFERROR(VLOOKUP(H24,[1]SEMIELABORADOS!$A$2:$M$6000,2,0),"")</f>
        <v/>
      </c>
      <c r="C24" s="87">
        <f t="shared" si="4"/>
        <v>0</v>
      </c>
      <c r="D24" s="87" t="str">
        <f>IFERROR(VLOOKUP(H24,[1]SEMIELABORADOS!$A$2:$M$6000,6,0),"")</f>
        <v/>
      </c>
      <c r="E24" s="88" t="str">
        <f>IFERROR(VLOOKUP(H24,[1]SEMIELABORADOS!$A$2:$H$65536,8,0),"")</f>
        <v/>
      </c>
      <c r="F24" s="88" t="str">
        <f t="shared" si="5"/>
        <v/>
      </c>
      <c r="G24" s="89" t="str">
        <f t="shared" si="3"/>
        <v/>
      </c>
      <c r="H24" s="90"/>
      <c r="I24" s="90"/>
      <c r="J24" s="91"/>
    </row>
    <row r="25" spans="1:12" ht="14.25" thickBot="1" x14ac:dyDescent="0.3">
      <c r="A25" s="86"/>
      <c r="C25" s="87"/>
      <c r="D25" s="87"/>
      <c r="E25" s="88"/>
      <c r="F25" s="88"/>
      <c r="G25" s="89"/>
      <c r="H25" s="90"/>
      <c r="I25" s="90"/>
      <c r="J25" s="91"/>
    </row>
    <row r="26" spans="1:12" ht="26.25" hidden="1" thickBot="1" x14ac:dyDescent="0.3">
      <c r="A26" s="81" t="s">
        <v>78</v>
      </c>
      <c r="B26" s="82" t="s">
        <v>41</v>
      </c>
      <c r="C26" s="82" t="s">
        <v>78</v>
      </c>
      <c r="D26" s="83" t="s">
        <v>80</v>
      </c>
      <c r="E26" s="83" t="s">
        <v>81</v>
      </c>
      <c r="F26" s="83" t="s">
        <v>82</v>
      </c>
      <c r="G26" s="83" t="s">
        <v>83</v>
      </c>
      <c r="H26" s="84" t="s">
        <v>84</v>
      </c>
      <c r="I26" s="85"/>
    </row>
    <row r="27" spans="1:12" ht="13.5" hidden="1" x14ac:dyDescent="0.25">
      <c r="A27" s="86">
        <v>0</v>
      </c>
      <c r="B27" s="92" t="str">
        <f>IFERROR(VLOOKUP(H27,'[1]Consolidado MP Planta'!$A$2:$M$823,3,0),"")</f>
        <v/>
      </c>
      <c r="C27" s="87">
        <f t="shared" ref="C27:C32" si="6">+A27</f>
        <v>0</v>
      </c>
      <c r="D27" s="88" t="str">
        <f>IFERROR(VLOOKUP(H27,'[1]Consolidado MP Planta'!$A$2:$M$823,13,0),"")</f>
        <v/>
      </c>
      <c r="E27" s="88" t="str">
        <f>IFERROR(VLOOKUP(H27,'[1]Consolidado MP Planta'!$A$2:$M$823,12,0),"")</f>
        <v/>
      </c>
      <c r="F27" s="88" t="str">
        <f t="shared" ref="F27:F32" si="7">IFERROR(C27*E27,"")</f>
        <v/>
      </c>
      <c r="G27" s="89" t="str">
        <f t="shared" ref="G27:G32" si="8">IFERROR(F27/$F$66,"")</f>
        <v/>
      </c>
      <c r="H27" s="93"/>
      <c r="I27" s="93"/>
      <c r="J27" s="91"/>
      <c r="K27" s="235"/>
      <c r="L27" s="235"/>
    </row>
    <row r="28" spans="1:12" ht="13.5" hidden="1" x14ac:dyDescent="0.25">
      <c r="A28" s="86"/>
      <c r="B28" s="92" t="str">
        <f>IFERROR(VLOOKUP(H28,'[1]Consolidado MP Planta'!$A$2:$M$823,3,0),"")</f>
        <v/>
      </c>
      <c r="C28" s="87">
        <f t="shared" si="6"/>
        <v>0</v>
      </c>
      <c r="D28" s="88" t="str">
        <f>IFERROR(VLOOKUP(H28,'[1]Consolidado MP Planta'!$A$2:$M$823,13,0),"")</f>
        <v/>
      </c>
      <c r="E28" s="88" t="str">
        <f>IFERROR(VLOOKUP(H28,'[1]Consolidado MP Planta'!$A$2:$M$823,12,0),"")</f>
        <v/>
      </c>
      <c r="F28" s="88" t="str">
        <f t="shared" si="7"/>
        <v/>
      </c>
      <c r="G28" s="89" t="str">
        <f t="shared" si="8"/>
        <v/>
      </c>
      <c r="H28" s="93"/>
      <c r="I28" s="93"/>
      <c r="J28" s="91"/>
      <c r="K28" s="235"/>
      <c r="L28" s="235"/>
    </row>
    <row r="29" spans="1:12" ht="13.5" hidden="1" x14ac:dyDescent="0.25">
      <c r="A29" s="86"/>
      <c r="B29" s="92" t="str">
        <f>IFERROR(VLOOKUP(H29,'[1]Consolidado MP Planta'!$A$2:$M$823,3,0),"")</f>
        <v/>
      </c>
      <c r="C29" s="87">
        <f t="shared" si="6"/>
        <v>0</v>
      </c>
      <c r="D29" s="88" t="str">
        <f>IFERROR(VLOOKUP(H29,'[1]Consolidado MP Planta'!$A$2:$M$823,13,0),"")</f>
        <v/>
      </c>
      <c r="E29" s="88" t="str">
        <f>IFERROR(VLOOKUP(H29,'[1]Consolidado MP Planta'!$A$2:$M$823,12,0),"")</f>
        <v/>
      </c>
      <c r="F29" s="88" t="str">
        <f t="shared" si="7"/>
        <v/>
      </c>
      <c r="G29" s="89" t="str">
        <f t="shared" si="8"/>
        <v/>
      </c>
      <c r="H29" s="93"/>
      <c r="I29" s="93"/>
      <c r="J29" s="91"/>
      <c r="K29" s="235"/>
      <c r="L29" s="235"/>
    </row>
    <row r="30" spans="1:12" ht="13.5" hidden="1" x14ac:dyDescent="0.25">
      <c r="A30" s="86"/>
      <c r="B30" s="92" t="str">
        <f>IFERROR(VLOOKUP(H30,'[1]Consolidado MP Planta'!$A$2:$M$823,3,0),"")</f>
        <v/>
      </c>
      <c r="C30" s="87">
        <f t="shared" si="6"/>
        <v>0</v>
      </c>
      <c r="D30" s="88" t="str">
        <f>IFERROR(VLOOKUP(H30,'[1]Consolidado MP Planta'!$A$2:$M$823,13,0),"")</f>
        <v/>
      </c>
      <c r="E30" s="88" t="str">
        <f>IFERROR(VLOOKUP(H30,'[1]Consolidado MP Planta'!$A$2:$M$823,12,0),"")</f>
        <v/>
      </c>
      <c r="F30" s="88" t="str">
        <f t="shared" si="7"/>
        <v/>
      </c>
      <c r="G30" s="89" t="str">
        <f t="shared" si="8"/>
        <v/>
      </c>
      <c r="H30" s="93"/>
      <c r="I30" s="93"/>
      <c r="J30" s="91"/>
      <c r="K30" s="235"/>
      <c r="L30" s="235"/>
    </row>
    <row r="31" spans="1:12" ht="13.5" hidden="1" x14ac:dyDescent="0.25">
      <c r="A31" s="86"/>
      <c r="B31" s="92" t="str">
        <f>IFERROR(VLOOKUP(H31,'[1]Consolidado MP Planta'!$A$2:$M$823,3,0),"")</f>
        <v/>
      </c>
      <c r="C31" s="87">
        <f t="shared" si="6"/>
        <v>0</v>
      </c>
      <c r="D31" s="88" t="str">
        <f>IFERROR(VLOOKUP(H31,'[1]Consolidado MP Planta'!$A$2:$M$823,13,0),"")</f>
        <v/>
      </c>
      <c r="E31" s="88" t="str">
        <f>IFERROR(VLOOKUP(H31,'[1]Consolidado MP Planta'!$A$2:$M$823,12,0),"")</f>
        <v/>
      </c>
      <c r="F31" s="88" t="str">
        <f t="shared" si="7"/>
        <v/>
      </c>
      <c r="G31" s="89" t="str">
        <f t="shared" si="8"/>
        <v/>
      </c>
      <c r="H31" s="93"/>
      <c r="I31" s="93"/>
      <c r="J31" s="91"/>
      <c r="K31" s="94"/>
      <c r="L31" s="95"/>
    </row>
    <row r="32" spans="1:12" ht="13.5" hidden="1" x14ac:dyDescent="0.25">
      <c r="A32" s="86"/>
      <c r="B32" s="92" t="str">
        <f>IFERROR(VLOOKUP(H32,'[1]Consolidado MP Planta'!$A$2:$M$823,3,0),"")</f>
        <v/>
      </c>
      <c r="C32" s="87">
        <f t="shared" si="6"/>
        <v>0</v>
      </c>
      <c r="D32" s="88" t="str">
        <f>IFERROR(VLOOKUP(H32,'[1]Consolidado MP Planta'!$A$2:$M$823,13,0),"")</f>
        <v/>
      </c>
      <c r="E32" s="88" t="str">
        <f>IFERROR(VLOOKUP(H32,'[1]Consolidado MP Planta'!$A$2:$M$823,12,0),"")</f>
        <v/>
      </c>
      <c r="F32" s="88" t="str">
        <f t="shared" si="7"/>
        <v/>
      </c>
      <c r="G32" s="89" t="str">
        <f t="shared" si="8"/>
        <v/>
      </c>
      <c r="H32" s="93"/>
      <c r="I32" s="93"/>
      <c r="J32" s="91"/>
    </row>
    <row r="33" spans="1:13" ht="14.25" hidden="1" thickBot="1" x14ac:dyDescent="0.3">
      <c r="A33" s="86"/>
      <c r="B33" s="92"/>
      <c r="C33" s="87"/>
      <c r="D33" s="88"/>
      <c r="E33" s="88"/>
      <c r="F33" s="88"/>
      <c r="G33" s="89"/>
      <c r="H33" s="93"/>
      <c r="I33" s="93"/>
      <c r="J33" s="91"/>
    </row>
    <row r="34" spans="1:13" ht="26.25" thickBot="1" x14ac:dyDescent="0.25">
      <c r="A34" s="81" t="s">
        <v>78</v>
      </c>
      <c r="B34" s="82" t="s">
        <v>86</v>
      </c>
      <c r="C34" s="82" t="s">
        <v>78</v>
      </c>
      <c r="D34" s="83" t="s">
        <v>80</v>
      </c>
      <c r="E34" s="83" t="s">
        <v>81</v>
      </c>
      <c r="F34" s="83" t="s">
        <v>82</v>
      </c>
      <c r="G34" s="83" t="s">
        <v>83</v>
      </c>
      <c r="H34" s="84" t="s">
        <v>84</v>
      </c>
      <c r="I34" s="93"/>
      <c r="J34" s="91"/>
    </row>
    <row r="35" spans="1:13" ht="13.5" x14ac:dyDescent="0.25">
      <c r="A35" s="86">
        <f>+A17</f>
        <v>7500</v>
      </c>
      <c r="B35" s="92" t="str">
        <f>IFERROR(VLOOKUP(H35,[1]SEMIELABORADOS!$A$2:$M$6000,2,0),"")</f>
        <v>MEZCLA TRES LECHES PASTEURIZADA KILO</v>
      </c>
      <c r="C35" s="87">
        <f>+A35</f>
        <v>7500</v>
      </c>
      <c r="D35" s="88" t="str">
        <f>IFERROR(VLOOKUP(H35,[1]SEMIELABORADOS!$A$2:$M$6000,6,0),"")</f>
        <v>Gramo</v>
      </c>
      <c r="E35" s="88">
        <f>IFERROR(VLOOKUP(H35,[1]SEMIELABORADOS!$A$2:$M$65536,10,0),"")</f>
        <v>7.8660031695238105E-4</v>
      </c>
      <c r="F35" s="88">
        <f>IFERROR(E35*C35,"")</f>
        <v>5.8995023771428574</v>
      </c>
      <c r="G35" s="89">
        <f t="shared" ref="G35:G41" si="9">IFERROR(F35/$F$66,"")</f>
        <v>4.8513260766912383E-4</v>
      </c>
      <c r="H35" s="93" t="s">
        <v>123</v>
      </c>
      <c r="I35" s="93"/>
      <c r="J35" s="91"/>
    </row>
    <row r="36" spans="1:13" ht="13.5" hidden="1" x14ac:dyDescent="0.25">
      <c r="A36" s="86">
        <f t="shared" ref="A36:A41" si="10">+A18</f>
        <v>0</v>
      </c>
      <c r="B36" s="92" t="str">
        <f>IFERROR(VLOOKUP(H36,[1]SEMIELABORADOS!$A$2:$M$6000,2,0),"")</f>
        <v/>
      </c>
      <c r="C36" s="87">
        <f t="shared" ref="C36:C41" si="11">+A36</f>
        <v>0</v>
      </c>
      <c r="D36" s="88" t="str">
        <f>IFERROR(VLOOKUP(H36,[1]SEMIELABORADOS!$A$2:$M$6000,6,0),"")</f>
        <v/>
      </c>
      <c r="E36" s="88" t="str">
        <f>IFERROR(VLOOKUP(H36,[1]SEMIELABORADOS!$A$2:$M$65536,10,0),"")</f>
        <v/>
      </c>
      <c r="F36" s="88" t="str">
        <f t="shared" ref="F36:F41" si="12">IFERROR(E36*C36,"")</f>
        <v/>
      </c>
      <c r="G36" s="89" t="str">
        <f t="shared" si="9"/>
        <v/>
      </c>
      <c r="H36" s="93"/>
      <c r="I36" s="93"/>
      <c r="J36" s="91"/>
    </row>
    <row r="37" spans="1:13" ht="13.5" hidden="1" x14ac:dyDescent="0.25">
      <c r="A37" s="86">
        <f t="shared" si="10"/>
        <v>0</v>
      </c>
      <c r="B37" s="92" t="str">
        <f>IFERROR(VLOOKUP(H37,[1]SEMIELABORADOS!$A$2:$M$6000,2,0),"")</f>
        <v/>
      </c>
      <c r="C37" s="87">
        <f t="shared" si="11"/>
        <v>0</v>
      </c>
      <c r="D37" s="88" t="str">
        <f>IFERROR(VLOOKUP(H37,[1]SEMIELABORADOS!$A$2:$M$6000,6,0),"")</f>
        <v/>
      </c>
      <c r="E37" s="88" t="str">
        <f>IFERROR(VLOOKUP(H37,[1]SEMIELABORADOS!$A$2:$M$65536,10,0),"")</f>
        <v/>
      </c>
      <c r="F37" s="88" t="str">
        <f t="shared" si="12"/>
        <v/>
      </c>
      <c r="G37" s="89" t="str">
        <f t="shared" si="9"/>
        <v/>
      </c>
      <c r="H37" s="93"/>
      <c r="I37" s="93"/>
      <c r="J37" s="91"/>
    </row>
    <row r="38" spans="1:13" ht="13.5" hidden="1" x14ac:dyDescent="0.25">
      <c r="A38" s="86">
        <f t="shared" si="10"/>
        <v>0</v>
      </c>
      <c r="B38" s="92" t="str">
        <f>IFERROR(VLOOKUP(H38,[1]SEMIELABORADOS!$A$2:$M$6000,2,0),"")</f>
        <v/>
      </c>
      <c r="C38" s="87">
        <f>+A38</f>
        <v>0</v>
      </c>
      <c r="D38" s="88" t="str">
        <f>IFERROR(VLOOKUP(H38,[1]SEMIELABORADOS!$A$2:$M$6000,6,0),"")</f>
        <v/>
      </c>
      <c r="E38" s="88" t="str">
        <f>IFERROR(VLOOKUP(H38,[1]SEMIELABORADOS!$A$2:$M$65536,10,0),"")</f>
        <v/>
      </c>
      <c r="F38" s="88" t="str">
        <f>IFERROR(E38*C38,"")</f>
        <v/>
      </c>
      <c r="G38" s="89" t="str">
        <f t="shared" si="9"/>
        <v/>
      </c>
      <c r="H38" s="93"/>
      <c r="I38" s="93"/>
      <c r="J38" s="91"/>
    </row>
    <row r="39" spans="1:13" ht="13.5" hidden="1" x14ac:dyDescent="0.25">
      <c r="A39" s="86">
        <f t="shared" si="10"/>
        <v>0</v>
      </c>
      <c r="B39" s="92" t="str">
        <f>IFERROR(VLOOKUP(H39,[1]SEMIELABORADOS!$A$2:$M$6000,2,0),"")</f>
        <v/>
      </c>
      <c r="C39" s="87">
        <f>+A39</f>
        <v>0</v>
      </c>
      <c r="D39" s="88" t="str">
        <f>IFERROR(VLOOKUP(H39,[1]SEMIELABORADOS!$A$2:$M$6000,6,0),"")</f>
        <v/>
      </c>
      <c r="E39" s="88" t="str">
        <f>IFERROR(VLOOKUP(H39,[1]SEMIELABORADOS!$A$2:$M$65536,10,0),"")</f>
        <v/>
      </c>
      <c r="F39" s="88" t="str">
        <f>IFERROR(E39*C39,"")</f>
        <v/>
      </c>
      <c r="G39" s="89" t="str">
        <f t="shared" si="9"/>
        <v/>
      </c>
      <c r="H39" s="93"/>
      <c r="I39" s="93"/>
      <c r="J39" s="91"/>
    </row>
    <row r="40" spans="1:13" ht="13.5" hidden="1" x14ac:dyDescent="0.25">
      <c r="A40" s="86">
        <f t="shared" si="10"/>
        <v>0</v>
      </c>
      <c r="B40" s="92" t="str">
        <f>IFERROR(VLOOKUP(H40,[1]SEMIELABORADOS!$A$2:$M$6000,2,0),"")</f>
        <v/>
      </c>
      <c r="C40" s="87">
        <f t="shared" si="11"/>
        <v>0</v>
      </c>
      <c r="D40" s="88" t="str">
        <f>IFERROR(VLOOKUP(H40,[1]SEMIELABORADOS!$A$2:$M$6000,6,0),"")</f>
        <v/>
      </c>
      <c r="E40" s="88" t="str">
        <f>IFERROR(VLOOKUP(H40,[1]SEMIELABORADOS!$A$2:$M$65536,10,0),"")</f>
        <v/>
      </c>
      <c r="F40" s="88" t="str">
        <f t="shared" si="12"/>
        <v/>
      </c>
      <c r="G40" s="89" t="str">
        <f t="shared" si="9"/>
        <v/>
      </c>
      <c r="H40" s="93"/>
      <c r="I40" s="93"/>
      <c r="J40" s="91"/>
    </row>
    <row r="41" spans="1:13" ht="13.5" hidden="1" x14ac:dyDescent="0.25">
      <c r="A41" s="86">
        <f t="shared" si="10"/>
        <v>0</v>
      </c>
      <c r="B41" s="92" t="str">
        <f>IFERROR(VLOOKUP(H41,[1]SEMIELABORADOS!$A$2:$M$6000,2,0),"")</f>
        <v/>
      </c>
      <c r="C41" s="87">
        <f t="shared" si="11"/>
        <v>0</v>
      </c>
      <c r="D41" s="88" t="str">
        <f>IFERROR(VLOOKUP(H41,[1]SEMIELABORADOS!$A$2:$M$6000,6,0),"")</f>
        <v/>
      </c>
      <c r="E41" s="88" t="str">
        <f>IFERROR(VLOOKUP(H41,[1]SEMIELABORADOS!$A$2:$M$65536,10,0),"")</f>
        <v/>
      </c>
      <c r="F41" s="88" t="str">
        <f t="shared" si="12"/>
        <v/>
      </c>
      <c r="G41" s="89" t="str">
        <f t="shared" si="9"/>
        <v/>
      </c>
      <c r="H41" s="93"/>
      <c r="I41" s="93"/>
      <c r="J41" s="91"/>
    </row>
    <row r="42" spans="1:13" ht="14.25" thickBot="1" x14ac:dyDescent="0.3">
      <c r="A42" s="86"/>
      <c r="B42" s="92"/>
      <c r="C42" s="87"/>
      <c r="D42" s="88"/>
      <c r="E42" s="88"/>
      <c r="F42" s="88"/>
      <c r="G42" s="89"/>
      <c r="H42" s="93"/>
      <c r="I42" s="93"/>
      <c r="J42" s="91"/>
    </row>
    <row r="43" spans="1:13" ht="26.25" thickBot="1" x14ac:dyDescent="0.3">
      <c r="A43" s="81" t="s">
        <v>78</v>
      </c>
      <c r="B43" s="82" t="s">
        <v>87</v>
      </c>
      <c r="C43" s="82" t="s">
        <v>78</v>
      </c>
      <c r="D43" s="83" t="s">
        <v>80</v>
      </c>
      <c r="E43" s="83" t="s">
        <v>81</v>
      </c>
      <c r="F43" s="83" t="s">
        <v>82</v>
      </c>
      <c r="G43" s="83" t="s">
        <v>83</v>
      </c>
      <c r="H43" s="84" t="s">
        <v>84</v>
      </c>
      <c r="I43" s="85"/>
      <c r="J43" s="91"/>
    </row>
    <row r="44" spans="1:13" ht="13.5" x14ac:dyDescent="0.25">
      <c r="A44" s="86">
        <f>+A35</f>
        <v>7500</v>
      </c>
      <c r="B44" s="92" t="str">
        <f>IFERROR(VLOOKUP(H44,[1]SEMIELABORADOS!$A$2:$M$6000,2,0),"")</f>
        <v>MEZCLA TRES LECHES PASTEURIZADA KILO</v>
      </c>
      <c r="C44" s="87">
        <f>+A44</f>
        <v>7500</v>
      </c>
      <c r="D44" s="88" t="str">
        <f>IFERROR(VLOOKUP(H44,[1]SEMIELABORADOS!$A$2:$M$6000,6,0),"")</f>
        <v>Gramo</v>
      </c>
      <c r="E44" s="88">
        <f>IFERROR(VLOOKUP(H44,[1]SEMIELABORADOS!$A$2:$M$65536,12,0),"")</f>
        <v>0.28375572442417851</v>
      </c>
      <c r="F44" s="88">
        <f>IFERROR(E44*C44,"")</f>
        <v>2128.1679331813389</v>
      </c>
      <c r="G44" s="89">
        <f>IFERROR(F44/$F$66,"")</f>
        <v>0.17500521111444783</v>
      </c>
      <c r="H44" s="93" t="s">
        <v>123</v>
      </c>
      <c r="I44" s="85"/>
      <c r="J44" s="91"/>
    </row>
    <row r="45" spans="1:13" ht="13.5" hidden="1" x14ac:dyDescent="0.25">
      <c r="A45" s="86">
        <f t="shared" ref="A45:A50" si="13">+A36</f>
        <v>0</v>
      </c>
      <c r="B45" s="92" t="str">
        <f>IFERROR(VLOOKUP(H45,[1]SEMIELABORADOS!$A$2:$M$6000,2,0),"")</f>
        <v/>
      </c>
      <c r="C45" s="87">
        <f t="shared" ref="C45:C50" si="14">+A45</f>
        <v>0</v>
      </c>
      <c r="D45" s="88" t="str">
        <f>IFERROR(VLOOKUP(H45,[1]SEMIELABORADOS!$A$2:$M$6000,6,0),"")</f>
        <v/>
      </c>
      <c r="E45" s="88" t="str">
        <f>IFERROR(VLOOKUP(H45,[1]SEMIELABORADOS!$A$2:$M$65536,12,0),"")</f>
        <v/>
      </c>
      <c r="F45" s="88" t="str">
        <f t="shared" ref="F45:F50" si="15">IFERROR(E45*C45,"")</f>
        <v/>
      </c>
      <c r="G45" s="89" t="str">
        <f t="shared" ref="G45:G50" si="16">IFERROR(F45/$F$66,"")</f>
        <v/>
      </c>
      <c r="H45" s="93"/>
      <c r="I45" s="85"/>
      <c r="J45" s="91"/>
      <c r="M45" s="96"/>
    </row>
    <row r="46" spans="1:13" ht="13.5" hidden="1" x14ac:dyDescent="0.25">
      <c r="A46" s="86">
        <f t="shared" si="13"/>
        <v>0</v>
      </c>
      <c r="B46" s="92" t="str">
        <f>IFERROR(VLOOKUP(H46,[1]SEMIELABORADOS!$A$2:$M$6000,2,0),"")</f>
        <v/>
      </c>
      <c r="C46" s="87">
        <f t="shared" si="14"/>
        <v>0</v>
      </c>
      <c r="D46" s="88" t="str">
        <f>IFERROR(VLOOKUP(H46,[1]SEMIELABORADOS!$A$2:$M$6000,6,0),"")</f>
        <v/>
      </c>
      <c r="E46" s="88" t="str">
        <f>IFERROR(VLOOKUP(H46,[1]SEMIELABORADOS!$A$2:$M$65536,12,0),"")</f>
        <v/>
      </c>
      <c r="F46" s="88" t="str">
        <f t="shared" si="15"/>
        <v/>
      </c>
      <c r="G46" s="89" t="str">
        <f t="shared" si="16"/>
        <v/>
      </c>
      <c r="H46" s="93"/>
      <c r="I46" s="85"/>
      <c r="J46" s="91"/>
    </row>
    <row r="47" spans="1:13" ht="13.5" hidden="1" x14ac:dyDescent="0.25">
      <c r="A47" s="86">
        <f t="shared" si="13"/>
        <v>0</v>
      </c>
      <c r="B47" s="92" t="str">
        <f>IFERROR(VLOOKUP(H47,[1]SEMIELABORADOS!$A$2:$M$6000,2,0),"")</f>
        <v/>
      </c>
      <c r="C47" s="87">
        <f t="shared" si="14"/>
        <v>0</v>
      </c>
      <c r="D47" s="88" t="str">
        <f>IFERROR(VLOOKUP(H47,[1]SEMIELABORADOS!$A$2:$M$6000,6,0),"")</f>
        <v/>
      </c>
      <c r="E47" s="88" t="str">
        <f>IFERROR(VLOOKUP(H47,[1]SEMIELABORADOS!$A$2:$M$65536,12,0),"")</f>
        <v/>
      </c>
      <c r="F47" s="88" t="str">
        <f t="shared" si="15"/>
        <v/>
      </c>
      <c r="G47" s="89" t="str">
        <f t="shared" si="16"/>
        <v/>
      </c>
      <c r="H47" s="93"/>
      <c r="I47" s="85"/>
      <c r="J47" s="91"/>
    </row>
    <row r="48" spans="1:13" ht="13.5" hidden="1" x14ac:dyDescent="0.25">
      <c r="A48" s="86">
        <f t="shared" si="13"/>
        <v>0</v>
      </c>
      <c r="B48" s="92" t="str">
        <f>IFERROR(VLOOKUP(H48,[1]SEMIELABORADOS!$A$2:$M$6000,2,0),"")</f>
        <v/>
      </c>
      <c r="C48" s="87">
        <f t="shared" si="14"/>
        <v>0</v>
      </c>
      <c r="D48" s="88" t="str">
        <f>IFERROR(VLOOKUP(H48,[1]SEMIELABORADOS!$A$2:$M$6000,6,0),"")</f>
        <v/>
      </c>
      <c r="E48" s="88" t="str">
        <f>IFERROR(VLOOKUP(H48,[1]SEMIELABORADOS!$A$2:$M$65536,12,0),"")</f>
        <v/>
      </c>
      <c r="F48" s="88" t="str">
        <f t="shared" si="15"/>
        <v/>
      </c>
      <c r="G48" s="89" t="str">
        <f t="shared" si="16"/>
        <v/>
      </c>
      <c r="H48" s="93"/>
      <c r="I48" s="85"/>
      <c r="J48" s="91"/>
    </row>
    <row r="49" spans="1:17" ht="13.5" hidden="1" x14ac:dyDescent="0.25">
      <c r="A49" s="86">
        <f t="shared" si="13"/>
        <v>0</v>
      </c>
      <c r="B49" s="92" t="str">
        <f>IFERROR(VLOOKUP(H49,[1]SEMIELABORADOS!$A$2:$M$6000,2,0),"")</f>
        <v/>
      </c>
      <c r="C49" s="87">
        <f t="shared" si="14"/>
        <v>0</v>
      </c>
      <c r="D49" s="88" t="str">
        <f>IFERROR(VLOOKUP(H49,[1]SEMIELABORADOS!$A$2:$M$6000,6,0),"")</f>
        <v/>
      </c>
      <c r="E49" s="88" t="str">
        <f>IFERROR(VLOOKUP(H49,[1]SEMIELABORADOS!$A$2:$M$65536,12,0),"")</f>
        <v/>
      </c>
      <c r="F49" s="88" t="str">
        <f t="shared" si="15"/>
        <v/>
      </c>
      <c r="G49" s="89" t="str">
        <f t="shared" si="16"/>
        <v/>
      </c>
      <c r="H49" s="93"/>
      <c r="I49" s="85"/>
      <c r="J49" s="91"/>
    </row>
    <row r="50" spans="1:17" ht="13.5" hidden="1" x14ac:dyDescent="0.25">
      <c r="A50" s="86">
        <f t="shared" si="13"/>
        <v>0</v>
      </c>
      <c r="B50" s="92" t="str">
        <f>IFERROR(VLOOKUP(H50,[1]SEMIELABORADOS!$A$2:$M$6000,2,0),"")</f>
        <v/>
      </c>
      <c r="C50" s="87">
        <f t="shared" si="14"/>
        <v>0</v>
      </c>
      <c r="D50" s="88" t="str">
        <f>IFERROR(VLOOKUP(H50,[1]SEMIELABORADOS!$A$2:$M$6000,6,0),"")</f>
        <v/>
      </c>
      <c r="E50" s="88" t="str">
        <f>IFERROR(VLOOKUP(H50,[1]SEMIELABORADOS!$A$2:$M$65536,12,0),"")</f>
        <v/>
      </c>
      <c r="F50" s="88" t="str">
        <f t="shared" si="15"/>
        <v/>
      </c>
      <c r="G50" s="89" t="str">
        <f t="shared" si="16"/>
        <v/>
      </c>
      <c r="H50" s="92"/>
      <c r="I50" s="85"/>
      <c r="J50" s="91"/>
    </row>
    <row r="51" spans="1:17" ht="13.5" x14ac:dyDescent="0.25">
      <c r="A51" s="86">
        <v>1</v>
      </c>
      <c r="B51" s="92" t="s">
        <v>88</v>
      </c>
      <c r="C51" s="87">
        <f>+A51</f>
        <v>1</v>
      </c>
      <c r="D51" s="87" t="s">
        <v>89</v>
      </c>
      <c r="E51" s="88">
        <f>+F65</f>
        <v>231</v>
      </c>
      <c r="F51" s="88">
        <f>IFERROR(C51*E51,"")</f>
        <v>231</v>
      </c>
      <c r="G51" s="89">
        <f>IFERROR(F51/$F$66,"")</f>
        <v>1.8995777136349125E-2</v>
      </c>
      <c r="H51" s="97"/>
      <c r="I51" s="97"/>
      <c r="J51" s="91"/>
    </row>
    <row r="52" spans="1:17" ht="14.25" thickBot="1" x14ac:dyDescent="0.3">
      <c r="A52" s="86"/>
      <c r="B52" s="92"/>
      <c r="C52" s="87"/>
      <c r="D52" s="87"/>
      <c r="E52" s="88"/>
      <c r="F52" s="88"/>
      <c r="G52" s="89"/>
      <c r="H52" s="97"/>
      <c r="I52" s="97"/>
      <c r="J52" s="91"/>
    </row>
    <row r="53" spans="1:17" ht="13.5" thickBot="1" x14ac:dyDescent="0.3">
      <c r="A53" s="98"/>
      <c r="B53" s="236" t="s">
        <v>90</v>
      </c>
      <c r="C53" s="236"/>
      <c r="D53" s="236"/>
      <c r="E53" s="236"/>
      <c r="F53" s="100">
        <f>SUM(F8:F14,F17:F24)</f>
        <v>11689.9</v>
      </c>
      <c r="G53" s="89">
        <f>+F53/$F$66</f>
        <v>0.96129322574115861</v>
      </c>
      <c r="H53" s="101">
        <f>+F53/$D$60</f>
        <v>11689.9</v>
      </c>
      <c r="I53" s="101"/>
      <c r="J53" s="102"/>
      <c r="K53" s="103"/>
      <c r="L53" s="103"/>
      <c r="M53" s="103"/>
      <c r="N53" s="103"/>
      <c r="O53" s="103"/>
      <c r="P53" s="103"/>
      <c r="Q53" s="104"/>
    </row>
    <row r="54" spans="1:17" x14ac:dyDescent="0.2">
      <c r="A54" s="98"/>
      <c r="B54" s="236" t="s">
        <v>91</v>
      </c>
      <c r="C54" s="236"/>
      <c r="D54" s="236"/>
      <c r="E54" s="236"/>
      <c r="F54" s="100">
        <f>SUM(F27:F32,F35:F41)</f>
        <v>5.8995023771428574</v>
      </c>
      <c r="G54" s="89">
        <f>+F54/$F$66</f>
        <v>4.8513260766912383E-4</v>
      </c>
      <c r="H54" s="101">
        <f>+F54/$D$60</f>
        <v>5.8995023771428574</v>
      </c>
      <c r="I54" s="101"/>
      <c r="J54" s="105"/>
      <c r="K54" s="237" t="s">
        <v>92</v>
      </c>
      <c r="L54" s="238"/>
      <c r="M54" s="238"/>
      <c r="N54" s="238"/>
      <c r="O54" s="106">
        <f>+F55</f>
        <v>11695.799502377142</v>
      </c>
      <c r="P54" s="106"/>
      <c r="Q54" s="107"/>
    </row>
    <row r="55" spans="1:17" x14ac:dyDescent="0.2">
      <c r="A55" s="98"/>
      <c r="B55" s="236" t="s">
        <v>93</v>
      </c>
      <c r="C55" s="236"/>
      <c r="D55" s="236"/>
      <c r="E55" s="236"/>
      <c r="F55" s="100">
        <f>+F53+F54</f>
        <v>11695.799502377142</v>
      </c>
      <c r="G55" s="89">
        <f>+F55/$F$66</f>
        <v>0.96177835834882763</v>
      </c>
      <c r="H55" s="101">
        <f>+F55/$D$60</f>
        <v>11695.799502377142</v>
      </c>
      <c r="I55" s="101"/>
      <c r="J55" s="108"/>
      <c r="K55" s="109"/>
      <c r="M55" s="110" t="s">
        <v>94</v>
      </c>
      <c r="N55" s="111"/>
      <c r="O55" s="106">
        <f>+H56</f>
        <v>2359.1679331813389</v>
      </c>
      <c r="P55" s="106"/>
      <c r="Q55" s="107"/>
    </row>
    <row r="56" spans="1:17" ht="13.5" thickBot="1" x14ac:dyDescent="0.25">
      <c r="A56" s="98"/>
      <c r="B56" s="99"/>
      <c r="C56" s="236" t="s">
        <v>95</v>
      </c>
      <c r="D56" s="236"/>
      <c r="E56" s="236"/>
      <c r="F56" s="100">
        <f>SUM(F44:F51)</f>
        <v>2359.1679331813389</v>
      </c>
      <c r="G56" s="89">
        <f>+F56/$F$66</f>
        <v>0.19400098825079695</v>
      </c>
      <c r="H56" s="101">
        <f>+F56/$D$60</f>
        <v>2359.1679331813389</v>
      </c>
      <c r="I56" s="101"/>
      <c r="J56" s="108"/>
      <c r="K56" s="109"/>
      <c r="L56" s="109"/>
      <c r="M56" s="109" t="s">
        <v>96</v>
      </c>
      <c r="N56" s="112"/>
      <c r="O56" s="106">
        <f>O54*N56</f>
        <v>0</v>
      </c>
      <c r="P56" s="106"/>
      <c r="Q56" s="107"/>
    </row>
    <row r="57" spans="1:17" ht="13.5" thickBot="1" x14ac:dyDescent="0.25">
      <c r="A57" s="98"/>
      <c r="B57" s="113"/>
      <c r="C57" s="113"/>
      <c r="D57" s="113"/>
      <c r="E57" s="113"/>
      <c r="F57" s="114"/>
      <c r="G57" s="89"/>
      <c r="H57" s="115"/>
      <c r="I57" s="101"/>
      <c r="J57" s="108"/>
      <c r="K57" s="116"/>
      <c r="M57" s="117" t="s">
        <v>97</v>
      </c>
      <c r="N57" s="118"/>
      <c r="O57" s="119">
        <f>SUM(O54:O56)</f>
        <v>14054.967435558481</v>
      </c>
      <c r="P57" s="120"/>
      <c r="Q57" s="107"/>
    </row>
    <row r="58" spans="1:17" x14ac:dyDescent="0.2">
      <c r="B58" s="239" t="s">
        <v>98</v>
      </c>
      <c r="C58" s="239"/>
      <c r="D58" s="121">
        <v>10000</v>
      </c>
      <c r="E58" s="122"/>
      <c r="G58" s="89"/>
      <c r="H58" s="115">
        <f>+H56/77</f>
        <v>30.638544586770635</v>
      </c>
      <c r="I58" s="123"/>
      <c r="J58" s="108"/>
      <c r="K58" s="116"/>
      <c r="L58" s="109"/>
      <c r="M58" s="109" t="s">
        <v>99</v>
      </c>
      <c r="N58" s="124"/>
      <c r="O58" s="106">
        <f>+H59</f>
        <v>2542.9992007019628</v>
      </c>
      <c r="P58" s="106"/>
      <c r="Q58" s="107"/>
    </row>
    <row r="59" spans="1:17" x14ac:dyDescent="0.2">
      <c r="B59" s="239" t="s">
        <v>100</v>
      </c>
      <c r="C59" s="239"/>
      <c r="D59" s="125">
        <v>10000</v>
      </c>
      <c r="E59" s="122"/>
      <c r="G59" s="89"/>
      <c r="H59" s="115">
        <f>+H58*83</f>
        <v>2542.9992007019628</v>
      </c>
      <c r="I59" s="123"/>
      <c r="J59" s="108"/>
      <c r="K59" s="116"/>
      <c r="L59" s="109"/>
      <c r="M59" s="240" t="s">
        <v>97</v>
      </c>
      <c r="N59" s="240"/>
      <c r="O59" s="106">
        <f>SUM(O57:O58)</f>
        <v>16597.966636260444</v>
      </c>
      <c r="P59" s="106"/>
      <c r="Q59" s="107"/>
    </row>
    <row r="60" spans="1:17" ht="13.5" thickBot="1" x14ac:dyDescent="0.25">
      <c r="B60" s="231" t="s">
        <v>101</v>
      </c>
      <c r="C60" s="231"/>
      <c r="D60" s="121">
        <f>+D58/D59</f>
        <v>1</v>
      </c>
      <c r="E60" s="122"/>
      <c r="F60" s="126"/>
      <c r="G60" s="89"/>
      <c r="H60" s="115"/>
      <c r="I60" s="123"/>
      <c r="J60" s="108"/>
      <c r="K60" s="116"/>
      <c r="L60" s="240"/>
      <c r="M60" s="240"/>
      <c r="N60" s="124"/>
      <c r="O60" s="106">
        <f>+O59*N60</f>
        <v>0</v>
      </c>
      <c r="P60" s="106"/>
      <c r="Q60" s="107"/>
    </row>
    <row r="61" spans="1:17" ht="13.5" thickBot="1" x14ac:dyDescent="0.25">
      <c r="B61" s="231" t="s">
        <v>102</v>
      </c>
      <c r="C61" s="231"/>
      <c r="D61" s="127"/>
      <c r="E61" s="122"/>
      <c r="F61" s="126"/>
      <c r="G61" s="89"/>
      <c r="H61" s="115"/>
      <c r="I61" s="123"/>
      <c r="J61" s="108"/>
      <c r="K61" s="232" t="s">
        <v>103</v>
      </c>
      <c r="L61" s="233"/>
      <c r="M61" s="233"/>
      <c r="N61" s="234"/>
      <c r="O61" s="119">
        <f>SUM(O59:O60)</f>
        <v>16597.966636260444</v>
      </c>
      <c r="P61" s="128" t="s">
        <v>104</v>
      </c>
      <c r="Q61" s="107"/>
    </row>
    <row r="62" spans="1:17" ht="13.5" thickBot="1" x14ac:dyDescent="0.25">
      <c r="C62" s="98" t="s">
        <v>105</v>
      </c>
      <c r="D62" s="129"/>
      <c r="E62" s="72" t="s">
        <v>106</v>
      </c>
      <c r="F62" s="130" t="s">
        <v>107</v>
      </c>
      <c r="G62" s="89"/>
      <c r="H62" s="115"/>
      <c r="I62" s="123"/>
      <c r="J62" s="131"/>
      <c r="K62" s="132"/>
      <c r="L62" s="220" t="s">
        <v>108</v>
      </c>
      <c r="M62" s="220"/>
      <c r="N62" s="220"/>
      <c r="O62" s="133">
        <f>+O61/D60</f>
        <v>16597.966636260444</v>
      </c>
      <c r="P62" s="134">
        <f>+O62/D59</f>
        <v>1.6597966636260444</v>
      </c>
      <c r="Q62" s="135"/>
    </row>
    <row r="63" spans="1:17" ht="13.5" thickBot="1" x14ac:dyDescent="0.25">
      <c r="B63" s="221" t="s">
        <v>93</v>
      </c>
      <c r="C63" s="221"/>
      <c r="D63" s="221"/>
      <c r="E63" s="136">
        <f>+F63/F63</f>
        <v>1</v>
      </c>
      <c r="F63" s="137">
        <f>SUM(F55)</f>
        <v>11695.799502377142</v>
      </c>
      <c r="G63" s="89">
        <f>+F63/$F$66</f>
        <v>0.96177835834882763</v>
      </c>
      <c r="H63" s="115"/>
      <c r="I63" s="123"/>
      <c r="K63" s="222"/>
      <c r="L63" s="223"/>
      <c r="M63" s="223"/>
      <c r="N63" s="223"/>
      <c r="O63" s="138"/>
      <c r="P63" s="139"/>
    </row>
    <row r="64" spans="1:17" ht="13.5" thickBot="1" x14ac:dyDescent="0.3">
      <c r="B64" s="224" t="s">
        <v>109</v>
      </c>
      <c r="C64" s="224"/>
      <c r="D64" s="224"/>
      <c r="E64" s="140">
        <v>0.02</v>
      </c>
      <c r="F64" s="137">
        <f>+F53*E64</f>
        <v>233.798</v>
      </c>
      <c r="G64" s="89">
        <f>+F64/$F$66</f>
        <v>1.9225864514823172E-2</v>
      </c>
      <c r="H64" s="101"/>
      <c r="I64" s="123"/>
      <c r="J64" s="141"/>
      <c r="O64" s="142"/>
      <c r="P64" s="99"/>
    </row>
    <row r="65" spans="2:13" ht="13.5" thickBot="1" x14ac:dyDescent="0.3">
      <c r="B65" s="225" t="s">
        <v>110</v>
      </c>
      <c r="C65" s="226"/>
      <c r="D65" s="143">
        <v>3</v>
      </c>
      <c r="E65" s="144">
        <v>77</v>
      </c>
      <c r="F65" s="137">
        <f>+E65*D65</f>
        <v>231</v>
      </c>
      <c r="G65" s="89">
        <f>+F65/$F$66</f>
        <v>1.8995777136349125E-2</v>
      </c>
      <c r="H65" s="101"/>
      <c r="I65" s="101"/>
      <c r="J65" s="91"/>
    </row>
    <row r="66" spans="2:13" ht="13.5" thickBot="1" x14ac:dyDescent="0.3">
      <c r="B66" s="227" t="s">
        <v>111</v>
      </c>
      <c r="C66" s="228"/>
      <c r="D66" s="228"/>
      <c r="E66" s="229"/>
      <c r="F66" s="114">
        <f>SUM(F63:F65)</f>
        <v>12160.597502377143</v>
      </c>
      <c r="G66" s="89">
        <f>+F66/$F$66</f>
        <v>1</v>
      </c>
      <c r="H66" s="230"/>
      <c r="I66" s="101"/>
      <c r="J66" s="91"/>
      <c r="M66" s="74" t="s">
        <v>112</v>
      </c>
    </row>
    <row r="67" spans="2:13" x14ac:dyDescent="0.25">
      <c r="C67" s="96"/>
      <c r="D67" s="96"/>
      <c r="E67" s="146"/>
      <c r="F67" s="137"/>
      <c r="G67" s="89"/>
      <c r="H67" s="230"/>
      <c r="I67" s="145"/>
      <c r="J67" s="74"/>
      <c r="M67" s="74" t="s">
        <v>113</v>
      </c>
    </row>
    <row r="68" spans="2:13" ht="13.5" thickBot="1" x14ac:dyDescent="0.3">
      <c r="B68" s="215" t="s">
        <v>114</v>
      </c>
      <c r="C68" s="215"/>
      <c r="D68" s="215"/>
      <c r="E68" s="215"/>
      <c r="F68" s="215"/>
      <c r="G68" s="89"/>
      <c r="H68" s="148"/>
      <c r="I68" s="145"/>
      <c r="J68" s="74"/>
      <c r="M68" s="74" t="s">
        <v>115</v>
      </c>
    </row>
    <row r="69" spans="2:13" ht="13.5" thickBot="1" x14ac:dyDescent="0.3">
      <c r="B69" s="149" t="s">
        <v>116</v>
      </c>
      <c r="C69" s="150">
        <f>+F53</f>
        <v>11689.9</v>
      </c>
      <c r="D69" s="150">
        <f>+D58</f>
        <v>10000</v>
      </c>
      <c r="E69" s="151">
        <f>+C69/D69</f>
        <v>1.16899</v>
      </c>
      <c r="F69" s="89"/>
      <c r="G69" s="148"/>
      <c r="H69" s="91"/>
      <c r="I69" s="148"/>
      <c r="J69" s="74"/>
    </row>
    <row r="70" spans="2:13" x14ac:dyDescent="0.25">
      <c r="B70" s="152"/>
      <c r="C70" s="153"/>
      <c r="D70" s="154"/>
      <c r="E70" s="137"/>
      <c r="F70" s="89"/>
      <c r="G70" s="148"/>
      <c r="H70" s="91"/>
      <c r="I70" s="91"/>
      <c r="J70" s="74"/>
    </row>
    <row r="71" spans="2:13" x14ac:dyDescent="0.25">
      <c r="B71" s="149" t="s">
        <v>117</v>
      </c>
      <c r="C71" s="150">
        <f>SUM(F63:F64)</f>
        <v>11929.597502377143</v>
      </c>
      <c r="D71" s="150">
        <f>+D58</f>
        <v>10000</v>
      </c>
      <c r="E71" s="155">
        <f>+C71/D71</f>
        <v>1.1929597502377143</v>
      </c>
      <c r="F71" s="89"/>
      <c r="G71" s="148"/>
      <c r="H71" s="91"/>
      <c r="I71" s="91"/>
      <c r="J71" s="74"/>
    </row>
    <row r="72" spans="2:13" x14ac:dyDescent="0.25">
      <c r="B72" s="149"/>
      <c r="C72" s="150"/>
      <c r="D72" s="150"/>
      <c r="E72" s="155"/>
      <c r="F72" s="89"/>
      <c r="G72" s="148"/>
      <c r="H72" s="91"/>
      <c r="I72" s="91"/>
      <c r="J72" s="74"/>
    </row>
    <row r="73" spans="2:13" ht="13.5" thickBot="1" x14ac:dyDescent="0.3">
      <c r="B73" s="149" t="s">
        <v>118</v>
      </c>
      <c r="C73" s="150">
        <f>+F65</f>
        <v>231</v>
      </c>
      <c r="D73" s="150">
        <f>+D58</f>
        <v>10000</v>
      </c>
      <c r="E73" s="155">
        <f>+C73/D73</f>
        <v>2.3099999999999999E-2</v>
      </c>
      <c r="F73" s="89"/>
      <c r="G73" s="148"/>
      <c r="H73" s="91"/>
      <c r="I73" s="91"/>
      <c r="J73" s="74"/>
    </row>
    <row r="74" spans="2:13" ht="13.5" thickBot="1" x14ac:dyDescent="0.3">
      <c r="B74" s="149" t="s">
        <v>119</v>
      </c>
      <c r="C74" s="150">
        <f>+F56</f>
        <v>2359.1679331813389</v>
      </c>
      <c r="D74" s="150">
        <f>+D73</f>
        <v>10000</v>
      </c>
      <c r="E74" s="151">
        <f>+C74/D74</f>
        <v>0.23591679331813389</v>
      </c>
      <c r="F74" s="89"/>
      <c r="G74" s="148"/>
      <c r="H74" s="91"/>
      <c r="I74" s="91"/>
      <c r="J74" s="74"/>
    </row>
    <row r="75" spans="2:13" ht="13.5" thickBot="1" x14ac:dyDescent="0.3">
      <c r="B75" s="113"/>
      <c r="C75" s="114"/>
      <c r="D75" s="114"/>
      <c r="E75" s="155"/>
      <c r="F75" s="89"/>
      <c r="G75" s="148"/>
      <c r="H75" s="91"/>
      <c r="I75" s="91"/>
      <c r="J75" s="74"/>
    </row>
    <row r="76" spans="2:13" ht="13.5" thickBot="1" x14ac:dyDescent="0.3">
      <c r="B76" s="149" t="s">
        <v>120</v>
      </c>
      <c r="C76" s="150">
        <f>+F54</f>
        <v>5.8995023771428574</v>
      </c>
      <c r="D76" s="150">
        <f>+D74</f>
        <v>10000</v>
      </c>
      <c r="E76" s="151">
        <f>+C76/D76</f>
        <v>5.8995023771428576E-4</v>
      </c>
      <c r="F76" s="89"/>
      <c r="G76" s="148"/>
      <c r="H76" s="91"/>
      <c r="I76" s="91"/>
      <c r="J76" s="91"/>
    </row>
    <row r="77" spans="2:13" ht="13.5" thickBot="1" x14ac:dyDescent="0.3">
      <c r="B77" s="113"/>
      <c r="C77" s="114"/>
      <c r="D77" s="114"/>
      <c r="E77" s="155"/>
      <c r="F77" s="89"/>
      <c r="G77" s="148"/>
      <c r="H77" s="91"/>
      <c r="I77" s="91"/>
    </row>
    <row r="78" spans="2:13" ht="13.5" thickBot="1" x14ac:dyDescent="0.3">
      <c r="B78" s="216" t="s">
        <v>121</v>
      </c>
      <c r="C78" s="217"/>
      <c r="D78" s="218"/>
      <c r="E78" s="151">
        <f>+E69+E74</f>
        <v>1.4049067933181338</v>
      </c>
      <c r="G78" s="89"/>
      <c r="H78" s="148"/>
      <c r="I78" s="91"/>
      <c r="J78" s="155"/>
    </row>
    <row r="79" spans="2:13" x14ac:dyDescent="0.25">
      <c r="I79" s="148"/>
      <c r="J79" s="74"/>
    </row>
    <row r="80" spans="2:13" ht="13.5" thickBot="1" x14ac:dyDescent="0.3">
      <c r="B80" s="215" t="s">
        <v>122</v>
      </c>
      <c r="C80" s="215"/>
      <c r="D80" s="215"/>
      <c r="E80" s="215"/>
      <c r="F80" s="215"/>
      <c r="G80" s="89"/>
      <c r="H80" s="148"/>
      <c r="J80" s="74"/>
    </row>
    <row r="81" spans="1:10" ht="13.5" thickBot="1" x14ac:dyDescent="0.3">
      <c r="B81" s="149" t="s">
        <v>116</v>
      </c>
      <c r="C81" s="150">
        <f>+C69</f>
        <v>11689.9</v>
      </c>
      <c r="D81" s="150">
        <f>+D60</f>
        <v>1</v>
      </c>
      <c r="E81" s="151">
        <f>+C81/D81</f>
        <v>11689.9</v>
      </c>
      <c r="F81" s="89"/>
      <c r="G81" s="148"/>
      <c r="H81" s="91"/>
      <c r="I81" s="148"/>
      <c r="J81" s="74"/>
    </row>
    <row r="82" spans="1:10" x14ac:dyDescent="0.25">
      <c r="B82" s="152"/>
      <c r="C82" s="153"/>
      <c r="D82" s="154"/>
      <c r="E82" s="137"/>
      <c r="F82" s="89"/>
      <c r="G82" s="148"/>
      <c r="H82" s="91"/>
      <c r="I82" s="91"/>
      <c r="J82" s="74"/>
    </row>
    <row r="83" spans="1:10" x14ac:dyDescent="0.25">
      <c r="B83" s="149" t="s">
        <v>117</v>
      </c>
      <c r="C83" s="150">
        <f>+C71</f>
        <v>11929.597502377143</v>
      </c>
      <c r="D83" s="150">
        <f>+D60</f>
        <v>1</v>
      </c>
      <c r="E83" s="155">
        <f>+C83/D83</f>
        <v>11929.597502377143</v>
      </c>
      <c r="F83" s="89"/>
      <c r="G83" s="148"/>
      <c r="H83" s="91"/>
      <c r="I83" s="91"/>
      <c r="J83" s="74"/>
    </row>
    <row r="84" spans="1:10" x14ac:dyDescent="0.25">
      <c r="B84" s="149"/>
      <c r="C84" s="150"/>
      <c r="D84" s="150"/>
      <c r="E84" s="155"/>
      <c r="F84" s="89"/>
      <c r="G84" s="148"/>
      <c r="H84" s="91"/>
      <c r="I84" s="91"/>
      <c r="J84" s="74"/>
    </row>
    <row r="85" spans="1:10" ht="13.5" thickBot="1" x14ac:dyDescent="0.3">
      <c r="B85" s="149" t="s">
        <v>119</v>
      </c>
      <c r="C85" s="150">
        <f>+C73</f>
        <v>231</v>
      </c>
      <c r="D85" s="150">
        <f>+D60</f>
        <v>1</v>
      </c>
      <c r="E85" s="155">
        <f>+C85/D85</f>
        <v>231</v>
      </c>
      <c r="F85" s="157"/>
      <c r="G85" s="147"/>
      <c r="H85" s="73"/>
      <c r="I85" s="91"/>
    </row>
    <row r="86" spans="1:10" ht="13.5" thickBot="1" x14ac:dyDescent="0.3">
      <c r="B86" s="149" t="s">
        <v>119</v>
      </c>
      <c r="C86" s="150">
        <f>+C74</f>
        <v>2359.1679331813389</v>
      </c>
      <c r="D86" s="150">
        <f>+D85</f>
        <v>1</v>
      </c>
      <c r="E86" s="151">
        <f>+C86/D86</f>
        <v>2359.1679331813389</v>
      </c>
      <c r="F86" s="156"/>
      <c r="G86" s="147"/>
      <c r="H86" s="73"/>
      <c r="I86" s="73"/>
    </row>
    <row r="87" spans="1:10" x14ac:dyDescent="0.25">
      <c r="I87" s="73"/>
    </row>
    <row r="88" spans="1:10" x14ac:dyDescent="0.2">
      <c r="A88" s="219"/>
      <c r="B88" s="219"/>
      <c r="C88" s="158"/>
      <c r="D88" s="158"/>
      <c r="E88" s="159"/>
      <c r="G88" s="160"/>
    </row>
    <row r="89" spans="1:10" x14ac:dyDescent="0.2">
      <c r="A89" s="92"/>
      <c r="B89" s="161"/>
      <c r="C89" s="162"/>
      <c r="D89" s="162"/>
      <c r="E89" s="163"/>
      <c r="G89" s="160"/>
    </row>
    <row r="90" spans="1:10" x14ac:dyDescent="0.2">
      <c r="A90" s="92"/>
      <c r="B90" s="161"/>
      <c r="C90" s="164"/>
      <c r="D90" s="164"/>
      <c r="E90" s="92"/>
      <c r="G90" s="160"/>
    </row>
    <row r="91" spans="1:10" x14ac:dyDescent="0.2">
      <c r="A91" s="92"/>
      <c r="B91" s="161"/>
      <c r="C91" s="165"/>
      <c r="D91" s="165"/>
      <c r="E91" s="92"/>
      <c r="G91" s="160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C543-9BC5-4311-8D0A-BDD69B69AFDB}">
  <dimension ref="A1:Q91"/>
  <sheetViews>
    <sheetView topLeftCell="A27" workbookViewId="0">
      <selection activeCell="B66" sqref="B66:E66"/>
    </sheetView>
  </sheetViews>
  <sheetFormatPr baseColWidth="10" defaultColWidth="8.42578125" defaultRowHeight="12.75" x14ac:dyDescent="0.25"/>
  <cols>
    <col min="1" max="1" width="10" style="74" bestFit="1" customWidth="1"/>
    <col min="2" max="2" width="44.28515625" style="74" bestFit="1" customWidth="1"/>
    <col min="3" max="3" width="10.42578125" style="74" bestFit="1" customWidth="1"/>
    <col min="4" max="4" width="10.42578125" style="74" customWidth="1"/>
    <col min="5" max="5" width="11" style="74" customWidth="1"/>
    <col min="6" max="6" width="9.5703125" style="74" bestFit="1" customWidth="1"/>
    <col min="7" max="7" width="10.85546875" style="156" customWidth="1"/>
    <col min="8" max="8" width="10.42578125" style="147" bestFit="1" customWidth="1"/>
    <col min="9" max="9" width="4.5703125" style="147" customWidth="1"/>
    <col min="10" max="10" width="1.85546875" style="73" customWidth="1"/>
    <col min="11" max="11" width="7" style="74" bestFit="1" customWidth="1"/>
    <col min="12" max="12" width="6.28515625" style="74" customWidth="1"/>
    <col min="13" max="13" width="20.42578125" style="74" customWidth="1"/>
    <col min="14" max="14" width="6.42578125" style="74" bestFit="1" customWidth="1"/>
    <col min="15" max="16" width="8.42578125" style="74"/>
    <col min="17" max="17" width="3.28515625" style="74" customWidth="1"/>
    <col min="18" max="16384" width="8.42578125" style="74"/>
  </cols>
  <sheetData>
    <row r="1" spans="1:10" ht="27.75" customHeight="1" x14ac:dyDescent="0.25">
      <c r="A1" s="69"/>
      <c r="B1" s="69"/>
      <c r="C1" s="69"/>
      <c r="D1" s="69"/>
      <c r="E1" s="70" t="s">
        <v>72</v>
      </c>
      <c r="F1" s="71" t="s">
        <v>73</v>
      </c>
      <c r="G1" s="71" t="s">
        <v>74</v>
      </c>
      <c r="H1" s="71" t="s">
        <v>75</v>
      </c>
      <c r="I1" s="72"/>
    </row>
    <row r="2" spans="1:10" ht="30.75" customHeight="1" x14ac:dyDescent="0.25">
      <c r="A2" s="69"/>
      <c r="B2" s="69"/>
      <c r="C2" s="69"/>
      <c r="D2" s="69"/>
      <c r="E2" s="75">
        <f>IFERROR(O62,"")</f>
        <v>55.919526500924114</v>
      </c>
      <c r="F2" s="75">
        <f>IFERROR(H53,"")</f>
        <v>55.707009788895668</v>
      </c>
      <c r="G2" s="75">
        <f>IFERROR(H54,"")</f>
        <v>0.1854060606060606</v>
      </c>
      <c r="H2" s="75">
        <f>IFERROR(H56,"")</f>
        <v>7.1758505483636359</v>
      </c>
      <c r="I2" s="76"/>
    </row>
    <row r="3" spans="1:10" ht="15" customHeight="1" x14ac:dyDescent="0.25">
      <c r="A3" s="69"/>
      <c r="B3" s="69"/>
      <c r="C3" s="69"/>
      <c r="D3" s="69"/>
      <c r="E3" s="69"/>
      <c r="F3" s="77"/>
      <c r="G3" s="77"/>
      <c r="H3" s="77"/>
      <c r="I3" s="77"/>
    </row>
    <row r="4" spans="1:10" ht="24.75" customHeight="1" thickBot="1" x14ac:dyDescent="0.3">
      <c r="A4" s="241"/>
      <c r="B4" s="241"/>
      <c r="C4" s="241"/>
      <c r="D4" s="241"/>
      <c r="E4" s="241"/>
      <c r="F4" s="241"/>
      <c r="G4" s="241"/>
      <c r="H4" s="241"/>
      <c r="I4" s="78"/>
    </row>
    <row r="5" spans="1:10" ht="19.5" customHeight="1" thickBot="1" x14ac:dyDescent="0.3">
      <c r="A5" s="242" t="s">
        <v>76</v>
      </c>
      <c r="B5" s="243"/>
      <c r="C5" s="243"/>
      <c r="D5" s="243"/>
      <c r="E5" s="243"/>
      <c r="F5" s="243"/>
      <c r="G5" s="243"/>
      <c r="H5" s="244"/>
      <c r="I5" s="79"/>
    </row>
    <row r="6" spans="1:10" ht="19.5" thickBot="1" x14ac:dyDescent="0.3">
      <c r="A6" s="79"/>
      <c r="B6" s="79"/>
      <c r="C6" s="79"/>
      <c r="D6" s="79"/>
      <c r="E6" s="79"/>
      <c r="F6" s="245" t="s">
        <v>77</v>
      </c>
      <c r="G6" s="245"/>
      <c r="H6" s="80">
        <f ca="1">TODAY()</f>
        <v>45918</v>
      </c>
      <c r="I6" s="80"/>
    </row>
    <row r="7" spans="1:10" ht="26.25" hidden="1" thickBot="1" x14ac:dyDescent="0.3">
      <c r="A7" s="81" t="s">
        <v>78</v>
      </c>
      <c r="B7" s="82" t="s">
        <v>79</v>
      </c>
      <c r="C7" s="82" t="s">
        <v>78</v>
      </c>
      <c r="D7" s="83" t="s">
        <v>80</v>
      </c>
      <c r="E7" s="83" t="s">
        <v>81</v>
      </c>
      <c r="F7" s="83" t="s">
        <v>82</v>
      </c>
      <c r="G7" s="83" t="s">
        <v>83</v>
      </c>
      <c r="H7" s="84" t="s">
        <v>84</v>
      </c>
      <c r="I7" s="85"/>
    </row>
    <row r="8" spans="1:10" ht="13.5" hidden="1" x14ac:dyDescent="0.25">
      <c r="A8" s="86"/>
      <c r="B8" s="74" t="str">
        <f>IFERROR(VLOOKUP(H8,'[1]Consolidado MP Planta'!$A$2:$M$823,3,0),"")</f>
        <v/>
      </c>
      <c r="C8" s="87">
        <f>+A8</f>
        <v>0</v>
      </c>
      <c r="D8" s="88" t="str">
        <f>IFERROR(VLOOKUP(H8,'[1]Consolidado MP Planta'!$A$2:$M$823,13,0),"")</f>
        <v/>
      </c>
      <c r="E8" s="88" t="str">
        <f>IFERROR(VLOOKUP(H8,'[1]Consolidado MP Planta'!$A$2:$M$823,12,0),"")</f>
        <v/>
      </c>
      <c r="F8" s="88" t="str">
        <f>IFERROR(C8*E8,"")</f>
        <v/>
      </c>
      <c r="G8" s="89" t="str">
        <f t="shared" ref="G8:G14" si="0">IFERROR(F8/$F$66,"")</f>
        <v/>
      </c>
      <c r="H8" s="90"/>
      <c r="I8" s="90"/>
      <c r="J8" s="91"/>
    </row>
    <row r="9" spans="1:10" ht="13.5" hidden="1" x14ac:dyDescent="0.25">
      <c r="A9" s="86"/>
      <c r="B9" s="74" t="str">
        <f>IFERROR(VLOOKUP(H9,'[1]Consolidado MP Planta'!$A$2:$M$823,3,0),"")</f>
        <v/>
      </c>
      <c r="C9" s="87">
        <f t="shared" ref="C9:C14" si="1">+A9</f>
        <v>0</v>
      </c>
      <c r="D9" s="88" t="str">
        <f>IFERROR(VLOOKUP(H9,'[1]Consolidado MP Planta'!$A$2:$M$823,13,0),"")</f>
        <v/>
      </c>
      <c r="E9" s="88" t="str">
        <f>IFERROR(VLOOKUP(H9,'[1]Consolidado MP Planta'!$A$2:$M$823,12,0),"")</f>
        <v/>
      </c>
      <c r="F9" s="88" t="str">
        <f t="shared" ref="F9:F14" si="2">IFERROR(C9*E9,"")</f>
        <v/>
      </c>
      <c r="G9" s="89" t="str">
        <f t="shared" si="0"/>
        <v/>
      </c>
      <c r="H9" s="90"/>
      <c r="I9" s="90"/>
      <c r="J9" s="91"/>
    </row>
    <row r="10" spans="1:10" ht="13.5" hidden="1" x14ac:dyDescent="0.25">
      <c r="A10" s="86"/>
      <c r="B10" s="74" t="str">
        <f>IFERROR(VLOOKUP(H10,'[1]Consolidado MP Planta'!$A$2:$M$823,3,0),"")</f>
        <v/>
      </c>
      <c r="C10" s="87">
        <f t="shared" si="1"/>
        <v>0</v>
      </c>
      <c r="D10" s="88" t="str">
        <f>IFERROR(VLOOKUP(H10,'[1]Consolidado MP Planta'!$A$2:$M$823,13,0),"")</f>
        <v/>
      </c>
      <c r="E10" s="88" t="str">
        <f>IFERROR(VLOOKUP(H10,'[1]Consolidado MP Planta'!$A$2:$M$823,12,0),"")</f>
        <v/>
      </c>
      <c r="F10" s="88" t="str">
        <f t="shared" si="2"/>
        <v/>
      </c>
      <c r="G10" s="89" t="str">
        <f t="shared" si="0"/>
        <v/>
      </c>
      <c r="H10" s="90"/>
      <c r="I10" s="90"/>
      <c r="J10" s="91"/>
    </row>
    <row r="11" spans="1:10" ht="13.5" hidden="1" x14ac:dyDescent="0.25">
      <c r="A11" s="86"/>
      <c r="B11" s="74" t="str">
        <f>IFERROR(VLOOKUP(H11,'[1]Consolidado MP Planta'!$A$2:$M$823,3,0),"")</f>
        <v/>
      </c>
      <c r="C11" s="87">
        <f t="shared" si="1"/>
        <v>0</v>
      </c>
      <c r="D11" s="88" t="str">
        <f>IFERROR(VLOOKUP(H11,'[1]Consolidado MP Planta'!$A$2:$M$823,13,0),"")</f>
        <v/>
      </c>
      <c r="E11" s="88" t="str">
        <f>IFERROR(VLOOKUP(H11,'[1]Consolidado MP Planta'!$A$2:$M$823,12,0),"")</f>
        <v/>
      </c>
      <c r="F11" s="88" t="str">
        <f t="shared" si="2"/>
        <v/>
      </c>
      <c r="G11" s="89" t="str">
        <f t="shared" si="0"/>
        <v/>
      </c>
      <c r="H11" s="90"/>
      <c r="I11" s="90"/>
      <c r="J11" s="91"/>
    </row>
    <row r="12" spans="1:10" ht="13.5" hidden="1" x14ac:dyDescent="0.25">
      <c r="A12" s="86"/>
      <c r="B12" s="74" t="str">
        <f>IFERROR(VLOOKUP(H12,'[1]Consolidado MP Planta'!$A$2:$M$823,3,0),"")</f>
        <v/>
      </c>
      <c r="C12" s="87">
        <f t="shared" si="1"/>
        <v>0</v>
      </c>
      <c r="D12" s="88" t="str">
        <f>IFERROR(VLOOKUP(H12,'[1]Consolidado MP Planta'!$A$2:$M$823,13,0),"")</f>
        <v/>
      </c>
      <c r="E12" s="88" t="str">
        <f>IFERROR(VLOOKUP(H12,'[1]Consolidado MP Planta'!$A$2:$M$823,12,0),"")</f>
        <v/>
      </c>
      <c r="F12" s="88" t="str">
        <f t="shared" si="2"/>
        <v/>
      </c>
      <c r="G12" s="89" t="str">
        <f t="shared" si="0"/>
        <v/>
      </c>
      <c r="H12" s="90"/>
      <c r="I12" s="90"/>
      <c r="J12" s="91"/>
    </row>
    <row r="13" spans="1:10" ht="13.5" hidden="1" x14ac:dyDescent="0.25">
      <c r="A13" s="86"/>
      <c r="B13" s="74" t="str">
        <f>IFERROR(VLOOKUP(H13,'[1]Consolidado MP Planta'!$A$2:$M$823,3,0),"")</f>
        <v/>
      </c>
      <c r="C13" s="87">
        <f t="shared" si="1"/>
        <v>0</v>
      </c>
      <c r="D13" s="88" t="str">
        <f>IFERROR(VLOOKUP(H13,'[1]Consolidado MP Planta'!$A$2:$M$823,13,0),"")</f>
        <v/>
      </c>
      <c r="E13" s="88" t="str">
        <f>IFERROR(VLOOKUP(H13,'[1]Consolidado MP Planta'!$A$2:$M$823,12,0),"")</f>
        <v/>
      </c>
      <c r="F13" s="88" t="str">
        <f t="shared" si="2"/>
        <v/>
      </c>
      <c r="G13" s="89" t="str">
        <f t="shared" si="0"/>
        <v/>
      </c>
      <c r="H13" s="90"/>
      <c r="I13" s="90"/>
      <c r="J13" s="91"/>
    </row>
    <row r="14" spans="1:10" ht="13.5" hidden="1" x14ac:dyDescent="0.25">
      <c r="A14" s="86"/>
      <c r="B14" s="74" t="str">
        <f>IFERROR(VLOOKUP(H14,'[1]Consolidado MP Planta'!$A$2:$M$823,3,0),"")</f>
        <v/>
      </c>
      <c r="C14" s="87">
        <f t="shared" si="1"/>
        <v>0</v>
      </c>
      <c r="D14" s="88" t="str">
        <f>IFERROR(VLOOKUP(H14,'[1]Consolidado MP Planta'!$A$2:$M$823,13,0),"")</f>
        <v/>
      </c>
      <c r="E14" s="88" t="str">
        <f>IFERROR(VLOOKUP(H14,'[1]Consolidado MP Planta'!$A$2:$M$823,12,0),"")</f>
        <v/>
      </c>
      <c r="F14" s="88" t="str">
        <f t="shared" si="2"/>
        <v/>
      </c>
      <c r="G14" s="89" t="str">
        <f t="shared" si="0"/>
        <v/>
      </c>
      <c r="H14" s="90"/>
      <c r="I14" s="90"/>
      <c r="J14" s="91"/>
    </row>
    <row r="15" spans="1:10" ht="14.25" hidden="1" thickBot="1" x14ac:dyDescent="0.3">
      <c r="A15" s="86"/>
      <c r="B15" s="74" t="str">
        <f>IFERROR(VLOOKUP(H15,[2]Hoja2!$A$2:$G$589,2,0),"")</f>
        <v/>
      </c>
      <c r="C15" s="87"/>
      <c r="D15" s="88"/>
      <c r="E15" s="88"/>
      <c r="F15" s="88"/>
      <c r="G15" s="89"/>
      <c r="H15" s="90"/>
      <c r="I15" s="90"/>
      <c r="J15" s="91"/>
    </row>
    <row r="16" spans="1:10" ht="26.25" thickBot="1" x14ac:dyDescent="0.3">
      <c r="A16" s="81" t="s">
        <v>78</v>
      </c>
      <c r="B16" s="82" t="s">
        <v>85</v>
      </c>
      <c r="C16" s="82" t="s">
        <v>78</v>
      </c>
      <c r="D16" s="83" t="s">
        <v>80</v>
      </c>
      <c r="E16" s="83" t="s">
        <v>81</v>
      </c>
      <c r="F16" s="83" t="s">
        <v>82</v>
      </c>
      <c r="G16" s="83" t="s">
        <v>83</v>
      </c>
      <c r="H16" s="84" t="s">
        <v>84</v>
      </c>
      <c r="I16" s="85"/>
      <c r="J16" s="91"/>
    </row>
    <row r="17" spans="1:12" ht="13.5" x14ac:dyDescent="0.25">
      <c r="A17" s="86">
        <v>11100</v>
      </c>
      <c r="B17" s="74" t="str">
        <f>IFERROR(VLOOKUP(H17,[1]SEMIELABORADOS!$A$2:$M$6000,2,0),"")</f>
        <v>BATIDO SOUFFLE (KILO)</v>
      </c>
      <c r="C17" s="87">
        <f>+A17</f>
        <v>11100</v>
      </c>
      <c r="D17" s="87" t="str">
        <f>IFERROR(VLOOKUP(H17,[1]SEMIELABORADOS!$A$2:$M$6000,6,0),"")</f>
        <v>Gramo</v>
      </c>
      <c r="E17" s="88">
        <v>2.59</v>
      </c>
      <c r="F17" s="88">
        <f>IFERROR(E17*C17,"")</f>
        <v>28749</v>
      </c>
      <c r="G17" s="89">
        <f t="shared" ref="G17:G24" si="3">IFERROR(F17/$F$66,"")</f>
        <v>0.87399965066262464</v>
      </c>
      <c r="H17" s="90" t="s">
        <v>125</v>
      </c>
      <c r="I17" s="90"/>
      <c r="J17" s="91"/>
    </row>
    <row r="18" spans="1:12" ht="13.5" x14ac:dyDescent="0.25">
      <c r="A18" s="86">
        <v>1375</v>
      </c>
      <c r="B18" s="74" t="str">
        <f>IFERROR(VLOOKUP(H18,[1]SEMIELABORADOS!$A$2:$M$6000,2,0),"")</f>
        <v>MEZCLA P/ENGRASE MOLDES KILO</v>
      </c>
      <c r="C18" s="87">
        <f t="shared" ref="C18:C24" si="4">+A18</f>
        <v>1375</v>
      </c>
      <c r="D18" s="87" t="str">
        <f>IFERROR(VLOOKUP(H18,[1]SEMIELABORADOS!$A$2:$M$6000,6,0),"")</f>
        <v>Gramo</v>
      </c>
      <c r="E18" s="88">
        <f>IFERROR(VLOOKUP(H18,[1]SEMIELABORADOS!$A$2:$H$65536,8,0),"")</f>
        <v>1.3744402791946309</v>
      </c>
      <c r="F18" s="88">
        <f t="shared" ref="F18:F24" si="5">IFERROR(E18*C18,"")</f>
        <v>1889.8553838926175</v>
      </c>
      <c r="G18" s="89">
        <f t="shared" si="3"/>
        <v>5.7453579092317235E-2</v>
      </c>
      <c r="H18" s="90" t="s">
        <v>129</v>
      </c>
      <c r="I18" s="90"/>
      <c r="J18" s="91"/>
    </row>
    <row r="19" spans="1:12" ht="13.5" hidden="1" x14ac:dyDescent="0.25">
      <c r="A19" s="86"/>
      <c r="B19" s="74" t="str">
        <f>IFERROR(VLOOKUP(H19,[1]SEMIELABORADOS!$A$2:$M$6000,2,0),"")</f>
        <v/>
      </c>
      <c r="C19" s="87">
        <f>+A19</f>
        <v>0</v>
      </c>
      <c r="D19" s="87" t="str">
        <f>IFERROR(VLOOKUP(H19,[1]SEMIELABORADOS!$A$2:$M$6000,6,0),"")</f>
        <v/>
      </c>
      <c r="E19" s="88" t="str">
        <f>IFERROR(VLOOKUP(H19,[1]SEMIELABORADOS!$A$2:$H$65536,8,0),"")</f>
        <v/>
      </c>
      <c r="F19" s="88" t="str">
        <f>IFERROR(E19*C19,"")</f>
        <v/>
      </c>
      <c r="G19" s="89" t="str">
        <f t="shared" si="3"/>
        <v/>
      </c>
      <c r="H19" s="90"/>
      <c r="I19" s="90"/>
      <c r="J19" s="91"/>
    </row>
    <row r="20" spans="1:12" ht="13.5" hidden="1" x14ac:dyDescent="0.25">
      <c r="A20" s="86"/>
      <c r="B20" s="74" t="str">
        <f>IFERROR(VLOOKUP(H20,[1]SEMIELABORADOS!$A$2:$M$6000,2,0),"")</f>
        <v/>
      </c>
      <c r="C20" s="87">
        <f>+A20</f>
        <v>0</v>
      </c>
      <c r="D20" s="87" t="str">
        <f>IFERROR(VLOOKUP(H20,[1]SEMIELABORADOS!$A$2:$M$6000,6,0),"")</f>
        <v/>
      </c>
      <c r="E20" s="88" t="str">
        <f>IFERROR(VLOOKUP(H20,[1]SEMIELABORADOS!$A$2:$H$65536,8,0),"")</f>
        <v/>
      </c>
      <c r="F20" s="88" t="str">
        <f>IFERROR(E20*C20,"")</f>
        <v/>
      </c>
      <c r="G20" s="89" t="str">
        <f t="shared" si="3"/>
        <v/>
      </c>
      <c r="H20" s="90"/>
      <c r="I20" s="90"/>
      <c r="J20" s="91"/>
    </row>
    <row r="21" spans="1:12" ht="13.5" hidden="1" x14ac:dyDescent="0.25">
      <c r="A21" s="86"/>
      <c r="B21" s="74" t="str">
        <f>IFERROR(VLOOKUP(H21,[1]SEMIELABORADOS!$A$2:$M$6000,2,0),"")</f>
        <v/>
      </c>
      <c r="C21" s="87">
        <f>+A21</f>
        <v>0</v>
      </c>
      <c r="D21" s="87" t="str">
        <f>IFERROR(VLOOKUP(H21,[1]SEMIELABORADOS!$A$2:$M$6000,6,0),"")</f>
        <v/>
      </c>
      <c r="E21" s="88" t="str">
        <f>IFERROR(VLOOKUP(H21,[1]SEMIELABORADOS!$A$2:$H$65536,8,0),"")</f>
        <v/>
      </c>
      <c r="F21" s="88" t="str">
        <f>IFERROR(E21*C21,"")</f>
        <v/>
      </c>
      <c r="G21" s="89" t="str">
        <f t="shared" si="3"/>
        <v/>
      </c>
      <c r="H21" s="90"/>
      <c r="I21" s="90"/>
      <c r="J21" s="91"/>
    </row>
    <row r="22" spans="1:12" ht="13.5" hidden="1" x14ac:dyDescent="0.25">
      <c r="A22" s="86"/>
      <c r="B22" s="74" t="str">
        <f>IFERROR(VLOOKUP(H22,[1]SEMIELABORADOS!$A$2:$M$6000,2,0),"")</f>
        <v/>
      </c>
      <c r="C22" s="87">
        <f t="shared" si="4"/>
        <v>0</v>
      </c>
      <c r="D22" s="87" t="str">
        <f>IFERROR(VLOOKUP(H22,[1]SEMIELABORADOS!$A$2:$M$6000,6,0),"")</f>
        <v/>
      </c>
      <c r="E22" s="88" t="str">
        <f>IFERROR(VLOOKUP(H22,[1]SEMIELABORADOS!$A$2:$H$65536,8,0),"")</f>
        <v/>
      </c>
      <c r="F22" s="88" t="str">
        <f t="shared" si="5"/>
        <v/>
      </c>
      <c r="G22" s="89" t="str">
        <f t="shared" si="3"/>
        <v/>
      </c>
      <c r="H22" s="90"/>
      <c r="I22" s="90"/>
      <c r="J22" s="91"/>
    </row>
    <row r="23" spans="1:12" ht="13.5" hidden="1" x14ac:dyDescent="0.25">
      <c r="A23" s="86"/>
      <c r="B23" s="74" t="str">
        <f>IFERROR(VLOOKUP(H23,[1]SEMIELABORADOS!$A$2:$M$6000,2,0),"")</f>
        <v/>
      </c>
      <c r="C23" s="87">
        <f t="shared" si="4"/>
        <v>0</v>
      </c>
      <c r="D23" s="87" t="str">
        <f>IFERROR(VLOOKUP(H23,[1]SEMIELABORADOS!$A$2:$M$6000,6,0),"")</f>
        <v/>
      </c>
      <c r="E23" s="88" t="str">
        <f>IFERROR(VLOOKUP(H23,[1]SEMIELABORADOS!$A$2:$H$65536,8,0),"")</f>
        <v/>
      </c>
      <c r="F23" s="88" t="str">
        <f t="shared" si="5"/>
        <v/>
      </c>
      <c r="G23" s="89" t="str">
        <f t="shared" si="3"/>
        <v/>
      </c>
      <c r="H23" s="90"/>
      <c r="I23" s="90"/>
      <c r="J23" s="91"/>
    </row>
    <row r="24" spans="1:12" ht="13.5" hidden="1" x14ac:dyDescent="0.25">
      <c r="A24" s="86"/>
      <c r="B24" s="74" t="str">
        <f>IFERROR(VLOOKUP(H24,[1]SEMIELABORADOS!$A$2:$M$6000,2,0),"")</f>
        <v/>
      </c>
      <c r="C24" s="87">
        <f t="shared" si="4"/>
        <v>0</v>
      </c>
      <c r="D24" s="87" t="str">
        <f>IFERROR(VLOOKUP(H24,[1]SEMIELABORADOS!$A$2:$M$6000,6,0),"")</f>
        <v/>
      </c>
      <c r="E24" s="88" t="str">
        <f>IFERROR(VLOOKUP(H24,[1]SEMIELABORADOS!$A$2:$H$65536,8,0),"")</f>
        <v/>
      </c>
      <c r="F24" s="88" t="str">
        <f t="shared" si="5"/>
        <v/>
      </c>
      <c r="G24" s="89" t="str">
        <f t="shared" si="3"/>
        <v/>
      </c>
      <c r="H24" s="90"/>
      <c r="I24" s="90"/>
      <c r="J24" s="91"/>
    </row>
    <row r="25" spans="1:12" ht="14.25" thickBot="1" x14ac:dyDescent="0.3">
      <c r="A25" s="86"/>
      <c r="C25" s="87"/>
      <c r="D25" s="87"/>
      <c r="E25" s="88"/>
      <c r="F25" s="88"/>
      <c r="G25" s="89"/>
      <c r="H25" s="90"/>
      <c r="I25" s="90"/>
      <c r="J25" s="91"/>
    </row>
    <row r="26" spans="1:12" ht="26.25" thickBot="1" x14ac:dyDescent="0.3">
      <c r="A26" s="81" t="s">
        <v>78</v>
      </c>
      <c r="B26" s="82" t="s">
        <v>41</v>
      </c>
      <c r="C26" s="82" t="s">
        <v>78</v>
      </c>
      <c r="D26" s="83" t="s">
        <v>80</v>
      </c>
      <c r="E26" s="83" t="s">
        <v>81</v>
      </c>
      <c r="F26" s="83" t="s">
        <v>82</v>
      </c>
      <c r="G26" s="83" t="s">
        <v>83</v>
      </c>
      <c r="H26" s="84" t="s">
        <v>84</v>
      </c>
      <c r="I26" s="85"/>
    </row>
    <row r="27" spans="1:12" ht="13.5" x14ac:dyDescent="0.25">
      <c r="A27" s="86">
        <v>5</v>
      </c>
      <c r="B27" s="92" t="str">
        <f>IFERROR(VLOOKUP(H27,'[1]Consolidado MP Planta'!$A$2:$M$823,3,0),"")</f>
        <v>ETIQUETA BLANCA 2 5/8X1 15/16 (UND)</v>
      </c>
      <c r="C27" s="87">
        <f t="shared" ref="C27:C32" si="6">+A27</f>
        <v>5</v>
      </c>
      <c r="D27" s="88" t="str">
        <f>IFERROR(VLOOKUP(H27,'[1]Consolidado MP Planta'!$A$2:$M$823,13,0),"")</f>
        <v>Und</v>
      </c>
      <c r="E27" s="88">
        <f>IFERROR(VLOOKUP(H27,'[1]Consolidado MP Planta'!$A$2:$M$823,12,0),"")</f>
        <v>2.1280000000000001</v>
      </c>
      <c r="F27" s="88">
        <f t="shared" ref="F27:F32" si="7">IFERROR(C27*E27,"")</f>
        <v>10.64</v>
      </c>
      <c r="G27" s="89">
        <f t="shared" ref="G27:G32" si="8">IFERROR(F27/$F$66,"")</f>
        <v>3.2346712174511553E-4</v>
      </c>
      <c r="H27" s="93" t="s">
        <v>126</v>
      </c>
      <c r="I27" s="93"/>
      <c r="J27" s="91"/>
      <c r="K27" s="235"/>
      <c r="L27" s="235"/>
    </row>
    <row r="28" spans="1:12" ht="13.5" x14ac:dyDescent="0.25">
      <c r="A28" s="86">
        <v>5</v>
      </c>
      <c r="B28" s="92" t="s">
        <v>67</v>
      </c>
      <c r="C28" s="87">
        <f t="shared" si="6"/>
        <v>5</v>
      </c>
      <c r="D28" s="88" t="s">
        <v>128</v>
      </c>
      <c r="E28" s="88">
        <v>15</v>
      </c>
      <c r="F28" s="88">
        <f t="shared" si="7"/>
        <v>75</v>
      </c>
      <c r="G28" s="89">
        <f t="shared" si="8"/>
        <v>2.2800783957597427E-3</v>
      </c>
      <c r="H28" s="93" t="s">
        <v>127</v>
      </c>
      <c r="I28" s="93"/>
      <c r="J28" s="91"/>
      <c r="K28" s="235"/>
      <c r="L28" s="235"/>
    </row>
    <row r="29" spans="1:12" ht="13.5" hidden="1" x14ac:dyDescent="0.25">
      <c r="A29" s="86"/>
      <c r="B29" s="92" t="str">
        <f>IFERROR(VLOOKUP(H29,'[1]Consolidado MP Planta'!$A$2:$M$823,3,0),"")</f>
        <v/>
      </c>
      <c r="C29" s="87">
        <f t="shared" si="6"/>
        <v>0</v>
      </c>
      <c r="D29" s="88" t="str">
        <f>IFERROR(VLOOKUP(H29,'[1]Consolidado MP Planta'!$A$2:$M$823,13,0),"")</f>
        <v/>
      </c>
      <c r="E29" s="88" t="str">
        <f>IFERROR(VLOOKUP(H29,'[1]Consolidado MP Planta'!$A$2:$M$823,12,0),"")</f>
        <v/>
      </c>
      <c r="F29" s="88" t="str">
        <f t="shared" si="7"/>
        <v/>
      </c>
      <c r="G29" s="89" t="str">
        <f t="shared" si="8"/>
        <v/>
      </c>
      <c r="H29" s="93"/>
      <c r="I29" s="93"/>
      <c r="J29" s="91"/>
      <c r="K29" s="235"/>
      <c r="L29" s="235"/>
    </row>
    <row r="30" spans="1:12" ht="13.5" hidden="1" x14ac:dyDescent="0.25">
      <c r="A30" s="86"/>
      <c r="B30" s="92" t="str">
        <f>IFERROR(VLOOKUP(H30,'[1]Consolidado MP Planta'!$A$2:$M$823,3,0),"")</f>
        <v/>
      </c>
      <c r="C30" s="87">
        <f t="shared" si="6"/>
        <v>0</v>
      </c>
      <c r="D30" s="88" t="str">
        <f>IFERROR(VLOOKUP(H30,'[1]Consolidado MP Planta'!$A$2:$M$823,13,0),"")</f>
        <v/>
      </c>
      <c r="E30" s="88" t="str">
        <f>IFERROR(VLOOKUP(H30,'[1]Consolidado MP Planta'!$A$2:$M$823,12,0),"")</f>
        <v/>
      </c>
      <c r="F30" s="88" t="str">
        <f t="shared" si="7"/>
        <v/>
      </c>
      <c r="G30" s="89" t="str">
        <f t="shared" si="8"/>
        <v/>
      </c>
      <c r="H30" s="93"/>
      <c r="I30" s="93"/>
      <c r="J30" s="91"/>
      <c r="K30" s="235"/>
      <c r="L30" s="235"/>
    </row>
    <row r="31" spans="1:12" ht="13.5" hidden="1" x14ac:dyDescent="0.25">
      <c r="A31" s="86"/>
      <c r="B31" s="92" t="str">
        <f>IFERROR(VLOOKUP(H31,'[1]Consolidado MP Planta'!$A$2:$M$823,3,0),"")</f>
        <v/>
      </c>
      <c r="C31" s="87">
        <f t="shared" si="6"/>
        <v>0</v>
      </c>
      <c r="D31" s="88" t="str">
        <f>IFERROR(VLOOKUP(H31,'[1]Consolidado MP Planta'!$A$2:$M$823,13,0),"")</f>
        <v/>
      </c>
      <c r="E31" s="88" t="str">
        <f>IFERROR(VLOOKUP(H31,'[1]Consolidado MP Planta'!$A$2:$M$823,12,0),"")</f>
        <v/>
      </c>
      <c r="F31" s="88" t="str">
        <f t="shared" si="7"/>
        <v/>
      </c>
      <c r="G31" s="89" t="str">
        <f t="shared" si="8"/>
        <v/>
      </c>
      <c r="H31" s="93"/>
      <c r="I31" s="93"/>
      <c r="J31" s="91"/>
      <c r="K31" s="94"/>
      <c r="L31" s="95"/>
    </row>
    <row r="32" spans="1:12" ht="13.5" hidden="1" x14ac:dyDescent="0.25">
      <c r="A32" s="86"/>
      <c r="B32" s="92" t="str">
        <f>IFERROR(VLOOKUP(H32,'[1]Consolidado MP Planta'!$A$2:$M$823,3,0),"")</f>
        <v/>
      </c>
      <c r="C32" s="87">
        <f t="shared" si="6"/>
        <v>0</v>
      </c>
      <c r="D32" s="88" t="str">
        <f>IFERROR(VLOOKUP(H32,'[1]Consolidado MP Planta'!$A$2:$M$823,13,0),"")</f>
        <v/>
      </c>
      <c r="E32" s="88" t="str">
        <f>IFERROR(VLOOKUP(H32,'[1]Consolidado MP Planta'!$A$2:$M$823,12,0),"")</f>
        <v/>
      </c>
      <c r="F32" s="88" t="str">
        <f t="shared" si="7"/>
        <v/>
      </c>
      <c r="G32" s="89" t="str">
        <f t="shared" si="8"/>
        <v/>
      </c>
      <c r="H32" s="93"/>
      <c r="I32" s="93"/>
      <c r="J32" s="91"/>
    </row>
    <row r="33" spans="1:13" ht="14.25" thickBot="1" x14ac:dyDescent="0.3">
      <c r="A33" s="86"/>
      <c r="B33" s="92"/>
      <c r="C33" s="87"/>
      <c r="D33" s="88"/>
      <c r="E33" s="88"/>
      <c r="F33" s="88"/>
      <c r="G33" s="89"/>
      <c r="H33" s="93"/>
      <c r="I33" s="93"/>
      <c r="J33" s="91"/>
    </row>
    <row r="34" spans="1:13" ht="26.25" thickBot="1" x14ac:dyDescent="0.25">
      <c r="A34" s="81" t="s">
        <v>78</v>
      </c>
      <c r="B34" s="82" t="s">
        <v>86</v>
      </c>
      <c r="C34" s="82" t="s">
        <v>78</v>
      </c>
      <c r="D34" s="83" t="s">
        <v>80</v>
      </c>
      <c r="E34" s="83" t="s">
        <v>81</v>
      </c>
      <c r="F34" s="83" t="s">
        <v>82</v>
      </c>
      <c r="G34" s="83" t="s">
        <v>83</v>
      </c>
      <c r="H34" s="84" t="s">
        <v>84</v>
      </c>
      <c r="I34" s="93"/>
      <c r="J34" s="91"/>
    </row>
    <row r="35" spans="1:13" ht="13.5" x14ac:dyDescent="0.25">
      <c r="A35" s="86">
        <f>+A17</f>
        <v>11100</v>
      </c>
      <c r="B35" s="92" t="str">
        <f>IFERROR(VLOOKUP(H35,[1]SEMIELABORADOS!$A$2:$M$6000,2,0),"")</f>
        <v>BATIDO SOUFFLE (KILO)</v>
      </c>
      <c r="C35" s="87">
        <f>+A35</f>
        <v>11100</v>
      </c>
      <c r="D35" s="88" t="str">
        <f>IFERROR(VLOOKUP(H35,[1]SEMIELABORADOS!$A$2:$M$6000,6,0),"")</f>
        <v>Gramo</v>
      </c>
      <c r="E35" s="88">
        <f>IFERROR(VLOOKUP(H35,[1]SEMIELABORADOS!$A$2:$M$65536,10,0),"")</f>
        <v>1.4714714714714717E-3</v>
      </c>
      <c r="F35" s="88">
        <f>IFERROR(E35*C35,"")</f>
        <v>16.333333333333336</v>
      </c>
      <c r="G35" s="89">
        <f t="shared" ref="G35:G41" si="9">IFERROR(F35/$F$66,"")</f>
        <v>4.9655040618767747E-4</v>
      </c>
      <c r="H35" s="93" t="s">
        <v>125</v>
      </c>
      <c r="I35" s="93"/>
      <c r="J35" s="91"/>
    </row>
    <row r="36" spans="1:13" ht="13.5" hidden="1" x14ac:dyDescent="0.25">
      <c r="A36" s="86">
        <f t="shared" ref="A36:A41" si="10">+A18</f>
        <v>1375</v>
      </c>
      <c r="B36" s="92" t="str">
        <f>IFERROR(VLOOKUP(H36,[1]SEMIELABORADOS!$A$2:$M$6000,2,0),"")</f>
        <v/>
      </c>
      <c r="C36" s="87">
        <f t="shared" ref="C36:C41" si="11">+A36</f>
        <v>1375</v>
      </c>
      <c r="D36" s="88" t="str">
        <f>IFERROR(VLOOKUP(H36,[1]SEMIELABORADOS!$A$2:$M$6000,6,0),"")</f>
        <v/>
      </c>
      <c r="E36" s="88" t="str">
        <f>IFERROR(VLOOKUP(H36,[1]SEMIELABORADOS!$A$2:$M$65536,10,0),"")</f>
        <v/>
      </c>
      <c r="F36" s="88" t="str">
        <f t="shared" ref="F36:F41" si="12">IFERROR(E36*C36,"")</f>
        <v/>
      </c>
      <c r="G36" s="89" t="str">
        <f t="shared" si="9"/>
        <v/>
      </c>
      <c r="H36" s="93"/>
      <c r="I36" s="93"/>
      <c r="J36" s="91"/>
    </row>
    <row r="37" spans="1:13" ht="13.5" hidden="1" x14ac:dyDescent="0.25">
      <c r="A37" s="86">
        <f t="shared" si="10"/>
        <v>0</v>
      </c>
      <c r="B37" s="92" t="str">
        <f>IFERROR(VLOOKUP(H37,[1]SEMIELABORADOS!$A$2:$M$6000,2,0),"")</f>
        <v/>
      </c>
      <c r="C37" s="87">
        <f t="shared" si="11"/>
        <v>0</v>
      </c>
      <c r="D37" s="88" t="str">
        <f>IFERROR(VLOOKUP(H37,[1]SEMIELABORADOS!$A$2:$M$6000,6,0),"")</f>
        <v/>
      </c>
      <c r="E37" s="88" t="str">
        <f>IFERROR(VLOOKUP(H37,[1]SEMIELABORADOS!$A$2:$M$65536,10,0),"")</f>
        <v/>
      </c>
      <c r="F37" s="88" t="str">
        <f t="shared" si="12"/>
        <v/>
      </c>
      <c r="G37" s="89" t="str">
        <f t="shared" si="9"/>
        <v/>
      </c>
      <c r="H37" s="93"/>
      <c r="I37" s="93"/>
      <c r="J37" s="91"/>
    </row>
    <row r="38" spans="1:13" ht="13.5" hidden="1" x14ac:dyDescent="0.25">
      <c r="A38" s="86">
        <f t="shared" si="10"/>
        <v>0</v>
      </c>
      <c r="B38" s="92" t="str">
        <f>IFERROR(VLOOKUP(H38,[1]SEMIELABORADOS!$A$2:$M$6000,2,0),"")</f>
        <v/>
      </c>
      <c r="C38" s="87">
        <f>+A38</f>
        <v>0</v>
      </c>
      <c r="D38" s="88" t="str">
        <f>IFERROR(VLOOKUP(H38,[1]SEMIELABORADOS!$A$2:$M$6000,6,0),"")</f>
        <v/>
      </c>
      <c r="E38" s="88" t="str">
        <f>IFERROR(VLOOKUP(H38,[1]SEMIELABORADOS!$A$2:$M$65536,10,0),"")</f>
        <v/>
      </c>
      <c r="F38" s="88" t="str">
        <f>IFERROR(E38*C38,"")</f>
        <v/>
      </c>
      <c r="G38" s="89" t="str">
        <f t="shared" si="9"/>
        <v/>
      </c>
      <c r="H38" s="93"/>
      <c r="I38" s="93"/>
      <c r="J38" s="91"/>
    </row>
    <row r="39" spans="1:13" ht="13.5" hidden="1" x14ac:dyDescent="0.25">
      <c r="A39" s="86">
        <f t="shared" si="10"/>
        <v>0</v>
      </c>
      <c r="B39" s="92" t="str">
        <f>IFERROR(VLOOKUP(H39,[1]SEMIELABORADOS!$A$2:$M$6000,2,0),"")</f>
        <v/>
      </c>
      <c r="C39" s="87">
        <f>+A39</f>
        <v>0</v>
      </c>
      <c r="D39" s="88" t="str">
        <f>IFERROR(VLOOKUP(H39,[1]SEMIELABORADOS!$A$2:$M$6000,6,0),"")</f>
        <v/>
      </c>
      <c r="E39" s="88" t="str">
        <f>IFERROR(VLOOKUP(H39,[1]SEMIELABORADOS!$A$2:$M$65536,10,0),"")</f>
        <v/>
      </c>
      <c r="F39" s="88" t="str">
        <f>IFERROR(E39*C39,"")</f>
        <v/>
      </c>
      <c r="G39" s="89" t="str">
        <f t="shared" si="9"/>
        <v/>
      </c>
      <c r="H39" s="93"/>
      <c r="I39" s="93"/>
      <c r="J39" s="91"/>
    </row>
    <row r="40" spans="1:13" ht="13.5" hidden="1" x14ac:dyDescent="0.25">
      <c r="A40" s="86">
        <f t="shared" si="10"/>
        <v>0</v>
      </c>
      <c r="B40" s="92" t="str">
        <f>IFERROR(VLOOKUP(H40,[1]SEMIELABORADOS!$A$2:$M$6000,2,0),"")</f>
        <v/>
      </c>
      <c r="C40" s="87">
        <f t="shared" si="11"/>
        <v>0</v>
      </c>
      <c r="D40" s="88" t="str">
        <f>IFERROR(VLOOKUP(H40,[1]SEMIELABORADOS!$A$2:$M$6000,6,0),"")</f>
        <v/>
      </c>
      <c r="E40" s="88" t="str">
        <f>IFERROR(VLOOKUP(H40,[1]SEMIELABORADOS!$A$2:$M$65536,10,0),"")</f>
        <v/>
      </c>
      <c r="F40" s="88" t="str">
        <f t="shared" si="12"/>
        <v/>
      </c>
      <c r="G40" s="89" t="str">
        <f t="shared" si="9"/>
        <v/>
      </c>
      <c r="H40" s="93"/>
      <c r="I40" s="93"/>
      <c r="J40" s="91"/>
    </row>
    <row r="41" spans="1:13" ht="13.5" hidden="1" x14ac:dyDescent="0.25">
      <c r="A41" s="86">
        <f t="shared" si="10"/>
        <v>0</v>
      </c>
      <c r="B41" s="92" t="str">
        <f>IFERROR(VLOOKUP(H41,[1]SEMIELABORADOS!$A$2:$M$6000,2,0),"")</f>
        <v/>
      </c>
      <c r="C41" s="87">
        <f t="shared" si="11"/>
        <v>0</v>
      </c>
      <c r="D41" s="88" t="str">
        <f>IFERROR(VLOOKUP(H41,[1]SEMIELABORADOS!$A$2:$M$6000,6,0),"")</f>
        <v/>
      </c>
      <c r="E41" s="88" t="str">
        <f>IFERROR(VLOOKUP(H41,[1]SEMIELABORADOS!$A$2:$M$65536,10,0),"")</f>
        <v/>
      </c>
      <c r="F41" s="88" t="str">
        <f t="shared" si="12"/>
        <v/>
      </c>
      <c r="G41" s="89" t="str">
        <f t="shared" si="9"/>
        <v/>
      </c>
      <c r="H41" s="93"/>
      <c r="I41" s="93"/>
      <c r="J41" s="91"/>
    </row>
    <row r="42" spans="1:13" ht="14.25" thickBot="1" x14ac:dyDescent="0.3">
      <c r="A42" s="86"/>
      <c r="B42" s="92"/>
      <c r="C42" s="87"/>
      <c r="D42" s="88"/>
      <c r="E42" s="88"/>
      <c r="F42" s="88"/>
      <c r="G42" s="89"/>
      <c r="H42" s="93"/>
      <c r="I42" s="93"/>
      <c r="J42" s="91"/>
    </row>
    <row r="43" spans="1:13" ht="26.25" thickBot="1" x14ac:dyDescent="0.3">
      <c r="A43" s="81" t="s">
        <v>78</v>
      </c>
      <c r="B43" s="82" t="s">
        <v>87</v>
      </c>
      <c r="C43" s="82" t="s">
        <v>78</v>
      </c>
      <c r="D43" s="83" t="s">
        <v>80</v>
      </c>
      <c r="E43" s="83" t="s">
        <v>81</v>
      </c>
      <c r="F43" s="83" t="s">
        <v>82</v>
      </c>
      <c r="G43" s="83" t="s">
        <v>83</v>
      </c>
      <c r="H43" s="84" t="s">
        <v>84</v>
      </c>
      <c r="I43" s="85"/>
      <c r="J43" s="91"/>
    </row>
    <row r="44" spans="1:13" ht="13.5" x14ac:dyDescent="0.25">
      <c r="A44" s="86">
        <f>+A35</f>
        <v>11100</v>
      </c>
      <c r="B44" s="92" t="str">
        <f>IFERROR(VLOOKUP(H44,[1]SEMIELABORADOS!$A$2:$M$6000,2,0),"")</f>
        <v>BATIDO SOUFFLE (KILO)</v>
      </c>
      <c r="C44" s="87">
        <f>+A44</f>
        <v>11100</v>
      </c>
      <c r="D44" s="88" t="str">
        <f>IFERROR(VLOOKUP(H44,[1]SEMIELABORADOS!$A$2:$M$6000,6,0),"")</f>
        <v>Gramo</v>
      </c>
      <c r="E44" s="88">
        <f>IFERROR(VLOOKUP(H44,[1]SEMIELABORADOS!$A$2:$M$65536,12,0),"")</f>
        <v>0.21682142356756756</v>
      </c>
      <c r="F44" s="88">
        <f>IFERROR(E44*C44,"")</f>
        <v>2406.7178015999998</v>
      </c>
      <c r="G44" s="89">
        <f>IFERROR(F44/$F$66,"")</f>
        <v>7.31667368549139E-2</v>
      </c>
      <c r="H44" s="93" t="s">
        <v>125</v>
      </c>
      <c r="I44" s="85"/>
      <c r="J44" s="91"/>
    </row>
    <row r="45" spans="1:13" ht="13.5" hidden="1" x14ac:dyDescent="0.25">
      <c r="A45" s="86">
        <f t="shared" ref="A45:A50" si="13">+A36</f>
        <v>1375</v>
      </c>
      <c r="B45" s="92" t="str">
        <f>IFERROR(VLOOKUP(H45,[1]SEMIELABORADOS!$A$2:$M$6000,2,0),"")</f>
        <v/>
      </c>
      <c r="C45" s="87">
        <f t="shared" ref="C45:C50" si="14">+A45</f>
        <v>1375</v>
      </c>
      <c r="D45" s="88" t="str">
        <f>IFERROR(VLOOKUP(H45,[1]SEMIELABORADOS!$A$2:$M$6000,6,0),"")</f>
        <v/>
      </c>
      <c r="E45" s="88" t="str">
        <f>IFERROR(VLOOKUP(H45,[1]SEMIELABORADOS!$A$2:$M$65536,12,0),"")</f>
        <v/>
      </c>
      <c r="F45" s="88" t="str">
        <f t="shared" ref="F45:F50" si="15">IFERROR(E45*C45,"")</f>
        <v/>
      </c>
      <c r="G45" s="89" t="str">
        <f t="shared" ref="G45:G50" si="16">IFERROR(F45/$F$66,"")</f>
        <v/>
      </c>
      <c r="H45" s="93"/>
      <c r="I45" s="85"/>
      <c r="J45" s="91"/>
      <c r="M45" s="96"/>
    </row>
    <row r="46" spans="1:13" ht="13.5" hidden="1" x14ac:dyDescent="0.25">
      <c r="A46" s="86">
        <f t="shared" si="13"/>
        <v>0</v>
      </c>
      <c r="B46" s="92" t="str">
        <f>IFERROR(VLOOKUP(H46,[1]SEMIELABORADOS!$A$2:$M$6000,2,0),"")</f>
        <v/>
      </c>
      <c r="C46" s="87">
        <f t="shared" si="14"/>
        <v>0</v>
      </c>
      <c r="D46" s="88" t="str">
        <f>IFERROR(VLOOKUP(H46,[1]SEMIELABORADOS!$A$2:$M$6000,6,0),"")</f>
        <v/>
      </c>
      <c r="E46" s="88" t="str">
        <f>IFERROR(VLOOKUP(H46,[1]SEMIELABORADOS!$A$2:$M$65536,12,0),"")</f>
        <v/>
      </c>
      <c r="F46" s="88" t="str">
        <f t="shared" si="15"/>
        <v/>
      </c>
      <c r="G46" s="89" t="str">
        <f t="shared" si="16"/>
        <v/>
      </c>
      <c r="H46" s="93"/>
      <c r="I46" s="85"/>
      <c r="J46" s="91"/>
    </row>
    <row r="47" spans="1:13" ht="13.5" hidden="1" x14ac:dyDescent="0.25">
      <c r="A47" s="86">
        <f t="shared" si="13"/>
        <v>0</v>
      </c>
      <c r="B47" s="92" t="str">
        <f>IFERROR(VLOOKUP(H47,[1]SEMIELABORADOS!$A$2:$M$6000,2,0),"")</f>
        <v/>
      </c>
      <c r="C47" s="87">
        <f t="shared" si="14"/>
        <v>0</v>
      </c>
      <c r="D47" s="88" t="str">
        <f>IFERROR(VLOOKUP(H47,[1]SEMIELABORADOS!$A$2:$M$6000,6,0),"")</f>
        <v/>
      </c>
      <c r="E47" s="88" t="str">
        <f>IFERROR(VLOOKUP(H47,[1]SEMIELABORADOS!$A$2:$M$65536,12,0),"")</f>
        <v/>
      </c>
      <c r="F47" s="88" t="str">
        <f t="shared" si="15"/>
        <v/>
      </c>
      <c r="G47" s="89" t="str">
        <f t="shared" si="16"/>
        <v/>
      </c>
      <c r="H47" s="93"/>
      <c r="I47" s="85"/>
      <c r="J47" s="91"/>
    </row>
    <row r="48" spans="1:13" ht="13.5" hidden="1" x14ac:dyDescent="0.25">
      <c r="A48" s="86">
        <f t="shared" si="13"/>
        <v>0</v>
      </c>
      <c r="B48" s="92" t="str">
        <f>IFERROR(VLOOKUP(H48,[1]SEMIELABORADOS!$A$2:$M$6000,2,0),"")</f>
        <v/>
      </c>
      <c r="C48" s="87">
        <f t="shared" si="14"/>
        <v>0</v>
      </c>
      <c r="D48" s="88" t="str">
        <f>IFERROR(VLOOKUP(H48,[1]SEMIELABORADOS!$A$2:$M$6000,6,0),"")</f>
        <v/>
      </c>
      <c r="E48" s="88" t="str">
        <f>IFERROR(VLOOKUP(H48,[1]SEMIELABORADOS!$A$2:$M$65536,12,0),"")</f>
        <v/>
      </c>
      <c r="F48" s="88" t="str">
        <f t="shared" si="15"/>
        <v/>
      </c>
      <c r="G48" s="89" t="str">
        <f t="shared" si="16"/>
        <v/>
      </c>
      <c r="H48" s="93"/>
      <c r="I48" s="85"/>
      <c r="J48" s="91"/>
    </row>
    <row r="49" spans="1:17" ht="13.5" hidden="1" x14ac:dyDescent="0.25">
      <c r="A49" s="86">
        <f t="shared" si="13"/>
        <v>0</v>
      </c>
      <c r="B49" s="92" t="str">
        <f>IFERROR(VLOOKUP(H49,[1]SEMIELABORADOS!$A$2:$M$6000,2,0),"")</f>
        <v/>
      </c>
      <c r="C49" s="87">
        <f t="shared" si="14"/>
        <v>0</v>
      </c>
      <c r="D49" s="88" t="str">
        <f>IFERROR(VLOOKUP(H49,[1]SEMIELABORADOS!$A$2:$M$6000,6,0),"")</f>
        <v/>
      </c>
      <c r="E49" s="88" t="str">
        <f>IFERROR(VLOOKUP(H49,[1]SEMIELABORADOS!$A$2:$M$65536,12,0),"")</f>
        <v/>
      </c>
      <c r="F49" s="88" t="str">
        <f t="shared" si="15"/>
        <v/>
      </c>
      <c r="G49" s="89" t="str">
        <f t="shared" si="16"/>
        <v/>
      </c>
      <c r="H49" s="93"/>
      <c r="I49" s="85"/>
      <c r="J49" s="91"/>
    </row>
    <row r="50" spans="1:17" ht="13.5" hidden="1" x14ac:dyDescent="0.25">
      <c r="A50" s="86">
        <f t="shared" si="13"/>
        <v>0</v>
      </c>
      <c r="B50" s="92" t="str">
        <f>IFERROR(VLOOKUP(H50,[1]SEMIELABORADOS!$A$2:$M$6000,2,0),"")</f>
        <v/>
      </c>
      <c r="C50" s="87">
        <f t="shared" si="14"/>
        <v>0</v>
      </c>
      <c r="D50" s="88" t="str">
        <f>IFERROR(VLOOKUP(H50,[1]SEMIELABORADOS!$A$2:$M$6000,6,0),"")</f>
        <v/>
      </c>
      <c r="E50" s="88" t="str">
        <f>IFERROR(VLOOKUP(H50,[1]SEMIELABORADOS!$A$2:$M$65536,12,0),"")</f>
        <v/>
      </c>
      <c r="F50" s="88" t="str">
        <f t="shared" si="15"/>
        <v/>
      </c>
      <c r="G50" s="89" t="str">
        <f t="shared" si="16"/>
        <v/>
      </c>
      <c r="H50" s="92"/>
      <c r="I50" s="85"/>
      <c r="J50" s="91"/>
    </row>
    <row r="51" spans="1:17" ht="13.5" x14ac:dyDescent="0.25">
      <c r="A51" s="86">
        <v>1</v>
      </c>
      <c r="B51" s="92" t="s">
        <v>88</v>
      </c>
      <c r="C51" s="87">
        <f>+A51</f>
        <v>1</v>
      </c>
      <c r="D51" s="87" t="s">
        <v>89</v>
      </c>
      <c r="E51" s="88">
        <f>+F65</f>
        <v>1540</v>
      </c>
      <c r="F51" s="88">
        <f>IFERROR(C51*E51,"")</f>
        <v>1540</v>
      </c>
      <c r="G51" s="89">
        <f>IFERROR(F51/$F$66,"")</f>
        <v>4.6817609726266723E-2</v>
      </c>
      <c r="H51" s="97"/>
      <c r="I51" s="97"/>
      <c r="J51" s="91"/>
    </row>
    <row r="52" spans="1:17" ht="14.25" thickBot="1" x14ac:dyDescent="0.3">
      <c r="A52" s="86"/>
      <c r="B52" s="92"/>
      <c r="C52" s="87"/>
      <c r="D52" s="87"/>
      <c r="E52" s="88"/>
      <c r="F52" s="88"/>
      <c r="G52" s="89"/>
      <c r="H52" s="97"/>
      <c r="I52" s="97"/>
      <c r="J52" s="91"/>
    </row>
    <row r="53" spans="1:17" ht="13.5" thickBot="1" x14ac:dyDescent="0.3">
      <c r="A53" s="98"/>
      <c r="B53" s="236" t="s">
        <v>90</v>
      </c>
      <c r="C53" s="236"/>
      <c r="D53" s="236"/>
      <c r="E53" s="236"/>
      <c r="F53" s="100">
        <f>SUM(F8:F14,F17:F24)</f>
        <v>30638.855383892616</v>
      </c>
      <c r="G53" s="89">
        <f>+F53/$F$66</f>
        <v>0.93145322975494182</v>
      </c>
      <c r="H53" s="101">
        <f>+F53/$D$60</f>
        <v>55.707009788895668</v>
      </c>
      <c r="I53" s="101"/>
      <c r="J53" s="102"/>
      <c r="K53" s="103"/>
      <c r="L53" s="103"/>
      <c r="M53" s="103"/>
      <c r="N53" s="103"/>
      <c r="O53" s="103"/>
      <c r="P53" s="103"/>
      <c r="Q53" s="104"/>
    </row>
    <row r="54" spans="1:17" x14ac:dyDescent="0.2">
      <c r="A54" s="98"/>
      <c r="B54" s="236" t="s">
        <v>91</v>
      </c>
      <c r="C54" s="236"/>
      <c r="D54" s="236"/>
      <c r="E54" s="236"/>
      <c r="F54" s="100">
        <f>SUM(F27:F32,F35:F41)</f>
        <v>101.97333333333333</v>
      </c>
      <c r="G54" s="89">
        <f>+F54/$F$66</f>
        <v>3.1000959236925358E-3</v>
      </c>
      <c r="H54" s="101">
        <f>+F54/$D$60</f>
        <v>0.1854060606060606</v>
      </c>
      <c r="I54" s="101"/>
      <c r="J54" s="105"/>
      <c r="K54" s="237" t="s">
        <v>92</v>
      </c>
      <c r="L54" s="238"/>
      <c r="M54" s="238"/>
      <c r="N54" s="238"/>
      <c r="O54" s="106">
        <f>+F55</f>
        <v>30740.828717225948</v>
      </c>
      <c r="P54" s="106"/>
      <c r="Q54" s="107"/>
    </row>
    <row r="55" spans="1:17" x14ac:dyDescent="0.2">
      <c r="A55" s="98"/>
      <c r="B55" s="236" t="s">
        <v>93</v>
      </c>
      <c r="C55" s="236"/>
      <c r="D55" s="236"/>
      <c r="E55" s="236"/>
      <c r="F55" s="100">
        <f>+F53+F54</f>
        <v>30740.828717225948</v>
      </c>
      <c r="G55" s="89">
        <f>+F55/$F$66</f>
        <v>0.93455332567863436</v>
      </c>
      <c r="H55" s="101">
        <f>+F55/$D$60</f>
        <v>55.892415849501724</v>
      </c>
      <c r="I55" s="101"/>
      <c r="J55" s="108"/>
      <c r="K55" s="109"/>
      <c r="M55" s="110" t="s">
        <v>94</v>
      </c>
      <c r="N55" s="111"/>
      <c r="O55" s="106">
        <f>+H56</f>
        <v>7.1758505483636359</v>
      </c>
      <c r="P55" s="106"/>
      <c r="Q55" s="107"/>
    </row>
    <row r="56" spans="1:17" ht="13.5" thickBot="1" x14ac:dyDescent="0.25">
      <c r="A56" s="98"/>
      <c r="B56" s="99"/>
      <c r="C56" s="236" t="s">
        <v>95</v>
      </c>
      <c r="D56" s="236"/>
      <c r="E56" s="236"/>
      <c r="F56" s="100">
        <f>SUM(F44:F51)</f>
        <v>3946.7178015999998</v>
      </c>
      <c r="G56" s="89">
        <f>+F56/$F$66</f>
        <v>0.11998434658118062</v>
      </c>
      <c r="H56" s="101">
        <f>+F56/$D$60</f>
        <v>7.1758505483636359</v>
      </c>
      <c r="I56" s="101"/>
      <c r="J56" s="108"/>
      <c r="K56" s="109"/>
      <c r="L56" s="109"/>
      <c r="M56" s="109" t="s">
        <v>96</v>
      </c>
      <c r="N56" s="112"/>
      <c r="O56" s="106">
        <f>O54*N56</f>
        <v>0</v>
      </c>
      <c r="P56" s="106"/>
      <c r="Q56" s="107"/>
    </row>
    <row r="57" spans="1:17" ht="13.5" thickBot="1" x14ac:dyDescent="0.25">
      <c r="A57" s="98"/>
      <c r="B57" s="113"/>
      <c r="C57" s="113"/>
      <c r="D57" s="113"/>
      <c r="E57" s="113"/>
      <c r="F57" s="114"/>
      <c r="G57" s="89"/>
      <c r="H57" s="115"/>
      <c r="I57" s="101"/>
      <c r="J57" s="108"/>
      <c r="K57" s="116"/>
      <c r="M57" s="117" t="s">
        <v>97</v>
      </c>
      <c r="N57" s="118"/>
      <c r="O57" s="119">
        <f>SUM(O54:O56)</f>
        <v>30748.004567774311</v>
      </c>
      <c r="P57" s="120"/>
      <c r="Q57" s="107"/>
    </row>
    <row r="58" spans="1:17" x14ac:dyDescent="0.2">
      <c r="B58" s="239" t="s">
        <v>98</v>
      </c>
      <c r="C58" s="239"/>
      <c r="D58" s="121">
        <v>11000</v>
      </c>
      <c r="E58" s="122"/>
      <c r="G58" s="89"/>
      <c r="H58" s="115">
        <f>+H56/77</f>
        <v>9.3192864264462799E-2</v>
      </c>
      <c r="I58" s="123"/>
      <c r="J58" s="108"/>
      <c r="K58" s="116"/>
      <c r="L58" s="109"/>
      <c r="M58" s="109" t="s">
        <v>99</v>
      </c>
      <c r="N58" s="124"/>
      <c r="O58" s="106">
        <f>+H59</f>
        <v>7.735007733950412</v>
      </c>
      <c r="P58" s="106"/>
      <c r="Q58" s="107"/>
    </row>
    <row r="59" spans="1:17" x14ac:dyDescent="0.2">
      <c r="B59" s="239" t="s">
        <v>100</v>
      </c>
      <c r="C59" s="239"/>
      <c r="D59" s="125">
        <v>20</v>
      </c>
      <c r="E59" s="122"/>
      <c r="G59" s="89"/>
      <c r="H59" s="115">
        <f>+H58*83</f>
        <v>7.735007733950412</v>
      </c>
      <c r="I59" s="123"/>
      <c r="J59" s="108"/>
      <c r="K59" s="116"/>
      <c r="L59" s="109"/>
      <c r="M59" s="240" t="s">
        <v>97</v>
      </c>
      <c r="N59" s="240"/>
      <c r="O59" s="106">
        <f>SUM(O57:O58)</f>
        <v>30755.739575508262</v>
      </c>
      <c r="P59" s="106"/>
      <c r="Q59" s="107"/>
    </row>
    <row r="60" spans="1:17" ht="13.5" thickBot="1" x14ac:dyDescent="0.25">
      <c r="B60" s="231" t="s">
        <v>101</v>
      </c>
      <c r="C60" s="231"/>
      <c r="D60" s="121">
        <f>+D58/D59</f>
        <v>550</v>
      </c>
      <c r="E60" s="122"/>
      <c r="F60" s="126"/>
      <c r="G60" s="89"/>
      <c r="H60" s="115"/>
      <c r="I60" s="123"/>
      <c r="J60" s="108"/>
      <c r="K60" s="116"/>
      <c r="L60" s="240"/>
      <c r="M60" s="240"/>
      <c r="N60" s="124"/>
      <c r="O60" s="106">
        <f>+O59*N60</f>
        <v>0</v>
      </c>
      <c r="P60" s="106"/>
      <c r="Q60" s="107"/>
    </row>
    <row r="61" spans="1:17" ht="13.5" thickBot="1" x14ac:dyDescent="0.25">
      <c r="B61" s="231" t="s">
        <v>102</v>
      </c>
      <c r="C61" s="231"/>
      <c r="D61" s="127"/>
      <c r="E61" s="122"/>
      <c r="F61" s="126"/>
      <c r="G61" s="89"/>
      <c r="H61" s="115"/>
      <c r="I61" s="123"/>
      <c r="J61" s="108"/>
      <c r="K61" s="232" t="s">
        <v>103</v>
      </c>
      <c r="L61" s="233"/>
      <c r="M61" s="233"/>
      <c r="N61" s="234"/>
      <c r="O61" s="119">
        <f>SUM(O59:O60)</f>
        <v>30755.739575508262</v>
      </c>
      <c r="P61" s="128" t="s">
        <v>104</v>
      </c>
      <c r="Q61" s="107"/>
    </row>
    <row r="62" spans="1:17" ht="13.5" thickBot="1" x14ac:dyDescent="0.25">
      <c r="C62" s="98" t="s">
        <v>105</v>
      </c>
      <c r="D62" s="129"/>
      <c r="E62" s="72" t="s">
        <v>106</v>
      </c>
      <c r="F62" s="130" t="s">
        <v>107</v>
      </c>
      <c r="G62" s="89"/>
      <c r="H62" s="115"/>
      <c r="I62" s="123"/>
      <c r="J62" s="131"/>
      <c r="K62" s="132"/>
      <c r="L62" s="220" t="s">
        <v>108</v>
      </c>
      <c r="M62" s="220"/>
      <c r="N62" s="220"/>
      <c r="O62" s="133">
        <f>+O61/D60</f>
        <v>55.919526500924114</v>
      </c>
      <c r="P62" s="134">
        <f>+O62/D59</f>
        <v>2.7959763250462055</v>
      </c>
      <c r="Q62" s="135"/>
    </row>
    <row r="63" spans="1:17" ht="13.5" thickBot="1" x14ac:dyDescent="0.25">
      <c r="B63" s="221" t="s">
        <v>93</v>
      </c>
      <c r="C63" s="221"/>
      <c r="D63" s="221"/>
      <c r="E63" s="136">
        <f>+F63/F63</f>
        <v>1</v>
      </c>
      <c r="F63" s="137">
        <f>SUM(F55)</f>
        <v>30740.828717225948</v>
      </c>
      <c r="G63" s="89">
        <f>+F63/$F$66</f>
        <v>0.93455332567863436</v>
      </c>
      <c r="H63" s="115"/>
      <c r="I63" s="123"/>
      <c r="K63" s="222"/>
      <c r="L63" s="223"/>
      <c r="M63" s="223"/>
      <c r="N63" s="223"/>
      <c r="O63" s="138"/>
      <c r="P63" s="139"/>
    </row>
    <row r="64" spans="1:17" ht="13.5" thickBot="1" x14ac:dyDescent="0.3">
      <c r="B64" s="224" t="s">
        <v>109</v>
      </c>
      <c r="C64" s="224"/>
      <c r="D64" s="224"/>
      <c r="E64" s="140">
        <v>0.02</v>
      </c>
      <c r="F64" s="137">
        <f>+F53*E64</f>
        <v>612.77710767785231</v>
      </c>
      <c r="G64" s="89">
        <f>+F64/$F$66</f>
        <v>1.8629064595098836E-2</v>
      </c>
      <c r="H64" s="101"/>
      <c r="I64" s="123"/>
      <c r="J64" s="141"/>
      <c r="O64" s="142"/>
      <c r="P64" s="99"/>
    </row>
    <row r="65" spans="2:13" ht="13.5" thickBot="1" x14ac:dyDescent="0.3">
      <c r="B65" s="225" t="s">
        <v>110</v>
      </c>
      <c r="C65" s="226"/>
      <c r="D65" s="143">
        <v>20</v>
      </c>
      <c r="E65" s="144">
        <v>77</v>
      </c>
      <c r="F65" s="137">
        <f>+E65*D65</f>
        <v>1540</v>
      </c>
      <c r="G65" s="89">
        <f>+F65/$F$66</f>
        <v>4.6817609726266723E-2</v>
      </c>
      <c r="H65" s="101"/>
      <c r="I65" s="101"/>
      <c r="J65" s="91"/>
    </row>
    <row r="66" spans="2:13" ht="13.5" thickBot="1" x14ac:dyDescent="0.3">
      <c r="B66" s="227" t="s">
        <v>111</v>
      </c>
      <c r="C66" s="228"/>
      <c r="D66" s="228"/>
      <c r="E66" s="229"/>
      <c r="F66" s="114">
        <f>SUM(F63:F65)</f>
        <v>32893.605824903803</v>
      </c>
      <c r="G66" s="89">
        <f>+F66/$F$66</f>
        <v>1</v>
      </c>
      <c r="H66" s="230"/>
      <c r="I66" s="101"/>
      <c r="J66" s="91"/>
      <c r="M66" s="74" t="s">
        <v>112</v>
      </c>
    </row>
    <row r="67" spans="2:13" x14ac:dyDescent="0.25">
      <c r="C67" s="96"/>
      <c r="D67" s="96"/>
      <c r="E67" s="146"/>
      <c r="F67" s="137"/>
      <c r="G67" s="89"/>
      <c r="H67" s="230"/>
      <c r="I67" s="145"/>
      <c r="J67" s="74"/>
      <c r="M67" s="74" t="s">
        <v>113</v>
      </c>
    </row>
    <row r="68" spans="2:13" ht="13.5" thickBot="1" x14ac:dyDescent="0.3">
      <c r="B68" s="215" t="s">
        <v>114</v>
      </c>
      <c r="C68" s="215"/>
      <c r="D68" s="215"/>
      <c r="E68" s="215"/>
      <c r="F68" s="215"/>
      <c r="G68" s="89"/>
      <c r="H68" s="148"/>
      <c r="I68" s="145"/>
      <c r="J68" s="74"/>
      <c r="M68" s="74" t="s">
        <v>115</v>
      </c>
    </row>
    <row r="69" spans="2:13" ht="13.5" thickBot="1" x14ac:dyDescent="0.3">
      <c r="B69" s="149" t="s">
        <v>116</v>
      </c>
      <c r="C69" s="150">
        <f>+F53</f>
        <v>30638.855383892616</v>
      </c>
      <c r="D69" s="150">
        <f>+D58</f>
        <v>11000</v>
      </c>
      <c r="E69" s="151">
        <f>+C69/D69</f>
        <v>2.7853504894447831</v>
      </c>
      <c r="F69" s="89"/>
      <c r="G69" s="148"/>
      <c r="H69" s="91"/>
      <c r="I69" s="148"/>
      <c r="J69" s="74"/>
    </row>
    <row r="70" spans="2:13" x14ac:dyDescent="0.25">
      <c r="B70" s="152"/>
      <c r="C70" s="153"/>
      <c r="D70" s="154"/>
      <c r="E70" s="137"/>
      <c r="F70" s="89"/>
      <c r="G70" s="148"/>
      <c r="H70" s="91"/>
      <c r="I70" s="91"/>
      <c r="J70" s="74"/>
    </row>
    <row r="71" spans="2:13" x14ac:dyDescent="0.25">
      <c r="B71" s="149" t="s">
        <v>117</v>
      </c>
      <c r="C71" s="150">
        <f>SUM(F63:F64)</f>
        <v>31353.6058249038</v>
      </c>
      <c r="D71" s="150">
        <f>+D58</f>
        <v>11000</v>
      </c>
      <c r="E71" s="155">
        <f>+C71/D71</f>
        <v>2.850327802263982</v>
      </c>
      <c r="F71" s="89"/>
      <c r="G71" s="148"/>
      <c r="H71" s="91"/>
      <c r="I71" s="91"/>
      <c r="J71" s="74"/>
    </row>
    <row r="72" spans="2:13" x14ac:dyDescent="0.25">
      <c r="B72" s="149"/>
      <c r="C72" s="150"/>
      <c r="D72" s="150"/>
      <c r="E72" s="155"/>
      <c r="F72" s="89"/>
      <c r="G72" s="148"/>
      <c r="H72" s="91"/>
      <c r="I72" s="91"/>
      <c r="J72" s="74"/>
    </row>
    <row r="73" spans="2:13" ht="13.5" thickBot="1" x14ac:dyDescent="0.3">
      <c r="B73" s="149" t="s">
        <v>118</v>
      </c>
      <c r="C73" s="150">
        <f>+F65</f>
        <v>1540</v>
      </c>
      <c r="D73" s="150">
        <f>+D58</f>
        <v>11000</v>
      </c>
      <c r="E73" s="155">
        <f>+C73/D73</f>
        <v>0.14000000000000001</v>
      </c>
      <c r="F73" s="89"/>
      <c r="G73" s="148"/>
      <c r="H73" s="91"/>
      <c r="I73" s="91"/>
      <c r="J73" s="74"/>
    </row>
    <row r="74" spans="2:13" ht="13.5" thickBot="1" x14ac:dyDescent="0.3">
      <c r="B74" s="149" t="s">
        <v>119</v>
      </c>
      <c r="C74" s="150">
        <f>+F56</f>
        <v>3946.7178015999998</v>
      </c>
      <c r="D74" s="150">
        <f>+D73</f>
        <v>11000</v>
      </c>
      <c r="E74" s="151">
        <f>+C74/D74</f>
        <v>0.35879252741818179</v>
      </c>
      <c r="F74" s="89"/>
      <c r="G74" s="148"/>
      <c r="H74" s="91"/>
      <c r="I74" s="91"/>
      <c r="J74" s="74"/>
    </row>
    <row r="75" spans="2:13" ht="13.5" thickBot="1" x14ac:dyDescent="0.3">
      <c r="B75" s="113"/>
      <c r="C75" s="114"/>
      <c r="D75" s="114"/>
      <c r="E75" s="155"/>
      <c r="F75" s="89"/>
      <c r="G75" s="148"/>
      <c r="H75" s="91"/>
      <c r="I75" s="91"/>
      <c r="J75" s="74"/>
    </row>
    <row r="76" spans="2:13" ht="13.5" thickBot="1" x14ac:dyDescent="0.3">
      <c r="B76" s="149" t="s">
        <v>120</v>
      </c>
      <c r="C76" s="150">
        <f>+F54</f>
        <v>101.97333333333333</v>
      </c>
      <c r="D76" s="150">
        <f>+D74</f>
        <v>11000</v>
      </c>
      <c r="E76" s="151">
        <f>+C76/D76</f>
        <v>9.2703030303030298E-3</v>
      </c>
      <c r="F76" s="89"/>
      <c r="G76" s="148"/>
      <c r="H76" s="91"/>
      <c r="I76" s="91"/>
      <c r="J76" s="91"/>
    </row>
    <row r="77" spans="2:13" ht="13.5" thickBot="1" x14ac:dyDescent="0.3">
      <c r="B77" s="113"/>
      <c r="C77" s="114"/>
      <c r="D77" s="114"/>
      <c r="E77" s="155"/>
      <c r="F77" s="89"/>
      <c r="G77" s="148"/>
      <c r="H77" s="91"/>
      <c r="I77" s="91"/>
    </row>
    <row r="78" spans="2:13" ht="13.5" thickBot="1" x14ac:dyDescent="0.3">
      <c r="B78" s="216" t="s">
        <v>121</v>
      </c>
      <c r="C78" s="217"/>
      <c r="D78" s="218"/>
      <c r="E78" s="151">
        <f>+E69+E74</f>
        <v>3.1441430168629649</v>
      </c>
      <c r="G78" s="89"/>
      <c r="H78" s="148"/>
      <c r="I78" s="91"/>
      <c r="J78" s="155"/>
    </row>
    <row r="79" spans="2:13" x14ac:dyDescent="0.25">
      <c r="I79" s="148"/>
      <c r="J79" s="74"/>
    </row>
    <row r="80" spans="2:13" ht="13.5" thickBot="1" x14ac:dyDescent="0.3">
      <c r="B80" s="215" t="s">
        <v>122</v>
      </c>
      <c r="C80" s="215"/>
      <c r="D80" s="215"/>
      <c r="E80" s="215"/>
      <c r="F80" s="215"/>
      <c r="G80" s="89"/>
      <c r="H80" s="148"/>
      <c r="J80" s="74"/>
    </row>
    <row r="81" spans="1:10" ht="13.5" thickBot="1" x14ac:dyDescent="0.3">
      <c r="B81" s="149" t="s">
        <v>116</v>
      </c>
      <c r="C81" s="150">
        <f>+C69</f>
        <v>30638.855383892616</v>
      </c>
      <c r="D81" s="150">
        <f>+D60</f>
        <v>550</v>
      </c>
      <c r="E81" s="151">
        <f>+C81/D81</f>
        <v>55.707009788895668</v>
      </c>
      <c r="F81" s="89"/>
      <c r="G81" s="148"/>
      <c r="H81" s="91"/>
      <c r="I81" s="148"/>
      <c r="J81" s="74"/>
    </row>
    <row r="82" spans="1:10" x14ac:dyDescent="0.25">
      <c r="B82" s="152"/>
      <c r="C82" s="153"/>
      <c r="D82" s="154"/>
      <c r="E82" s="137"/>
      <c r="F82" s="89"/>
      <c r="G82" s="148"/>
      <c r="H82" s="91"/>
      <c r="I82" s="91"/>
      <c r="J82" s="74"/>
    </row>
    <row r="83" spans="1:10" x14ac:dyDescent="0.25">
      <c r="B83" s="149" t="s">
        <v>117</v>
      </c>
      <c r="C83" s="150">
        <f>+C71</f>
        <v>31353.6058249038</v>
      </c>
      <c r="D83" s="150">
        <f>+D60</f>
        <v>550</v>
      </c>
      <c r="E83" s="155">
        <f>+C83/D83</f>
        <v>57.006556045279638</v>
      </c>
      <c r="F83" s="89"/>
      <c r="G83" s="148"/>
      <c r="H83" s="91"/>
      <c r="I83" s="91"/>
      <c r="J83" s="74"/>
    </row>
    <row r="84" spans="1:10" x14ac:dyDescent="0.25">
      <c r="B84" s="149"/>
      <c r="C84" s="150"/>
      <c r="D84" s="150"/>
      <c r="E84" s="155"/>
      <c r="F84" s="89"/>
      <c r="G84" s="148"/>
      <c r="H84" s="91"/>
      <c r="I84" s="91"/>
      <c r="J84" s="74"/>
    </row>
    <row r="85" spans="1:10" ht="13.5" thickBot="1" x14ac:dyDescent="0.3">
      <c r="B85" s="149" t="s">
        <v>119</v>
      </c>
      <c r="C85" s="150">
        <f>+C73</f>
        <v>1540</v>
      </c>
      <c r="D85" s="150">
        <f>+D60</f>
        <v>550</v>
      </c>
      <c r="E85" s="155">
        <f>+C85/D85</f>
        <v>2.8</v>
      </c>
      <c r="F85" s="157"/>
      <c r="G85" s="147"/>
      <c r="H85" s="73"/>
      <c r="I85" s="91"/>
    </row>
    <row r="86" spans="1:10" ht="13.5" thickBot="1" x14ac:dyDescent="0.3">
      <c r="B86" s="149" t="s">
        <v>119</v>
      </c>
      <c r="C86" s="150">
        <f>+C74</f>
        <v>3946.7178015999998</v>
      </c>
      <c r="D86" s="150">
        <f>+D85</f>
        <v>550</v>
      </c>
      <c r="E86" s="151">
        <f>+C86/D86</f>
        <v>7.1758505483636359</v>
      </c>
      <c r="F86" s="156"/>
      <c r="G86" s="147"/>
      <c r="H86" s="73"/>
      <c r="I86" s="73"/>
    </row>
    <row r="87" spans="1:10" x14ac:dyDescent="0.25">
      <c r="I87" s="73"/>
    </row>
    <row r="88" spans="1:10" x14ac:dyDescent="0.2">
      <c r="A88" s="219"/>
      <c r="B88" s="219"/>
      <c r="C88" s="158"/>
      <c r="D88" s="158"/>
      <c r="E88" s="159"/>
      <c r="G88" s="160"/>
    </row>
    <row r="89" spans="1:10" x14ac:dyDescent="0.2">
      <c r="A89" s="92"/>
      <c r="B89" s="161"/>
      <c r="C89" s="162"/>
      <c r="D89" s="162"/>
      <c r="E89" s="163"/>
      <c r="G89" s="160"/>
    </row>
    <row r="90" spans="1:10" x14ac:dyDescent="0.2">
      <c r="A90" s="92"/>
      <c r="B90" s="161"/>
      <c r="C90" s="164"/>
      <c r="D90" s="164"/>
      <c r="E90" s="92"/>
      <c r="G90" s="160"/>
    </row>
    <row r="91" spans="1:10" x14ac:dyDescent="0.2">
      <c r="A91" s="92"/>
      <c r="B91" s="161"/>
      <c r="C91" s="165"/>
      <c r="D91" s="165"/>
      <c r="E91" s="92"/>
      <c r="G91" s="160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A832-0019-41F8-9312-4E04587C9A15}">
  <dimension ref="A1:Q91"/>
  <sheetViews>
    <sheetView topLeftCell="A20" workbookViewId="0">
      <selection activeCell="F54" sqref="F54"/>
    </sheetView>
  </sheetViews>
  <sheetFormatPr baseColWidth="10" defaultColWidth="8.42578125" defaultRowHeight="12.75" x14ac:dyDescent="0.25"/>
  <cols>
    <col min="1" max="1" width="10" style="74" bestFit="1" customWidth="1"/>
    <col min="2" max="2" width="44.28515625" style="74" bestFit="1" customWidth="1"/>
    <col min="3" max="3" width="10.42578125" style="74" bestFit="1" customWidth="1"/>
    <col min="4" max="4" width="10.42578125" style="74" customWidth="1"/>
    <col min="5" max="5" width="11" style="74" customWidth="1"/>
    <col min="6" max="6" width="9.5703125" style="74" bestFit="1" customWidth="1"/>
    <col min="7" max="7" width="10.85546875" style="156" customWidth="1"/>
    <col min="8" max="8" width="10.42578125" style="147" bestFit="1" customWidth="1"/>
    <col min="9" max="9" width="4.5703125" style="147" customWidth="1"/>
    <col min="10" max="10" width="1.85546875" style="73" customWidth="1"/>
    <col min="11" max="11" width="7" style="74" bestFit="1" customWidth="1"/>
    <col min="12" max="12" width="6.28515625" style="74" customWidth="1"/>
    <col min="13" max="13" width="20.42578125" style="74" customWidth="1"/>
    <col min="14" max="14" width="6.42578125" style="74" bestFit="1" customWidth="1"/>
    <col min="15" max="16" width="8.42578125" style="74"/>
    <col min="17" max="17" width="3.28515625" style="74" customWidth="1"/>
    <col min="18" max="16384" width="8.42578125" style="74"/>
  </cols>
  <sheetData>
    <row r="1" spans="1:10" ht="27.75" customHeight="1" x14ac:dyDescent="0.25">
      <c r="A1" s="69"/>
      <c r="B1" s="69"/>
      <c r="C1" s="69"/>
      <c r="D1" s="69"/>
      <c r="E1" s="70" t="s">
        <v>72</v>
      </c>
      <c r="F1" s="71" t="s">
        <v>73</v>
      </c>
      <c r="G1" s="71" t="s">
        <v>74</v>
      </c>
      <c r="H1" s="71" t="s">
        <v>75</v>
      </c>
      <c r="I1" s="72"/>
    </row>
    <row r="2" spans="1:10" ht="30.75" customHeight="1" x14ac:dyDescent="0.25">
      <c r="A2" s="69"/>
      <c r="B2" s="69"/>
      <c r="C2" s="69"/>
      <c r="D2" s="69"/>
      <c r="E2" s="75">
        <f>IFERROR(O62,"")</f>
        <v>256.74492390223691</v>
      </c>
      <c r="F2" s="75">
        <f>IFERROR(H53,"")</f>
        <v>197.82630978889566</v>
      </c>
      <c r="G2" s="75">
        <f>IFERROR(H54,"")</f>
        <v>32.690035910579404</v>
      </c>
      <c r="H2" s="75">
        <f>IFERROR(H56,"")</f>
        <v>100.98002608063301</v>
      </c>
      <c r="I2" s="76"/>
    </row>
    <row r="3" spans="1:10" ht="15" customHeight="1" x14ac:dyDescent="0.25">
      <c r="A3" s="69"/>
      <c r="B3" s="69"/>
      <c r="C3" s="69"/>
      <c r="D3" s="69"/>
      <c r="E3" s="69"/>
      <c r="F3" s="77"/>
      <c r="G3" s="77"/>
      <c r="H3" s="77"/>
      <c r="I3" s="77"/>
    </row>
    <row r="4" spans="1:10" ht="24.75" customHeight="1" thickBot="1" x14ac:dyDescent="0.3">
      <c r="A4" s="241"/>
      <c r="B4" s="241"/>
      <c r="C4" s="241"/>
      <c r="D4" s="241"/>
      <c r="E4" s="241"/>
      <c r="F4" s="241"/>
      <c r="G4" s="241"/>
      <c r="H4" s="241"/>
      <c r="I4" s="78"/>
    </row>
    <row r="5" spans="1:10" ht="19.5" customHeight="1" thickBot="1" x14ac:dyDescent="0.3">
      <c r="A5" s="242" t="s">
        <v>76</v>
      </c>
      <c r="B5" s="243"/>
      <c r="C5" s="243"/>
      <c r="D5" s="243"/>
      <c r="E5" s="243"/>
      <c r="F5" s="243"/>
      <c r="G5" s="243"/>
      <c r="H5" s="244"/>
      <c r="I5" s="79"/>
    </row>
    <row r="6" spans="1:10" ht="19.5" thickBot="1" x14ac:dyDescent="0.3">
      <c r="A6" s="79"/>
      <c r="B6" s="79"/>
      <c r="C6" s="79"/>
      <c r="D6" s="79"/>
      <c r="E6" s="79"/>
      <c r="F6" s="245" t="s">
        <v>77</v>
      </c>
      <c r="G6" s="245"/>
      <c r="H6" s="80">
        <f ca="1">TODAY()</f>
        <v>45918</v>
      </c>
      <c r="I6" s="80"/>
    </row>
    <row r="7" spans="1:10" ht="26.25" hidden="1" thickBot="1" x14ac:dyDescent="0.3">
      <c r="A7" s="81" t="s">
        <v>78</v>
      </c>
      <c r="B7" s="82" t="s">
        <v>79</v>
      </c>
      <c r="C7" s="82" t="s">
        <v>78</v>
      </c>
      <c r="D7" s="83" t="s">
        <v>80</v>
      </c>
      <c r="E7" s="83" t="s">
        <v>81</v>
      </c>
      <c r="F7" s="83" t="s">
        <v>82</v>
      </c>
      <c r="G7" s="83" t="s">
        <v>83</v>
      </c>
      <c r="H7" s="84" t="s">
        <v>84</v>
      </c>
      <c r="I7" s="85"/>
    </row>
    <row r="8" spans="1:10" ht="13.5" hidden="1" x14ac:dyDescent="0.25">
      <c r="A8" s="86"/>
      <c r="B8" s="74" t="str">
        <f>IFERROR(VLOOKUP(H8,'[1]Consolidado MP Planta'!$A$2:$M$823,3,0),"")</f>
        <v/>
      </c>
      <c r="C8" s="87">
        <f>+A8</f>
        <v>0</v>
      </c>
      <c r="D8" s="88" t="str">
        <f>IFERROR(VLOOKUP(H8,'[1]Consolidado MP Planta'!$A$2:$M$823,13,0),"")</f>
        <v/>
      </c>
      <c r="E8" s="88" t="str">
        <f>IFERROR(VLOOKUP(H8,'[1]Consolidado MP Planta'!$A$2:$M$823,12,0),"")</f>
        <v/>
      </c>
      <c r="F8" s="88" t="str">
        <f>IFERROR(C8*E8,"")</f>
        <v/>
      </c>
      <c r="G8" s="89" t="str">
        <f t="shared" ref="G8:G14" si="0">IFERROR(F8/$F$66,"")</f>
        <v/>
      </c>
      <c r="H8" s="90"/>
      <c r="I8" s="90"/>
      <c r="J8" s="91"/>
    </row>
    <row r="9" spans="1:10" ht="13.5" hidden="1" x14ac:dyDescent="0.25">
      <c r="A9" s="86"/>
      <c r="B9" s="74" t="str">
        <f>IFERROR(VLOOKUP(H9,'[1]Consolidado MP Planta'!$A$2:$M$823,3,0),"")</f>
        <v/>
      </c>
      <c r="C9" s="87">
        <f t="shared" ref="C9:C14" si="1">+A9</f>
        <v>0</v>
      </c>
      <c r="D9" s="88" t="str">
        <f>IFERROR(VLOOKUP(H9,'[1]Consolidado MP Planta'!$A$2:$M$823,13,0),"")</f>
        <v/>
      </c>
      <c r="E9" s="88" t="str">
        <f>IFERROR(VLOOKUP(H9,'[1]Consolidado MP Planta'!$A$2:$M$823,12,0),"")</f>
        <v/>
      </c>
      <c r="F9" s="88" t="str">
        <f t="shared" ref="F9:F14" si="2">IFERROR(C9*E9,"")</f>
        <v/>
      </c>
      <c r="G9" s="89" t="str">
        <f t="shared" si="0"/>
        <v/>
      </c>
      <c r="H9" s="90"/>
      <c r="I9" s="90"/>
      <c r="J9" s="91"/>
    </row>
    <row r="10" spans="1:10" ht="13.5" hidden="1" x14ac:dyDescent="0.25">
      <c r="A10" s="86"/>
      <c r="B10" s="74" t="str">
        <f>IFERROR(VLOOKUP(H10,'[1]Consolidado MP Planta'!$A$2:$M$823,3,0),"")</f>
        <v/>
      </c>
      <c r="C10" s="87">
        <f t="shared" si="1"/>
        <v>0</v>
      </c>
      <c r="D10" s="88" t="str">
        <f>IFERROR(VLOOKUP(H10,'[1]Consolidado MP Planta'!$A$2:$M$823,13,0),"")</f>
        <v/>
      </c>
      <c r="E10" s="88" t="str">
        <f>IFERROR(VLOOKUP(H10,'[1]Consolidado MP Planta'!$A$2:$M$823,12,0),"")</f>
        <v/>
      </c>
      <c r="F10" s="88" t="str">
        <f t="shared" si="2"/>
        <v/>
      </c>
      <c r="G10" s="89" t="str">
        <f t="shared" si="0"/>
        <v/>
      </c>
      <c r="H10" s="90"/>
      <c r="I10" s="90"/>
      <c r="J10" s="91"/>
    </row>
    <row r="11" spans="1:10" ht="13.5" hidden="1" x14ac:dyDescent="0.25">
      <c r="A11" s="86"/>
      <c r="B11" s="74" t="str">
        <f>IFERROR(VLOOKUP(H11,'[1]Consolidado MP Planta'!$A$2:$M$823,3,0),"")</f>
        <v/>
      </c>
      <c r="C11" s="87">
        <f t="shared" si="1"/>
        <v>0</v>
      </c>
      <c r="D11" s="88" t="str">
        <f>IFERROR(VLOOKUP(H11,'[1]Consolidado MP Planta'!$A$2:$M$823,13,0),"")</f>
        <v/>
      </c>
      <c r="E11" s="88" t="str">
        <f>IFERROR(VLOOKUP(H11,'[1]Consolidado MP Planta'!$A$2:$M$823,12,0),"")</f>
        <v/>
      </c>
      <c r="F11" s="88" t="str">
        <f t="shared" si="2"/>
        <v/>
      </c>
      <c r="G11" s="89" t="str">
        <f t="shared" si="0"/>
        <v/>
      </c>
      <c r="H11" s="90"/>
      <c r="I11" s="90"/>
      <c r="J11" s="91"/>
    </row>
    <row r="12" spans="1:10" ht="13.5" hidden="1" x14ac:dyDescent="0.25">
      <c r="A12" s="86"/>
      <c r="B12" s="74" t="str">
        <f>IFERROR(VLOOKUP(H12,'[1]Consolidado MP Planta'!$A$2:$M$823,3,0),"")</f>
        <v/>
      </c>
      <c r="C12" s="87">
        <f t="shared" si="1"/>
        <v>0</v>
      </c>
      <c r="D12" s="88" t="str">
        <f>IFERROR(VLOOKUP(H12,'[1]Consolidado MP Planta'!$A$2:$M$823,13,0),"")</f>
        <v/>
      </c>
      <c r="E12" s="88" t="str">
        <f>IFERROR(VLOOKUP(H12,'[1]Consolidado MP Planta'!$A$2:$M$823,12,0),"")</f>
        <v/>
      </c>
      <c r="F12" s="88" t="str">
        <f t="shared" si="2"/>
        <v/>
      </c>
      <c r="G12" s="89" t="str">
        <f t="shared" si="0"/>
        <v/>
      </c>
      <c r="H12" s="90"/>
      <c r="I12" s="90"/>
      <c r="J12" s="91"/>
    </row>
    <row r="13" spans="1:10" ht="13.5" hidden="1" x14ac:dyDescent="0.25">
      <c r="A13" s="86"/>
      <c r="B13" s="74" t="str">
        <f>IFERROR(VLOOKUP(H13,'[1]Consolidado MP Planta'!$A$2:$M$823,3,0),"")</f>
        <v/>
      </c>
      <c r="C13" s="87">
        <f t="shared" si="1"/>
        <v>0</v>
      </c>
      <c r="D13" s="88" t="str">
        <f>IFERROR(VLOOKUP(H13,'[1]Consolidado MP Planta'!$A$2:$M$823,13,0),"")</f>
        <v/>
      </c>
      <c r="E13" s="88" t="str">
        <f>IFERROR(VLOOKUP(H13,'[1]Consolidado MP Planta'!$A$2:$M$823,12,0),"")</f>
        <v/>
      </c>
      <c r="F13" s="88" t="str">
        <f t="shared" si="2"/>
        <v/>
      </c>
      <c r="G13" s="89" t="str">
        <f t="shared" si="0"/>
        <v/>
      </c>
      <c r="H13" s="90"/>
      <c r="I13" s="90"/>
      <c r="J13" s="91"/>
    </row>
    <row r="14" spans="1:10" ht="13.5" hidden="1" x14ac:dyDescent="0.25">
      <c r="A14" s="86"/>
      <c r="B14" s="74" t="str">
        <f>IFERROR(VLOOKUP(H14,'[1]Consolidado MP Planta'!$A$2:$M$823,3,0),"")</f>
        <v/>
      </c>
      <c r="C14" s="87">
        <f t="shared" si="1"/>
        <v>0</v>
      </c>
      <c r="D14" s="88" t="str">
        <f>IFERROR(VLOOKUP(H14,'[1]Consolidado MP Planta'!$A$2:$M$823,13,0),"")</f>
        <v/>
      </c>
      <c r="E14" s="88" t="str">
        <f>IFERROR(VLOOKUP(H14,'[1]Consolidado MP Planta'!$A$2:$M$823,12,0),"")</f>
        <v/>
      </c>
      <c r="F14" s="88" t="str">
        <f t="shared" si="2"/>
        <v/>
      </c>
      <c r="G14" s="89" t="str">
        <f t="shared" si="0"/>
        <v/>
      </c>
      <c r="H14" s="90"/>
      <c r="I14" s="90"/>
      <c r="J14" s="91"/>
    </row>
    <row r="15" spans="1:10" ht="14.25" hidden="1" thickBot="1" x14ac:dyDescent="0.3">
      <c r="A15" s="86"/>
      <c r="B15" s="74" t="str">
        <f>IFERROR(VLOOKUP(H15,[2]Hoja2!$A$2:$G$589,2,0),"")</f>
        <v/>
      </c>
      <c r="C15" s="87"/>
      <c r="D15" s="88"/>
      <c r="E15" s="88"/>
      <c r="F15" s="88"/>
      <c r="G15" s="89"/>
      <c r="H15" s="90"/>
      <c r="I15" s="90"/>
      <c r="J15" s="91"/>
    </row>
    <row r="16" spans="1:10" ht="26.25" thickBot="1" x14ac:dyDescent="0.3">
      <c r="A16" s="81" t="s">
        <v>78</v>
      </c>
      <c r="B16" s="82" t="s">
        <v>85</v>
      </c>
      <c r="C16" s="82" t="s">
        <v>78</v>
      </c>
      <c r="D16" s="83" t="s">
        <v>80</v>
      </c>
      <c r="E16" s="83" t="s">
        <v>81</v>
      </c>
      <c r="F16" s="83" t="s">
        <v>82</v>
      </c>
      <c r="G16" s="83" t="s">
        <v>83</v>
      </c>
      <c r="H16" s="84" t="s">
        <v>84</v>
      </c>
      <c r="I16" s="85"/>
      <c r="J16" s="91"/>
    </row>
    <row r="17" spans="1:12" ht="13.5" x14ac:dyDescent="0.25">
      <c r="A17" s="86">
        <v>8</v>
      </c>
      <c r="B17" s="74" t="s">
        <v>68</v>
      </c>
      <c r="C17" s="87">
        <f>+A17</f>
        <v>8</v>
      </c>
      <c r="D17" s="87" t="s">
        <v>130</v>
      </c>
      <c r="E17" s="88">
        <f>+'COSTO ROSQUETE'!H53</f>
        <v>55.707009788895668</v>
      </c>
      <c r="F17" s="88">
        <f>IFERROR(E17*C17,"")</f>
        <v>445.65607831116534</v>
      </c>
      <c r="G17" s="89">
        <f t="shared" ref="G17:G24" si="3">IFERROR(F17/$F$66,"")</f>
        <v>0.1788502781957515</v>
      </c>
      <c r="H17" s="90"/>
      <c r="I17" s="90"/>
      <c r="J17" s="91"/>
    </row>
    <row r="18" spans="1:12" ht="13.5" x14ac:dyDescent="0.25">
      <c r="A18" s="86">
        <v>560</v>
      </c>
      <c r="B18" s="74" t="s">
        <v>38</v>
      </c>
      <c r="C18" s="87">
        <f t="shared" ref="C18:C24" si="4">+A18</f>
        <v>560</v>
      </c>
      <c r="D18" s="87" t="s">
        <v>132</v>
      </c>
      <c r="E18" s="88">
        <f>+'COSTO MEZCLA LECHES SALT CARAM'!E69</f>
        <v>1.16899</v>
      </c>
      <c r="F18" s="88">
        <f t="shared" ref="F18:F24" si="5">IFERROR(E18*C18,"")</f>
        <v>654.63440000000003</v>
      </c>
      <c r="G18" s="89">
        <f t="shared" si="3"/>
        <v>0.26271726170592108</v>
      </c>
      <c r="H18" s="90"/>
      <c r="I18" s="90"/>
      <c r="J18" s="91"/>
    </row>
    <row r="19" spans="1:12" ht="13.5" x14ac:dyDescent="0.25">
      <c r="A19" s="86">
        <v>200</v>
      </c>
      <c r="B19" s="74" t="s">
        <v>50</v>
      </c>
      <c r="C19" s="87">
        <f>+A19</f>
        <v>200</v>
      </c>
      <c r="D19" s="87" t="s">
        <v>132</v>
      </c>
      <c r="E19" s="88">
        <v>2.27</v>
      </c>
      <c r="F19" s="88">
        <f>IFERROR(E19*C19,"")</f>
        <v>454</v>
      </c>
      <c r="G19" s="89">
        <f t="shared" si="3"/>
        <v>0.18219885300022143</v>
      </c>
      <c r="H19" s="90" t="s">
        <v>49</v>
      </c>
      <c r="I19" s="90"/>
      <c r="J19" s="91"/>
    </row>
    <row r="20" spans="1:12" ht="13.5" x14ac:dyDescent="0.25">
      <c r="A20" s="86">
        <v>16</v>
      </c>
      <c r="B20" s="74" t="s">
        <v>40</v>
      </c>
      <c r="C20" s="87">
        <f>+A20</f>
        <v>16</v>
      </c>
      <c r="D20" s="87" t="s">
        <v>132</v>
      </c>
      <c r="E20" s="88">
        <v>1.77</v>
      </c>
      <c r="F20" s="88">
        <f>IFERROR(E20*C20,"")</f>
        <v>28.32</v>
      </c>
      <c r="G20" s="89">
        <f t="shared" si="3"/>
        <v>1.1365355764242888E-2</v>
      </c>
      <c r="H20" s="90" t="s">
        <v>39</v>
      </c>
      <c r="I20" s="90"/>
      <c r="J20" s="91"/>
    </row>
    <row r="21" spans="1:12" ht="13.5" hidden="1" x14ac:dyDescent="0.25">
      <c r="A21" s="86"/>
      <c r="B21" s="74" t="str">
        <f>IFERROR(VLOOKUP(H21,[1]SEMIELABORADOS!$A$2:$M$6000,2,0),"")</f>
        <v/>
      </c>
      <c r="C21" s="87">
        <f>+A21</f>
        <v>0</v>
      </c>
      <c r="D21" s="87" t="str">
        <f>IFERROR(VLOOKUP(H21,[1]SEMIELABORADOS!$A$2:$M$6000,6,0),"")</f>
        <v/>
      </c>
      <c r="E21" s="88" t="str">
        <f>IFERROR(VLOOKUP(H21,[1]SEMIELABORADOS!$A$2:$H$65536,8,0),"")</f>
        <v/>
      </c>
      <c r="F21" s="88" t="str">
        <f>IFERROR(E21*C21,"")</f>
        <v/>
      </c>
      <c r="G21" s="89" t="str">
        <f t="shared" si="3"/>
        <v/>
      </c>
      <c r="H21" s="90"/>
      <c r="I21" s="90"/>
      <c r="J21" s="91"/>
    </row>
    <row r="22" spans="1:12" ht="13.5" hidden="1" x14ac:dyDescent="0.25">
      <c r="A22" s="86"/>
      <c r="B22" s="74" t="str">
        <f>IFERROR(VLOOKUP(H22,[1]SEMIELABORADOS!$A$2:$M$6000,2,0),"")</f>
        <v/>
      </c>
      <c r="C22" s="87">
        <f t="shared" si="4"/>
        <v>0</v>
      </c>
      <c r="D22" s="87" t="str">
        <f>IFERROR(VLOOKUP(H22,[1]SEMIELABORADOS!$A$2:$M$6000,6,0),"")</f>
        <v/>
      </c>
      <c r="E22" s="88" t="str">
        <f>IFERROR(VLOOKUP(H22,[1]SEMIELABORADOS!$A$2:$H$65536,8,0),"")</f>
        <v/>
      </c>
      <c r="F22" s="88" t="str">
        <f t="shared" si="5"/>
        <v/>
      </c>
      <c r="G22" s="89" t="str">
        <f t="shared" si="3"/>
        <v/>
      </c>
      <c r="H22" s="90"/>
      <c r="I22" s="90"/>
      <c r="J22" s="91"/>
    </row>
    <row r="23" spans="1:12" ht="13.5" hidden="1" x14ac:dyDescent="0.25">
      <c r="A23" s="86"/>
      <c r="B23" s="74" t="str">
        <f>IFERROR(VLOOKUP(H23,[1]SEMIELABORADOS!$A$2:$M$6000,2,0),"")</f>
        <v/>
      </c>
      <c r="C23" s="87">
        <f t="shared" si="4"/>
        <v>0</v>
      </c>
      <c r="D23" s="87" t="str">
        <f>IFERROR(VLOOKUP(H23,[1]SEMIELABORADOS!$A$2:$M$6000,6,0),"")</f>
        <v/>
      </c>
      <c r="E23" s="88" t="str">
        <f>IFERROR(VLOOKUP(H23,[1]SEMIELABORADOS!$A$2:$H$65536,8,0),"")</f>
        <v/>
      </c>
      <c r="F23" s="88" t="str">
        <f t="shared" si="5"/>
        <v/>
      </c>
      <c r="G23" s="89" t="str">
        <f t="shared" si="3"/>
        <v/>
      </c>
      <c r="H23" s="90"/>
      <c r="I23" s="90"/>
      <c r="J23" s="91"/>
    </row>
    <row r="24" spans="1:12" ht="13.5" hidden="1" x14ac:dyDescent="0.25">
      <c r="A24" s="86"/>
      <c r="B24" s="74" t="str">
        <f>IFERROR(VLOOKUP(H24,[1]SEMIELABORADOS!$A$2:$M$6000,2,0),"")</f>
        <v/>
      </c>
      <c r="C24" s="87">
        <f t="shared" si="4"/>
        <v>0</v>
      </c>
      <c r="D24" s="87" t="str">
        <f>IFERROR(VLOOKUP(H24,[1]SEMIELABORADOS!$A$2:$M$6000,6,0),"")</f>
        <v/>
      </c>
      <c r="E24" s="88" t="str">
        <f>IFERROR(VLOOKUP(H24,[1]SEMIELABORADOS!$A$2:$H$65536,8,0),"")</f>
        <v/>
      </c>
      <c r="F24" s="88" t="str">
        <f t="shared" si="5"/>
        <v/>
      </c>
      <c r="G24" s="89" t="str">
        <f t="shared" si="3"/>
        <v/>
      </c>
      <c r="H24" s="90"/>
      <c r="I24" s="90"/>
      <c r="J24" s="91"/>
    </row>
    <row r="25" spans="1:12" ht="14.25" thickBot="1" x14ac:dyDescent="0.3">
      <c r="A25" s="86"/>
      <c r="C25" s="87"/>
      <c r="D25" s="87"/>
      <c r="E25" s="88"/>
      <c r="F25" s="88"/>
      <c r="G25" s="89"/>
      <c r="H25" s="90"/>
      <c r="I25" s="90"/>
      <c r="J25" s="91"/>
    </row>
    <row r="26" spans="1:12" ht="26.25" thickBot="1" x14ac:dyDescent="0.3">
      <c r="A26" s="81" t="s">
        <v>78</v>
      </c>
      <c r="B26" s="82" t="s">
        <v>41</v>
      </c>
      <c r="C26" s="82" t="s">
        <v>78</v>
      </c>
      <c r="D26" s="83" t="s">
        <v>80</v>
      </c>
      <c r="E26" s="83" t="s">
        <v>81</v>
      </c>
      <c r="F26" s="83" t="s">
        <v>82</v>
      </c>
      <c r="G26" s="83" t="s">
        <v>83</v>
      </c>
      <c r="H26" s="84" t="s">
        <v>84</v>
      </c>
      <c r="I26" s="85"/>
    </row>
    <row r="27" spans="1:12" ht="13.5" x14ac:dyDescent="0.25">
      <c r="A27" s="86">
        <v>8</v>
      </c>
      <c r="B27" s="92" t="str">
        <f>IFERROR(VLOOKUP(H27,'[1]Consolidado MP Planta'!$A$2:$M$823,3,0),"")</f>
        <v>ETIQ.BLANCA 1 1/4 * 3/4 (UND)</v>
      </c>
      <c r="C27" s="87">
        <f t="shared" ref="C27:C32" si="6">+A27</f>
        <v>8</v>
      </c>
      <c r="D27" s="88" t="str">
        <f>IFERROR(VLOOKUP(H27,'[1]Consolidado MP Planta'!$A$2:$M$823,13,0),"")</f>
        <v>Und</v>
      </c>
      <c r="E27" s="88">
        <f>IFERROR(VLOOKUP(H27,'[1]Consolidado MP Planta'!$A$2:$M$823,12,0),"")</f>
        <v>0.57999999999999996</v>
      </c>
      <c r="F27" s="88">
        <f t="shared" ref="F27:F32" si="7">IFERROR(C27*E27,"")</f>
        <v>4.6399999999999997</v>
      </c>
      <c r="G27" s="89">
        <f t="shared" ref="G27:G32" si="8">IFERROR(F27/$F$66,"")</f>
        <v>1.8621204359493995E-3</v>
      </c>
      <c r="H27" s="93" t="s">
        <v>133</v>
      </c>
      <c r="I27" s="93"/>
      <c r="J27" s="91"/>
      <c r="K27" s="235"/>
      <c r="L27" s="235"/>
    </row>
    <row r="28" spans="1:12" ht="13.5" x14ac:dyDescent="0.25">
      <c r="A28" s="86">
        <v>8</v>
      </c>
      <c r="B28" s="92" t="str">
        <f>IFERROR(VLOOKUP(H28,'[1]Consolidado MP Planta'!$A$2:$M$823,3,0),"")</f>
        <v>ETIQ.FECHA VENCIMIENTO BLANCO (ROLLO)</v>
      </c>
      <c r="C28" s="87">
        <f t="shared" si="6"/>
        <v>8</v>
      </c>
      <c r="D28" s="88" t="str">
        <f>IFERROR(VLOOKUP(H28,'[1]Consolidado MP Planta'!$A$2:$M$823,13,0),"")</f>
        <v>Gramos</v>
      </c>
      <c r="E28" s="88">
        <f>IFERROR(VLOOKUP(H28,'[1]Consolidado MP Planta'!$A$2:$M$823,12,0),"")</f>
        <v>0.33333333333333331</v>
      </c>
      <c r="F28" s="88">
        <f t="shared" si="7"/>
        <v>2.6666666666666665</v>
      </c>
      <c r="G28" s="89">
        <f t="shared" si="8"/>
        <v>1.0701841585916089E-3</v>
      </c>
      <c r="H28" s="93" t="s">
        <v>134</v>
      </c>
      <c r="I28" s="93"/>
      <c r="J28" s="91"/>
      <c r="K28" s="235"/>
      <c r="L28" s="235"/>
    </row>
    <row r="29" spans="1:12" ht="13.5" x14ac:dyDescent="0.25">
      <c r="A29" s="86">
        <v>8</v>
      </c>
      <c r="B29" s="5" t="s">
        <v>47</v>
      </c>
      <c r="C29" s="87">
        <f t="shared" si="6"/>
        <v>8</v>
      </c>
      <c r="D29" s="88" t="s">
        <v>128</v>
      </c>
      <c r="E29" s="88">
        <v>3.8</v>
      </c>
      <c r="F29" s="88">
        <f t="shared" si="7"/>
        <v>30.4</v>
      </c>
      <c r="G29" s="89">
        <f t="shared" si="8"/>
        <v>1.2200099407944342E-2</v>
      </c>
      <c r="H29" s="93" t="s">
        <v>46</v>
      </c>
      <c r="I29" s="93"/>
      <c r="J29" s="91"/>
      <c r="K29" s="235"/>
      <c r="L29" s="235"/>
    </row>
    <row r="30" spans="1:12" ht="13.5" x14ac:dyDescent="0.25">
      <c r="A30" s="86">
        <v>8</v>
      </c>
      <c r="B30" s="92" t="s">
        <v>69</v>
      </c>
      <c r="C30" s="87">
        <f t="shared" si="6"/>
        <v>8</v>
      </c>
      <c r="D30" s="88" t="s">
        <v>128</v>
      </c>
      <c r="E30" s="88">
        <v>27.44</v>
      </c>
      <c r="F30" s="88">
        <f t="shared" si="7"/>
        <v>219.52</v>
      </c>
      <c r="G30" s="89">
        <f t="shared" si="8"/>
        <v>8.8097559935261263E-2</v>
      </c>
      <c r="H30" s="93"/>
      <c r="I30" s="93"/>
      <c r="J30" s="91"/>
      <c r="K30" s="235"/>
      <c r="L30" s="235"/>
    </row>
    <row r="31" spans="1:12" ht="13.5" hidden="1" x14ac:dyDescent="0.25">
      <c r="A31" s="86"/>
      <c r="B31" s="92" t="str">
        <f>IFERROR(VLOOKUP(H31,'[1]Consolidado MP Planta'!$A$2:$M$823,3,0),"")</f>
        <v/>
      </c>
      <c r="C31" s="87">
        <f t="shared" si="6"/>
        <v>0</v>
      </c>
      <c r="D31" s="88" t="str">
        <f>IFERROR(VLOOKUP(H31,'[1]Consolidado MP Planta'!$A$2:$M$823,13,0),"")</f>
        <v/>
      </c>
      <c r="E31" s="88" t="str">
        <f>IFERROR(VLOOKUP(H31,'[1]Consolidado MP Planta'!$A$2:$M$823,12,0),"")</f>
        <v/>
      </c>
      <c r="F31" s="88" t="str">
        <f t="shared" si="7"/>
        <v/>
      </c>
      <c r="G31" s="89" t="str">
        <f t="shared" si="8"/>
        <v/>
      </c>
      <c r="H31" s="93"/>
      <c r="I31" s="93"/>
      <c r="J31" s="91"/>
      <c r="K31" s="94"/>
      <c r="L31" s="95"/>
    </row>
    <row r="32" spans="1:12" ht="13.5" hidden="1" x14ac:dyDescent="0.25">
      <c r="A32" s="86"/>
      <c r="B32" s="92" t="str">
        <f>IFERROR(VLOOKUP(H32,'[1]Consolidado MP Planta'!$A$2:$M$823,3,0),"")</f>
        <v/>
      </c>
      <c r="C32" s="87">
        <f t="shared" si="6"/>
        <v>0</v>
      </c>
      <c r="D32" s="88" t="str">
        <f>IFERROR(VLOOKUP(H32,'[1]Consolidado MP Planta'!$A$2:$M$823,13,0),"")</f>
        <v/>
      </c>
      <c r="E32" s="88" t="str">
        <f>IFERROR(VLOOKUP(H32,'[1]Consolidado MP Planta'!$A$2:$M$823,12,0),"")</f>
        <v/>
      </c>
      <c r="F32" s="88" t="str">
        <f t="shared" si="7"/>
        <v/>
      </c>
      <c r="G32" s="89" t="str">
        <f t="shared" si="8"/>
        <v/>
      </c>
      <c r="H32" s="93"/>
      <c r="I32" s="93"/>
      <c r="J32" s="91"/>
    </row>
    <row r="33" spans="1:13" ht="14.25" thickBot="1" x14ac:dyDescent="0.3">
      <c r="A33" s="86"/>
      <c r="B33" s="92"/>
      <c r="C33" s="87"/>
      <c r="D33" s="88"/>
      <c r="E33" s="88"/>
      <c r="F33" s="88"/>
      <c r="G33" s="89"/>
      <c r="H33" s="93"/>
      <c r="I33" s="93"/>
      <c r="J33" s="91"/>
    </row>
    <row r="34" spans="1:13" ht="26.25" thickBot="1" x14ac:dyDescent="0.25">
      <c r="A34" s="81" t="s">
        <v>78</v>
      </c>
      <c r="B34" s="82" t="s">
        <v>86</v>
      </c>
      <c r="C34" s="82" t="s">
        <v>78</v>
      </c>
      <c r="D34" s="83" t="s">
        <v>80</v>
      </c>
      <c r="E34" s="83" t="s">
        <v>81</v>
      </c>
      <c r="F34" s="83" t="s">
        <v>82</v>
      </c>
      <c r="G34" s="83" t="s">
        <v>83</v>
      </c>
      <c r="H34" s="84" t="s">
        <v>84</v>
      </c>
      <c r="I34" s="93"/>
      <c r="J34" s="91"/>
    </row>
    <row r="35" spans="1:13" ht="13.5" x14ac:dyDescent="0.25">
      <c r="A35" s="86">
        <f>+A17</f>
        <v>8</v>
      </c>
      <c r="B35" s="92" t="s">
        <v>68</v>
      </c>
      <c r="C35" s="87">
        <f>+A35</f>
        <v>8</v>
      </c>
      <c r="D35" s="88" t="s">
        <v>131</v>
      </c>
      <c r="E35" s="88">
        <f>+'COSTO ROSQUETE'!H54</f>
        <v>0.1854060606060606</v>
      </c>
      <c r="F35" s="88">
        <f>IFERROR(E35*C35,"")</f>
        <v>1.4832484848484848</v>
      </c>
      <c r="G35" s="89">
        <f t="shared" ref="G35:G41" si="9">IFERROR(F35/$F$66,"")</f>
        <v>5.9525588690244552E-4</v>
      </c>
      <c r="H35" s="93"/>
      <c r="I35" s="93"/>
      <c r="J35" s="91"/>
    </row>
    <row r="36" spans="1:13" ht="13.5" x14ac:dyDescent="0.25">
      <c r="A36" s="86">
        <f t="shared" ref="A36:A41" si="10">+A18</f>
        <v>560</v>
      </c>
      <c r="B36" s="92" t="s">
        <v>38</v>
      </c>
      <c r="C36" s="87">
        <f t="shared" ref="C36:C41" si="11">+A36</f>
        <v>560</v>
      </c>
      <c r="D36" s="88" t="s">
        <v>132</v>
      </c>
      <c r="E36" s="88">
        <f>+'COSTO MEZCLA LECHES SALT CARAM'!E76</f>
        <v>5.8995023771428576E-4</v>
      </c>
      <c r="F36" s="88">
        <f t="shared" ref="F36:F41" si="12">IFERROR(E36*C36,"")</f>
        <v>0.33037213312000002</v>
      </c>
      <c r="G36" s="89">
        <f t="shared" si="9"/>
        <v>1.3258463373942836E-4</v>
      </c>
      <c r="H36" s="93"/>
      <c r="I36" s="93"/>
      <c r="J36" s="91"/>
    </row>
    <row r="37" spans="1:13" ht="13.5" x14ac:dyDescent="0.25">
      <c r="A37" s="86">
        <f t="shared" si="10"/>
        <v>200</v>
      </c>
      <c r="B37" s="92" t="s">
        <v>50</v>
      </c>
      <c r="C37" s="87">
        <f t="shared" si="11"/>
        <v>200</v>
      </c>
      <c r="D37" s="88" t="s">
        <v>132</v>
      </c>
      <c r="E37" s="88">
        <v>0.01</v>
      </c>
      <c r="F37" s="88">
        <f t="shared" si="12"/>
        <v>2</v>
      </c>
      <c r="G37" s="89">
        <f t="shared" si="9"/>
        <v>8.0263811894370671E-4</v>
      </c>
      <c r="H37" s="90" t="s">
        <v>49</v>
      </c>
      <c r="I37" s="93"/>
      <c r="J37" s="91"/>
    </row>
    <row r="38" spans="1:13" ht="13.5" x14ac:dyDescent="0.25">
      <c r="A38" s="86">
        <f t="shared" si="10"/>
        <v>16</v>
      </c>
      <c r="B38" s="92" t="s">
        <v>40</v>
      </c>
      <c r="C38" s="87">
        <f>+A38</f>
        <v>16</v>
      </c>
      <c r="D38" s="88" t="s">
        <v>132</v>
      </c>
      <c r="E38" s="88">
        <v>0.03</v>
      </c>
      <c r="F38" s="88">
        <f>IFERROR(E38*C38,"")</f>
        <v>0.48</v>
      </c>
      <c r="G38" s="89">
        <f t="shared" si="9"/>
        <v>1.9263314854648961E-4</v>
      </c>
      <c r="H38" s="90" t="s">
        <v>39</v>
      </c>
      <c r="I38" s="93"/>
      <c r="J38" s="91"/>
    </row>
    <row r="39" spans="1:13" ht="13.5" hidden="1" x14ac:dyDescent="0.25">
      <c r="A39" s="86">
        <f t="shared" si="10"/>
        <v>0</v>
      </c>
      <c r="B39" s="92" t="str">
        <f>IFERROR(VLOOKUP(H39,[1]SEMIELABORADOS!$A$2:$M$6000,2,0),"")</f>
        <v/>
      </c>
      <c r="C39" s="87">
        <f>+A39</f>
        <v>0</v>
      </c>
      <c r="D39" s="88" t="str">
        <f>IFERROR(VLOOKUP(H39,[1]SEMIELABORADOS!$A$2:$M$6000,6,0),"")</f>
        <v/>
      </c>
      <c r="E39" s="88" t="str">
        <f>IFERROR(VLOOKUP(H39,[1]SEMIELABORADOS!$A$2:$M$65536,10,0),"")</f>
        <v/>
      </c>
      <c r="F39" s="88" t="str">
        <f>IFERROR(E39*C39,"")</f>
        <v/>
      </c>
      <c r="G39" s="89" t="str">
        <f t="shared" si="9"/>
        <v/>
      </c>
      <c r="H39" s="93"/>
      <c r="I39" s="93"/>
      <c r="J39" s="91"/>
    </row>
    <row r="40" spans="1:13" ht="13.5" hidden="1" x14ac:dyDescent="0.25">
      <c r="A40" s="86">
        <f t="shared" si="10"/>
        <v>0</v>
      </c>
      <c r="B40" s="92" t="str">
        <f>IFERROR(VLOOKUP(H40,[1]SEMIELABORADOS!$A$2:$M$6000,2,0),"")</f>
        <v/>
      </c>
      <c r="C40" s="87">
        <f t="shared" si="11"/>
        <v>0</v>
      </c>
      <c r="D40" s="88" t="str">
        <f>IFERROR(VLOOKUP(H40,[1]SEMIELABORADOS!$A$2:$M$6000,6,0),"")</f>
        <v/>
      </c>
      <c r="E40" s="88" t="str">
        <f>IFERROR(VLOOKUP(H40,[1]SEMIELABORADOS!$A$2:$M$65536,10,0),"")</f>
        <v/>
      </c>
      <c r="F40" s="88" t="str">
        <f t="shared" si="12"/>
        <v/>
      </c>
      <c r="G40" s="89" t="str">
        <f t="shared" si="9"/>
        <v/>
      </c>
      <c r="H40" s="93"/>
      <c r="I40" s="93"/>
      <c r="J40" s="91"/>
    </row>
    <row r="41" spans="1:13" ht="13.5" hidden="1" x14ac:dyDescent="0.25">
      <c r="A41" s="86">
        <f t="shared" si="10"/>
        <v>0</v>
      </c>
      <c r="B41" s="92" t="str">
        <f>IFERROR(VLOOKUP(H41,[1]SEMIELABORADOS!$A$2:$M$6000,2,0),"")</f>
        <v/>
      </c>
      <c r="C41" s="87">
        <f t="shared" si="11"/>
        <v>0</v>
      </c>
      <c r="D41" s="88" t="str">
        <f>IFERROR(VLOOKUP(H41,[1]SEMIELABORADOS!$A$2:$M$6000,6,0),"")</f>
        <v/>
      </c>
      <c r="E41" s="88" t="str">
        <f>IFERROR(VLOOKUP(H41,[1]SEMIELABORADOS!$A$2:$M$65536,10,0),"")</f>
        <v/>
      </c>
      <c r="F41" s="88" t="str">
        <f t="shared" si="12"/>
        <v/>
      </c>
      <c r="G41" s="89" t="str">
        <f t="shared" si="9"/>
        <v/>
      </c>
      <c r="H41" s="93"/>
      <c r="I41" s="93"/>
      <c r="J41" s="91"/>
    </row>
    <row r="42" spans="1:13" ht="14.25" thickBot="1" x14ac:dyDescent="0.3">
      <c r="A42" s="86"/>
      <c r="B42" s="92"/>
      <c r="C42" s="87"/>
      <c r="D42" s="88"/>
      <c r="E42" s="88"/>
      <c r="F42" s="88"/>
      <c r="G42" s="89"/>
      <c r="H42" s="93"/>
      <c r="I42" s="93"/>
      <c r="J42" s="91"/>
    </row>
    <row r="43" spans="1:13" ht="26.25" thickBot="1" x14ac:dyDescent="0.3">
      <c r="A43" s="81" t="s">
        <v>78</v>
      </c>
      <c r="B43" s="82" t="s">
        <v>87</v>
      </c>
      <c r="C43" s="82" t="s">
        <v>78</v>
      </c>
      <c r="D43" s="83" t="s">
        <v>80</v>
      </c>
      <c r="E43" s="83" t="s">
        <v>81</v>
      </c>
      <c r="F43" s="83" t="s">
        <v>82</v>
      </c>
      <c r="G43" s="83" t="s">
        <v>83</v>
      </c>
      <c r="H43" s="84" t="s">
        <v>84</v>
      </c>
      <c r="I43" s="85"/>
      <c r="J43" s="91"/>
    </row>
    <row r="44" spans="1:13" ht="13.5" x14ac:dyDescent="0.25">
      <c r="A44" s="86">
        <f>+A35</f>
        <v>8</v>
      </c>
      <c r="B44" s="92" t="s">
        <v>68</v>
      </c>
      <c r="C44" s="87">
        <f>+A44</f>
        <v>8</v>
      </c>
      <c r="D44" s="88" t="s">
        <v>131</v>
      </c>
      <c r="E44" s="88">
        <f>+'COSTO ROSQUETE'!H56</f>
        <v>7.1758505483636359</v>
      </c>
      <c r="F44" s="88">
        <f>IFERROR(E44*C44,"")</f>
        <v>57.406804386909087</v>
      </c>
      <c r="G44" s="89">
        <f>IFERROR(F44/$F$66,"")</f>
        <v>2.3038444743839023E-2</v>
      </c>
      <c r="H44" s="93"/>
      <c r="I44" s="85"/>
      <c r="J44" s="91"/>
    </row>
    <row r="45" spans="1:13" ht="13.5" x14ac:dyDescent="0.25">
      <c r="A45" s="86">
        <f t="shared" ref="A45:A50" si="13">+A36</f>
        <v>560</v>
      </c>
      <c r="B45" s="92" t="s">
        <v>38</v>
      </c>
      <c r="C45" s="87">
        <f t="shared" ref="C45:C50" si="14">+A45</f>
        <v>560</v>
      </c>
      <c r="D45" s="88" t="s">
        <v>132</v>
      </c>
      <c r="E45" s="88">
        <f>+'COSTO MEZCLA LECHES SALT CARAM'!E74</f>
        <v>0.23591679331813389</v>
      </c>
      <c r="F45" s="88">
        <f t="shared" ref="F45:F50" si="15">IFERROR(E45*C45,"")</f>
        <v>132.11340425815499</v>
      </c>
      <c r="G45" s="89">
        <f t="shared" ref="G45:G50" si="16">IFERROR(F45/$F$66,"")</f>
        <v>5.3019627140507508E-2</v>
      </c>
      <c r="H45" s="93"/>
      <c r="I45" s="85"/>
      <c r="J45" s="91"/>
      <c r="M45" s="96"/>
    </row>
    <row r="46" spans="1:13" ht="13.5" x14ac:dyDescent="0.25">
      <c r="A46" s="86">
        <f t="shared" si="13"/>
        <v>200</v>
      </c>
      <c r="B46" s="92" t="s">
        <v>50</v>
      </c>
      <c r="C46" s="87">
        <f t="shared" si="14"/>
        <v>200</v>
      </c>
      <c r="D46" s="88" t="s">
        <v>132</v>
      </c>
      <c r="E46" s="88">
        <v>0.01</v>
      </c>
      <c r="F46" s="88">
        <f t="shared" si="15"/>
        <v>2</v>
      </c>
      <c r="G46" s="89">
        <f t="shared" si="16"/>
        <v>8.0263811894370671E-4</v>
      </c>
      <c r="H46" s="93"/>
      <c r="I46" s="85"/>
      <c r="J46" s="91"/>
    </row>
    <row r="47" spans="1:13" ht="13.5" x14ac:dyDescent="0.25">
      <c r="A47" s="86">
        <f t="shared" si="13"/>
        <v>16</v>
      </c>
      <c r="B47" s="92" t="s">
        <v>40</v>
      </c>
      <c r="C47" s="87">
        <f t="shared" si="14"/>
        <v>16</v>
      </c>
      <c r="D47" s="88" t="s">
        <v>132</v>
      </c>
      <c r="E47" s="88">
        <v>0.02</v>
      </c>
      <c r="F47" s="88">
        <f t="shared" si="15"/>
        <v>0.32</v>
      </c>
      <c r="G47" s="89">
        <f t="shared" si="16"/>
        <v>1.2842209903099309E-4</v>
      </c>
      <c r="H47" s="93"/>
      <c r="I47" s="85"/>
      <c r="J47" s="91"/>
    </row>
    <row r="48" spans="1:13" ht="13.5" hidden="1" x14ac:dyDescent="0.25">
      <c r="A48" s="86">
        <f t="shared" si="13"/>
        <v>0</v>
      </c>
      <c r="B48" s="92" t="str">
        <f>IFERROR(VLOOKUP(H48,[1]SEMIELABORADOS!$A$2:$M$6000,2,0),"")</f>
        <v/>
      </c>
      <c r="C48" s="87">
        <f t="shared" si="14"/>
        <v>0</v>
      </c>
      <c r="D48" s="88" t="str">
        <f>IFERROR(VLOOKUP(H48,[1]SEMIELABORADOS!$A$2:$M$6000,6,0),"")</f>
        <v/>
      </c>
      <c r="E48" s="88" t="str">
        <f>IFERROR(VLOOKUP(H48,[1]SEMIELABORADOS!$A$2:$M$65536,12,0),"")</f>
        <v/>
      </c>
      <c r="F48" s="88" t="str">
        <f t="shared" si="15"/>
        <v/>
      </c>
      <c r="G48" s="89" t="str">
        <f t="shared" si="16"/>
        <v/>
      </c>
      <c r="H48" s="93"/>
      <c r="I48" s="85"/>
      <c r="J48" s="91"/>
    </row>
    <row r="49" spans="1:17" ht="13.5" hidden="1" x14ac:dyDescent="0.25">
      <c r="A49" s="86">
        <f t="shared" si="13"/>
        <v>0</v>
      </c>
      <c r="B49" s="92" t="str">
        <f>IFERROR(VLOOKUP(H49,[1]SEMIELABORADOS!$A$2:$M$6000,2,0),"")</f>
        <v/>
      </c>
      <c r="C49" s="87">
        <f t="shared" si="14"/>
        <v>0</v>
      </c>
      <c r="D49" s="88" t="str">
        <f>IFERROR(VLOOKUP(H49,[1]SEMIELABORADOS!$A$2:$M$6000,6,0),"")</f>
        <v/>
      </c>
      <c r="E49" s="88" t="str">
        <f>IFERROR(VLOOKUP(H49,[1]SEMIELABORADOS!$A$2:$M$65536,12,0),"")</f>
        <v/>
      </c>
      <c r="F49" s="88" t="str">
        <f t="shared" si="15"/>
        <v/>
      </c>
      <c r="G49" s="89" t="str">
        <f t="shared" si="16"/>
        <v/>
      </c>
      <c r="H49" s="93"/>
      <c r="I49" s="85"/>
      <c r="J49" s="91"/>
    </row>
    <row r="50" spans="1:17" ht="13.5" hidden="1" x14ac:dyDescent="0.25">
      <c r="A50" s="86">
        <f t="shared" si="13"/>
        <v>0</v>
      </c>
      <c r="B50" s="92" t="str">
        <f>IFERROR(VLOOKUP(H50,[1]SEMIELABORADOS!$A$2:$M$6000,2,0),"")</f>
        <v/>
      </c>
      <c r="C50" s="87">
        <f t="shared" si="14"/>
        <v>0</v>
      </c>
      <c r="D50" s="88" t="str">
        <f>IFERROR(VLOOKUP(H50,[1]SEMIELABORADOS!$A$2:$M$6000,6,0),"")</f>
        <v/>
      </c>
      <c r="E50" s="88" t="str">
        <f>IFERROR(VLOOKUP(H50,[1]SEMIELABORADOS!$A$2:$M$65536,12,0),"")</f>
        <v/>
      </c>
      <c r="F50" s="88" t="str">
        <f t="shared" si="15"/>
        <v/>
      </c>
      <c r="G50" s="89" t="str">
        <f t="shared" si="16"/>
        <v/>
      </c>
      <c r="H50" s="92"/>
      <c r="I50" s="85"/>
      <c r="J50" s="91"/>
    </row>
    <row r="51" spans="1:17" ht="13.5" x14ac:dyDescent="0.25">
      <c r="A51" s="86">
        <v>1</v>
      </c>
      <c r="B51" s="92" t="s">
        <v>88</v>
      </c>
      <c r="C51" s="87">
        <f>+A51</f>
        <v>1</v>
      </c>
      <c r="D51" s="87" t="s">
        <v>89</v>
      </c>
      <c r="E51" s="88">
        <f>+F65</f>
        <v>616</v>
      </c>
      <c r="F51" s="88">
        <f>IFERROR(C51*E51,"")</f>
        <v>616</v>
      </c>
      <c r="G51" s="89">
        <f>IFERROR(F51/$F$66,"")</f>
        <v>0.24721254063466169</v>
      </c>
      <c r="H51" s="97"/>
      <c r="I51" s="97"/>
      <c r="J51" s="91"/>
    </row>
    <row r="52" spans="1:17" ht="14.25" thickBot="1" x14ac:dyDescent="0.3">
      <c r="A52" s="86"/>
      <c r="B52" s="92"/>
      <c r="C52" s="87"/>
      <c r="D52" s="87"/>
      <c r="E52" s="88"/>
      <c r="F52" s="88"/>
      <c r="G52" s="89"/>
      <c r="H52" s="97"/>
      <c r="I52" s="97"/>
      <c r="J52" s="91"/>
    </row>
    <row r="53" spans="1:17" ht="13.5" thickBot="1" x14ac:dyDescent="0.3">
      <c r="A53" s="98"/>
      <c r="B53" s="236" t="s">
        <v>90</v>
      </c>
      <c r="C53" s="236"/>
      <c r="D53" s="236"/>
      <c r="E53" s="236"/>
      <c r="F53" s="100">
        <f>SUM(F8:F14,F17:F24)</f>
        <v>1582.6104783111653</v>
      </c>
      <c r="G53" s="89">
        <f>+F53/$F$66</f>
        <v>0.63513174866613686</v>
      </c>
      <c r="H53" s="101">
        <f>+F53/$D$60</f>
        <v>197.82630978889566</v>
      </c>
      <c r="I53" s="101"/>
      <c r="J53" s="102"/>
      <c r="K53" s="103"/>
      <c r="L53" s="103"/>
      <c r="M53" s="103"/>
      <c r="N53" s="103"/>
      <c r="O53" s="103"/>
      <c r="P53" s="103"/>
      <c r="Q53" s="104"/>
    </row>
    <row r="54" spans="1:17" x14ac:dyDescent="0.2">
      <c r="A54" s="98"/>
      <c r="B54" s="236" t="s">
        <v>91</v>
      </c>
      <c r="C54" s="236"/>
      <c r="D54" s="236"/>
      <c r="E54" s="236"/>
      <c r="F54" s="100">
        <f>SUM(F27:F32,F35:F41)</f>
        <v>261.52028728463523</v>
      </c>
      <c r="G54" s="89">
        <f>+F54/$F$66</f>
        <v>0.10495307572587871</v>
      </c>
      <c r="H54" s="101">
        <f>+F54/$D$60</f>
        <v>32.690035910579404</v>
      </c>
      <c r="I54" s="101"/>
      <c r="J54" s="105"/>
      <c r="K54" s="237" t="s">
        <v>92</v>
      </c>
      <c r="L54" s="238"/>
      <c r="M54" s="238"/>
      <c r="N54" s="238"/>
      <c r="O54" s="106">
        <f>+F55</f>
        <v>1844.1307655958005</v>
      </c>
      <c r="P54" s="106"/>
      <c r="Q54" s="107"/>
    </row>
    <row r="55" spans="1:17" x14ac:dyDescent="0.2">
      <c r="A55" s="98"/>
      <c r="B55" s="236" t="s">
        <v>93</v>
      </c>
      <c r="C55" s="236"/>
      <c r="D55" s="236"/>
      <c r="E55" s="236"/>
      <c r="F55" s="100">
        <f>+F53+F54</f>
        <v>1844.1307655958005</v>
      </c>
      <c r="G55" s="89">
        <f>+F55/$F$66</f>
        <v>0.74008482439201562</v>
      </c>
      <c r="H55" s="101">
        <f>+F55/$D$60</f>
        <v>230.51634569947507</v>
      </c>
      <c r="I55" s="101"/>
      <c r="J55" s="108"/>
      <c r="K55" s="109"/>
      <c r="M55" s="110" t="s">
        <v>94</v>
      </c>
      <c r="N55" s="111"/>
      <c r="O55" s="106">
        <f>+H56</f>
        <v>100.98002608063301</v>
      </c>
      <c r="P55" s="106"/>
      <c r="Q55" s="107"/>
    </row>
    <row r="56" spans="1:17" ht="13.5" thickBot="1" x14ac:dyDescent="0.25">
      <c r="A56" s="98"/>
      <c r="B56" s="99"/>
      <c r="C56" s="236" t="s">
        <v>95</v>
      </c>
      <c r="D56" s="236"/>
      <c r="E56" s="236"/>
      <c r="F56" s="100">
        <f>SUM(F44:F51)</f>
        <v>807.84020864506408</v>
      </c>
      <c r="G56" s="89">
        <f>+F56/$F$66</f>
        <v>0.32420167273698292</v>
      </c>
      <c r="H56" s="101">
        <f>+F56/$D$60</f>
        <v>100.98002608063301</v>
      </c>
      <c r="I56" s="101"/>
      <c r="J56" s="108"/>
      <c r="K56" s="109"/>
      <c r="L56" s="109"/>
      <c r="M56" s="109" t="s">
        <v>96</v>
      </c>
      <c r="N56" s="112"/>
      <c r="O56" s="106">
        <f>O54*N56</f>
        <v>0</v>
      </c>
      <c r="P56" s="106"/>
      <c r="Q56" s="107"/>
    </row>
    <row r="57" spans="1:17" ht="13.5" thickBot="1" x14ac:dyDescent="0.25">
      <c r="A57" s="98"/>
      <c r="B57" s="113"/>
      <c r="C57" s="113"/>
      <c r="D57" s="113"/>
      <c r="E57" s="113"/>
      <c r="F57" s="114"/>
      <c r="G57" s="89"/>
      <c r="H57" s="115"/>
      <c r="I57" s="101"/>
      <c r="J57" s="108"/>
      <c r="K57" s="116"/>
      <c r="M57" s="117" t="s">
        <v>97</v>
      </c>
      <c r="N57" s="118"/>
      <c r="O57" s="119">
        <f>SUM(O54:O56)</f>
        <v>1945.1107916764336</v>
      </c>
      <c r="P57" s="120"/>
      <c r="Q57" s="107"/>
    </row>
    <row r="58" spans="1:17" x14ac:dyDescent="0.2">
      <c r="B58" s="239" t="s">
        <v>98</v>
      </c>
      <c r="C58" s="239"/>
      <c r="D58" s="121">
        <v>920</v>
      </c>
      <c r="E58" s="122"/>
      <c r="G58" s="89"/>
      <c r="H58" s="115">
        <f>+H56/77</f>
        <v>1.3114289101380909</v>
      </c>
      <c r="I58" s="123"/>
      <c r="J58" s="108"/>
      <c r="K58" s="116"/>
      <c r="L58" s="109"/>
      <c r="M58" s="109" t="s">
        <v>99</v>
      </c>
      <c r="N58" s="124"/>
      <c r="O58" s="106">
        <f>+H59</f>
        <v>108.84859954146155</v>
      </c>
      <c r="P58" s="106"/>
      <c r="Q58" s="107"/>
    </row>
    <row r="59" spans="1:17" x14ac:dyDescent="0.2">
      <c r="B59" s="239" t="s">
        <v>100</v>
      </c>
      <c r="C59" s="239"/>
      <c r="D59" s="125">
        <v>115</v>
      </c>
      <c r="E59" s="122"/>
      <c r="G59" s="89"/>
      <c r="H59" s="115">
        <f>+H58*83</f>
        <v>108.84859954146155</v>
      </c>
      <c r="I59" s="123"/>
      <c r="J59" s="108"/>
      <c r="K59" s="116"/>
      <c r="L59" s="109"/>
      <c r="M59" s="240" t="s">
        <v>97</v>
      </c>
      <c r="N59" s="240"/>
      <c r="O59" s="106">
        <f>SUM(O57:O58)</f>
        <v>2053.9593912178952</v>
      </c>
      <c r="P59" s="106"/>
      <c r="Q59" s="107"/>
    </row>
    <row r="60" spans="1:17" ht="13.5" thickBot="1" x14ac:dyDescent="0.25">
      <c r="B60" s="231" t="s">
        <v>101</v>
      </c>
      <c r="C60" s="231"/>
      <c r="D60" s="121">
        <f>+D58/D59</f>
        <v>8</v>
      </c>
      <c r="E60" s="122"/>
      <c r="F60" s="126"/>
      <c r="G60" s="89"/>
      <c r="H60" s="115"/>
      <c r="I60" s="123"/>
      <c r="J60" s="108"/>
      <c r="K60" s="116"/>
      <c r="L60" s="240"/>
      <c r="M60" s="240"/>
      <c r="N60" s="124"/>
      <c r="O60" s="106">
        <f>+O59*N60</f>
        <v>0</v>
      </c>
      <c r="P60" s="106"/>
      <c r="Q60" s="107"/>
    </row>
    <row r="61" spans="1:17" ht="13.5" thickBot="1" x14ac:dyDescent="0.25">
      <c r="B61" s="231" t="s">
        <v>102</v>
      </c>
      <c r="C61" s="231"/>
      <c r="D61" s="127"/>
      <c r="E61" s="122"/>
      <c r="F61" s="126"/>
      <c r="G61" s="89"/>
      <c r="H61" s="115"/>
      <c r="I61" s="123"/>
      <c r="J61" s="108"/>
      <c r="K61" s="232" t="s">
        <v>103</v>
      </c>
      <c r="L61" s="233"/>
      <c r="M61" s="233"/>
      <c r="N61" s="234"/>
      <c r="O61" s="119">
        <f>SUM(O59:O60)</f>
        <v>2053.9593912178952</v>
      </c>
      <c r="P61" s="128" t="s">
        <v>104</v>
      </c>
      <c r="Q61" s="107"/>
    </row>
    <row r="62" spans="1:17" ht="13.5" thickBot="1" x14ac:dyDescent="0.25">
      <c r="C62" s="98" t="s">
        <v>105</v>
      </c>
      <c r="D62" s="129"/>
      <c r="E62" s="72" t="s">
        <v>106</v>
      </c>
      <c r="F62" s="130" t="s">
        <v>107</v>
      </c>
      <c r="G62" s="89"/>
      <c r="H62" s="115"/>
      <c r="I62" s="123"/>
      <c r="J62" s="131"/>
      <c r="K62" s="132"/>
      <c r="L62" s="220" t="s">
        <v>108</v>
      </c>
      <c r="M62" s="220"/>
      <c r="N62" s="220"/>
      <c r="O62" s="133">
        <f>+O61/D60</f>
        <v>256.74492390223691</v>
      </c>
      <c r="P62" s="134">
        <f>+O62/D59</f>
        <v>2.2325645556716252</v>
      </c>
      <c r="Q62" s="135"/>
    </row>
    <row r="63" spans="1:17" ht="13.5" thickBot="1" x14ac:dyDescent="0.25">
      <c r="B63" s="221" t="s">
        <v>93</v>
      </c>
      <c r="C63" s="221"/>
      <c r="D63" s="221"/>
      <c r="E63" s="136">
        <f>+F63/F63</f>
        <v>1</v>
      </c>
      <c r="F63" s="137">
        <f>SUM(F55)</f>
        <v>1844.1307655958005</v>
      </c>
      <c r="G63" s="89">
        <f>+F63/$F$66</f>
        <v>0.74008482439201562</v>
      </c>
      <c r="H63" s="115"/>
      <c r="I63" s="123"/>
      <c r="K63" s="222"/>
      <c r="L63" s="223"/>
      <c r="M63" s="223"/>
      <c r="N63" s="223"/>
      <c r="O63" s="138"/>
      <c r="P63" s="139"/>
    </row>
    <row r="64" spans="1:17" ht="13.5" thickBot="1" x14ac:dyDescent="0.3">
      <c r="B64" s="224" t="s">
        <v>109</v>
      </c>
      <c r="C64" s="224"/>
      <c r="D64" s="224"/>
      <c r="E64" s="140">
        <v>0.02</v>
      </c>
      <c r="F64" s="137">
        <f>+F53*E64</f>
        <v>31.652209566223306</v>
      </c>
      <c r="G64" s="89">
        <f>+F64/$F$66</f>
        <v>1.2702634973322737E-2</v>
      </c>
      <c r="H64" s="101"/>
      <c r="I64" s="123"/>
      <c r="J64" s="141"/>
      <c r="O64" s="142"/>
      <c r="P64" s="99"/>
    </row>
    <row r="65" spans="2:13" ht="13.5" thickBot="1" x14ac:dyDescent="0.3">
      <c r="B65" s="225" t="s">
        <v>110</v>
      </c>
      <c r="C65" s="226"/>
      <c r="D65" s="143">
        <v>8</v>
      </c>
      <c r="E65" s="144">
        <v>77</v>
      </c>
      <c r="F65" s="137">
        <f>+E65*D65</f>
        <v>616</v>
      </c>
      <c r="G65" s="89">
        <f>+F65/$F$66</f>
        <v>0.24721254063466169</v>
      </c>
      <c r="H65" s="101"/>
      <c r="I65" s="101"/>
      <c r="J65" s="91"/>
    </row>
    <row r="66" spans="2:13" ht="13.5" thickBot="1" x14ac:dyDescent="0.3">
      <c r="B66" s="227" t="s">
        <v>111</v>
      </c>
      <c r="C66" s="228"/>
      <c r="D66" s="228"/>
      <c r="E66" s="229"/>
      <c r="F66" s="114">
        <f>SUM(F63:F65)</f>
        <v>2491.7829751620238</v>
      </c>
      <c r="G66" s="89">
        <f>+F66/$F$66</f>
        <v>1</v>
      </c>
      <c r="H66" s="230"/>
      <c r="I66" s="101"/>
      <c r="J66" s="91"/>
      <c r="M66" s="74" t="s">
        <v>112</v>
      </c>
    </row>
    <row r="67" spans="2:13" x14ac:dyDescent="0.25">
      <c r="C67" s="96"/>
      <c r="D67" s="96"/>
      <c r="E67" s="146"/>
      <c r="F67" s="137"/>
      <c r="G67" s="89"/>
      <c r="H67" s="230"/>
      <c r="I67" s="145"/>
      <c r="J67" s="74"/>
      <c r="M67" s="74" t="s">
        <v>113</v>
      </c>
    </row>
    <row r="68" spans="2:13" ht="13.5" thickBot="1" x14ac:dyDescent="0.3">
      <c r="B68" s="215" t="s">
        <v>114</v>
      </c>
      <c r="C68" s="215"/>
      <c r="D68" s="215"/>
      <c r="E68" s="215"/>
      <c r="F68" s="215"/>
      <c r="G68" s="89"/>
      <c r="H68" s="148"/>
      <c r="I68" s="145"/>
      <c r="J68" s="74"/>
      <c r="M68" s="74" t="s">
        <v>115</v>
      </c>
    </row>
    <row r="69" spans="2:13" ht="13.5" thickBot="1" x14ac:dyDescent="0.3">
      <c r="B69" s="149" t="s">
        <v>116</v>
      </c>
      <c r="C69" s="150">
        <f>+F53</f>
        <v>1582.6104783111653</v>
      </c>
      <c r="D69" s="150">
        <f>+D58</f>
        <v>920</v>
      </c>
      <c r="E69" s="151">
        <f>+C69/D69</f>
        <v>1.7202287807730057</v>
      </c>
      <c r="F69" s="89"/>
      <c r="G69" s="148"/>
      <c r="H69" s="91"/>
      <c r="I69" s="148"/>
      <c r="J69" s="74"/>
    </row>
    <row r="70" spans="2:13" x14ac:dyDescent="0.25">
      <c r="B70" s="152"/>
      <c r="C70" s="153"/>
      <c r="D70" s="154"/>
      <c r="E70" s="137"/>
      <c r="F70" s="89"/>
      <c r="G70" s="148"/>
      <c r="H70" s="91"/>
      <c r="I70" s="91"/>
      <c r="J70" s="74"/>
    </row>
    <row r="71" spans="2:13" x14ac:dyDescent="0.25">
      <c r="B71" s="149" t="s">
        <v>117</v>
      </c>
      <c r="C71" s="150">
        <f>SUM(F63:F64)</f>
        <v>1875.7829751620238</v>
      </c>
      <c r="D71" s="150">
        <f>+D58</f>
        <v>920</v>
      </c>
      <c r="E71" s="155">
        <f>+C71/D71</f>
        <v>2.0388945382195911</v>
      </c>
      <c r="F71" s="89"/>
      <c r="G71" s="148"/>
      <c r="H71" s="91"/>
      <c r="I71" s="91"/>
      <c r="J71" s="74"/>
    </row>
    <row r="72" spans="2:13" x14ac:dyDescent="0.25">
      <c r="B72" s="149"/>
      <c r="C72" s="150"/>
      <c r="D72" s="150"/>
      <c r="E72" s="155"/>
      <c r="F72" s="89"/>
      <c r="G72" s="148"/>
      <c r="H72" s="91"/>
      <c r="I72" s="91"/>
      <c r="J72" s="74"/>
    </row>
    <row r="73" spans="2:13" ht="13.5" thickBot="1" x14ac:dyDescent="0.3">
      <c r="B73" s="149" t="s">
        <v>118</v>
      </c>
      <c r="C73" s="150">
        <f>+F65</f>
        <v>616</v>
      </c>
      <c r="D73" s="150">
        <f>+D58</f>
        <v>920</v>
      </c>
      <c r="E73" s="155">
        <f>+C73/D73</f>
        <v>0.66956521739130437</v>
      </c>
      <c r="F73" s="89"/>
      <c r="G73" s="148"/>
      <c r="H73" s="91"/>
      <c r="I73" s="91"/>
      <c r="J73" s="74"/>
    </row>
    <row r="74" spans="2:13" ht="13.5" thickBot="1" x14ac:dyDescent="0.3">
      <c r="B74" s="149" t="s">
        <v>119</v>
      </c>
      <c r="C74" s="150">
        <f>+F56</f>
        <v>807.84020864506408</v>
      </c>
      <c r="D74" s="150">
        <f>+D73</f>
        <v>920</v>
      </c>
      <c r="E74" s="151">
        <f>+C74/D74</f>
        <v>0.87808718330985225</v>
      </c>
      <c r="F74" s="89"/>
      <c r="G74" s="148"/>
      <c r="H74" s="91"/>
      <c r="I74" s="91"/>
      <c r="J74" s="74"/>
    </row>
    <row r="75" spans="2:13" ht="13.5" thickBot="1" x14ac:dyDescent="0.3">
      <c r="B75" s="113"/>
      <c r="C75" s="114"/>
      <c r="D75" s="114"/>
      <c r="E75" s="155"/>
      <c r="F75" s="89"/>
      <c r="G75" s="148"/>
      <c r="H75" s="91"/>
      <c r="I75" s="91"/>
      <c r="J75" s="74"/>
    </row>
    <row r="76" spans="2:13" ht="13.5" thickBot="1" x14ac:dyDescent="0.3">
      <c r="B76" s="149" t="s">
        <v>120</v>
      </c>
      <c r="C76" s="150">
        <f>+F54</f>
        <v>261.52028728463523</v>
      </c>
      <c r="D76" s="150">
        <f>+D74</f>
        <v>920</v>
      </c>
      <c r="E76" s="151">
        <f>+C76/D76</f>
        <v>0.28426118183112525</v>
      </c>
      <c r="F76" s="89"/>
      <c r="G76" s="148"/>
      <c r="H76" s="91"/>
      <c r="I76" s="91"/>
      <c r="J76" s="91"/>
    </row>
    <row r="77" spans="2:13" ht="13.5" thickBot="1" x14ac:dyDescent="0.3">
      <c r="B77" s="113"/>
      <c r="C77" s="114"/>
      <c r="D77" s="114"/>
      <c r="E77" s="155"/>
      <c r="F77" s="89"/>
      <c r="G77" s="148"/>
      <c r="H77" s="91"/>
      <c r="I77" s="91"/>
    </row>
    <row r="78" spans="2:13" ht="13.5" thickBot="1" x14ac:dyDescent="0.3">
      <c r="B78" s="216" t="s">
        <v>121</v>
      </c>
      <c r="C78" s="217"/>
      <c r="D78" s="218"/>
      <c r="E78" s="151">
        <f>+E69+E74</f>
        <v>2.5983159640828579</v>
      </c>
      <c r="G78" s="89"/>
      <c r="H78" s="148"/>
      <c r="I78" s="91"/>
      <c r="J78" s="155"/>
    </row>
    <row r="79" spans="2:13" x14ac:dyDescent="0.25">
      <c r="I79" s="148"/>
      <c r="J79" s="74"/>
    </row>
    <row r="80" spans="2:13" ht="13.5" thickBot="1" x14ac:dyDescent="0.3">
      <c r="B80" s="215" t="s">
        <v>122</v>
      </c>
      <c r="C80" s="215"/>
      <c r="D80" s="215"/>
      <c r="E80" s="215"/>
      <c r="F80" s="215"/>
      <c r="G80" s="89"/>
      <c r="H80" s="148"/>
      <c r="J80" s="74"/>
    </row>
    <row r="81" spans="1:10" ht="13.5" thickBot="1" x14ac:dyDescent="0.3">
      <c r="B81" s="149" t="s">
        <v>116</v>
      </c>
      <c r="C81" s="150">
        <f>+C69</f>
        <v>1582.6104783111653</v>
      </c>
      <c r="D81" s="150">
        <f>+D60</f>
        <v>8</v>
      </c>
      <c r="E81" s="151">
        <f>+C81/D81</f>
        <v>197.82630978889566</v>
      </c>
      <c r="F81" s="89"/>
      <c r="G81" s="148"/>
      <c r="H81" s="91"/>
      <c r="I81" s="148"/>
      <c r="J81" s="74"/>
    </row>
    <row r="82" spans="1:10" x14ac:dyDescent="0.25">
      <c r="B82" s="152"/>
      <c r="C82" s="153"/>
      <c r="D82" s="154"/>
      <c r="E82" s="137"/>
      <c r="F82" s="89"/>
      <c r="G82" s="148"/>
      <c r="H82" s="91"/>
      <c r="I82" s="91"/>
      <c r="J82" s="74"/>
    </row>
    <row r="83" spans="1:10" x14ac:dyDescent="0.25">
      <c r="B83" s="149" t="s">
        <v>117</v>
      </c>
      <c r="C83" s="150">
        <f>+C71</f>
        <v>1875.7829751620238</v>
      </c>
      <c r="D83" s="150">
        <f>+D60</f>
        <v>8</v>
      </c>
      <c r="E83" s="155">
        <f>+C83/D83</f>
        <v>234.47287189525298</v>
      </c>
      <c r="F83" s="89"/>
      <c r="G83" s="148"/>
      <c r="H83" s="91"/>
      <c r="I83" s="91"/>
      <c r="J83" s="74"/>
    </row>
    <row r="84" spans="1:10" x14ac:dyDescent="0.25">
      <c r="B84" s="149"/>
      <c r="C84" s="150"/>
      <c r="D84" s="150"/>
      <c r="E84" s="155"/>
      <c r="F84" s="89"/>
      <c r="G84" s="148"/>
      <c r="H84" s="91"/>
      <c r="I84" s="91"/>
      <c r="J84" s="74"/>
    </row>
    <row r="85" spans="1:10" ht="13.5" thickBot="1" x14ac:dyDescent="0.3">
      <c r="B85" s="149" t="s">
        <v>119</v>
      </c>
      <c r="C85" s="150">
        <f>+C73</f>
        <v>616</v>
      </c>
      <c r="D85" s="150">
        <f>+D60</f>
        <v>8</v>
      </c>
      <c r="E85" s="155">
        <f>+C85/D85</f>
        <v>77</v>
      </c>
      <c r="F85" s="157"/>
      <c r="G85" s="147"/>
      <c r="H85" s="73"/>
      <c r="I85" s="91"/>
    </row>
    <row r="86" spans="1:10" ht="13.5" thickBot="1" x14ac:dyDescent="0.3">
      <c r="B86" s="149" t="s">
        <v>119</v>
      </c>
      <c r="C86" s="150">
        <f>+C74</f>
        <v>807.84020864506408</v>
      </c>
      <c r="D86" s="150">
        <f>+D85</f>
        <v>8</v>
      </c>
      <c r="E86" s="151">
        <f>+C86/D86</f>
        <v>100.98002608063301</v>
      </c>
      <c r="F86" s="156"/>
      <c r="G86" s="147"/>
      <c r="H86" s="73"/>
      <c r="I86" s="73"/>
    </row>
    <row r="87" spans="1:10" x14ac:dyDescent="0.25">
      <c r="I87" s="73"/>
    </row>
    <row r="88" spans="1:10" x14ac:dyDescent="0.2">
      <c r="A88" s="219"/>
      <c r="B88" s="219"/>
      <c r="C88" s="158"/>
      <c r="D88" s="158"/>
      <c r="E88" s="159"/>
      <c r="G88" s="160"/>
    </row>
    <row r="89" spans="1:10" x14ac:dyDescent="0.2">
      <c r="A89" s="92"/>
      <c r="B89" s="161"/>
      <c r="C89" s="162"/>
      <c r="D89" s="162"/>
      <c r="E89" s="163"/>
      <c r="G89" s="160"/>
    </row>
    <row r="90" spans="1:10" x14ac:dyDescent="0.2">
      <c r="A90" s="92"/>
      <c r="B90" s="161"/>
      <c r="C90" s="164"/>
      <c r="D90" s="164"/>
      <c r="E90" s="92"/>
      <c r="G90" s="160"/>
    </row>
    <row r="91" spans="1:10" x14ac:dyDescent="0.2">
      <c r="A91" s="92"/>
      <c r="B91" s="161"/>
      <c r="C91" s="165"/>
      <c r="D91" s="165"/>
      <c r="E91" s="92"/>
      <c r="G91" s="160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DBE0-DF91-402D-93ED-F0E96FF596B3}">
  <dimension ref="A1:I39"/>
  <sheetViews>
    <sheetView workbookViewId="0">
      <selection activeCell="K14" sqref="K14"/>
    </sheetView>
  </sheetViews>
  <sheetFormatPr baseColWidth="10" defaultRowHeight="15" x14ac:dyDescent="0.25"/>
  <cols>
    <col min="2" max="2" width="13.140625" customWidth="1"/>
    <col min="3" max="3" width="42.42578125" customWidth="1"/>
    <col min="8" max="8" width="16.85546875" customWidth="1"/>
  </cols>
  <sheetData>
    <row r="1" spans="1:9" ht="16.5" x14ac:dyDescent="0.3">
      <c r="A1" s="313"/>
      <c r="B1" s="314"/>
      <c r="C1" s="317" t="s">
        <v>33</v>
      </c>
      <c r="D1" s="318"/>
      <c r="E1" s="318"/>
      <c r="F1" s="318"/>
      <c r="G1" s="319"/>
      <c r="H1" s="14" t="s">
        <v>32</v>
      </c>
      <c r="I1" s="15"/>
    </row>
    <row r="2" spans="1:9" ht="17.25" thickBot="1" x14ac:dyDescent="0.35">
      <c r="A2" s="315"/>
      <c r="B2" s="316"/>
      <c r="C2" s="320" t="s">
        <v>31</v>
      </c>
      <c r="D2" s="321"/>
      <c r="E2" s="321"/>
      <c r="F2" s="321"/>
      <c r="G2" s="322"/>
      <c r="H2" s="16" t="s">
        <v>30</v>
      </c>
      <c r="I2" s="17"/>
    </row>
    <row r="3" spans="1:9" ht="36" customHeight="1" x14ac:dyDescent="0.25">
      <c r="A3" s="315"/>
      <c r="B3" s="316"/>
      <c r="C3" s="323" t="s">
        <v>70</v>
      </c>
      <c r="D3" s="324"/>
      <c r="E3" s="324"/>
      <c r="F3" s="324"/>
      <c r="G3" s="324"/>
      <c r="H3" s="325" t="s">
        <v>29</v>
      </c>
      <c r="I3" s="305"/>
    </row>
    <row r="4" spans="1:9" ht="16.5" x14ac:dyDescent="0.3">
      <c r="A4" s="315"/>
      <c r="B4" s="316"/>
      <c r="C4" s="16" t="s">
        <v>28</v>
      </c>
      <c r="D4" s="307" t="s">
        <v>35</v>
      </c>
      <c r="E4" s="308"/>
      <c r="F4" s="308"/>
      <c r="G4" s="309"/>
      <c r="H4" s="326"/>
      <c r="I4" s="306"/>
    </row>
    <row r="5" spans="1:9" ht="17.25" thickBot="1" x14ac:dyDescent="0.35">
      <c r="A5" s="315"/>
      <c r="B5" s="316"/>
      <c r="C5" s="18" t="s">
        <v>27</v>
      </c>
      <c r="D5" s="310" t="s">
        <v>26</v>
      </c>
      <c r="E5" s="311"/>
      <c r="F5" s="311"/>
      <c r="G5" s="312"/>
      <c r="H5" s="326"/>
      <c r="I5" s="306"/>
    </row>
    <row r="6" spans="1:9" ht="18.75" thickBot="1" x14ac:dyDescent="0.3">
      <c r="A6" s="293" t="s">
        <v>25</v>
      </c>
      <c r="B6" s="294"/>
      <c r="C6" s="294"/>
      <c r="D6" s="295" t="s">
        <v>48</v>
      </c>
      <c r="E6" s="295"/>
      <c r="F6" s="295"/>
      <c r="G6" s="296" t="s">
        <v>24</v>
      </c>
      <c r="H6" s="296"/>
      <c r="I6" s="19" t="s">
        <v>48</v>
      </c>
    </row>
    <row r="7" spans="1:9" ht="25.5" x14ac:dyDescent="0.25">
      <c r="A7" s="297" t="s">
        <v>23</v>
      </c>
      <c r="B7" s="299" t="s">
        <v>34</v>
      </c>
      <c r="C7" s="301" t="s">
        <v>22</v>
      </c>
      <c r="D7" s="301" t="s">
        <v>21</v>
      </c>
      <c r="E7" s="303" t="s">
        <v>20</v>
      </c>
      <c r="F7" s="304"/>
      <c r="G7" s="303" t="s">
        <v>19</v>
      </c>
      <c r="H7" s="304"/>
      <c r="I7" s="20" t="s">
        <v>18</v>
      </c>
    </row>
    <row r="8" spans="1:9" ht="26.25" thickBot="1" x14ac:dyDescent="0.3">
      <c r="A8" s="298"/>
      <c r="B8" s="300"/>
      <c r="C8" s="302"/>
      <c r="D8" s="302"/>
      <c r="E8" s="21" t="s">
        <v>15</v>
      </c>
      <c r="F8" s="22" t="s">
        <v>17</v>
      </c>
      <c r="G8" s="21" t="s">
        <v>15</v>
      </c>
      <c r="H8" s="22" t="s">
        <v>17</v>
      </c>
      <c r="I8" s="23" t="s">
        <v>16</v>
      </c>
    </row>
    <row r="9" spans="1:9" ht="26.25" customHeight="1" x14ac:dyDescent="0.25">
      <c r="A9" s="67" t="s">
        <v>37</v>
      </c>
      <c r="B9" s="67" t="s">
        <v>37</v>
      </c>
      <c r="C9" s="68" t="s">
        <v>65</v>
      </c>
      <c r="D9" s="24" t="s">
        <v>36</v>
      </c>
      <c r="E9" s="24">
        <v>8</v>
      </c>
      <c r="F9" s="25" t="s">
        <v>7</v>
      </c>
      <c r="G9" s="2"/>
      <c r="H9" s="26"/>
      <c r="I9" s="27"/>
    </row>
    <row r="10" spans="1:9" ht="15.75" thickBot="1" x14ac:dyDescent="0.3">
      <c r="A10" s="28"/>
      <c r="B10" s="29"/>
      <c r="C10" s="30"/>
      <c r="D10" s="24"/>
      <c r="E10" s="24"/>
      <c r="F10" s="25"/>
      <c r="G10" s="9"/>
      <c r="H10" s="31"/>
      <c r="I10" s="32"/>
    </row>
    <row r="11" spans="1:9" x14ac:dyDescent="0.25">
      <c r="A11" s="3"/>
      <c r="B11" s="33"/>
      <c r="C11" s="34" t="s">
        <v>41</v>
      </c>
      <c r="D11" s="4"/>
      <c r="E11" s="35"/>
      <c r="F11" s="35"/>
      <c r="G11" s="9"/>
      <c r="H11" s="31"/>
      <c r="I11" s="32"/>
    </row>
    <row r="12" spans="1:9" x14ac:dyDescent="0.25">
      <c r="A12" s="3"/>
      <c r="B12" s="3"/>
      <c r="C12" s="36"/>
      <c r="D12" s="37"/>
      <c r="E12" s="35"/>
      <c r="F12" s="35"/>
      <c r="G12" s="9"/>
      <c r="H12" s="31"/>
      <c r="I12" s="32"/>
    </row>
    <row r="13" spans="1:9" ht="15.75" x14ac:dyDescent="0.25">
      <c r="A13" s="6">
        <v>1952445</v>
      </c>
      <c r="B13" s="6" t="s">
        <v>51</v>
      </c>
      <c r="C13" s="7" t="s">
        <v>52</v>
      </c>
      <c r="D13" s="38"/>
      <c r="E13" s="39">
        <v>1</v>
      </c>
      <c r="F13" s="40" t="s">
        <v>7</v>
      </c>
      <c r="G13" s="9"/>
      <c r="H13" s="31"/>
      <c r="I13" s="32"/>
    </row>
    <row r="14" spans="1:9" ht="24" customHeight="1" x14ac:dyDescent="0.25">
      <c r="A14" s="41">
        <v>703020</v>
      </c>
      <c r="B14" s="41" t="s">
        <v>53</v>
      </c>
      <c r="C14" s="42" t="s">
        <v>54</v>
      </c>
      <c r="D14" s="4" t="s">
        <v>55</v>
      </c>
      <c r="E14" s="41">
        <v>180</v>
      </c>
      <c r="F14" s="43" t="s">
        <v>56</v>
      </c>
      <c r="G14" s="283"/>
      <c r="H14" s="284"/>
      <c r="I14" s="45"/>
    </row>
    <row r="15" spans="1:9" x14ac:dyDescent="0.25">
      <c r="A15" s="46">
        <v>702069</v>
      </c>
      <c r="B15" s="46" t="s">
        <v>42</v>
      </c>
      <c r="C15" s="47" t="s">
        <v>57</v>
      </c>
      <c r="D15" s="29" t="s">
        <v>43</v>
      </c>
      <c r="E15" s="41">
        <v>2</v>
      </c>
      <c r="F15" s="43" t="s">
        <v>7</v>
      </c>
      <c r="G15" s="283"/>
      <c r="H15" s="284"/>
      <c r="I15" s="45"/>
    </row>
    <row r="16" spans="1:9" x14ac:dyDescent="0.25">
      <c r="A16" s="46">
        <v>702007</v>
      </c>
      <c r="B16" s="46" t="s">
        <v>44</v>
      </c>
      <c r="C16" s="47" t="s">
        <v>58</v>
      </c>
      <c r="D16" s="41" t="s">
        <v>45</v>
      </c>
      <c r="E16" s="41">
        <v>1</v>
      </c>
      <c r="F16" s="43" t="s">
        <v>7</v>
      </c>
      <c r="G16" s="283"/>
      <c r="H16" s="284"/>
      <c r="I16" s="45"/>
    </row>
    <row r="17" spans="1:9" ht="15.75" x14ac:dyDescent="0.25">
      <c r="A17" s="48">
        <v>702123</v>
      </c>
      <c r="B17" s="49" t="s">
        <v>59</v>
      </c>
      <c r="C17" s="50" t="s">
        <v>60</v>
      </c>
      <c r="D17" s="39" t="s">
        <v>43</v>
      </c>
      <c r="E17" s="41">
        <v>1</v>
      </c>
      <c r="F17" s="43" t="s">
        <v>7</v>
      </c>
      <c r="G17" s="44"/>
      <c r="H17" s="12"/>
      <c r="I17" s="45"/>
    </row>
    <row r="18" spans="1:9" x14ac:dyDescent="0.25">
      <c r="A18" s="11"/>
      <c r="B18" s="12"/>
      <c r="C18" s="13"/>
      <c r="D18" s="8"/>
      <c r="E18" s="9"/>
      <c r="F18" s="10"/>
      <c r="G18" s="281"/>
      <c r="H18" s="285"/>
      <c r="I18" s="51"/>
    </row>
    <row r="19" spans="1:9" ht="15.75" thickBot="1" x14ac:dyDescent="0.3">
      <c r="A19" s="52"/>
      <c r="B19" s="53"/>
      <c r="C19" s="54"/>
      <c r="D19" s="54"/>
      <c r="E19" s="55"/>
      <c r="F19" s="56"/>
      <c r="G19" s="54"/>
      <c r="H19" s="54"/>
      <c r="I19" s="57"/>
    </row>
    <row r="20" spans="1:9" ht="15.75" thickBot="1" x14ac:dyDescent="0.3">
      <c r="A20" s="58"/>
      <c r="B20" s="59"/>
      <c r="C20" s="60"/>
      <c r="D20" s="61" t="s">
        <v>15</v>
      </c>
      <c r="E20" s="61" t="s">
        <v>14</v>
      </c>
      <c r="F20" s="62"/>
      <c r="G20" s="60"/>
      <c r="H20" s="60"/>
      <c r="I20" s="63"/>
    </row>
    <row r="21" spans="1:9" x14ac:dyDescent="0.25">
      <c r="A21" s="286" t="s">
        <v>13</v>
      </c>
      <c r="B21" s="287"/>
      <c r="C21" s="288"/>
      <c r="D21" s="2">
        <v>920</v>
      </c>
      <c r="E21" s="2" t="s">
        <v>2</v>
      </c>
      <c r="F21" s="289" t="s">
        <v>12</v>
      </c>
      <c r="G21" s="290"/>
      <c r="H21" s="291"/>
      <c r="I21" s="292"/>
    </row>
    <row r="22" spans="1:9" x14ac:dyDescent="0.25">
      <c r="A22" s="252" t="s">
        <v>11</v>
      </c>
      <c r="B22" s="253"/>
      <c r="C22" s="254"/>
      <c r="D22" s="1">
        <v>2</v>
      </c>
      <c r="E22" s="1" t="s">
        <v>10</v>
      </c>
      <c r="F22" s="279" t="s">
        <v>9</v>
      </c>
      <c r="G22" s="280"/>
      <c r="H22" s="257"/>
      <c r="I22" s="258"/>
    </row>
    <row r="23" spans="1:9" x14ac:dyDescent="0.25">
      <c r="A23" s="252" t="s">
        <v>8</v>
      </c>
      <c r="B23" s="253"/>
      <c r="C23" s="254"/>
      <c r="D23" s="1">
        <v>1</v>
      </c>
      <c r="E23" s="1" t="s">
        <v>61</v>
      </c>
      <c r="F23" s="279" t="s">
        <v>6</v>
      </c>
      <c r="G23" s="280"/>
      <c r="H23" s="281" t="s">
        <v>62</v>
      </c>
      <c r="I23" s="282"/>
    </row>
    <row r="24" spans="1:9" x14ac:dyDescent="0.25">
      <c r="A24" s="252" t="s">
        <v>5</v>
      </c>
      <c r="B24" s="253"/>
      <c r="C24" s="254"/>
      <c r="D24" s="64">
        <v>920</v>
      </c>
      <c r="E24" s="64" t="s">
        <v>2</v>
      </c>
      <c r="F24" s="255" t="s">
        <v>4</v>
      </c>
      <c r="G24" s="256"/>
      <c r="H24" s="257"/>
      <c r="I24" s="258"/>
    </row>
    <row r="25" spans="1:9" ht="15.75" thickBot="1" x14ac:dyDescent="0.3">
      <c r="A25" s="259" t="s">
        <v>3</v>
      </c>
      <c r="B25" s="260"/>
      <c r="C25" s="261"/>
      <c r="D25" s="65">
        <v>0</v>
      </c>
      <c r="E25" s="65" t="s">
        <v>2</v>
      </c>
      <c r="F25" s="262"/>
      <c r="G25" s="263"/>
      <c r="H25" s="264"/>
      <c r="I25" s="265"/>
    </row>
    <row r="26" spans="1:9" ht="15.75" thickBot="1" x14ac:dyDescent="0.3">
      <c r="A26" s="266" t="s">
        <v>1</v>
      </c>
      <c r="B26" s="267"/>
      <c r="C26" s="267"/>
      <c r="D26" s="267"/>
      <c r="E26" s="267"/>
      <c r="F26" s="267"/>
      <c r="G26" s="267"/>
      <c r="H26" s="267"/>
      <c r="I26" s="267"/>
    </row>
    <row r="27" spans="1:9" x14ac:dyDescent="0.25">
      <c r="A27" s="268" t="s">
        <v>63</v>
      </c>
      <c r="B27" s="269"/>
      <c r="C27" s="269"/>
      <c r="D27" s="269"/>
      <c r="E27" s="269"/>
      <c r="F27" s="269"/>
      <c r="G27" s="269"/>
      <c r="H27" s="269"/>
      <c r="I27" s="270"/>
    </row>
    <row r="28" spans="1:9" x14ac:dyDescent="0.25">
      <c r="A28" s="7" t="s">
        <v>64</v>
      </c>
      <c r="B28" s="7"/>
      <c r="C28" s="7"/>
      <c r="D28" s="7"/>
      <c r="E28" s="7"/>
      <c r="F28" s="7"/>
      <c r="G28" s="7"/>
      <c r="H28" s="7"/>
      <c r="I28" s="7"/>
    </row>
    <row r="29" spans="1:9" ht="15.75" thickBot="1" x14ac:dyDescent="0.3">
      <c r="A29" s="271"/>
      <c r="B29" s="272"/>
      <c r="C29" s="272"/>
      <c r="D29" s="272"/>
      <c r="E29" s="272"/>
      <c r="F29" s="272"/>
      <c r="G29" s="272"/>
      <c r="H29" s="272"/>
      <c r="I29" s="273"/>
    </row>
    <row r="30" spans="1:9" x14ac:dyDescent="0.25">
      <c r="A30" s="274" t="s">
        <v>0</v>
      </c>
      <c r="B30" s="275"/>
      <c r="C30" s="275"/>
      <c r="D30" s="275"/>
      <c r="E30" s="275"/>
      <c r="F30" s="275"/>
      <c r="G30" s="275"/>
      <c r="H30" s="275"/>
      <c r="I30" s="275"/>
    </row>
    <row r="31" spans="1:9" ht="15.75" thickBot="1" x14ac:dyDescent="0.3">
      <c r="A31" s="276"/>
      <c r="B31" s="277"/>
      <c r="C31" s="277"/>
      <c r="D31" s="277"/>
      <c r="E31" s="277"/>
      <c r="F31" s="277"/>
      <c r="G31" s="277"/>
      <c r="H31" s="277"/>
      <c r="I31" s="278"/>
    </row>
    <row r="32" spans="1:9" ht="15.75" thickBot="1" x14ac:dyDescent="0.3">
      <c r="A32" s="249"/>
      <c r="B32" s="250"/>
      <c r="C32" s="250"/>
      <c r="D32" s="250"/>
      <c r="E32" s="250"/>
      <c r="F32" s="250"/>
      <c r="G32" s="250"/>
      <c r="H32" s="250"/>
      <c r="I32" s="251"/>
    </row>
    <row r="33" spans="1:9" ht="15.75" thickBot="1" x14ac:dyDescent="0.3">
      <c r="A33" s="249"/>
      <c r="B33" s="250"/>
      <c r="C33" s="250"/>
      <c r="D33" s="250"/>
      <c r="E33" s="250"/>
      <c r="F33" s="250"/>
      <c r="G33" s="250"/>
      <c r="H33" s="250"/>
      <c r="I33" s="251"/>
    </row>
    <row r="34" spans="1:9" ht="15.75" thickBot="1" x14ac:dyDescent="0.3">
      <c r="A34" s="249"/>
      <c r="B34" s="250"/>
      <c r="C34" s="250"/>
      <c r="D34" s="250"/>
      <c r="E34" s="250"/>
      <c r="F34" s="250"/>
      <c r="G34" s="250"/>
      <c r="H34" s="250"/>
      <c r="I34" s="251"/>
    </row>
    <row r="35" spans="1:9" ht="15.75" thickBot="1" x14ac:dyDescent="0.3">
      <c r="A35" s="249"/>
      <c r="B35" s="250"/>
      <c r="C35" s="250"/>
      <c r="D35" s="250"/>
      <c r="E35" s="250"/>
      <c r="F35" s="250"/>
      <c r="G35" s="250"/>
      <c r="H35" s="250"/>
      <c r="I35" s="251"/>
    </row>
    <row r="36" spans="1:9" ht="15.75" thickBot="1" x14ac:dyDescent="0.3">
      <c r="A36" s="249"/>
      <c r="B36" s="250"/>
      <c r="C36" s="250"/>
      <c r="D36" s="250"/>
      <c r="E36" s="250"/>
      <c r="F36" s="250"/>
      <c r="G36" s="250"/>
      <c r="H36" s="250"/>
      <c r="I36" s="251"/>
    </row>
    <row r="37" spans="1:9" ht="15.75" thickBot="1" x14ac:dyDescent="0.3">
      <c r="A37" s="249"/>
      <c r="B37" s="250"/>
      <c r="C37" s="250"/>
      <c r="D37" s="250"/>
      <c r="E37" s="250"/>
      <c r="F37" s="250"/>
      <c r="G37" s="250"/>
      <c r="H37" s="250"/>
      <c r="I37" s="251"/>
    </row>
    <row r="38" spans="1:9" ht="15.75" thickBot="1" x14ac:dyDescent="0.3">
      <c r="A38" s="249"/>
      <c r="B38" s="250"/>
      <c r="C38" s="250"/>
      <c r="D38" s="250"/>
      <c r="E38" s="250"/>
      <c r="F38" s="250"/>
      <c r="G38" s="250"/>
      <c r="H38" s="250"/>
      <c r="I38" s="251"/>
    </row>
    <row r="39" spans="1:9" ht="15.75" thickBot="1" x14ac:dyDescent="0.3">
      <c r="A39" s="246"/>
      <c r="B39" s="247"/>
      <c r="C39" s="247"/>
      <c r="D39" s="247"/>
      <c r="E39" s="247"/>
      <c r="F39" s="247"/>
      <c r="G39" s="247"/>
      <c r="H39" s="247"/>
      <c r="I39" s="248"/>
    </row>
  </sheetData>
  <mergeCells count="4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4:H14"/>
    <mergeCell ref="G15:H15"/>
    <mergeCell ref="G16:H16"/>
    <mergeCell ref="G18:H18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32:I32"/>
    <mergeCell ref="A24:C24"/>
    <mergeCell ref="F24:G24"/>
    <mergeCell ref="H24:I24"/>
    <mergeCell ref="A25:C25"/>
    <mergeCell ref="F25:G25"/>
    <mergeCell ref="H25:I25"/>
    <mergeCell ref="A26:I26"/>
    <mergeCell ref="A27:I27"/>
    <mergeCell ref="A29:I29"/>
    <mergeCell ref="A30:I30"/>
    <mergeCell ref="A31:I31"/>
    <mergeCell ref="A39:I39"/>
    <mergeCell ref="A33:I33"/>
    <mergeCell ref="A34:I34"/>
    <mergeCell ref="A35:I35"/>
    <mergeCell ref="A36:I36"/>
    <mergeCell ref="A37:I37"/>
    <mergeCell ref="A38:I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B896C-37D6-4D2F-98EA-4C62B8EB2836}">
  <sheetPr>
    <pageSetUpPr fitToPage="1"/>
  </sheetPr>
  <dimension ref="A1:I34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5703125" customWidth="1"/>
    <col min="2" max="2" width="16.7109375" customWidth="1"/>
    <col min="3" max="3" width="63.7109375" customWidth="1"/>
    <col min="4" max="4" width="14.140625" bestFit="1" customWidth="1"/>
    <col min="7" max="7" width="21.5703125" customWidth="1"/>
    <col min="8" max="8" width="15.85546875" customWidth="1"/>
    <col min="9" max="9" width="19.28515625" bestFit="1" customWidth="1"/>
  </cols>
  <sheetData>
    <row r="1" spans="1:9" ht="16.5" x14ac:dyDescent="0.3">
      <c r="A1" s="313"/>
      <c r="B1" s="314"/>
      <c r="C1" s="317" t="s">
        <v>33</v>
      </c>
      <c r="D1" s="318"/>
      <c r="E1" s="318"/>
      <c r="F1" s="318"/>
      <c r="G1" s="319"/>
      <c r="H1" s="14" t="s">
        <v>32</v>
      </c>
      <c r="I1" s="15" t="s">
        <v>140</v>
      </c>
    </row>
    <row r="2" spans="1:9" ht="17.25" thickBot="1" x14ac:dyDescent="0.35">
      <c r="A2" s="315"/>
      <c r="B2" s="316"/>
      <c r="C2" s="320" t="s">
        <v>31</v>
      </c>
      <c r="D2" s="321"/>
      <c r="E2" s="321"/>
      <c r="F2" s="321"/>
      <c r="G2" s="322"/>
      <c r="H2" s="16" t="s">
        <v>30</v>
      </c>
      <c r="I2" s="17">
        <v>1</v>
      </c>
    </row>
    <row r="3" spans="1:9" ht="30" customHeight="1" x14ac:dyDescent="0.25">
      <c r="A3" s="315"/>
      <c r="B3" s="316"/>
      <c r="C3" s="329" t="s">
        <v>137</v>
      </c>
      <c r="D3" s="330"/>
      <c r="E3" s="330"/>
      <c r="F3" s="330"/>
      <c r="G3" s="330"/>
      <c r="H3" s="325" t="s">
        <v>29</v>
      </c>
      <c r="I3" s="327">
        <v>45918</v>
      </c>
    </row>
    <row r="4" spans="1:9" ht="16.5" x14ac:dyDescent="0.3">
      <c r="A4" s="315"/>
      <c r="B4" s="316"/>
      <c r="C4" s="16" t="s">
        <v>28</v>
      </c>
      <c r="D4" s="307" t="s">
        <v>35</v>
      </c>
      <c r="E4" s="308"/>
      <c r="F4" s="308"/>
      <c r="G4" s="309"/>
      <c r="H4" s="326"/>
      <c r="I4" s="327"/>
    </row>
    <row r="5" spans="1:9" ht="17.25" thickBot="1" x14ac:dyDescent="0.35">
      <c r="A5" s="315"/>
      <c r="B5" s="316"/>
      <c r="C5" s="211" t="s">
        <v>27</v>
      </c>
      <c r="D5" s="310" t="s">
        <v>26</v>
      </c>
      <c r="E5" s="311"/>
      <c r="F5" s="311"/>
      <c r="G5" s="328"/>
      <c r="H5" s="326"/>
      <c r="I5" s="327"/>
    </row>
    <row r="6" spans="1:9" ht="18.75" thickBot="1" x14ac:dyDescent="0.3">
      <c r="A6" s="331" t="s">
        <v>25</v>
      </c>
      <c r="B6" s="331"/>
      <c r="C6" s="331"/>
      <c r="D6" s="332" t="s">
        <v>48</v>
      </c>
      <c r="E6" s="332"/>
      <c r="F6" s="332"/>
      <c r="G6" s="333" t="s">
        <v>24</v>
      </c>
      <c r="H6" s="333"/>
      <c r="I6" s="214" t="s">
        <v>48</v>
      </c>
    </row>
    <row r="7" spans="1:9" x14ac:dyDescent="0.25">
      <c r="A7" s="334" t="s">
        <v>23</v>
      </c>
      <c r="B7" s="335" t="s">
        <v>34</v>
      </c>
      <c r="C7" s="336" t="s">
        <v>22</v>
      </c>
      <c r="D7" s="301" t="s">
        <v>21</v>
      </c>
      <c r="E7" s="303" t="s">
        <v>20</v>
      </c>
      <c r="F7" s="304"/>
      <c r="G7" s="337" t="s">
        <v>19</v>
      </c>
      <c r="H7" s="338"/>
      <c r="I7" s="20" t="s">
        <v>18</v>
      </c>
    </row>
    <row r="8" spans="1:9" ht="26.25" thickBot="1" x14ac:dyDescent="0.3">
      <c r="A8" s="298"/>
      <c r="B8" s="300"/>
      <c r="C8" s="302"/>
      <c r="D8" s="302"/>
      <c r="E8" s="21" t="s">
        <v>15</v>
      </c>
      <c r="F8" s="22" t="s">
        <v>17</v>
      </c>
      <c r="G8" s="21" t="s">
        <v>15</v>
      </c>
      <c r="H8" s="22" t="s">
        <v>17</v>
      </c>
      <c r="I8" s="23" t="s">
        <v>16</v>
      </c>
    </row>
    <row r="9" spans="1:9" ht="34.5" customHeight="1" x14ac:dyDescent="0.3">
      <c r="A9" s="166" t="s">
        <v>37</v>
      </c>
      <c r="B9" s="166" t="s">
        <v>138</v>
      </c>
      <c r="C9" s="167" t="s">
        <v>65</v>
      </c>
      <c r="D9" s="168" t="s">
        <v>36</v>
      </c>
      <c r="E9" s="168">
        <v>8</v>
      </c>
      <c r="F9" s="169" t="s">
        <v>7</v>
      </c>
      <c r="G9" s="170"/>
      <c r="H9" s="171"/>
      <c r="I9" s="172"/>
    </row>
    <row r="10" spans="1:9" ht="21" thickBot="1" x14ac:dyDescent="0.35">
      <c r="A10" s="173"/>
      <c r="B10" s="174"/>
      <c r="C10" s="175"/>
      <c r="D10" s="168"/>
      <c r="E10" s="168"/>
      <c r="F10" s="169"/>
      <c r="G10" s="176"/>
      <c r="H10" s="177"/>
      <c r="I10" s="178"/>
    </row>
    <row r="11" spans="1:9" ht="20.25" x14ac:dyDescent="0.3">
      <c r="A11" s="168"/>
      <c r="B11" s="168"/>
      <c r="C11" s="212" t="s">
        <v>41</v>
      </c>
      <c r="D11" s="174"/>
      <c r="E11" s="180"/>
      <c r="F11" s="180"/>
      <c r="G11" s="176"/>
      <c r="H11" s="177"/>
      <c r="I11" s="178"/>
    </row>
    <row r="12" spans="1:9" ht="20.25" x14ac:dyDescent="0.3">
      <c r="A12" s="179"/>
      <c r="B12" s="179"/>
      <c r="C12" s="181"/>
      <c r="D12" s="182"/>
      <c r="E12" s="180"/>
      <c r="F12" s="180"/>
      <c r="G12" s="176"/>
      <c r="H12" s="177"/>
      <c r="I12" s="178"/>
    </row>
    <row r="13" spans="1:9" ht="20.25" x14ac:dyDescent="0.3">
      <c r="A13" s="189"/>
      <c r="B13" s="189" t="s">
        <v>139</v>
      </c>
      <c r="C13" s="183" t="s">
        <v>136</v>
      </c>
      <c r="D13" s="168"/>
      <c r="E13" s="168">
        <v>1</v>
      </c>
      <c r="F13" s="184" t="s">
        <v>7</v>
      </c>
      <c r="G13" s="176"/>
      <c r="H13" s="177"/>
      <c r="I13" s="178"/>
    </row>
    <row r="14" spans="1:9" ht="22.9" customHeight="1" x14ac:dyDescent="0.3">
      <c r="A14" s="168">
        <v>703020</v>
      </c>
      <c r="B14" s="168" t="s">
        <v>53</v>
      </c>
      <c r="C14" s="185" t="s">
        <v>54</v>
      </c>
      <c r="D14" s="174" t="s">
        <v>55</v>
      </c>
      <c r="E14" s="168">
        <v>180</v>
      </c>
      <c r="F14" s="169" t="s">
        <v>56</v>
      </c>
      <c r="G14" s="339"/>
      <c r="H14" s="340"/>
      <c r="I14" s="188"/>
    </row>
    <row r="15" spans="1:9" ht="20.25" x14ac:dyDescent="0.3">
      <c r="A15" s="189">
        <v>702069</v>
      </c>
      <c r="B15" s="189" t="s">
        <v>42</v>
      </c>
      <c r="C15" s="190" t="s">
        <v>57</v>
      </c>
      <c r="D15" s="174" t="s">
        <v>43</v>
      </c>
      <c r="E15" s="168">
        <v>2</v>
      </c>
      <c r="F15" s="169" t="s">
        <v>7</v>
      </c>
      <c r="G15" s="339"/>
      <c r="H15" s="340"/>
      <c r="I15" s="188"/>
    </row>
    <row r="16" spans="1:9" ht="20.25" x14ac:dyDescent="0.3">
      <c r="A16" s="189">
        <v>702007</v>
      </c>
      <c r="B16" s="189" t="s">
        <v>44</v>
      </c>
      <c r="C16" s="190" t="s">
        <v>58</v>
      </c>
      <c r="D16" s="168" t="s">
        <v>45</v>
      </c>
      <c r="E16" s="168">
        <v>1</v>
      </c>
      <c r="F16" s="169" t="s">
        <v>7</v>
      </c>
      <c r="G16" s="339"/>
      <c r="H16" s="340"/>
      <c r="I16" s="188"/>
    </row>
    <row r="17" spans="1:9" ht="20.25" x14ac:dyDescent="0.3">
      <c r="A17" s="191"/>
      <c r="B17" s="213" t="s">
        <v>59</v>
      </c>
      <c r="C17" s="192" t="s">
        <v>60</v>
      </c>
      <c r="D17" s="168" t="s">
        <v>43</v>
      </c>
      <c r="E17" s="168">
        <v>1</v>
      </c>
      <c r="F17" s="169" t="s">
        <v>7</v>
      </c>
      <c r="G17" s="186"/>
      <c r="H17" s="187"/>
      <c r="I17" s="188"/>
    </row>
    <row r="18" spans="1:9" ht="20.25" x14ac:dyDescent="0.3">
      <c r="A18" s="193"/>
      <c r="B18" s="187"/>
      <c r="C18" s="194"/>
      <c r="D18" s="195"/>
      <c r="E18" s="176"/>
      <c r="F18" s="196"/>
      <c r="G18" s="341"/>
      <c r="H18" s="342"/>
      <c r="I18" s="197"/>
    </row>
    <row r="19" spans="1:9" ht="21" thickBot="1" x14ac:dyDescent="0.35">
      <c r="A19" s="198"/>
      <c r="B19" s="199"/>
      <c r="C19" s="200"/>
      <c r="D19" s="200"/>
      <c r="E19" s="201"/>
      <c r="F19" s="202"/>
      <c r="G19" s="200"/>
      <c r="H19" s="200"/>
      <c r="I19" s="203"/>
    </row>
    <row r="20" spans="1:9" ht="21" thickBot="1" x14ac:dyDescent="0.35">
      <c r="A20" s="204"/>
      <c r="B20" s="205"/>
      <c r="C20" s="206"/>
      <c r="D20" s="207" t="s">
        <v>15</v>
      </c>
      <c r="E20" s="207" t="s">
        <v>14</v>
      </c>
      <c r="F20" s="208"/>
      <c r="G20" s="206"/>
      <c r="H20" s="206"/>
      <c r="I20" s="209"/>
    </row>
    <row r="21" spans="1:9" ht="20.25" x14ac:dyDescent="0.3">
      <c r="A21" s="343" t="s">
        <v>13</v>
      </c>
      <c r="B21" s="344"/>
      <c r="C21" s="345"/>
      <c r="D21" s="170">
        <v>920</v>
      </c>
      <c r="E21" s="170" t="s">
        <v>2</v>
      </c>
      <c r="F21" s="346" t="s">
        <v>12</v>
      </c>
      <c r="G21" s="347"/>
      <c r="H21" s="348"/>
      <c r="I21" s="348"/>
    </row>
    <row r="22" spans="1:9" ht="20.25" x14ac:dyDescent="0.3">
      <c r="A22" s="349" t="s">
        <v>11</v>
      </c>
      <c r="B22" s="350"/>
      <c r="C22" s="351"/>
      <c r="D22" s="168">
        <v>2</v>
      </c>
      <c r="E22" s="168" t="s">
        <v>10</v>
      </c>
      <c r="F22" s="352" t="s">
        <v>9</v>
      </c>
      <c r="G22" s="353"/>
      <c r="H22" s="354"/>
      <c r="I22" s="354"/>
    </row>
    <row r="23" spans="1:9" ht="20.25" x14ac:dyDescent="0.3">
      <c r="A23" s="349" t="s">
        <v>8</v>
      </c>
      <c r="B23" s="350"/>
      <c r="C23" s="351"/>
      <c r="D23" s="168">
        <v>1</v>
      </c>
      <c r="E23" s="168" t="s">
        <v>61</v>
      </c>
      <c r="F23" s="352" t="s">
        <v>6</v>
      </c>
      <c r="G23" s="353"/>
      <c r="H23" s="348" t="s">
        <v>62</v>
      </c>
      <c r="I23" s="348"/>
    </row>
    <row r="24" spans="1:9" ht="20.25" x14ac:dyDescent="0.3">
      <c r="A24" s="349" t="s">
        <v>5</v>
      </c>
      <c r="B24" s="350"/>
      <c r="C24" s="351"/>
      <c r="D24" s="189">
        <v>920</v>
      </c>
      <c r="E24" s="189" t="s">
        <v>2</v>
      </c>
      <c r="F24" s="356" t="s">
        <v>4</v>
      </c>
      <c r="G24" s="357"/>
      <c r="H24" s="354"/>
      <c r="I24" s="354"/>
    </row>
    <row r="25" spans="1:9" ht="21" thickBot="1" x14ac:dyDescent="0.35">
      <c r="A25" s="358" t="s">
        <v>3</v>
      </c>
      <c r="B25" s="359"/>
      <c r="C25" s="360"/>
      <c r="D25" s="210">
        <v>0</v>
      </c>
      <c r="E25" s="210" t="s">
        <v>2</v>
      </c>
      <c r="F25" s="361"/>
      <c r="G25" s="362"/>
      <c r="H25" s="354"/>
      <c r="I25" s="354"/>
    </row>
    <row r="26" spans="1:9" ht="20.25" x14ac:dyDescent="0.3">
      <c r="A26" s="363" t="s">
        <v>1</v>
      </c>
      <c r="B26" s="364"/>
      <c r="C26" s="364"/>
      <c r="D26" s="364"/>
      <c r="E26" s="364"/>
      <c r="F26" s="364"/>
      <c r="G26" s="364"/>
      <c r="H26" s="365"/>
      <c r="I26" s="365"/>
    </row>
    <row r="27" spans="1:9" ht="20.25" x14ac:dyDescent="0.3">
      <c r="A27" s="366" t="s">
        <v>63</v>
      </c>
      <c r="B27" s="366"/>
      <c r="C27" s="366"/>
      <c r="D27" s="366"/>
      <c r="E27" s="366"/>
      <c r="F27" s="366"/>
      <c r="G27" s="366"/>
      <c r="H27" s="366"/>
      <c r="I27" s="366"/>
    </row>
    <row r="28" spans="1:9" ht="20.25" x14ac:dyDescent="0.3">
      <c r="A28" s="370" t="s">
        <v>64</v>
      </c>
      <c r="B28" s="370"/>
      <c r="C28" s="370"/>
      <c r="D28" s="370"/>
      <c r="E28" s="370"/>
      <c r="F28" s="370"/>
      <c r="G28" s="370"/>
      <c r="H28" s="370"/>
      <c r="I28" s="370"/>
    </row>
    <row r="29" spans="1:9" ht="20.25" x14ac:dyDescent="0.3">
      <c r="A29" s="366"/>
      <c r="B29" s="366"/>
      <c r="C29" s="366"/>
      <c r="D29" s="366"/>
      <c r="E29" s="366"/>
      <c r="F29" s="366"/>
      <c r="G29" s="366"/>
      <c r="H29" s="366"/>
      <c r="I29" s="366"/>
    </row>
    <row r="30" spans="1:9" ht="20.25" x14ac:dyDescent="0.3">
      <c r="A30" s="367" t="s">
        <v>0</v>
      </c>
      <c r="B30" s="368"/>
      <c r="C30" s="368"/>
      <c r="D30" s="368"/>
      <c r="E30" s="368"/>
      <c r="F30" s="368"/>
      <c r="G30" s="368"/>
      <c r="H30" s="368"/>
      <c r="I30" s="368"/>
    </row>
    <row r="31" spans="1:9" ht="20.25" x14ac:dyDescent="0.3">
      <c r="A31" s="369"/>
      <c r="B31" s="369"/>
      <c r="C31" s="369"/>
      <c r="D31" s="369"/>
      <c r="E31" s="369"/>
      <c r="F31" s="369"/>
      <c r="G31" s="369"/>
      <c r="H31" s="369"/>
      <c r="I31" s="369"/>
    </row>
    <row r="32" spans="1:9" ht="20.25" x14ac:dyDescent="0.3">
      <c r="A32" s="355"/>
      <c r="B32" s="355"/>
      <c r="C32" s="355"/>
      <c r="D32" s="355"/>
      <c r="E32" s="355"/>
      <c r="F32" s="355"/>
      <c r="G32" s="355"/>
      <c r="H32" s="355"/>
      <c r="I32" s="355"/>
    </row>
    <row r="33" spans="1:9" ht="20.25" x14ac:dyDescent="0.3">
      <c r="A33" s="355"/>
      <c r="B33" s="355"/>
      <c r="C33" s="355"/>
      <c r="D33" s="355"/>
      <c r="E33" s="355"/>
      <c r="F33" s="355"/>
      <c r="G33" s="355"/>
      <c r="H33" s="355"/>
      <c r="I33" s="355"/>
    </row>
    <row r="34" spans="1:9" ht="20.25" x14ac:dyDescent="0.3">
      <c r="A34" s="370"/>
      <c r="B34" s="370"/>
      <c r="C34" s="370"/>
      <c r="D34" s="370"/>
      <c r="E34" s="370"/>
      <c r="F34" s="370"/>
      <c r="G34" s="370"/>
      <c r="H34" s="370"/>
      <c r="I34" s="370"/>
    </row>
  </sheetData>
  <mergeCells count="45">
    <mergeCell ref="A34:I34"/>
    <mergeCell ref="A33:I33"/>
    <mergeCell ref="A32:I32"/>
    <mergeCell ref="A24:C24"/>
    <mergeCell ref="F24:G24"/>
    <mergeCell ref="H24:I24"/>
    <mergeCell ref="A25:C25"/>
    <mergeCell ref="F25:G25"/>
    <mergeCell ref="H25:I25"/>
    <mergeCell ref="A26:I26"/>
    <mergeCell ref="A27:I27"/>
    <mergeCell ref="A29:I29"/>
    <mergeCell ref="A30:I30"/>
    <mergeCell ref="A31:I31"/>
    <mergeCell ref="A28:I28"/>
    <mergeCell ref="A22:C22"/>
    <mergeCell ref="F22:G22"/>
    <mergeCell ref="H22:I22"/>
    <mergeCell ref="A23:C23"/>
    <mergeCell ref="F23:G23"/>
    <mergeCell ref="H23:I23"/>
    <mergeCell ref="G14:H14"/>
    <mergeCell ref="G15:H15"/>
    <mergeCell ref="G16:H16"/>
    <mergeCell ref="G18:H18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F8BC-22DE-4D02-899A-DC20933F5473}">
  <dimension ref="A1:Q90"/>
  <sheetViews>
    <sheetView workbookViewId="0">
      <selection activeCell="D30" sqref="D30"/>
    </sheetView>
  </sheetViews>
  <sheetFormatPr baseColWidth="10" defaultColWidth="8.42578125" defaultRowHeight="12.75" x14ac:dyDescent="0.25"/>
  <cols>
    <col min="1" max="1" width="10" style="74" bestFit="1" customWidth="1"/>
    <col min="2" max="2" width="44.28515625" style="74" bestFit="1" customWidth="1"/>
    <col min="3" max="3" width="10.42578125" style="74" bestFit="1" customWidth="1"/>
    <col min="4" max="4" width="10.42578125" style="74" customWidth="1"/>
    <col min="5" max="5" width="11" style="74" customWidth="1"/>
    <col min="6" max="6" width="9.5703125" style="74" bestFit="1" customWidth="1"/>
    <col min="7" max="7" width="10.85546875" style="156" customWidth="1"/>
    <col min="8" max="8" width="10.42578125" style="147" bestFit="1" customWidth="1"/>
    <col min="9" max="9" width="4.5703125" style="147" customWidth="1"/>
    <col min="10" max="10" width="1.85546875" style="73" customWidth="1"/>
    <col min="11" max="11" width="7" style="74" bestFit="1" customWidth="1"/>
    <col min="12" max="12" width="6.28515625" style="74" customWidth="1"/>
    <col min="13" max="13" width="20.42578125" style="74" customWidth="1"/>
    <col min="14" max="14" width="6.42578125" style="74" bestFit="1" customWidth="1"/>
    <col min="15" max="15" width="9.28515625" style="74" bestFit="1" customWidth="1"/>
    <col min="16" max="16" width="8.42578125" style="74"/>
    <col min="17" max="17" width="3.28515625" style="74" customWidth="1"/>
    <col min="18" max="16384" width="8.42578125" style="74"/>
  </cols>
  <sheetData>
    <row r="1" spans="1:10" ht="27.75" customHeight="1" x14ac:dyDescent="0.25">
      <c r="A1" s="69"/>
      <c r="B1" s="69"/>
      <c r="C1" s="69"/>
      <c r="D1" s="69"/>
      <c r="E1" s="70" t="s">
        <v>72</v>
      </c>
      <c r="F1" s="71" t="s">
        <v>73</v>
      </c>
      <c r="G1" s="71" t="s">
        <v>74</v>
      </c>
      <c r="H1" s="71" t="s">
        <v>75</v>
      </c>
      <c r="I1" s="72"/>
    </row>
    <row r="2" spans="1:10" ht="30.75" customHeight="1" x14ac:dyDescent="0.25">
      <c r="A2" s="69"/>
      <c r="B2" s="69"/>
      <c r="C2" s="69"/>
      <c r="D2" s="69"/>
      <c r="E2" s="75">
        <f>IFERROR(O61,"")</f>
        <v>4081.3811039058901</v>
      </c>
      <c r="F2" s="75">
        <f>IFERROR(H52,"")</f>
        <v>1582.6104783111653</v>
      </c>
      <c r="G2" s="75">
        <f>IFERROR(H53,"")</f>
        <v>500.14162061796856</v>
      </c>
      <c r="H2" s="75">
        <f>IFERROR(H55,"")</f>
        <v>961.84020864506408</v>
      </c>
      <c r="I2" s="76"/>
    </row>
    <row r="3" spans="1:10" ht="15" customHeight="1" x14ac:dyDescent="0.25">
      <c r="A3" s="69"/>
      <c r="B3" s="69"/>
      <c r="C3" s="69"/>
      <c r="D3" s="69"/>
      <c r="E3" s="69"/>
      <c r="F3" s="77"/>
      <c r="G3" s="77"/>
      <c r="H3" s="77"/>
      <c r="I3" s="77"/>
    </row>
    <row r="4" spans="1:10" ht="24.75" customHeight="1" thickBot="1" x14ac:dyDescent="0.3">
      <c r="A4" s="241"/>
      <c r="B4" s="241"/>
      <c r="C4" s="241"/>
      <c r="D4" s="241"/>
      <c r="E4" s="241"/>
      <c r="F4" s="241"/>
      <c r="G4" s="241"/>
      <c r="H4" s="241"/>
      <c r="I4" s="78"/>
    </row>
    <row r="5" spans="1:10" ht="19.5" customHeight="1" thickBot="1" x14ac:dyDescent="0.3">
      <c r="A5" s="242" t="s">
        <v>76</v>
      </c>
      <c r="B5" s="243"/>
      <c r="C5" s="243"/>
      <c r="D5" s="243"/>
      <c r="E5" s="243"/>
      <c r="F5" s="243"/>
      <c r="G5" s="243"/>
      <c r="H5" s="244"/>
      <c r="I5" s="79"/>
    </row>
    <row r="6" spans="1:10" ht="19.5" thickBot="1" x14ac:dyDescent="0.3">
      <c r="A6" s="79"/>
      <c r="B6" s="79"/>
      <c r="C6" s="79"/>
      <c r="D6" s="79"/>
      <c r="E6" s="79"/>
      <c r="F6" s="245" t="s">
        <v>77</v>
      </c>
      <c r="G6" s="245"/>
      <c r="H6" s="80">
        <f ca="1">TODAY()</f>
        <v>45918</v>
      </c>
      <c r="I6" s="80"/>
    </row>
    <row r="7" spans="1:10" ht="26.25" hidden="1" thickBot="1" x14ac:dyDescent="0.3">
      <c r="A7" s="81" t="s">
        <v>78</v>
      </c>
      <c r="B7" s="82" t="s">
        <v>79</v>
      </c>
      <c r="C7" s="82" t="s">
        <v>78</v>
      </c>
      <c r="D7" s="83" t="s">
        <v>80</v>
      </c>
      <c r="E7" s="83" t="s">
        <v>81</v>
      </c>
      <c r="F7" s="83" t="s">
        <v>82</v>
      </c>
      <c r="G7" s="83" t="s">
        <v>83</v>
      </c>
      <c r="H7" s="84" t="s">
        <v>84</v>
      </c>
      <c r="I7" s="85"/>
    </row>
    <row r="8" spans="1:10" ht="13.5" hidden="1" x14ac:dyDescent="0.25">
      <c r="A8" s="86"/>
      <c r="B8" s="74" t="str">
        <f>IFERROR(VLOOKUP(H8,'[1]Consolidado MP Planta'!$A$2:$M$823,3,0),"")</f>
        <v/>
      </c>
      <c r="C8" s="87">
        <f>+A8</f>
        <v>0</v>
      </c>
      <c r="D8" s="88" t="str">
        <f>IFERROR(VLOOKUP(H8,'[1]Consolidado MP Planta'!$A$2:$M$823,13,0),"")</f>
        <v/>
      </c>
      <c r="E8" s="88" t="str">
        <f>IFERROR(VLOOKUP(H8,'[1]Consolidado MP Planta'!$A$2:$M$823,12,0),"")</f>
        <v/>
      </c>
      <c r="F8" s="88" t="str">
        <f>IFERROR(C8*E8,"")</f>
        <v/>
      </c>
      <c r="G8" s="89" t="str">
        <f t="shared" ref="G8:G14" si="0">IFERROR(F8/$F$65,"")</f>
        <v/>
      </c>
      <c r="H8" s="90"/>
      <c r="I8" s="90"/>
      <c r="J8" s="91"/>
    </row>
    <row r="9" spans="1:10" ht="13.5" hidden="1" x14ac:dyDescent="0.25">
      <c r="A9" s="86"/>
      <c r="B9" s="74" t="str">
        <f>IFERROR(VLOOKUP(H9,'[1]Consolidado MP Planta'!$A$2:$M$823,3,0),"")</f>
        <v/>
      </c>
      <c r="C9" s="87">
        <f t="shared" ref="C9:C14" si="1">+A9</f>
        <v>0</v>
      </c>
      <c r="D9" s="88" t="str">
        <f>IFERROR(VLOOKUP(H9,'[1]Consolidado MP Planta'!$A$2:$M$823,13,0),"")</f>
        <v/>
      </c>
      <c r="E9" s="88" t="str">
        <f>IFERROR(VLOOKUP(H9,'[1]Consolidado MP Planta'!$A$2:$M$823,12,0),"")</f>
        <v/>
      </c>
      <c r="F9" s="88" t="str">
        <f t="shared" ref="F9:F14" si="2">IFERROR(C9*E9,"")</f>
        <v/>
      </c>
      <c r="G9" s="89" t="str">
        <f t="shared" si="0"/>
        <v/>
      </c>
      <c r="H9" s="90"/>
      <c r="I9" s="90"/>
      <c r="J9" s="91"/>
    </row>
    <row r="10" spans="1:10" ht="13.5" hidden="1" x14ac:dyDescent="0.25">
      <c r="A10" s="86"/>
      <c r="B10" s="74" t="str">
        <f>IFERROR(VLOOKUP(H10,'[1]Consolidado MP Planta'!$A$2:$M$823,3,0),"")</f>
        <v/>
      </c>
      <c r="C10" s="87">
        <f t="shared" si="1"/>
        <v>0</v>
      </c>
      <c r="D10" s="88" t="str">
        <f>IFERROR(VLOOKUP(H10,'[1]Consolidado MP Planta'!$A$2:$M$823,13,0),"")</f>
        <v/>
      </c>
      <c r="E10" s="88" t="str">
        <f>IFERROR(VLOOKUP(H10,'[1]Consolidado MP Planta'!$A$2:$M$823,12,0),"")</f>
        <v/>
      </c>
      <c r="F10" s="88" t="str">
        <f t="shared" si="2"/>
        <v/>
      </c>
      <c r="G10" s="89" t="str">
        <f t="shared" si="0"/>
        <v/>
      </c>
      <c r="H10" s="90"/>
      <c r="I10" s="90"/>
      <c r="J10" s="91"/>
    </row>
    <row r="11" spans="1:10" ht="13.5" hidden="1" x14ac:dyDescent="0.25">
      <c r="A11" s="86"/>
      <c r="B11" s="74" t="str">
        <f>IFERROR(VLOOKUP(H11,'[1]Consolidado MP Planta'!$A$2:$M$823,3,0),"")</f>
        <v/>
      </c>
      <c r="C11" s="87">
        <f t="shared" si="1"/>
        <v>0</v>
      </c>
      <c r="D11" s="88" t="str">
        <f>IFERROR(VLOOKUP(H11,'[1]Consolidado MP Planta'!$A$2:$M$823,13,0),"")</f>
        <v/>
      </c>
      <c r="E11" s="88" t="str">
        <f>IFERROR(VLOOKUP(H11,'[1]Consolidado MP Planta'!$A$2:$M$823,12,0),"")</f>
        <v/>
      </c>
      <c r="F11" s="88" t="str">
        <f t="shared" si="2"/>
        <v/>
      </c>
      <c r="G11" s="89" t="str">
        <f t="shared" si="0"/>
        <v/>
      </c>
      <c r="H11" s="90"/>
      <c r="I11" s="90"/>
      <c r="J11" s="91"/>
    </row>
    <row r="12" spans="1:10" ht="13.5" hidden="1" x14ac:dyDescent="0.25">
      <c r="A12" s="86"/>
      <c r="B12" s="74" t="str">
        <f>IFERROR(VLOOKUP(H12,'[1]Consolidado MP Planta'!$A$2:$M$823,3,0),"")</f>
        <v/>
      </c>
      <c r="C12" s="87">
        <f t="shared" si="1"/>
        <v>0</v>
      </c>
      <c r="D12" s="88" t="str">
        <f>IFERROR(VLOOKUP(H12,'[1]Consolidado MP Planta'!$A$2:$M$823,13,0),"")</f>
        <v/>
      </c>
      <c r="E12" s="88" t="str">
        <f>IFERROR(VLOOKUP(H12,'[1]Consolidado MP Planta'!$A$2:$M$823,12,0),"")</f>
        <v/>
      </c>
      <c r="F12" s="88" t="str">
        <f t="shared" si="2"/>
        <v/>
      </c>
      <c r="G12" s="89" t="str">
        <f t="shared" si="0"/>
        <v/>
      </c>
      <c r="H12" s="90"/>
      <c r="I12" s="90"/>
      <c r="J12" s="91"/>
    </row>
    <row r="13" spans="1:10" ht="13.5" hidden="1" x14ac:dyDescent="0.25">
      <c r="A13" s="86"/>
      <c r="B13" s="74" t="str">
        <f>IFERROR(VLOOKUP(H13,'[1]Consolidado MP Planta'!$A$2:$M$823,3,0),"")</f>
        <v/>
      </c>
      <c r="C13" s="87">
        <f t="shared" si="1"/>
        <v>0</v>
      </c>
      <c r="D13" s="88" t="str">
        <f>IFERROR(VLOOKUP(H13,'[1]Consolidado MP Planta'!$A$2:$M$823,13,0),"")</f>
        <v/>
      </c>
      <c r="E13" s="88" t="str">
        <f>IFERROR(VLOOKUP(H13,'[1]Consolidado MP Planta'!$A$2:$M$823,12,0),"")</f>
        <v/>
      </c>
      <c r="F13" s="88" t="str">
        <f t="shared" si="2"/>
        <v/>
      </c>
      <c r="G13" s="89" t="str">
        <f t="shared" si="0"/>
        <v/>
      </c>
      <c r="H13" s="90"/>
      <c r="I13" s="90"/>
      <c r="J13" s="91"/>
    </row>
    <row r="14" spans="1:10" ht="13.5" hidden="1" x14ac:dyDescent="0.25">
      <c r="A14" s="86"/>
      <c r="B14" s="74" t="str">
        <f>IFERROR(VLOOKUP(H14,'[1]Consolidado MP Planta'!$A$2:$M$823,3,0),"")</f>
        <v/>
      </c>
      <c r="C14" s="87">
        <f t="shared" si="1"/>
        <v>0</v>
      </c>
      <c r="D14" s="88" t="str">
        <f>IFERROR(VLOOKUP(H14,'[1]Consolidado MP Planta'!$A$2:$M$823,13,0),"")</f>
        <v/>
      </c>
      <c r="E14" s="88" t="str">
        <f>IFERROR(VLOOKUP(H14,'[1]Consolidado MP Planta'!$A$2:$M$823,12,0),"")</f>
        <v/>
      </c>
      <c r="F14" s="88" t="str">
        <f t="shared" si="2"/>
        <v/>
      </c>
      <c r="G14" s="89" t="str">
        <f t="shared" si="0"/>
        <v/>
      </c>
      <c r="H14" s="90"/>
      <c r="I14" s="90"/>
      <c r="J14" s="91"/>
    </row>
    <row r="15" spans="1:10" ht="14.25" hidden="1" thickBot="1" x14ac:dyDescent="0.3">
      <c r="A15" s="86"/>
      <c r="B15" s="74" t="str">
        <f>IFERROR(VLOOKUP(H15,[2]Hoja2!$A$2:$G$589,2,0),"")</f>
        <v/>
      </c>
      <c r="C15" s="87"/>
      <c r="D15" s="88"/>
      <c r="E15" s="88"/>
      <c r="F15" s="88"/>
      <c r="G15" s="89"/>
      <c r="H15" s="90"/>
      <c r="I15" s="90"/>
      <c r="J15" s="91"/>
    </row>
    <row r="16" spans="1:10" ht="26.25" thickBot="1" x14ac:dyDescent="0.3">
      <c r="A16" s="81" t="s">
        <v>78</v>
      </c>
      <c r="B16" s="82" t="s">
        <v>85</v>
      </c>
      <c r="C16" s="82" t="s">
        <v>78</v>
      </c>
      <c r="D16" s="83" t="s">
        <v>80</v>
      </c>
      <c r="E16" s="83" t="s">
        <v>81</v>
      </c>
      <c r="F16" s="83" t="s">
        <v>82</v>
      </c>
      <c r="G16" s="83" t="s">
        <v>83</v>
      </c>
      <c r="H16" s="84" t="s">
        <v>84</v>
      </c>
      <c r="I16" s="85"/>
      <c r="J16" s="91"/>
    </row>
    <row r="17" spans="1:12" ht="13.5" x14ac:dyDescent="0.25">
      <c r="A17" s="86">
        <v>8</v>
      </c>
      <c r="B17" s="74" t="s">
        <v>65</v>
      </c>
      <c r="C17" s="87">
        <f>+A17</f>
        <v>8</v>
      </c>
      <c r="D17" s="87" t="s">
        <v>130</v>
      </c>
      <c r="E17" s="88">
        <f>+'COSTO ENSAMBLE '!H53</f>
        <v>197.82630978889566</v>
      </c>
      <c r="F17" s="88">
        <f>IFERROR(E17*C17,"")</f>
        <v>1582.6104783111653</v>
      </c>
      <c r="G17" s="89">
        <f t="shared" ref="G17:G24" si="3">IFERROR(F17/$F$65,"")</f>
        <v>0.69767566230771172</v>
      </c>
      <c r="H17" s="90"/>
      <c r="I17" s="90"/>
      <c r="J17" s="91"/>
    </row>
    <row r="18" spans="1:12" ht="13.5" hidden="1" x14ac:dyDescent="0.25">
      <c r="A18" s="86"/>
      <c r="B18" s="74" t="str">
        <f>IFERROR(VLOOKUP(H18,[1]SEMIELABORADOS!$A$2:$M$6000,2,0),"")</f>
        <v/>
      </c>
      <c r="C18" s="87">
        <f t="shared" ref="C18:C24" si="4">+A18</f>
        <v>0</v>
      </c>
      <c r="D18" s="87" t="str">
        <f>IFERROR(VLOOKUP(H18,[1]SEMIELABORADOS!$A$2:$M$6000,6,0),"")</f>
        <v/>
      </c>
      <c r="E18" s="88" t="str">
        <f>IFERROR(VLOOKUP(H18,[1]SEMIELABORADOS!$A$2:$H$65536,8,0),"")</f>
        <v/>
      </c>
      <c r="F18" s="88" t="str">
        <f t="shared" ref="F18:F24" si="5">IFERROR(E18*C18,"")</f>
        <v/>
      </c>
      <c r="G18" s="89" t="str">
        <f t="shared" si="3"/>
        <v/>
      </c>
      <c r="H18" s="90"/>
      <c r="I18" s="90"/>
      <c r="J18" s="91"/>
    </row>
    <row r="19" spans="1:12" ht="13.5" hidden="1" x14ac:dyDescent="0.25">
      <c r="A19" s="86"/>
      <c r="B19" s="74" t="str">
        <f>IFERROR(VLOOKUP(H19,[1]SEMIELABORADOS!$A$2:$M$6000,2,0),"")</f>
        <v/>
      </c>
      <c r="C19" s="87">
        <f>+A19</f>
        <v>0</v>
      </c>
      <c r="D19" s="87" t="str">
        <f>IFERROR(VLOOKUP(H19,[1]SEMIELABORADOS!$A$2:$M$6000,6,0),"")</f>
        <v/>
      </c>
      <c r="E19" s="88" t="str">
        <f>IFERROR(VLOOKUP(H19,[1]SEMIELABORADOS!$A$2:$H$65536,8,0),"")</f>
        <v/>
      </c>
      <c r="F19" s="88" t="str">
        <f>IFERROR(E19*C19,"")</f>
        <v/>
      </c>
      <c r="G19" s="89" t="str">
        <f t="shared" si="3"/>
        <v/>
      </c>
      <c r="H19" s="90"/>
      <c r="I19" s="90"/>
      <c r="J19" s="91"/>
    </row>
    <row r="20" spans="1:12" ht="13.5" hidden="1" x14ac:dyDescent="0.25">
      <c r="A20" s="86"/>
      <c r="B20" s="74" t="str">
        <f>IFERROR(VLOOKUP(H20,[1]SEMIELABORADOS!$A$2:$M$6000,2,0),"")</f>
        <v/>
      </c>
      <c r="C20" s="87">
        <f>+A20</f>
        <v>0</v>
      </c>
      <c r="D20" s="87" t="str">
        <f>IFERROR(VLOOKUP(H20,[1]SEMIELABORADOS!$A$2:$M$6000,6,0),"")</f>
        <v/>
      </c>
      <c r="E20" s="88" t="str">
        <f>IFERROR(VLOOKUP(H20,[1]SEMIELABORADOS!$A$2:$H$65536,8,0),"")</f>
        <v/>
      </c>
      <c r="F20" s="88" t="str">
        <f>IFERROR(E20*C20,"")</f>
        <v/>
      </c>
      <c r="G20" s="89" t="str">
        <f t="shared" si="3"/>
        <v/>
      </c>
      <c r="H20" s="90"/>
      <c r="I20" s="90"/>
      <c r="J20" s="91"/>
    </row>
    <row r="21" spans="1:12" ht="13.5" hidden="1" x14ac:dyDescent="0.25">
      <c r="A21" s="86"/>
      <c r="B21" s="74" t="str">
        <f>IFERROR(VLOOKUP(H21,[1]SEMIELABORADOS!$A$2:$M$6000,2,0),"")</f>
        <v/>
      </c>
      <c r="C21" s="87">
        <f>+A21</f>
        <v>0</v>
      </c>
      <c r="D21" s="87" t="str">
        <f>IFERROR(VLOOKUP(H21,[1]SEMIELABORADOS!$A$2:$M$6000,6,0),"")</f>
        <v/>
      </c>
      <c r="E21" s="88" t="str">
        <f>IFERROR(VLOOKUP(H21,[1]SEMIELABORADOS!$A$2:$H$65536,8,0),"")</f>
        <v/>
      </c>
      <c r="F21" s="88" t="str">
        <f>IFERROR(E21*C21,"")</f>
        <v/>
      </c>
      <c r="G21" s="89" t="str">
        <f t="shared" si="3"/>
        <v/>
      </c>
      <c r="H21" s="90"/>
      <c r="I21" s="90"/>
      <c r="J21" s="91"/>
    </row>
    <row r="22" spans="1:12" ht="13.5" hidden="1" x14ac:dyDescent="0.25">
      <c r="A22" s="86"/>
      <c r="B22" s="74" t="str">
        <f>IFERROR(VLOOKUP(H22,[1]SEMIELABORADOS!$A$2:$M$6000,2,0),"")</f>
        <v/>
      </c>
      <c r="C22" s="87">
        <f t="shared" si="4"/>
        <v>0</v>
      </c>
      <c r="D22" s="87" t="str">
        <f>IFERROR(VLOOKUP(H22,[1]SEMIELABORADOS!$A$2:$M$6000,6,0),"")</f>
        <v/>
      </c>
      <c r="E22" s="88" t="str">
        <f>IFERROR(VLOOKUP(H22,[1]SEMIELABORADOS!$A$2:$H$65536,8,0),"")</f>
        <v/>
      </c>
      <c r="F22" s="88" t="str">
        <f t="shared" si="5"/>
        <v/>
      </c>
      <c r="G22" s="89" t="str">
        <f t="shared" si="3"/>
        <v/>
      </c>
      <c r="H22" s="90"/>
      <c r="I22" s="90"/>
      <c r="J22" s="91"/>
    </row>
    <row r="23" spans="1:12" ht="13.5" hidden="1" x14ac:dyDescent="0.25">
      <c r="A23" s="86"/>
      <c r="B23" s="74" t="str">
        <f>IFERROR(VLOOKUP(H23,[1]SEMIELABORADOS!$A$2:$M$6000,2,0),"")</f>
        <v/>
      </c>
      <c r="C23" s="87">
        <f t="shared" si="4"/>
        <v>0</v>
      </c>
      <c r="D23" s="87" t="str">
        <f>IFERROR(VLOOKUP(H23,[1]SEMIELABORADOS!$A$2:$M$6000,6,0),"")</f>
        <v/>
      </c>
      <c r="E23" s="88" t="str">
        <f>IFERROR(VLOOKUP(H23,[1]SEMIELABORADOS!$A$2:$H$65536,8,0),"")</f>
        <v/>
      </c>
      <c r="F23" s="88" t="str">
        <f t="shared" si="5"/>
        <v/>
      </c>
      <c r="G23" s="89" t="str">
        <f t="shared" si="3"/>
        <v/>
      </c>
      <c r="H23" s="90"/>
      <c r="I23" s="90"/>
      <c r="J23" s="91"/>
    </row>
    <row r="24" spans="1:12" ht="13.5" hidden="1" x14ac:dyDescent="0.25">
      <c r="A24" s="86"/>
      <c r="B24" s="74" t="str">
        <f>IFERROR(VLOOKUP(H24,[1]SEMIELABORADOS!$A$2:$M$6000,2,0),"")</f>
        <v/>
      </c>
      <c r="C24" s="87">
        <f t="shared" si="4"/>
        <v>0</v>
      </c>
      <c r="D24" s="87" t="str">
        <f>IFERROR(VLOOKUP(H24,[1]SEMIELABORADOS!$A$2:$M$6000,6,0),"")</f>
        <v/>
      </c>
      <c r="E24" s="88" t="str">
        <f>IFERROR(VLOOKUP(H24,[1]SEMIELABORADOS!$A$2:$H$65536,8,0),"")</f>
        <v/>
      </c>
      <c r="F24" s="88" t="str">
        <f t="shared" si="5"/>
        <v/>
      </c>
      <c r="G24" s="89" t="str">
        <f t="shared" si="3"/>
        <v/>
      </c>
      <c r="H24" s="90"/>
      <c r="I24" s="90"/>
      <c r="J24" s="91"/>
    </row>
    <row r="25" spans="1:12" ht="14.25" thickBot="1" x14ac:dyDescent="0.3">
      <c r="A25" s="86"/>
      <c r="C25" s="87"/>
      <c r="D25" s="87"/>
      <c r="E25" s="88"/>
      <c r="F25" s="88"/>
      <c r="G25" s="89"/>
      <c r="H25" s="90"/>
      <c r="I25" s="90"/>
      <c r="J25" s="91"/>
    </row>
    <row r="26" spans="1:12" ht="26.25" thickBot="1" x14ac:dyDescent="0.3">
      <c r="A26" s="81" t="s">
        <v>78</v>
      </c>
      <c r="B26" s="82" t="s">
        <v>41</v>
      </c>
      <c r="C26" s="82" t="s">
        <v>78</v>
      </c>
      <c r="D26" s="83" t="s">
        <v>80</v>
      </c>
      <c r="E26" s="83" t="s">
        <v>81</v>
      </c>
      <c r="F26" s="83" t="s">
        <v>82</v>
      </c>
      <c r="G26" s="83" t="s">
        <v>83</v>
      </c>
      <c r="H26" s="84" t="s">
        <v>84</v>
      </c>
      <c r="I26" s="85"/>
    </row>
    <row r="27" spans="1:12" ht="13.5" x14ac:dyDescent="0.25">
      <c r="A27" s="86">
        <v>1</v>
      </c>
      <c r="B27" s="92" t="str">
        <f>IFERROR(VLOOKUP(H27,'[1]Consolidado MP Planta'!$A$2:$M$823,3,0),"")</f>
        <v>CAJA SIX PACK MUSMANNI (UND)</v>
      </c>
      <c r="C27" s="87">
        <f t="shared" ref="C27:C31" si="6">+A27</f>
        <v>1</v>
      </c>
      <c r="D27" s="88" t="s">
        <v>128</v>
      </c>
      <c r="E27" s="88">
        <v>235</v>
      </c>
      <c r="F27" s="88">
        <f t="shared" ref="F27:F31" si="7">IFERROR(C27*E27,"")</f>
        <v>235</v>
      </c>
      <c r="G27" s="89">
        <f>IFERROR(F27/$F$65,"")</f>
        <v>0.1035970523948954</v>
      </c>
      <c r="H27" s="93" t="s">
        <v>135</v>
      </c>
      <c r="I27" s="93"/>
      <c r="J27" s="91"/>
      <c r="K27" s="235"/>
      <c r="L27" s="235"/>
    </row>
    <row r="28" spans="1:12" ht="13.5" x14ac:dyDescent="0.25">
      <c r="A28" s="86">
        <v>2</v>
      </c>
      <c r="B28" s="92" t="str">
        <f>IFERROR(VLOOKUP(H28,'[1]Consolidado MP Planta'!$A$2:$M$823,3,0),"")</f>
        <v>ETIQ.BLANCA 1 1/4 * 3/4 (UND)</v>
      </c>
      <c r="C28" s="87">
        <f t="shared" si="6"/>
        <v>2</v>
      </c>
      <c r="D28" s="88" t="str">
        <f>IFERROR(VLOOKUP(H28,'[1]Consolidado MP Planta'!$A$2:$M$823,13,0),"")</f>
        <v>Und</v>
      </c>
      <c r="E28" s="88">
        <f>IFERROR(VLOOKUP(H28,'[1]Consolidado MP Planta'!$A$2:$M$823,12,0),"")</f>
        <v>0.57999999999999996</v>
      </c>
      <c r="F28" s="88">
        <f t="shared" si="7"/>
        <v>1.1599999999999999</v>
      </c>
      <c r="G28" s="89">
        <f>IFERROR(F28/$F$65,"")</f>
        <v>5.1137268416203687E-4</v>
      </c>
      <c r="H28" s="93" t="s">
        <v>133</v>
      </c>
      <c r="I28" s="93"/>
      <c r="J28" s="91"/>
      <c r="K28" s="235"/>
      <c r="L28" s="235"/>
    </row>
    <row r="29" spans="1:12" ht="13.5" x14ac:dyDescent="0.25">
      <c r="A29" s="86">
        <v>1</v>
      </c>
      <c r="B29" s="92" t="str">
        <f>IFERROR(VLOOKUP(H29,'[1]Consolidado MP Planta'!$A$2:$M$823,3,0),"")</f>
        <v>ETIQ.FECHA VENCIMIENTO BLANCO (ROLLO)</v>
      </c>
      <c r="C29" s="87">
        <f t="shared" si="6"/>
        <v>1</v>
      </c>
      <c r="D29" s="88" t="str">
        <f>IFERROR(VLOOKUP(H29,'[1]Consolidado MP Planta'!$A$2:$M$823,13,0),"")</f>
        <v>Gramos</v>
      </c>
      <c r="E29" s="88">
        <f>IFERROR(VLOOKUP(H29,'[1]Consolidado MP Planta'!$A$2:$M$823,12,0),"")</f>
        <v>0.33333333333333331</v>
      </c>
      <c r="F29" s="88">
        <f t="shared" si="7"/>
        <v>0.33333333333333331</v>
      </c>
      <c r="G29" s="89">
        <f>IFERROR(F29/$F$65,"")</f>
        <v>1.469461736097807E-4</v>
      </c>
      <c r="H29" s="93" t="s">
        <v>134</v>
      </c>
      <c r="I29" s="93"/>
      <c r="J29" s="91"/>
      <c r="K29" s="235"/>
      <c r="L29" s="235"/>
    </row>
    <row r="30" spans="1:12" ht="13.5" x14ac:dyDescent="0.25">
      <c r="A30" s="86">
        <v>1</v>
      </c>
      <c r="B30" s="92" t="str">
        <f>IFERROR(VLOOKUP(H30,'[1]Consolidado MP Planta'!$A$2:$M$823,3,0),"")</f>
        <v>ETIQUETA BLANCA 2 5/8X1 15/16 (UND)</v>
      </c>
      <c r="C30" s="87">
        <f t="shared" si="6"/>
        <v>1</v>
      </c>
      <c r="D30" s="88" t="str">
        <f>IFERROR(VLOOKUP(H30,'[1]Consolidado MP Planta'!$A$2:$M$823,13,0),"")</f>
        <v>Und</v>
      </c>
      <c r="E30" s="88">
        <f>IFERROR(VLOOKUP(H30,'[1]Consolidado MP Planta'!$A$2:$M$823,12,0),"")</f>
        <v>2.1280000000000001</v>
      </c>
      <c r="F30" s="88">
        <f t="shared" si="7"/>
        <v>2.1280000000000001</v>
      </c>
      <c r="G30" s="89">
        <f>IFERROR(F30/$F$65,"")</f>
        <v>9.3810437232484006E-4</v>
      </c>
      <c r="H30" s="93" t="s">
        <v>126</v>
      </c>
      <c r="I30" s="93"/>
      <c r="J30" s="91"/>
      <c r="K30" s="94"/>
      <c r="L30" s="95"/>
    </row>
    <row r="31" spans="1:12" ht="13.5" x14ac:dyDescent="0.25">
      <c r="A31" s="86"/>
      <c r="B31" s="92" t="str">
        <f>IFERROR(VLOOKUP(H31,'[1]Consolidado MP Planta'!$A$2:$M$823,3,0),"")</f>
        <v/>
      </c>
      <c r="C31" s="87">
        <f t="shared" si="6"/>
        <v>0</v>
      </c>
      <c r="D31" s="88" t="str">
        <f>IFERROR(VLOOKUP(H31,'[1]Consolidado MP Planta'!$A$2:$M$823,13,0),"")</f>
        <v/>
      </c>
      <c r="E31" s="88" t="str">
        <f>IFERROR(VLOOKUP(H31,'[1]Consolidado MP Planta'!$A$2:$M$823,12,0),"")</f>
        <v/>
      </c>
      <c r="F31" s="88" t="str">
        <f t="shared" si="7"/>
        <v/>
      </c>
      <c r="G31" s="89" t="str">
        <f>IFERROR(F31/$F$65,"")</f>
        <v/>
      </c>
      <c r="H31" s="93"/>
      <c r="I31" s="93"/>
      <c r="J31" s="91"/>
    </row>
    <row r="32" spans="1:12" ht="14.25" thickBot="1" x14ac:dyDescent="0.3">
      <c r="A32" s="86"/>
      <c r="B32" s="92"/>
      <c r="C32" s="87"/>
      <c r="D32" s="88"/>
      <c r="E32" s="88"/>
      <c r="F32" s="88"/>
      <c r="G32" s="89"/>
      <c r="H32" s="93"/>
      <c r="I32" s="93"/>
      <c r="J32" s="91"/>
    </row>
    <row r="33" spans="1:13" ht="26.25" thickBot="1" x14ac:dyDescent="0.25">
      <c r="A33" s="81" t="s">
        <v>78</v>
      </c>
      <c r="B33" s="82" t="s">
        <v>86</v>
      </c>
      <c r="C33" s="82" t="s">
        <v>78</v>
      </c>
      <c r="D33" s="83" t="s">
        <v>80</v>
      </c>
      <c r="E33" s="83" t="s">
        <v>81</v>
      </c>
      <c r="F33" s="83" t="s">
        <v>82</v>
      </c>
      <c r="G33" s="83" t="s">
        <v>83</v>
      </c>
      <c r="H33" s="84" t="s">
        <v>84</v>
      </c>
      <c r="I33" s="93"/>
      <c r="J33" s="91"/>
    </row>
    <row r="34" spans="1:13" ht="13.5" x14ac:dyDescent="0.25">
      <c r="A34" s="86">
        <f t="shared" ref="A34:A40" si="8">+A17</f>
        <v>8</v>
      </c>
      <c r="B34" s="92" t="s">
        <v>65</v>
      </c>
      <c r="C34" s="87">
        <f>+A34</f>
        <v>8</v>
      </c>
      <c r="D34" s="88" t="s">
        <v>131</v>
      </c>
      <c r="E34" s="88">
        <f>+'COSTO ENSAMBLE '!H54</f>
        <v>32.690035910579404</v>
      </c>
      <c r="F34" s="88">
        <f>IFERROR(E34*C34,"")</f>
        <v>261.52028728463523</v>
      </c>
      <c r="G34" s="89">
        <f t="shared" ref="G34:G40" si="9">IFERROR(F34/$F$65,"")</f>
        <v>0.1152882166134232</v>
      </c>
      <c r="H34" s="93"/>
      <c r="I34" s="93"/>
      <c r="J34" s="91"/>
    </row>
    <row r="35" spans="1:13" ht="13.5" hidden="1" x14ac:dyDescent="0.25">
      <c r="A35" s="86">
        <f t="shared" si="8"/>
        <v>0</v>
      </c>
      <c r="B35" s="92" t="str">
        <f>IFERROR(VLOOKUP(H35,[1]SEMIELABORADOS!$A$2:$M$6000,2,0),"")</f>
        <v/>
      </c>
      <c r="C35" s="87">
        <f t="shared" ref="C35:C40" si="10">+A35</f>
        <v>0</v>
      </c>
      <c r="D35" s="88" t="str">
        <f>IFERROR(VLOOKUP(H35,[1]SEMIELABORADOS!$A$2:$M$6000,6,0),"")</f>
        <v/>
      </c>
      <c r="E35" s="88" t="str">
        <f>IFERROR(VLOOKUP(H35,[1]SEMIELABORADOS!$A$2:$M$65536,10,0),"")</f>
        <v/>
      </c>
      <c r="F35" s="88" t="str">
        <f t="shared" ref="F35:F40" si="11">IFERROR(E35*C35,"")</f>
        <v/>
      </c>
      <c r="G35" s="89" t="str">
        <f t="shared" si="9"/>
        <v/>
      </c>
      <c r="H35" s="93"/>
      <c r="I35" s="93"/>
      <c r="J35" s="91"/>
    </row>
    <row r="36" spans="1:13" ht="13.5" hidden="1" x14ac:dyDescent="0.25">
      <c r="A36" s="86">
        <f t="shared" si="8"/>
        <v>0</v>
      </c>
      <c r="B36" s="92" t="str">
        <f>IFERROR(VLOOKUP(H36,[1]SEMIELABORADOS!$A$2:$M$6000,2,0),"")</f>
        <v/>
      </c>
      <c r="C36" s="87">
        <f t="shared" si="10"/>
        <v>0</v>
      </c>
      <c r="D36" s="88" t="str">
        <f>IFERROR(VLOOKUP(H36,[1]SEMIELABORADOS!$A$2:$M$6000,6,0),"")</f>
        <v/>
      </c>
      <c r="E36" s="88" t="str">
        <f>IFERROR(VLOOKUP(H36,[1]SEMIELABORADOS!$A$2:$M$65536,10,0),"")</f>
        <v/>
      </c>
      <c r="F36" s="88" t="str">
        <f t="shared" si="11"/>
        <v/>
      </c>
      <c r="G36" s="89" t="str">
        <f t="shared" si="9"/>
        <v/>
      </c>
      <c r="H36" s="93"/>
      <c r="I36" s="93"/>
      <c r="J36" s="91"/>
    </row>
    <row r="37" spans="1:13" ht="13.5" hidden="1" x14ac:dyDescent="0.25">
      <c r="A37" s="86">
        <f t="shared" si="8"/>
        <v>0</v>
      </c>
      <c r="B37" s="92" t="str">
        <f>IFERROR(VLOOKUP(H37,[1]SEMIELABORADOS!$A$2:$M$6000,2,0),"")</f>
        <v/>
      </c>
      <c r="C37" s="87">
        <f>+A37</f>
        <v>0</v>
      </c>
      <c r="D37" s="88" t="str">
        <f>IFERROR(VLOOKUP(H37,[1]SEMIELABORADOS!$A$2:$M$6000,6,0),"")</f>
        <v/>
      </c>
      <c r="E37" s="88" t="str">
        <f>IFERROR(VLOOKUP(H37,[1]SEMIELABORADOS!$A$2:$M$65536,10,0),"")</f>
        <v/>
      </c>
      <c r="F37" s="88" t="str">
        <f>IFERROR(E37*C37,"")</f>
        <v/>
      </c>
      <c r="G37" s="89" t="str">
        <f t="shared" si="9"/>
        <v/>
      </c>
      <c r="H37" s="93"/>
      <c r="I37" s="93"/>
      <c r="J37" s="91"/>
    </row>
    <row r="38" spans="1:13" ht="13.5" hidden="1" x14ac:dyDescent="0.25">
      <c r="A38" s="86">
        <f t="shared" si="8"/>
        <v>0</v>
      </c>
      <c r="B38" s="92" t="str">
        <f>IFERROR(VLOOKUP(H38,[1]SEMIELABORADOS!$A$2:$M$6000,2,0),"")</f>
        <v/>
      </c>
      <c r="C38" s="87">
        <f>+A38</f>
        <v>0</v>
      </c>
      <c r="D38" s="88" t="str">
        <f>IFERROR(VLOOKUP(H38,[1]SEMIELABORADOS!$A$2:$M$6000,6,0),"")</f>
        <v/>
      </c>
      <c r="E38" s="88" t="str">
        <f>IFERROR(VLOOKUP(H38,[1]SEMIELABORADOS!$A$2:$M$65536,10,0),"")</f>
        <v/>
      </c>
      <c r="F38" s="88" t="str">
        <f>IFERROR(E38*C38,"")</f>
        <v/>
      </c>
      <c r="G38" s="89" t="str">
        <f t="shared" si="9"/>
        <v/>
      </c>
      <c r="H38" s="93"/>
      <c r="I38" s="93"/>
      <c r="J38" s="91"/>
    </row>
    <row r="39" spans="1:13" ht="13.5" hidden="1" x14ac:dyDescent="0.25">
      <c r="A39" s="86">
        <f t="shared" si="8"/>
        <v>0</v>
      </c>
      <c r="B39" s="92" t="str">
        <f>IFERROR(VLOOKUP(H39,[1]SEMIELABORADOS!$A$2:$M$6000,2,0),"")</f>
        <v/>
      </c>
      <c r="C39" s="87">
        <f t="shared" si="10"/>
        <v>0</v>
      </c>
      <c r="D39" s="88" t="str">
        <f>IFERROR(VLOOKUP(H39,[1]SEMIELABORADOS!$A$2:$M$6000,6,0),"")</f>
        <v/>
      </c>
      <c r="E39" s="88" t="str">
        <f>IFERROR(VLOOKUP(H39,[1]SEMIELABORADOS!$A$2:$M$65536,10,0),"")</f>
        <v/>
      </c>
      <c r="F39" s="88" t="str">
        <f t="shared" si="11"/>
        <v/>
      </c>
      <c r="G39" s="89" t="str">
        <f t="shared" si="9"/>
        <v/>
      </c>
      <c r="H39" s="93"/>
      <c r="I39" s="93"/>
      <c r="J39" s="91"/>
    </row>
    <row r="40" spans="1:13" ht="13.5" hidden="1" x14ac:dyDescent="0.25">
      <c r="A40" s="86">
        <f t="shared" si="8"/>
        <v>0</v>
      </c>
      <c r="B40" s="92" t="str">
        <f>IFERROR(VLOOKUP(H40,[1]SEMIELABORADOS!$A$2:$M$6000,2,0),"")</f>
        <v/>
      </c>
      <c r="C40" s="87">
        <f t="shared" si="10"/>
        <v>0</v>
      </c>
      <c r="D40" s="88" t="str">
        <f>IFERROR(VLOOKUP(H40,[1]SEMIELABORADOS!$A$2:$M$6000,6,0),"")</f>
        <v/>
      </c>
      <c r="E40" s="88" t="str">
        <f>IFERROR(VLOOKUP(H40,[1]SEMIELABORADOS!$A$2:$M$65536,10,0),"")</f>
        <v/>
      </c>
      <c r="F40" s="88" t="str">
        <f t="shared" si="11"/>
        <v/>
      </c>
      <c r="G40" s="89" t="str">
        <f t="shared" si="9"/>
        <v/>
      </c>
      <c r="H40" s="93"/>
      <c r="I40" s="93"/>
      <c r="J40" s="91"/>
    </row>
    <row r="41" spans="1:13" ht="14.25" thickBot="1" x14ac:dyDescent="0.3">
      <c r="A41" s="86"/>
      <c r="B41" s="92"/>
      <c r="C41" s="87"/>
      <c r="D41" s="88"/>
      <c r="E41" s="88"/>
      <c r="F41" s="88"/>
      <c r="G41" s="89"/>
      <c r="H41" s="93"/>
      <c r="I41" s="93"/>
      <c r="J41" s="91"/>
    </row>
    <row r="42" spans="1:13" ht="26.25" thickBot="1" x14ac:dyDescent="0.3">
      <c r="A42" s="81" t="s">
        <v>78</v>
      </c>
      <c r="B42" s="82" t="s">
        <v>87</v>
      </c>
      <c r="C42" s="82" t="s">
        <v>78</v>
      </c>
      <c r="D42" s="83" t="s">
        <v>80</v>
      </c>
      <c r="E42" s="83" t="s">
        <v>81</v>
      </c>
      <c r="F42" s="83" t="s">
        <v>82</v>
      </c>
      <c r="G42" s="83" t="s">
        <v>83</v>
      </c>
      <c r="H42" s="84" t="s">
        <v>84</v>
      </c>
      <c r="I42" s="85"/>
      <c r="J42" s="91"/>
    </row>
    <row r="43" spans="1:13" ht="13.5" x14ac:dyDescent="0.25">
      <c r="A43" s="86">
        <f>+A34</f>
        <v>8</v>
      </c>
      <c r="B43" s="92" t="s">
        <v>65</v>
      </c>
      <c r="C43" s="87">
        <f>+A43</f>
        <v>8</v>
      </c>
      <c r="D43" s="88" t="s">
        <v>131</v>
      </c>
      <c r="E43" s="88">
        <f>+'COSTO ENSAMBLE '!H56</f>
        <v>100.98002608063301</v>
      </c>
      <c r="F43" s="88">
        <f>IFERROR(E43*C43,"")</f>
        <v>807.84020864506408</v>
      </c>
      <c r="G43" s="89">
        <f>IFERROR(F43/$F$65,"")</f>
        <v>0.35612708264555715</v>
      </c>
      <c r="H43" s="93"/>
      <c r="I43" s="85"/>
      <c r="J43" s="91"/>
    </row>
    <row r="44" spans="1:13" ht="13.5" hidden="1" x14ac:dyDescent="0.25">
      <c r="A44" s="86">
        <f t="shared" ref="A44:A49" si="12">+A35</f>
        <v>0</v>
      </c>
      <c r="B44" s="92" t="str">
        <f>IFERROR(VLOOKUP(H44,[1]SEMIELABORADOS!$A$2:$M$6000,2,0),"")</f>
        <v/>
      </c>
      <c r="C44" s="87">
        <f t="shared" ref="C44:C49" si="13">+A44</f>
        <v>0</v>
      </c>
      <c r="D44" s="88" t="str">
        <f>IFERROR(VLOOKUP(H44,[1]SEMIELABORADOS!$A$2:$M$6000,6,0),"")</f>
        <v/>
      </c>
      <c r="E44" s="88" t="str">
        <f>IFERROR(VLOOKUP(H44,[1]SEMIELABORADOS!$A$2:$M$65536,12,0),"")</f>
        <v/>
      </c>
      <c r="F44" s="88" t="str">
        <f t="shared" ref="F44:F49" si="14">IFERROR(E44*C44,"")</f>
        <v/>
      </c>
      <c r="G44" s="89" t="str">
        <f t="shared" ref="G44:G49" si="15">IFERROR(F44/$F$65,"")</f>
        <v/>
      </c>
      <c r="H44" s="93"/>
      <c r="I44" s="85"/>
      <c r="J44" s="91"/>
      <c r="M44" s="96"/>
    </row>
    <row r="45" spans="1:13" ht="13.5" hidden="1" x14ac:dyDescent="0.25">
      <c r="A45" s="86">
        <f t="shared" si="12"/>
        <v>0</v>
      </c>
      <c r="B45" s="92" t="str">
        <f>IFERROR(VLOOKUP(H45,[1]SEMIELABORADOS!$A$2:$M$6000,2,0),"")</f>
        <v/>
      </c>
      <c r="C45" s="87">
        <f t="shared" si="13"/>
        <v>0</v>
      </c>
      <c r="D45" s="88" t="str">
        <f>IFERROR(VLOOKUP(H45,[1]SEMIELABORADOS!$A$2:$M$6000,6,0),"")</f>
        <v/>
      </c>
      <c r="E45" s="88" t="str">
        <f>IFERROR(VLOOKUP(H45,[1]SEMIELABORADOS!$A$2:$M$65536,12,0),"")</f>
        <v/>
      </c>
      <c r="F45" s="88" t="str">
        <f t="shared" si="14"/>
        <v/>
      </c>
      <c r="G45" s="89" t="str">
        <f t="shared" si="15"/>
        <v/>
      </c>
      <c r="H45" s="93"/>
      <c r="I45" s="85"/>
      <c r="J45" s="91"/>
    </row>
    <row r="46" spans="1:13" ht="13.5" hidden="1" x14ac:dyDescent="0.25">
      <c r="A46" s="86">
        <f t="shared" si="12"/>
        <v>0</v>
      </c>
      <c r="B46" s="92" t="str">
        <f>IFERROR(VLOOKUP(H46,[1]SEMIELABORADOS!$A$2:$M$6000,2,0),"")</f>
        <v/>
      </c>
      <c r="C46" s="87">
        <f t="shared" si="13"/>
        <v>0</v>
      </c>
      <c r="D46" s="88" t="str">
        <f>IFERROR(VLOOKUP(H46,[1]SEMIELABORADOS!$A$2:$M$6000,6,0),"")</f>
        <v/>
      </c>
      <c r="E46" s="88" t="str">
        <f>IFERROR(VLOOKUP(H46,[1]SEMIELABORADOS!$A$2:$M$65536,12,0),"")</f>
        <v/>
      </c>
      <c r="F46" s="88" t="str">
        <f t="shared" si="14"/>
        <v/>
      </c>
      <c r="G46" s="89" t="str">
        <f t="shared" si="15"/>
        <v/>
      </c>
      <c r="H46" s="93"/>
      <c r="I46" s="85"/>
      <c r="J46" s="91"/>
    </row>
    <row r="47" spans="1:13" ht="13.5" hidden="1" x14ac:dyDescent="0.25">
      <c r="A47" s="86">
        <f t="shared" si="12"/>
        <v>0</v>
      </c>
      <c r="B47" s="92" t="str">
        <f>IFERROR(VLOOKUP(H47,[1]SEMIELABORADOS!$A$2:$M$6000,2,0),"")</f>
        <v/>
      </c>
      <c r="C47" s="87">
        <f t="shared" si="13"/>
        <v>0</v>
      </c>
      <c r="D47" s="88" t="str">
        <f>IFERROR(VLOOKUP(H47,[1]SEMIELABORADOS!$A$2:$M$6000,6,0),"")</f>
        <v/>
      </c>
      <c r="E47" s="88" t="str">
        <f>IFERROR(VLOOKUP(H47,[1]SEMIELABORADOS!$A$2:$M$65536,12,0),"")</f>
        <v/>
      </c>
      <c r="F47" s="88" t="str">
        <f t="shared" si="14"/>
        <v/>
      </c>
      <c r="G47" s="89" t="str">
        <f t="shared" si="15"/>
        <v/>
      </c>
      <c r="H47" s="93"/>
      <c r="I47" s="85"/>
      <c r="J47" s="91"/>
    </row>
    <row r="48" spans="1:13" ht="13.5" hidden="1" x14ac:dyDescent="0.25">
      <c r="A48" s="86">
        <f t="shared" si="12"/>
        <v>0</v>
      </c>
      <c r="B48" s="92" t="str">
        <f>IFERROR(VLOOKUP(H48,[1]SEMIELABORADOS!$A$2:$M$6000,2,0),"")</f>
        <v/>
      </c>
      <c r="C48" s="87">
        <f t="shared" si="13"/>
        <v>0</v>
      </c>
      <c r="D48" s="88" t="str">
        <f>IFERROR(VLOOKUP(H48,[1]SEMIELABORADOS!$A$2:$M$6000,6,0),"")</f>
        <v/>
      </c>
      <c r="E48" s="88" t="str">
        <f>IFERROR(VLOOKUP(H48,[1]SEMIELABORADOS!$A$2:$M$65536,12,0),"")</f>
        <v/>
      </c>
      <c r="F48" s="88" t="str">
        <f t="shared" si="14"/>
        <v/>
      </c>
      <c r="G48" s="89" t="str">
        <f t="shared" si="15"/>
        <v/>
      </c>
      <c r="H48" s="93"/>
      <c r="I48" s="85"/>
      <c r="J48" s="91"/>
    </row>
    <row r="49" spans="1:17" ht="13.5" hidden="1" x14ac:dyDescent="0.25">
      <c r="A49" s="86">
        <f t="shared" si="12"/>
        <v>0</v>
      </c>
      <c r="B49" s="92" t="str">
        <f>IFERROR(VLOOKUP(H49,[1]SEMIELABORADOS!$A$2:$M$6000,2,0),"")</f>
        <v/>
      </c>
      <c r="C49" s="87">
        <f t="shared" si="13"/>
        <v>0</v>
      </c>
      <c r="D49" s="88" t="str">
        <f>IFERROR(VLOOKUP(H49,[1]SEMIELABORADOS!$A$2:$M$6000,6,0),"")</f>
        <v/>
      </c>
      <c r="E49" s="88" t="str">
        <f>IFERROR(VLOOKUP(H49,[1]SEMIELABORADOS!$A$2:$M$65536,12,0),"")</f>
        <v/>
      </c>
      <c r="F49" s="88" t="str">
        <f t="shared" si="14"/>
        <v/>
      </c>
      <c r="G49" s="89" t="str">
        <f t="shared" si="15"/>
        <v/>
      </c>
      <c r="H49" s="92"/>
      <c r="I49" s="85"/>
      <c r="J49" s="91"/>
    </row>
    <row r="50" spans="1:17" ht="13.5" x14ac:dyDescent="0.25">
      <c r="A50" s="86">
        <v>1</v>
      </c>
      <c r="B50" s="92" t="s">
        <v>88</v>
      </c>
      <c r="C50" s="87">
        <f>+A50</f>
        <v>1</v>
      </c>
      <c r="D50" s="87" t="s">
        <v>89</v>
      </c>
      <c r="E50" s="88">
        <f>+F64</f>
        <v>154</v>
      </c>
      <c r="F50" s="88">
        <f>IFERROR(C50*E50,"")</f>
        <v>154</v>
      </c>
      <c r="G50" s="89">
        <f>IFERROR(F50/$F$65,"")</f>
        <v>6.788913220771868E-2</v>
      </c>
      <c r="H50" s="97"/>
      <c r="I50" s="97"/>
      <c r="J50" s="91"/>
    </row>
    <row r="51" spans="1:17" ht="14.25" thickBot="1" x14ac:dyDescent="0.3">
      <c r="A51" s="86"/>
      <c r="B51" s="92"/>
      <c r="C51" s="87"/>
      <c r="D51" s="87"/>
      <c r="E51" s="88"/>
      <c r="F51" s="88"/>
      <c r="G51" s="89"/>
      <c r="H51" s="97"/>
      <c r="I51" s="97"/>
      <c r="J51" s="91"/>
    </row>
    <row r="52" spans="1:17" ht="13.5" thickBot="1" x14ac:dyDescent="0.3">
      <c r="A52" s="98"/>
      <c r="B52" s="236" t="s">
        <v>90</v>
      </c>
      <c r="C52" s="236"/>
      <c r="D52" s="236"/>
      <c r="E52" s="236"/>
      <c r="F52" s="100">
        <f>SUM(F8:F14,F17:F24)</f>
        <v>1582.6104783111653</v>
      </c>
      <c r="G52" s="89">
        <f>+F52/$F$65</f>
        <v>0.69767566230771172</v>
      </c>
      <c r="H52" s="101">
        <f>+F52/$D$59</f>
        <v>1582.6104783111653</v>
      </c>
      <c r="I52" s="101"/>
      <c r="J52" s="102"/>
      <c r="K52" s="103"/>
      <c r="L52" s="103"/>
      <c r="M52" s="103"/>
      <c r="N52" s="103"/>
      <c r="O52" s="103"/>
      <c r="P52" s="103"/>
      <c r="Q52" s="104"/>
    </row>
    <row r="53" spans="1:17" x14ac:dyDescent="0.2">
      <c r="A53" s="98"/>
      <c r="B53" s="236" t="s">
        <v>91</v>
      </c>
      <c r="C53" s="236"/>
      <c r="D53" s="236"/>
      <c r="E53" s="236"/>
      <c r="F53" s="100">
        <f>SUM(F27:F31,F34:F40)</f>
        <v>500.14162061796856</v>
      </c>
      <c r="G53" s="89">
        <f>+F53/$F$65</f>
        <v>0.22048169223841527</v>
      </c>
      <c r="H53" s="101">
        <f>+F53/$D$59</f>
        <v>500.14162061796856</v>
      </c>
      <c r="I53" s="101"/>
      <c r="J53" s="105"/>
      <c r="K53" s="237" t="s">
        <v>92</v>
      </c>
      <c r="L53" s="238"/>
      <c r="M53" s="238"/>
      <c r="N53" s="238"/>
      <c r="O53" s="106">
        <f>+F54</f>
        <v>2082.7520989291338</v>
      </c>
      <c r="P53" s="106"/>
      <c r="Q53" s="107"/>
    </row>
    <row r="54" spans="1:17" x14ac:dyDescent="0.2">
      <c r="A54" s="98"/>
      <c r="B54" s="236" t="s">
        <v>93</v>
      </c>
      <c r="C54" s="236"/>
      <c r="D54" s="236"/>
      <c r="E54" s="236"/>
      <c r="F54" s="100">
        <f>+F52+F53</f>
        <v>2082.7520989291338</v>
      </c>
      <c r="G54" s="89">
        <f>+F54/$F$65</f>
        <v>0.91815735454612701</v>
      </c>
      <c r="H54" s="101">
        <f>+F54/$D$59</f>
        <v>2082.7520989291338</v>
      </c>
      <c r="I54" s="101"/>
      <c r="J54" s="108"/>
      <c r="K54" s="109"/>
      <c r="M54" s="110" t="s">
        <v>94</v>
      </c>
      <c r="N54" s="111"/>
      <c r="O54" s="106">
        <f>+H55</f>
        <v>961.84020864506408</v>
      </c>
      <c r="P54" s="106"/>
      <c r="Q54" s="107"/>
    </row>
    <row r="55" spans="1:17" ht="13.5" thickBot="1" x14ac:dyDescent="0.25">
      <c r="A55" s="98"/>
      <c r="B55" s="99"/>
      <c r="C55" s="236" t="s">
        <v>95</v>
      </c>
      <c r="D55" s="236"/>
      <c r="E55" s="236"/>
      <c r="F55" s="100">
        <f>SUM(F43:F50)</f>
        <v>961.84020864506408</v>
      </c>
      <c r="G55" s="89">
        <f>+F55/$F$65</f>
        <v>0.42401621485327584</v>
      </c>
      <c r="H55" s="101">
        <f>+F55/$D$59</f>
        <v>961.84020864506408</v>
      </c>
      <c r="I55" s="101"/>
      <c r="J55" s="108"/>
      <c r="K55" s="109"/>
      <c r="L55" s="109"/>
      <c r="M55" s="109" t="s">
        <v>96</v>
      </c>
      <c r="N55" s="112"/>
      <c r="O55" s="106">
        <f>O53*N55</f>
        <v>0</v>
      </c>
      <c r="P55" s="106"/>
      <c r="Q55" s="107"/>
    </row>
    <row r="56" spans="1:17" ht="13.5" thickBot="1" x14ac:dyDescent="0.25">
      <c r="A56" s="98"/>
      <c r="B56" s="113"/>
      <c r="C56" s="113"/>
      <c r="D56" s="113"/>
      <c r="E56" s="113"/>
      <c r="F56" s="114"/>
      <c r="G56" s="89"/>
      <c r="H56" s="115"/>
      <c r="I56" s="101"/>
      <c r="J56" s="108"/>
      <c r="K56" s="116"/>
      <c r="M56" s="117" t="s">
        <v>97</v>
      </c>
      <c r="N56" s="118"/>
      <c r="O56" s="119">
        <f>SUM(O53:O55)</f>
        <v>3044.592307574198</v>
      </c>
      <c r="P56" s="120"/>
      <c r="Q56" s="107"/>
    </row>
    <row r="57" spans="1:17" x14ac:dyDescent="0.2">
      <c r="B57" s="239" t="s">
        <v>98</v>
      </c>
      <c r="C57" s="239"/>
      <c r="D57" s="121">
        <v>920</v>
      </c>
      <c r="E57" s="122"/>
      <c r="G57" s="89"/>
      <c r="H57" s="115">
        <f>+H55/77</f>
        <v>12.491431281104727</v>
      </c>
      <c r="I57" s="123"/>
      <c r="J57" s="108"/>
      <c r="K57" s="116"/>
      <c r="L57" s="109"/>
      <c r="M57" s="109" t="s">
        <v>99</v>
      </c>
      <c r="N57" s="124"/>
      <c r="O57" s="106">
        <f>+H58</f>
        <v>1036.7887963316923</v>
      </c>
      <c r="P57" s="106"/>
      <c r="Q57" s="107"/>
    </row>
    <row r="58" spans="1:17" x14ac:dyDescent="0.2">
      <c r="B58" s="239" t="s">
        <v>100</v>
      </c>
      <c r="C58" s="239"/>
      <c r="D58" s="125">
        <v>920</v>
      </c>
      <c r="E58" s="122"/>
      <c r="G58" s="89"/>
      <c r="H58" s="115">
        <f>+H57*83</f>
        <v>1036.7887963316923</v>
      </c>
      <c r="I58" s="123"/>
      <c r="J58" s="108"/>
      <c r="K58" s="116"/>
      <c r="L58" s="109"/>
      <c r="M58" s="240" t="s">
        <v>97</v>
      </c>
      <c r="N58" s="240"/>
      <c r="O58" s="106">
        <f>SUM(O56:O57)</f>
        <v>4081.3811039058901</v>
      </c>
      <c r="P58" s="106"/>
      <c r="Q58" s="107"/>
    </row>
    <row r="59" spans="1:17" ht="13.5" thickBot="1" x14ac:dyDescent="0.25">
      <c r="B59" s="231" t="s">
        <v>101</v>
      </c>
      <c r="C59" s="231"/>
      <c r="D59" s="121">
        <f>+D57/D58</f>
        <v>1</v>
      </c>
      <c r="E59" s="122"/>
      <c r="F59" s="126"/>
      <c r="G59" s="89"/>
      <c r="H59" s="115"/>
      <c r="I59" s="123"/>
      <c r="J59" s="108"/>
      <c r="K59" s="116"/>
      <c r="L59" s="240"/>
      <c r="M59" s="240"/>
      <c r="N59" s="124"/>
      <c r="O59" s="106">
        <f>+O58*N59</f>
        <v>0</v>
      </c>
      <c r="P59" s="106"/>
      <c r="Q59" s="107"/>
    </row>
    <row r="60" spans="1:17" ht="13.5" thickBot="1" x14ac:dyDescent="0.25">
      <c r="B60" s="231" t="s">
        <v>102</v>
      </c>
      <c r="C60" s="231"/>
      <c r="D60" s="127"/>
      <c r="E60" s="122"/>
      <c r="F60" s="126"/>
      <c r="G60" s="89"/>
      <c r="H60" s="115"/>
      <c r="I60" s="123"/>
      <c r="J60" s="108"/>
      <c r="K60" s="232" t="s">
        <v>103</v>
      </c>
      <c r="L60" s="233"/>
      <c r="M60" s="233"/>
      <c r="N60" s="234"/>
      <c r="O60" s="119">
        <f>SUM(O58:O59)</f>
        <v>4081.3811039058901</v>
      </c>
      <c r="P60" s="128" t="s">
        <v>104</v>
      </c>
      <c r="Q60" s="107"/>
    </row>
    <row r="61" spans="1:17" ht="13.5" thickBot="1" x14ac:dyDescent="0.25">
      <c r="C61" s="98" t="s">
        <v>105</v>
      </c>
      <c r="D61" s="129"/>
      <c r="E61" s="72" t="s">
        <v>106</v>
      </c>
      <c r="F61" s="130" t="s">
        <v>107</v>
      </c>
      <c r="G61" s="89"/>
      <c r="H61" s="115"/>
      <c r="I61" s="123"/>
      <c r="J61" s="131"/>
      <c r="K61" s="132"/>
      <c r="L61" s="220" t="s">
        <v>108</v>
      </c>
      <c r="M61" s="220"/>
      <c r="N61" s="220"/>
      <c r="O61" s="133">
        <f>+O60/D59</f>
        <v>4081.3811039058901</v>
      </c>
      <c r="P61" s="134">
        <f>+O61/D58</f>
        <v>4.4362838085933589</v>
      </c>
      <c r="Q61" s="135"/>
    </row>
    <row r="62" spans="1:17" ht="13.5" thickBot="1" x14ac:dyDescent="0.25">
      <c r="B62" s="221" t="s">
        <v>93</v>
      </c>
      <c r="C62" s="221"/>
      <c r="D62" s="221"/>
      <c r="E62" s="136">
        <f>+F62/F62</f>
        <v>1</v>
      </c>
      <c r="F62" s="137">
        <f>SUM(F54)</f>
        <v>2082.7520989291338</v>
      </c>
      <c r="G62" s="89">
        <f>+F62/$F$65</f>
        <v>0.91815735454612701</v>
      </c>
      <c r="H62" s="115"/>
      <c r="I62" s="123"/>
      <c r="K62" s="222"/>
      <c r="L62" s="223"/>
      <c r="M62" s="223"/>
      <c r="N62" s="223"/>
      <c r="O62" s="138"/>
      <c r="P62" s="139"/>
    </row>
    <row r="63" spans="1:17" ht="13.5" thickBot="1" x14ac:dyDescent="0.3">
      <c r="B63" s="224" t="s">
        <v>109</v>
      </c>
      <c r="C63" s="224"/>
      <c r="D63" s="224"/>
      <c r="E63" s="140">
        <v>0.02</v>
      </c>
      <c r="F63" s="137">
        <f>+F52*E63</f>
        <v>31.652209566223306</v>
      </c>
      <c r="G63" s="89">
        <f>+F63/$F$65</f>
        <v>1.3953513246154235E-2</v>
      </c>
      <c r="H63" s="101"/>
      <c r="I63" s="123"/>
      <c r="J63" s="141"/>
      <c r="O63" s="142">
        <v>3904.18</v>
      </c>
      <c r="P63" s="99"/>
    </row>
    <row r="64" spans="1:17" ht="13.5" thickBot="1" x14ac:dyDescent="0.3">
      <c r="B64" s="225" t="s">
        <v>110</v>
      </c>
      <c r="C64" s="226"/>
      <c r="D64" s="143">
        <v>2</v>
      </c>
      <c r="E64" s="144">
        <v>77</v>
      </c>
      <c r="F64" s="137">
        <f>+E64*D64</f>
        <v>154</v>
      </c>
      <c r="G64" s="89">
        <f>+F64/$F$65</f>
        <v>6.788913220771868E-2</v>
      </c>
      <c r="H64" s="101"/>
      <c r="I64" s="101"/>
      <c r="J64" s="91"/>
      <c r="O64" s="74">
        <f>+O63/8</f>
        <v>488.02249999999998</v>
      </c>
    </row>
    <row r="65" spans="2:13" ht="13.5" thickBot="1" x14ac:dyDescent="0.3">
      <c r="B65" s="227" t="s">
        <v>111</v>
      </c>
      <c r="C65" s="228"/>
      <c r="D65" s="228"/>
      <c r="E65" s="229"/>
      <c r="F65" s="114">
        <f>SUM(F62:F64)</f>
        <v>2268.4043084953573</v>
      </c>
      <c r="G65" s="89">
        <f>+F65/$F$65</f>
        <v>1</v>
      </c>
      <c r="H65" s="230"/>
      <c r="I65" s="101"/>
      <c r="J65" s="91"/>
      <c r="M65" s="74" t="s">
        <v>112</v>
      </c>
    </row>
    <row r="66" spans="2:13" x14ac:dyDescent="0.25">
      <c r="C66" s="96"/>
      <c r="D66" s="96"/>
      <c r="E66" s="146"/>
      <c r="F66" s="137"/>
      <c r="G66" s="89"/>
      <c r="H66" s="230"/>
      <c r="I66" s="145"/>
      <c r="J66" s="74"/>
      <c r="M66" s="74" t="s">
        <v>113</v>
      </c>
    </row>
    <row r="67" spans="2:13" ht="13.5" thickBot="1" x14ac:dyDescent="0.3">
      <c r="B67" s="215" t="s">
        <v>114</v>
      </c>
      <c r="C67" s="215"/>
      <c r="D67" s="215"/>
      <c r="E67" s="215"/>
      <c r="F67" s="215"/>
      <c r="G67" s="89"/>
      <c r="H67" s="148"/>
      <c r="I67" s="145"/>
      <c r="J67" s="74"/>
      <c r="M67" s="74" t="s">
        <v>115</v>
      </c>
    </row>
    <row r="68" spans="2:13" ht="13.5" thickBot="1" x14ac:dyDescent="0.3">
      <c r="B68" s="149" t="s">
        <v>116</v>
      </c>
      <c r="C68" s="150">
        <f>+F52</f>
        <v>1582.6104783111653</v>
      </c>
      <c r="D68" s="150">
        <f>+D57</f>
        <v>920</v>
      </c>
      <c r="E68" s="151">
        <f>+C68/D68</f>
        <v>1.7202287807730057</v>
      </c>
      <c r="F68" s="89"/>
      <c r="G68" s="148"/>
      <c r="H68" s="91"/>
      <c r="I68" s="148"/>
      <c r="J68" s="74"/>
    </row>
    <row r="69" spans="2:13" x14ac:dyDescent="0.25">
      <c r="B69" s="152"/>
      <c r="C69" s="153"/>
      <c r="D69" s="154"/>
      <c r="E69" s="137"/>
      <c r="F69" s="89"/>
      <c r="G69" s="148"/>
      <c r="H69" s="91"/>
      <c r="I69" s="91"/>
      <c r="J69" s="74"/>
    </row>
    <row r="70" spans="2:13" x14ac:dyDescent="0.25">
      <c r="B70" s="149" t="s">
        <v>117</v>
      </c>
      <c r="C70" s="150">
        <f>SUM(F62:F63)</f>
        <v>2114.4043084953573</v>
      </c>
      <c r="D70" s="150">
        <f>+D57</f>
        <v>920</v>
      </c>
      <c r="E70" s="155">
        <f>+C70/D70</f>
        <v>2.298265552712345</v>
      </c>
      <c r="F70" s="89"/>
      <c r="G70" s="148"/>
      <c r="H70" s="91"/>
      <c r="I70" s="91"/>
      <c r="J70" s="74"/>
    </row>
    <row r="71" spans="2:13" x14ac:dyDescent="0.25">
      <c r="B71" s="149"/>
      <c r="C71" s="150"/>
      <c r="D71" s="150"/>
      <c r="E71" s="155"/>
      <c r="F71" s="89"/>
      <c r="G71" s="148"/>
      <c r="H71" s="91"/>
      <c r="I71" s="91"/>
      <c r="J71" s="74"/>
    </row>
    <row r="72" spans="2:13" ht="13.5" thickBot="1" x14ac:dyDescent="0.3">
      <c r="B72" s="149" t="s">
        <v>118</v>
      </c>
      <c r="C72" s="150">
        <f>+F64</f>
        <v>154</v>
      </c>
      <c r="D72" s="150">
        <f>+D57</f>
        <v>920</v>
      </c>
      <c r="E72" s="155">
        <f>+C72/D72</f>
        <v>0.16739130434782609</v>
      </c>
      <c r="F72" s="89"/>
      <c r="G72" s="148"/>
      <c r="H72" s="91"/>
      <c r="I72" s="91"/>
      <c r="J72" s="74"/>
    </row>
    <row r="73" spans="2:13" ht="13.5" thickBot="1" x14ac:dyDescent="0.3">
      <c r="B73" s="149" t="s">
        <v>119</v>
      </c>
      <c r="C73" s="150">
        <f>+F55</f>
        <v>961.84020864506408</v>
      </c>
      <c r="D73" s="150">
        <f>+D72</f>
        <v>920</v>
      </c>
      <c r="E73" s="151">
        <f>+C73/D73</f>
        <v>1.0454784876576784</v>
      </c>
      <c r="F73" s="89"/>
      <c r="G73" s="148"/>
      <c r="H73" s="91"/>
      <c r="I73" s="91"/>
      <c r="J73" s="74"/>
    </row>
    <row r="74" spans="2:13" ht="13.5" thickBot="1" x14ac:dyDescent="0.3">
      <c r="B74" s="113"/>
      <c r="C74" s="114"/>
      <c r="D74" s="114"/>
      <c r="E74" s="155"/>
      <c r="F74" s="89"/>
      <c r="G74" s="148"/>
      <c r="H74" s="91"/>
      <c r="I74" s="91"/>
      <c r="J74" s="74"/>
    </row>
    <row r="75" spans="2:13" ht="13.5" thickBot="1" x14ac:dyDescent="0.3">
      <c r="B75" s="149" t="s">
        <v>120</v>
      </c>
      <c r="C75" s="150">
        <f>+F53</f>
        <v>500.14162061796856</v>
      </c>
      <c r="D75" s="150">
        <f>+D73</f>
        <v>920</v>
      </c>
      <c r="E75" s="151">
        <f>+C75/D75</f>
        <v>0.54363219632387882</v>
      </c>
      <c r="F75" s="89"/>
      <c r="G75" s="148"/>
      <c r="H75" s="91"/>
      <c r="I75" s="91"/>
      <c r="J75" s="91"/>
    </row>
    <row r="76" spans="2:13" ht="13.5" thickBot="1" x14ac:dyDescent="0.3">
      <c r="B76" s="113"/>
      <c r="C76" s="114"/>
      <c r="D76" s="114"/>
      <c r="E76" s="155"/>
      <c r="F76" s="89"/>
      <c r="G76" s="148"/>
      <c r="H76" s="91"/>
      <c r="I76" s="91"/>
    </row>
    <row r="77" spans="2:13" ht="13.5" thickBot="1" x14ac:dyDescent="0.3">
      <c r="B77" s="216" t="s">
        <v>121</v>
      </c>
      <c r="C77" s="217"/>
      <c r="D77" s="218"/>
      <c r="E77" s="151">
        <f>+E68+E73</f>
        <v>2.7657072684306838</v>
      </c>
      <c r="G77" s="89"/>
      <c r="H77" s="148"/>
      <c r="I77" s="91"/>
      <c r="J77" s="155"/>
    </row>
    <row r="78" spans="2:13" x14ac:dyDescent="0.25">
      <c r="I78" s="148"/>
      <c r="J78" s="74"/>
    </row>
    <row r="79" spans="2:13" ht="13.5" thickBot="1" x14ac:dyDescent="0.3">
      <c r="B79" s="215" t="s">
        <v>122</v>
      </c>
      <c r="C79" s="215"/>
      <c r="D79" s="215"/>
      <c r="E79" s="215"/>
      <c r="F79" s="215"/>
      <c r="G79" s="89"/>
      <c r="H79" s="148"/>
      <c r="J79" s="74"/>
    </row>
    <row r="80" spans="2:13" ht="13.5" thickBot="1" x14ac:dyDescent="0.3">
      <c r="B80" s="149" t="s">
        <v>116</v>
      </c>
      <c r="C80" s="150">
        <f>+C68</f>
        <v>1582.6104783111653</v>
      </c>
      <c r="D80" s="150">
        <f>+D59</f>
        <v>1</v>
      </c>
      <c r="E80" s="151">
        <f>+C80/D80</f>
        <v>1582.6104783111653</v>
      </c>
      <c r="F80" s="89"/>
      <c r="G80" s="148"/>
      <c r="H80" s="91"/>
      <c r="I80" s="148"/>
      <c r="J80" s="74"/>
    </row>
    <row r="81" spans="1:10" x14ac:dyDescent="0.25">
      <c r="B81" s="152"/>
      <c r="C81" s="153"/>
      <c r="D81" s="154"/>
      <c r="E81" s="137"/>
      <c r="F81" s="89"/>
      <c r="G81" s="148"/>
      <c r="H81" s="91"/>
      <c r="I81" s="91"/>
      <c r="J81" s="74"/>
    </row>
    <row r="82" spans="1:10" x14ac:dyDescent="0.25">
      <c r="B82" s="149" t="s">
        <v>117</v>
      </c>
      <c r="C82" s="150">
        <f>+C70</f>
        <v>2114.4043084953573</v>
      </c>
      <c r="D82" s="150">
        <f>+D59</f>
        <v>1</v>
      </c>
      <c r="E82" s="155">
        <f>+C82/D82</f>
        <v>2114.4043084953573</v>
      </c>
      <c r="F82" s="89"/>
      <c r="G82" s="148"/>
      <c r="H82" s="91"/>
      <c r="I82" s="91"/>
      <c r="J82" s="74"/>
    </row>
    <row r="83" spans="1:10" x14ac:dyDescent="0.25">
      <c r="B83" s="149"/>
      <c r="C83" s="150"/>
      <c r="D83" s="150"/>
      <c r="E83" s="155"/>
      <c r="F83" s="89"/>
      <c r="G83" s="148"/>
      <c r="H83" s="91"/>
      <c r="I83" s="91"/>
      <c r="J83" s="74"/>
    </row>
    <row r="84" spans="1:10" ht="13.5" thickBot="1" x14ac:dyDescent="0.3">
      <c r="B84" s="149" t="s">
        <v>119</v>
      </c>
      <c r="C84" s="150">
        <f>+C72</f>
        <v>154</v>
      </c>
      <c r="D84" s="150">
        <f>+D59</f>
        <v>1</v>
      </c>
      <c r="E84" s="155">
        <f>+C84/D84</f>
        <v>154</v>
      </c>
      <c r="F84" s="157"/>
      <c r="G84" s="147"/>
      <c r="H84" s="73"/>
      <c r="I84" s="91"/>
    </row>
    <row r="85" spans="1:10" ht="13.5" thickBot="1" x14ac:dyDescent="0.3">
      <c r="B85" s="149" t="s">
        <v>119</v>
      </c>
      <c r="C85" s="150">
        <f>+C73</f>
        <v>961.84020864506408</v>
      </c>
      <c r="D85" s="150">
        <f>+D84</f>
        <v>1</v>
      </c>
      <c r="E85" s="151">
        <f>+C85/D85</f>
        <v>961.84020864506408</v>
      </c>
      <c r="F85" s="156"/>
      <c r="G85" s="147"/>
      <c r="H85" s="73"/>
      <c r="I85" s="73"/>
    </row>
    <row r="86" spans="1:10" x14ac:dyDescent="0.25">
      <c r="I86" s="73"/>
    </row>
    <row r="87" spans="1:10" x14ac:dyDescent="0.2">
      <c r="A87" s="219"/>
      <c r="B87" s="219"/>
      <c r="C87" s="158"/>
      <c r="D87" s="158"/>
      <c r="E87" s="159"/>
      <c r="G87" s="160"/>
    </row>
    <row r="88" spans="1:10" x14ac:dyDescent="0.2">
      <c r="A88" s="92"/>
      <c r="B88" s="161"/>
      <c r="C88" s="162"/>
      <c r="D88" s="162"/>
      <c r="E88" s="163"/>
      <c r="G88" s="160"/>
    </row>
    <row r="89" spans="1:10" x14ac:dyDescent="0.2">
      <c r="A89" s="92"/>
      <c r="B89" s="161"/>
      <c r="C89" s="164"/>
      <c r="D89" s="164"/>
      <c r="E89" s="92"/>
      <c r="G89" s="160"/>
    </row>
    <row r="90" spans="1:10" x14ac:dyDescent="0.2">
      <c r="A90" s="92"/>
      <c r="B90" s="161"/>
      <c r="C90" s="165"/>
      <c r="D90" s="165"/>
      <c r="E90" s="92"/>
      <c r="G90" s="160"/>
    </row>
  </sheetData>
  <mergeCells count="29">
    <mergeCell ref="A4:H4"/>
    <mergeCell ref="A5:H5"/>
    <mergeCell ref="F6:G6"/>
    <mergeCell ref="K27:L27"/>
    <mergeCell ref="K28:L28"/>
    <mergeCell ref="B60:C60"/>
    <mergeCell ref="K60:N60"/>
    <mergeCell ref="K29:L29"/>
    <mergeCell ref="B52:E52"/>
    <mergeCell ref="B53:E53"/>
    <mergeCell ref="K53:N53"/>
    <mergeCell ref="B54:E54"/>
    <mergeCell ref="C55:E55"/>
    <mergeCell ref="B57:C57"/>
    <mergeCell ref="B58:C58"/>
    <mergeCell ref="M58:N58"/>
    <mergeCell ref="B59:C59"/>
    <mergeCell ref="L59:M59"/>
    <mergeCell ref="B67:F67"/>
    <mergeCell ref="B77:D77"/>
    <mergeCell ref="B79:F79"/>
    <mergeCell ref="A87:B87"/>
    <mergeCell ref="L61:N61"/>
    <mergeCell ref="B62:D62"/>
    <mergeCell ref="K62:N62"/>
    <mergeCell ref="B63:D63"/>
    <mergeCell ref="B64:C64"/>
    <mergeCell ref="B65:E65"/>
    <mergeCell ref="H65:H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4F939827-451B-4F4D-801A-5ADEAD110BF5}"/>
</file>

<file path=customXml/itemProps2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COSTO MEZCLA LECHES SALT CARAM</vt:lpstr>
      <vt:lpstr>COSTO ROSQUETE</vt:lpstr>
      <vt:lpstr>COSTO ENSAMBLE </vt:lpstr>
      <vt:lpstr>Empaque</vt:lpstr>
      <vt:lpstr>Empaque 2</vt:lpstr>
      <vt:lpstr>COSTO EMPAQUE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2025-09-18T17:32:25Z</cp:lastPrinted>
  <dcterms:created xsi:type="dcterms:W3CDTF">2023-07-28T19:10:29Z</dcterms:created>
  <dcterms:modified xsi:type="dcterms:W3CDTF">2025-09-18T17:33:59Z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
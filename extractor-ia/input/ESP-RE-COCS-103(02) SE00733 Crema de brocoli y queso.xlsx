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0" documentId="8_{2D76CCAC-E900-4857-A1CF-1AE57B8113DC}" xr6:coauthVersionLast="47" xr6:coauthVersionMax="47" xr10:uidLastSave="{00000000-0000-0000-0000-000000000000}"/>
  <bookViews>
    <workbookView xWindow="-120" yWindow="-120" windowWidth="20730" windowHeight="11040" xr2:uid="{BDEFC311-D9F0-4578-AB61-5FDFA22C6AEB}"/>
  </bookViews>
  <sheets>
    <sheet name="Crema " sheetId="1" r:id="rId1"/>
  </sheets>
  <definedNames>
    <definedName name="_xlnm.Print_Area" localSheetId="0">'Crema '!$A$1:$I$41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1" l="1"/>
  <c r="D29" i="1"/>
</calcChain>
</file>

<file path=xl/sharedStrings.xml><?xml version="1.0" encoding="utf-8"?>
<sst xmlns="http://schemas.openxmlformats.org/spreadsheetml/2006/main" count="106" uniqueCount="82">
  <si>
    <t xml:space="preserve">CONTROL DE CAMBIOS </t>
  </si>
  <si>
    <t>6, Colocar en bandejas y darle choque termico y pasar a empaque</t>
  </si>
  <si>
    <t>5, Disolver el almidon y el preservante en la leche evaporada , agregarlo a la olla hervir</t>
  </si>
  <si>
    <t xml:space="preserve">4, Agregar la salsa de queso, mezclar con un batidor. </t>
  </si>
  <si>
    <t>3, Regresar a la olla, agregar el brocoli picado y llevar a hervir agregar la sal y pimienta.</t>
  </si>
  <si>
    <t xml:space="preserve">2, Licuar lo anterior con el brocoli  y el caldo </t>
  </si>
  <si>
    <t>1, Sudar la cebolla y el ajo y el brocoli ( Sudar ) en el aceite hasta que la cebolla este cristalizada.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</si>
  <si>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</si>
  <si>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</si>
  <si>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</si>
  <si>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</si>
  <si>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</si>
  <si>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</si>
  <si>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</si>
  <si>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</si>
  <si>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</si>
  <si>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</si>
  <si>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</si>
  <si>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</si>
  <si>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</si>
  <si>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</si>
  <si>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</si>
  <si>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ETIPLAST</t>
  </si>
  <si>
    <t>Etiqueta Edicion Especial</t>
  </si>
  <si>
    <t>EM10314</t>
  </si>
  <si>
    <t>FAS</t>
  </si>
  <si>
    <t>Sal Empacada Planta</t>
  </si>
  <si>
    <t>SE00104</t>
  </si>
  <si>
    <t>MAYCA</t>
  </si>
  <si>
    <t>Pimienta Blanca  Molida</t>
  </si>
  <si>
    <t>MP10014</t>
  </si>
  <si>
    <t>ASEAL</t>
  </si>
  <si>
    <t>Preservante 1017S</t>
  </si>
  <si>
    <t>MP10025</t>
  </si>
  <si>
    <t>Empaque Almidon Modificado</t>
  </si>
  <si>
    <t>SE00014</t>
  </si>
  <si>
    <t>CHEF MATE / NESTLE</t>
  </si>
  <si>
    <t>SALSA QUESO CHEDDAR BLANDO</t>
  </si>
  <si>
    <t>MP10884</t>
  </si>
  <si>
    <t>NESTLE</t>
  </si>
  <si>
    <t>Leche Evaporada</t>
  </si>
  <si>
    <t>MP10024</t>
  </si>
  <si>
    <t>CALDO DE POLLO</t>
  </si>
  <si>
    <t>96463</t>
  </si>
  <si>
    <t>Para picar y cocinar dentro</t>
  </si>
  <si>
    <t>BEGRO</t>
  </si>
  <si>
    <t>Floretes de Brocoli Loc</t>
  </si>
  <si>
    <t>MP10597</t>
  </si>
  <si>
    <t>Para Sudar y Luego Licuar</t>
  </si>
  <si>
    <t>CAPULLO</t>
  </si>
  <si>
    <t>Aceite Capullo Rbd</t>
  </si>
  <si>
    <t>MP10002</t>
  </si>
  <si>
    <t>FRESQUITA</t>
  </si>
  <si>
    <t>Cebolla Picada</t>
  </si>
  <si>
    <t>MP10020</t>
  </si>
  <si>
    <t>Pasta Ajo</t>
  </si>
  <si>
    <t>MP10019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</si>
  <si>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</si>
  <si>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</si>
  <si>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</si>
  <si>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</si>
  <si>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</si>
  <si>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</si>
  <si>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</si>
  <si>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Codigo Netsuite</t>
  </si>
  <si>
    <t xml:space="preserve"># Código </t>
  </si>
  <si>
    <t xml:space="preserve">Empaque </t>
  </si>
  <si>
    <t xml:space="preserve">AREA QUE EMPACA: </t>
  </si>
  <si>
    <t>Cocina Caliente</t>
  </si>
  <si>
    <t>AREA QUE PRODUCE:</t>
  </si>
  <si>
    <t>Esteban Cartin, Gte Manufactura</t>
  </si>
  <si>
    <t>Aprobado</t>
  </si>
  <si>
    <t>Javier Tong, chef</t>
  </si>
  <si>
    <t>Elaborado</t>
  </si>
  <si>
    <t>FECHA DE APROBACIÓN:</t>
  </si>
  <si>
    <t>SE00733 Crema de brocoli y queso</t>
  </si>
  <si>
    <t>REVISIÓN:</t>
  </si>
  <si>
    <t>ESPECIFICACION DE RECETA</t>
  </si>
  <si>
    <t>CÓDIGO:</t>
  </si>
  <si>
    <t>SERVICIOS DE PASTELERIA S.A.</t>
  </si>
  <si>
    <t>ESP-RE-COCS-103</t>
  </si>
  <si>
    <t xml:space="preserve">Revision #2: Actualizacion de peso del caldo, queso y sal.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</si>
</sst>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4" x14ac:knownFonts="1">
    <font>
      <sz val="10"/>
      <name val="Arial"/>
    </font>
    <font>
      <sz val="10"/>
      <name val="Century Gothic"/>
      <family val="2"/>
    </font>
    <font>
      <b/>
      <sz val="10"/>
      <name val="Century Gothic"/>
      <family val="2"/>
    </font>
    <font>
      <sz val="11"/>
      <color theme="1"/>
      <name val="Century Gothic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rgb="FFFF0000"/>
      <name val="Century Gothic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6"/>
      <name val="Arial"/>
      <family val="2"/>
    </font>
    <font>
      <b/>
      <sz val="16"/>
      <name val="Arial"/>
      <family val="2"/>
    </font>
    <font>
      <sz val="16"/>
      <color theme="1"/>
      <name val="Arial"/>
      <family val="2"/>
    </font>
    <font>
      <b/>
      <sz val="18"/>
      <name val="Century Gothic"/>
      <family val="2"/>
    </font>
    <font>
      <b/>
      <sz val="11"/>
      <color theme="1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139">
    <xf numFmtId="0" fontId="0" fillId="0" borderId="0" xfId="0"/>
    <xf numFmtId="0" fontId="2" fillId="3" borderId="15" xfId="0" applyFont="1" applyFill="1" applyBorder="1" applyAlignment="1">
      <alignment horizontal="center" vertical="center"/>
    </xf>
    <xf numFmtId="1" fontId="2" fillId="3" borderId="15" xfId="0" applyNumberFormat="1" applyFont="1" applyFill="1" applyBorder="1" applyAlignment="1">
      <alignment horizontal="center" vertical="center" wrapText="1"/>
    </xf>
    <xf numFmtId="1" fontId="2" fillId="3" borderId="15" xfId="0" applyNumberFormat="1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 wrapText="1"/>
    </xf>
    <xf numFmtId="14" fontId="6" fillId="4" borderId="21" xfId="2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right"/>
    </xf>
    <xf numFmtId="0" fontId="3" fillId="0" borderId="15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1" fontId="9" fillId="0" borderId="15" xfId="0" applyNumberFormat="1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9" fillId="5" borderId="32" xfId="0" applyFont="1" applyFill="1" applyBorder="1" applyAlignment="1">
      <alignment horizontal="center" vertical="center"/>
    </xf>
    <xf numFmtId="1" fontId="9" fillId="5" borderId="32" xfId="0" applyNumberFormat="1" applyFont="1" applyFill="1" applyBorder="1" applyAlignment="1">
      <alignment horizontal="center"/>
    </xf>
    <xf numFmtId="1" fontId="9" fillId="5" borderId="32" xfId="0" applyNumberFormat="1" applyFont="1" applyFill="1" applyBorder="1" applyAlignment="1">
      <alignment horizontal="center" wrapText="1"/>
    </xf>
    <xf numFmtId="166" fontId="10" fillId="5" borderId="15" xfId="0" applyNumberFormat="1" applyFont="1" applyFill="1" applyBorder="1" applyAlignment="1">
      <alignment horizontal="center"/>
    </xf>
    <xf numFmtId="1" fontId="10" fillId="5" borderId="18" xfId="0" applyNumberFormat="1" applyFont="1" applyFill="1" applyBorder="1" applyAlignment="1">
      <alignment horizontal="center" wrapText="1"/>
    </xf>
    <xf numFmtId="0" fontId="10" fillId="5" borderId="31" xfId="0" applyFont="1" applyFill="1" applyBorder="1" applyAlignment="1">
      <alignment horizontal="center"/>
    </xf>
    <xf numFmtId="0" fontId="9" fillId="0" borderId="15" xfId="0" applyFont="1" applyBorder="1" applyAlignment="1">
      <alignment horizontal="center" vertical="center"/>
    </xf>
    <xf numFmtId="1" fontId="9" fillId="0" borderId="15" xfId="0" applyNumberFormat="1" applyFont="1" applyBorder="1" applyAlignment="1">
      <alignment horizontal="center" wrapText="1"/>
    </xf>
    <xf numFmtId="166" fontId="10" fillId="0" borderId="15" xfId="0" applyNumberFormat="1" applyFont="1" applyBorder="1" applyAlignment="1">
      <alignment horizontal="center"/>
    </xf>
    <xf numFmtId="1" fontId="10" fillId="0" borderId="15" xfId="0" applyNumberFormat="1" applyFont="1" applyBorder="1" applyAlignment="1">
      <alignment horizontal="center" wrapText="1"/>
    </xf>
    <xf numFmtId="0" fontId="10" fillId="0" borderId="14" xfId="0" applyFont="1" applyBorder="1" applyAlignment="1">
      <alignment horizontal="center"/>
    </xf>
    <xf numFmtId="16" fontId="9" fillId="0" borderId="15" xfId="0" applyNumberFormat="1" applyFont="1" applyBorder="1" applyAlignment="1">
      <alignment horizontal="center"/>
    </xf>
    <xf numFmtId="0" fontId="9" fillId="5" borderId="15" xfId="0" applyFont="1" applyFill="1" applyBorder="1" applyAlignment="1">
      <alignment horizontal="center" vertical="center"/>
    </xf>
    <xf numFmtId="1" fontId="9" fillId="5" borderId="15" xfId="0" applyNumberFormat="1" applyFont="1" applyFill="1" applyBorder="1" applyAlignment="1">
      <alignment horizontal="center"/>
    </xf>
    <xf numFmtId="1" fontId="9" fillId="5" borderId="15" xfId="0" applyNumberFormat="1" applyFont="1" applyFill="1" applyBorder="1" applyAlignment="1">
      <alignment horizontal="center" wrapText="1"/>
    </xf>
    <xf numFmtId="1" fontId="10" fillId="5" borderId="15" xfId="0" applyNumberFormat="1" applyFont="1" applyFill="1" applyBorder="1" applyAlignment="1">
      <alignment horizontal="center" wrapText="1"/>
    </xf>
    <xf numFmtId="0" fontId="10" fillId="5" borderId="14" xfId="0" applyFont="1" applyFill="1" applyBorder="1" applyAlignment="1">
      <alignment horizontal="center"/>
    </xf>
    <xf numFmtId="0" fontId="9" fillId="0" borderId="15" xfId="1" applyFont="1" applyBorder="1" applyAlignment="1">
      <alignment horizontal="center"/>
    </xf>
    <xf numFmtId="1" fontId="9" fillId="0" borderId="15" xfId="1" applyNumberFormat="1" applyFont="1" applyBorder="1" applyAlignment="1">
      <alignment horizontal="center"/>
    </xf>
    <xf numFmtId="1" fontId="9" fillId="0" borderId="14" xfId="1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15" xfId="0" applyFont="1" applyBorder="1" applyAlignment="1">
      <alignment horizontal="left"/>
    </xf>
    <xf numFmtId="1" fontId="9" fillId="0" borderId="0" xfId="0" applyNumberFormat="1" applyFont="1" applyAlignment="1">
      <alignment horizontal="center"/>
    </xf>
    <xf numFmtId="0" fontId="9" fillId="0" borderId="0" xfId="0" applyFont="1"/>
    <xf numFmtId="1" fontId="9" fillId="0" borderId="15" xfId="1" applyNumberFormat="1" applyFont="1" applyBorder="1" applyAlignment="1">
      <alignment horizontal="center" wrapText="1"/>
    </xf>
    <xf numFmtId="165" fontId="10" fillId="0" borderId="15" xfId="1" applyNumberFormat="1" applyFont="1" applyBorder="1"/>
    <xf numFmtId="165" fontId="10" fillId="0" borderId="15" xfId="1" applyNumberFormat="1" applyFont="1" applyBorder="1" applyAlignment="1">
      <alignment horizontal="center"/>
    </xf>
    <xf numFmtId="165" fontId="9" fillId="0" borderId="5" xfId="1" applyNumberFormat="1" applyFont="1" applyBorder="1" applyAlignment="1">
      <alignment horizontal="center"/>
    </xf>
    <xf numFmtId="49" fontId="9" fillId="5" borderId="16" xfId="1" applyNumberFormat="1" applyFont="1" applyFill="1" applyBorder="1" applyAlignment="1">
      <alignment horizontal="center"/>
    </xf>
    <xf numFmtId="49" fontId="9" fillId="5" borderId="8" xfId="1" applyNumberFormat="1" applyFont="1" applyFill="1" applyBorder="1" applyAlignment="1">
      <alignment horizontal="center"/>
    </xf>
    <xf numFmtId="49" fontId="9" fillId="5" borderId="15" xfId="1" applyNumberFormat="1" applyFont="1" applyFill="1" applyBorder="1"/>
    <xf numFmtId="12" fontId="9" fillId="0" borderId="15" xfId="1" applyNumberFormat="1" applyFont="1" applyBorder="1" applyAlignment="1">
      <alignment horizontal="center"/>
    </xf>
    <xf numFmtId="0" fontId="9" fillId="0" borderId="14" xfId="1" applyFont="1" applyBorder="1" applyAlignment="1">
      <alignment horizontal="center"/>
    </xf>
    <xf numFmtId="0" fontId="9" fillId="3" borderId="22" xfId="0" applyFont="1" applyFill="1" applyBorder="1" applyAlignment="1">
      <alignment horizontal="center"/>
    </xf>
    <xf numFmtId="0" fontId="9" fillId="3" borderId="0" xfId="0" applyFont="1" applyFill="1" applyAlignment="1">
      <alignment horizontal="center"/>
    </xf>
    <xf numFmtId="0" fontId="9" fillId="3" borderId="0" xfId="0" applyFont="1" applyFill="1"/>
    <xf numFmtId="0" fontId="10" fillId="3" borderId="0" xfId="0" applyFont="1" applyFill="1" applyAlignment="1">
      <alignment horizontal="center"/>
    </xf>
    <xf numFmtId="1" fontId="10" fillId="3" borderId="0" xfId="0" applyNumberFormat="1" applyFont="1" applyFill="1" applyAlignment="1">
      <alignment horizontal="center"/>
    </xf>
    <xf numFmtId="164" fontId="9" fillId="3" borderId="0" xfId="0" applyNumberFormat="1" applyFont="1" applyFill="1" applyAlignment="1">
      <alignment horizontal="center" wrapText="1"/>
    </xf>
    <xf numFmtId="0" fontId="9" fillId="3" borderId="21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1" fontId="9" fillId="0" borderId="2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9" fillId="0" borderId="4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166" fontId="10" fillId="0" borderId="15" xfId="0" applyNumberFormat="1" applyFont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/>
    </xf>
    <xf numFmtId="0" fontId="9" fillId="0" borderId="16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9" fillId="0" borderId="14" xfId="0" applyFont="1" applyBorder="1" applyAlignment="1">
      <alignment horizontal="left"/>
    </xf>
    <xf numFmtId="0" fontId="11" fillId="0" borderId="9" xfId="0" applyFont="1" applyBorder="1"/>
    <xf numFmtId="0" fontId="11" fillId="0" borderId="6" xfId="0" applyFont="1" applyBorder="1"/>
    <xf numFmtId="0" fontId="11" fillId="0" borderId="8" xfId="0" applyFont="1" applyBorder="1"/>
    <xf numFmtId="0" fontId="9" fillId="0" borderId="13" xfId="0" applyFont="1" applyBorder="1" applyAlignment="1">
      <alignment horizontal="left" wrapText="1"/>
    </xf>
    <xf numFmtId="0" fontId="9" fillId="0" borderId="12" xfId="0" applyFont="1" applyBorder="1" applyAlignment="1">
      <alignment horizontal="left" wrapText="1"/>
    </xf>
    <xf numFmtId="0" fontId="9" fillId="0" borderId="11" xfId="0" applyFont="1" applyBorder="1" applyAlignment="1">
      <alignment horizontal="left" wrapText="1"/>
    </xf>
    <xf numFmtId="0" fontId="9" fillId="0" borderId="10" xfId="0" applyFont="1" applyBorder="1" applyAlignment="1">
      <alignment horizontal="left" wrapText="1"/>
    </xf>
    <xf numFmtId="0" fontId="9" fillId="0" borderId="9" xfId="0" applyFont="1" applyBorder="1" applyAlignment="1">
      <alignment horizontal="left" wrapText="1"/>
    </xf>
    <xf numFmtId="0" fontId="9" fillId="0" borderId="6" xfId="0" applyFont="1" applyBorder="1" applyAlignment="1">
      <alignment horizontal="left" wrapText="1"/>
    </xf>
    <xf numFmtId="0" fontId="9" fillId="0" borderId="8" xfId="0" applyFont="1" applyBorder="1" applyAlignment="1">
      <alignment horizontal="left" wrapText="1"/>
    </xf>
    <xf numFmtId="0" fontId="9" fillId="0" borderId="7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10" fillId="0" borderId="7" xfId="0" applyFont="1" applyBorder="1" applyAlignment="1">
      <alignment horizontal="right"/>
    </xf>
    <xf numFmtId="0" fontId="10" fillId="0" borderId="6" xfId="0" applyFont="1" applyBorder="1" applyAlignment="1">
      <alignment horizontal="right"/>
    </xf>
    <xf numFmtId="0" fontId="10" fillId="0" borderId="8" xfId="0" applyFont="1" applyBorder="1" applyAlignment="1">
      <alignment horizontal="right"/>
    </xf>
    <xf numFmtId="0" fontId="9" fillId="0" borderId="15" xfId="0" applyFont="1" applyBorder="1" applyAlignment="1">
      <alignment horizontal="right"/>
    </xf>
    <xf numFmtId="164" fontId="9" fillId="0" borderId="9" xfId="0" applyNumberFormat="1" applyFont="1" applyBorder="1" applyAlignment="1">
      <alignment horizontal="center"/>
    </xf>
    <xf numFmtId="164" fontId="9" fillId="0" borderId="5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right" wrapText="1"/>
    </xf>
    <xf numFmtId="0" fontId="10" fillId="0" borderId="26" xfId="0" applyFont="1" applyBorder="1" applyAlignment="1">
      <alignment horizontal="right"/>
    </xf>
    <xf numFmtId="0" fontId="10" fillId="0" borderId="25" xfId="0" applyFont="1" applyBorder="1" applyAlignment="1">
      <alignment horizontal="right"/>
    </xf>
    <xf numFmtId="0" fontId="10" fillId="0" borderId="3" xfId="0" applyFont="1" applyBorder="1" applyAlignment="1">
      <alignment horizontal="right"/>
    </xf>
    <xf numFmtId="0" fontId="9" fillId="0" borderId="2" xfId="0" applyFont="1" applyBorder="1" applyAlignment="1">
      <alignment horizontal="right"/>
    </xf>
    <xf numFmtId="164" fontId="9" fillId="0" borderId="24" xfId="0" applyNumberFormat="1" applyFont="1" applyBorder="1" applyAlignment="1">
      <alignment horizontal="center"/>
    </xf>
    <xf numFmtId="164" fontId="9" fillId="0" borderId="23" xfId="0" applyNumberFormat="1" applyFont="1" applyBorder="1" applyAlignment="1">
      <alignment horizontal="center"/>
    </xf>
    <xf numFmtId="0" fontId="9" fillId="0" borderId="20" xfId="0" applyFont="1" applyBorder="1" applyAlignment="1">
      <alignment horizontal="left"/>
    </xf>
    <xf numFmtId="0" fontId="9" fillId="0" borderId="19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0" fontId="9" fillId="0" borderId="17" xfId="0" applyFont="1" applyBorder="1" applyAlignment="1">
      <alignment horizontal="left"/>
    </xf>
    <xf numFmtId="0" fontId="10" fillId="0" borderId="30" xfId="0" applyFont="1" applyBorder="1" applyAlignment="1">
      <alignment horizontal="right"/>
    </xf>
    <xf numFmtId="0" fontId="10" fillId="0" borderId="29" xfId="0" applyFont="1" applyBorder="1" applyAlignment="1">
      <alignment horizontal="right"/>
    </xf>
    <xf numFmtId="0" fontId="10" fillId="0" borderId="19" xfId="0" applyFont="1" applyBorder="1" applyAlignment="1">
      <alignment horizontal="right"/>
    </xf>
    <xf numFmtId="164" fontId="9" fillId="0" borderId="18" xfId="0" applyNumberFormat="1" applyFont="1" applyBorder="1" applyAlignment="1">
      <alignment horizontal="right"/>
    </xf>
    <xf numFmtId="0" fontId="9" fillId="4" borderId="28" xfId="0" applyFont="1" applyFill="1" applyBorder="1" applyAlignment="1">
      <alignment horizontal="center"/>
    </xf>
    <xf numFmtId="0" fontId="9" fillId="4" borderId="27" xfId="0" applyFont="1" applyFill="1" applyBorder="1" applyAlignment="1">
      <alignment horizontal="center"/>
    </xf>
    <xf numFmtId="0" fontId="7" fillId="4" borderId="22" xfId="2" applyFont="1" applyFill="1" applyBorder="1" applyAlignment="1">
      <alignment horizontal="right" vertical="center"/>
    </xf>
    <xf numFmtId="0" fontId="7" fillId="4" borderId="0" xfId="2" applyFont="1" applyFill="1" applyAlignment="1">
      <alignment horizontal="right" vertical="center"/>
    </xf>
    <xf numFmtId="0" fontId="6" fillId="4" borderId="0" xfId="2" applyFont="1" applyFill="1" applyAlignment="1">
      <alignment horizontal="center" vertical="center"/>
    </xf>
    <xf numFmtId="0" fontId="7" fillId="4" borderId="0" xfId="2" applyFont="1" applyFill="1" applyAlignment="1">
      <alignment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4" fontId="1" fillId="4" borderId="40" xfId="2" applyNumberFormat="1" applyFont="1" applyFill="1" applyBorder="1" applyAlignment="1">
      <alignment horizontal="center" vertical="center" wrapText="1"/>
    </xf>
    <xf numFmtId="14" fontId="1" fillId="4" borderId="38" xfId="2" applyNumberFormat="1" applyFont="1" applyFill="1" applyBorder="1" applyAlignment="1">
      <alignment horizontal="center" vertical="center" wrapText="1"/>
    </xf>
    <xf numFmtId="14" fontId="1" fillId="4" borderId="34" xfId="2" applyNumberFormat="1" applyFont="1" applyFill="1" applyBorder="1" applyAlignment="1">
      <alignment horizontal="center" vertical="center" wrapText="1"/>
    </xf>
    <xf numFmtId="0" fontId="1" fillId="4" borderId="15" xfId="2" applyFont="1" applyFill="1" applyBorder="1" applyAlignment="1">
      <alignment horizontal="left"/>
    </xf>
    <xf numFmtId="0" fontId="1" fillId="4" borderId="2" xfId="2" applyFont="1" applyFill="1" applyBorder="1" applyAlignment="1">
      <alignment horizontal="left"/>
    </xf>
    <xf numFmtId="0" fontId="1" fillId="4" borderId="43" xfId="2" applyFont="1" applyFill="1" applyBorder="1" applyAlignment="1">
      <alignment horizontal="center"/>
    </xf>
    <xf numFmtId="0" fontId="1" fillId="4" borderId="42" xfId="2" applyFont="1" applyFill="1" applyBorder="1" applyAlignment="1">
      <alignment horizontal="center"/>
    </xf>
    <xf numFmtId="0" fontId="1" fillId="4" borderId="22" xfId="2" applyFont="1" applyFill="1" applyBorder="1" applyAlignment="1">
      <alignment horizontal="center"/>
    </xf>
    <xf numFmtId="0" fontId="1" fillId="4" borderId="0" xfId="2" applyFont="1" applyFill="1" applyAlignment="1">
      <alignment horizontal="center"/>
    </xf>
    <xf numFmtId="0" fontId="1" fillId="4" borderId="37" xfId="2" applyFont="1" applyFill="1" applyBorder="1" applyAlignment="1">
      <alignment horizontal="center"/>
    </xf>
    <xf numFmtId="0" fontId="1" fillId="4" borderId="36" xfId="2" applyFont="1" applyFill="1" applyBorder="1" applyAlignment="1">
      <alignment horizontal="center"/>
    </xf>
    <xf numFmtId="0" fontId="8" fillId="4" borderId="18" xfId="2" applyFont="1" applyFill="1" applyBorder="1" applyAlignment="1">
      <alignment horizontal="center"/>
    </xf>
    <xf numFmtId="0" fontId="8" fillId="4" borderId="33" xfId="2" applyFont="1" applyFill="1" applyBorder="1" applyAlignment="1">
      <alignment horizontal="center"/>
    </xf>
    <xf numFmtId="0" fontId="12" fillId="6" borderId="30" xfId="2" applyFont="1" applyFill="1" applyBorder="1" applyAlignment="1">
      <alignment horizontal="center" vertical="center" wrapText="1"/>
    </xf>
    <xf numFmtId="0" fontId="12" fillId="6" borderId="29" xfId="2" applyFont="1" applyFill="1" applyBorder="1" applyAlignment="1">
      <alignment horizontal="center" vertical="center" wrapText="1"/>
    </xf>
    <xf numFmtId="0" fontId="12" fillId="6" borderId="27" xfId="2" applyFont="1" applyFill="1" applyBorder="1" applyAlignment="1">
      <alignment horizontal="center" vertical="center" wrapText="1"/>
    </xf>
    <xf numFmtId="0" fontId="2" fillId="4" borderId="41" xfId="2" applyFont="1" applyFill="1" applyBorder="1" applyAlignment="1">
      <alignment horizontal="right" vertical="top" wrapText="1"/>
    </xf>
    <xf numFmtId="0" fontId="2" fillId="4" borderId="39" xfId="2" applyFont="1" applyFill="1" applyBorder="1" applyAlignment="1">
      <alignment horizontal="right" vertical="top" wrapText="1"/>
    </xf>
    <xf numFmtId="0" fontId="2" fillId="4" borderId="35" xfId="2" applyFont="1" applyFill="1" applyBorder="1" applyAlignment="1">
      <alignment horizontal="right" vertical="top" wrapText="1"/>
    </xf>
    <xf numFmtId="0" fontId="10" fillId="3" borderId="22" xfId="0" applyFont="1" applyFill="1" applyBorder="1" applyAlignment="1">
      <alignment horizontal="center"/>
    </xf>
    <xf numFmtId="0" fontId="10" fillId="3" borderId="0" xfId="0" applyFont="1" applyFill="1" applyAlignment="1">
      <alignment horizontal="center"/>
    </xf>
    <xf numFmtId="0" fontId="10" fillId="3" borderId="21" xfId="0" applyFont="1" applyFill="1" applyBorder="1" applyAlignment="1">
      <alignment horizontal="center"/>
    </xf>
    <xf numFmtId="0" fontId="9" fillId="0" borderId="44" xfId="0" applyFont="1" applyBorder="1" applyAlignment="1">
      <alignment horizontal="left" wrapText="1"/>
    </xf>
    <xf numFmtId="0" fontId="9" fillId="0" borderId="41" xfId="0" applyFont="1" applyBorder="1" applyAlignment="1">
      <alignment horizontal="left" wrapText="1"/>
    </xf>
    <xf numFmtId="0" fontId="9" fillId="0" borderId="33" xfId="0" applyFont="1" applyBorder="1" applyAlignment="1">
      <alignment horizontal="left" wrapText="1"/>
    </xf>
    <xf numFmtId="0" fontId="9" fillId="0" borderId="40" xfId="0" applyFont="1" applyBorder="1" applyAlignment="1">
      <alignment horizontal="left" wrapText="1"/>
    </xf>
    <xf numFmtId="0" fontId="9" fillId="0" borderId="15" xfId="0" applyFont="1" applyBorder="1" applyAlignment="1">
      <alignment horizontal="left" wrapText="1"/>
    </xf>
    <xf numFmtId="0" fontId="0" fillId="0" borderId="15" xfId="0" applyNumberFormat="1" applyBorder="1" applyAlignment="1">
      <alignment horizontal="center"/>
    </xf>
  </cellXfs>
  <cellStyles count="3">
    <cellStyle name="Normal" xfId="0" builtinId="0"/>
    <cellStyle name="Normal 2" xfId="1" xr:uid="{1460FC75-5FEC-4DBF-95CD-E1669923FFB3}"/>
    <cellStyle name="Normal_CRITERIOS DE EVALUACION PT DE GB 2" xfId="2" xr:uid="{09936350-F37E-42A7-AD70-50608AC069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148430</xdr:colOff>
      <xdr:row>0</xdr:row>
      <xdr:rowOff>101600</xdr:rowOff>
    </xdr:from>
    <xdr:ext cx="1902889" cy="969962"/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4B779F84-8A76-4C60-B1DD-3BF1120E0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430" y="101600"/>
          <a:ext cx="1902889" cy="9699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54643-5DE1-456B-9B74-89FF7F1C0628}">
  <sheetPr>
    <pageSetUpPr fitToPage="1"/>
  </sheetPr>
  <dimension ref="A1:I41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5" bestFit="1" customWidth="1"/>
    <col min="2" max="2" width="17.7109375" bestFit="1" customWidth="1"/>
    <col min="3" max="3" width="51.28515625" bestFit="1" customWidth="1"/>
    <col min="4" max="4" width="32.7109375" bestFit="1" customWidth="1"/>
    <col min="5" max="5" width="11.5703125" bestFit="1" customWidth="1"/>
    <col min="7" max="7" width="21.7109375" customWidth="1"/>
    <col min="8" max="8" width="15.140625" customWidth="1"/>
    <col min="9" max="9" width="19.42578125" bestFit="1" customWidth="1"/>
  </cols>
  <sheetData>
    <row r="1" spans="1:9" ht="16.5" x14ac:dyDescent="0.3">
      <c r="A1" s="116"/>
      <c r="B1" s="117"/>
      <c r="C1" s="122" t="s">
        <v>79</v>
      </c>
      <c r="D1" s="122"/>
      <c r="E1" s="122"/>
      <c r="F1" s="122"/>
      <c r="G1" s="122"/>
      <c r="H1" s="8" t="s">
        <v>78</v>
      </c>
      <c r="I1" s="55" t="s">
        <v>80</v>
      </c>
    </row>
    <row r="2" spans="1:9" ht="17.25" thickBot="1" x14ac:dyDescent="0.35">
      <c r="A2" s="118"/>
      <c r="B2" s="119"/>
      <c r="C2" s="123" t="s">
        <v>77</v>
      </c>
      <c r="D2" s="123"/>
      <c r="E2" s="123"/>
      <c r="F2" s="123"/>
      <c r="G2" s="123"/>
      <c r="H2" s="7" t="s">
        <v>76</v>
      </c>
      <c r="I2" s="138">
        <v>2</v>
      </c>
    </row>
    <row r="3" spans="1:9" ht="28.5" customHeight="1" x14ac:dyDescent="0.2">
      <c r="A3" s="118"/>
      <c r="B3" s="119"/>
      <c r="C3" s="124" t="s">
        <v>75</v>
      </c>
      <c r="D3" s="125"/>
      <c r="E3" s="125"/>
      <c r="F3" s="125"/>
      <c r="G3" s="126"/>
      <c r="H3" s="127" t="s">
        <v>74</v>
      </c>
      <c r="I3" s="111">
        <v>45860</v>
      </c>
    </row>
    <row r="4" spans="1:9" ht="16.5" x14ac:dyDescent="0.3">
      <c r="A4" s="118"/>
      <c r="B4" s="119"/>
      <c r="C4" s="7" t="s">
        <v>73</v>
      </c>
      <c r="D4" s="114" t="s">
        <v>72</v>
      </c>
      <c r="E4" s="114"/>
      <c r="F4" s="114"/>
      <c r="G4" s="114"/>
      <c r="H4" s="128"/>
      <c r="I4" s="112"/>
    </row>
    <row r="5" spans="1:9" ht="17.25" thickBot="1" x14ac:dyDescent="0.35">
      <c r="A5" s="120"/>
      <c r="B5" s="121"/>
      <c r="C5" s="6" t="s">
        <v>71</v>
      </c>
      <c r="D5" s="115" t="s">
        <v>70</v>
      </c>
      <c r="E5" s="115"/>
      <c r="F5" s="115"/>
      <c r="G5" s="115"/>
      <c r="H5" s="129"/>
      <c r="I5" s="113"/>
    </row>
    <row r="6" spans="1:9" ht="18" x14ac:dyDescent="0.2">
      <c r="A6" s="104" t="s">
        <v>69</v>
      </c>
      <c r="B6" s="105"/>
      <c r="C6" s="105"/>
      <c r="D6" s="106" t="s">
        <v>68</v>
      </c>
      <c r="E6" s="106"/>
      <c r="F6" s="106"/>
      <c r="G6" s="107" t="s">
        <v>67</v>
      </c>
      <c r="H6" s="107"/>
      <c r="I6" s="5" t="s">
        <v>66</v>
      </c>
    </row>
    <row r="7" spans="1:9" ht="22.15" customHeight="1" x14ac:dyDescent="0.2">
      <c r="A7" s="108" t="s">
        <v>65</v>
      </c>
      <c r="B7" s="109" t="s">
        <v>64</v>
      </c>
      <c r="C7" s="108" t="s">
        <v>63</v>
      </c>
      <c r="D7" s="108" t="s">
        <v>62</v>
      </c>
      <c r="E7" s="108" t="s">
        <v>61</v>
      </c>
      <c r="F7" s="108"/>
      <c r="G7" s="108" t="s">
        <v>60</v>
      </c>
      <c r="H7" s="108"/>
      <c r="I7" s="4" t="s">
        <v>59</v>
      </c>
    </row>
    <row r="8" spans="1:9" ht="26.25" thickBot="1" x14ac:dyDescent="0.25">
      <c r="A8" s="108"/>
      <c r="B8" s="110"/>
      <c r="C8" s="108"/>
      <c r="D8" s="108"/>
      <c r="E8" s="3" t="s">
        <v>21</v>
      </c>
      <c r="F8" s="2" t="s">
        <v>58</v>
      </c>
      <c r="G8" s="3" t="s">
        <v>21</v>
      </c>
      <c r="H8" s="2" t="s">
        <v>58</v>
      </c>
      <c r="I8" s="1" t="s">
        <v>57</v>
      </c>
    </row>
    <row r="9" spans="1:9" ht="20.25" x14ac:dyDescent="0.3">
      <c r="A9" s="9">
        <v>512319</v>
      </c>
      <c r="B9" s="10" t="s">
        <v>56</v>
      </c>
      <c r="C9" s="10" t="s">
        <v>55</v>
      </c>
      <c r="D9" s="11" t="s">
        <v>52</v>
      </c>
      <c r="E9" s="12">
        <v>50</v>
      </c>
      <c r="F9" s="13" t="s">
        <v>8</v>
      </c>
      <c r="G9" s="14"/>
      <c r="H9" s="15"/>
      <c r="I9" s="16"/>
    </row>
    <row r="10" spans="1:9" ht="20.25" x14ac:dyDescent="0.3">
      <c r="A10" s="9">
        <v>101035</v>
      </c>
      <c r="B10" s="10" t="s">
        <v>54</v>
      </c>
      <c r="C10" s="10" t="s">
        <v>53</v>
      </c>
      <c r="D10" s="17" t="s">
        <v>52</v>
      </c>
      <c r="E10" s="9">
        <v>500</v>
      </c>
      <c r="F10" s="18" t="s">
        <v>8</v>
      </c>
      <c r="G10" s="19"/>
      <c r="H10" s="20"/>
      <c r="I10" s="21"/>
    </row>
    <row r="11" spans="1:9" ht="20.25" x14ac:dyDescent="0.3">
      <c r="A11" s="9">
        <v>10100050</v>
      </c>
      <c r="B11" s="10" t="s">
        <v>51</v>
      </c>
      <c r="C11" s="10" t="s">
        <v>50</v>
      </c>
      <c r="D11" s="17" t="s">
        <v>49</v>
      </c>
      <c r="E11" s="9">
        <v>100</v>
      </c>
      <c r="F11" s="18" t="s">
        <v>8</v>
      </c>
      <c r="G11" s="19"/>
      <c r="H11" s="20"/>
      <c r="I11" s="21"/>
    </row>
    <row r="12" spans="1:9" ht="20.25" x14ac:dyDescent="0.3">
      <c r="A12" s="9"/>
      <c r="B12" s="10" t="s">
        <v>47</v>
      </c>
      <c r="C12" s="10" t="s">
        <v>46</v>
      </c>
      <c r="D12" s="17" t="s">
        <v>45</v>
      </c>
      <c r="E12" s="9">
        <v>2000</v>
      </c>
      <c r="F12" s="18" t="s">
        <v>8</v>
      </c>
      <c r="G12" s="60" t="s">
        <v>48</v>
      </c>
      <c r="H12" s="60"/>
      <c r="I12" s="60"/>
    </row>
    <row r="13" spans="1:9" ht="20.25" x14ac:dyDescent="0.3">
      <c r="A13" s="9"/>
      <c r="B13" s="10" t="s">
        <v>47</v>
      </c>
      <c r="C13" s="10" t="s">
        <v>46</v>
      </c>
      <c r="D13" s="17" t="s">
        <v>45</v>
      </c>
      <c r="E13" s="9">
        <v>1900</v>
      </c>
      <c r="F13" s="18" t="s">
        <v>8</v>
      </c>
      <c r="G13" s="19"/>
      <c r="H13" s="19" t="s">
        <v>44</v>
      </c>
      <c r="I13" s="19"/>
    </row>
    <row r="14" spans="1:9" ht="20.25" x14ac:dyDescent="0.3">
      <c r="A14" s="9" t="s">
        <v>43</v>
      </c>
      <c r="B14" s="10"/>
      <c r="C14" s="10" t="s">
        <v>42</v>
      </c>
      <c r="D14" s="22" t="s">
        <v>25</v>
      </c>
      <c r="E14" s="9">
        <v>5000</v>
      </c>
      <c r="F14" s="18" t="s">
        <v>8</v>
      </c>
      <c r="G14" s="19"/>
      <c r="H14" s="20"/>
      <c r="I14" s="21"/>
    </row>
    <row r="15" spans="1:9" ht="20.25" x14ac:dyDescent="0.3">
      <c r="A15" s="9">
        <v>1110414</v>
      </c>
      <c r="B15" s="10" t="s">
        <v>41</v>
      </c>
      <c r="C15" s="10" t="s">
        <v>40</v>
      </c>
      <c r="D15" s="17" t="s">
        <v>39</v>
      </c>
      <c r="E15" s="9">
        <v>2750</v>
      </c>
      <c r="F15" s="18" t="s">
        <v>8</v>
      </c>
      <c r="G15" s="19"/>
      <c r="H15" s="20"/>
      <c r="I15" s="21"/>
    </row>
    <row r="16" spans="1:9" ht="20.25" x14ac:dyDescent="0.3">
      <c r="A16" s="9"/>
      <c r="B16" s="10" t="s">
        <v>38</v>
      </c>
      <c r="C16" s="10" t="s">
        <v>37</v>
      </c>
      <c r="D16" s="23" t="s">
        <v>36</v>
      </c>
      <c r="E16" s="24">
        <v>900</v>
      </c>
      <c r="F16" s="25" t="s">
        <v>8</v>
      </c>
      <c r="G16" s="14"/>
      <c r="H16" s="26"/>
      <c r="I16" s="27"/>
    </row>
    <row r="17" spans="1:9" ht="20.25" x14ac:dyDescent="0.3">
      <c r="A17" s="9">
        <v>90100129</v>
      </c>
      <c r="B17" s="10" t="s">
        <v>35</v>
      </c>
      <c r="C17" s="10" t="s">
        <v>34</v>
      </c>
      <c r="D17" s="23" t="s">
        <v>25</v>
      </c>
      <c r="E17" s="24">
        <v>120</v>
      </c>
      <c r="F17" s="25" t="s">
        <v>8</v>
      </c>
      <c r="G17" s="14"/>
      <c r="H17" s="26"/>
      <c r="I17" s="27"/>
    </row>
    <row r="18" spans="1:9" ht="20.25" x14ac:dyDescent="0.3">
      <c r="A18" s="9">
        <v>1212412</v>
      </c>
      <c r="B18" s="10" t="s">
        <v>33</v>
      </c>
      <c r="C18" s="10" t="s">
        <v>32</v>
      </c>
      <c r="D18" s="23" t="s">
        <v>31</v>
      </c>
      <c r="E18" s="24">
        <v>13</v>
      </c>
      <c r="F18" s="25" t="s">
        <v>8</v>
      </c>
      <c r="G18" s="14"/>
      <c r="H18" s="26"/>
      <c r="I18" s="27"/>
    </row>
    <row r="19" spans="1:9" ht="20.25" x14ac:dyDescent="0.3">
      <c r="A19" s="9">
        <v>610254</v>
      </c>
      <c r="B19" s="10" t="s">
        <v>30</v>
      </c>
      <c r="C19" s="10" t="s">
        <v>29</v>
      </c>
      <c r="D19" s="28" t="s">
        <v>28</v>
      </c>
      <c r="E19" s="28">
        <v>10</v>
      </c>
      <c r="F19" s="28" t="s">
        <v>8</v>
      </c>
      <c r="G19" s="29"/>
      <c r="H19" s="29"/>
      <c r="I19" s="30"/>
    </row>
    <row r="20" spans="1:9" ht="20.25" x14ac:dyDescent="0.3">
      <c r="A20" s="9"/>
      <c r="B20" s="10" t="s">
        <v>27</v>
      </c>
      <c r="C20" s="31" t="s">
        <v>26</v>
      </c>
      <c r="D20" s="28" t="s">
        <v>25</v>
      </c>
      <c r="E20" s="29">
        <v>70</v>
      </c>
      <c r="F20" s="28" t="s">
        <v>8</v>
      </c>
      <c r="G20" s="29"/>
      <c r="H20" s="29"/>
      <c r="I20" s="30"/>
    </row>
    <row r="21" spans="1:9" ht="20.25" x14ac:dyDescent="0.3">
      <c r="A21" s="9"/>
      <c r="B21" s="10"/>
      <c r="C21" s="32"/>
      <c r="D21" s="28"/>
      <c r="E21" s="28"/>
      <c r="F21" s="28"/>
      <c r="G21" s="29"/>
      <c r="H21" s="29"/>
      <c r="I21" s="30"/>
    </row>
    <row r="22" spans="1:9" ht="0.6" customHeight="1" x14ac:dyDescent="0.3">
      <c r="A22" s="33">
        <v>60100120</v>
      </c>
      <c r="B22" s="10" t="s">
        <v>24</v>
      </c>
      <c r="C22" s="34" t="s">
        <v>23</v>
      </c>
      <c r="D22" s="28" t="s">
        <v>22</v>
      </c>
      <c r="E22" s="29">
        <v>1</v>
      </c>
      <c r="F22" s="35" t="s">
        <v>13</v>
      </c>
      <c r="G22" s="36"/>
      <c r="H22" s="37"/>
      <c r="I22" s="38"/>
    </row>
    <row r="23" spans="1:9" ht="20.25" x14ac:dyDescent="0.3">
      <c r="A23" s="39"/>
      <c r="B23" s="40"/>
      <c r="C23" s="41"/>
      <c r="D23" s="28"/>
      <c r="E23" s="29"/>
      <c r="F23" s="35"/>
      <c r="G23" s="42"/>
      <c r="H23" s="28"/>
      <c r="I23" s="43"/>
    </row>
    <row r="24" spans="1:9" ht="21" thickBot="1" x14ac:dyDescent="0.35">
      <c r="A24" s="44"/>
      <c r="B24" s="45"/>
      <c r="C24" s="46"/>
      <c r="D24" s="47" t="s">
        <v>21</v>
      </c>
      <c r="E24" s="48" t="s">
        <v>20</v>
      </c>
      <c r="F24" s="49"/>
      <c r="G24" s="46"/>
      <c r="H24" s="46"/>
      <c r="I24" s="50"/>
    </row>
    <row r="25" spans="1:9" ht="20.25" x14ac:dyDescent="0.3">
      <c r="A25" s="98" t="s">
        <v>19</v>
      </c>
      <c r="B25" s="99"/>
      <c r="C25" s="100"/>
      <c r="D25" s="10">
        <v>10000</v>
      </c>
      <c r="E25" s="51" t="s">
        <v>8</v>
      </c>
      <c r="F25" s="101" t="s">
        <v>18</v>
      </c>
      <c r="G25" s="101"/>
      <c r="H25" s="102"/>
      <c r="I25" s="103"/>
    </row>
    <row r="26" spans="1:9" ht="20.25" x14ac:dyDescent="0.3">
      <c r="A26" s="81" t="s">
        <v>17</v>
      </c>
      <c r="B26" s="82"/>
      <c r="C26" s="83"/>
      <c r="D26" s="10">
        <v>15</v>
      </c>
      <c r="E26" s="10" t="s">
        <v>16</v>
      </c>
      <c r="F26" s="84" t="s">
        <v>15</v>
      </c>
      <c r="G26" s="84"/>
      <c r="H26" s="85"/>
      <c r="I26" s="86"/>
    </row>
    <row r="27" spans="1:9" ht="20.25" x14ac:dyDescent="0.3">
      <c r="A27" s="81" t="s">
        <v>14</v>
      </c>
      <c r="B27" s="82"/>
      <c r="C27" s="83"/>
      <c r="D27" s="10">
        <f>+D25/D28</f>
        <v>1</v>
      </c>
      <c r="E27" s="10" t="s">
        <v>13</v>
      </c>
      <c r="F27" s="84" t="s">
        <v>12</v>
      </c>
      <c r="G27" s="84"/>
      <c r="H27" s="85"/>
      <c r="I27" s="86"/>
    </row>
    <row r="28" spans="1:9" ht="20.25" x14ac:dyDescent="0.3">
      <c r="A28" s="81" t="s">
        <v>11</v>
      </c>
      <c r="B28" s="82"/>
      <c r="C28" s="83"/>
      <c r="D28" s="10">
        <v>10000</v>
      </c>
      <c r="E28" s="52" t="s">
        <v>8</v>
      </c>
      <c r="F28" s="87" t="s">
        <v>10</v>
      </c>
      <c r="G28" s="87"/>
      <c r="H28" s="85"/>
      <c r="I28" s="86"/>
    </row>
    <row r="29" spans="1:9" ht="21" thickBot="1" x14ac:dyDescent="0.35">
      <c r="A29" s="88" t="s">
        <v>9</v>
      </c>
      <c r="B29" s="89"/>
      <c r="C29" s="90"/>
      <c r="D29" s="53">
        <f>SUM(E9:E20)-D25</f>
        <v>3413</v>
      </c>
      <c r="E29" s="54" t="s">
        <v>8</v>
      </c>
      <c r="F29" s="91"/>
      <c r="G29" s="91"/>
      <c r="H29" s="92"/>
      <c r="I29" s="93"/>
    </row>
    <row r="30" spans="1:9" ht="21" thickBot="1" x14ac:dyDescent="0.35">
      <c r="A30" s="130" t="s">
        <v>7</v>
      </c>
      <c r="B30" s="131"/>
      <c r="C30" s="131"/>
      <c r="D30" s="131"/>
      <c r="E30" s="131"/>
      <c r="F30" s="131"/>
      <c r="G30" s="131"/>
      <c r="H30" s="131"/>
      <c r="I30" s="132"/>
    </row>
    <row r="31" spans="1:9" ht="20.25" x14ac:dyDescent="0.3">
      <c r="A31" s="94" t="s">
        <v>6</v>
      </c>
      <c r="B31" s="95"/>
      <c r="C31" s="96"/>
      <c r="D31" s="96"/>
      <c r="E31" s="96"/>
      <c r="F31" s="96"/>
      <c r="G31" s="96"/>
      <c r="H31" s="96"/>
      <c r="I31" s="97"/>
    </row>
    <row r="32" spans="1:9" ht="20.25" x14ac:dyDescent="0.3">
      <c r="A32" s="78" t="s">
        <v>5</v>
      </c>
      <c r="B32" s="79"/>
      <c r="C32" s="79"/>
      <c r="D32" s="79"/>
      <c r="E32" s="79"/>
      <c r="F32" s="79"/>
      <c r="G32" s="79"/>
      <c r="H32" s="79"/>
      <c r="I32" s="80"/>
    </row>
    <row r="33" spans="1:9" ht="20.25" x14ac:dyDescent="0.3">
      <c r="A33" s="64" t="s">
        <v>4</v>
      </c>
      <c r="B33" s="65"/>
      <c r="C33" s="66"/>
      <c r="D33" s="66"/>
      <c r="E33" s="66"/>
      <c r="F33" s="66"/>
      <c r="G33" s="66"/>
      <c r="H33" s="66"/>
      <c r="I33" s="67"/>
    </row>
    <row r="34" spans="1:9" ht="20.25" x14ac:dyDescent="0.3">
      <c r="A34" s="68" t="s">
        <v>3</v>
      </c>
      <c r="B34" s="69"/>
      <c r="C34" s="69"/>
      <c r="D34" s="69"/>
      <c r="E34" s="69"/>
      <c r="F34" s="69"/>
      <c r="G34" s="69"/>
      <c r="H34" s="69"/>
      <c r="I34" s="70"/>
    </row>
    <row r="35" spans="1:9" ht="20.25" x14ac:dyDescent="0.3">
      <c r="A35" s="71" t="s">
        <v>2</v>
      </c>
      <c r="B35" s="72"/>
      <c r="C35" s="73"/>
      <c r="D35" s="73"/>
      <c r="E35" s="73"/>
      <c r="F35" s="73"/>
      <c r="G35" s="73"/>
      <c r="H35" s="73"/>
      <c r="I35" s="74"/>
    </row>
    <row r="36" spans="1:9" ht="20.25" x14ac:dyDescent="0.3">
      <c r="A36" s="75" t="s">
        <v>1</v>
      </c>
      <c r="B36" s="76"/>
      <c r="C36" s="76"/>
      <c r="D36" s="76"/>
      <c r="E36" s="76"/>
      <c r="F36" s="76"/>
      <c r="G36" s="76"/>
      <c r="H36" s="76"/>
      <c r="I36" s="77"/>
    </row>
    <row r="37" spans="1:9" ht="20.25" x14ac:dyDescent="0.3">
      <c r="A37" s="75"/>
      <c r="B37" s="76"/>
      <c r="C37" s="76"/>
      <c r="D37" s="76"/>
      <c r="E37" s="76"/>
      <c r="F37" s="76"/>
      <c r="G37" s="76"/>
      <c r="H37" s="76"/>
      <c r="I37" s="77"/>
    </row>
    <row r="38" spans="1:9" ht="21" thickBot="1" x14ac:dyDescent="0.35">
      <c r="A38" s="56"/>
      <c r="B38" s="57"/>
      <c r="C38" s="58"/>
      <c r="D38" s="58"/>
      <c r="E38" s="58"/>
      <c r="F38" s="58"/>
      <c r="G38" s="58"/>
      <c r="H38" s="58"/>
      <c r="I38" s="59"/>
    </row>
    <row r="39" spans="1:9" ht="20.25" x14ac:dyDescent="0.3">
      <c r="A39" s="61" t="s">
        <v>0</v>
      </c>
      <c r="B39" s="62"/>
      <c r="C39" s="62"/>
      <c r="D39" s="62"/>
      <c r="E39" s="62"/>
      <c r="F39" s="62"/>
      <c r="G39" s="62"/>
      <c r="H39" s="62"/>
      <c r="I39" s="63"/>
    </row>
    <row r="40" spans="1:9" ht="20.25" x14ac:dyDescent="0.3">
      <c r="A40" s="133" t="s">
        <v>81</v>
      </c>
      <c r="B40" s="134"/>
      <c r="C40" s="135"/>
      <c r="D40" s="135"/>
      <c r="E40" s="135"/>
      <c r="F40" s="135"/>
      <c r="G40" s="135"/>
      <c r="H40" s="135"/>
      <c r="I40" s="136"/>
    </row>
    <row r="41" spans="1:9" ht="20.25" x14ac:dyDescent="0.3">
      <c r="A41" s="137"/>
      <c r="B41" s="137"/>
      <c r="C41" s="137"/>
      <c r="D41" s="137"/>
      <c r="E41" s="137"/>
      <c r="F41" s="137"/>
      <c r="G41" s="137"/>
      <c r="H41" s="137"/>
      <c r="I41" s="137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5:C25"/>
    <mergeCell ref="F25:G25"/>
    <mergeCell ref="H25:I25"/>
    <mergeCell ref="A26:C26"/>
    <mergeCell ref="F26:G26"/>
    <mergeCell ref="H26:I26"/>
    <mergeCell ref="A32:I32"/>
    <mergeCell ref="A27:C27"/>
    <mergeCell ref="F27:G27"/>
    <mergeCell ref="H27:I27"/>
    <mergeCell ref="A28:C28"/>
    <mergeCell ref="F28:G28"/>
    <mergeCell ref="H28:I28"/>
    <mergeCell ref="A29:C29"/>
    <mergeCell ref="F29:G29"/>
    <mergeCell ref="H29:I29"/>
    <mergeCell ref="A30:I30"/>
    <mergeCell ref="A31:I31"/>
    <mergeCell ref="A38:I38"/>
    <mergeCell ref="G12:I12"/>
    <mergeCell ref="A39:I39"/>
    <mergeCell ref="A40:I40"/>
    <mergeCell ref="A41:I41"/>
    <mergeCell ref="A33:I33"/>
    <mergeCell ref="A34:I34"/>
    <mergeCell ref="A35:I35"/>
    <mergeCell ref="A36:I36"/>
    <mergeCell ref="A37:I37"/>
  </mergeCells>
  <pageMargins left="0.7" right="0.7" top="0.75" bottom="0.75" header="0.3" footer="0.3"/>
  <pageSetup scale="46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458b6a9d5d6b9a17d8ab2559e7240bab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41056e0dad6d77feaf64f6a7e964ff49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D3215C-49AE-4372-84D8-02C8CAC188D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9F14977-89C3-4F00-A790-ECA6CB67A4A0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4E9DA8B8-E2C2-4EE2-8CC1-6440500594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Crema </vt:lpstr>
      <vt:lpstr>'Crema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2025-07-22T19:16:42Z</cp:lastPrinted>
  <dcterms:created xsi:type="dcterms:W3CDTF">2025-07-22T19:05:36Z</dcterms:created>
  <dcterms:modified xsi:type="dcterms:W3CDTF">2025-10-29T19:30:56Z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
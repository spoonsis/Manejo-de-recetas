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5325930F-63BA-4DBF-B75D-46635D1F9223}" xr6:coauthVersionLast="47" xr6:coauthVersionMax="47" xr10:uidLastSave="{8C55C898-5134-4B8E-956B-E526399C1396}"/>
  <bookViews>
    <workbookView xWindow="-120" yWindow="-120" windowWidth="29040" windowHeight="15840" tabRatio="771" xr2:uid="{93DF36B7-6ED9-40F2-93AD-A97D508EA7D8}"/>
  </bookViews>
  <sheets>
    <sheet name="Hoja1" sheetId="11" r:id="rId1"/>
    <sheet name="Costo Premezcla " sheetId="7" state="hidden" r:id="rId2"/>
    <sheet name="Costo batido" sheetId="8" state="hidden" r:id="rId3"/>
    <sheet name="Costo Rosquete " sheetId="9" state="hidden" r:id="rId4"/>
    <sheet name="Costo Empaque " sheetId="10" state="hidden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0" l="1"/>
  <c r="D73" i="10" s="1"/>
  <c r="D75" i="10" s="1"/>
  <c r="D70" i="10"/>
  <c r="D68" i="10"/>
  <c r="F64" i="10"/>
  <c r="E50" i="10" s="1"/>
  <c r="F50" i="10" s="1"/>
  <c r="D59" i="10"/>
  <c r="D84" i="10" s="1"/>
  <c r="D85" i="10" s="1"/>
  <c r="C50" i="10"/>
  <c r="E49" i="10"/>
  <c r="D49" i="10"/>
  <c r="B49" i="10"/>
  <c r="E48" i="10"/>
  <c r="D48" i="10"/>
  <c r="B48" i="10"/>
  <c r="A48" i="10"/>
  <c r="C48" i="10" s="1"/>
  <c r="E47" i="10"/>
  <c r="D47" i="10"/>
  <c r="B47" i="10"/>
  <c r="E46" i="10"/>
  <c r="D46" i="10"/>
  <c r="B46" i="10"/>
  <c r="E45" i="10"/>
  <c r="D45" i="10"/>
  <c r="B45" i="10"/>
  <c r="E44" i="10"/>
  <c r="F44" i="10" s="1"/>
  <c r="D44" i="10"/>
  <c r="B44" i="10"/>
  <c r="A44" i="10"/>
  <c r="C44" i="10" s="1"/>
  <c r="E40" i="10"/>
  <c r="D40" i="10"/>
  <c r="B40" i="10"/>
  <c r="A40" i="10"/>
  <c r="A49" i="10" s="1"/>
  <c r="C49" i="10" s="1"/>
  <c r="E39" i="10"/>
  <c r="F39" i="10" s="1"/>
  <c r="D39" i="10"/>
  <c r="C39" i="10"/>
  <c r="B39" i="10"/>
  <c r="A39" i="10"/>
  <c r="E38" i="10"/>
  <c r="D38" i="10"/>
  <c r="C38" i="10"/>
  <c r="B38" i="10"/>
  <c r="A38" i="10"/>
  <c r="A47" i="10" s="1"/>
  <c r="C47" i="10" s="1"/>
  <c r="E37" i="10"/>
  <c r="D37" i="10"/>
  <c r="B37" i="10"/>
  <c r="A37" i="10"/>
  <c r="A46" i="10" s="1"/>
  <c r="C46" i="10" s="1"/>
  <c r="E36" i="10"/>
  <c r="D36" i="10"/>
  <c r="B36" i="10"/>
  <c r="A36" i="10"/>
  <c r="A45" i="10" s="1"/>
  <c r="C45" i="10" s="1"/>
  <c r="F45" i="10" s="1"/>
  <c r="E35" i="10"/>
  <c r="F35" i="10" s="1"/>
  <c r="D35" i="10"/>
  <c r="C35" i="10"/>
  <c r="B35" i="10"/>
  <c r="A35" i="10"/>
  <c r="A34" i="10"/>
  <c r="A43" i="10" s="1"/>
  <c r="C43" i="10" s="1"/>
  <c r="E31" i="10"/>
  <c r="D31" i="10"/>
  <c r="C31" i="10"/>
  <c r="B31" i="10"/>
  <c r="E30" i="10"/>
  <c r="F30" i="10" s="1"/>
  <c r="C30" i="10"/>
  <c r="B30" i="10"/>
  <c r="E29" i="10"/>
  <c r="D29" i="10"/>
  <c r="C29" i="10"/>
  <c r="B29" i="10"/>
  <c r="E28" i="10"/>
  <c r="F28" i="10" s="1"/>
  <c r="D28" i="10"/>
  <c r="C28" i="10"/>
  <c r="B28" i="10"/>
  <c r="F27" i="10"/>
  <c r="C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F14" i="10" s="1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 s="1"/>
  <c r="D11" i="10"/>
  <c r="C11" i="10"/>
  <c r="B11" i="10"/>
  <c r="E10" i="10"/>
  <c r="F10" i="10" s="1"/>
  <c r="D10" i="10"/>
  <c r="C10" i="10"/>
  <c r="B10" i="10"/>
  <c r="E9" i="10"/>
  <c r="F9" i="10" s="1"/>
  <c r="D9" i="10"/>
  <c r="C9" i="10"/>
  <c r="B9" i="10"/>
  <c r="E8" i="10"/>
  <c r="F8" i="10" s="1"/>
  <c r="D8" i="10"/>
  <c r="C8" i="10"/>
  <c r="B8" i="10"/>
  <c r="H6" i="10"/>
  <c r="E10" i="9"/>
  <c r="D72" i="9"/>
  <c r="D73" i="9" s="1"/>
  <c r="D75" i="9" s="1"/>
  <c r="D70" i="9"/>
  <c r="D68" i="9"/>
  <c r="F64" i="9"/>
  <c r="E50" i="9" s="1"/>
  <c r="F50" i="9" s="1"/>
  <c r="D59" i="9"/>
  <c r="D84" i="9" s="1"/>
  <c r="D85" i="9" s="1"/>
  <c r="C50" i="9"/>
  <c r="E49" i="9"/>
  <c r="D49" i="9"/>
  <c r="B49" i="9"/>
  <c r="E48" i="9"/>
  <c r="F48" i="9" s="1"/>
  <c r="D48" i="9"/>
  <c r="B48" i="9"/>
  <c r="A48" i="9"/>
  <c r="C48" i="9" s="1"/>
  <c r="E47" i="9"/>
  <c r="D47" i="9"/>
  <c r="B47" i="9"/>
  <c r="E46" i="9"/>
  <c r="D46" i="9"/>
  <c r="B46" i="9"/>
  <c r="E44" i="9"/>
  <c r="D44" i="9"/>
  <c r="B44" i="9"/>
  <c r="E40" i="9"/>
  <c r="F40" i="9" s="1"/>
  <c r="D40" i="9"/>
  <c r="C40" i="9"/>
  <c r="B40" i="9"/>
  <c r="A40" i="9"/>
  <c r="A49" i="9" s="1"/>
  <c r="C49" i="9" s="1"/>
  <c r="F49" i="9" s="1"/>
  <c r="E39" i="9"/>
  <c r="F39" i="9" s="1"/>
  <c r="D39" i="9"/>
  <c r="C39" i="9"/>
  <c r="B39" i="9"/>
  <c r="A39" i="9"/>
  <c r="E38" i="9"/>
  <c r="F38" i="9" s="1"/>
  <c r="D38" i="9"/>
  <c r="B38" i="9"/>
  <c r="A38" i="9"/>
  <c r="C38" i="9" s="1"/>
  <c r="E37" i="9"/>
  <c r="F37" i="9" s="1"/>
  <c r="D37" i="9"/>
  <c r="B37" i="9"/>
  <c r="A37" i="9"/>
  <c r="C37" i="9" s="1"/>
  <c r="A36" i="9"/>
  <c r="C36" i="9" s="1"/>
  <c r="E35" i="9"/>
  <c r="F35" i="9" s="1"/>
  <c r="D35" i="9"/>
  <c r="B35" i="9"/>
  <c r="A35" i="9"/>
  <c r="C35" i="9" s="1"/>
  <c r="A34" i="9"/>
  <c r="C34" i="9" s="1"/>
  <c r="E31" i="9"/>
  <c r="F31" i="9" s="1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6" i="9"/>
  <c r="F26" i="9" s="1"/>
  <c r="D26" i="9"/>
  <c r="C26" i="9"/>
  <c r="B26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C18" i="9"/>
  <c r="F18" i="9" s="1"/>
  <c r="D17" i="9"/>
  <c r="C17" i="9"/>
  <c r="F17" i="9" s="1"/>
  <c r="B17" i="9"/>
  <c r="C16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C10" i="9"/>
  <c r="C8" i="9"/>
  <c r="F8" i="9" s="1"/>
  <c r="H6" i="9"/>
  <c r="M5" i="9"/>
  <c r="M4" i="9"/>
  <c r="D73" i="8"/>
  <c r="D74" i="8" s="1"/>
  <c r="D76" i="8" s="1"/>
  <c r="D71" i="8"/>
  <c r="D69" i="8"/>
  <c r="F65" i="8"/>
  <c r="E51" i="8" s="1"/>
  <c r="F51" i="8" s="1"/>
  <c r="D60" i="8"/>
  <c r="D85" i="8" s="1"/>
  <c r="D86" i="8" s="1"/>
  <c r="C51" i="8"/>
  <c r="E50" i="8"/>
  <c r="D50" i="8"/>
  <c r="B50" i="8"/>
  <c r="E49" i="8"/>
  <c r="D49" i="8"/>
  <c r="B49" i="8"/>
  <c r="A49" i="8"/>
  <c r="C49" i="8" s="1"/>
  <c r="E48" i="8"/>
  <c r="D48" i="8"/>
  <c r="B48" i="8"/>
  <c r="E47" i="8"/>
  <c r="D47" i="8"/>
  <c r="B47" i="8"/>
  <c r="E46" i="8"/>
  <c r="D46" i="8"/>
  <c r="B46" i="8"/>
  <c r="E45" i="8"/>
  <c r="F45" i="8" s="1"/>
  <c r="D45" i="8"/>
  <c r="B45" i="8"/>
  <c r="A45" i="8"/>
  <c r="C45" i="8" s="1"/>
  <c r="E41" i="8"/>
  <c r="D41" i="8"/>
  <c r="B41" i="8"/>
  <c r="A41" i="8"/>
  <c r="A50" i="8" s="1"/>
  <c r="C50" i="8" s="1"/>
  <c r="E40" i="8"/>
  <c r="D40" i="8"/>
  <c r="B40" i="8"/>
  <c r="A40" i="8"/>
  <c r="C40" i="8" s="1"/>
  <c r="E39" i="8"/>
  <c r="D39" i="8"/>
  <c r="C39" i="8"/>
  <c r="B39" i="8"/>
  <c r="A39" i="8"/>
  <c r="A48" i="8" s="1"/>
  <c r="C48" i="8" s="1"/>
  <c r="E38" i="8"/>
  <c r="D38" i="8"/>
  <c r="B38" i="8"/>
  <c r="A38" i="8"/>
  <c r="A47" i="8" s="1"/>
  <c r="C47" i="8" s="1"/>
  <c r="E37" i="8"/>
  <c r="D37" i="8"/>
  <c r="B37" i="8"/>
  <c r="A37" i="8"/>
  <c r="A46" i="8" s="1"/>
  <c r="C46" i="8" s="1"/>
  <c r="E36" i="8"/>
  <c r="D36" i="8"/>
  <c r="B36" i="8"/>
  <c r="A36" i="8"/>
  <c r="C36" i="8" s="1"/>
  <c r="A35" i="8"/>
  <c r="A44" i="8" s="1"/>
  <c r="C44" i="8" s="1"/>
  <c r="E32" i="8"/>
  <c r="D32" i="8"/>
  <c r="C32" i="8"/>
  <c r="B32" i="8"/>
  <c r="E31" i="8"/>
  <c r="F31" i="8" s="1"/>
  <c r="D31" i="8"/>
  <c r="C31" i="8"/>
  <c r="B31" i="8"/>
  <c r="E30" i="8"/>
  <c r="D30" i="8"/>
  <c r="C30" i="8"/>
  <c r="B30" i="8"/>
  <c r="E29" i="8"/>
  <c r="F29" i="8" s="1"/>
  <c r="D29" i="8"/>
  <c r="C29" i="8"/>
  <c r="B29" i="8"/>
  <c r="E28" i="8"/>
  <c r="D28" i="8"/>
  <c r="C28" i="8"/>
  <c r="B28" i="8"/>
  <c r="E27" i="8"/>
  <c r="F27" i="8" s="1"/>
  <c r="D27" i="8"/>
  <c r="C27" i="8"/>
  <c r="B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C11" i="8"/>
  <c r="D10" i="8"/>
  <c r="C10" i="8"/>
  <c r="F10" i="8" s="1"/>
  <c r="B10" i="8"/>
  <c r="D9" i="8"/>
  <c r="C9" i="8"/>
  <c r="F9" i="8" s="1"/>
  <c r="B9" i="8"/>
  <c r="F8" i="8"/>
  <c r="D8" i="8"/>
  <c r="C8" i="8"/>
  <c r="B8" i="8"/>
  <c r="H6" i="8"/>
  <c r="D83" i="7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A49" i="7"/>
  <c r="C49" i="7" s="1"/>
  <c r="E48" i="7"/>
  <c r="D48" i="7"/>
  <c r="B48" i="7"/>
  <c r="E47" i="7"/>
  <c r="D47" i="7"/>
  <c r="B47" i="7"/>
  <c r="E46" i="7"/>
  <c r="D46" i="7"/>
  <c r="B46" i="7"/>
  <c r="E45" i="7"/>
  <c r="F45" i="7" s="1"/>
  <c r="D45" i="7"/>
  <c r="B45" i="7"/>
  <c r="A45" i="7"/>
  <c r="C45" i="7" s="1"/>
  <c r="E44" i="7"/>
  <c r="F44" i="7" s="1"/>
  <c r="D44" i="7"/>
  <c r="B44" i="7"/>
  <c r="E41" i="7"/>
  <c r="F41" i="7" s="1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F39" i="7" s="1"/>
  <c r="D39" i="7"/>
  <c r="B39" i="7"/>
  <c r="A39" i="7"/>
  <c r="C39" i="7" s="1"/>
  <c r="E38" i="7"/>
  <c r="F38" i="7" s="1"/>
  <c r="D38" i="7"/>
  <c r="C38" i="7"/>
  <c r="B38" i="7"/>
  <c r="A38" i="7"/>
  <c r="A47" i="7" s="1"/>
  <c r="C47" i="7" s="1"/>
  <c r="E37" i="7"/>
  <c r="F37" i="7" s="1"/>
  <c r="D37" i="7"/>
  <c r="C37" i="7"/>
  <c r="B37" i="7"/>
  <c r="A37" i="7"/>
  <c r="A46" i="7" s="1"/>
  <c r="C46" i="7" s="1"/>
  <c r="F46" i="7" s="1"/>
  <c r="E36" i="7"/>
  <c r="D36" i="7"/>
  <c r="B36" i="7"/>
  <c r="A36" i="7"/>
  <c r="C36" i="7" s="1"/>
  <c r="D35" i="7"/>
  <c r="C35" i="7"/>
  <c r="F35" i="7" s="1"/>
  <c r="B35" i="7"/>
  <c r="A35" i="7"/>
  <c r="A44" i="7" s="1"/>
  <c r="C44" i="7" s="1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F18" i="7"/>
  <c r="D18" i="7"/>
  <c r="C18" i="7"/>
  <c r="B18" i="7"/>
  <c r="F17" i="7"/>
  <c r="D17" i="7"/>
  <c r="C17" i="7"/>
  <c r="B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F10" i="7" s="1"/>
  <c r="D10" i="7"/>
  <c r="C10" i="7"/>
  <c r="B10" i="7"/>
  <c r="F9" i="7"/>
  <c r="C9" i="7"/>
  <c r="C8" i="7"/>
  <c r="F8" i="7" s="1"/>
  <c r="H6" i="7"/>
  <c r="F30" i="8" l="1"/>
  <c r="F32" i="8"/>
  <c r="F47" i="8"/>
  <c r="F12" i="8"/>
  <c r="F14" i="8"/>
  <c r="F11" i="9"/>
  <c r="F12" i="9"/>
  <c r="F13" i="9"/>
  <c r="F29" i="10"/>
  <c r="F31" i="10"/>
  <c r="F50" i="8"/>
  <c r="F40" i="7"/>
  <c r="F50" i="7"/>
  <c r="F46" i="8"/>
  <c r="F36" i="7"/>
  <c r="F27" i="7"/>
  <c r="F28" i="7"/>
  <c r="F29" i="7"/>
  <c r="F30" i="7"/>
  <c r="F31" i="7"/>
  <c r="F32" i="7"/>
  <c r="F28" i="8"/>
  <c r="F39" i="8"/>
  <c r="F38" i="10"/>
  <c r="F49" i="10"/>
  <c r="D82" i="10"/>
  <c r="F47" i="10"/>
  <c r="F48" i="10"/>
  <c r="F46" i="10"/>
  <c r="C34" i="10"/>
  <c r="C37" i="10"/>
  <c r="F37" i="10" s="1"/>
  <c r="D80" i="10"/>
  <c r="C36" i="10"/>
  <c r="F36" i="10" s="1"/>
  <c r="C40" i="10"/>
  <c r="F40" i="10" s="1"/>
  <c r="C72" i="10"/>
  <c r="D80" i="9"/>
  <c r="D82" i="9"/>
  <c r="F10" i="9"/>
  <c r="F36" i="9"/>
  <c r="A43" i="9"/>
  <c r="C43" i="9" s="1"/>
  <c r="C45" i="9"/>
  <c r="F45" i="9" s="1"/>
  <c r="A47" i="9"/>
  <c r="C47" i="9" s="1"/>
  <c r="F47" i="9" s="1"/>
  <c r="A44" i="9"/>
  <c r="C44" i="9" s="1"/>
  <c r="F44" i="9" s="1"/>
  <c r="A46" i="9"/>
  <c r="C46" i="9" s="1"/>
  <c r="F46" i="9" s="1"/>
  <c r="C72" i="9"/>
  <c r="D83" i="8"/>
  <c r="F11" i="8"/>
  <c r="F13" i="8"/>
  <c r="F48" i="8"/>
  <c r="F49" i="8"/>
  <c r="F36" i="8"/>
  <c r="F40" i="8"/>
  <c r="F41" i="8"/>
  <c r="C35" i="8"/>
  <c r="C38" i="8"/>
  <c r="F38" i="8" s="1"/>
  <c r="D81" i="8"/>
  <c r="C37" i="8"/>
  <c r="F37" i="8" s="1"/>
  <c r="C41" i="8"/>
  <c r="C73" i="8"/>
  <c r="F53" i="7"/>
  <c r="F49" i="7"/>
  <c r="F47" i="7"/>
  <c r="A48" i="7"/>
  <c r="C48" i="7" s="1"/>
  <c r="F48" i="7" s="1"/>
  <c r="D81" i="7"/>
  <c r="C73" i="7"/>
  <c r="F54" i="7" l="1"/>
  <c r="F55" i="7" s="1"/>
  <c r="F56" i="7"/>
  <c r="H56" i="7" s="1"/>
  <c r="C84" i="10"/>
  <c r="E84" i="10" s="1"/>
  <c r="E72" i="10"/>
  <c r="C84" i="9"/>
  <c r="E84" i="9" s="1"/>
  <c r="E72" i="9"/>
  <c r="C85" i="8"/>
  <c r="E85" i="8" s="1"/>
  <c r="E73" i="8"/>
  <c r="C85" i="7"/>
  <c r="E85" i="7" s="1"/>
  <c r="E73" i="7"/>
  <c r="F64" i="7"/>
  <c r="C69" i="7"/>
  <c r="H53" i="7"/>
  <c r="F2" i="7" s="1"/>
  <c r="H54" i="7" l="1"/>
  <c r="G2" i="7" s="1"/>
  <c r="C74" i="7"/>
  <c r="C86" i="7" s="1"/>
  <c r="E86" i="7" s="1"/>
  <c r="C76" i="7"/>
  <c r="E76" i="7" s="1"/>
  <c r="E35" i="8" s="1"/>
  <c r="F35" i="8" s="1"/>
  <c r="F54" i="8" s="1"/>
  <c r="H54" i="8" s="1"/>
  <c r="G2" i="8" s="1"/>
  <c r="E69" i="7"/>
  <c r="E17" i="8" s="1"/>
  <c r="F17" i="8" s="1"/>
  <c r="F53" i="8" s="1"/>
  <c r="C81" i="7"/>
  <c r="E81" i="7" s="1"/>
  <c r="H55" i="7"/>
  <c r="F63" i="7"/>
  <c r="O54" i="7"/>
  <c r="H2" i="7"/>
  <c r="H58" i="7"/>
  <c r="H59" i="7" s="1"/>
  <c r="O58" i="7" s="1"/>
  <c r="O55" i="7"/>
  <c r="E74" i="7" l="1"/>
  <c r="E44" i="8" s="1"/>
  <c r="F44" i="8" s="1"/>
  <c r="F56" i="8" s="1"/>
  <c r="H56" i="8" s="1"/>
  <c r="C76" i="8"/>
  <c r="E76" i="8" s="1"/>
  <c r="E34" i="9" s="1"/>
  <c r="F34" i="9" s="1"/>
  <c r="F53" i="9" s="1"/>
  <c r="H53" i="9" s="1"/>
  <c r="G2" i="9" s="1"/>
  <c r="H53" i="8"/>
  <c r="F2" i="8" s="1"/>
  <c r="C69" i="8"/>
  <c r="F64" i="8"/>
  <c r="F55" i="8"/>
  <c r="H55" i="8" s="1"/>
  <c r="C71" i="7"/>
  <c r="E63" i="7"/>
  <c r="F66" i="7"/>
  <c r="O56" i="7"/>
  <c r="O57" i="7" s="1"/>
  <c r="O59" i="7" s="1"/>
  <c r="E78" i="7"/>
  <c r="C74" i="8" l="1"/>
  <c r="C75" i="9"/>
  <c r="E75" i="9" s="1"/>
  <c r="F63" i="8"/>
  <c r="E63" i="8" s="1"/>
  <c r="O54" i="8"/>
  <c r="O56" i="8" s="1"/>
  <c r="E34" i="10"/>
  <c r="F34" i="10" s="1"/>
  <c r="F53" i="10" s="1"/>
  <c r="C75" i="10" s="1"/>
  <c r="E75" i="10" s="1"/>
  <c r="C81" i="8"/>
  <c r="E81" i="8" s="1"/>
  <c r="E69" i="8"/>
  <c r="O55" i="8"/>
  <c r="H58" i="8"/>
  <c r="H59" i="8" s="1"/>
  <c r="O58" i="8" s="1"/>
  <c r="H2" i="8"/>
  <c r="C86" i="8"/>
  <c r="E86" i="8" s="1"/>
  <c r="E74" i="8"/>
  <c r="E43" i="9" s="1"/>
  <c r="F43" i="9" s="1"/>
  <c r="F55" i="9" s="1"/>
  <c r="O60" i="7"/>
  <c r="O61" i="7" s="1"/>
  <c r="O62" i="7" s="1"/>
  <c r="G66" i="7"/>
  <c r="G8" i="7"/>
  <c r="G38" i="7"/>
  <c r="G18" i="7"/>
  <c r="G22" i="7"/>
  <c r="G50" i="7"/>
  <c r="G14" i="7"/>
  <c r="G36" i="7"/>
  <c r="G39" i="7"/>
  <c r="G31" i="7"/>
  <c r="G65" i="7"/>
  <c r="G45" i="7"/>
  <c r="G11" i="7"/>
  <c r="G28" i="7"/>
  <c r="G10" i="7"/>
  <c r="G44" i="7"/>
  <c r="G19" i="7"/>
  <c r="G23" i="7"/>
  <c r="G41" i="7"/>
  <c r="G46" i="7"/>
  <c r="G32" i="7"/>
  <c r="G30" i="7"/>
  <c r="G13" i="7"/>
  <c r="G20" i="7"/>
  <c r="G24" i="7"/>
  <c r="G9" i="7"/>
  <c r="G37" i="7"/>
  <c r="G12" i="7"/>
  <c r="G29" i="7"/>
  <c r="G51" i="7"/>
  <c r="G35" i="7"/>
  <c r="G17" i="7"/>
  <c r="G21" i="7"/>
  <c r="G40" i="7"/>
  <c r="G27" i="7"/>
  <c r="G49" i="7"/>
  <c r="G47" i="7"/>
  <c r="G56" i="7"/>
  <c r="G54" i="7"/>
  <c r="G48" i="7"/>
  <c r="G53" i="7"/>
  <c r="G64" i="7"/>
  <c r="G55" i="7"/>
  <c r="G63" i="7"/>
  <c r="C83" i="7"/>
  <c r="E83" i="7" s="1"/>
  <c r="E71" i="7"/>
  <c r="C71" i="8" l="1"/>
  <c r="F66" i="8"/>
  <c r="G63" i="8" s="1"/>
  <c r="H53" i="10"/>
  <c r="G2" i="10" s="1"/>
  <c r="O57" i="8"/>
  <c r="O59" i="8" s="1"/>
  <c r="O60" i="8" s="1"/>
  <c r="O61" i="8" s="1"/>
  <c r="O62" i="8" s="1"/>
  <c r="H55" i="9"/>
  <c r="C73" i="9"/>
  <c r="E16" i="9"/>
  <c r="F16" i="9" s="1"/>
  <c r="F52" i="9" s="1"/>
  <c r="E78" i="8"/>
  <c r="C83" i="8"/>
  <c r="E83" i="8" s="1"/>
  <c r="E71" i="8"/>
  <c r="G66" i="8"/>
  <c r="G53" i="8"/>
  <c r="G45" i="8"/>
  <c r="G17" i="8"/>
  <c r="G50" i="8"/>
  <c r="G8" i="8"/>
  <c r="G32" i="8"/>
  <c r="G47" i="8"/>
  <c r="G24" i="8"/>
  <c r="G9" i="8"/>
  <c r="G18" i="8"/>
  <c r="G29" i="8"/>
  <c r="G13" i="8"/>
  <c r="G31" i="8"/>
  <c r="G14" i="8"/>
  <c r="G11" i="8"/>
  <c r="G27" i="8"/>
  <c r="G46" i="8"/>
  <c r="G51" i="8"/>
  <c r="G65" i="8"/>
  <c r="G39" i="8"/>
  <c r="G28" i="8"/>
  <c r="G21" i="8"/>
  <c r="G49" i="8"/>
  <c r="G38" i="8"/>
  <c r="G48" i="8"/>
  <c r="G35" i="8"/>
  <c r="G64" i="8"/>
  <c r="G40" i="8"/>
  <c r="G37" i="8"/>
  <c r="G41" i="8"/>
  <c r="G54" i="8"/>
  <c r="P62" i="7"/>
  <c r="E2" i="7"/>
  <c r="G55" i="8" l="1"/>
  <c r="G36" i="8"/>
  <c r="G56" i="8"/>
  <c r="G19" i="8"/>
  <c r="G10" i="8"/>
  <c r="G12" i="8"/>
  <c r="G30" i="8"/>
  <c r="G44" i="8"/>
  <c r="G22" i="8"/>
  <c r="G20" i="8"/>
  <c r="G23" i="8"/>
  <c r="E73" i="9"/>
  <c r="C85" i="9"/>
  <c r="E85" i="9" s="1"/>
  <c r="C68" i="9"/>
  <c r="H52" i="9"/>
  <c r="F63" i="9"/>
  <c r="F54" i="9"/>
  <c r="E43" i="10"/>
  <c r="F43" i="10" s="1"/>
  <c r="H57" i="9"/>
  <c r="H58" i="9" s="1"/>
  <c r="O57" i="9" s="1"/>
  <c r="H2" i="9"/>
  <c r="O54" i="9"/>
  <c r="E2" i="8"/>
  <c r="P62" i="8"/>
  <c r="E68" i="9" l="1"/>
  <c r="E77" i="9" s="1"/>
  <c r="C80" i="9"/>
  <c r="E80" i="9" s="1"/>
  <c r="F62" i="9"/>
  <c r="O53" i="9"/>
  <c r="O55" i="9" s="1"/>
  <c r="O56" i="9" s="1"/>
  <c r="O58" i="9" s="1"/>
  <c r="O59" i="9" s="1"/>
  <c r="O60" i="9" s="1"/>
  <c r="O61" i="9" s="1"/>
  <c r="H54" i="9"/>
  <c r="F55" i="10"/>
  <c r="F2" i="9"/>
  <c r="E17" i="10"/>
  <c r="F17" i="10" s="1"/>
  <c r="H55" i="10" l="1"/>
  <c r="C73" i="10"/>
  <c r="C70" i="9"/>
  <c r="E62" i="9"/>
  <c r="F65" i="9"/>
  <c r="F52" i="10"/>
  <c r="P61" i="9"/>
  <c r="E2" i="9"/>
  <c r="C82" i="9" l="1"/>
  <c r="E82" i="9" s="1"/>
  <c r="E70" i="9"/>
  <c r="C85" i="10"/>
  <c r="E85" i="10" s="1"/>
  <c r="E73" i="10"/>
  <c r="C68" i="10"/>
  <c r="H52" i="10"/>
  <c r="F2" i="10" s="1"/>
  <c r="F63" i="10"/>
  <c r="F54" i="10"/>
  <c r="G19" i="9"/>
  <c r="G48" i="9"/>
  <c r="G27" i="9"/>
  <c r="G13" i="9"/>
  <c r="G12" i="9"/>
  <c r="G39" i="9"/>
  <c r="G10" i="9"/>
  <c r="G49" i="9"/>
  <c r="G47" i="9"/>
  <c r="G53" i="9"/>
  <c r="G20" i="9"/>
  <c r="G18" i="9"/>
  <c r="G35" i="9"/>
  <c r="G37" i="9"/>
  <c r="G11" i="9"/>
  <c r="G22" i="9"/>
  <c r="G43" i="9"/>
  <c r="G40" i="9"/>
  <c r="G26" i="9"/>
  <c r="G31" i="9"/>
  <c r="G28" i="9"/>
  <c r="G8" i="9"/>
  <c r="G30" i="9"/>
  <c r="G46" i="9"/>
  <c r="G44" i="9"/>
  <c r="G55" i="9"/>
  <c r="G34" i="9"/>
  <c r="G64" i="9"/>
  <c r="G50" i="9"/>
  <c r="G21" i="9"/>
  <c r="G17" i="9"/>
  <c r="G29" i="9"/>
  <c r="G38" i="9"/>
  <c r="G45" i="9"/>
  <c r="G65" i="9"/>
  <c r="G23" i="9"/>
  <c r="G36" i="9"/>
  <c r="G52" i="9"/>
  <c r="G16" i="9"/>
  <c r="G63" i="9"/>
  <c r="G54" i="9"/>
  <c r="G62" i="9"/>
  <c r="H57" i="10"/>
  <c r="H58" i="10" s="1"/>
  <c r="O57" i="10" s="1"/>
  <c r="O54" i="10"/>
  <c r="H2" i="10"/>
  <c r="H54" i="10" l="1"/>
  <c r="F62" i="10"/>
  <c r="O53" i="10"/>
  <c r="O55" i="10" s="1"/>
  <c r="O56" i="10" s="1"/>
  <c r="O58" i="10" s="1"/>
  <c r="E68" i="10"/>
  <c r="E77" i="10" s="1"/>
  <c r="C80" i="10"/>
  <c r="E80" i="10" s="1"/>
  <c r="O59" i="10" l="1"/>
  <c r="O60" i="10" s="1"/>
  <c r="O61" i="10" s="1"/>
  <c r="F65" i="10"/>
  <c r="C70" i="10"/>
  <c r="E62" i="10"/>
  <c r="P61" i="10" l="1"/>
  <c r="E2" i="10"/>
  <c r="G62" i="10"/>
  <c r="G65" i="10"/>
  <c r="G35" i="10"/>
  <c r="G12" i="10"/>
  <c r="G38" i="10"/>
  <c r="G30" i="10"/>
  <c r="G50" i="10"/>
  <c r="G13" i="10"/>
  <c r="G22" i="10"/>
  <c r="G36" i="10"/>
  <c r="G53" i="10"/>
  <c r="G45" i="10"/>
  <c r="G27" i="10"/>
  <c r="G18" i="10"/>
  <c r="G9" i="10"/>
  <c r="G19" i="10"/>
  <c r="G24" i="10"/>
  <c r="G23" i="10"/>
  <c r="G48" i="10"/>
  <c r="G28" i="10"/>
  <c r="G21" i="10"/>
  <c r="G20" i="10"/>
  <c r="G37" i="10"/>
  <c r="G11" i="10"/>
  <c r="G44" i="10"/>
  <c r="G39" i="10"/>
  <c r="G49" i="10"/>
  <c r="G10" i="10"/>
  <c r="G31" i="10"/>
  <c r="G8" i="10"/>
  <c r="G40" i="10"/>
  <c r="G46" i="10"/>
  <c r="G47" i="10"/>
  <c r="G29" i="10"/>
  <c r="G14" i="10"/>
  <c r="G64" i="10"/>
  <c r="G34" i="10"/>
  <c r="G43" i="10"/>
  <c r="G17" i="10"/>
  <c r="G55" i="10"/>
  <c r="G52" i="10"/>
  <c r="G63" i="10"/>
  <c r="G54" i="10"/>
  <c r="E70" i="10"/>
  <c r="C82" i="10"/>
  <c r="E82" i="10" s="1"/>
</calcChain>
</file>

<file path=xl/sharedStrings.xml><?xml version="1.0" encoding="utf-8"?>
<sst xmlns="http://schemas.openxmlformats.org/spreadsheetml/2006/main" count="484" uniqueCount="140">
  <si>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</si>
  <si>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</si>
  <si>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</si>
  <si>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</si>
  <si>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</si>
  <si>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</si>
  <si>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</si>
  <si>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</si>
  <si>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</si>
  <si>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</si>
  <si>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</si>
  <si>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</si>
  <si>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</si>
  <si>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</si>
  <si>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</si>
  <si>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</si>
  <si>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</si>
  <si>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</si>
  <si>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</si>
  <si>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</si>
  <si>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</si>
  <si>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</si>
  <si>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</si>
  <si>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</si>
  <si>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</si>
  <si>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</si>
  <si>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</si>
  <si>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</si>
  <si>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</si>
  <si>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</si>
  <si>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</si>
  <si>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</si>
  <si>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</si>
  <si>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</si>
  <si>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</si>
  <si>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EM10011</t>
  </si>
  <si>
    <t>11200072</t>
  </si>
  <si>
    <t>MP10478</t>
  </si>
  <si>
    <t>Harina Silver Cake</t>
  </si>
  <si>
    <t>90100131</t>
  </si>
  <si>
    <t>SE00016</t>
  </si>
  <si>
    <t>DAWN</t>
  </si>
  <si>
    <t>EM10013</t>
  </si>
  <si>
    <t>BOLSA 17x25 TRANSP KILO</t>
  </si>
  <si>
    <t>EM10133</t>
  </si>
  <si>
    <t>ETIQUETA ROJA LETRA ALERJENO (UND)</t>
  </si>
  <si>
    <t>1.- Pesar todos los ingredientes en la bolsa y etiquetar.</t>
  </si>
  <si>
    <t>NUEVO</t>
  </si>
  <si>
    <t>1210482</t>
  </si>
  <si>
    <t>10100050</t>
  </si>
  <si>
    <t>10415</t>
  </si>
  <si>
    <t>902000019</t>
  </si>
  <si>
    <t>PRESERVANTE NATALUX</t>
  </si>
  <si>
    <t>11200073</t>
  </si>
  <si>
    <t>MP10482</t>
  </si>
  <si>
    <t xml:space="preserve">Concentrado Dawn Chocolate </t>
  </si>
  <si>
    <t>51400021</t>
  </si>
  <si>
    <t>Quequera Red C/Base Alta 9"</t>
  </si>
  <si>
    <t>11900030</t>
  </si>
  <si>
    <t>Mani Picado</t>
  </si>
  <si>
    <t>Batido queque chocolate con mani Spoon</t>
  </si>
  <si>
    <t>Rosquete chocolate con mani Spoon</t>
  </si>
  <si>
    <t>SE00403 Premezcla Queque seco chocolate  Spoon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</si>
  <si>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</si>
  <si>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</si>
  <si>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</si>
  <si>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</si>
  <si>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</si>
  <si>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</si>
  <si>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</si>
  <si>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</si>
  <si>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</si>
  <si>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</si>
  <si>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</si>
  <si>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</si>
  <si>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</si>
  <si>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 xml:space="preserve">Gramos </t>
  </si>
  <si>
    <t>MATERIA PRIMA SEMIELABORADOS</t>
  </si>
  <si>
    <t>EMPAQUE</t>
  </si>
  <si>
    <t>1950708</t>
  </si>
  <si>
    <t>60100010</t>
  </si>
  <si>
    <t>0702123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</si>
  <si>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</si>
  <si>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</si>
  <si>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</si>
  <si>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</si>
  <si>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</si>
  <si>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</si>
  <si>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</si>
  <si>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</si>
  <si>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</si>
  <si>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</si>
  <si>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</si>
  <si>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</si>
  <si>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</si>
  <si>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</si>
  <si>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</si>
  <si>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</si>
  <si>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</si>
  <si>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</si>
  <si>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</si>
  <si>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</si>
  <si>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</si>
  <si>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</si>
  <si>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</si>
  <si>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</si>
  <si>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</si>
  <si>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</si>
  <si>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</si>
  <si>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</si>
  <si>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</si>
  <si>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</si>
  <si>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</si>
  <si>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</si>
  <si>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</si>
  <si>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</si>
  <si>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</si>
  <si>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</si>
  <si>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Premezcla chocolate marmoleado Spoon</t>
  </si>
  <si>
    <t>Gramos</t>
  </si>
  <si>
    <t>TP 535</t>
  </si>
  <si>
    <t>ROSQUETE MARMOLEADO SPOON</t>
  </si>
  <si>
    <t xml:space="preserve">UND </t>
  </si>
  <si>
    <t>Und</t>
  </si>
  <si>
    <t>701096</t>
  </si>
  <si>
    <t>0702155</t>
  </si>
  <si>
    <t>01</t>
  </si>
  <si>
    <t>Javier Tong, Chef</t>
  </si>
  <si>
    <t>Premezclas</t>
  </si>
  <si>
    <t># Código Netsuite</t>
  </si>
  <si>
    <t>Ensamble</t>
  </si>
  <si>
    <t>HARINA SILVER CAKE</t>
  </si>
  <si>
    <t>FACHASSA</t>
  </si>
  <si>
    <t xml:space="preserve">EMPAQUE AZUCAR  INDUSTRIAL </t>
  </si>
  <si>
    <t>COCENTRADO DAWN CHOCOLATE</t>
  </si>
  <si>
    <t/>
  </si>
  <si>
    <t>Decoración</t>
  </si>
  <si>
    <t>Empaque</t>
  </si>
  <si>
    <t>CONTROL DE CAMBIOS</t>
  </si>
  <si>
    <t>ESP-RE-PRES-034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</si>
</sst>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46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</cellStyleXfs>
  <cellXfs count="314">
    <xf numFmtId="0" fontId="0" fillId="0" borderId="0" xfId="0"/>
    <xf numFmtId="0" fontId="0" fillId="0" borderId="0" xfId="0" applyAlignment="1">
      <alignment horizontal="center"/>
    </xf>
    <xf numFmtId="0" fontId="6" fillId="4" borderId="0" xfId="0" applyFont="1" applyFill="1" applyAlignment="1">
      <alignment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7" fillId="0" borderId="10" xfId="5" applyFont="1" applyFill="1" applyBorder="1" applyAlignment="1">
      <alignment horizontal="center" vertical="center"/>
    </xf>
    <xf numFmtId="43" fontId="7" fillId="0" borderId="0" xfId="5" applyFont="1" applyFill="1" applyBorder="1" applyAlignment="1">
      <alignment horizontal="center" vertical="center"/>
    </xf>
    <xf numFmtId="43" fontId="9" fillId="0" borderId="0" xfId="5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6" applyNumberFormat="1" applyFont="1" applyFill="1" applyAlignment="1">
      <alignment horizontal="center" vertical="center"/>
    </xf>
    <xf numFmtId="4" fontId="7" fillId="0" borderId="0" xfId="6" applyNumberFormat="1" applyFont="1" applyFill="1" applyAlignment="1">
      <alignment horizontal="center" vertical="center"/>
    </xf>
    <xf numFmtId="10" fontId="7" fillId="0" borderId="0" xfId="2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5" applyNumberFormat="1" applyFont="1" applyFill="1" applyAlignment="1">
      <alignment vertical="center"/>
    </xf>
    <xf numFmtId="43" fontId="15" fillId="0" borderId="0" xfId="5" applyFont="1" applyFill="1" applyAlignment="1">
      <alignment horizontal="center" vertical="center"/>
    </xf>
    <xf numFmtId="10" fontId="8" fillId="7" borderId="43" xfId="2" applyNumberFormat="1" applyFont="1" applyFill="1" applyBorder="1" applyAlignment="1">
      <alignment vertical="center"/>
    </xf>
    <xf numFmtId="0" fontId="6" fillId="7" borderId="38" xfId="0" applyFont="1" applyFill="1" applyBorder="1" applyAlignment="1">
      <alignment vertical="center"/>
    </xf>
    <xf numFmtId="0" fontId="6" fillId="7" borderId="43" xfId="0" applyFont="1" applyFill="1" applyBorder="1" applyAlignment="1">
      <alignment vertical="center"/>
    </xf>
    <xf numFmtId="43" fontId="15" fillId="7" borderId="44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right"/>
    </xf>
    <xf numFmtId="0" fontId="6" fillId="7" borderId="44" xfId="0" applyFont="1" applyFill="1" applyBorder="1" applyAlignment="1">
      <alignment vertical="center"/>
    </xf>
    <xf numFmtId="10" fontId="8" fillId="7" borderId="44" xfId="2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18" fillId="0" borderId="0" xfId="2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" fontId="15" fillId="0" borderId="0" xfId="6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15" xfId="0" applyFont="1" applyBorder="1" applyAlignment="1">
      <alignment horizontal="right"/>
    </xf>
    <xf numFmtId="43" fontId="21" fillId="5" borderId="25" xfId="5" applyFont="1" applyFill="1" applyBorder="1" applyAlignment="1">
      <alignment horizontal="right"/>
    </xf>
    <xf numFmtId="43" fontId="21" fillId="0" borderId="0" xfId="5" applyFont="1" applyFill="1" applyBorder="1" applyAlignment="1">
      <alignment horizontal="right"/>
    </xf>
    <xf numFmtId="43" fontId="7" fillId="0" borderId="10" xfId="5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6" applyNumberFormat="1" applyFont="1" applyFill="1" applyAlignment="1">
      <alignment horizontal="center" vertical="center"/>
    </xf>
    <xf numFmtId="10" fontId="23" fillId="0" borderId="0" xfId="2" applyNumberFormat="1" applyFont="1" applyFill="1" applyAlignment="1">
      <alignment horizontal="right"/>
    </xf>
    <xf numFmtId="167" fontId="7" fillId="7" borderId="10" xfId="5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7" fillId="8" borderId="10" xfId="5" applyFont="1" applyFill="1" applyBorder="1" applyAlignment="1">
      <alignment vertical="center"/>
    </xf>
    <xf numFmtId="168" fontId="2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45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5" applyNumberFormat="1" applyFont="1" applyFill="1" applyBorder="1" applyAlignment="1">
      <alignment horizontal="center"/>
    </xf>
    <xf numFmtId="2" fontId="20" fillId="0" borderId="0" xfId="5" applyNumberFormat="1" applyFont="1" applyFill="1" applyBorder="1" applyAlignment="1">
      <alignment horizontal="center"/>
    </xf>
    <xf numFmtId="0" fontId="6" fillId="7" borderId="45" xfId="0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4" fontId="6" fillId="0" borderId="0" xfId="5" applyNumberFormat="1" applyFont="1" applyFill="1" applyAlignment="1">
      <alignment vertical="center"/>
    </xf>
    <xf numFmtId="43" fontId="21" fillId="7" borderId="38" xfId="5" applyFont="1" applyFill="1" applyBorder="1" applyAlignment="1">
      <alignment horizontal="right"/>
    </xf>
    <xf numFmtId="0" fontId="7" fillId="7" borderId="39" xfId="0" applyFont="1" applyFill="1" applyBorder="1" applyAlignment="1">
      <alignment horizontal="right" vertical="center"/>
    </xf>
    <xf numFmtId="10" fontId="27" fillId="0" borderId="0" xfId="5" applyNumberFormat="1" applyFont="1" applyFill="1" applyAlignment="1">
      <alignment vertical="center"/>
    </xf>
    <xf numFmtId="10" fontId="8" fillId="0" borderId="0" xfId="2" applyNumberFormat="1" applyFont="1" applyFill="1" applyBorder="1" applyAlignment="1">
      <alignment vertical="center"/>
    </xf>
    <xf numFmtId="168" fontId="28" fillId="0" borderId="0" xfId="0" applyNumberFormat="1" applyFont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43" fontId="29" fillId="0" borderId="0" xfId="5" applyFont="1" applyFill="1" applyAlignment="1">
      <alignment vertical="center"/>
    </xf>
    <xf numFmtId="4" fontId="30" fillId="0" borderId="0" xfId="6" applyNumberFormat="1" applyFont="1" applyFill="1" applyAlignment="1">
      <alignment horizontal="center" vertical="center" wrapText="1"/>
    </xf>
    <xf numFmtId="9" fontId="6" fillId="0" borderId="0" xfId="5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5" applyNumberFormat="1" applyFont="1" applyFill="1" applyAlignment="1">
      <alignment vertical="center"/>
    </xf>
    <xf numFmtId="4" fontId="7" fillId="10" borderId="25" xfId="5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5" applyFont="1" applyFill="1" applyAlignment="1">
      <alignment vertical="center"/>
    </xf>
    <xf numFmtId="9" fontId="31" fillId="0" borderId="0" xfId="5" applyNumberFormat="1" applyFont="1" applyFill="1" applyAlignment="1">
      <alignment vertical="center"/>
    </xf>
    <xf numFmtId="4" fontId="7" fillId="0" borderId="0" xfId="5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vertical="center"/>
    </xf>
    <xf numFmtId="43" fontId="24" fillId="0" borderId="0" xfId="5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5" applyFont="1" applyFill="1" applyBorder="1"/>
    <xf numFmtId="10" fontId="24" fillId="0" borderId="0" xfId="2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6" fillId="0" borderId="0" xfId="5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8" fontId="7" fillId="0" borderId="0" xfId="0" applyNumberFormat="1" applyFont="1"/>
    <xf numFmtId="0" fontId="1" fillId="2" borderId="54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35" fillId="2" borderId="0" xfId="4" applyFont="1" applyFill="1" applyAlignment="1">
      <alignment horizontal="right"/>
    </xf>
    <xf numFmtId="0" fontId="35" fillId="2" borderId="0" xfId="4" applyFont="1" applyFill="1"/>
    <xf numFmtId="0" fontId="4" fillId="5" borderId="23" xfId="4" applyFont="1" applyFill="1" applyBorder="1" applyAlignment="1">
      <alignment horizontal="center" vertical="center" wrapText="1"/>
    </xf>
    <xf numFmtId="0" fontId="4" fillId="5" borderId="32" xfId="4" applyFont="1" applyFill="1" applyBorder="1" applyAlignment="1">
      <alignment horizontal="center" vertical="center" wrapText="1"/>
    </xf>
    <xf numFmtId="0" fontId="4" fillId="5" borderId="20" xfId="4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right" vertical="center"/>
    </xf>
    <xf numFmtId="0" fontId="32" fillId="0" borderId="38" xfId="0" applyFont="1" applyBorder="1" applyAlignment="1">
      <alignment horizontal="right" vertical="center"/>
    </xf>
    <xf numFmtId="0" fontId="32" fillId="0" borderId="39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4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37" xfId="0" applyFont="1" applyFill="1" applyBorder="1" applyAlignment="1">
      <alignment horizontal="right"/>
    </xf>
    <xf numFmtId="0" fontId="21" fillId="7" borderId="38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7" fillId="9" borderId="37" xfId="0" applyFont="1" applyFill="1" applyBorder="1" applyAlignment="1">
      <alignment horizontal="right" vertical="center"/>
    </xf>
    <xf numFmtId="0" fontId="7" fillId="9" borderId="38" xfId="0" applyFont="1" applyFill="1" applyBorder="1" applyAlignment="1">
      <alignment horizontal="right" vertical="center"/>
    </xf>
    <xf numFmtId="0" fontId="7" fillId="9" borderId="39" xfId="0" applyFont="1" applyFill="1" applyBorder="1" applyAlignment="1">
      <alignment horizontal="right" vertical="center"/>
    </xf>
    <xf numFmtId="4" fontId="30" fillId="0" borderId="0" xfId="6" applyNumberFormat="1" applyFont="1" applyFill="1" applyAlignment="1">
      <alignment horizontal="center" vertical="center" wrapText="1"/>
    </xf>
    <xf numFmtId="0" fontId="24" fillId="0" borderId="10" xfId="0" applyFont="1" applyBorder="1" applyAlignment="1">
      <alignment horizontal="right" vertical="center"/>
    </xf>
    <xf numFmtId="0" fontId="25" fillId="0" borderId="1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5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34" xfId="0" applyFont="1" applyBorder="1" applyAlignment="1">
      <alignment horizontal="right"/>
    </xf>
    <xf numFmtId="0" fontId="16" fillId="0" borderId="36" xfId="0" applyFont="1" applyBorder="1" applyAlignment="1">
      <alignment horizontal="right"/>
    </xf>
    <xf numFmtId="0" fontId="6" fillId="0" borderId="10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right" vertical="center" wrapText="1"/>
    </xf>
    <xf numFmtId="0" fontId="36" fillId="2" borderId="34" xfId="4" applyFont="1" applyFill="1" applyBorder="1" applyAlignment="1">
      <alignment horizontal="center"/>
    </xf>
    <xf numFmtId="0" fontId="36" fillId="2" borderId="36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right"/>
    </xf>
    <xf numFmtId="0" fontId="36" fillId="2" borderId="12" xfId="4" applyFont="1" applyFill="1" applyBorder="1" applyAlignment="1">
      <alignment horizontal="center"/>
    </xf>
    <xf numFmtId="0" fontId="36" fillId="2" borderId="16" xfId="4" applyFont="1" applyFill="1" applyBorder="1" applyAlignment="1">
      <alignment horizontal="center"/>
    </xf>
    <xf numFmtId="0" fontId="36" fillId="2" borderId="0" xfId="4" applyFont="1" applyFill="1" applyAlignment="1">
      <alignment horizontal="center"/>
    </xf>
    <xf numFmtId="0" fontId="4" fillId="2" borderId="17" xfId="4" applyFont="1" applyFill="1" applyBorder="1" applyAlignment="1">
      <alignment horizontal="center"/>
    </xf>
    <xf numFmtId="0" fontId="4" fillId="2" borderId="46" xfId="4" applyFont="1" applyFill="1" applyBorder="1" applyAlignment="1">
      <alignment horizontal="center"/>
    </xf>
    <xf numFmtId="0" fontId="4" fillId="2" borderId="35" xfId="4" applyFont="1" applyFill="1" applyBorder="1" applyAlignment="1">
      <alignment horizontal="center"/>
    </xf>
    <xf numFmtId="0" fontId="4" fillId="2" borderId="10" xfId="4" applyFont="1" applyFill="1" applyBorder="1" applyAlignment="1">
      <alignment horizontal="right"/>
    </xf>
    <xf numFmtId="49" fontId="36" fillId="2" borderId="9" xfId="4" applyNumberFormat="1" applyFont="1" applyFill="1" applyBorder="1" applyAlignment="1">
      <alignment horizontal="center"/>
    </xf>
    <xf numFmtId="0" fontId="4" fillId="2" borderId="31" xfId="4" applyFont="1" applyFill="1" applyBorder="1" applyAlignment="1">
      <alignment horizontal="right" vertical="top" wrapText="1"/>
    </xf>
    <xf numFmtId="14" fontId="36" fillId="2" borderId="26" xfId="4" applyNumberFormat="1" applyFont="1" applyFill="1" applyBorder="1" applyAlignment="1">
      <alignment horizontal="center" vertical="center" wrapText="1"/>
    </xf>
    <xf numFmtId="0" fontId="36" fillId="2" borderId="8" xfId="4" applyFont="1" applyFill="1" applyBorder="1" applyAlignment="1">
      <alignment horizontal="right"/>
    </xf>
    <xf numFmtId="0" fontId="36" fillId="2" borderId="21" xfId="4" applyFont="1" applyFill="1" applyBorder="1" applyAlignment="1">
      <alignment horizontal="left"/>
    </xf>
    <xf numFmtId="0" fontId="36" fillId="2" borderId="32" xfId="4" applyFont="1" applyFill="1" applyBorder="1" applyAlignment="1">
      <alignment horizontal="left"/>
    </xf>
    <xf numFmtId="0" fontId="36" fillId="2" borderId="22" xfId="4" applyFont="1" applyFill="1" applyBorder="1" applyAlignment="1">
      <alignment horizontal="left"/>
    </xf>
    <xf numFmtId="0" fontId="4" fillId="2" borderId="30" xfId="4" applyFont="1" applyFill="1" applyBorder="1" applyAlignment="1">
      <alignment horizontal="right" vertical="top" wrapText="1"/>
    </xf>
    <xf numFmtId="14" fontId="36" fillId="2" borderId="29" xfId="4" applyNumberFormat="1" applyFont="1" applyFill="1" applyBorder="1" applyAlignment="1">
      <alignment horizontal="center" vertical="center" wrapText="1"/>
    </xf>
    <xf numFmtId="0" fontId="36" fillId="2" borderId="47" xfId="4" applyFont="1" applyFill="1" applyBorder="1" applyAlignment="1">
      <alignment horizontal="center"/>
    </xf>
    <xf numFmtId="0" fontId="36" fillId="2" borderId="48" xfId="4" applyFont="1" applyFill="1" applyBorder="1" applyAlignment="1">
      <alignment horizontal="center"/>
    </xf>
    <xf numFmtId="0" fontId="36" fillId="2" borderId="10" xfId="4" applyFont="1" applyFill="1" applyBorder="1" applyAlignment="1">
      <alignment horizontal="right"/>
    </xf>
    <xf numFmtId="0" fontId="36" fillId="2" borderId="18" xfId="4" applyFont="1" applyFill="1" applyBorder="1" applyAlignment="1">
      <alignment horizontal="left"/>
    </xf>
    <xf numFmtId="0" fontId="36" fillId="2" borderId="5" xfId="4" applyFont="1" applyFill="1" applyBorder="1" applyAlignment="1">
      <alignment horizontal="left"/>
    </xf>
    <xf numFmtId="0" fontId="36" fillId="2" borderId="19" xfId="4" applyFont="1" applyFill="1" applyBorder="1" applyAlignment="1">
      <alignment horizontal="left"/>
    </xf>
    <xf numFmtId="0" fontId="4" fillId="2" borderId="28" xfId="4" applyFont="1" applyFill="1" applyBorder="1" applyAlignment="1">
      <alignment horizontal="right" vertical="top" wrapText="1"/>
    </xf>
    <xf numFmtId="14" fontId="36" fillId="2" borderId="7" xfId="4" applyNumberFormat="1" applyFont="1" applyFill="1" applyBorder="1" applyAlignment="1">
      <alignment horizontal="center" vertical="center" wrapText="1"/>
    </xf>
    <xf numFmtId="0" fontId="37" fillId="2" borderId="24" xfId="4" applyFont="1" applyFill="1" applyBorder="1" applyAlignment="1">
      <alignment horizontal="center"/>
    </xf>
    <xf numFmtId="14" fontId="37" fillId="2" borderId="0" xfId="4" applyNumberFormat="1" applyFont="1" applyFill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38" fillId="0" borderId="11" xfId="3" applyFont="1" applyBorder="1" applyAlignment="1">
      <alignment horizontal="center" vertical="center"/>
    </xf>
    <xf numFmtId="0" fontId="38" fillId="0" borderId="19" xfId="3" applyFont="1" applyBorder="1" applyAlignment="1">
      <alignment horizontal="center" vertical="center"/>
    </xf>
    <xf numFmtId="0" fontId="39" fillId="0" borderId="10" xfId="3" applyFont="1" applyBorder="1" applyAlignment="1">
      <alignment vertical="center"/>
    </xf>
    <xf numFmtId="0" fontId="38" fillId="0" borderId="10" xfId="3" applyFont="1" applyBorder="1" applyAlignment="1">
      <alignment horizontal="center" vertical="center"/>
    </xf>
    <xf numFmtId="1" fontId="38" fillId="0" borderId="10" xfId="3" applyNumberFormat="1" applyFont="1" applyBorder="1" applyAlignment="1">
      <alignment horizontal="center"/>
    </xf>
    <xf numFmtId="1" fontId="38" fillId="0" borderId="10" xfId="3" applyNumberFormat="1" applyFont="1" applyBorder="1" applyAlignment="1">
      <alignment horizontal="center" wrapText="1"/>
    </xf>
    <xf numFmtId="0" fontId="40" fillId="0" borderId="9" xfId="3" applyFont="1" applyBorder="1" applyAlignment="1">
      <alignment horizontal="center"/>
    </xf>
    <xf numFmtId="0" fontId="41" fillId="0" borderId="49" xfId="3" applyFont="1" applyBorder="1" applyAlignment="1">
      <alignment horizontal="center" vertical="center"/>
    </xf>
    <xf numFmtId="0" fontId="41" fillId="0" borderId="10" xfId="3" applyFont="1" applyBorder="1" applyAlignment="1">
      <alignment horizontal="center" vertical="center"/>
    </xf>
    <xf numFmtId="0" fontId="41" fillId="0" borderId="50" xfId="3" applyFont="1" applyBorder="1" applyAlignment="1">
      <alignment horizontal="left" vertical="center"/>
    </xf>
    <xf numFmtId="0" fontId="36" fillId="0" borderId="8" xfId="3" applyFont="1" applyBorder="1" applyAlignment="1">
      <alignment horizontal="center"/>
    </xf>
    <xf numFmtId="1" fontId="36" fillId="0" borderId="10" xfId="3" applyNumberFormat="1" applyFont="1" applyBorder="1" applyAlignment="1">
      <alignment horizontal="center"/>
    </xf>
    <xf numFmtId="1" fontId="36" fillId="0" borderId="10" xfId="3" applyNumberFormat="1" applyFont="1" applyBorder="1" applyAlignment="1">
      <alignment horizontal="center" wrapText="1"/>
    </xf>
    <xf numFmtId="0" fontId="36" fillId="0" borderId="8" xfId="0" applyFont="1" applyBorder="1" applyAlignment="1">
      <alignment horizontal="center" wrapText="1"/>
    </xf>
    <xf numFmtId="12" fontId="36" fillId="0" borderId="8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36" fillId="0" borderId="18" xfId="3" quotePrefix="1" applyFont="1" applyBorder="1" applyAlignment="1">
      <alignment horizontal="center"/>
    </xf>
    <xf numFmtId="0" fontId="36" fillId="0" borderId="10" xfId="3" quotePrefix="1" applyFont="1" applyBorder="1" applyAlignment="1">
      <alignment horizontal="center"/>
    </xf>
    <xf numFmtId="0" fontId="36" fillId="0" borderId="19" xfId="3" quotePrefix="1" applyFont="1" applyBorder="1"/>
    <xf numFmtId="0" fontId="36" fillId="0" borderId="10" xfId="3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42" fillId="0" borderId="10" xfId="0" applyFont="1" applyBorder="1" applyAlignment="1">
      <alignment horizontal="left"/>
    </xf>
    <xf numFmtId="0" fontId="40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38" fillId="0" borderId="10" xfId="0" applyFont="1" applyBorder="1"/>
    <xf numFmtId="0" fontId="42" fillId="0" borderId="10" xfId="0" applyFont="1" applyBorder="1"/>
    <xf numFmtId="49" fontId="40" fillId="0" borderId="11" xfId="3" applyNumberFormat="1" applyFont="1" applyBorder="1" applyAlignment="1">
      <alignment horizontal="center"/>
    </xf>
    <xf numFmtId="49" fontId="40" fillId="0" borderId="19" xfId="3" applyNumberFormat="1" applyFont="1" applyBorder="1" applyAlignment="1">
      <alignment horizontal="center"/>
    </xf>
    <xf numFmtId="0" fontId="38" fillId="4" borderId="10" xfId="3" applyFont="1" applyFill="1" applyBorder="1" applyAlignment="1">
      <alignment horizontal="left"/>
    </xf>
    <xf numFmtId="1" fontId="42" fillId="0" borderId="10" xfId="0" applyNumberFormat="1" applyFont="1" applyBorder="1"/>
    <xf numFmtId="0" fontId="36" fillId="4" borderId="10" xfId="3" applyFont="1" applyFill="1" applyBorder="1" applyAlignment="1">
      <alignment horizontal="center"/>
    </xf>
    <xf numFmtId="0" fontId="40" fillId="0" borderId="10" xfId="3" applyFont="1" applyBorder="1" applyAlignment="1">
      <alignment horizontal="center"/>
    </xf>
    <xf numFmtId="169" fontId="40" fillId="0" borderId="10" xfId="3" applyNumberFormat="1" applyFont="1" applyBorder="1" applyAlignment="1">
      <alignment horizontal="center"/>
    </xf>
    <xf numFmtId="1" fontId="40" fillId="0" borderId="10" xfId="3" applyNumberFormat="1" applyFont="1" applyBorder="1" applyAlignment="1">
      <alignment horizontal="center" wrapText="1"/>
    </xf>
    <xf numFmtId="0" fontId="44" fillId="4" borderId="11" xfId="0" applyFont="1" applyFill="1" applyBorder="1" applyAlignment="1">
      <alignment horizontal="center"/>
    </xf>
    <xf numFmtId="0" fontId="44" fillId="4" borderId="33" xfId="0" applyFont="1" applyFill="1" applyBorder="1" applyAlignment="1">
      <alignment horizontal="center"/>
    </xf>
    <xf numFmtId="0" fontId="44" fillId="4" borderId="8" xfId="0" applyFont="1" applyFill="1" applyBorder="1"/>
    <xf numFmtId="0" fontId="36" fillId="4" borderId="19" xfId="0" applyFont="1" applyFill="1" applyBorder="1" applyAlignment="1">
      <alignment horizontal="center"/>
    </xf>
    <xf numFmtId="1" fontId="36" fillId="4" borderId="8" xfId="0" applyNumberFormat="1" applyFont="1" applyFill="1" applyBorder="1" applyAlignment="1">
      <alignment horizontal="center"/>
    </xf>
    <xf numFmtId="1" fontId="36" fillId="4" borderId="8" xfId="0" applyNumberFormat="1" applyFont="1" applyFill="1" applyBorder="1" applyAlignment="1">
      <alignment horizontal="center" wrapText="1"/>
    </xf>
    <xf numFmtId="49" fontId="36" fillId="4" borderId="8" xfId="0" applyNumberFormat="1" applyFont="1" applyFill="1" applyBorder="1" applyAlignment="1">
      <alignment horizontal="center"/>
    </xf>
    <xf numFmtId="1" fontId="36" fillId="4" borderId="10" xfId="3" applyNumberFormat="1" applyFont="1" applyFill="1" applyBorder="1" applyAlignment="1">
      <alignment horizontal="center"/>
    </xf>
    <xf numFmtId="1" fontId="36" fillId="4" borderId="10" xfId="3" applyNumberFormat="1" applyFont="1" applyFill="1" applyBorder="1" applyAlignment="1">
      <alignment horizontal="center" wrapText="1"/>
    </xf>
    <xf numFmtId="16" fontId="36" fillId="0" borderId="10" xfId="0" applyNumberFormat="1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1" fontId="36" fillId="0" borderId="10" xfId="0" applyNumberFormat="1" applyFont="1" applyBorder="1" applyAlignment="1">
      <alignment horizontal="center" wrapText="1"/>
    </xf>
    <xf numFmtId="49" fontId="38" fillId="0" borderId="6" xfId="3" applyNumberFormat="1" applyFont="1" applyBorder="1" applyAlignment="1">
      <alignment horizontal="center"/>
    </xf>
    <xf numFmtId="49" fontId="38" fillId="0" borderId="5" xfId="3" applyNumberFormat="1" applyFont="1" applyBorder="1" applyAlignment="1">
      <alignment horizontal="center"/>
    </xf>
    <xf numFmtId="0" fontId="39" fillId="4" borderId="10" xfId="3" applyFont="1" applyFill="1" applyBorder="1" applyAlignment="1">
      <alignment vertical="center"/>
    </xf>
    <xf numFmtId="0" fontId="38" fillId="0" borderId="19" xfId="3" applyFont="1" applyBorder="1" applyAlignment="1">
      <alignment horizontal="center"/>
    </xf>
    <xf numFmtId="169" fontId="38" fillId="0" borderId="10" xfId="3" applyNumberFormat="1" applyFont="1" applyBorder="1" applyAlignment="1">
      <alignment horizontal="center"/>
    </xf>
    <xf numFmtId="0" fontId="42" fillId="0" borderId="0" xfId="0" applyFont="1"/>
    <xf numFmtId="49" fontId="40" fillId="0" borderId="11" xfId="0" applyNumberFormat="1" applyFont="1" applyBorder="1" applyAlignment="1">
      <alignment horizontal="center"/>
    </xf>
    <xf numFmtId="49" fontId="40" fillId="0" borderId="19" xfId="0" applyNumberFormat="1" applyFont="1" applyBorder="1" applyAlignment="1">
      <alignment horizontal="center"/>
    </xf>
    <xf numFmtId="49" fontId="38" fillId="0" borderId="10" xfId="0" applyNumberFormat="1" applyFont="1" applyBorder="1"/>
    <xf numFmtId="1" fontId="40" fillId="0" borderId="10" xfId="0" applyNumberFormat="1" applyFont="1" applyBorder="1" applyAlignment="1">
      <alignment horizontal="center"/>
    </xf>
    <xf numFmtId="1" fontId="40" fillId="0" borderId="10" xfId="0" applyNumberFormat="1" applyFont="1" applyBorder="1" applyAlignment="1">
      <alignment horizontal="center" wrapText="1"/>
    </xf>
    <xf numFmtId="170" fontId="4" fillId="4" borderId="10" xfId="5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3" fillId="0" borderId="10" xfId="0" applyFont="1" applyBorder="1"/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center"/>
    </xf>
    <xf numFmtId="12" fontId="40" fillId="0" borderId="10" xfId="3" applyNumberFormat="1" applyFont="1" applyBorder="1" applyAlignment="1">
      <alignment horizontal="center"/>
    </xf>
    <xf numFmtId="1" fontId="40" fillId="0" borderId="10" xfId="3" applyNumberFormat="1" applyFont="1" applyBorder="1" applyAlignment="1">
      <alignment horizontal="center"/>
    </xf>
    <xf numFmtId="0" fontId="36" fillId="0" borderId="10" xfId="0" quotePrefix="1" applyFont="1" applyBorder="1" applyAlignment="1">
      <alignment horizontal="center"/>
    </xf>
    <xf numFmtId="0" fontId="36" fillId="0" borderId="10" xfId="0" quotePrefix="1" applyFont="1" applyBorder="1"/>
    <xf numFmtId="49" fontId="40" fillId="0" borderId="10" xfId="0" applyNumberFormat="1" applyFont="1" applyBorder="1" applyAlignment="1">
      <alignment horizontal="center"/>
    </xf>
    <xf numFmtId="49" fontId="40" fillId="0" borderId="10" xfId="0" applyNumberFormat="1" applyFont="1" applyBorder="1"/>
    <xf numFmtId="16" fontId="40" fillId="0" borderId="10" xfId="0" applyNumberFormat="1" applyFont="1" applyBorder="1" applyAlignment="1">
      <alignment horizontal="center"/>
    </xf>
    <xf numFmtId="49" fontId="40" fillId="0" borderId="10" xfId="3" applyNumberFormat="1" applyFont="1" applyBorder="1"/>
    <xf numFmtId="49" fontId="45" fillId="2" borderId="16" xfId="3" applyNumberFormat="1" applyFont="1" applyFill="1" applyBorder="1" applyAlignment="1">
      <alignment horizontal="center" vertical="center"/>
    </xf>
    <xf numFmtId="49" fontId="45" fillId="2" borderId="0" xfId="3" applyNumberFormat="1" applyFont="1" applyFill="1" applyAlignment="1">
      <alignment horizontal="center" vertical="center"/>
    </xf>
    <xf numFmtId="0" fontId="36" fillId="2" borderId="0" xfId="3" applyFont="1" applyFill="1"/>
    <xf numFmtId="1" fontId="36" fillId="2" borderId="0" xfId="3" applyNumberFormat="1" applyFont="1" applyFill="1" applyAlignment="1">
      <alignment horizontal="center"/>
    </xf>
    <xf numFmtId="164" fontId="36" fillId="2" borderId="0" xfId="3" applyNumberFormat="1" applyFont="1" applyFill="1" applyAlignment="1">
      <alignment horizontal="center" wrapText="1"/>
    </xf>
    <xf numFmtId="0" fontId="36" fillId="2" borderId="15" xfId="3" applyFont="1" applyFill="1" applyBorder="1" applyAlignment="1">
      <alignment horizontal="center"/>
    </xf>
    <xf numFmtId="0" fontId="36" fillId="3" borderId="37" xfId="3" applyFont="1" applyFill="1" applyBorder="1" applyAlignment="1">
      <alignment horizontal="center"/>
    </xf>
    <xf numFmtId="0" fontId="36" fillId="3" borderId="38" xfId="3" applyFont="1" applyFill="1" applyBorder="1" applyAlignment="1">
      <alignment horizontal="center"/>
    </xf>
    <xf numFmtId="0" fontId="36" fillId="3" borderId="38" xfId="3" applyFont="1" applyFill="1" applyBorder="1"/>
    <xf numFmtId="0" fontId="4" fillId="3" borderId="38" xfId="3" applyFont="1" applyFill="1" applyBorder="1" applyAlignment="1">
      <alignment horizontal="center"/>
    </xf>
    <xf numFmtId="1" fontId="4" fillId="3" borderId="38" xfId="3" applyNumberFormat="1" applyFont="1" applyFill="1" applyBorder="1" applyAlignment="1">
      <alignment horizontal="center"/>
    </xf>
    <xf numFmtId="164" fontId="36" fillId="3" borderId="38" xfId="3" applyNumberFormat="1" applyFont="1" applyFill="1" applyBorder="1" applyAlignment="1">
      <alignment horizontal="center" wrapText="1"/>
    </xf>
    <xf numFmtId="0" fontId="36" fillId="3" borderId="39" xfId="3" applyFont="1" applyFill="1" applyBorder="1" applyAlignment="1">
      <alignment horizontal="center"/>
    </xf>
    <xf numFmtId="0" fontId="4" fillId="0" borderId="47" xfId="3" applyFont="1" applyBorder="1" applyAlignment="1">
      <alignment horizontal="right"/>
    </xf>
    <xf numFmtId="0" fontId="4" fillId="0" borderId="48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" fontId="36" fillId="0" borderId="8" xfId="0" applyNumberFormat="1" applyFont="1" applyBorder="1" applyAlignment="1">
      <alignment horizontal="center"/>
    </xf>
    <xf numFmtId="0" fontId="36" fillId="0" borderId="51" xfId="0" applyFont="1" applyBorder="1" applyAlignment="1">
      <alignment horizontal="center"/>
    </xf>
    <xf numFmtId="164" fontId="36" fillId="0" borderId="8" xfId="3" applyNumberFormat="1" applyFont="1" applyBorder="1" applyAlignment="1">
      <alignment horizontal="right"/>
    </xf>
    <xf numFmtId="0" fontId="36" fillId="2" borderId="51" xfId="3" applyFont="1" applyFill="1" applyBorder="1" applyAlignment="1">
      <alignment horizontal="center"/>
    </xf>
    <xf numFmtId="0" fontId="36" fillId="2" borderId="52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36" fillId="0" borderId="10" xfId="3" applyFont="1" applyBorder="1" applyAlignment="1">
      <alignment horizontal="right"/>
    </xf>
    <xf numFmtId="164" fontId="36" fillId="0" borderId="18" xfId="3" applyNumberFormat="1" applyFont="1" applyBorder="1" applyAlignment="1">
      <alignment horizontal="center"/>
    </xf>
    <xf numFmtId="164" fontId="36" fillId="0" borderId="4" xfId="3" applyNumberFormat="1" applyFont="1" applyBorder="1" applyAlignment="1">
      <alignment horizontal="center"/>
    </xf>
    <xf numFmtId="164" fontId="36" fillId="0" borderId="18" xfId="3" applyNumberFormat="1" applyFont="1" applyBorder="1" applyAlignment="1">
      <alignment horizontal="right" wrapText="1"/>
    </xf>
    <xf numFmtId="164" fontId="36" fillId="0" borderId="19" xfId="3" applyNumberFormat="1" applyFont="1" applyBorder="1" applyAlignment="1">
      <alignment horizontal="right" wrapText="1"/>
    </xf>
    <xf numFmtId="164" fontId="36" fillId="0" borderId="18" xfId="0" applyNumberFormat="1" applyFont="1" applyBorder="1" applyAlignment="1">
      <alignment horizontal="center" wrapText="1"/>
    </xf>
    <xf numFmtId="164" fontId="36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36" fillId="0" borderId="2" xfId="0" applyNumberFormat="1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2" xfId="3" applyFont="1" applyBorder="1" applyAlignment="1">
      <alignment horizontal="right"/>
    </xf>
    <xf numFmtId="0" fontId="4" fillId="3" borderId="37" xfId="3" applyFont="1" applyFill="1" applyBorder="1" applyAlignment="1">
      <alignment horizontal="left"/>
    </xf>
    <xf numFmtId="0" fontId="4" fillId="3" borderId="38" xfId="3" applyFont="1" applyFill="1" applyBorder="1" applyAlignment="1">
      <alignment horizontal="left"/>
    </xf>
    <xf numFmtId="0" fontId="4" fillId="3" borderId="39" xfId="3" applyFont="1" applyFill="1" applyBorder="1" applyAlignment="1">
      <alignment horizontal="left"/>
    </xf>
    <xf numFmtId="0" fontId="36" fillId="0" borderId="14" xfId="0" applyFont="1" applyBorder="1" applyAlignment="1">
      <alignment horizontal="left"/>
    </xf>
    <xf numFmtId="0" fontId="36" fillId="0" borderId="22" xfId="0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36" fillId="0" borderId="11" xfId="0" applyFont="1" applyBorder="1" applyAlignment="1">
      <alignment horizontal="left" wrapText="1"/>
    </xf>
    <xf numFmtId="0" fontId="36" fillId="0" borderId="19" xfId="0" applyFont="1" applyBorder="1" applyAlignment="1">
      <alignment horizontal="left" wrapText="1"/>
    </xf>
    <xf numFmtId="0" fontId="36" fillId="0" borderId="10" xfId="0" applyFont="1" applyBorder="1" applyAlignment="1">
      <alignment horizontal="left" wrapText="1"/>
    </xf>
    <xf numFmtId="0" fontId="36" fillId="0" borderId="9" xfId="0" applyFont="1" applyBorder="1" applyAlignment="1">
      <alignment horizontal="left" wrapText="1"/>
    </xf>
    <xf numFmtId="0" fontId="36" fillId="0" borderId="11" xfId="0" applyFont="1" applyBorder="1" applyAlignment="1">
      <alignment horizontal="left"/>
    </xf>
    <xf numFmtId="0" fontId="36" fillId="0" borderId="19" xfId="0" applyFont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36" fillId="0" borderId="9" xfId="0" applyFont="1" applyBorder="1" applyAlignment="1">
      <alignment horizontal="left"/>
    </xf>
    <xf numFmtId="0" fontId="36" fillId="0" borderId="6" xfId="7" applyFont="1" applyBorder="1" applyAlignment="1">
      <alignment horizontal="left" vertical="center" wrapText="1"/>
    </xf>
    <xf numFmtId="0" fontId="36" fillId="0" borderId="5" xfId="7" applyFont="1" applyBorder="1" applyAlignment="1">
      <alignment horizontal="left" vertical="center" wrapText="1"/>
    </xf>
    <xf numFmtId="0" fontId="36" fillId="0" borderId="4" xfId="7" applyFont="1" applyBorder="1" applyAlignment="1">
      <alignment horizontal="left" vertical="center" wrapText="1"/>
    </xf>
    <xf numFmtId="0" fontId="4" fillId="0" borderId="47" xfId="3" applyFont="1" applyBorder="1" applyAlignment="1">
      <alignment horizontal="left" wrapText="1"/>
    </xf>
    <xf numFmtId="0" fontId="4" fillId="0" borderId="48" xfId="3" applyFont="1" applyBorder="1" applyAlignment="1">
      <alignment horizontal="left" wrapText="1"/>
    </xf>
    <xf numFmtId="0" fontId="4" fillId="0" borderId="52" xfId="3" applyFont="1" applyBorder="1" applyAlignment="1">
      <alignment horizontal="left" wrapText="1"/>
    </xf>
    <xf numFmtId="0" fontId="35" fillId="0" borderId="47" xfId="3" applyFont="1" applyBorder="1" applyAlignment="1">
      <alignment horizontal="left" wrapText="1"/>
    </xf>
    <xf numFmtId="0" fontId="35" fillId="0" borderId="48" xfId="3" applyFont="1" applyBorder="1" applyAlignment="1">
      <alignment horizontal="left" wrapText="1"/>
    </xf>
    <xf numFmtId="0" fontId="35" fillId="0" borderId="52" xfId="3" applyFont="1" applyBorder="1" applyAlignment="1">
      <alignment horizontal="left" wrapText="1"/>
    </xf>
    <xf numFmtId="0" fontId="41" fillId="0" borderId="47" xfId="3" applyFont="1" applyBorder="1" applyAlignment="1">
      <alignment horizontal="left"/>
    </xf>
    <xf numFmtId="0" fontId="41" fillId="0" borderId="48" xfId="3" applyFont="1" applyBorder="1" applyAlignment="1">
      <alignment horizontal="left"/>
    </xf>
    <xf numFmtId="0" fontId="41" fillId="0" borderId="52" xfId="3" applyFont="1" applyBorder="1" applyAlignment="1">
      <alignment horizontal="left"/>
    </xf>
    <xf numFmtId="0" fontId="4" fillId="11" borderId="53" xfId="4" applyFont="1" applyFill="1" applyBorder="1" applyAlignment="1">
      <alignment horizontal="center"/>
    </xf>
    <xf numFmtId="0" fontId="4" fillId="11" borderId="36" xfId="4" applyFont="1" applyFill="1" applyBorder="1" applyAlignment="1">
      <alignment horizontal="center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4" xfId="7" xr:uid="{96228682-71CC-433A-9215-AB96D95CED64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8</xdr:row>
      <xdr:rowOff>58519</xdr:rowOff>
    </xdr:from>
    <xdr:to>
      <xdr:col>14</xdr:col>
      <xdr:colOff>182223</xdr:colOff>
      <xdr:row>13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02278B-9072-413C-B3A2-2355C55A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2247900"/>
          <a:ext cx="3058773" cy="11606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6522-A4DB-4BF6-BFC4-E0A2DDF581AC}">
  <dimension ref="A1:I62"/>
  <sheetViews>
    <sheetView tabSelected="1" view="pageBreakPreview" zoomScale="60" zoomScaleNormal="55" workbookViewId="0">
      <selection activeCell="Y18" sqref="Y18"/>
    </sheetView>
  </sheetViews>
  <sheetFormatPr baseColWidth="10" defaultRowHeight="15" x14ac:dyDescent="0.25"/>
  <cols>
    <col min="2" max="2" width="14.7109375" bestFit="1" customWidth="1"/>
    <col min="3" max="3" width="49" customWidth="1"/>
    <col min="4" max="4" width="34.28515625" bestFit="1" customWidth="1"/>
    <col min="8" max="8" width="47.5703125" bestFit="1" customWidth="1"/>
    <col min="9" max="9" width="26.140625" bestFit="1" customWidth="1"/>
  </cols>
  <sheetData>
    <row r="1" spans="1:9" ht="18" x14ac:dyDescent="0.25">
      <c r="A1" s="137"/>
      <c r="B1" s="138"/>
      <c r="C1" s="139" t="s">
        <v>34</v>
      </c>
      <c r="D1" s="139"/>
      <c r="E1" s="139"/>
      <c r="F1" s="139"/>
      <c r="G1" s="139"/>
      <c r="H1" s="140" t="s">
        <v>33</v>
      </c>
      <c r="I1" s="141" t="s">
        <v>139</v>
      </c>
    </row>
    <row r="2" spans="1:9" ht="18" customHeight="1" thickBot="1" x14ac:dyDescent="0.3">
      <c r="A2" s="142"/>
      <c r="B2" s="143"/>
      <c r="C2" s="144" t="s">
        <v>32</v>
      </c>
      <c r="D2" s="145"/>
      <c r="E2" s="145"/>
      <c r="F2" s="145"/>
      <c r="G2" s="146"/>
      <c r="H2" s="147" t="s">
        <v>31</v>
      </c>
      <c r="I2" s="148" t="s">
        <v>126</v>
      </c>
    </row>
    <row r="3" spans="1:9" ht="31.5" customHeight="1" thickBot="1" x14ac:dyDescent="0.3">
      <c r="A3" s="142"/>
      <c r="B3" s="143"/>
      <c r="C3" s="103" t="s">
        <v>62</v>
      </c>
      <c r="D3" s="104"/>
      <c r="E3" s="104"/>
      <c r="F3" s="104"/>
      <c r="G3" s="105"/>
      <c r="H3" s="149" t="s">
        <v>30</v>
      </c>
      <c r="I3" s="150">
        <v>45617</v>
      </c>
    </row>
    <row r="4" spans="1:9" ht="18" customHeight="1" x14ac:dyDescent="0.25">
      <c r="A4" s="142"/>
      <c r="B4" s="143"/>
      <c r="C4" s="151" t="s">
        <v>29</v>
      </c>
      <c r="D4" s="152" t="s">
        <v>127</v>
      </c>
      <c r="E4" s="153"/>
      <c r="F4" s="153"/>
      <c r="G4" s="154"/>
      <c r="H4" s="155"/>
      <c r="I4" s="156"/>
    </row>
    <row r="5" spans="1:9" ht="18.75" thickBot="1" x14ac:dyDescent="0.3">
      <c r="A5" s="157"/>
      <c r="B5" s="158"/>
      <c r="C5" s="159" t="s">
        <v>28</v>
      </c>
      <c r="D5" s="160" t="s">
        <v>27</v>
      </c>
      <c r="E5" s="161"/>
      <c r="F5" s="161"/>
      <c r="G5" s="162"/>
      <c r="H5" s="163"/>
      <c r="I5" s="164"/>
    </row>
    <row r="6" spans="1:9" ht="18.75" thickBot="1" x14ac:dyDescent="0.3">
      <c r="A6" s="101" t="s">
        <v>26</v>
      </c>
      <c r="B6" s="101"/>
      <c r="C6" s="101"/>
      <c r="D6" s="165" t="s">
        <v>128</v>
      </c>
      <c r="E6" s="165"/>
      <c r="F6" s="165"/>
      <c r="G6" s="102" t="s">
        <v>25</v>
      </c>
      <c r="H6" s="102"/>
      <c r="I6" s="166" t="s">
        <v>128</v>
      </c>
    </row>
    <row r="7" spans="1:9" ht="36" x14ac:dyDescent="0.25">
      <c r="A7" s="167" t="s">
        <v>24</v>
      </c>
      <c r="B7" s="168" t="s">
        <v>129</v>
      </c>
      <c r="C7" s="169" t="s">
        <v>23</v>
      </c>
      <c r="D7" s="169" t="s">
        <v>22</v>
      </c>
      <c r="E7" s="169" t="s">
        <v>21</v>
      </c>
      <c r="F7" s="169"/>
      <c r="G7" s="169" t="s">
        <v>20</v>
      </c>
      <c r="H7" s="169"/>
      <c r="I7" s="170" t="s">
        <v>19</v>
      </c>
    </row>
    <row r="8" spans="1:9" ht="54.75" thickBot="1" x14ac:dyDescent="0.3">
      <c r="A8" s="171"/>
      <c r="B8" s="172"/>
      <c r="C8" s="173"/>
      <c r="D8" s="173"/>
      <c r="E8" s="174" t="s">
        <v>14</v>
      </c>
      <c r="F8" s="175" t="s">
        <v>18</v>
      </c>
      <c r="G8" s="174" t="s">
        <v>14</v>
      </c>
      <c r="H8" s="175" t="s">
        <v>18</v>
      </c>
      <c r="I8" s="176" t="s">
        <v>17</v>
      </c>
    </row>
    <row r="9" spans="1:9" ht="18.399999999999999" customHeight="1" x14ac:dyDescent="0.3">
      <c r="A9" s="177"/>
      <c r="B9" s="178"/>
      <c r="C9" s="179" t="s">
        <v>130</v>
      </c>
      <c r="D9" s="180"/>
      <c r="E9" s="181"/>
      <c r="F9" s="182"/>
      <c r="G9" s="181"/>
      <c r="H9" s="182"/>
      <c r="I9" s="183"/>
    </row>
    <row r="10" spans="1:9" ht="18" customHeight="1" x14ac:dyDescent="0.3">
      <c r="A10" s="184" t="s">
        <v>36</v>
      </c>
      <c r="B10" s="185" t="s">
        <v>37</v>
      </c>
      <c r="C10" s="186" t="s">
        <v>131</v>
      </c>
      <c r="D10" s="187" t="s">
        <v>132</v>
      </c>
      <c r="E10" s="188">
        <v>2170</v>
      </c>
      <c r="F10" s="189" t="s">
        <v>1</v>
      </c>
      <c r="G10" s="190"/>
      <c r="H10" s="191"/>
      <c r="I10" s="183"/>
    </row>
    <row r="11" spans="1:9" ht="18.75" x14ac:dyDescent="0.3">
      <c r="A11" s="184" t="s">
        <v>39</v>
      </c>
      <c r="B11" s="192" t="s">
        <v>40</v>
      </c>
      <c r="C11" s="186" t="s">
        <v>133</v>
      </c>
      <c r="D11" s="187" t="s">
        <v>16</v>
      </c>
      <c r="E11" s="188">
        <v>4500</v>
      </c>
      <c r="F11" s="189" t="s">
        <v>1</v>
      </c>
      <c r="G11" s="190"/>
      <c r="H11" s="191"/>
      <c r="I11" s="183"/>
    </row>
    <row r="12" spans="1:9" ht="18.75" x14ac:dyDescent="0.3">
      <c r="A12" s="193" t="s">
        <v>53</v>
      </c>
      <c r="B12" s="194" t="s">
        <v>54</v>
      </c>
      <c r="C12" s="195" t="s">
        <v>134</v>
      </c>
      <c r="D12" s="196" t="s">
        <v>41</v>
      </c>
      <c r="E12" s="188">
        <v>3330</v>
      </c>
      <c r="F12" s="189" t="s">
        <v>1</v>
      </c>
      <c r="G12" s="197"/>
      <c r="H12" s="191"/>
      <c r="I12" s="183"/>
    </row>
    <row r="13" spans="1:9" ht="18.75" x14ac:dyDescent="0.3">
      <c r="A13" s="192"/>
      <c r="B13" s="192"/>
      <c r="C13" s="198" t="s">
        <v>135</v>
      </c>
      <c r="D13" s="199"/>
      <c r="E13" s="199"/>
      <c r="F13" s="199"/>
      <c r="G13" s="197"/>
      <c r="H13" s="191"/>
      <c r="I13" s="183"/>
    </row>
    <row r="14" spans="1:9" ht="18.75" x14ac:dyDescent="0.3">
      <c r="A14" s="200"/>
      <c r="B14" s="200"/>
      <c r="C14" s="201"/>
      <c r="D14" s="199"/>
      <c r="E14" s="199"/>
      <c r="F14" s="199"/>
      <c r="G14" s="197"/>
      <c r="H14" s="191"/>
      <c r="I14" s="183"/>
    </row>
    <row r="15" spans="1:9" ht="18.75" x14ac:dyDescent="0.3">
      <c r="A15" s="200"/>
      <c r="B15" s="200"/>
      <c r="C15" s="201"/>
      <c r="D15" s="199"/>
      <c r="E15" s="199"/>
      <c r="F15" s="199"/>
      <c r="G15" s="197"/>
      <c r="H15" s="191"/>
      <c r="I15" s="183"/>
    </row>
    <row r="16" spans="1:9" ht="18.75" x14ac:dyDescent="0.3">
      <c r="A16" s="200"/>
      <c r="B16" s="200"/>
      <c r="C16" s="201"/>
      <c r="D16" s="199"/>
      <c r="E16" s="199"/>
      <c r="F16" s="199"/>
      <c r="G16" s="197"/>
      <c r="H16" s="191"/>
      <c r="I16" s="183"/>
    </row>
    <row r="17" spans="1:9" ht="18.75" x14ac:dyDescent="0.3">
      <c r="A17" s="200"/>
      <c r="B17" s="200"/>
      <c r="C17" s="201"/>
      <c r="D17" s="199"/>
      <c r="E17" s="199"/>
      <c r="F17" s="199"/>
      <c r="G17" s="197"/>
      <c r="H17" s="191"/>
      <c r="I17" s="183"/>
    </row>
    <row r="18" spans="1:9" ht="18.75" x14ac:dyDescent="0.3">
      <c r="A18" s="200"/>
      <c r="B18" s="200"/>
      <c r="C18" s="201"/>
      <c r="D18" s="199"/>
      <c r="E18" s="199"/>
      <c r="F18" s="199"/>
      <c r="G18" s="197"/>
      <c r="H18" s="191"/>
      <c r="I18" s="183"/>
    </row>
    <row r="19" spans="1:9" ht="18.75" x14ac:dyDescent="0.3">
      <c r="A19" s="200"/>
      <c r="B19" s="200"/>
      <c r="C19" s="201"/>
      <c r="D19" s="199"/>
      <c r="E19" s="199"/>
      <c r="F19" s="199"/>
      <c r="G19" s="197"/>
      <c r="H19" s="191"/>
      <c r="I19" s="183"/>
    </row>
    <row r="20" spans="1:9" ht="18.75" x14ac:dyDescent="0.3">
      <c r="A20" s="200"/>
      <c r="B20" s="200"/>
      <c r="C20" s="201"/>
      <c r="D20" s="199"/>
      <c r="E20" s="199"/>
      <c r="F20" s="199"/>
      <c r="G20" s="197"/>
      <c r="H20" s="191"/>
      <c r="I20" s="183"/>
    </row>
    <row r="21" spans="1:9" ht="18.75" x14ac:dyDescent="0.3">
      <c r="A21" s="200"/>
      <c r="B21" s="200"/>
      <c r="C21" s="201"/>
      <c r="D21" s="199"/>
      <c r="E21" s="199"/>
      <c r="F21" s="199"/>
      <c r="G21" s="197"/>
      <c r="H21" s="191"/>
      <c r="I21" s="183"/>
    </row>
    <row r="22" spans="1:9" ht="18.75" x14ac:dyDescent="0.3">
      <c r="A22" s="192"/>
      <c r="B22" s="192"/>
      <c r="C22" s="202"/>
      <c r="D22" s="199"/>
      <c r="E22" s="199"/>
      <c r="F22" s="199"/>
      <c r="G22" s="197"/>
      <c r="H22" s="191"/>
      <c r="I22" s="183"/>
    </row>
    <row r="23" spans="1:9" ht="18.75" x14ac:dyDescent="0.3">
      <c r="A23" s="192"/>
      <c r="B23" s="192"/>
      <c r="C23" s="202"/>
      <c r="D23" s="199"/>
      <c r="E23" s="199"/>
      <c r="F23" s="199"/>
      <c r="G23" s="197"/>
      <c r="H23" s="191"/>
      <c r="I23" s="183"/>
    </row>
    <row r="24" spans="1:9" ht="18.75" x14ac:dyDescent="0.3">
      <c r="A24" s="203"/>
      <c r="B24" s="204"/>
      <c r="C24" s="205" t="s">
        <v>136</v>
      </c>
      <c r="D24" s="199"/>
      <c r="E24" s="199"/>
      <c r="F24" s="199"/>
      <c r="G24" s="197"/>
      <c r="H24" s="191"/>
      <c r="I24" s="183"/>
    </row>
    <row r="25" spans="1:9" ht="18.75" x14ac:dyDescent="0.3">
      <c r="A25" s="206"/>
      <c r="B25" s="192"/>
      <c r="C25" s="202"/>
      <c r="D25" s="207"/>
      <c r="E25" s="207"/>
      <c r="F25" s="207"/>
      <c r="G25" s="181"/>
      <c r="H25" s="191"/>
      <c r="I25" s="183"/>
    </row>
    <row r="26" spans="1:9" ht="18.75" x14ac:dyDescent="0.3">
      <c r="A26" s="203"/>
      <c r="B26" s="204"/>
      <c r="C26" s="205"/>
      <c r="D26" s="208"/>
      <c r="E26" s="209"/>
      <c r="F26" s="210"/>
      <c r="G26" s="181"/>
      <c r="H26" s="191"/>
      <c r="I26" s="183"/>
    </row>
    <row r="27" spans="1:9" ht="18.75" x14ac:dyDescent="0.3">
      <c r="A27" s="211"/>
      <c r="B27" s="212"/>
      <c r="C27" s="213"/>
      <c r="D27" s="214"/>
      <c r="E27" s="215"/>
      <c r="F27" s="216"/>
      <c r="G27" s="181"/>
      <c r="H27" s="191"/>
      <c r="I27" s="183"/>
    </row>
    <row r="28" spans="1:9" ht="18.75" x14ac:dyDescent="0.3">
      <c r="A28" s="211"/>
      <c r="B28" s="212"/>
      <c r="C28" s="213"/>
      <c r="D28" s="214"/>
      <c r="E28" s="217"/>
      <c r="F28" s="216"/>
      <c r="G28" s="181"/>
      <c r="H28" s="182"/>
      <c r="I28" s="183"/>
    </row>
    <row r="29" spans="1:9" ht="18.75" x14ac:dyDescent="0.3">
      <c r="A29" s="211"/>
      <c r="B29" s="212"/>
      <c r="C29" s="213"/>
      <c r="D29" s="214"/>
      <c r="E29" s="215"/>
      <c r="F29" s="216"/>
      <c r="G29" s="181"/>
      <c r="H29" s="182"/>
      <c r="I29" s="183"/>
    </row>
    <row r="30" spans="1:9" ht="18.75" x14ac:dyDescent="0.3">
      <c r="A30" s="211"/>
      <c r="B30" s="212"/>
      <c r="C30" s="213"/>
      <c r="D30" s="214"/>
      <c r="E30" s="218"/>
      <c r="F30" s="219"/>
      <c r="G30" s="181"/>
      <c r="H30" s="182"/>
      <c r="I30" s="183"/>
    </row>
    <row r="31" spans="1:9" ht="18.75" x14ac:dyDescent="0.3">
      <c r="A31" s="192"/>
      <c r="B31" s="192"/>
      <c r="C31" s="202"/>
      <c r="D31" s="220"/>
      <c r="E31" s="221"/>
      <c r="F31" s="222"/>
      <c r="G31" s="181"/>
      <c r="H31" s="182"/>
      <c r="I31" s="183"/>
    </row>
    <row r="32" spans="1:9" ht="18.75" x14ac:dyDescent="0.3">
      <c r="A32" s="223"/>
      <c r="B32" s="224"/>
      <c r="C32" s="225" t="s">
        <v>137</v>
      </c>
      <c r="D32" s="226"/>
      <c r="E32" s="227"/>
      <c r="F32" s="182"/>
      <c r="G32" s="181"/>
      <c r="H32" s="228"/>
      <c r="I32" s="183"/>
    </row>
    <row r="33" spans="1:9" ht="18.75" x14ac:dyDescent="0.3">
      <c r="A33" s="229">
        <v>1950708</v>
      </c>
      <c r="B33" s="230" t="s">
        <v>42</v>
      </c>
      <c r="C33" s="231" t="s">
        <v>43</v>
      </c>
      <c r="D33" s="199"/>
      <c r="E33" s="232">
        <v>1</v>
      </c>
      <c r="F33" s="233" t="s">
        <v>6</v>
      </c>
      <c r="G33" s="234"/>
      <c r="H33" s="182"/>
      <c r="I33" s="183"/>
    </row>
    <row r="34" spans="1:9" ht="18.75" x14ac:dyDescent="0.3">
      <c r="A34" s="229">
        <v>60100010</v>
      </c>
      <c r="B34" s="230" t="s">
        <v>44</v>
      </c>
      <c r="C34" s="231" t="s">
        <v>45</v>
      </c>
      <c r="D34" s="199"/>
      <c r="E34" s="232">
        <v>1</v>
      </c>
      <c r="F34" s="233" t="s">
        <v>6</v>
      </c>
      <c r="G34" s="234"/>
      <c r="H34" s="182"/>
      <c r="I34" s="183"/>
    </row>
    <row r="35" spans="1:9" ht="18.75" x14ac:dyDescent="0.3">
      <c r="A35" s="235">
        <v>702123</v>
      </c>
      <c r="B35" s="236" t="s">
        <v>35</v>
      </c>
      <c r="C35" s="237" t="s">
        <v>15</v>
      </c>
      <c r="D35" s="199"/>
      <c r="E35" s="232">
        <v>1</v>
      </c>
      <c r="F35" s="233" t="s">
        <v>6</v>
      </c>
      <c r="G35" s="234"/>
      <c r="H35" s="182"/>
      <c r="I35" s="183"/>
    </row>
    <row r="36" spans="1:9" ht="18.75" x14ac:dyDescent="0.3">
      <c r="A36" s="238"/>
      <c r="B36" s="238"/>
      <c r="C36" s="239"/>
      <c r="D36" s="199"/>
      <c r="E36" s="232"/>
      <c r="F36" s="233"/>
      <c r="G36" s="181"/>
      <c r="H36" s="182"/>
      <c r="I36" s="183"/>
    </row>
    <row r="37" spans="1:9" ht="18.75" x14ac:dyDescent="0.3">
      <c r="A37" s="238"/>
      <c r="B37" s="238"/>
      <c r="C37" s="239"/>
      <c r="D37" s="199"/>
      <c r="E37" s="232"/>
      <c r="F37" s="233"/>
      <c r="G37" s="181"/>
      <c r="H37" s="182"/>
      <c r="I37" s="183"/>
    </row>
    <row r="38" spans="1:9" ht="18.75" x14ac:dyDescent="0.3">
      <c r="A38" s="238"/>
      <c r="B38" s="238"/>
      <c r="C38" s="239"/>
      <c r="D38" s="199"/>
      <c r="E38" s="232"/>
      <c r="F38" s="233"/>
      <c r="G38" s="240"/>
      <c r="H38" s="182"/>
      <c r="I38" s="183"/>
    </row>
    <row r="39" spans="1:9" ht="18.75" x14ac:dyDescent="0.3">
      <c r="A39" s="238"/>
      <c r="B39" s="238"/>
      <c r="C39" s="239"/>
      <c r="D39" s="199"/>
      <c r="E39" s="232"/>
      <c r="F39" s="233"/>
      <c r="G39" s="241"/>
      <c r="H39" s="182"/>
      <c r="I39" s="183"/>
    </row>
    <row r="40" spans="1:9" ht="18.75" x14ac:dyDescent="0.3">
      <c r="A40" s="242"/>
      <c r="B40" s="242"/>
      <c r="C40" s="243"/>
      <c r="D40" s="199"/>
      <c r="E40" s="222"/>
      <c r="F40" s="222"/>
      <c r="G40" s="241"/>
      <c r="H40" s="182"/>
      <c r="I40" s="183"/>
    </row>
    <row r="41" spans="1:9" ht="18.75" x14ac:dyDescent="0.3">
      <c r="A41" s="244"/>
      <c r="B41" s="192"/>
      <c r="C41" s="245"/>
      <c r="D41" s="246"/>
      <c r="E41" s="221"/>
      <c r="F41" s="197"/>
      <c r="G41" s="241"/>
      <c r="H41" s="182"/>
      <c r="I41" s="183"/>
    </row>
    <row r="42" spans="1:9" ht="18.75" x14ac:dyDescent="0.3">
      <c r="A42" s="238"/>
      <c r="B42" s="238"/>
      <c r="C42" s="239"/>
      <c r="D42" s="199"/>
      <c r="E42" s="221"/>
      <c r="F42" s="197"/>
      <c r="G42" s="241"/>
      <c r="H42" s="182"/>
      <c r="I42" s="183"/>
    </row>
    <row r="43" spans="1:9" ht="18.75" x14ac:dyDescent="0.3">
      <c r="A43" s="203"/>
      <c r="B43" s="204"/>
      <c r="C43" s="247"/>
      <c r="D43" s="208"/>
      <c r="E43" s="208"/>
      <c r="F43" s="210"/>
      <c r="G43" s="208"/>
      <c r="H43" s="208"/>
      <c r="I43" s="183"/>
    </row>
    <row r="44" spans="1:9" ht="18.75" thickBot="1" x14ac:dyDescent="0.3">
      <c r="A44" s="248"/>
      <c r="B44" s="249"/>
      <c r="C44" s="250"/>
      <c r="D44" s="250"/>
      <c r="E44" s="251"/>
      <c r="F44" s="252"/>
      <c r="G44" s="250"/>
      <c r="H44" s="250"/>
      <c r="I44" s="253"/>
    </row>
    <row r="45" spans="1:9" ht="18.75" thickBot="1" x14ac:dyDescent="0.3">
      <c r="A45" s="254"/>
      <c r="B45" s="255"/>
      <c r="C45" s="256"/>
      <c r="D45" s="257" t="s">
        <v>14</v>
      </c>
      <c r="E45" s="258" t="s">
        <v>13</v>
      </c>
      <c r="F45" s="259"/>
      <c r="G45" s="256"/>
      <c r="H45" s="256"/>
      <c r="I45" s="260"/>
    </row>
    <row r="46" spans="1:9" ht="18" x14ac:dyDescent="0.25">
      <c r="A46" s="261" t="s">
        <v>12</v>
      </c>
      <c r="B46" s="262"/>
      <c r="C46" s="263"/>
      <c r="D46" s="264">
        <v>10000</v>
      </c>
      <c r="E46" s="265" t="s">
        <v>1</v>
      </c>
      <c r="F46" s="266" t="s">
        <v>11</v>
      </c>
      <c r="G46" s="266"/>
      <c r="H46" s="267"/>
      <c r="I46" s="268"/>
    </row>
    <row r="47" spans="1:9" ht="18" x14ac:dyDescent="0.25">
      <c r="A47" s="269" t="s">
        <v>10</v>
      </c>
      <c r="B47" s="270"/>
      <c r="C47" s="271"/>
      <c r="D47" s="221">
        <v>3</v>
      </c>
      <c r="E47" s="197" t="s">
        <v>9</v>
      </c>
      <c r="F47" s="272" t="s">
        <v>8</v>
      </c>
      <c r="G47" s="272"/>
      <c r="H47" s="273"/>
      <c r="I47" s="274"/>
    </row>
    <row r="48" spans="1:9" ht="18" x14ac:dyDescent="0.25">
      <c r="A48" s="269" t="s">
        <v>7</v>
      </c>
      <c r="B48" s="270"/>
      <c r="C48" s="271"/>
      <c r="D48" s="221">
        <v>1</v>
      </c>
      <c r="E48" s="197" t="s">
        <v>6</v>
      </c>
      <c r="F48" s="272" t="s">
        <v>5</v>
      </c>
      <c r="G48" s="272"/>
      <c r="H48" s="273"/>
      <c r="I48" s="274"/>
    </row>
    <row r="49" spans="1:9" ht="18" x14ac:dyDescent="0.25">
      <c r="A49" s="269" t="s">
        <v>4</v>
      </c>
      <c r="B49" s="270"/>
      <c r="C49" s="271"/>
      <c r="D49" s="221">
        <v>10000</v>
      </c>
      <c r="E49" s="197" t="s">
        <v>1</v>
      </c>
      <c r="F49" s="275" t="s">
        <v>3</v>
      </c>
      <c r="G49" s="276"/>
      <c r="H49" s="277"/>
      <c r="I49" s="278"/>
    </row>
    <row r="50" spans="1:9" ht="18.75" thickBot="1" x14ac:dyDescent="0.3">
      <c r="A50" s="279" t="s">
        <v>2</v>
      </c>
      <c r="B50" s="280"/>
      <c r="C50" s="281"/>
      <c r="D50" s="282">
        <v>0</v>
      </c>
      <c r="E50" s="283" t="s">
        <v>1</v>
      </c>
      <c r="F50" s="284"/>
      <c r="G50" s="284"/>
      <c r="H50" s="273"/>
      <c r="I50" s="274"/>
    </row>
    <row r="51" spans="1:9" ht="18.75" thickBot="1" x14ac:dyDescent="0.3">
      <c r="A51" s="285" t="s">
        <v>0</v>
      </c>
      <c r="B51" s="286"/>
      <c r="C51" s="286"/>
      <c r="D51" s="286"/>
      <c r="E51" s="286"/>
      <c r="F51" s="286"/>
      <c r="G51" s="286"/>
      <c r="H51" s="286"/>
      <c r="I51" s="287"/>
    </row>
    <row r="52" spans="1:9" ht="14.65" customHeight="1" x14ac:dyDescent="0.25">
      <c r="A52" s="288" t="s">
        <v>46</v>
      </c>
      <c r="B52" s="289"/>
      <c r="C52" s="290"/>
      <c r="D52" s="290"/>
      <c r="E52" s="290"/>
      <c r="F52" s="290"/>
      <c r="G52" s="290"/>
      <c r="H52" s="290"/>
      <c r="I52" s="291"/>
    </row>
    <row r="53" spans="1:9" ht="15.4" customHeight="1" x14ac:dyDescent="0.25">
      <c r="A53" s="292"/>
      <c r="B53" s="293"/>
      <c r="C53" s="294"/>
      <c r="D53" s="294"/>
      <c r="E53" s="294"/>
      <c r="F53" s="294"/>
      <c r="G53" s="294"/>
      <c r="H53" s="294"/>
      <c r="I53" s="295"/>
    </row>
    <row r="54" spans="1:9" ht="14.65" customHeight="1" x14ac:dyDescent="0.25">
      <c r="A54" s="296"/>
      <c r="B54" s="297"/>
      <c r="C54" s="298"/>
      <c r="D54" s="298"/>
      <c r="E54" s="298"/>
      <c r="F54" s="298"/>
      <c r="G54" s="298"/>
      <c r="H54" s="298"/>
      <c r="I54" s="299"/>
    </row>
    <row r="55" spans="1:9" ht="14.65" customHeight="1" x14ac:dyDescent="0.25">
      <c r="A55" s="300"/>
      <c r="B55" s="301"/>
      <c r="C55" s="301"/>
      <c r="D55" s="301"/>
      <c r="E55" s="301"/>
      <c r="F55" s="301"/>
      <c r="G55" s="301"/>
      <c r="H55" s="301"/>
      <c r="I55" s="302"/>
    </row>
    <row r="56" spans="1:9" ht="14.65" customHeight="1" x14ac:dyDescent="0.25">
      <c r="A56" s="303"/>
      <c r="B56" s="304"/>
      <c r="C56" s="304"/>
      <c r="D56" s="304"/>
      <c r="E56" s="304"/>
      <c r="F56" s="304"/>
      <c r="G56" s="304"/>
      <c r="H56" s="304"/>
      <c r="I56" s="305"/>
    </row>
    <row r="57" spans="1:9" ht="18" customHeight="1" x14ac:dyDescent="0.25">
      <c r="A57" s="306"/>
      <c r="B57" s="307"/>
      <c r="C57" s="307"/>
      <c r="D57" s="307"/>
      <c r="E57" s="307"/>
      <c r="F57" s="307"/>
      <c r="G57" s="307"/>
      <c r="H57" s="307"/>
      <c r="I57" s="308"/>
    </row>
    <row r="58" spans="1:9" ht="18" x14ac:dyDescent="0.25">
      <c r="A58" s="309"/>
      <c r="B58" s="310"/>
      <c r="C58" s="310"/>
      <c r="D58" s="310"/>
      <c r="E58" s="310"/>
      <c r="F58" s="310"/>
      <c r="G58" s="310"/>
      <c r="H58" s="310"/>
      <c r="I58" s="311"/>
    </row>
    <row r="59" spans="1:9" ht="18.75" thickBot="1" x14ac:dyDescent="0.3">
      <c r="A59" s="309"/>
      <c r="B59" s="310"/>
      <c r="C59" s="310"/>
      <c r="D59" s="310"/>
      <c r="E59" s="310"/>
      <c r="F59" s="310"/>
      <c r="G59" s="310"/>
      <c r="H59" s="310"/>
      <c r="I59" s="311"/>
    </row>
    <row r="60" spans="1:9" ht="18" x14ac:dyDescent="0.25">
      <c r="A60" s="312" t="s">
        <v>138</v>
      </c>
      <c r="B60" s="313"/>
      <c r="C60" s="313"/>
      <c r="D60" s="313"/>
      <c r="E60" s="313"/>
      <c r="F60" s="313"/>
      <c r="G60" s="313"/>
      <c r="H60" s="313"/>
      <c r="I60" s="313"/>
    </row>
    <row r="61" spans="1:9" x14ac:dyDescent="0.25">
      <c r="A61" s="99"/>
      <c r="B61" s="100"/>
      <c r="C61" s="100"/>
      <c r="D61" s="100"/>
      <c r="E61" s="100"/>
      <c r="F61" s="100"/>
      <c r="G61" s="100"/>
      <c r="H61" s="100"/>
      <c r="I61" s="100"/>
    </row>
    <row r="62" spans="1:9" x14ac:dyDescent="0.25">
      <c r="A62" s="99"/>
      <c r="B62" s="100"/>
      <c r="C62" s="100"/>
      <c r="D62" s="100"/>
      <c r="E62" s="100"/>
      <c r="F62" s="100"/>
      <c r="G62" s="100"/>
      <c r="H62" s="100"/>
      <c r="I62" s="10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CC88-D948-445A-B9E9-77A80D867EBE}">
  <dimension ref="A1:Q91"/>
  <sheetViews>
    <sheetView topLeftCell="A60" workbookViewId="0">
      <selection activeCell="B74" sqref="B74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71093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71093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71093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71093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71093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71093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71093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71093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71093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71093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71093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71093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71093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71093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71093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71093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71093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71093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71093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71093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71093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71093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71093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71093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71093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71093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71093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71093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71093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71093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71093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71093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71093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71093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71093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71093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71093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71093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71093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71093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71093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71093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71093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71093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71093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71093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71093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71093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71093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71093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71093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71093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71093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71093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71093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71093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71093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71093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71093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71093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71093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71093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71093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5">
      <c r="A1" s="2"/>
      <c r="B1" s="2"/>
      <c r="C1" s="2"/>
      <c r="D1" s="2"/>
      <c r="E1" s="3" t="s">
        <v>63</v>
      </c>
      <c r="F1" s="4" t="s">
        <v>64</v>
      </c>
      <c r="G1" s="4" t="s">
        <v>65</v>
      </c>
      <c r="H1" s="4" t="s">
        <v>66</v>
      </c>
      <c r="I1" s="5"/>
    </row>
    <row r="2" spans="1:10" ht="30.75" customHeight="1" x14ac:dyDescent="0.25">
      <c r="A2" s="2"/>
      <c r="B2" s="2"/>
      <c r="C2" s="2"/>
      <c r="D2" s="2"/>
      <c r="E2" s="8">
        <f>IFERROR(O62,"")</f>
        <v>12955.91592641249</v>
      </c>
      <c r="F2" s="8">
        <f>IFERROR(H53,"")</f>
        <v>11651.1</v>
      </c>
      <c r="G2" s="8">
        <f>IFERROR(H54,"")</f>
        <v>278.3470476190476</v>
      </c>
      <c r="H2" s="8">
        <f>IFERROR(H56,"")</f>
        <v>526.17312274285723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132"/>
      <c r="B4" s="132"/>
      <c r="C4" s="132"/>
      <c r="D4" s="132"/>
      <c r="E4" s="132"/>
      <c r="F4" s="132"/>
      <c r="G4" s="132"/>
      <c r="H4" s="132"/>
      <c r="I4" s="11"/>
    </row>
    <row r="5" spans="1:10" ht="19.5" customHeight="1" thickBot="1" x14ac:dyDescent="0.3">
      <c r="A5" s="133" t="s">
        <v>67</v>
      </c>
      <c r="B5" s="134"/>
      <c r="C5" s="134"/>
      <c r="D5" s="134"/>
      <c r="E5" s="134"/>
      <c r="F5" s="134"/>
      <c r="G5" s="134"/>
      <c r="H5" s="135"/>
      <c r="I5" s="12"/>
    </row>
    <row r="6" spans="1:10" ht="19.5" thickBot="1" x14ac:dyDescent="0.3">
      <c r="A6" s="12"/>
      <c r="B6" s="12"/>
      <c r="C6" s="12"/>
      <c r="D6" s="12"/>
      <c r="E6" s="12"/>
      <c r="F6" s="136" t="s">
        <v>68</v>
      </c>
      <c r="G6" s="136"/>
      <c r="H6" s="13">
        <f ca="1">TODAY()</f>
        <v>45749</v>
      </c>
      <c r="I6" s="13"/>
    </row>
    <row r="7" spans="1:10" ht="26.25" thickBot="1" x14ac:dyDescent="0.3">
      <c r="A7" s="14" t="s">
        <v>69</v>
      </c>
      <c r="B7" s="15" t="s">
        <v>70</v>
      </c>
      <c r="C7" s="15" t="s">
        <v>69</v>
      </c>
      <c r="D7" s="16" t="s">
        <v>71</v>
      </c>
      <c r="E7" s="16" t="s">
        <v>72</v>
      </c>
      <c r="F7" s="16" t="s">
        <v>73</v>
      </c>
      <c r="G7" s="16" t="s">
        <v>74</v>
      </c>
      <c r="H7" s="17" t="s">
        <v>75</v>
      </c>
      <c r="I7" s="18"/>
    </row>
    <row r="8" spans="1:10" ht="13.5" x14ac:dyDescent="0.25">
      <c r="A8" s="19">
        <v>2170</v>
      </c>
      <c r="B8" s="7" t="s">
        <v>38</v>
      </c>
      <c r="C8" s="20">
        <f>+A8</f>
        <v>2170</v>
      </c>
      <c r="D8" s="21" t="s">
        <v>76</v>
      </c>
      <c r="E8" s="21">
        <v>0.63</v>
      </c>
      <c r="F8" s="21">
        <f>IFERROR(C8*E8,"")</f>
        <v>1367.1</v>
      </c>
      <c r="G8" s="22">
        <f t="shared" ref="G8:G14" si="0">IFERROR(F8/$F$66,"")</f>
        <v>0.11073698331969488</v>
      </c>
      <c r="H8" s="23" t="s">
        <v>36</v>
      </c>
      <c r="I8" s="23"/>
      <c r="J8" s="24"/>
    </row>
    <row r="9" spans="1:10" ht="13.5" x14ac:dyDescent="0.25">
      <c r="A9" s="19">
        <v>3300</v>
      </c>
      <c r="B9" s="7" t="s">
        <v>55</v>
      </c>
      <c r="C9" s="20">
        <f t="shared" ref="C9:C14" si="1">+A9</f>
        <v>3300</v>
      </c>
      <c r="D9" s="21" t="s">
        <v>76</v>
      </c>
      <c r="E9" s="21">
        <v>2.5299999999999998</v>
      </c>
      <c r="F9" s="21">
        <f t="shared" ref="F9:F14" si="2">IFERROR(C9*E9,"")</f>
        <v>8349</v>
      </c>
      <c r="G9" s="22">
        <f t="shared" si="0"/>
        <v>0.67628050159910214</v>
      </c>
      <c r="H9" s="23" t="s">
        <v>53</v>
      </c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3">
      <c r="A16" s="14" t="s">
        <v>69</v>
      </c>
      <c r="B16" s="15" t="s">
        <v>77</v>
      </c>
      <c r="C16" s="15" t="s">
        <v>69</v>
      </c>
      <c r="D16" s="16" t="s">
        <v>71</v>
      </c>
      <c r="E16" s="16" t="s">
        <v>72</v>
      </c>
      <c r="F16" s="16" t="s">
        <v>73</v>
      </c>
      <c r="G16" s="16" t="s">
        <v>74</v>
      </c>
      <c r="H16" s="17" t="s">
        <v>75</v>
      </c>
      <c r="I16" s="18"/>
      <c r="J16" s="24"/>
    </row>
    <row r="17" spans="1:12" ht="13.5" x14ac:dyDescent="0.25">
      <c r="A17" s="19">
        <v>4500</v>
      </c>
      <c r="B17" s="7" t="str">
        <f>IFERROR(VLOOKUP(H17,[1]SEMIELABORADOS!$A$2:$M$6000,2,0),"")</f>
        <v>AZUCAR BLANCO INDUSTRIAL KILO</v>
      </c>
      <c r="C17" s="20">
        <f>+A17</f>
        <v>4500</v>
      </c>
      <c r="D17" s="20" t="str">
        <f>IFERROR(VLOOKUP(H17,[1]SEMIELABORADOS!$A$2:$M$6000,6,0),"")</f>
        <v>Gramo</v>
      </c>
      <c r="E17" s="21">
        <v>0.43</v>
      </c>
      <c r="F17" s="21">
        <f>IFERROR(E17*C17,"")</f>
        <v>1935</v>
      </c>
      <c r="G17" s="22">
        <f t="shared" ref="G17:G24" si="3">IFERROR(F17/$F$66,"")</f>
        <v>0.15673766565987096</v>
      </c>
      <c r="H17" s="23" t="s">
        <v>39</v>
      </c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/>
      <c r="F18" s="21">
        <f t="shared" ref="F18:F24" si="5">IFERROR(E18*C18,"")</f>
        <v>0</v>
      </c>
      <c r="G18" s="22">
        <f t="shared" si="3"/>
        <v>0</v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3">
      <c r="A26" s="14" t="s">
        <v>69</v>
      </c>
      <c r="B26" s="15" t="s">
        <v>78</v>
      </c>
      <c r="C26" s="15" t="s">
        <v>69</v>
      </c>
      <c r="D26" s="16" t="s">
        <v>71</v>
      </c>
      <c r="E26" s="16" t="s">
        <v>72</v>
      </c>
      <c r="F26" s="16" t="s">
        <v>73</v>
      </c>
      <c r="G26" s="16" t="s">
        <v>74</v>
      </c>
      <c r="H26" s="17" t="s">
        <v>75</v>
      </c>
      <c r="I26" s="18"/>
    </row>
    <row r="27" spans="1:12" ht="13.5" x14ac:dyDescent="0.25">
      <c r="A27" s="19">
        <v>1</v>
      </c>
      <c r="B27" s="25" t="str">
        <f>IFERROR(VLOOKUP(H27,'[1]Consolidado MP Planta'!$A$2:$M$823,3,0),"")</f>
        <v>BOLSA 17x25 TRANSP KILO</v>
      </c>
      <c r="C27" s="20">
        <f t="shared" ref="C27:C32" si="6">+A27</f>
        <v>1</v>
      </c>
      <c r="D27" s="21" t="str">
        <f>IFERROR(VLOOKUP(H27,'[1]Consolidado MP Planta'!$A$2:$M$823,13,0),"")</f>
        <v>Und</v>
      </c>
      <c r="E27" s="21">
        <f>IFERROR(VLOOKUP(H27,'[1]Consolidado MP Planta'!$A$2:$M$823,12,0),"")</f>
        <v>47.61904761904762</v>
      </c>
      <c r="F27" s="21">
        <f t="shared" ref="F27:F32" si="7">IFERROR(C27*E27,"")</f>
        <v>47.61904761904762</v>
      </c>
      <c r="G27" s="22">
        <f t="shared" ref="G27:G32" si="8">IFERROR(F27/$F$66,"")</f>
        <v>3.8572084572381193E-3</v>
      </c>
      <c r="H27" s="26" t="s">
        <v>79</v>
      </c>
      <c r="I27" s="26"/>
      <c r="J27" s="24"/>
      <c r="K27" s="126"/>
      <c r="L27" s="126"/>
    </row>
    <row r="28" spans="1:12" ht="13.5" x14ac:dyDescent="0.25">
      <c r="A28" s="19">
        <v>1</v>
      </c>
      <c r="B28" s="25" t="str">
        <f>IFERROR(VLOOKUP(H28,'[1]Consolidado MP Planta'!$A$2:$M$823,3,0),"")</f>
        <v>ETIQUETA ROJA LETRA ALERJENO (UND)</v>
      </c>
      <c r="C28" s="20">
        <f t="shared" si="6"/>
        <v>1</v>
      </c>
      <c r="D28" s="21" t="str">
        <f>IFERROR(VLOOKUP(H28,'[1]Consolidado MP Planta'!$A$2:$M$823,13,0),"")</f>
        <v>Und</v>
      </c>
      <c r="E28" s="21">
        <f>IFERROR(VLOOKUP(H28,'[1]Consolidado MP Planta'!$A$2:$M$823,12,0),"")</f>
        <v>3.6</v>
      </c>
      <c r="F28" s="21">
        <f t="shared" si="7"/>
        <v>3.6</v>
      </c>
      <c r="G28" s="22">
        <f t="shared" si="8"/>
        <v>2.9160495936720183E-4</v>
      </c>
      <c r="H28" s="26" t="s">
        <v>80</v>
      </c>
      <c r="I28" s="26"/>
      <c r="J28" s="24"/>
      <c r="K28" s="126"/>
      <c r="L28" s="126"/>
    </row>
    <row r="29" spans="1:12" ht="13.5" x14ac:dyDescent="0.25">
      <c r="A29" s="19">
        <v>1</v>
      </c>
      <c r="B29" s="25" t="str">
        <f>IFERROR(VLOOKUP(H29,'[1]Consolidado MP Planta'!$A$2:$M$823,3,0),"")</f>
        <v>ETIQUETA BLANCA 2 5/8X1 15/16 (UND)</v>
      </c>
      <c r="C29" s="20">
        <f t="shared" si="6"/>
        <v>1</v>
      </c>
      <c r="D29" s="21" t="str">
        <f>IFERROR(VLOOKUP(H29,'[1]Consolidado MP Planta'!$A$2:$M$823,13,0),"")</f>
        <v>Und</v>
      </c>
      <c r="E29" s="21">
        <f>IFERROR(VLOOKUP(H29,'[1]Consolidado MP Planta'!$A$2:$M$823,12,0),"")</f>
        <v>2.1280000000000001</v>
      </c>
      <c r="F29" s="21">
        <f t="shared" si="7"/>
        <v>2.1280000000000001</v>
      </c>
      <c r="G29" s="22">
        <f t="shared" si="8"/>
        <v>1.7237093153705708E-4</v>
      </c>
      <c r="H29" s="26" t="s">
        <v>81</v>
      </c>
      <c r="I29" s="26"/>
      <c r="J29" s="24"/>
      <c r="K29" s="126"/>
      <c r="L29" s="126"/>
    </row>
    <row r="30" spans="1:12" ht="13.5" hidden="1" x14ac:dyDescent="0.25">
      <c r="A30" s="19"/>
      <c r="B30" s="25" t="str">
        <f>IFERROR(VLOOKUP(H30,'[1]Consolidado MP Planta'!$A$2:$M$823,3,0),"")</f>
        <v/>
      </c>
      <c r="C30" s="20">
        <f t="shared" si="6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7"/>
        <v/>
      </c>
      <c r="G30" s="22" t="str">
        <f t="shared" si="8"/>
        <v/>
      </c>
      <c r="H30" s="26"/>
      <c r="I30" s="26"/>
      <c r="J30" s="24"/>
      <c r="K30" s="126"/>
      <c r="L30" s="12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69</v>
      </c>
      <c r="B34" s="15" t="s">
        <v>82</v>
      </c>
      <c r="C34" s="15" t="s">
        <v>69</v>
      </c>
      <c r="D34" s="16" t="s">
        <v>71</v>
      </c>
      <c r="E34" s="16" t="s">
        <v>72</v>
      </c>
      <c r="F34" s="16" t="s">
        <v>73</v>
      </c>
      <c r="G34" s="16" t="s">
        <v>74</v>
      </c>
      <c r="H34" s="17" t="s">
        <v>75</v>
      </c>
      <c r="I34" s="26"/>
      <c r="J34" s="24"/>
    </row>
    <row r="35" spans="1:13" ht="13.5" x14ac:dyDescent="0.25">
      <c r="A35" s="19">
        <f>+A17</f>
        <v>4500</v>
      </c>
      <c r="B35" s="7" t="str">
        <f>IFERROR(VLOOKUP(H35,[1]SEMIELABORADOS!$A$2:$M$6000,2,0),"")</f>
        <v>AZUCAR BLANCO INDUSTRIAL KILO</v>
      </c>
      <c r="C35" s="20">
        <f>+A35</f>
        <v>4500</v>
      </c>
      <c r="D35" s="21" t="str">
        <f>IFERROR(VLOOKUP(H35,[1]SEMIELABORADOS!$A$2:$M$6000,6,0),"")</f>
        <v>Gramo</v>
      </c>
      <c r="E35" s="21">
        <v>0.05</v>
      </c>
      <c r="F35" s="21">
        <f>IFERROR(E35*C35,"")</f>
        <v>225</v>
      </c>
      <c r="G35" s="22">
        <f t="shared" ref="G35:G41" si="9">IFERROR(F35/$F$66,"")</f>
        <v>1.8225309960450114E-2</v>
      </c>
      <c r="H35" s="26" t="s">
        <v>39</v>
      </c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3">
      <c r="A43" s="14" t="s">
        <v>69</v>
      </c>
      <c r="B43" s="15" t="s">
        <v>83</v>
      </c>
      <c r="C43" s="15" t="s">
        <v>69</v>
      </c>
      <c r="D43" s="16" t="s">
        <v>71</v>
      </c>
      <c r="E43" s="16" t="s">
        <v>72</v>
      </c>
      <c r="F43" s="16" t="s">
        <v>73</v>
      </c>
      <c r="G43" s="16" t="s">
        <v>74</v>
      </c>
      <c r="H43" s="17" t="s">
        <v>75</v>
      </c>
      <c r="I43" s="18"/>
      <c r="J43" s="24"/>
    </row>
    <row r="44" spans="1:13" ht="13.5" x14ac:dyDescent="0.25">
      <c r="A44" s="19">
        <f>+A35</f>
        <v>4500</v>
      </c>
      <c r="B44" s="25" t="str">
        <f>IFERROR(VLOOKUP(H44,[1]SEMIELABORADOS!$A$2:$M$6000,2,0),"")</f>
        <v>AZUCAR BLANCO INDUSTRIAL KILO</v>
      </c>
      <c r="C44" s="20">
        <f>+A44</f>
        <v>4500</v>
      </c>
      <c r="D44" s="21" t="str">
        <f>IFERROR(VLOOKUP(H44,[1]SEMIELABORADOS!$A$2:$M$6000,6,0),"")</f>
        <v>Gramo</v>
      </c>
      <c r="E44" s="21">
        <f>IFERROR(VLOOKUP(H44,[1]SEMIELABORADOS!$A$2:$M$65536,12,0),"")</f>
        <v>7.6260693942857144E-2</v>
      </c>
      <c r="F44" s="21">
        <f>IFERROR(E44*C44,"")</f>
        <v>343.17312274285717</v>
      </c>
      <c r="G44" s="22">
        <f>IFERROR(F44/$F$66,"")</f>
        <v>2.779749569815184E-2</v>
      </c>
      <c r="H44" s="26" t="s">
        <v>39</v>
      </c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84</v>
      </c>
      <c r="C51" s="20">
        <f>+A51</f>
        <v>1</v>
      </c>
      <c r="D51" s="20" t="s">
        <v>85</v>
      </c>
      <c r="E51" s="21">
        <f>+F65</f>
        <v>183</v>
      </c>
      <c r="F51" s="21">
        <f>IFERROR(C51*E51,"")</f>
        <v>183</v>
      </c>
      <c r="G51" s="22">
        <f>IFERROR(F51/$F$66,"")</f>
        <v>1.4823252101166091E-2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3">
      <c r="A53" s="31"/>
      <c r="B53" s="127" t="s">
        <v>86</v>
      </c>
      <c r="C53" s="127"/>
      <c r="D53" s="127"/>
      <c r="E53" s="127"/>
      <c r="F53" s="33">
        <f>SUM(F8:F14,F17:F24)</f>
        <v>11651.1</v>
      </c>
      <c r="G53" s="22">
        <f>+F53/$F$66</f>
        <v>0.9437551505786681</v>
      </c>
      <c r="H53" s="34">
        <f>+F53/$D$60</f>
        <v>11651.1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127" t="s">
        <v>87</v>
      </c>
      <c r="C54" s="127"/>
      <c r="D54" s="127"/>
      <c r="E54" s="127"/>
      <c r="F54" s="33">
        <f>SUM(F27:F32,F35:F41)</f>
        <v>278.3470476190476</v>
      </c>
      <c r="G54" s="22">
        <f>+F54/$F$66</f>
        <v>2.2546494308592489E-2</v>
      </c>
      <c r="H54" s="34">
        <f>+F54/$D$60</f>
        <v>278.3470476190476</v>
      </c>
      <c r="I54" s="34"/>
      <c r="J54" s="38"/>
      <c r="K54" s="128" t="s">
        <v>88</v>
      </c>
      <c r="L54" s="129"/>
      <c r="M54" s="129"/>
      <c r="N54" s="129"/>
      <c r="O54" s="39">
        <f>+F55</f>
        <v>11929.447047619047</v>
      </c>
      <c r="P54" s="39"/>
      <c r="Q54" s="40"/>
    </row>
    <row r="55" spans="1:17" x14ac:dyDescent="0.2">
      <c r="A55" s="31"/>
      <c r="B55" s="127" t="s">
        <v>89</v>
      </c>
      <c r="C55" s="127"/>
      <c r="D55" s="127"/>
      <c r="E55" s="127"/>
      <c r="F55" s="33">
        <f>+F53+F54</f>
        <v>11929.447047619047</v>
      </c>
      <c r="G55" s="22">
        <f>+F55/$F$66</f>
        <v>0.96630164488726045</v>
      </c>
      <c r="H55" s="34">
        <f>+F55/$D$60</f>
        <v>11929.447047619047</v>
      </c>
      <c r="I55" s="34"/>
      <c r="J55" s="41"/>
      <c r="K55" s="42"/>
      <c r="M55" s="43" t="s">
        <v>90</v>
      </c>
      <c r="N55" s="44"/>
      <c r="O55" s="39">
        <f>+H56</f>
        <v>526.17312274285723</v>
      </c>
      <c r="P55" s="39"/>
      <c r="Q55" s="40"/>
    </row>
    <row r="56" spans="1:17" ht="13.5" thickBot="1" x14ac:dyDescent="0.25">
      <c r="A56" s="31"/>
      <c r="B56" s="32"/>
      <c r="C56" s="127" t="s">
        <v>91</v>
      </c>
      <c r="D56" s="127"/>
      <c r="E56" s="127"/>
      <c r="F56" s="33">
        <f>SUM(F44:F51)</f>
        <v>526.17312274285723</v>
      </c>
      <c r="G56" s="22">
        <f>+F56/$F$66</f>
        <v>4.2620747799317939E-2</v>
      </c>
      <c r="H56" s="34">
        <f>+F56/$D$60</f>
        <v>526.17312274285723</v>
      </c>
      <c r="I56" s="34"/>
      <c r="J56" s="41"/>
      <c r="K56" s="42"/>
      <c r="L56" s="42"/>
      <c r="M56" s="42" t="s">
        <v>92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93</v>
      </c>
      <c r="N57" s="51"/>
      <c r="O57" s="52">
        <f>SUM(O54:O56)</f>
        <v>12455.620170361904</v>
      </c>
      <c r="P57" s="53"/>
      <c r="Q57" s="40"/>
    </row>
    <row r="58" spans="1:17" x14ac:dyDescent="0.2">
      <c r="B58" s="130" t="s">
        <v>94</v>
      </c>
      <c r="C58" s="130"/>
      <c r="D58" s="54">
        <v>10000</v>
      </c>
      <c r="E58" s="55"/>
      <c r="G58" s="22"/>
      <c r="H58" s="48">
        <f>+H56/61</f>
        <v>8.6257888974238899</v>
      </c>
      <c r="I58" s="56"/>
      <c r="J58" s="41"/>
      <c r="K58" s="49"/>
      <c r="L58" s="42"/>
      <c r="M58" s="42" t="s">
        <v>95</v>
      </c>
      <c r="N58" s="57"/>
      <c r="O58" s="39">
        <f>+H59</f>
        <v>500.29575605058562</v>
      </c>
      <c r="P58" s="39"/>
      <c r="Q58" s="40"/>
    </row>
    <row r="59" spans="1:17" x14ac:dyDescent="0.2">
      <c r="B59" s="130" t="s">
        <v>96</v>
      </c>
      <c r="C59" s="130"/>
      <c r="D59" s="58">
        <v>10000</v>
      </c>
      <c r="E59" s="55"/>
      <c r="G59" s="22"/>
      <c r="H59" s="48">
        <f>+H58*58</f>
        <v>500.29575605058562</v>
      </c>
      <c r="I59" s="56"/>
      <c r="J59" s="41"/>
      <c r="K59" s="49"/>
      <c r="L59" s="42"/>
      <c r="M59" s="131" t="s">
        <v>93</v>
      </c>
      <c r="N59" s="131"/>
      <c r="O59" s="39">
        <f>SUM(O57:O58)</f>
        <v>12955.91592641249</v>
      </c>
      <c r="P59" s="39"/>
      <c r="Q59" s="40"/>
    </row>
    <row r="60" spans="1:17" ht="13.5" thickBot="1" x14ac:dyDescent="0.25">
      <c r="B60" s="122" t="s">
        <v>97</v>
      </c>
      <c r="C60" s="122"/>
      <c r="D60" s="54">
        <f>+D58/D59</f>
        <v>1</v>
      </c>
      <c r="E60" s="55"/>
      <c r="F60" s="59"/>
      <c r="G60" s="22"/>
      <c r="H60" s="48"/>
      <c r="I60" s="56"/>
      <c r="J60" s="41"/>
      <c r="K60" s="49"/>
      <c r="L60" s="131"/>
      <c r="M60" s="131"/>
      <c r="N60" s="57"/>
      <c r="O60" s="39">
        <f>+O59*N60</f>
        <v>0</v>
      </c>
      <c r="P60" s="39"/>
      <c r="Q60" s="40"/>
    </row>
    <row r="61" spans="1:17" ht="13.5" thickBot="1" x14ac:dyDescent="0.25">
      <c r="B61" s="122" t="s">
        <v>98</v>
      </c>
      <c r="C61" s="122"/>
      <c r="D61" s="60"/>
      <c r="E61" s="55"/>
      <c r="F61" s="59"/>
      <c r="G61" s="22"/>
      <c r="H61" s="48"/>
      <c r="I61" s="56"/>
      <c r="J61" s="41"/>
      <c r="K61" s="123" t="s">
        <v>99</v>
      </c>
      <c r="L61" s="124"/>
      <c r="M61" s="124"/>
      <c r="N61" s="125"/>
      <c r="O61" s="52">
        <f>SUM(O59:O60)</f>
        <v>12955.91592641249</v>
      </c>
      <c r="P61" s="61" t="s">
        <v>100</v>
      </c>
      <c r="Q61" s="40"/>
    </row>
    <row r="62" spans="1:17" ht="13.5" thickBot="1" x14ac:dyDescent="0.25">
      <c r="C62" s="31" t="s">
        <v>101</v>
      </c>
      <c r="D62" s="62"/>
      <c r="E62" s="5" t="s">
        <v>102</v>
      </c>
      <c r="F62" s="63" t="s">
        <v>103</v>
      </c>
      <c r="G62" s="22"/>
      <c r="H62" s="48"/>
      <c r="I62" s="56"/>
      <c r="J62" s="64"/>
      <c r="K62" s="65"/>
      <c r="L62" s="111" t="s">
        <v>104</v>
      </c>
      <c r="M62" s="111"/>
      <c r="N62" s="111"/>
      <c r="O62" s="66">
        <f>+O61/D60</f>
        <v>12955.91592641249</v>
      </c>
      <c r="P62" s="67">
        <f>+O62/D59</f>
        <v>1.2955915926412489</v>
      </c>
      <c r="Q62" s="68"/>
    </row>
    <row r="63" spans="1:17" ht="13.5" thickBot="1" x14ac:dyDescent="0.25">
      <c r="B63" s="112" t="s">
        <v>89</v>
      </c>
      <c r="C63" s="112"/>
      <c r="D63" s="112"/>
      <c r="E63" s="69">
        <f>+F63/F63</f>
        <v>1</v>
      </c>
      <c r="F63" s="70">
        <f>SUM(F55)</f>
        <v>11929.447047619047</v>
      </c>
      <c r="G63" s="22">
        <f>+F63/$F$66</f>
        <v>0.96630164488726045</v>
      </c>
      <c r="H63" s="48"/>
      <c r="I63" s="56"/>
      <c r="K63" s="113"/>
      <c r="L63" s="114"/>
      <c r="M63" s="114"/>
      <c r="N63" s="114"/>
      <c r="O63" s="71"/>
      <c r="P63" s="72"/>
    </row>
    <row r="64" spans="1:17" ht="13.5" thickBot="1" x14ac:dyDescent="0.3">
      <c r="B64" s="115" t="s">
        <v>105</v>
      </c>
      <c r="C64" s="115"/>
      <c r="D64" s="115"/>
      <c r="E64" s="73">
        <v>0.02</v>
      </c>
      <c r="F64" s="70">
        <f>+F53*E64</f>
        <v>233.02200000000002</v>
      </c>
      <c r="G64" s="22">
        <f>+F64/$F$66</f>
        <v>1.8875103011573361E-2</v>
      </c>
      <c r="H64" s="34"/>
      <c r="I64" s="56"/>
      <c r="J64" s="74"/>
      <c r="O64" s="75"/>
      <c r="P64" s="32"/>
    </row>
    <row r="65" spans="2:13" ht="13.5" thickBot="1" x14ac:dyDescent="0.3">
      <c r="B65" s="116" t="s">
        <v>106</v>
      </c>
      <c r="C65" s="117"/>
      <c r="D65" s="76">
        <v>3</v>
      </c>
      <c r="E65" s="77">
        <v>61</v>
      </c>
      <c r="F65" s="70">
        <f>+E65*D65</f>
        <v>183</v>
      </c>
      <c r="G65" s="22">
        <f>+F65/$F$66</f>
        <v>1.4823252101166091E-2</v>
      </c>
      <c r="H65" s="34"/>
      <c r="I65" s="34"/>
      <c r="J65" s="24"/>
    </row>
    <row r="66" spans="2:13" ht="13.5" thickBot="1" x14ac:dyDescent="0.3">
      <c r="B66" s="118" t="s">
        <v>107</v>
      </c>
      <c r="C66" s="119"/>
      <c r="D66" s="119"/>
      <c r="E66" s="120"/>
      <c r="F66" s="47">
        <f>SUM(F63:F65)</f>
        <v>12345.469047619048</v>
      </c>
      <c r="G66" s="22">
        <f>+F66/$F$66</f>
        <v>1</v>
      </c>
      <c r="H66" s="121"/>
      <c r="I66" s="34"/>
      <c r="J66" s="24"/>
      <c r="M66" s="7" t="s">
        <v>108</v>
      </c>
    </row>
    <row r="67" spans="2:13" x14ac:dyDescent="0.25">
      <c r="C67" s="29"/>
      <c r="D67" s="29"/>
      <c r="E67" s="79"/>
      <c r="F67" s="70"/>
      <c r="G67" s="22"/>
      <c r="H67" s="121"/>
      <c r="I67" s="78"/>
      <c r="J67" s="7"/>
      <c r="M67" s="7" t="s">
        <v>109</v>
      </c>
    </row>
    <row r="68" spans="2:13" ht="13.5" thickBot="1" x14ac:dyDescent="0.3">
      <c r="B68" s="106" t="s">
        <v>110</v>
      </c>
      <c r="C68" s="106"/>
      <c r="D68" s="106"/>
      <c r="E68" s="106"/>
      <c r="F68" s="106"/>
      <c r="G68" s="22"/>
      <c r="H68" s="81"/>
      <c r="I68" s="78"/>
      <c r="J68" s="7"/>
    </row>
    <row r="69" spans="2:13" ht="13.5" thickBot="1" x14ac:dyDescent="0.3">
      <c r="B69" s="82" t="s">
        <v>111</v>
      </c>
      <c r="C69" s="83">
        <f>+F53</f>
        <v>11651.1</v>
      </c>
      <c r="D69" s="83">
        <f>+D58</f>
        <v>10000</v>
      </c>
      <c r="E69" s="84">
        <f>+C69/D69</f>
        <v>1.1651100000000001</v>
      </c>
      <c r="F69" s="22"/>
      <c r="G69" s="81"/>
      <c r="H69" s="24"/>
      <c r="I69" s="81"/>
      <c r="J69" s="7"/>
    </row>
    <row r="70" spans="2:13" x14ac:dyDescent="0.25">
      <c r="B70" s="85"/>
      <c r="C70" s="86"/>
      <c r="D70" s="87"/>
      <c r="E70" s="70"/>
      <c r="F70" s="22"/>
      <c r="G70" s="81"/>
      <c r="H70" s="24"/>
      <c r="I70" s="24"/>
      <c r="J70" s="7"/>
    </row>
    <row r="71" spans="2:13" x14ac:dyDescent="0.25">
      <c r="B71" s="82" t="s">
        <v>112</v>
      </c>
      <c r="C71" s="83">
        <f>SUM(F63:F64)</f>
        <v>12162.469047619048</v>
      </c>
      <c r="D71" s="83">
        <f>+D58</f>
        <v>10000</v>
      </c>
      <c r="E71" s="88">
        <f>+C71/D71</f>
        <v>1.2162469047619049</v>
      </c>
      <c r="F71" s="22"/>
      <c r="G71" s="81"/>
      <c r="H71" s="24"/>
      <c r="I71" s="24"/>
      <c r="J71" s="7"/>
    </row>
    <row r="72" spans="2:13" x14ac:dyDescent="0.25">
      <c r="B72" s="82"/>
      <c r="C72" s="83"/>
      <c r="D72" s="83"/>
      <c r="E72" s="88"/>
      <c r="F72" s="22"/>
      <c r="G72" s="81"/>
      <c r="H72" s="24"/>
      <c r="I72" s="24"/>
      <c r="J72" s="7"/>
    </row>
    <row r="73" spans="2:13" ht="13.5" thickBot="1" x14ac:dyDescent="0.3">
      <c r="B73" s="82" t="s">
        <v>113</v>
      </c>
      <c r="C73" s="83">
        <f>+F65</f>
        <v>183</v>
      </c>
      <c r="D73" s="83">
        <f>+D58</f>
        <v>10000</v>
      </c>
      <c r="E73" s="88">
        <f>+C73/D73</f>
        <v>1.83E-2</v>
      </c>
      <c r="F73" s="22"/>
      <c r="G73" s="81"/>
      <c r="H73" s="24"/>
      <c r="I73" s="24"/>
      <c r="J73" s="7"/>
    </row>
    <row r="74" spans="2:13" ht="13.5" thickBot="1" x14ac:dyDescent="0.3">
      <c r="B74" s="82" t="s">
        <v>114</v>
      </c>
      <c r="C74" s="83">
        <f>+F56</f>
        <v>526.17312274285723</v>
      </c>
      <c r="D74" s="83">
        <f>+D73</f>
        <v>10000</v>
      </c>
      <c r="E74" s="84">
        <f>+C74/D74</f>
        <v>5.2617312274285725E-2</v>
      </c>
      <c r="F74" s="22"/>
      <c r="G74" s="81"/>
      <c r="H74" s="24"/>
      <c r="I74" s="24"/>
      <c r="J74" s="7"/>
    </row>
    <row r="75" spans="2:13" ht="13.5" thickBot="1" x14ac:dyDescent="0.3">
      <c r="B75" s="46"/>
      <c r="C75" s="47"/>
      <c r="D75" s="47"/>
      <c r="E75" s="88"/>
      <c r="F75" s="22"/>
      <c r="G75" s="81"/>
      <c r="H75" s="24"/>
      <c r="I75" s="24"/>
      <c r="J75" s="7"/>
    </row>
    <row r="76" spans="2:13" ht="13.5" thickBot="1" x14ac:dyDescent="0.3">
      <c r="B76" s="82" t="s">
        <v>115</v>
      </c>
      <c r="C76" s="83">
        <f>+F54</f>
        <v>278.3470476190476</v>
      </c>
      <c r="D76" s="83">
        <f>+D74</f>
        <v>10000</v>
      </c>
      <c r="E76" s="84">
        <f>+C76/D76</f>
        <v>2.783470476190476E-2</v>
      </c>
      <c r="F76" s="22"/>
      <c r="G76" s="81"/>
      <c r="H76" s="24"/>
      <c r="I76" s="24"/>
      <c r="J76" s="24"/>
    </row>
    <row r="77" spans="2:13" ht="13.5" thickBot="1" x14ac:dyDescent="0.3">
      <c r="B77" s="46"/>
      <c r="C77" s="47"/>
      <c r="D77" s="47"/>
      <c r="E77" s="88"/>
      <c r="F77" s="22"/>
      <c r="G77" s="81"/>
      <c r="H77" s="24"/>
      <c r="I77" s="24"/>
    </row>
    <row r="78" spans="2:13" ht="13.5" thickBot="1" x14ac:dyDescent="0.3">
      <c r="B78" s="107" t="s">
        <v>116</v>
      </c>
      <c r="C78" s="108"/>
      <c r="D78" s="109"/>
      <c r="E78" s="84">
        <f>+E69+E74</f>
        <v>1.2177273122742858</v>
      </c>
      <c r="G78" s="22"/>
      <c r="H78" s="81"/>
      <c r="I78" s="24"/>
      <c r="J78" s="88"/>
    </row>
    <row r="79" spans="2:13" x14ac:dyDescent="0.25">
      <c r="I79" s="81"/>
      <c r="J79" s="7"/>
    </row>
    <row r="80" spans="2:13" ht="13.5" thickBot="1" x14ac:dyDescent="0.3">
      <c r="B80" s="106" t="s">
        <v>117</v>
      </c>
      <c r="C80" s="106"/>
      <c r="D80" s="106"/>
      <c r="E80" s="106"/>
      <c r="F80" s="106"/>
      <c r="G80" s="22"/>
      <c r="H80" s="81"/>
      <c r="J80" s="7"/>
    </row>
    <row r="81" spans="1:10" ht="13.5" thickBot="1" x14ac:dyDescent="0.3">
      <c r="B81" s="82" t="s">
        <v>111</v>
      </c>
      <c r="C81" s="83">
        <f>+C69</f>
        <v>11651.1</v>
      </c>
      <c r="D81" s="83">
        <f>+D60</f>
        <v>1</v>
      </c>
      <c r="E81" s="84">
        <f>+C81/D81</f>
        <v>11651.1</v>
      </c>
      <c r="F81" s="22"/>
      <c r="G81" s="81"/>
      <c r="H81" s="24"/>
      <c r="I81" s="81"/>
      <c r="J81" s="7"/>
    </row>
    <row r="82" spans="1:10" x14ac:dyDescent="0.25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5">
      <c r="B83" s="82" t="s">
        <v>112</v>
      </c>
      <c r="C83" s="83">
        <f>+C71</f>
        <v>12162.469047619048</v>
      </c>
      <c r="D83" s="83">
        <f>+D60</f>
        <v>1</v>
      </c>
      <c r="E83" s="88">
        <f>+C83/D83</f>
        <v>12162.469047619048</v>
      </c>
      <c r="F83" s="22"/>
      <c r="G83" s="81"/>
      <c r="H83" s="24"/>
      <c r="I83" s="24"/>
      <c r="J83" s="7"/>
    </row>
    <row r="84" spans="1:10" x14ac:dyDescent="0.25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3">
      <c r="B85" s="82" t="s">
        <v>114</v>
      </c>
      <c r="C85" s="83">
        <f>+C73</f>
        <v>183</v>
      </c>
      <c r="D85" s="83">
        <f>+D60</f>
        <v>1</v>
      </c>
      <c r="E85" s="88">
        <f>+C85/D85</f>
        <v>183</v>
      </c>
      <c r="F85" s="90"/>
      <c r="G85" s="80"/>
      <c r="H85" s="6"/>
      <c r="I85" s="24"/>
    </row>
    <row r="86" spans="1:10" ht="13.5" thickBot="1" x14ac:dyDescent="0.3">
      <c r="B86" s="82" t="s">
        <v>114</v>
      </c>
      <c r="C86" s="83">
        <f>+C74</f>
        <v>526.17312274285723</v>
      </c>
      <c r="D86" s="83">
        <f>+D85</f>
        <v>1</v>
      </c>
      <c r="E86" s="84">
        <f>+C86/D86</f>
        <v>526.17312274285723</v>
      </c>
      <c r="F86" s="89"/>
      <c r="G86" s="80"/>
      <c r="H86" s="6"/>
      <c r="I86" s="6"/>
    </row>
    <row r="87" spans="1:10" x14ac:dyDescent="0.25">
      <c r="I87" s="6"/>
    </row>
    <row r="88" spans="1:10" x14ac:dyDescent="0.2">
      <c r="A88" s="110"/>
      <c r="B88" s="110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9EA1-6F30-437D-97E2-6B63394B8764}">
  <dimension ref="A1:Q91"/>
  <sheetViews>
    <sheetView topLeftCell="A62" workbookViewId="0">
      <selection activeCell="B74" sqref="B74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71093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71093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71093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71093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71093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71093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71093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71093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71093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71093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71093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71093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71093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71093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71093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71093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71093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71093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71093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71093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71093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71093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71093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71093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71093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71093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71093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71093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71093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71093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71093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71093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71093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71093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71093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71093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71093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71093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71093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71093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71093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71093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71093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71093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71093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71093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71093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71093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71093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71093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71093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71093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71093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71093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71093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71093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71093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71093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71093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71093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71093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71093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71093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5">
      <c r="A1" s="2"/>
      <c r="B1" s="2"/>
      <c r="C1" s="2"/>
      <c r="D1" s="2"/>
      <c r="E1" s="3" t="s">
        <v>63</v>
      </c>
      <c r="F1" s="4" t="s">
        <v>64</v>
      </c>
      <c r="G1" s="4" t="s">
        <v>65</v>
      </c>
      <c r="H1" s="4" t="s">
        <v>66</v>
      </c>
      <c r="I1" s="5"/>
    </row>
    <row r="2" spans="1:10" ht="30.75" customHeight="1" x14ac:dyDescent="0.25">
      <c r="A2" s="2"/>
      <c r="B2" s="2"/>
      <c r="C2" s="2"/>
      <c r="D2" s="2"/>
      <c r="E2" s="8">
        <f>IFERROR(O62,"")</f>
        <v>29471.91592641249</v>
      </c>
      <c r="F2" s="8">
        <f>IFERROR(H53,"")</f>
        <v>27810.1</v>
      </c>
      <c r="G2" s="8">
        <f>IFERROR(H54,"")</f>
        <v>278.3470476190476</v>
      </c>
      <c r="H2" s="8">
        <f>IFERROR(H56,"")</f>
        <v>709.17312274285723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132"/>
      <c r="B4" s="132"/>
      <c r="C4" s="132"/>
      <c r="D4" s="132"/>
      <c r="E4" s="132"/>
      <c r="F4" s="132"/>
      <c r="G4" s="132"/>
      <c r="H4" s="132"/>
      <c r="I4" s="11"/>
    </row>
    <row r="5" spans="1:10" ht="19.5" customHeight="1" thickBot="1" x14ac:dyDescent="0.3">
      <c r="A5" s="133" t="s">
        <v>67</v>
      </c>
      <c r="B5" s="134"/>
      <c r="C5" s="134"/>
      <c r="D5" s="134"/>
      <c r="E5" s="134"/>
      <c r="F5" s="134"/>
      <c r="G5" s="134"/>
      <c r="H5" s="135"/>
      <c r="I5" s="12"/>
    </row>
    <row r="6" spans="1:10" ht="19.5" thickBot="1" x14ac:dyDescent="0.3">
      <c r="A6" s="12"/>
      <c r="B6" s="12"/>
      <c r="C6" s="12"/>
      <c r="D6" s="12"/>
      <c r="E6" s="12"/>
      <c r="F6" s="136" t="s">
        <v>68</v>
      </c>
      <c r="G6" s="136"/>
      <c r="H6" s="13">
        <f ca="1">TODAY()</f>
        <v>45749</v>
      </c>
      <c r="I6" s="13"/>
    </row>
    <row r="7" spans="1:10" ht="26.25" thickBot="1" x14ac:dyDescent="0.3">
      <c r="A7" s="14" t="s">
        <v>69</v>
      </c>
      <c r="B7" s="15" t="s">
        <v>70</v>
      </c>
      <c r="C7" s="15" t="s">
        <v>69</v>
      </c>
      <c r="D7" s="16" t="s">
        <v>71</v>
      </c>
      <c r="E7" s="16" t="s">
        <v>72</v>
      </c>
      <c r="F7" s="16" t="s">
        <v>73</v>
      </c>
      <c r="G7" s="16" t="s">
        <v>74</v>
      </c>
      <c r="H7" s="17" t="s">
        <v>75</v>
      </c>
      <c r="I7" s="18"/>
    </row>
    <row r="8" spans="1:10" ht="13.5" x14ac:dyDescent="0.25">
      <c r="A8" s="19">
        <v>3500</v>
      </c>
      <c r="B8" s="7" t="str">
        <f>IFERROR(VLOOKUP(H8,'[1]Consolidado MP Planta'!$A$2:$M$823,3,0),"")</f>
        <v>HUEVO ENTERO PASTERI INNOVO (CAJA:10 K)</v>
      </c>
      <c r="C8" s="20">
        <f>+A8</f>
        <v>3500</v>
      </c>
      <c r="D8" s="21" t="str">
        <f>IFERROR(VLOOKUP(H8,'[1]Consolidado MP Planta'!$A$2:$M$823,13,0),"")</f>
        <v>Gramos</v>
      </c>
      <c r="E8" s="21">
        <v>2.78</v>
      </c>
      <c r="F8" s="21">
        <f>IFERROR(C8*E8,"")</f>
        <v>9730</v>
      </c>
      <c r="G8" s="22">
        <f t="shared" ref="G8:G14" si="0">IFERROR(F8/$F$66,"")</f>
        <v>0.33752318768441597</v>
      </c>
      <c r="H8" s="23" t="s">
        <v>48</v>
      </c>
      <c r="I8" s="23"/>
      <c r="J8" s="24"/>
    </row>
    <row r="9" spans="1:10" ht="13.5" x14ac:dyDescent="0.25">
      <c r="A9" s="19">
        <v>3000</v>
      </c>
      <c r="B9" s="7" t="str">
        <f>IFERROR(VLOOKUP(H9,'[1]Consolidado MP Planta'!$A$2:$M$823,3,0),"")</f>
        <v>ACEITE CAPULLO RBD (UND:17  L)</v>
      </c>
      <c r="C9" s="20">
        <f t="shared" ref="C9:C14" si="1">+A9</f>
        <v>3000</v>
      </c>
      <c r="D9" s="21" t="str">
        <f>IFERROR(VLOOKUP(H9,'[1]Consolidado MP Planta'!$A$2:$M$823,13,0),"")</f>
        <v>Mililitros</v>
      </c>
      <c r="E9" s="21">
        <v>1.58</v>
      </c>
      <c r="F9" s="21">
        <f t="shared" ref="F9:F14" si="2">IFERROR(C9*E9,"")</f>
        <v>4740</v>
      </c>
      <c r="G9" s="22">
        <f t="shared" si="0"/>
        <v>0.16442547889251097</v>
      </c>
      <c r="H9" s="23" t="s">
        <v>49</v>
      </c>
      <c r="I9" s="23"/>
      <c r="J9" s="24"/>
    </row>
    <row r="10" spans="1:10" ht="13.5" x14ac:dyDescent="0.25">
      <c r="A10" s="19">
        <v>2250</v>
      </c>
      <c r="B10" s="7" t="str">
        <f>IFERROR(VLOOKUP(H10,'[1]Consolidado MP Planta'!$A$2:$M$823,3,0),"")</f>
        <v>AGUA PLANTA</v>
      </c>
      <c r="C10" s="20">
        <f t="shared" si="1"/>
        <v>2250</v>
      </c>
      <c r="D10" s="21" t="str">
        <f>IFERROR(VLOOKUP(H10,'[1]Consolidado MP Planta'!$A$2:$M$823,13,0),"")</f>
        <v>Mililitros</v>
      </c>
      <c r="E10" s="21">
        <v>0.1</v>
      </c>
      <c r="F10" s="21">
        <f t="shared" si="2"/>
        <v>225</v>
      </c>
      <c r="G10" s="22">
        <f t="shared" si="0"/>
        <v>7.8050069094546346E-3</v>
      </c>
      <c r="H10" s="23" t="s">
        <v>50</v>
      </c>
      <c r="I10" s="23"/>
      <c r="J10" s="24"/>
    </row>
    <row r="11" spans="1:10" ht="13.5" x14ac:dyDescent="0.25">
      <c r="A11" s="19">
        <v>600</v>
      </c>
      <c r="B11" s="7" t="s">
        <v>59</v>
      </c>
      <c r="C11" s="20">
        <f t="shared" si="1"/>
        <v>600</v>
      </c>
      <c r="D11" s="21" t="s">
        <v>76</v>
      </c>
      <c r="E11" s="21">
        <v>2.44</v>
      </c>
      <c r="F11" s="21">
        <f t="shared" si="2"/>
        <v>1464</v>
      </c>
      <c r="G11" s="22">
        <f t="shared" si="0"/>
        <v>5.0784578290851493E-2</v>
      </c>
      <c r="H11" s="23" t="s">
        <v>58</v>
      </c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3">
      <c r="A16" s="14" t="s">
        <v>69</v>
      </c>
      <c r="B16" s="15" t="s">
        <v>77</v>
      </c>
      <c r="C16" s="15" t="s">
        <v>69</v>
      </c>
      <c r="D16" s="16" t="s">
        <v>71</v>
      </c>
      <c r="E16" s="16" t="s">
        <v>72</v>
      </c>
      <c r="F16" s="16" t="s">
        <v>73</v>
      </c>
      <c r="G16" s="16" t="s">
        <v>74</v>
      </c>
      <c r="H16" s="17" t="s">
        <v>75</v>
      </c>
      <c r="I16" s="18"/>
      <c r="J16" s="24"/>
    </row>
    <row r="17" spans="1:12" ht="13.5" x14ac:dyDescent="0.25">
      <c r="A17" s="19">
        <v>10000</v>
      </c>
      <c r="B17" s="7" t="s">
        <v>118</v>
      </c>
      <c r="C17" s="20">
        <f>+A17</f>
        <v>10000</v>
      </c>
      <c r="D17" s="20" t="s">
        <v>119</v>
      </c>
      <c r="E17" s="21">
        <f>+'Costo Premezcla '!E69</f>
        <v>1.1651100000000001</v>
      </c>
      <c r="F17" s="21">
        <f>IFERROR(E17*C17,"")</f>
        <v>11651.1</v>
      </c>
      <c r="G17" s="22">
        <f t="shared" ref="G17:G24" si="3">IFERROR(F17/$F$66,"")</f>
        <v>0.40416407112331953</v>
      </c>
      <c r="H17" s="23" t="s">
        <v>47</v>
      </c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hidden="1" thickBot="1" x14ac:dyDescent="0.3">
      <c r="A26" s="14" t="s">
        <v>69</v>
      </c>
      <c r="B26" s="15" t="s">
        <v>78</v>
      </c>
      <c r="C26" s="15" t="s">
        <v>69</v>
      </c>
      <c r="D26" s="16" t="s">
        <v>71</v>
      </c>
      <c r="E26" s="16" t="s">
        <v>72</v>
      </c>
      <c r="F26" s="16" t="s">
        <v>73</v>
      </c>
      <c r="G26" s="16" t="s">
        <v>74</v>
      </c>
      <c r="H26" s="17" t="s">
        <v>75</v>
      </c>
      <c r="I26" s="18"/>
    </row>
    <row r="27" spans="1:12" ht="14.25" hidden="1" thickBot="1" x14ac:dyDescent="0.3">
      <c r="A27" s="19">
        <v>0</v>
      </c>
      <c r="B27" s="25" t="str">
        <f>IFERROR(VLOOKUP(H27,'[1]Consolidado MP Planta'!$A$2:$M$823,3,0),"")</f>
        <v/>
      </c>
      <c r="C27" s="20">
        <f t="shared" ref="C27:C32" si="6">+A27</f>
        <v>0</v>
      </c>
      <c r="D27" s="21" t="str">
        <f>IFERROR(VLOOKUP(H27,'[1]Consolidado MP Planta'!$A$2:$M$823,13,0),"")</f>
        <v/>
      </c>
      <c r="E27" s="21" t="str">
        <f>IFERROR(VLOOKUP(H27,'[1]Consolidado MP Planta'!$A$2:$M$823,12,0),"")</f>
        <v/>
      </c>
      <c r="F27" s="21" t="str">
        <f t="shared" ref="F27:F32" si="7">IFERROR(C27*E27,"")</f>
        <v/>
      </c>
      <c r="G27" s="22" t="str">
        <f t="shared" ref="G27:G32" si="8">IFERROR(F27/$F$66,"")</f>
        <v/>
      </c>
      <c r="H27" s="26"/>
      <c r="I27" s="26"/>
      <c r="J27" s="24"/>
      <c r="K27" s="126"/>
      <c r="L27" s="126"/>
    </row>
    <row r="28" spans="1:12" ht="14.25" hidden="1" thickBot="1" x14ac:dyDescent="0.3">
      <c r="A28" s="19"/>
      <c r="B28" s="25" t="str">
        <f>IFERROR(VLOOKUP(H28,'[1]Consolidado MP Planta'!$A$2:$M$823,3,0),"")</f>
        <v/>
      </c>
      <c r="C28" s="20">
        <f t="shared" si="6"/>
        <v>0</v>
      </c>
      <c r="D28" s="21" t="str">
        <f>IFERROR(VLOOKUP(H28,'[1]Consolidado MP Planta'!$A$2:$M$823,13,0),"")</f>
        <v/>
      </c>
      <c r="E28" s="21" t="str">
        <f>IFERROR(VLOOKUP(H28,'[1]Consolidado MP Planta'!$A$2:$M$823,12,0),"")</f>
        <v/>
      </c>
      <c r="F28" s="21" t="str">
        <f t="shared" si="7"/>
        <v/>
      </c>
      <c r="G28" s="22" t="str">
        <f t="shared" si="8"/>
        <v/>
      </c>
      <c r="H28" s="26"/>
      <c r="I28" s="26"/>
      <c r="J28" s="24"/>
      <c r="K28" s="126"/>
      <c r="L28" s="126"/>
    </row>
    <row r="29" spans="1:12" ht="14.25" hidden="1" thickBot="1" x14ac:dyDescent="0.3">
      <c r="A29" s="19"/>
      <c r="B29" s="25" t="str">
        <f>IFERROR(VLOOKUP(H29,'[1]Consolidado MP Planta'!$A$2:$M$823,3,0),"")</f>
        <v/>
      </c>
      <c r="C29" s="20">
        <f t="shared" si="6"/>
        <v>0</v>
      </c>
      <c r="D29" s="21" t="str">
        <f>IFERROR(VLOOKUP(H29,'[1]Consolidado MP Planta'!$A$2:$M$823,13,0),"")</f>
        <v/>
      </c>
      <c r="E29" s="21" t="str">
        <f>IFERROR(VLOOKUP(H29,'[1]Consolidado MP Planta'!$A$2:$M$823,12,0),"")</f>
        <v/>
      </c>
      <c r="F29" s="21" t="str">
        <f t="shared" si="7"/>
        <v/>
      </c>
      <c r="G29" s="22" t="str">
        <f t="shared" si="8"/>
        <v/>
      </c>
      <c r="H29" s="26"/>
      <c r="I29" s="26"/>
      <c r="J29" s="24"/>
      <c r="K29" s="126"/>
      <c r="L29" s="126"/>
    </row>
    <row r="30" spans="1:12" ht="14.25" hidden="1" thickBot="1" x14ac:dyDescent="0.3">
      <c r="A30" s="19"/>
      <c r="B30" s="25" t="str">
        <f>IFERROR(VLOOKUP(H30,'[1]Consolidado MP Planta'!$A$2:$M$823,3,0),"")</f>
        <v/>
      </c>
      <c r="C30" s="20">
        <f t="shared" si="6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7"/>
        <v/>
      </c>
      <c r="G30" s="22" t="str">
        <f t="shared" si="8"/>
        <v/>
      </c>
      <c r="H30" s="26"/>
      <c r="I30" s="26"/>
      <c r="J30" s="24"/>
      <c r="K30" s="126"/>
      <c r="L30" s="126"/>
    </row>
    <row r="31" spans="1:12" ht="14.25" hidden="1" thickBot="1" x14ac:dyDescent="0.3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4.25" hidden="1" thickBot="1" x14ac:dyDescent="0.3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hidden="1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69</v>
      </c>
      <c r="B34" s="15" t="s">
        <v>82</v>
      </c>
      <c r="C34" s="15" t="s">
        <v>69</v>
      </c>
      <c r="D34" s="16" t="s">
        <v>71</v>
      </c>
      <c r="E34" s="16" t="s">
        <v>72</v>
      </c>
      <c r="F34" s="16" t="s">
        <v>73</v>
      </c>
      <c r="G34" s="16" t="s">
        <v>74</v>
      </c>
      <c r="H34" s="17" t="s">
        <v>75</v>
      </c>
      <c r="I34" s="26"/>
      <c r="J34" s="24"/>
    </row>
    <row r="35" spans="1:13" ht="13.5" x14ac:dyDescent="0.25">
      <c r="A35" s="19">
        <f>+A17</f>
        <v>10000</v>
      </c>
      <c r="B35" s="25" t="s">
        <v>118</v>
      </c>
      <c r="C35" s="20">
        <f>+A35</f>
        <v>10000</v>
      </c>
      <c r="D35" s="21" t="s">
        <v>76</v>
      </c>
      <c r="E35" s="21">
        <f>+'Costo Premezcla '!E76</f>
        <v>2.783470476190476E-2</v>
      </c>
      <c r="F35" s="21">
        <f>IFERROR(E35*C35,"")</f>
        <v>278.3470476190476</v>
      </c>
      <c r="G35" s="22">
        <f t="shared" ref="G35:G41" si="9">IFERROR(F35/$F$66,"")</f>
        <v>9.6555583550798438E-3</v>
      </c>
      <c r="H35" s="26"/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3">
      <c r="A43" s="14" t="s">
        <v>69</v>
      </c>
      <c r="B43" s="15" t="s">
        <v>83</v>
      </c>
      <c r="C43" s="15" t="s">
        <v>69</v>
      </c>
      <c r="D43" s="16" t="s">
        <v>71</v>
      </c>
      <c r="E43" s="16" t="s">
        <v>72</v>
      </c>
      <c r="F43" s="16" t="s">
        <v>73</v>
      </c>
      <c r="G43" s="16" t="s">
        <v>74</v>
      </c>
      <c r="H43" s="17" t="s">
        <v>75</v>
      </c>
      <c r="I43" s="18"/>
      <c r="J43" s="24"/>
    </row>
    <row r="44" spans="1:13" ht="13.5" x14ac:dyDescent="0.25">
      <c r="A44" s="19">
        <f>+A35</f>
        <v>10000</v>
      </c>
      <c r="B44" s="25" t="s">
        <v>118</v>
      </c>
      <c r="C44" s="20">
        <f>+A44</f>
        <v>10000</v>
      </c>
      <c r="D44" s="21" t="s">
        <v>76</v>
      </c>
      <c r="E44" s="21">
        <f>+'Costo Premezcla '!E74</f>
        <v>5.2617312274285725E-2</v>
      </c>
      <c r="F44" s="21">
        <f>IFERROR(E44*C44,"")</f>
        <v>526.17312274285723</v>
      </c>
      <c r="G44" s="22">
        <f>IFERROR(F44/$F$66,"")</f>
        <v>1.8252377149232543E-2</v>
      </c>
      <c r="H44" s="26"/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84</v>
      </c>
      <c r="C51" s="20">
        <f>+A51</f>
        <v>1</v>
      </c>
      <c r="D51" s="20" t="s">
        <v>85</v>
      </c>
      <c r="E51" s="21">
        <f>+F65</f>
        <v>183</v>
      </c>
      <c r="F51" s="21">
        <f>IFERROR(C51*E51,"")</f>
        <v>183</v>
      </c>
      <c r="G51" s="22">
        <f>IFERROR(F51/$F$66,"")</f>
        <v>6.3480722863564366E-3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3">
      <c r="A53" s="31"/>
      <c r="B53" s="127" t="s">
        <v>86</v>
      </c>
      <c r="C53" s="127"/>
      <c r="D53" s="127"/>
      <c r="E53" s="127"/>
      <c r="F53" s="33">
        <f>SUM(F8:F14,F17:F24)</f>
        <v>27810.1</v>
      </c>
      <c r="G53" s="22">
        <f>+F53/$F$66</f>
        <v>0.96470232290055258</v>
      </c>
      <c r="H53" s="34">
        <f>+F53/$D$60</f>
        <v>27810.1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127" t="s">
        <v>87</v>
      </c>
      <c r="C54" s="127"/>
      <c r="D54" s="127"/>
      <c r="E54" s="127"/>
      <c r="F54" s="33">
        <f>SUM(F27:F32,F35:F41)</f>
        <v>278.3470476190476</v>
      </c>
      <c r="G54" s="22">
        <f>+F54/$F$66</f>
        <v>9.6555583550798438E-3</v>
      </c>
      <c r="H54" s="34">
        <f>+F54/$D$60</f>
        <v>278.3470476190476</v>
      </c>
      <c r="I54" s="34"/>
      <c r="J54" s="38"/>
      <c r="K54" s="128" t="s">
        <v>88</v>
      </c>
      <c r="L54" s="129"/>
      <c r="M54" s="129"/>
      <c r="N54" s="129"/>
      <c r="O54" s="39">
        <f>+F55</f>
        <v>28088.447047619047</v>
      </c>
      <c r="P54" s="39"/>
      <c r="Q54" s="40"/>
    </row>
    <row r="55" spans="1:17" x14ac:dyDescent="0.2">
      <c r="A55" s="31"/>
      <c r="B55" s="127" t="s">
        <v>89</v>
      </c>
      <c r="C55" s="127"/>
      <c r="D55" s="127"/>
      <c r="E55" s="127"/>
      <c r="F55" s="33">
        <f>+F53+F54</f>
        <v>28088.447047619047</v>
      </c>
      <c r="G55" s="22">
        <f>+F55/$F$66</f>
        <v>0.9743578812556325</v>
      </c>
      <c r="H55" s="34">
        <f>+F55/$D$60</f>
        <v>28088.447047619047</v>
      </c>
      <c r="I55" s="34"/>
      <c r="J55" s="41"/>
      <c r="K55" s="42"/>
      <c r="M55" s="43" t="s">
        <v>90</v>
      </c>
      <c r="N55" s="44"/>
      <c r="O55" s="39">
        <f>+H56</f>
        <v>709.17312274285723</v>
      </c>
      <c r="P55" s="39"/>
      <c r="Q55" s="40"/>
    </row>
    <row r="56" spans="1:17" ht="13.5" thickBot="1" x14ac:dyDescent="0.25">
      <c r="A56" s="31"/>
      <c r="B56" s="32"/>
      <c r="C56" s="127" t="s">
        <v>91</v>
      </c>
      <c r="D56" s="127"/>
      <c r="E56" s="127"/>
      <c r="F56" s="33">
        <f>SUM(F44:F51)</f>
        <v>709.17312274285723</v>
      </c>
      <c r="G56" s="22">
        <f>+F56/$F$66</f>
        <v>2.4600449435588981E-2</v>
      </c>
      <c r="H56" s="34">
        <f>+F56/$D$60</f>
        <v>709.17312274285723</v>
      </c>
      <c r="I56" s="34"/>
      <c r="J56" s="41"/>
      <c r="K56" s="42"/>
      <c r="L56" s="42"/>
      <c r="M56" s="42" t="s">
        <v>92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93</v>
      </c>
      <c r="N57" s="51"/>
      <c r="O57" s="52">
        <f>SUM(O54:O56)</f>
        <v>28797.620170361904</v>
      </c>
      <c r="P57" s="53"/>
      <c r="Q57" s="40"/>
    </row>
    <row r="58" spans="1:17" x14ac:dyDescent="0.2">
      <c r="B58" s="130" t="s">
        <v>94</v>
      </c>
      <c r="C58" s="130"/>
      <c r="D58" s="54">
        <v>19350</v>
      </c>
      <c r="E58" s="55"/>
      <c r="G58" s="22"/>
      <c r="H58" s="48">
        <f>+H56/61</f>
        <v>11.62578889742389</v>
      </c>
      <c r="I58" s="56"/>
      <c r="J58" s="41"/>
      <c r="K58" s="49"/>
      <c r="L58" s="42"/>
      <c r="M58" s="42" t="s">
        <v>95</v>
      </c>
      <c r="N58" s="57"/>
      <c r="O58" s="39">
        <f>+H59</f>
        <v>674.29575605058562</v>
      </c>
      <c r="P58" s="39"/>
      <c r="Q58" s="40"/>
    </row>
    <row r="59" spans="1:17" x14ac:dyDescent="0.2">
      <c r="B59" s="130" t="s">
        <v>96</v>
      </c>
      <c r="C59" s="130"/>
      <c r="D59" s="58">
        <v>19350</v>
      </c>
      <c r="E59" s="55"/>
      <c r="G59" s="22"/>
      <c r="H59" s="48">
        <f>+H58*58</f>
        <v>674.29575605058562</v>
      </c>
      <c r="I59" s="56"/>
      <c r="J59" s="41"/>
      <c r="K59" s="49"/>
      <c r="L59" s="42"/>
      <c r="M59" s="131" t="s">
        <v>93</v>
      </c>
      <c r="N59" s="131"/>
      <c r="O59" s="39">
        <f>SUM(O57:O58)</f>
        <v>29471.91592641249</v>
      </c>
      <c r="P59" s="39"/>
      <c r="Q59" s="40"/>
    </row>
    <row r="60" spans="1:17" ht="13.5" thickBot="1" x14ac:dyDescent="0.25">
      <c r="B60" s="122" t="s">
        <v>97</v>
      </c>
      <c r="C60" s="122"/>
      <c r="D60" s="54">
        <f>+D58/D59</f>
        <v>1</v>
      </c>
      <c r="E60" s="55"/>
      <c r="F60" s="59"/>
      <c r="G60" s="22"/>
      <c r="H60" s="48"/>
      <c r="I60" s="56"/>
      <c r="J60" s="41"/>
      <c r="K60" s="49"/>
      <c r="L60" s="131"/>
      <c r="M60" s="131"/>
      <c r="N60" s="57"/>
      <c r="O60" s="39">
        <f>+O59*N60</f>
        <v>0</v>
      </c>
      <c r="P60" s="39"/>
      <c r="Q60" s="40"/>
    </row>
    <row r="61" spans="1:17" ht="13.5" thickBot="1" x14ac:dyDescent="0.25">
      <c r="B61" s="122" t="s">
        <v>98</v>
      </c>
      <c r="C61" s="122"/>
      <c r="D61" s="60"/>
      <c r="E61" s="55"/>
      <c r="F61" s="59"/>
      <c r="G61" s="22"/>
      <c r="H61" s="48"/>
      <c r="I61" s="56"/>
      <c r="J61" s="41"/>
      <c r="K61" s="123" t="s">
        <v>99</v>
      </c>
      <c r="L61" s="124"/>
      <c r="M61" s="124"/>
      <c r="N61" s="125"/>
      <c r="O61" s="52">
        <f>SUM(O59:O60)</f>
        <v>29471.91592641249</v>
      </c>
      <c r="P61" s="61" t="s">
        <v>100</v>
      </c>
      <c r="Q61" s="40"/>
    </row>
    <row r="62" spans="1:17" ht="13.5" thickBot="1" x14ac:dyDescent="0.25">
      <c r="C62" s="31" t="s">
        <v>101</v>
      </c>
      <c r="D62" s="62"/>
      <c r="E62" s="5" t="s">
        <v>102</v>
      </c>
      <c r="F62" s="63" t="s">
        <v>103</v>
      </c>
      <c r="G62" s="22"/>
      <c r="H62" s="48"/>
      <c r="I62" s="56"/>
      <c r="J62" s="64"/>
      <c r="K62" s="65"/>
      <c r="L62" s="111" t="s">
        <v>104</v>
      </c>
      <c r="M62" s="111"/>
      <c r="N62" s="111"/>
      <c r="O62" s="66">
        <f>+O61/D60</f>
        <v>29471.91592641249</v>
      </c>
      <c r="P62" s="67">
        <f>+O62/D59</f>
        <v>1.523096430305555</v>
      </c>
      <c r="Q62" s="68"/>
    </row>
    <row r="63" spans="1:17" ht="13.5" thickBot="1" x14ac:dyDescent="0.25">
      <c r="B63" s="112" t="s">
        <v>89</v>
      </c>
      <c r="C63" s="112"/>
      <c r="D63" s="112"/>
      <c r="E63" s="69">
        <f>+F63/F63</f>
        <v>1</v>
      </c>
      <c r="F63" s="70">
        <f>SUM(F55)</f>
        <v>28088.447047619047</v>
      </c>
      <c r="G63" s="22">
        <f>+F63/$F$66</f>
        <v>0.9743578812556325</v>
      </c>
      <c r="H63" s="48"/>
      <c r="I63" s="56"/>
      <c r="K63" s="113"/>
      <c r="L63" s="114"/>
      <c r="M63" s="114"/>
      <c r="N63" s="114"/>
      <c r="O63" s="71"/>
      <c r="P63" s="72"/>
    </row>
    <row r="64" spans="1:17" ht="13.5" thickBot="1" x14ac:dyDescent="0.3">
      <c r="B64" s="115" t="s">
        <v>105</v>
      </c>
      <c r="C64" s="115"/>
      <c r="D64" s="115"/>
      <c r="E64" s="73">
        <v>0.02</v>
      </c>
      <c r="F64" s="70">
        <f>+F53*E64</f>
        <v>556.202</v>
      </c>
      <c r="G64" s="22">
        <f>+F64/$F$66</f>
        <v>1.9294046458011051E-2</v>
      </c>
      <c r="H64" s="34"/>
      <c r="I64" s="56"/>
      <c r="J64" s="74"/>
      <c r="O64" s="75"/>
      <c r="P64" s="32"/>
    </row>
    <row r="65" spans="2:13" ht="13.5" thickBot="1" x14ac:dyDescent="0.3">
      <c r="B65" s="116" t="s">
        <v>106</v>
      </c>
      <c r="C65" s="117"/>
      <c r="D65" s="76">
        <v>3</v>
      </c>
      <c r="E65" s="77">
        <v>61</v>
      </c>
      <c r="F65" s="70">
        <f>+E65*D65</f>
        <v>183</v>
      </c>
      <c r="G65" s="22">
        <f>+F65/$F$66</f>
        <v>6.3480722863564366E-3</v>
      </c>
      <c r="H65" s="34"/>
      <c r="I65" s="34"/>
      <c r="J65" s="24"/>
    </row>
    <row r="66" spans="2:13" ht="13.5" thickBot="1" x14ac:dyDescent="0.3">
      <c r="B66" s="118" t="s">
        <v>107</v>
      </c>
      <c r="C66" s="119"/>
      <c r="D66" s="119"/>
      <c r="E66" s="120"/>
      <c r="F66" s="47">
        <f>SUM(F63:F65)</f>
        <v>28827.649047619048</v>
      </c>
      <c r="G66" s="22">
        <f>+F66/$F$66</f>
        <v>1</v>
      </c>
      <c r="H66" s="121"/>
      <c r="I66" s="34"/>
      <c r="J66" s="24"/>
      <c r="M66" s="7" t="s">
        <v>108</v>
      </c>
    </row>
    <row r="67" spans="2:13" x14ac:dyDescent="0.25">
      <c r="C67" s="29"/>
      <c r="D67" s="29"/>
      <c r="E67" s="79"/>
      <c r="F67" s="70"/>
      <c r="G67" s="22"/>
      <c r="H67" s="121"/>
      <c r="I67" s="78"/>
      <c r="J67" s="7"/>
      <c r="M67" s="7" t="s">
        <v>109</v>
      </c>
    </row>
    <row r="68" spans="2:13" ht="13.5" thickBot="1" x14ac:dyDescent="0.3">
      <c r="B68" s="106" t="s">
        <v>110</v>
      </c>
      <c r="C68" s="106"/>
      <c r="D68" s="106"/>
      <c r="E68" s="106"/>
      <c r="F68" s="106"/>
      <c r="G68" s="22"/>
      <c r="H68" s="81"/>
      <c r="I68" s="78"/>
      <c r="J68" s="7"/>
    </row>
    <row r="69" spans="2:13" ht="13.5" thickBot="1" x14ac:dyDescent="0.3">
      <c r="B69" s="82" t="s">
        <v>111</v>
      </c>
      <c r="C69" s="83">
        <f>+F53</f>
        <v>27810.1</v>
      </c>
      <c r="D69" s="83">
        <f>+D58</f>
        <v>19350</v>
      </c>
      <c r="E69" s="84">
        <f>+C69/D69</f>
        <v>1.4372144702842375</v>
      </c>
      <c r="F69" s="22"/>
      <c r="G69" s="81"/>
      <c r="H69" s="24"/>
      <c r="I69" s="81"/>
      <c r="J69" s="7"/>
    </row>
    <row r="70" spans="2:13" x14ac:dyDescent="0.25">
      <c r="B70" s="85"/>
      <c r="C70" s="86"/>
      <c r="D70" s="87"/>
      <c r="E70" s="70"/>
      <c r="F70" s="22"/>
      <c r="G70" s="81"/>
      <c r="H70" s="24"/>
      <c r="I70" s="24"/>
      <c r="J70" s="7"/>
    </row>
    <row r="71" spans="2:13" x14ac:dyDescent="0.25">
      <c r="B71" s="82" t="s">
        <v>112</v>
      </c>
      <c r="C71" s="83">
        <f>SUM(F63:F64)</f>
        <v>28644.649047619048</v>
      </c>
      <c r="D71" s="83">
        <f>+D58</f>
        <v>19350</v>
      </c>
      <c r="E71" s="88">
        <f>+C71/D71</f>
        <v>1.4803436200319922</v>
      </c>
      <c r="F71" s="22"/>
      <c r="G71" s="81"/>
      <c r="H71" s="24"/>
      <c r="I71" s="24"/>
      <c r="J71" s="7"/>
    </row>
    <row r="72" spans="2:13" x14ac:dyDescent="0.25">
      <c r="B72" s="82"/>
      <c r="C72" s="83"/>
      <c r="D72" s="83"/>
      <c r="E72" s="88"/>
      <c r="F72" s="22"/>
      <c r="G72" s="81"/>
      <c r="H72" s="24"/>
      <c r="I72" s="24"/>
      <c r="J72" s="7"/>
    </row>
    <row r="73" spans="2:13" ht="13.5" thickBot="1" x14ac:dyDescent="0.3">
      <c r="B73" s="82" t="s">
        <v>113</v>
      </c>
      <c r="C73" s="83">
        <f>+F65</f>
        <v>183</v>
      </c>
      <c r="D73" s="83">
        <f>+D58</f>
        <v>19350</v>
      </c>
      <c r="E73" s="88">
        <f>+C73/D73</f>
        <v>9.4573643410852705E-3</v>
      </c>
      <c r="F73" s="22"/>
      <c r="G73" s="81"/>
      <c r="H73" s="24"/>
      <c r="I73" s="24"/>
      <c r="J73" s="7"/>
    </row>
    <row r="74" spans="2:13" ht="13.5" thickBot="1" x14ac:dyDescent="0.3">
      <c r="B74" s="82" t="s">
        <v>114</v>
      </c>
      <c r="C74" s="83">
        <f>+F56</f>
        <v>709.17312274285723</v>
      </c>
      <c r="D74" s="83">
        <f>+D73</f>
        <v>19350</v>
      </c>
      <c r="E74" s="84">
        <f>+C74/D74</f>
        <v>3.6649773785160579E-2</v>
      </c>
      <c r="F74" s="22"/>
      <c r="G74" s="81"/>
      <c r="H74" s="24"/>
      <c r="I74" s="24"/>
      <c r="J74" s="7"/>
    </row>
    <row r="75" spans="2:13" ht="13.5" thickBot="1" x14ac:dyDescent="0.3">
      <c r="B75" s="46"/>
      <c r="C75" s="47"/>
      <c r="D75" s="47"/>
      <c r="E75" s="88"/>
      <c r="F75" s="22"/>
      <c r="G75" s="81"/>
      <c r="H75" s="24"/>
      <c r="I75" s="24"/>
      <c r="J75" s="7"/>
    </row>
    <row r="76" spans="2:13" ht="13.5" thickBot="1" x14ac:dyDescent="0.3">
      <c r="B76" s="82" t="s">
        <v>115</v>
      </c>
      <c r="C76" s="83">
        <f>+F54</f>
        <v>278.3470476190476</v>
      </c>
      <c r="D76" s="83">
        <f>+D74</f>
        <v>19350</v>
      </c>
      <c r="E76" s="84">
        <f>+C76/D76</f>
        <v>1.4384860342069643E-2</v>
      </c>
      <c r="F76" s="22"/>
      <c r="G76" s="81"/>
      <c r="H76" s="24"/>
      <c r="I76" s="24"/>
      <c r="J76" s="24"/>
    </row>
    <row r="77" spans="2:13" ht="13.5" thickBot="1" x14ac:dyDescent="0.3">
      <c r="B77" s="46"/>
      <c r="C77" s="47"/>
      <c r="D77" s="47"/>
      <c r="E77" s="88"/>
      <c r="F77" s="22"/>
      <c r="G77" s="81"/>
      <c r="H77" s="24"/>
      <c r="I77" s="24"/>
    </row>
    <row r="78" spans="2:13" ht="13.5" thickBot="1" x14ac:dyDescent="0.3">
      <c r="B78" s="107" t="s">
        <v>116</v>
      </c>
      <c r="C78" s="108"/>
      <c r="D78" s="109"/>
      <c r="E78" s="84">
        <f>+E69+E74</f>
        <v>1.4738642440693981</v>
      </c>
      <c r="G78" s="22"/>
      <c r="H78" s="81"/>
      <c r="I78" s="24"/>
      <c r="J78" s="88"/>
    </row>
    <row r="79" spans="2:13" x14ac:dyDescent="0.25">
      <c r="I79" s="81"/>
      <c r="J79" s="7"/>
    </row>
    <row r="80" spans="2:13" ht="13.5" thickBot="1" x14ac:dyDescent="0.3">
      <c r="B80" s="106" t="s">
        <v>117</v>
      </c>
      <c r="C80" s="106"/>
      <c r="D80" s="106"/>
      <c r="E80" s="106"/>
      <c r="F80" s="106"/>
      <c r="G80" s="22"/>
      <c r="H80" s="81"/>
      <c r="J80" s="7"/>
    </row>
    <row r="81" spans="1:10" ht="13.5" thickBot="1" x14ac:dyDescent="0.3">
      <c r="B81" s="82" t="s">
        <v>111</v>
      </c>
      <c r="C81" s="83">
        <f>+C69</f>
        <v>27810.1</v>
      </c>
      <c r="D81" s="83">
        <f>+D60</f>
        <v>1</v>
      </c>
      <c r="E81" s="84">
        <f>+C81/D81</f>
        <v>27810.1</v>
      </c>
      <c r="F81" s="22"/>
      <c r="G81" s="81"/>
      <c r="H81" s="24"/>
      <c r="I81" s="81"/>
      <c r="J81" s="7"/>
    </row>
    <row r="82" spans="1:10" x14ac:dyDescent="0.25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5">
      <c r="B83" s="82" t="s">
        <v>112</v>
      </c>
      <c r="C83" s="83">
        <f>+C71</f>
        <v>28644.649047619048</v>
      </c>
      <c r="D83" s="83">
        <f>+D60</f>
        <v>1</v>
      </c>
      <c r="E83" s="88">
        <f>+C83/D83</f>
        <v>28644.649047619048</v>
      </c>
      <c r="F83" s="22"/>
      <c r="G83" s="81"/>
      <c r="H83" s="24"/>
      <c r="I83" s="24"/>
      <c r="J83" s="7"/>
    </row>
    <row r="84" spans="1:10" x14ac:dyDescent="0.25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3">
      <c r="B85" s="82" t="s">
        <v>114</v>
      </c>
      <c r="C85" s="83">
        <f>+C73</f>
        <v>183</v>
      </c>
      <c r="D85" s="83">
        <f>+D60</f>
        <v>1</v>
      </c>
      <c r="E85" s="88">
        <f>+C85/D85</f>
        <v>183</v>
      </c>
      <c r="F85" s="90"/>
      <c r="G85" s="80"/>
      <c r="H85" s="6"/>
      <c r="I85" s="24"/>
    </row>
    <row r="86" spans="1:10" ht="13.5" thickBot="1" x14ac:dyDescent="0.3">
      <c r="B86" s="82" t="s">
        <v>114</v>
      </c>
      <c r="C86" s="83">
        <f>+C74</f>
        <v>709.17312274285723</v>
      </c>
      <c r="D86" s="83">
        <f>+D85</f>
        <v>1</v>
      </c>
      <c r="E86" s="84">
        <f>+C86/D86</f>
        <v>709.17312274285723</v>
      </c>
      <c r="F86" s="89"/>
      <c r="G86" s="80"/>
      <c r="H86" s="6"/>
      <c r="I86" s="6"/>
    </row>
    <row r="87" spans="1:10" x14ac:dyDescent="0.25">
      <c r="I87" s="6"/>
    </row>
    <row r="88" spans="1:10" x14ac:dyDescent="0.2">
      <c r="A88" s="110"/>
      <c r="B88" s="110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566F-D42D-4D8D-9F6E-3D974643BD80}">
  <dimension ref="A1:Q90"/>
  <sheetViews>
    <sheetView topLeftCell="A3" workbookViewId="0">
      <selection activeCell="A35" sqref="A35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71093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71093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71093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71093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71093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71093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71093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71093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71093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71093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71093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71093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71093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71093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71093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71093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71093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71093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71093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71093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71093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71093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71093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71093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71093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71093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71093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71093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71093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71093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71093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71093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71093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71093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71093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71093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71093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71093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71093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71093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71093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71093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71093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71093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71093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71093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71093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71093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71093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71093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71093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71093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71093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71093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71093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71093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71093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71093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71093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71093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71093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71093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71093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3" ht="27.75" customHeight="1" x14ac:dyDescent="0.25">
      <c r="A1" s="2"/>
      <c r="B1" s="2"/>
      <c r="C1" s="2"/>
      <c r="D1" s="2"/>
      <c r="E1" s="3" t="s">
        <v>63</v>
      </c>
      <c r="F1" s="4" t="s">
        <v>64</v>
      </c>
      <c r="G1" s="4" t="s">
        <v>65</v>
      </c>
      <c r="H1" s="4" t="s">
        <v>66</v>
      </c>
      <c r="I1" s="5"/>
    </row>
    <row r="2" spans="1:13" ht="30.75" customHeight="1" x14ac:dyDescent="0.25">
      <c r="A2" s="2"/>
      <c r="B2" s="2"/>
      <c r="C2" s="2"/>
      <c r="D2" s="2"/>
      <c r="E2" s="8">
        <f>IFERROR(O61,"")</f>
        <v>1228.1558719328425</v>
      </c>
      <c r="F2" s="8">
        <f>IFERROR(H52,"")</f>
        <v>1214.9707499999997</v>
      </c>
      <c r="G2" s="8">
        <f>IFERROR(H53,"")</f>
        <v>9.8533658039999992</v>
      </c>
      <c r="H2" s="8">
        <f>IFERROR(H55,"")</f>
        <v>54.218253663973691</v>
      </c>
      <c r="I2" s="9"/>
    </row>
    <row r="3" spans="1:13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3" ht="24.75" customHeight="1" thickBot="1" x14ac:dyDescent="0.3">
      <c r="A4" s="132"/>
      <c r="B4" s="132"/>
      <c r="C4" s="132"/>
      <c r="D4" s="132"/>
      <c r="E4" s="132"/>
      <c r="F4" s="132"/>
      <c r="G4" s="132"/>
      <c r="H4" s="132"/>
      <c r="I4" s="11"/>
      <c r="M4" s="7">
        <f>34/3500</f>
        <v>9.7142857142857135E-3</v>
      </c>
    </row>
    <row r="5" spans="1:13" ht="19.5" customHeight="1" thickBot="1" x14ac:dyDescent="0.3">
      <c r="A5" s="133" t="s">
        <v>67</v>
      </c>
      <c r="B5" s="134"/>
      <c r="C5" s="134"/>
      <c r="D5" s="134"/>
      <c r="E5" s="134"/>
      <c r="F5" s="134"/>
      <c r="G5" s="134"/>
      <c r="H5" s="135"/>
      <c r="I5" s="12"/>
      <c r="M5" s="7">
        <f>+M4*535</f>
        <v>5.1971428571428566</v>
      </c>
    </row>
    <row r="6" spans="1:13" ht="19.5" thickBot="1" x14ac:dyDescent="0.3">
      <c r="A6" s="12"/>
      <c r="B6" s="12"/>
      <c r="C6" s="12"/>
      <c r="D6" s="12"/>
      <c r="E6" s="12"/>
      <c r="F6" s="136" t="s">
        <v>68</v>
      </c>
      <c r="G6" s="136"/>
      <c r="H6" s="13">
        <f ca="1">TODAY()</f>
        <v>45749</v>
      </c>
      <c r="I6" s="13"/>
    </row>
    <row r="7" spans="1:13" ht="26.25" thickBot="1" x14ac:dyDescent="0.3">
      <c r="A7" s="14" t="s">
        <v>69</v>
      </c>
      <c r="B7" s="15" t="s">
        <v>70</v>
      </c>
      <c r="C7" s="15" t="s">
        <v>69</v>
      </c>
      <c r="D7" s="16" t="s">
        <v>71</v>
      </c>
      <c r="E7" s="16" t="s">
        <v>72</v>
      </c>
      <c r="F7" s="16" t="s">
        <v>73</v>
      </c>
      <c r="G7" s="16" t="s">
        <v>74</v>
      </c>
      <c r="H7" s="17" t="s">
        <v>75</v>
      </c>
      <c r="I7" s="18"/>
    </row>
    <row r="8" spans="1:13" ht="13.5" x14ac:dyDescent="0.25">
      <c r="A8" s="19">
        <v>1120</v>
      </c>
      <c r="B8" s="7" t="s">
        <v>52</v>
      </c>
      <c r="C8" s="20">
        <f t="shared" ref="C8:C13" si="0">+A8</f>
        <v>1120</v>
      </c>
      <c r="D8" s="21" t="s">
        <v>76</v>
      </c>
      <c r="E8" s="21">
        <v>5.19</v>
      </c>
      <c r="F8" s="21">
        <f t="shared" ref="F8:F13" si="1">IFERROR(C8*E8,"")</f>
        <v>5812.8</v>
      </c>
      <c r="G8" s="22">
        <f>IFERROR(F8/$F$65,"")</f>
        <v>0.14436461209132462</v>
      </c>
      <c r="H8" s="23" t="s">
        <v>47</v>
      </c>
      <c r="I8" s="23"/>
      <c r="J8" s="24"/>
      <c r="M8" s="7" t="s">
        <v>120</v>
      </c>
    </row>
    <row r="9" spans="1:13" ht="13.5" hidden="1" x14ac:dyDescent="0.25">
      <c r="A9" s="19">
        <v>690</v>
      </c>
      <c r="B9" s="7" t="s">
        <v>59</v>
      </c>
      <c r="C9" s="20"/>
      <c r="D9" s="21"/>
      <c r="E9" s="21"/>
      <c r="F9" s="21"/>
      <c r="G9" s="22"/>
      <c r="H9" s="23" t="s">
        <v>58</v>
      </c>
      <c r="I9" s="23"/>
      <c r="J9" s="24"/>
    </row>
    <row r="10" spans="1:13" ht="13.5" x14ac:dyDescent="0.25">
      <c r="A10" s="19">
        <v>690</v>
      </c>
      <c r="B10" s="7" t="s">
        <v>59</v>
      </c>
      <c r="C10" s="20">
        <f t="shared" si="0"/>
        <v>690</v>
      </c>
      <c r="D10" s="21" t="s">
        <v>119</v>
      </c>
      <c r="E10" s="21">
        <f>+'Costo batido'!E11</f>
        <v>2.44</v>
      </c>
      <c r="F10" s="21">
        <f t="shared" si="1"/>
        <v>1683.6</v>
      </c>
      <c r="G10" s="22">
        <f>IFERROR(F10/$F$65,"")</f>
        <v>4.181328463338737E-2</v>
      </c>
      <c r="H10" s="23" t="s">
        <v>58</v>
      </c>
      <c r="I10" s="23"/>
      <c r="J10" s="24"/>
    </row>
    <row r="11" spans="1:13" ht="13.5" hidden="1" x14ac:dyDescent="0.25">
      <c r="A11" s="19"/>
      <c r="B11" s="7" t="str">
        <f>IFERROR(VLOOKUP(H11,'[1]Consolidado MP Planta'!$A$2:$M$823,3,0),"")</f>
        <v/>
      </c>
      <c r="C11" s="20">
        <f t="shared" si="0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1"/>
        <v/>
      </c>
      <c r="G11" s="22" t="str">
        <f>IFERROR(F11/$F$65,"")</f>
        <v/>
      </c>
      <c r="H11" s="23"/>
      <c r="I11" s="23"/>
      <c r="J11" s="24"/>
    </row>
    <row r="12" spans="1:13" ht="13.5" hidden="1" x14ac:dyDescent="0.25">
      <c r="A12" s="19"/>
      <c r="B12" s="7" t="str">
        <f>IFERROR(VLOOKUP(H12,'[1]Consolidado MP Planta'!$A$2:$M$823,3,0),"")</f>
        <v/>
      </c>
      <c r="C12" s="20">
        <f t="shared" si="0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1"/>
        <v/>
      </c>
      <c r="G12" s="22" t="str">
        <f>IFERROR(F12/$F$65,"")</f>
        <v/>
      </c>
      <c r="H12" s="23"/>
      <c r="I12" s="23"/>
      <c r="J12" s="24"/>
    </row>
    <row r="13" spans="1:13" ht="13.5" hidden="1" x14ac:dyDescent="0.25">
      <c r="A13" s="19"/>
      <c r="B13" s="7" t="str">
        <f>IFERROR(VLOOKUP(H13,'[1]Consolidado MP Planta'!$A$2:$M$823,3,0),"")</f>
        <v/>
      </c>
      <c r="C13" s="20">
        <f t="shared" si="0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1"/>
        <v/>
      </c>
      <c r="G13" s="22" t="str">
        <f>IFERROR(F13/$F$65,"")</f>
        <v/>
      </c>
      <c r="H13" s="23"/>
      <c r="I13" s="23"/>
      <c r="J13" s="24"/>
    </row>
    <row r="14" spans="1:13" ht="14.25" thickBot="1" x14ac:dyDescent="0.3">
      <c r="A14" s="19"/>
      <c r="B14" s="7" t="str">
        <f>IFERROR(VLOOKUP(H14,'[2]ARTICULOS MP PLANTA'!$A$2:$G$589,2,0),"")</f>
        <v/>
      </c>
      <c r="C14" s="20"/>
      <c r="D14" s="21"/>
      <c r="E14" s="21"/>
      <c r="F14" s="21"/>
      <c r="G14" s="22"/>
      <c r="H14" s="23"/>
      <c r="I14" s="23"/>
      <c r="J14" s="24"/>
    </row>
    <row r="15" spans="1:13" ht="26.25" thickBot="1" x14ac:dyDescent="0.3">
      <c r="A15" s="14" t="s">
        <v>69</v>
      </c>
      <c r="B15" s="15" t="s">
        <v>77</v>
      </c>
      <c r="C15" s="15" t="s">
        <v>69</v>
      </c>
      <c r="D15" s="16" t="s">
        <v>71</v>
      </c>
      <c r="E15" s="16" t="s">
        <v>72</v>
      </c>
      <c r="F15" s="16" t="s">
        <v>73</v>
      </c>
      <c r="G15" s="16" t="s">
        <v>74</v>
      </c>
      <c r="H15" s="17" t="s">
        <v>75</v>
      </c>
      <c r="I15" s="18"/>
      <c r="J15" s="24"/>
    </row>
    <row r="16" spans="1:13" ht="13.5" x14ac:dyDescent="0.25">
      <c r="A16" s="19">
        <v>19350</v>
      </c>
      <c r="B16" s="7" t="s">
        <v>60</v>
      </c>
      <c r="C16" s="20">
        <f>+A16</f>
        <v>19350</v>
      </c>
      <c r="D16" s="20" t="s">
        <v>119</v>
      </c>
      <c r="E16" s="21">
        <f>+'Costo batido'!E69</f>
        <v>1.4372144702842375</v>
      </c>
      <c r="F16" s="21">
        <f>IFERROR(E16*C16,"")</f>
        <v>27810.099999999995</v>
      </c>
      <c r="G16" s="22">
        <f t="shared" ref="G16:G23" si="2">IFERROR(F16/$F$65,"")</f>
        <v>0.6906816506194855</v>
      </c>
      <c r="H16" s="23" t="s">
        <v>47</v>
      </c>
      <c r="I16" s="23"/>
      <c r="J16" s="24"/>
    </row>
    <row r="17" spans="1:12" ht="13.5" x14ac:dyDescent="0.25">
      <c r="A17" s="19">
        <v>1600</v>
      </c>
      <c r="B17" s="7" t="str">
        <f>IFERROR(VLOOKUP(H17,[1]SEMIELABORADOS!$A$2:$M$6000,2,0),"")</f>
        <v>MEZCLA P/ENGRASE MOLDES KILO</v>
      </c>
      <c r="C17" s="20">
        <f t="shared" ref="C17:C23" si="3">+A17</f>
        <v>1600</v>
      </c>
      <c r="D17" s="20" t="str">
        <f>IFERROR(VLOOKUP(H17,[1]SEMIELABORADOS!$A$2:$M$6000,6,0),"")</f>
        <v>Gramo</v>
      </c>
      <c r="E17" s="21">
        <v>2.04</v>
      </c>
      <c r="F17" s="21">
        <f t="shared" ref="F17:F23" si="4">IFERROR(E17*C17,"")</f>
        <v>3264</v>
      </c>
      <c r="G17" s="22">
        <f t="shared" si="2"/>
        <v>8.1063531149546425E-2</v>
      </c>
      <c r="H17" s="23" t="s">
        <v>51</v>
      </c>
      <c r="I17" s="23"/>
      <c r="J17" s="24"/>
    </row>
    <row r="18" spans="1:12" ht="13.5" hidden="1" x14ac:dyDescent="0.25">
      <c r="A18" s="19">
        <v>0</v>
      </c>
      <c r="C18" s="20">
        <f>+A18</f>
        <v>0</v>
      </c>
      <c r="D18" s="20" t="s">
        <v>119</v>
      </c>
      <c r="E18" s="21">
        <v>0</v>
      </c>
      <c r="F18" s="21">
        <f>IFERROR(E18*C18,"")</f>
        <v>0</v>
      </c>
      <c r="G18" s="22">
        <f t="shared" si="2"/>
        <v>0</v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2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2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 t="shared" si="3"/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 t="shared" si="4"/>
        <v/>
      </c>
      <c r="G21" s="22" t="str">
        <f t="shared" si="2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3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4"/>
        <v/>
      </c>
      <c r="G22" s="22" t="str">
        <f t="shared" si="2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3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4"/>
        <v/>
      </c>
      <c r="G23" s="22" t="str">
        <f t="shared" si="2"/>
        <v/>
      </c>
      <c r="H23" s="23"/>
      <c r="I23" s="23"/>
      <c r="J23" s="24"/>
    </row>
    <row r="24" spans="1:12" ht="14.25" thickBot="1" x14ac:dyDescent="0.3">
      <c r="A24" s="19"/>
      <c r="C24" s="20"/>
      <c r="D24" s="20"/>
      <c r="E24" s="21"/>
      <c r="F24" s="21"/>
      <c r="G24" s="22"/>
      <c r="H24" s="23"/>
      <c r="I24" s="23"/>
      <c r="J24" s="24"/>
    </row>
    <row r="25" spans="1:12" ht="24.75" hidden="1" customHeight="1" x14ac:dyDescent="0.25">
      <c r="A25" s="14" t="s">
        <v>69</v>
      </c>
      <c r="B25" s="15" t="s">
        <v>78</v>
      </c>
      <c r="C25" s="15" t="s">
        <v>69</v>
      </c>
      <c r="D25" s="16" t="s">
        <v>71</v>
      </c>
      <c r="E25" s="16" t="s">
        <v>72</v>
      </c>
      <c r="F25" s="16" t="s">
        <v>73</v>
      </c>
      <c r="G25" s="16" t="s">
        <v>74</v>
      </c>
      <c r="H25" s="17" t="s">
        <v>75</v>
      </c>
      <c r="I25" s="18"/>
    </row>
    <row r="26" spans="1:12" ht="14.25" hidden="1" thickBot="1" x14ac:dyDescent="0.3">
      <c r="A26" s="19">
        <v>0</v>
      </c>
      <c r="B26" s="25" t="str">
        <f>IFERROR(VLOOKUP(H26,'[1]Consolidado MP Planta'!$A$2:$M$823,3,0),"")</f>
        <v/>
      </c>
      <c r="C26" s="20">
        <f t="shared" ref="C26:C31" si="5">+A26</f>
        <v>0</v>
      </c>
      <c r="D26" s="21" t="str">
        <f>IFERROR(VLOOKUP(H26,'[1]Consolidado MP Planta'!$A$2:$M$823,13,0),"")</f>
        <v/>
      </c>
      <c r="E26" s="21" t="str">
        <f>IFERROR(VLOOKUP(H26,'[1]Consolidado MP Planta'!$A$2:$M$823,12,0),"")</f>
        <v/>
      </c>
      <c r="F26" s="21" t="str">
        <f t="shared" ref="F26:F31" si="6">IFERROR(C26*E26,"")</f>
        <v/>
      </c>
      <c r="G26" s="22" t="str">
        <f t="shared" ref="G26:G31" si="7">IFERROR(F26/$F$65,"")</f>
        <v/>
      </c>
      <c r="H26" s="26"/>
      <c r="I26" s="26"/>
      <c r="J26" s="24"/>
      <c r="K26" s="126"/>
      <c r="L26" s="126"/>
    </row>
    <row r="27" spans="1:12" ht="14.25" hidden="1" thickBot="1" x14ac:dyDescent="0.3">
      <c r="A27" s="19"/>
      <c r="B27" s="25" t="str">
        <f>IFERROR(VLOOKUP(H27,'[1]Consolidado MP Planta'!$A$2:$M$823,3,0),"")</f>
        <v/>
      </c>
      <c r="C27" s="20">
        <f t="shared" si="5"/>
        <v>0</v>
      </c>
      <c r="D27" s="21" t="str">
        <f>IFERROR(VLOOKUP(H27,'[1]Consolidado MP Planta'!$A$2:$M$823,13,0),"")</f>
        <v/>
      </c>
      <c r="E27" s="21" t="str">
        <f>IFERROR(VLOOKUP(H27,'[1]Consolidado MP Planta'!$A$2:$M$823,12,0),"")</f>
        <v/>
      </c>
      <c r="F27" s="21" t="str">
        <f t="shared" si="6"/>
        <v/>
      </c>
      <c r="G27" s="22" t="str">
        <f t="shared" si="7"/>
        <v/>
      </c>
      <c r="H27" s="26"/>
      <c r="I27" s="26"/>
      <c r="J27" s="24"/>
      <c r="K27" s="126"/>
      <c r="L27" s="126"/>
    </row>
    <row r="28" spans="1:12" ht="14.25" hidden="1" thickBot="1" x14ac:dyDescent="0.3">
      <c r="A28" s="19"/>
      <c r="B28" s="25" t="str">
        <f>IFERROR(VLOOKUP(H28,'[1]Consolidado MP Planta'!$A$2:$M$823,3,0),"")</f>
        <v/>
      </c>
      <c r="C28" s="20">
        <f t="shared" si="5"/>
        <v>0</v>
      </c>
      <c r="D28" s="21" t="str">
        <f>IFERROR(VLOOKUP(H28,'[1]Consolidado MP Planta'!$A$2:$M$823,13,0),"")</f>
        <v/>
      </c>
      <c r="E28" s="21" t="str">
        <f>IFERROR(VLOOKUP(H28,'[1]Consolidado MP Planta'!$A$2:$M$823,12,0),"")</f>
        <v/>
      </c>
      <c r="F28" s="21" t="str">
        <f t="shared" si="6"/>
        <v/>
      </c>
      <c r="G28" s="22" t="str">
        <f t="shared" si="7"/>
        <v/>
      </c>
      <c r="H28" s="26"/>
      <c r="I28" s="26"/>
      <c r="J28" s="24"/>
      <c r="K28" s="126"/>
      <c r="L28" s="126"/>
    </row>
    <row r="29" spans="1:12" ht="14.25" hidden="1" thickBot="1" x14ac:dyDescent="0.3">
      <c r="A29" s="19"/>
      <c r="B29" s="25" t="str">
        <f>IFERROR(VLOOKUP(H29,'[1]Consolidado MP Planta'!$A$2:$M$823,3,0),"")</f>
        <v/>
      </c>
      <c r="C29" s="20">
        <f t="shared" si="5"/>
        <v>0</v>
      </c>
      <c r="D29" s="21" t="str">
        <f>IFERROR(VLOOKUP(H29,'[1]Consolidado MP Planta'!$A$2:$M$823,13,0),"")</f>
        <v/>
      </c>
      <c r="E29" s="21" t="str">
        <f>IFERROR(VLOOKUP(H29,'[1]Consolidado MP Planta'!$A$2:$M$823,12,0),"")</f>
        <v/>
      </c>
      <c r="F29" s="21" t="str">
        <f t="shared" si="6"/>
        <v/>
      </c>
      <c r="G29" s="22" t="str">
        <f t="shared" si="7"/>
        <v/>
      </c>
      <c r="H29" s="26"/>
      <c r="I29" s="26"/>
      <c r="J29" s="24"/>
      <c r="K29" s="126"/>
      <c r="L29" s="126"/>
    </row>
    <row r="30" spans="1:12" ht="14.25" hidden="1" thickBot="1" x14ac:dyDescent="0.3">
      <c r="A30" s="19"/>
      <c r="B30" s="25" t="str">
        <f>IFERROR(VLOOKUP(H30,'[1]Consolidado MP Planta'!$A$2:$M$823,3,0),"")</f>
        <v/>
      </c>
      <c r="C30" s="20">
        <f t="shared" si="5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6"/>
        <v/>
      </c>
      <c r="G30" s="22" t="str">
        <f t="shared" si="7"/>
        <v/>
      </c>
      <c r="H30" s="26"/>
      <c r="I30" s="26"/>
      <c r="J30" s="24"/>
      <c r="K30" s="27"/>
      <c r="L30" s="28"/>
    </row>
    <row r="31" spans="1:12" ht="14.25" hidden="1" thickBot="1" x14ac:dyDescent="0.3">
      <c r="A31" s="19"/>
      <c r="B31" s="25" t="str">
        <f>IFERROR(VLOOKUP(H31,'[1]Consolidado MP Planta'!$A$2:$M$823,3,0),"")</f>
        <v/>
      </c>
      <c r="C31" s="20">
        <f t="shared" si="5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6"/>
        <v/>
      </c>
      <c r="G31" s="22" t="str">
        <f t="shared" si="7"/>
        <v/>
      </c>
      <c r="H31" s="26"/>
      <c r="I31" s="26"/>
      <c r="J31" s="24"/>
    </row>
    <row r="32" spans="1:12" ht="14.25" hidden="1" thickBot="1" x14ac:dyDescent="0.3">
      <c r="A32" s="19"/>
      <c r="B32" s="25"/>
      <c r="C32" s="20"/>
      <c r="D32" s="21"/>
      <c r="E32" s="21"/>
      <c r="F32" s="21"/>
      <c r="G32" s="22"/>
      <c r="H32" s="26"/>
      <c r="I32" s="26"/>
      <c r="J32" s="24"/>
    </row>
    <row r="33" spans="1:13" ht="26.25" thickBot="1" x14ac:dyDescent="0.25">
      <c r="A33" s="14" t="s">
        <v>69</v>
      </c>
      <c r="B33" s="15" t="s">
        <v>82</v>
      </c>
      <c r="C33" s="15" t="s">
        <v>69</v>
      </c>
      <c r="D33" s="16" t="s">
        <v>71</v>
      </c>
      <c r="E33" s="16" t="s">
        <v>72</v>
      </c>
      <c r="F33" s="16" t="s">
        <v>73</v>
      </c>
      <c r="G33" s="16" t="s">
        <v>74</v>
      </c>
      <c r="H33" s="17" t="s">
        <v>75</v>
      </c>
      <c r="I33" s="26"/>
      <c r="J33" s="24"/>
    </row>
    <row r="34" spans="1:13" ht="13.5" x14ac:dyDescent="0.25">
      <c r="A34" s="19">
        <f>+A16</f>
        <v>19350</v>
      </c>
      <c r="B34" s="7" t="s">
        <v>60</v>
      </c>
      <c r="C34" s="20">
        <f>+A34</f>
        <v>19350</v>
      </c>
      <c r="D34" s="21" t="s">
        <v>119</v>
      </c>
      <c r="E34" s="21">
        <f>+'Costo batido'!E76</f>
        <v>1.4384860342069643E-2</v>
      </c>
      <c r="F34" s="21">
        <f>IFERROR(E34*C34,"")</f>
        <v>278.3470476190476</v>
      </c>
      <c r="G34" s="22">
        <f t="shared" ref="G34:G40" si="8">IFERROR(F34/$F$65,"")</f>
        <v>6.912927256449433E-3</v>
      </c>
      <c r="H34" s="23" t="s">
        <v>47</v>
      </c>
      <c r="I34" s="26"/>
      <c r="J34" s="24"/>
    </row>
    <row r="35" spans="1:13" ht="13.5" x14ac:dyDescent="0.25">
      <c r="A35" s="19">
        <f t="shared" ref="A35:A40" si="9">+A17</f>
        <v>1600</v>
      </c>
      <c r="B35" s="25" t="str">
        <f>IFERROR(VLOOKUP(H35,[1]SEMIELABORADOS!$A$2:$M$6000,2,0),"")</f>
        <v>MEZCLA P/ENGRASE MOLDES KILO</v>
      </c>
      <c r="C35" s="20">
        <f t="shared" ref="C35:C40" si="10">+A35</f>
        <v>1600</v>
      </c>
      <c r="D35" s="21" t="str">
        <f>IFERROR(VLOOKUP(H35,[1]SEMIELABORADOS!$A$2:$M$6000,6,0),"")</f>
        <v>Gramo</v>
      </c>
      <c r="E35" s="21">
        <f>IFERROR(VLOOKUP(H35,[1]SEMIELABORADOS!$A$2:$M$65536,10,0),"")</f>
        <v>2.1536385000000002E-2</v>
      </c>
      <c r="F35" s="21">
        <f t="shared" ref="F35:F40" si="11">IFERROR(E35*C35,"")</f>
        <v>34.458216</v>
      </c>
      <c r="G35" s="22">
        <f t="shared" si="8"/>
        <v>8.5579187073339441E-4</v>
      </c>
      <c r="H35" s="26" t="s">
        <v>51</v>
      </c>
      <c r="I35" s="26"/>
      <c r="J35" s="24"/>
    </row>
    <row r="36" spans="1:13" ht="13.5" hidden="1" x14ac:dyDescent="0.25">
      <c r="A36" s="19">
        <f t="shared" si="9"/>
        <v>0</v>
      </c>
      <c r="B36" s="25"/>
      <c r="C36" s="20">
        <f t="shared" si="10"/>
        <v>0</v>
      </c>
      <c r="D36" s="21" t="s">
        <v>119</v>
      </c>
      <c r="E36" s="21"/>
      <c r="F36" s="21">
        <f t="shared" si="11"/>
        <v>0</v>
      </c>
      <c r="G36" s="22">
        <f t="shared" si="8"/>
        <v>0</v>
      </c>
      <c r="H36" s="26"/>
      <c r="I36" s="26"/>
      <c r="J36" s="24"/>
    </row>
    <row r="37" spans="1:13" ht="13.5" hidden="1" x14ac:dyDescent="0.25">
      <c r="A37" s="19">
        <f t="shared" si="9"/>
        <v>0</v>
      </c>
      <c r="B37" s="25" t="str">
        <f>IFERROR(VLOOKUP(H37,[1]SEMIELABORADOS!$A$2:$M$6000,2,0),"")</f>
        <v/>
      </c>
      <c r="C37" s="20">
        <f>+A37</f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>IFERROR(E37*C37,"")</f>
        <v/>
      </c>
      <c r="G37" s="22" t="str">
        <f t="shared" si="8"/>
        <v/>
      </c>
      <c r="H37" s="26"/>
      <c r="I37" s="26"/>
      <c r="J37" s="24"/>
    </row>
    <row r="38" spans="1:13" ht="13.5" hidden="1" x14ac:dyDescent="0.25">
      <c r="A38" s="19">
        <f t="shared" si="9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8"/>
        <v/>
      </c>
      <c r="H38" s="26"/>
      <c r="I38" s="26"/>
      <c r="J38" s="24"/>
    </row>
    <row r="39" spans="1:13" ht="13.5" hidden="1" x14ac:dyDescent="0.25">
      <c r="A39" s="19">
        <f t="shared" si="9"/>
        <v>0</v>
      </c>
      <c r="B39" s="25" t="str">
        <f>IFERROR(VLOOKUP(H39,[1]SEMIELABORADOS!$A$2:$M$6000,2,0),"")</f>
        <v/>
      </c>
      <c r="C39" s="20">
        <f t="shared" si="10"/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 t="shared" si="11"/>
        <v/>
      </c>
      <c r="G39" s="22" t="str">
        <f t="shared" si="8"/>
        <v/>
      </c>
      <c r="H39" s="26"/>
      <c r="I39" s="26"/>
      <c r="J39" s="24"/>
    </row>
    <row r="40" spans="1:13" ht="13.5" hidden="1" x14ac:dyDescent="0.25">
      <c r="A40" s="19">
        <f t="shared" si="9"/>
        <v>0</v>
      </c>
      <c r="B40" s="25" t="str">
        <f>IFERROR(VLOOKUP(H40,[1]SEMIELABORADOS!$A$2:$M$6000,2,0),"")</f>
        <v/>
      </c>
      <c r="C40" s="20">
        <f t="shared" si="10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1"/>
        <v/>
      </c>
      <c r="G40" s="22" t="str">
        <f t="shared" si="8"/>
        <v/>
      </c>
      <c r="H40" s="26"/>
      <c r="I40" s="26"/>
      <c r="J40" s="24"/>
    </row>
    <row r="41" spans="1:13" ht="14.25" thickBot="1" x14ac:dyDescent="0.3">
      <c r="A41" s="19"/>
      <c r="B41" s="25"/>
      <c r="C41" s="20"/>
      <c r="D41" s="21"/>
      <c r="E41" s="21"/>
      <c r="F41" s="21"/>
      <c r="G41" s="22"/>
      <c r="H41" s="26"/>
      <c r="I41" s="26"/>
      <c r="J41" s="24"/>
    </row>
    <row r="42" spans="1:13" ht="26.25" thickBot="1" x14ac:dyDescent="0.3">
      <c r="A42" s="14" t="s">
        <v>69</v>
      </c>
      <c r="B42" s="15" t="s">
        <v>83</v>
      </c>
      <c r="C42" s="15" t="s">
        <v>69</v>
      </c>
      <c r="D42" s="16" t="s">
        <v>71</v>
      </c>
      <c r="E42" s="16" t="s">
        <v>72</v>
      </c>
      <c r="F42" s="16" t="s">
        <v>73</v>
      </c>
      <c r="G42" s="16" t="s">
        <v>74</v>
      </c>
      <c r="H42" s="17" t="s">
        <v>75</v>
      </c>
      <c r="I42" s="18"/>
      <c r="J42" s="24"/>
    </row>
    <row r="43" spans="1:13" ht="13.5" x14ac:dyDescent="0.25">
      <c r="A43" s="19">
        <f>+A34</f>
        <v>19350</v>
      </c>
      <c r="B43" s="7" t="s">
        <v>60</v>
      </c>
      <c r="C43" s="20">
        <f>+A43</f>
        <v>19350</v>
      </c>
      <c r="D43" s="21" t="s">
        <v>76</v>
      </c>
      <c r="E43" s="21">
        <f>+'Costo batido'!E74</f>
        <v>3.6649773785160579E-2</v>
      </c>
      <c r="F43" s="21">
        <f>IFERROR(E43*C43,"")</f>
        <v>709.17312274285723</v>
      </c>
      <c r="G43" s="22">
        <f>IFERROR(F43/$F$65,"")</f>
        <v>1.7612768849842746E-2</v>
      </c>
      <c r="H43" s="23" t="s">
        <v>47</v>
      </c>
      <c r="I43" s="18"/>
      <c r="J43" s="24"/>
    </row>
    <row r="44" spans="1:13" ht="13.5" x14ac:dyDescent="0.25">
      <c r="A44" s="19">
        <f t="shared" ref="A44:A49" si="12">+A35</f>
        <v>1600</v>
      </c>
      <c r="B44" s="25" t="str">
        <f>IFERROR(VLOOKUP(H44,[1]SEMIELABORADOS!$A$2:$M$6000,2,0),"")</f>
        <v>MEZCLA P/ENGRASE MOLDES KILO</v>
      </c>
      <c r="C44" s="20">
        <f t="shared" ref="C44:C49" si="13">+A44</f>
        <v>1600</v>
      </c>
      <c r="D44" s="21" t="str">
        <f>IFERROR(VLOOKUP(H44,[1]SEMIELABORADOS!$A$2:$M$6000,6,0),"")</f>
        <v>Gramo</v>
      </c>
      <c r="E44" s="21">
        <f>IFERROR(VLOOKUP(H44,[1]SEMIELABORADOS!$A$2:$M$65536,12,0),"")</f>
        <v>0.25127579955503354</v>
      </c>
      <c r="F44" s="21">
        <f t="shared" ref="F44:F49" si="14">IFERROR(E44*C44,"")</f>
        <v>402.04127928805366</v>
      </c>
      <c r="G44" s="22">
        <f t="shared" ref="G44:G49" si="15">IFERROR(F44/$F$65,"")</f>
        <v>9.98495274723365E-3</v>
      </c>
      <c r="H44" s="26" t="s">
        <v>51</v>
      </c>
      <c r="I44" s="18"/>
      <c r="J44" s="24"/>
      <c r="M44" s="29"/>
    </row>
    <row r="45" spans="1:13" ht="13.5" hidden="1" x14ac:dyDescent="0.25">
      <c r="A45" s="19">
        <v>0</v>
      </c>
      <c r="B45" s="25"/>
      <c r="C45" s="20">
        <f t="shared" si="13"/>
        <v>0</v>
      </c>
      <c r="D45" s="21" t="s">
        <v>76</v>
      </c>
      <c r="E45" s="21">
        <v>0</v>
      </c>
      <c r="F45" s="21">
        <f t="shared" si="14"/>
        <v>0</v>
      </c>
      <c r="G45" s="22">
        <f t="shared" si="15"/>
        <v>0</v>
      </c>
      <c r="H45" s="26"/>
      <c r="I45" s="18"/>
      <c r="J45" s="24"/>
    </row>
    <row r="46" spans="1:13" ht="13.5" hidden="1" x14ac:dyDescent="0.25">
      <c r="A46" s="19">
        <f t="shared" si="12"/>
        <v>0</v>
      </c>
      <c r="B46" s="25" t="str">
        <f>IFERROR(VLOOKUP(H46,[1]SEMIELABORADOS!$A$2:$M$6000,2,0),"")</f>
        <v/>
      </c>
      <c r="C46" s="20">
        <f t="shared" si="13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4"/>
        <v/>
      </c>
      <c r="G46" s="22" t="str">
        <f t="shared" si="15"/>
        <v/>
      </c>
      <c r="H46" s="26"/>
      <c r="I46" s="18"/>
      <c r="J46" s="24"/>
    </row>
    <row r="47" spans="1:13" ht="13.5" hidden="1" x14ac:dyDescent="0.25">
      <c r="A47" s="19">
        <f t="shared" si="12"/>
        <v>0</v>
      </c>
      <c r="B47" s="25" t="str">
        <f>IFERROR(VLOOKUP(H47,[1]SEMIELABORADOS!$A$2:$M$6000,2,0),"")</f>
        <v/>
      </c>
      <c r="C47" s="20">
        <f t="shared" si="13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4"/>
        <v/>
      </c>
      <c r="G47" s="22" t="str">
        <f t="shared" si="15"/>
        <v/>
      </c>
      <c r="H47" s="26"/>
      <c r="I47" s="18"/>
      <c r="J47" s="24"/>
    </row>
    <row r="48" spans="1:13" ht="13.5" hidden="1" x14ac:dyDescent="0.25">
      <c r="A48" s="19">
        <f t="shared" si="12"/>
        <v>0</v>
      </c>
      <c r="B48" s="25" t="str">
        <f>IFERROR(VLOOKUP(H48,[1]SEMIELABORADOS!$A$2:$M$6000,2,0),"")</f>
        <v/>
      </c>
      <c r="C48" s="20">
        <f t="shared" si="13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4"/>
        <v/>
      </c>
      <c r="G48" s="22" t="str">
        <f t="shared" si="15"/>
        <v/>
      </c>
      <c r="H48" s="26"/>
      <c r="I48" s="18"/>
      <c r="J48" s="24"/>
    </row>
    <row r="49" spans="1:17" ht="13.5" hidden="1" x14ac:dyDescent="0.25">
      <c r="A49" s="19">
        <f t="shared" si="12"/>
        <v>0</v>
      </c>
      <c r="B49" s="25" t="str">
        <f>IFERROR(VLOOKUP(H49,[1]SEMIELABORADOS!$A$2:$M$6000,2,0),"")</f>
        <v/>
      </c>
      <c r="C49" s="20">
        <f t="shared" si="13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4"/>
        <v/>
      </c>
      <c r="G49" s="22" t="str">
        <f t="shared" si="15"/>
        <v/>
      </c>
      <c r="H49" s="25"/>
      <c r="I49" s="18"/>
      <c r="J49" s="24"/>
    </row>
    <row r="50" spans="1:17" ht="13.5" x14ac:dyDescent="0.25">
      <c r="A50" s="19">
        <v>1</v>
      </c>
      <c r="B50" s="25" t="s">
        <v>84</v>
      </c>
      <c r="C50" s="20">
        <f>+A50</f>
        <v>1</v>
      </c>
      <c r="D50" s="20" t="s">
        <v>85</v>
      </c>
      <c r="E50" s="21">
        <f>+F64</f>
        <v>610</v>
      </c>
      <c r="F50" s="21">
        <f>IFERROR(C50*E50,"")</f>
        <v>610</v>
      </c>
      <c r="G50" s="22">
        <f>IFERROR(F50/$F$65,"")</f>
        <v>1.5149740809198321E-2</v>
      </c>
      <c r="H50" s="30"/>
      <c r="I50" s="30"/>
      <c r="J50" s="24"/>
    </row>
    <row r="51" spans="1:17" ht="14.25" thickBot="1" x14ac:dyDescent="0.3">
      <c r="A51" s="19"/>
      <c r="B51" s="25"/>
      <c r="C51" s="20"/>
      <c r="D51" s="20"/>
      <c r="E51" s="21"/>
      <c r="F51" s="21"/>
      <c r="G51" s="22"/>
      <c r="H51" s="30"/>
      <c r="I51" s="30"/>
      <c r="J51" s="24"/>
    </row>
    <row r="52" spans="1:17" ht="13.5" thickBot="1" x14ac:dyDescent="0.3">
      <c r="A52" s="31"/>
      <c r="B52" s="127" t="s">
        <v>86</v>
      </c>
      <c r="C52" s="127"/>
      <c r="D52" s="127"/>
      <c r="E52" s="127"/>
      <c r="F52" s="33">
        <f>SUM(F8:F13,F16:F23)</f>
        <v>38570.499999999993</v>
      </c>
      <c r="G52" s="22">
        <f>+F52/$F$65</f>
        <v>0.95792307849374392</v>
      </c>
      <c r="H52" s="34">
        <f>+F52/$D$59</f>
        <v>1214.9707499999997</v>
      </c>
      <c r="I52" s="34"/>
      <c r="J52" s="35"/>
      <c r="K52" s="36"/>
      <c r="L52" s="36"/>
      <c r="M52" s="36"/>
      <c r="N52" s="36"/>
      <c r="O52" s="36"/>
      <c r="P52" s="36"/>
      <c r="Q52" s="37"/>
    </row>
    <row r="53" spans="1:17" x14ac:dyDescent="0.2">
      <c r="A53" s="31"/>
      <c r="B53" s="127" t="s">
        <v>87</v>
      </c>
      <c r="C53" s="127"/>
      <c r="D53" s="127"/>
      <c r="E53" s="127"/>
      <c r="F53" s="33">
        <f>SUM(F26:F31,F34:F40)</f>
        <v>312.80526361904759</v>
      </c>
      <c r="G53" s="22">
        <f>+F53/$F$65</f>
        <v>7.7687191271828271E-3</v>
      </c>
      <c r="H53" s="34">
        <f>+F53/$D$59</f>
        <v>9.8533658039999992</v>
      </c>
      <c r="I53" s="34"/>
      <c r="J53" s="38"/>
      <c r="K53" s="128" t="s">
        <v>88</v>
      </c>
      <c r="L53" s="129"/>
      <c r="M53" s="129"/>
      <c r="N53" s="129"/>
      <c r="O53" s="39">
        <f>+F54</f>
        <v>38883.30526361904</v>
      </c>
      <c r="P53" s="39"/>
      <c r="Q53" s="40"/>
    </row>
    <row r="54" spans="1:17" x14ac:dyDescent="0.2">
      <c r="A54" s="31"/>
      <c r="B54" s="127" t="s">
        <v>89</v>
      </c>
      <c r="C54" s="127"/>
      <c r="D54" s="127"/>
      <c r="E54" s="127"/>
      <c r="F54" s="33">
        <f>+F52+F53</f>
        <v>38883.30526361904</v>
      </c>
      <c r="G54" s="22">
        <f>+F54/$F$65</f>
        <v>0.96569179762092672</v>
      </c>
      <c r="H54" s="34">
        <f>+F54/$D$59</f>
        <v>1224.8241158039998</v>
      </c>
      <c r="I54" s="34"/>
      <c r="J54" s="41"/>
      <c r="K54" s="42"/>
      <c r="M54" s="43" t="s">
        <v>90</v>
      </c>
      <c r="N54" s="44"/>
      <c r="O54" s="39">
        <f>+H55</f>
        <v>54.218253663973691</v>
      </c>
      <c r="P54" s="39"/>
      <c r="Q54" s="40"/>
    </row>
    <row r="55" spans="1:17" ht="13.5" thickBot="1" x14ac:dyDescent="0.25">
      <c r="A55" s="31"/>
      <c r="B55" s="32"/>
      <c r="C55" s="127" t="s">
        <v>91</v>
      </c>
      <c r="D55" s="127"/>
      <c r="E55" s="127"/>
      <c r="F55" s="33">
        <f>SUM(F43:F50)</f>
        <v>1721.2144020309108</v>
      </c>
      <c r="G55" s="22">
        <f>+F55/$F$65</f>
        <v>4.2747462406274715E-2</v>
      </c>
      <c r="H55" s="34">
        <f>+F55/$D$59</f>
        <v>54.218253663973691</v>
      </c>
      <c r="I55" s="34"/>
      <c r="J55" s="41"/>
      <c r="K55" s="42"/>
      <c r="L55" s="42"/>
      <c r="M55" s="42" t="s">
        <v>92</v>
      </c>
      <c r="N55" s="45"/>
      <c r="O55" s="39">
        <f>O53*N55</f>
        <v>0</v>
      </c>
      <c r="P55" s="39"/>
      <c r="Q55" s="40"/>
    </row>
    <row r="56" spans="1:17" ht="13.5" thickBot="1" x14ac:dyDescent="0.25">
      <c r="A56" s="31"/>
      <c r="B56" s="46"/>
      <c r="C56" s="46"/>
      <c r="D56" s="46"/>
      <c r="E56" s="46"/>
      <c r="F56" s="47"/>
      <c r="G56" s="22"/>
      <c r="H56" s="48"/>
      <c r="I56" s="34"/>
      <c r="J56" s="41"/>
      <c r="K56" s="49"/>
      <c r="M56" s="50" t="s">
        <v>93</v>
      </c>
      <c r="N56" s="51"/>
      <c r="O56" s="52">
        <f>SUM(O53:O55)</f>
        <v>38937.523517283014</v>
      </c>
      <c r="P56" s="53"/>
      <c r="Q56" s="40"/>
    </row>
    <row r="57" spans="1:17" x14ac:dyDescent="0.2">
      <c r="B57" s="130" t="s">
        <v>94</v>
      </c>
      <c r="C57" s="130"/>
      <c r="D57" s="54">
        <v>20000</v>
      </c>
      <c r="E57" s="55"/>
      <c r="G57" s="22"/>
      <c r="H57" s="48">
        <f>+H55/61</f>
        <v>0.8888238305569458</v>
      </c>
      <c r="I57" s="56"/>
      <c r="J57" s="41"/>
      <c r="K57" s="49"/>
      <c r="L57" s="42"/>
      <c r="M57" s="42" t="s">
        <v>95</v>
      </c>
      <c r="N57" s="57"/>
      <c r="O57" s="39">
        <f>+H58</f>
        <v>51.551782172302858</v>
      </c>
      <c r="P57" s="39"/>
      <c r="Q57" s="40"/>
    </row>
    <row r="58" spans="1:17" x14ac:dyDescent="0.2">
      <c r="B58" s="130" t="s">
        <v>96</v>
      </c>
      <c r="C58" s="130"/>
      <c r="D58" s="58">
        <v>630</v>
      </c>
      <c r="E58" s="55"/>
      <c r="G58" s="22"/>
      <c r="H58" s="48">
        <f>+H57*58</f>
        <v>51.551782172302858</v>
      </c>
      <c r="I58" s="56"/>
      <c r="J58" s="41"/>
      <c r="K58" s="49"/>
      <c r="L58" s="42"/>
      <c r="M58" s="131" t="s">
        <v>93</v>
      </c>
      <c r="N58" s="131"/>
      <c r="O58" s="39">
        <f>SUM(O56:O57)</f>
        <v>38989.075299455319</v>
      </c>
      <c r="P58" s="39"/>
      <c r="Q58" s="40"/>
    </row>
    <row r="59" spans="1:17" ht="13.5" thickBot="1" x14ac:dyDescent="0.25">
      <c r="B59" s="122" t="s">
        <v>97</v>
      </c>
      <c r="C59" s="122"/>
      <c r="D59" s="54">
        <f>+D57/D58</f>
        <v>31.746031746031747</v>
      </c>
      <c r="E59" s="55"/>
      <c r="F59" s="59"/>
      <c r="G59" s="22"/>
      <c r="H59" s="48"/>
      <c r="I59" s="56"/>
      <c r="J59" s="41"/>
      <c r="K59" s="49"/>
      <c r="L59" s="131"/>
      <c r="M59" s="131"/>
      <c r="N59" s="57"/>
      <c r="O59" s="39">
        <f>+O58*N59</f>
        <v>0</v>
      </c>
      <c r="P59" s="39"/>
      <c r="Q59" s="40"/>
    </row>
    <row r="60" spans="1:17" ht="13.5" thickBot="1" x14ac:dyDescent="0.25">
      <c r="B60" s="122" t="s">
        <v>98</v>
      </c>
      <c r="C60" s="122"/>
      <c r="D60" s="60"/>
      <c r="E60" s="55"/>
      <c r="F60" s="59"/>
      <c r="G60" s="22"/>
      <c r="H60" s="48"/>
      <c r="I60" s="56"/>
      <c r="J60" s="41"/>
      <c r="K60" s="123" t="s">
        <v>99</v>
      </c>
      <c r="L60" s="124"/>
      <c r="M60" s="124"/>
      <c r="N60" s="125"/>
      <c r="O60" s="52">
        <f>SUM(O58:O59)</f>
        <v>38989.075299455319</v>
      </c>
      <c r="P60" s="61" t="s">
        <v>100</v>
      </c>
      <c r="Q60" s="40"/>
    </row>
    <row r="61" spans="1:17" ht="13.5" thickBot="1" x14ac:dyDescent="0.25">
      <c r="C61" s="31" t="s">
        <v>101</v>
      </c>
      <c r="D61" s="62"/>
      <c r="E61" s="5" t="s">
        <v>102</v>
      </c>
      <c r="F61" s="63" t="s">
        <v>103</v>
      </c>
      <c r="G61" s="22"/>
      <c r="H61" s="48"/>
      <c r="I61" s="56"/>
      <c r="J61" s="64"/>
      <c r="K61" s="65"/>
      <c r="L61" s="111" t="s">
        <v>104</v>
      </c>
      <c r="M61" s="111"/>
      <c r="N61" s="111"/>
      <c r="O61" s="66">
        <f>+O60/D59</f>
        <v>1228.1558719328425</v>
      </c>
      <c r="P61" s="67">
        <f>+O61/D58</f>
        <v>1.9494537649727659</v>
      </c>
      <c r="Q61" s="68"/>
    </row>
    <row r="62" spans="1:17" ht="13.5" thickBot="1" x14ac:dyDescent="0.25">
      <c r="B62" s="112" t="s">
        <v>89</v>
      </c>
      <c r="C62" s="112"/>
      <c r="D62" s="112"/>
      <c r="E62" s="69">
        <f>+F62/F62</f>
        <v>1</v>
      </c>
      <c r="F62" s="70">
        <f>SUM(F54)</f>
        <v>38883.30526361904</v>
      </c>
      <c r="G62" s="22">
        <f>+F62/$F$65</f>
        <v>0.96569179762092672</v>
      </c>
      <c r="H62" s="48"/>
      <c r="I62" s="56"/>
      <c r="K62" s="113"/>
      <c r="L62" s="114"/>
      <c r="M62" s="114"/>
      <c r="N62" s="114"/>
      <c r="O62" s="71"/>
      <c r="P62" s="72"/>
    </row>
    <row r="63" spans="1:17" ht="13.5" thickBot="1" x14ac:dyDescent="0.3">
      <c r="B63" s="115" t="s">
        <v>105</v>
      </c>
      <c r="C63" s="115"/>
      <c r="D63" s="115"/>
      <c r="E63" s="73">
        <v>0.02</v>
      </c>
      <c r="F63" s="70">
        <f>+F52*E63</f>
        <v>771.40999999999985</v>
      </c>
      <c r="G63" s="22">
        <f>+F63/$F$65</f>
        <v>1.9158461569874878E-2</v>
      </c>
      <c r="H63" s="34"/>
      <c r="I63" s="56"/>
      <c r="J63" s="74"/>
      <c r="O63" s="75"/>
      <c r="P63" s="32"/>
    </row>
    <row r="64" spans="1:17" ht="13.5" thickBot="1" x14ac:dyDescent="0.3">
      <c r="B64" s="116" t="s">
        <v>106</v>
      </c>
      <c r="C64" s="117"/>
      <c r="D64" s="76">
        <v>10</v>
      </c>
      <c r="E64" s="77">
        <v>61</v>
      </c>
      <c r="F64" s="70">
        <f>+E64*D64</f>
        <v>610</v>
      </c>
      <c r="G64" s="22">
        <f>+F64/$F$65</f>
        <v>1.5149740809198321E-2</v>
      </c>
      <c r="H64" s="34"/>
      <c r="I64" s="34"/>
      <c r="J64" s="24"/>
    </row>
    <row r="65" spans="2:13" ht="13.5" thickBot="1" x14ac:dyDescent="0.3">
      <c r="B65" s="118" t="s">
        <v>107</v>
      </c>
      <c r="C65" s="119"/>
      <c r="D65" s="119"/>
      <c r="E65" s="120"/>
      <c r="F65" s="47">
        <f>SUM(F62:F64)</f>
        <v>40264.715263619044</v>
      </c>
      <c r="G65" s="22">
        <f>+F65/$F$65</f>
        <v>1</v>
      </c>
      <c r="H65" s="121"/>
      <c r="I65" s="34"/>
      <c r="J65" s="24"/>
      <c r="M65" s="7" t="s">
        <v>108</v>
      </c>
    </row>
    <row r="66" spans="2:13" x14ac:dyDescent="0.25">
      <c r="C66" s="29"/>
      <c r="D66" s="29"/>
      <c r="E66" s="79"/>
      <c r="F66" s="70"/>
      <c r="G66" s="22"/>
      <c r="H66" s="121"/>
      <c r="I66" s="78"/>
      <c r="J66" s="7"/>
      <c r="M66" s="7" t="s">
        <v>109</v>
      </c>
    </row>
    <row r="67" spans="2:13" ht="13.5" thickBot="1" x14ac:dyDescent="0.3">
      <c r="B67" s="106" t="s">
        <v>110</v>
      </c>
      <c r="C67" s="106"/>
      <c r="D67" s="106"/>
      <c r="E67" s="106"/>
      <c r="F67" s="106"/>
      <c r="G67" s="22"/>
      <c r="H67" s="81"/>
      <c r="I67" s="78"/>
      <c r="J67" s="7"/>
    </row>
    <row r="68" spans="2:13" ht="13.5" thickBot="1" x14ac:dyDescent="0.3">
      <c r="B68" s="82" t="s">
        <v>111</v>
      </c>
      <c r="C68" s="83">
        <f>+F52</f>
        <v>38570.499999999993</v>
      </c>
      <c r="D68" s="83">
        <f>+D57</f>
        <v>20000</v>
      </c>
      <c r="E68" s="84">
        <f>+C68/D68</f>
        <v>1.9285249999999996</v>
      </c>
      <c r="F68" s="22"/>
      <c r="G68" s="81"/>
      <c r="H68" s="24"/>
      <c r="I68" s="81"/>
      <c r="J68" s="7"/>
    </row>
    <row r="69" spans="2:13" x14ac:dyDescent="0.25">
      <c r="B69" s="85"/>
      <c r="C69" s="86"/>
      <c r="D69" s="87"/>
      <c r="E69" s="70"/>
      <c r="F69" s="22"/>
      <c r="G69" s="81"/>
      <c r="H69" s="24"/>
      <c r="I69" s="24"/>
      <c r="J69" s="7"/>
    </row>
    <row r="70" spans="2:13" x14ac:dyDescent="0.25">
      <c r="B70" s="82" t="s">
        <v>112</v>
      </c>
      <c r="C70" s="83">
        <f>SUM(F62:F63)</f>
        <v>39654.715263619044</v>
      </c>
      <c r="D70" s="83">
        <f>+D57</f>
        <v>20000</v>
      </c>
      <c r="E70" s="88">
        <f>+C70/D70</f>
        <v>1.9827357631809521</v>
      </c>
      <c r="F70" s="22"/>
      <c r="G70" s="81"/>
      <c r="H70" s="24"/>
      <c r="I70" s="24"/>
      <c r="J70" s="7"/>
    </row>
    <row r="71" spans="2:13" x14ac:dyDescent="0.25">
      <c r="B71" s="82"/>
      <c r="C71" s="83"/>
      <c r="D71" s="83"/>
      <c r="E71" s="88"/>
      <c r="F71" s="22"/>
      <c r="G71" s="81"/>
      <c r="H71" s="24"/>
      <c r="I71" s="24"/>
      <c r="J71" s="7"/>
    </row>
    <row r="72" spans="2:13" ht="13.5" thickBot="1" x14ac:dyDescent="0.3">
      <c r="B72" s="82" t="s">
        <v>113</v>
      </c>
      <c r="C72" s="83">
        <f>+F64</f>
        <v>610</v>
      </c>
      <c r="D72" s="83">
        <f>+D57</f>
        <v>20000</v>
      </c>
      <c r="E72" s="88">
        <f>+C72/D72</f>
        <v>3.0499999999999999E-2</v>
      </c>
      <c r="F72" s="22"/>
      <c r="G72" s="81"/>
      <c r="H72" s="24"/>
      <c r="I72" s="24"/>
      <c r="J72" s="7"/>
    </row>
    <row r="73" spans="2:13" ht="13.5" thickBot="1" x14ac:dyDescent="0.3">
      <c r="B73" s="82" t="s">
        <v>114</v>
      </c>
      <c r="C73" s="83">
        <f>+F55</f>
        <v>1721.2144020309108</v>
      </c>
      <c r="D73" s="83">
        <f>+D72</f>
        <v>20000</v>
      </c>
      <c r="E73" s="84">
        <f>+C73/D73</f>
        <v>8.6060720101545543E-2</v>
      </c>
      <c r="F73" s="22"/>
      <c r="G73" s="81"/>
      <c r="H73" s="24"/>
      <c r="I73" s="24"/>
      <c r="J73" s="7"/>
    </row>
    <row r="74" spans="2:13" ht="13.5" thickBot="1" x14ac:dyDescent="0.3">
      <c r="B74" s="46"/>
      <c r="C74" s="47"/>
      <c r="D74" s="47"/>
      <c r="E74" s="88"/>
      <c r="F74" s="22"/>
      <c r="G74" s="81"/>
      <c r="H74" s="24"/>
      <c r="I74" s="24"/>
      <c r="J74" s="7"/>
    </row>
    <row r="75" spans="2:13" ht="13.5" thickBot="1" x14ac:dyDescent="0.3">
      <c r="B75" s="82" t="s">
        <v>115</v>
      </c>
      <c r="C75" s="83">
        <f>+F53</f>
        <v>312.80526361904759</v>
      </c>
      <c r="D75" s="83">
        <f>+D73</f>
        <v>20000</v>
      </c>
      <c r="E75" s="84">
        <f>+C75/D75</f>
        <v>1.564026318095238E-2</v>
      </c>
      <c r="F75" s="22"/>
      <c r="G75" s="81"/>
      <c r="H75" s="24"/>
      <c r="I75" s="24"/>
      <c r="J75" s="24"/>
    </row>
    <row r="76" spans="2:13" ht="13.5" thickBot="1" x14ac:dyDescent="0.3">
      <c r="B76" s="46"/>
      <c r="C76" s="47"/>
      <c r="D76" s="47"/>
      <c r="E76" s="88"/>
      <c r="F76" s="22"/>
      <c r="G76" s="81"/>
      <c r="H76" s="24"/>
      <c r="I76" s="24"/>
    </row>
    <row r="77" spans="2:13" ht="13.5" thickBot="1" x14ac:dyDescent="0.3">
      <c r="B77" s="107" t="s">
        <v>116</v>
      </c>
      <c r="C77" s="108"/>
      <c r="D77" s="109"/>
      <c r="E77" s="84">
        <f>+E68+E73</f>
        <v>2.0145857201015454</v>
      </c>
      <c r="G77" s="22"/>
      <c r="H77" s="81"/>
      <c r="I77" s="24"/>
      <c r="J77" s="88"/>
    </row>
    <row r="78" spans="2:13" x14ac:dyDescent="0.25">
      <c r="I78" s="81"/>
      <c r="J78" s="7"/>
    </row>
    <row r="79" spans="2:13" ht="13.5" thickBot="1" x14ac:dyDescent="0.3">
      <c r="B79" s="106" t="s">
        <v>117</v>
      </c>
      <c r="C79" s="106"/>
      <c r="D79" s="106"/>
      <c r="E79" s="106"/>
      <c r="F79" s="106"/>
      <c r="G79" s="22"/>
      <c r="H79" s="81"/>
      <c r="J79" s="7"/>
    </row>
    <row r="80" spans="2:13" ht="13.5" thickBot="1" x14ac:dyDescent="0.3">
      <c r="B80" s="82" t="s">
        <v>111</v>
      </c>
      <c r="C80" s="83">
        <f>+C68</f>
        <v>38570.499999999993</v>
      </c>
      <c r="D80" s="83">
        <f>+D59</f>
        <v>31.746031746031747</v>
      </c>
      <c r="E80" s="84">
        <f>+C80/D80</f>
        <v>1214.9707499999997</v>
      </c>
      <c r="F80" s="22"/>
      <c r="G80" s="81"/>
      <c r="H80" s="24"/>
      <c r="I80" s="81"/>
      <c r="J80" s="7"/>
    </row>
    <row r="81" spans="1:10" x14ac:dyDescent="0.25">
      <c r="B81" s="85"/>
      <c r="C81" s="86"/>
      <c r="D81" s="87"/>
      <c r="E81" s="70"/>
      <c r="F81" s="22"/>
      <c r="G81" s="81"/>
      <c r="H81" s="24"/>
      <c r="I81" s="24"/>
      <c r="J81" s="7"/>
    </row>
    <row r="82" spans="1:10" x14ac:dyDescent="0.25">
      <c r="B82" s="82" t="s">
        <v>112</v>
      </c>
      <c r="C82" s="83">
        <f>+C70</f>
        <v>39654.715263619044</v>
      </c>
      <c r="D82" s="83">
        <f>+D59</f>
        <v>31.746031746031747</v>
      </c>
      <c r="E82" s="88">
        <f>+C82/D82</f>
        <v>1249.1235308039998</v>
      </c>
      <c r="F82" s="22"/>
      <c r="G82" s="81"/>
      <c r="H82" s="24"/>
      <c r="I82" s="24"/>
      <c r="J82" s="7"/>
    </row>
    <row r="83" spans="1:10" x14ac:dyDescent="0.25">
      <c r="B83" s="82"/>
      <c r="C83" s="83"/>
      <c r="D83" s="83"/>
      <c r="E83" s="88"/>
      <c r="F83" s="22"/>
      <c r="G83" s="81"/>
      <c r="H83" s="24"/>
      <c r="I83" s="24"/>
      <c r="J83" s="7"/>
    </row>
    <row r="84" spans="1:10" ht="13.5" thickBot="1" x14ac:dyDescent="0.3">
      <c r="B84" s="82" t="s">
        <v>114</v>
      </c>
      <c r="C84" s="83">
        <f>+C72</f>
        <v>610</v>
      </c>
      <c r="D84" s="83">
        <f>+D59</f>
        <v>31.746031746031747</v>
      </c>
      <c r="E84" s="88">
        <f>+C84/D84</f>
        <v>19.215</v>
      </c>
      <c r="F84" s="90"/>
      <c r="G84" s="80"/>
      <c r="H84" s="6"/>
      <c r="I84" s="24"/>
    </row>
    <row r="85" spans="1:10" ht="13.5" thickBot="1" x14ac:dyDescent="0.3">
      <c r="B85" s="82" t="s">
        <v>114</v>
      </c>
      <c r="C85" s="83">
        <f>+C73</f>
        <v>1721.2144020309108</v>
      </c>
      <c r="D85" s="83">
        <f>+D84</f>
        <v>31.746031746031747</v>
      </c>
      <c r="E85" s="84">
        <f>+C85/D85</f>
        <v>54.218253663973691</v>
      </c>
      <c r="F85" s="89"/>
      <c r="G85" s="80"/>
      <c r="H85" s="6"/>
      <c r="I85" s="6"/>
    </row>
    <row r="86" spans="1:10" x14ac:dyDescent="0.25">
      <c r="I86" s="6"/>
    </row>
    <row r="87" spans="1:10" x14ac:dyDescent="0.2">
      <c r="A87" s="110"/>
      <c r="B87" s="110"/>
      <c r="C87" s="91"/>
      <c r="D87" s="91"/>
      <c r="E87" s="92"/>
      <c r="G87" s="93"/>
    </row>
    <row r="88" spans="1:10" x14ac:dyDescent="0.2">
      <c r="A88" s="25"/>
      <c r="B88" s="94"/>
      <c r="C88" s="95"/>
      <c r="D88" s="95"/>
      <c r="E88" s="96"/>
      <c r="G88" s="93"/>
    </row>
    <row r="89" spans="1:10" x14ac:dyDescent="0.2">
      <c r="A89" s="25"/>
      <c r="B89" s="94"/>
      <c r="C89" s="97"/>
      <c r="D89" s="97"/>
      <c r="E89" s="25"/>
      <c r="G89" s="93"/>
    </row>
    <row r="90" spans="1:10" x14ac:dyDescent="0.2">
      <c r="A90" s="25"/>
      <c r="B90" s="94"/>
      <c r="C90" s="98"/>
      <c r="D90" s="98"/>
      <c r="E90" s="25"/>
      <c r="G90" s="93"/>
    </row>
  </sheetData>
  <mergeCells count="30">
    <mergeCell ref="K28:L28"/>
    <mergeCell ref="A4:H4"/>
    <mergeCell ref="A5:H5"/>
    <mergeCell ref="F6:G6"/>
    <mergeCell ref="K26:L26"/>
    <mergeCell ref="K27:L27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DB09-3A68-422C-BEB1-25D0F3636480}">
  <dimension ref="A1:Q90"/>
  <sheetViews>
    <sheetView workbookViewId="0">
      <selection activeCell="E28" sqref="E28"/>
    </sheetView>
  </sheetViews>
  <sheetFormatPr baseColWidth="10" defaultColWidth="8.42578125" defaultRowHeight="12.75" x14ac:dyDescent="0.25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71093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71093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71093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71093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71093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71093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71093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71093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71093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71093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71093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71093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71093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71093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71093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71093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71093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71093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71093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71093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71093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71093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71093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71093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71093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71093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71093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71093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71093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71093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71093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71093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71093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71093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71093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71093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71093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71093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71093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71093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71093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71093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71093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71093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71093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71093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71093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71093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71093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71093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71093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71093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71093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71093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71093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71093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71093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71093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71093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71093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71093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71093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71093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5">
      <c r="A1" s="2"/>
      <c r="B1" s="2"/>
      <c r="C1" s="2"/>
      <c r="D1" s="2"/>
      <c r="E1" s="3" t="s">
        <v>63</v>
      </c>
      <c r="F1" s="4" t="s">
        <v>64</v>
      </c>
      <c r="G1" s="4" t="s">
        <v>65</v>
      </c>
      <c r="H1" s="4" t="s">
        <v>66</v>
      </c>
      <c r="I1" s="5"/>
    </row>
    <row r="2" spans="1:10" ht="30.75" customHeight="1" x14ac:dyDescent="0.25">
      <c r="A2" s="2"/>
      <c r="B2" s="2"/>
      <c r="C2" s="2"/>
      <c r="D2" s="2"/>
      <c r="E2" s="8">
        <f>IFERROR(O61,"")</f>
        <v>1792.7071516402764</v>
      </c>
      <c r="F2" s="8">
        <f>IFERROR(H52,"")</f>
        <v>1214.9707499999997</v>
      </c>
      <c r="G2" s="8">
        <f>IFERROR(H53,"")</f>
        <v>352.96636580400002</v>
      </c>
      <c r="H2" s="8">
        <f>IFERROR(H55,"")</f>
        <v>115.21825366397368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132"/>
      <c r="B4" s="132"/>
      <c r="C4" s="132"/>
      <c r="D4" s="132"/>
      <c r="E4" s="132"/>
      <c r="F4" s="132"/>
      <c r="G4" s="132"/>
      <c r="H4" s="132"/>
      <c r="I4" s="11"/>
    </row>
    <row r="5" spans="1:10" ht="19.5" customHeight="1" thickBot="1" x14ac:dyDescent="0.3">
      <c r="A5" s="133" t="s">
        <v>67</v>
      </c>
      <c r="B5" s="134"/>
      <c r="C5" s="134"/>
      <c r="D5" s="134"/>
      <c r="E5" s="134"/>
      <c r="F5" s="134"/>
      <c r="G5" s="134"/>
      <c r="H5" s="135"/>
      <c r="I5" s="12"/>
    </row>
    <row r="6" spans="1:10" ht="19.5" thickBot="1" x14ac:dyDescent="0.3">
      <c r="A6" s="12"/>
      <c r="B6" s="12"/>
      <c r="C6" s="12"/>
      <c r="D6" s="12"/>
      <c r="E6" s="12"/>
      <c r="F6" s="136" t="s">
        <v>68</v>
      </c>
      <c r="G6" s="136"/>
      <c r="H6" s="13">
        <f ca="1">TODAY()</f>
        <v>45749</v>
      </c>
      <c r="I6" s="13"/>
    </row>
    <row r="7" spans="1:10" ht="26.25" hidden="1" thickBot="1" x14ac:dyDescent="0.3">
      <c r="A7" s="14" t="s">
        <v>69</v>
      </c>
      <c r="B7" s="15" t="s">
        <v>70</v>
      </c>
      <c r="C7" s="15" t="s">
        <v>69</v>
      </c>
      <c r="D7" s="16" t="s">
        <v>71</v>
      </c>
      <c r="E7" s="16" t="s">
        <v>72</v>
      </c>
      <c r="F7" s="16" t="s">
        <v>73</v>
      </c>
      <c r="G7" s="16" t="s">
        <v>74</v>
      </c>
      <c r="H7" s="17" t="s">
        <v>75</v>
      </c>
      <c r="I7" s="18"/>
    </row>
    <row r="8" spans="1:10" ht="14.25" hidden="1" thickBot="1" x14ac:dyDescent="0.3">
      <c r="A8" s="19"/>
      <c r="B8" s="7" t="str">
        <f>IFERROR(VLOOKUP(H8,'[1]Consolidado MP Planta'!$A$2:$M$823,3,0),"")</f>
        <v/>
      </c>
      <c r="C8" s="20">
        <f>+A8</f>
        <v>0</v>
      </c>
      <c r="D8" s="21" t="str">
        <f>IFERROR(VLOOKUP(H8,'[1]Consolidado MP Planta'!$A$2:$M$823,13,0),"")</f>
        <v/>
      </c>
      <c r="E8" s="21" t="str">
        <f>IFERROR(VLOOKUP(H8,'[1]Consolidado MP Planta'!$A$2:$M$823,12,0),"")</f>
        <v/>
      </c>
      <c r="F8" s="21" t="str">
        <f>IFERROR(C8*E8,"")</f>
        <v/>
      </c>
      <c r="G8" s="22" t="str">
        <f t="shared" ref="G8:G14" si="0">IFERROR(F8/$F$65,"")</f>
        <v/>
      </c>
      <c r="H8" s="23"/>
      <c r="I8" s="23"/>
      <c r="J8" s="24"/>
    </row>
    <row r="9" spans="1:10" ht="14.25" hidden="1" thickBot="1" x14ac:dyDescent="0.3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4.25" hidden="1" thickBot="1" x14ac:dyDescent="0.3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4.25" hidden="1" thickBot="1" x14ac:dyDescent="0.3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4.25" hidden="1" thickBot="1" x14ac:dyDescent="0.3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4.25" hidden="1" thickBot="1" x14ac:dyDescent="0.3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4.25" hidden="1" thickBot="1" x14ac:dyDescent="0.3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hidden="1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3">
      <c r="A16" s="14" t="s">
        <v>69</v>
      </c>
      <c r="B16" s="15" t="s">
        <v>77</v>
      </c>
      <c r="C16" s="15" t="s">
        <v>69</v>
      </c>
      <c r="D16" s="16" t="s">
        <v>71</v>
      </c>
      <c r="E16" s="16" t="s">
        <v>72</v>
      </c>
      <c r="F16" s="16" t="s">
        <v>73</v>
      </c>
      <c r="G16" s="16" t="s">
        <v>74</v>
      </c>
      <c r="H16" s="17" t="s">
        <v>75</v>
      </c>
      <c r="I16" s="18"/>
      <c r="J16" s="24"/>
    </row>
    <row r="17" spans="1:12" ht="13.5" x14ac:dyDescent="0.25">
      <c r="A17" s="19">
        <v>1</v>
      </c>
      <c r="B17" s="7" t="s">
        <v>61</v>
      </c>
      <c r="C17" s="20">
        <f>+A17</f>
        <v>1</v>
      </c>
      <c r="D17" s="20" t="s">
        <v>122</v>
      </c>
      <c r="E17" s="21">
        <f>+'Costo Rosquete '!H52</f>
        <v>1214.9707499999997</v>
      </c>
      <c r="F17" s="21">
        <f>IFERROR(E17*C17,"")</f>
        <v>1214.9707499999997</v>
      </c>
      <c r="G17" s="22">
        <f t="shared" ref="G17:G24" si="3">IFERROR(F17/$F$65,"")</f>
        <v>0.73490436931558534</v>
      </c>
      <c r="H17" s="23" t="s">
        <v>47</v>
      </c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3">
      <c r="A26" s="14" t="s">
        <v>69</v>
      </c>
      <c r="B26" s="15" t="s">
        <v>78</v>
      </c>
      <c r="C26" s="15" t="s">
        <v>69</v>
      </c>
      <c r="D26" s="16" t="s">
        <v>71</v>
      </c>
      <c r="E26" s="16" t="s">
        <v>72</v>
      </c>
      <c r="F26" s="16" t="s">
        <v>73</v>
      </c>
      <c r="G26" s="16" t="s">
        <v>74</v>
      </c>
      <c r="H26" s="17" t="s">
        <v>75</v>
      </c>
      <c r="I26" s="18"/>
    </row>
    <row r="27" spans="1:12" ht="15" x14ac:dyDescent="0.25">
      <c r="A27" s="19">
        <v>1</v>
      </c>
      <c r="B27" s="25" t="s">
        <v>57</v>
      </c>
      <c r="C27" s="20">
        <f t="shared" ref="C27:C31" si="6">+A27</f>
        <v>1</v>
      </c>
      <c r="D27" s="21" t="s">
        <v>123</v>
      </c>
      <c r="E27" s="21">
        <v>340</v>
      </c>
      <c r="F27" s="21">
        <f t="shared" ref="F27:F31" si="7">IFERROR(C27*E27,"")</f>
        <v>340</v>
      </c>
      <c r="G27" s="22">
        <f>IFERROR(F27/$F$65,"")</f>
        <v>0.20565720250244632</v>
      </c>
      <c r="H27" s="1" t="s">
        <v>56</v>
      </c>
      <c r="I27" s="26"/>
      <c r="J27" s="24"/>
      <c r="K27" s="126"/>
      <c r="L27" s="126"/>
    </row>
    <row r="28" spans="1:12" ht="13.5" x14ac:dyDescent="0.25">
      <c r="A28" s="19">
        <v>1</v>
      </c>
      <c r="B28" s="25" t="str">
        <f>IFERROR(VLOOKUP(H28,'[1]Consolidado MP Planta'!$A$2:$M$823,3,0),"")</f>
        <v>ETIQUETA BLANCA 2 5/8X1 15/16 (UND)</v>
      </c>
      <c r="C28" s="20">
        <f t="shared" si="6"/>
        <v>1</v>
      </c>
      <c r="D28" s="21" t="str">
        <f>IFERROR(VLOOKUP(H28,'[1]Consolidado MP Planta'!$A$2:$M$823,13,0),"")</f>
        <v>Und</v>
      </c>
      <c r="E28" s="21">
        <f>IFERROR(VLOOKUP(H28,'[1]Consolidado MP Planta'!$A$2:$M$823,12,0),"")</f>
        <v>2.1280000000000001</v>
      </c>
      <c r="F28" s="21">
        <f t="shared" si="7"/>
        <v>2.1280000000000001</v>
      </c>
      <c r="G28" s="22">
        <f>IFERROR(F28/$F$65,"")</f>
        <v>1.287172138015311E-3</v>
      </c>
      <c r="H28" s="26" t="s">
        <v>81</v>
      </c>
      <c r="I28" s="26"/>
      <c r="J28" s="24"/>
      <c r="K28" s="126"/>
      <c r="L28" s="126"/>
    </row>
    <row r="29" spans="1:12" ht="13.5" x14ac:dyDescent="0.25">
      <c r="A29" s="19">
        <v>1</v>
      </c>
      <c r="B29" s="25" t="str">
        <f>IFERROR(VLOOKUP(H29,'[1]Consolidado MP Planta'!$A$2:$M$823,3,0),"")</f>
        <v>ETIQUETA BLANCA R-153 (UND)</v>
      </c>
      <c r="C29" s="20">
        <f t="shared" si="6"/>
        <v>1</v>
      </c>
      <c r="D29" s="21" t="str">
        <f>IFERROR(VLOOKUP(H29,'[1]Consolidado MP Planta'!$A$2:$M$823,13,0),"")</f>
        <v>Und</v>
      </c>
      <c r="E29" s="21">
        <f>IFERROR(VLOOKUP(H29,'[1]Consolidado MP Planta'!$A$2:$M$823,12,0),"")</f>
        <v>0.39</v>
      </c>
      <c r="F29" s="21">
        <f t="shared" si="7"/>
        <v>0.39</v>
      </c>
      <c r="G29" s="22">
        <f>IFERROR(F29/$F$65,"")</f>
        <v>2.3590090875280607E-4</v>
      </c>
      <c r="H29" s="26" t="s">
        <v>124</v>
      </c>
      <c r="I29" s="26"/>
      <c r="J29" s="24"/>
      <c r="K29" s="126"/>
      <c r="L29" s="126"/>
    </row>
    <row r="30" spans="1:12" ht="13.5" x14ac:dyDescent="0.25">
      <c r="A30" s="19">
        <v>1</v>
      </c>
      <c r="B30" s="25" t="str">
        <f>IFERROR(VLOOKUP(H30,'[1]Consolidado MP Planta'!$A$2:$M$823,3,0),"")</f>
        <v>ETIQUETA BLANCA VENCE (ROLLO:1000 UND)</v>
      </c>
      <c r="C30" s="20">
        <f t="shared" si="6"/>
        <v>1</v>
      </c>
      <c r="D30" s="21" t="s">
        <v>123</v>
      </c>
      <c r="E30" s="21">
        <f>IFERROR(VLOOKUP(H30,'[1]Consolidado MP Planta'!$A$2:$M$823,12,0),"")</f>
        <v>0.59499999999999997</v>
      </c>
      <c r="F30" s="21">
        <f t="shared" si="7"/>
        <v>0.59499999999999997</v>
      </c>
      <c r="G30" s="22">
        <f>IFERROR(F30/$F$65,"")</f>
        <v>3.5990010437928101E-4</v>
      </c>
      <c r="H30" s="26" t="s">
        <v>125</v>
      </c>
      <c r="I30" s="26"/>
      <c r="J30" s="24"/>
      <c r="K30" s="27"/>
      <c r="L30" s="28"/>
    </row>
    <row r="31" spans="1:12" ht="13.5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>IFERROR(F31/$F$65,"")</f>
        <v/>
      </c>
      <c r="H31" s="26"/>
      <c r="I31" s="26"/>
      <c r="J31" s="24"/>
    </row>
    <row r="32" spans="1:12" ht="14.25" thickBot="1" x14ac:dyDescent="0.3">
      <c r="A32" s="19"/>
      <c r="B32" s="25"/>
      <c r="C32" s="20"/>
      <c r="D32" s="21"/>
      <c r="E32" s="21"/>
      <c r="F32" s="21"/>
      <c r="G32" s="22"/>
      <c r="H32" s="26"/>
      <c r="I32" s="26"/>
      <c r="J32" s="24"/>
    </row>
    <row r="33" spans="1:13" ht="26.25" thickBot="1" x14ac:dyDescent="0.25">
      <c r="A33" s="14" t="s">
        <v>69</v>
      </c>
      <c r="B33" s="15" t="s">
        <v>82</v>
      </c>
      <c r="C33" s="15" t="s">
        <v>69</v>
      </c>
      <c r="D33" s="16" t="s">
        <v>71</v>
      </c>
      <c r="E33" s="16" t="s">
        <v>72</v>
      </c>
      <c r="F33" s="16" t="s">
        <v>73</v>
      </c>
      <c r="G33" s="16" t="s">
        <v>74</v>
      </c>
      <c r="H33" s="17" t="s">
        <v>75</v>
      </c>
      <c r="I33" s="26"/>
      <c r="J33" s="24"/>
    </row>
    <row r="34" spans="1:13" ht="13.5" x14ac:dyDescent="0.25">
      <c r="A34" s="19">
        <f t="shared" ref="A34:A40" si="8">+A17</f>
        <v>1</v>
      </c>
      <c r="B34" s="25" t="s">
        <v>121</v>
      </c>
      <c r="C34" s="20">
        <f>+A34</f>
        <v>1</v>
      </c>
      <c r="D34" s="20" t="s">
        <v>122</v>
      </c>
      <c r="E34" s="21">
        <f>+'Costo Rosquete '!H53</f>
        <v>9.8533658039999992</v>
      </c>
      <c r="F34" s="21">
        <f>IFERROR(E34*C34,"")</f>
        <v>9.8533658039999992</v>
      </c>
      <c r="G34" s="22">
        <f t="shared" ref="G34:G40" si="9">IFERROR(F34/$F$65,"")</f>
        <v>5.9600460190703157E-3</v>
      </c>
      <c r="H34" s="23" t="s">
        <v>47</v>
      </c>
      <c r="I34" s="26"/>
      <c r="J34" s="24"/>
    </row>
    <row r="35" spans="1:13" ht="13.5" hidden="1" x14ac:dyDescent="0.25">
      <c r="A35" s="19">
        <f t="shared" si="8"/>
        <v>0</v>
      </c>
      <c r="B35" s="25" t="str">
        <f>IFERROR(VLOOKUP(H35,[1]SEMIELABORADOS!$A$2:$M$6000,2,0),"")</f>
        <v/>
      </c>
      <c r="C35" s="20">
        <f t="shared" ref="C35:C40" si="10">+A35</f>
        <v>0</v>
      </c>
      <c r="D35" s="21" t="str">
        <f>IFERROR(VLOOKUP(H35,[1]SEMIELABORADOS!$A$2:$M$6000,6,0),"")</f>
        <v/>
      </c>
      <c r="E35" s="21" t="str">
        <f>IFERROR(VLOOKUP(H35,[1]SEMIELABORADOS!$A$2:$M$65536,10,0),"")</f>
        <v/>
      </c>
      <c r="F35" s="21" t="str">
        <f t="shared" ref="F35:F40" si="11">IFERROR(E35*C35,"")</f>
        <v/>
      </c>
      <c r="G35" s="22" t="str">
        <f t="shared" si="9"/>
        <v/>
      </c>
      <c r="H35" s="26"/>
      <c r="I35" s="26"/>
      <c r="J35" s="24"/>
    </row>
    <row r="36" spans="1:13" ht="13.5" hidden="1" x14ac:dyDescent="0.25">
      <c r="A36" s="19">
        <f t="shared" si="8"/>
        <v>0</v>
      </c>
      <c r="B36" s="25" t="str">
        <f>IFERROR(VLOOKUP(H36,[1]SEMIELABORADOS!$A$2:$M$6000,2,0),"")</f>
        <v/>
      </c>
      <c r="C36" s="20">
        <f t="shared" si="10"/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si="11"/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8"/>
        <v>0</v>
      </c>
      <c r="B37" s="25" t="str">
        <f>IFERROR(VLOOKUP(H37,[1]SEMIELABORADOS!$A$2:$M$6000,2,0),"")</f>
        <v/>
      </c>
      <c r="C37" s="20">
        <f>+A37</f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>IFERROR(E37*C37,"")</f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8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8"/>
        <v>0</v>
      </c>
      <c r="B39" s="25" t="str">
        <f>IFERROR(VLOOKUP(H39,[1]SEMIELABORADOS!$A$2:$M$6000,2,0),"")</f>
        <v/>
      </c>
      <c r="C39" s="20">
        <f t="shared" si="10"/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 t="shared" si="11"/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8"/>
        <v>0</v>
      </c>
      <c r="B40" s="25" t="str">
        <f>IFERROR(VLOOKUP(H40,[1]SEMIELABORADOS!$A$2:$M$6000,2,0),"")</f>
        <v/>
      </c>
      <c r="C40" s="20">
        <f t="shared" si="10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1"/>
        <v/>
      </c>
      <c r="G40" s="22" t="str">
        <f t="shared" si="9"/>
        <v/>
      </c>
      <c r="H40" s="26"/>
      <c r="I40" s="26"/>
      <c r="J40" s="24"/>
    </row>
    <row r="41" spans="1:13" ht="14.25" thickBot="1" x14ac:dyDescent="0.3">
      <c r="A41" s="19"/>
      <c r="B41" s="25"/>
      <c r="C41" s="20"/>
      <c r="D41" s="21"/>
      <c r="E41" s="21"/>
      <c r="F41" s="21"/>
      <c r="G41" s="22"/>
      <c r="H41" s="26"/>
      <c r="I41" s="26"/>
      <c r="J41" s="24"/>
    </row>
    <row r="42" spans="1:13" ht="26.25" thickBot="1" x14ac:dyDescent="0.3">
      <c r="A42" s="14" t="s">
        <v>69</v>
      </c>
      <c r="B42" s="15" t="s">
        <v>83</v>
      </c>
      <c r="C42" s="15" t="s">
        <v>69</v>
      </c>
      <c r="D42" s="16" t="s">
        <v>71</v>
      </c>
      <c r="E42" s="16" t="s">
        <v>72</v>
      </c>
      <c r="F42" s="16" t="s">
        <v>73</v>
      </c>
      <c r="G42" s="16" t="s">
        <v>74</v>
      </c>
      <c r="H42" s="17" t="s">
        <v>75</v>
      </c>
      <c r="I42" s="18"/>
      <c r="J42" s="24"/>
    </row>
    <row r="43" spans="1:13" ht="13.5" x14ac:dyDescent="0.25">
      <c r="A43" s="19">
        <f>+A34</f>
        <v>1</v>
      </c>
      <c r="B43" s="25" t="s">
        <v>121</v>
      </c>
      <c r="C43" s="20">
        <f>+A43</f>
        <v>1</v>
      </c>
      <c r="D43" s="20" t="s">
        <v>122</v>
      </c>
      <c r="E43" s="21">
        <f>+'Costo Rosquete '!H55</f>
        <v>54.218253663973691</v>
      </c>
      <c r="F43" s="21">
        <f>IFERROR(E43*C43,"")</f>
        <v>54.218253663973691</v>
      </c>
      <c r="G43" s="22">
        <f>IFERROR(F43/$F$65,"")</f>
        <v>3.2795218744414233E-2</v>
      </c>
      <c r="H43" s="23" t="s">
        <v>47</v>
      </c>
      <c r="I43" s="18"/>
      <c r="J43" s="24"/>
    </row>
    <row r="44" spans="1:13" ht="13.5" hidden="1" x14ac:dyDescent="0.25">
      <c r="A44" s="19">
        <f t="shared" ref="A44:A49" si="12">+A35</f>
        <v>0</v>
      </c>
      <c r="B44" s="25" t="str">
        <f>IFERROR(VLOOKUP(H44,[1]SEMIELABORADOS!$A$2:$M$6000,2,0),"")</f>
        <v/>
      </c>
      <c r="C44" s="20">
        <f t="shared" ref="C44:C49" si="13">+A44</f>
        <v>0</v>
      </c>
      <c r="D44" s="21" t="str">
        <f>IFERROR(VLOOKUP(H44,[1]SEMIELABORADOS!$A$2:$M$6000,6,0),"")</f>
        <v/>
      </c>
      <c r="E44" s="21" t="str">
        <f>IFERROR(VLOOKUP(H44,[1]SEMIELABORADOS!$A$2:$M$65536,12,0),"")</f>
        <v/>
      </c>
      <c r="F44" s="21" t="str">
        <f t="shared" ref="F44:F49" si="14">IFERROR(E44*C44,"")</f>
        <v/>
      </c>
      <c r="G44" s="22" t="str">
        <f t="shared" ref="G44:G49" si="15">IFERROR(F44/$F$65,"")</f>
        <v/>
      </c>
      <c r="H44" s="26"/>
      <c r="I44" s="18"/>
      <c r="J44" s="24"/>
      <c r="M44" s="29"/>
    </row>
    <row r="45" spans="1:13" ht="13.5" hidden="1" x14ac:dyDescent="0.25">
      <c r="A45" s="19">
        <f t="shared" si="12"/>
        <v>0</v>
      </c>
      <c r="B45" s="25" t="str">
        <f>IFERROR(VLOOKUP(H45,[1]SEMIELABORADOS!$A$2:$M$6000,2,0),"")</f>
        <v/>
      </c>
      <c r="C45" s="20">
        <f t="shared" si="13"/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si="14"/>
        <v/>
      </c>
      <c r="G45" s="22" t="str">
        <f t="shared" si="15"/>
        <v/>
      </c>
      <c r="H45" s="26"/>
      <c r="I45" s="18"/>
      <c r="J45" s="24"/>
    </row>
    <row r="46" spans="1:13" ht="13.5" hidden="1" x14ac:dyDescent="0.25">
      <c r="A46" s="19">
        <f t="shared" si="12"/>
        <v>0</v>
      </c>
      <c r="B46" s="25" t="str">
        <f>IFERROR(VLOOKUP(H46,[1]SEMIELABORADOS!$A$2:$M$6000,2,0),"")</f>
        <v/>
      </c>
      <c r="C46" s="20">
        <f t="shared" si="13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4"/>
        <v/>
      </c>
      <c r="G46" s="22" t="str">
        <f t="shared" si="15"/>
        <v/>
      </c>
      <c r="H46" s="26"/>
      <c r="I46" s="18"/>
      <c r="J46" s="24"/>
    </row>
    <row r="47" spans="1:13" ht="13.5" hidden="1" x14ac:dyDescent="0.25">
      <c r="A47" s="19">
        <f t="shared" si="12"/>
        <v>0</v>
      </c>
      <c r="B47" s="25" t="str">
        <f>IFERROR(VLOOKUP(H47,[1]SEMIELABORADOS!$A$2:$M$6000,2,0),"")</f>
        <v/>
      </c>
      <c r="C47" s="20">
        <f t="shared" si="13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4"/>
        <v/>
      </c>
      <c r="G47" s="22" t="str">
        <f t="shared" si="15"/>
        <v/>
      </c>
      <c r="H47" s="26"/>
      <c r="I47" s="18"/>
      <c r="J47" s="24"/>
    </row>
    <row r="48" spans="1:13" ht="13.5" hidden="1" x14ac:dyDescent="0.25">
      <c r="A48" s="19">
        <f t="shared" si="12"/>
        <v>0</v>
      </c>
      <c r="B48" s="25" t="str">
        <f>IFERROR(VLOOKUP(H48,[1]SEMIELABORADOS!$A$2:$M$6000,2,0),"")</f>
        <v/>
      </c>
      <c r="C48" s="20">
        <f t="shared" si="13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4"/>
        <v/>
      </c>
      <c r="G48" s="22" t="str">
        <f t="shared" si="15"/>
        <v/>
      </c>
      <c r="H48" s="26"/>
      <c r="I48" s="18"/>
      <c r="J48" s="24"/>
    </row>
    <row r="49" spans="1:17" ht="13.5" hidden="1" x14ac:dyDescent="0.25">
      <c r="A49" s="19">
        <f t="shared" si="12"/>
        <v>0</v>
      </c>
      <c r="B49" s="25" t="str">
        <f>IFERROR(VLOOKUP(H49,[1]SEMIELABORADOS!$A$2:$M$6000,2,0),"")</f>
        <v/>
      </c>
      <c r="C49" s="20">
        <f t="shared" si="13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4"/>
        <v/>
      </c>
      <c r="G49" s="22" t="str">
        <f t="shared" si="15"/>
        <v/>
      </c>
      <c r="H49" s="25"/>
      <c r="I49" s="18"/>
      <c r="J49" s="24"/>
    </row>
    <row r="50" spans="1:17" ht="13.5" x14ac:dyDescent="0.25">
      <c r="A50" s="19">
        <v>1</v>
      </c>
      <c r="B50" s="25" t="s">
        <v>84</v>
      </c>
      <c r="C50" s="20">
        <f>+A50</f>
        <v>1</v>
      </c>
      <c r="D50" s="20" t="s">
        <v>85</v>
      </c>
      <c r="E50" s="21">
        <f>+F64</f>
        <v>61</v>
      </c>
      <c r="F50" s="21">
        <f>IFERROR(C50*E50,"")</f>
        <v>61</v>
      </c>
      <c r="G50" s="22">
        <f>IFERROR(F50/$F$65,"")</f>
        <v>3.6897321625438899E-2</v>
      </c>
      <c r="H50" s="30"/>
      <c r="I50" s="30"/>
      <c r="J50" s="24"/>
    </row>
    <row r="51" spans="1:17" ht="14.25" thickBot="1" x14ac:dyDescent="0.3">
      <c r="A51" s="19"/>
      <c r="B51" s="25"/>
      <c r="C51" s="20"/>
      <c r="D51" s="20"/>
      <c r="E51" s="21"/>
      <c r="F51" s="21"/>
      <c r="G51" s="22"/>
      <c r="H51" s="30"/>
      <c r="I51" s="30"/>
      <c r="J51" s="24"/>
    </row>
    <row r="52" spans="1:17" ht="13.5" thickBot="1" x14ac:dyDescent="0.3">
      <c r="A52" s="31"/>
      <c r="B52" s="127" t="s">
        <v>86</v>
      </c>
      <c r="C52" s="127"/>
      <c r="D52" s="127"/>
      <c r="E52" s="127"/>
      <c r="F52" s="33">
        <f>SUM(F8:F14,F17:F24)</f>
        <v>1214.9707499999997</v>
      </c>
      <c r="G52" s="22">
        <f>+F52/$F$65</f>
        <v>0.73490436931558534</v>
      </c>
      <c r="H52" s="34">
        <f>+F52/$D$59</f>
        <v>1214.9707499999997</v>
      </c>
      <c r="I52" s="34"/>
      <c r="J52" s="35"/>
      <c r="K52" s="36"/>
      <c r="L52" s="36"/>
      <c r="M52" s="36"/>
      <c r="N52" s="36"/>
      <c r="O52" s="36"/>
      <c r="P52" s="36"/>
      <c r="Q52" s="37"/>
    </row>
    <row r="53" spans="1:17" x14ac:dyDescent="0.2">
      <c r="A53" s="31"/>
      <c r="B53" s="127" t="s">
        <v>87</v>
      </c>
      <c r="C53" s="127"/>
      <c r="D53" s="127"/>
      <c r="E53" s="127"/>
      <c r="F53" s="33">
        <f>SUM(F27:F31,F34:F40)</f>
        <v>352.96636580400002</v>
      </c>
      <c r="G53" s="22">
        <f>+F53/$F$65</f>
        <v>0.21350022167266403</v>
      </c>
      <c r="H53" s="34">
        <f>+F53/$D$59</f>
        <v>352.96636580400002</v>
      </c>
      <c r="I53" s="34"/>
      <c r="J53" s="38"/>
      <c r="K53" s="128" t="s">
        <v>88</v>
      </c>
      <c r="L53" s="129"/>
      <c r="M53" s="129"/>
      <c r="N53" s="129"/>
      <c r="O53" s="39">
        <f>+F54</f>
        <v>1567.9371158039999</v>
      </c>
      <c r="P53" s="39"/>
      <c r="Q53" s="40"/>
    </row>
    <row r="54" spans="1:17" x14ac:dyDescent="0.2">
      <c r="A54" s="31"/>
      <c r="B54" s="127" t="s">
        <v>89</v>
      </c>
      <c r="C54" s="127"/>
      <c r="D54" s="127"/>
      <c r="E54" s="127"/>
      <c r="F54" s="33">
        <f>+F52+F53</f>
        <v>1567.9371158039999</v>
      </c>
      <c r="G54" s="22">
        <f>+F54/$F$65</f>
        <v>0.94840459098824947</v>
      </c>
      <c r="H54" s="34">
        <f>+F54/$D$59</f>
        <v>1567.9371158039999</v>
      </c>
      <c r="I54" s="34"/>
      <c r="J54" s="41"/>
      <c r="K54" s="42"/>
      <c r="M54" s="43" t="s">
        <v>90</v>
      </c>
      <c r="N54" s="44"/>
      <c r="O54" s="39">
        <f>+H55</f>
        <v>115.21825366397368</v>
      </c>
      <c r="P54" s="39"/>
      <c r="Q54" s="40"/>
    </row>
    <row r="55" spans="1:17" ht="13.5" thickBot="1" x14ac:dyDescent="0.25">
      <c r="A55" s="31"/>
      <c r="B55" s="32"/>
      <c r="C55" s="127" t="s">
        <v>91</v>
      </c>
      <c r="D55" s="127"/>
      <c r="E55" s="127"/>
      <c r="F55" s="33">
        <f>SUM(F43:F50)</f>
        <v>115.21825366397368</v>
      </c>
      <c r="G55" s="22">
        <f>+F55/$F$65</f>
        <v>6.9692540369853118E-2</v>
      </c>
      <c r="H55" s="34">
        <f>+F55/$D$59</f>
        <v>115.21825366397368</v>
      </c>
      <c r="I55" s="34"/>
      <c r="J55" s="41"/>
      <c r="K55" s="42"/>
      <c r="L55" s="42"/>
      <c r="M55" s="42" t="s">
        <v>92</v>
      </c>
      <c r="N55" s="45"/>
      <c r="O55" s="39">
        <f>O53*N55</f>
        <v>0</v>
      </c>
      <c r="P55" s="39"/>
      <c r="Q55" s="40"/>
    </row>
    <row r="56" spans="1:17" ht="13.5" thickBot="1" x14ac:dyDescent="0.25">
      <c r="A56" s="31"/>
      <c r="B56" s="46"/>
      <c r="C56" s="46"/>
      <c r="D56" s="46"/>
      <c r="E56" s="46"/>
      <c r="F56" s="47"/>
      <c r="G56" s="22"/>
      <c r="H56" s="48"/>
      <c r="I56" s="34"/>
      <c r="J56" s="41"/>
      <c r="K56" s="49"/>
      <c r="M56" s="50" t="s">
        <v>93</v>
      </c>
      <c r="N56" s="51"/>
      <c r="O56" s="52">
        <f>SUM(O53:O55)</f>
        <v>1683.1553694679735</v>
      </c>
      <c r="P56" s="53"/>
      <c r="Q56" s="40"/>
    </row>
    <row r="57" spans="1:17" x14ac:dyDescent="0.2">
      <c r="B57" s="130" t="s">
        <v>94</v>
      </c>
      <c r="C57" s="130"/>
      <c r="D57" s="54">
        <v>620</v>
      </c>
      <c r="E57" s="55"/>
      <c r="G57" s="22"/>
      <c r="H57" s="48">
        <f>+H55/61</f>
        <v>1.8888238305569456</v>
      </c>
      <c r="I57" s="56"/>
      <c r="J57" s="41"/>
      <c r="K57" s="49"/>
      <c r="L57" s="42"/>
      <c r="M57" s="42" t="s">
        <v>95</v>
      </c>
      <c r="N57" s="57"/>
      <c r="O57" s="39">
        <f>+H58</f>
        <v>109.55178217230285</v>
      </c>
      <c r="P57" s="39"/>
      <c r="Q57" s="40"/>
    </row>
    <row r="58" spans="1:17" x14ac:dyDescent="0.2">
      <c r="B58" s="130" t="s">
        <v>96</v>
      </c>
      <c r="C58" s="130"/>
      <c r="D58" s="58">
        <v>620</v>
      </c>
      <c r="E58" s="55"/>
      <c r="G58" s="22"/>
      <c r="H58" s="48">
        <f>+H57*58</f>
        <v>109.55178217230285</v>
      </c>
      <c r="I58" s="56"/>
      <c r="J58" s="41"/>
      <c r="K58" s="49"/>
      <c r="L58" s="42"/>
      <c r="M58" s="131" t="s">
        <v>93</v>
      </c>
      <c r="N58" s="131"/>
      <c r="O58" s="39">
        <f>SUM(O56:O57)</f>
        <v>1792.7071516402764</v>
      </c>
      <c r="P58" s="39"/>
      <c r="Q58" s="40"/>
    </row>
    <row r="59" spans="1:17" ht="13.5" thickBot="1" x14ac:dyDescent="0.25">
      <c r="B59" s="122" t="s">
        <v>97</v>
      </c>
      <c r="C59" s="122"/>
      <c r="D59" s="54">
        <f>+D57/D58</f>
        <v>1</v>
      </c>
      <c r="E59" s="55"/>
      <c r="F59" s="59"/>
      <c r="G59" s="22"/>
      <c r="H59" s="48"/>
      <c r="I59" s="56"/>
      <c r="J59" s="41"/>
      <c r="K59" s="49"/>
      <c r="L59" s="131"/>
      <c r="M59" s="131"/>
      <c r="N59" s="57"/>
      <c r="O59" s="39">
        <f>+O58*N59</f>
        <v>0</v>
      </c>
      <c r="P59" s="39"/>
      <c r="Q59" s="40"/>
    </row>
    <row r="60" spans="1:17" ht="13.5" thickBot="1" x14ac:dyDescent="0.25">
      <c r="B60" s="122" t="s">
        <v>98</v>
      </c>
      <c r="C60" s="122"/>
      <c r="D60" s="60"/>
      <c r="E60" s="55"/>
      <c r="F60" s="59"/>
      <c r="G60" s="22"/>
      <c r="H60" s="48"/>
      <c r="I60" s="56"/>
      <c r="J60" s="41"/>
      <c r="K60" s="123" t="s">
        <v>99</v>
      </c>
      <c r="L60" s="124"/>
      <c r="M60" s="124"/>
      <c r="N60" s="125"/>
      <c r="O60" s="52">
        <f>SUM(O58:O59)</f>
        <v>1792.7071516402764</v>
      </c>
      <c r="P60" s="61" t="s">
        <v>100</v>
      </c>
      <c r="Q60" s="40"/>
    </row>
    <row r="61" spans="1:17" ht="13.5" thickBot="1" x14ac:dyDescent="0.25">
      <c r="C61" s="31" t="s">
        <v>101</v>
      </c>
      <c r="D61" s="62"/>
      <c r="E61" s="5" t="s">
        <v>102</v>
      </c>
      <c r="F61" s="63" t="s">
        <v>103</v>
      </c>
      <c r="G61" s="22"/>
      <c r="H61" s="48"/>
      <c r="I61" s="56"/>
      <c r="J61" s="64"/>
      <c r="K61" s="65"/>
      <c r="L61" s="111" t="s">
        <v>104</v>
      </c>
      <c r="M61" s="111"/>
      <c r="N61" s="111"/>
      <c r="O61" s="66">
        <f>+O60/D59</f>
        <v>1792.7071516402764</v>
      </c>
      <c r="P61" s="67">
        <f>+O61/D58</f>
        <v>2.8914631478068973</v>
      </c>
      <c r="Q61" s="68"/>
    </row>
    <row r="62" spans="1:17" ht="13.5" thickBot="1" x14ac:dyDescent="0.25">
      <c r="B62" s="112" t="s">
        <v>89</v>
      </c>
      <c r="C62" s="112"/>
      <c r="D62" s="112"/>
      <c r="E62" s="69">
        <f>+F62/F62</f>
        <v>1</v>
      </c>
      <c r="F62" s="70">
        <f>SUM(F54)</f>
        <v>1567.9371158039999</v>
      </c>
      <c r="G62" s="22">
        <f>+F62/$F$65</f>
        <v>0.94840459098824947</v>
      </c>
      <c r="H62" s="48"/>
      <c r="I62" s="56"/>
      <c r="K62" s="113"/>
      <c r="L62" s="114"/>
      <c r="M62" s="114"/>
      <c r="N62" s="114"/>
      <c r="O62" s="71"/>
      <c r="P62" s="72"/>
    </row>
    <row r="63" spans="1:17" ht="13.5" thickBot="1" x14ac:dyDescent="0.3">
      <c r="B63" s="115" t="s">
        <v>105</v>
      </c>
      <c r="C63" s="115"/>
      <c r="D63" s="115"/>
      <c r="E63" s="73">
        <v>0.02</v>
      </c>
      <c r="F63" s="70">
        <f>+F52*E63</f>
        <v>24.299414999999996</v>
      </c>
      <c r="G63" s="22">
        <f>+F63/$F$65</f>
        <v>1.4698087386311707E-2</v>
      </c>
      <c r="H63" s="34"/>
      <c r="I63" s="56"/>
      <c r="J63" s="74"/>
      <c r="O63" s="75"/>
      <c r="P63" s="32"/>
    </row>
    <row r="64" spans="1:17" ht="13.5" thickBot="1" x14ac:dyDescent="0.3">
      <c r="B64" s="116" t="s">
        <v>106</v>
      </c>
      <c r="C64" s="117"/>
      <c r="D64" s="76">
        <v>1</v>
      </c>
      <c r="E64" s="77">
        <v>61</v>
      </c>
      <c r="F64" s="70">
        <f>+E64*D64</f>
        <v>61</v>
      </c>
      <c r="G64" s="22">
        <f>+F64/$F$65</f>
        <v>3.6897321625438899E-2</v>
      </c>
      <c r="H64" s="34"/>
      <c r="I64" s="34"/>
      <c r="J64" s="24"/>
    </row>
    <row r="65" spans="2:13" ht="13.5" thickBot="1" x14ac:dyDescent="0.3">
      <c r="B65" s="118" t="s">
        <v>107</v>
      </c>
      <c r="C65" s="119"/>
      <c r="D65" s="119"/>
      <c r="E65" s="120"/>
      <c r="F65" s="47">
        <f>SUM(F62:F64)</f>
        <v>1653.2365308039998</v>
      </c>
      <c r="G65" s="22">
        <f>+F65/$F$65</f>
        <v>1</v>
      </c>
      <c r="H65" s="121"/>
      <c r="I65" s="34"/>
      <c r="J65" s="24"/>
      <c r="M65" s="7" t="s">
        <v>108</v>
      </c>
    </row>
    <row r="66" spans="2:13" x14ac:dyDescent="0.25">
      <c r="C66" s="29"/>
      <c r="D66" s="29"/>
      <c r="E66" s="79"/>
      <c r="F66" s="70"/>
      <c r="G66" s="22"/>
      <c r="H66" s="121"/>
      <c r="I66" s="78"/>
      <c r="J66" s="7"/>
      <c r="M66" s="7" t="s">
        <v>109</v>
      </c>
    </row>
    <row r="67" spans="2:13" ht="13.5" thickBot="1" x14ac:dyDescent="0.3">
      <c r="B67" s="106" t="s">
        <v>110</v>
      </c>
      <c r="C67" s="106"/>
      <c r="D67" s="106"/>
      <c r="E67" s="106"/>
      <c r="F67" s="106"/>
      <c r="G67" s="22"/>
      <c r="H67" s="81"/>
      <c r="I67" s="78"/>
      <c r="J67" s="7"/>
    </row>
    <row r="68" spans="2:13" ht="13.5" thickBot="1" x14ac:dyDescent="0.3">
      <c r="B68" s="82" t="s">
        <v>111</v>
      </c>
      <c r="C68" s="83">
        <f>+F52</f>
        <v>1214.9707499999997</v>
      </c>
      <c r="D68" s="83">
        <f>+D57</f>
        <v>620</v>
      </c>
      <c r="E68" s="84">
        <f>+C68/D68</f>
        <v>1.9596302419354834</v>
      </c>
      <c r="F68" s="22"/>
      <c r="G68" s="81"/>
      <c r="H68" s="24"/>
      <c r="I68" s="81"/>
      <c r="J68" s="7"/>
    </row>
    <row r="69" spans="2:13" x14ac:dyDescent="0.25">
      <c r="B69" s="85"/>
      <c r="C69" s="86"/>
      <c r="D69" s="87"/>
      <c r="E69" s="70"/>
      <c r="F69" s="22"/>
      <c r="G69" s="81"/>
      <c r="H69" s="24"/>
      <c r="I69" s="24"/>
      <c r="J69" s="7"/>
    </row>
    <row r="70" spans="2:13" x14ac:dyDescent="0.25">
      <c r="B70" s="82" t="s">
        <v>112</v>
      </c>
      <c r="C70" s="83">
        <f>SUM(F62:F63)</f>
        <v>1592.2365308039998</v>
      </c>
      <c r="D70" s="83">
        <f>+D57</f>
        <v>620</v>
      </c>
      <c r="E70" s="88">
        <f>+C70/D70</f>
        <v>2.5681234367806449</v>
      </c>
      <c r="F70" s="22"/>
      <c r="G70" s="81"/>
      <c r="H70" s="24"/>
      <c r="I70" s="24"/>
      <c r="J70" s="7"/>
    </row>
    <row r="71" spans="2:13" x14ac:dyDescent="0.25">
      <c r="B71" s="82"/>
      <c r="C71" s="83"/>
      <c r="D71" s="83"/>
      <c r="E71" s="88"/>
      <c r="F71" s="22"/>
      <c r="G71" s="81"/>
      <c r="H71" s="24"/>
      <c r="I71" s="24"/>
      <c r="J71" s="7"/>
    </row>
    <row r="72" spans="2:13" ht="13.5" thickBot="1" x14ac:dyDescent="0.3">
      <c r="B72" s="82" t="s">
        <v>113</v>
      </c>
      <c r="C72" s="83">
        <f>+F64</f>
        <v>61</v>
      </c>
      <c r="D72" s="83">
        <f>+D57</f>
        <v>620</v>
      </c>
      <c r="E72" s="88">
        <f>+C72/D72</f>
        <v>9.838709677419355E-2</v>
      </c>
      <c r="F72" s="22"/>
      <c r="G72" s="81"/>
      <c r="H72" s="24"/>
      <c r="I72" s="24"/>
      <c r="J72" s="7"/>
    </row>
    <row r="73" spans="2:13" ht="13.5" thickBot="1" x14ac:dyDescent="0.3">
      <c r="B73" s="82" t="s">
        <v>114</v>
      </c>
      <c r="C73" s="83">
        <f>+F55</f>
        <v>115.21825366397368</v>
      </c>
      <c r="D73" s="83">
        <f>+D72</f>
        <v>620</v>
      </c>
      <c r="E73" s="84">
        <f>+C73/D73</f>
        <v>0.18583589300640918</v>
      </c>
      <c r="F73" s="22"/>
      <c r="G73" s="81"/>
      <c r="H73" s="24"/>
      <c r="I73" s="24"/>
      <c r="J73" s="7"/>
    </row>
    <row r="74" spans="2:13" ht="13.5" thickBot="1" x14ac:dyDescent="0.3">
      <c r="B74" s="46"/>
      <c r="C74" s="47"/>
      <c r="D74" s="47"/>
      <c r="E74" s="88"/>
      <c r="F74" s="22"/>
      <c r="G74" s="81"/>
      <c r="H74" s="24"/>
      <c r="I74" s="24"/>
      <c r="J74" s="7"/>
    </row>
    <row r="75" spans="2:13" ht="13.5" thickBot="1" x14ac:dyDescent="0.3">
      <c r="B75" s="82" t="s">
        <v>115</v>
      </c>
      <c r="C75" s="83">
        <f>+F53</f>
        <v>352.96636580400002</v>
      </c>
      <c r="D75" s="83">
        <f>+D73</f>
        <v>620</v>
      </c>
      <c r="E75" s="84">
        <f>+C75/D75</f>
        <v>0.56930059000645161</v>
      </c>
      <c r="F75" s="22"/>
      <c r="G75" s="81"/>
      <c r="H75" s="24"/>
      <c r="I75" s="24"/>
      <c r="J75" s="24"/>
    </row>
    <row r="76" spans="2:13" ht="13.5" thickBot="1" x14ac:dyDescent="0.3">
      <c r="B76" s="46"/>
      <c r="C76" s="47"/>
      <c r="D76" s="47"/>
      <c r="E76" s="88"/>
      <c r="F76" s="22"/>
      <c r="G76" s="81"/>
      <c r="H76" s="24"/>
      <c r="I76" s="24"/>
    </row>
    <row r="77" spans="2:13" ht="13.5" thickBot="1" x14ac:dyDescent="0.3">
      <c r="B77" s="107" t="s">
        <v>116</v>
      </c>
      <c r="C77" s="108"/>
      <c r="D77" s="109"/>
      <c r="E77" s="84">
        <f>+E68+E73</f>
        <v>2.1454661349418926</v>
      </c>
      <c r="G77" s="22"/>
      <c r="H77" s="81"/>
      <c r="I77" s="24"/>
      <c r="J77" s="88"/>
    </row>
    <row r="78" spans="2:13" x14ac:dyDescent="0.25">
      <c r="I78" s="81"/>
      <c r="J78" s="7"/>
    </row>
    <row r="79" spans="2:13" ht="13.5" thickBot="1" x14ac:dyDescent="0.3">
      <c r="B79" s="106" t="s">
        <v>117</v>
      </c>
      <c r="C79" s="106"/>
      <c r="D79" s="106"/>
      <c r="E79" s="106"/>
      <c r="F79" s="106"/>
      <c r="G79" s="22"/>
      <c r="H79" s="81"/>
      <c r="J79" s="7"/>
    </row>
    <row r="80" spans="2:13" ht="13.5" thickBot="1" x14ac:dyDescent="0.3">
      <c r="B80" s="82" t="s">
        <v>111</v>
      </c>
      <c r="C80" s="83">
        <f>+C68</f>
        <v>1214.9707499999997</v>
      </c>
      <c r="D80" s="83">
        <f>+D59</f>
        <v>1</v>
      </c>
      <c r="E80" s="84">
        <f>+C80/D80</f>
        <v>1214.9707499999997</v>
      </c>
      <c r="F80" s="22"/>
      <c r="G80" s="81"/>
      <c r="H80" s="24"/>
      <c r="I80" s="81"/>
      <c r="J80" s="7"/>
    </row>
    <row r="81" spans="1:10" x14ac:dyDescent="0.25">
      <c r="B81" s="85"/>
      <c r="C81" s="86"/>
      <c r="D81" s="87"/>
      <c r="E81" s="70"/>
      <c r="F81" s="22"/>
      <c r="G81" s="81"/>
      <c r="H81" s="24"/>
      <c r="I81" s="24"/>
      <c r="J81" s="7"/>
    </row>
    <row r="82" spans="1:10" x14ac:dyDescent="0.25">
      <c r="B82" s="82" t="s">
        <v>112</v>
      </c>
      <c r="C82" s="83">
        <f>+C70</f>
        <v>1592.2365308039998</v>
      </c>
      <c r="D82" s="83">
        <f>+D59</f>
        <v>1</v>
      </c>
      <c r="E82" s="88">
        <f>+C82/D82</f>
        <v>1592.2365308039998</v>
      </c>
      <c r="F82" s="22"/>
      <c r="G82" s="81"/>
      <c r="H82" s="24"/>
      <c r="I82" s="24"/>
      <c r="J82" s="7"/>
    </row>
    <row r="83" spans="1:10" x14ac:dyDescent="0.25">
      <c r="B83" s="82"/>
      <c r="C83" s="83"/>
      <c r="D83" s="83"/>
      <c r="E83" s="88"/>
      <c r="F83" s="22"/>
      <c r="G83" s="81"/>
      <c r="H83" s="24"/>
      <c r="I83" s="24"/>
      <c r="J83" s="7"/>
    </row>
    <row r="84" spans="1:10" ht="13.5" thickBot="1" x14ac:dyDescent="0.3">
      <c r="B84" s="82" t="s">
        <v>114</v>
      </c>
      <c r="C84" s="83">
        <f>+C72</f>
        <v>61</v>
      </c>
      <c r="D84" s="83">
        <f>+D59</f>
        <v>1</v>
      </c>
      <c r="E84" s="88">
        <f>+C84/D84</f>
        <v>61</v>
      </c>
      <c r="F84" s="90"/>
      <c r="G84" s="80"/>
      <c r="H84" s="6"/>
      <c r="I84" s="24"/>
    </row>
    <row r="85" spans="1:10" ht="13.5" thickBot="1" x14ac:dyDescent="0.3">
      <c r="B85" s="82" t="s">
        <v>114</v>
      </c>
      <c r="C85" s="83">
        <f>+C73</f>
        <v>115.21825366397368</v>
      </c>
      <c r="D85" s="83">
        <f>+D84</f>
        <v>1</v>
      </c>
      <c r="E85" s="84">
        <f>+C85/D85</f>
        <v>115.21825366397368</v>
      </c>
      <c r="F85" s="89"/>
      <c r="G85" s="80"/>
      <c r="H85" s="6"/>
      <c r="I85" s="6"/>
    </row>
    <row r="86" spans="1:10" x14ac:dyDescent="0.25">
      <c r="I86" s="6"/>
    </row>
    <row r="87" spans="1:10" x14ac:dyDescent="0.2">
      <c r="A87" s="110"/>
      <c r="B87" s="110"/>
      <c r="C87" s="91"/>
      <c r="D87" s="91"/>
      <c r="E87" s="92"/>
      <c r="G87" s="93"/>
    </row>
    <row r="88" spans="1:10" x14ac:dyDescent="0.2">
      <c r="A88" s="25"/>
      <c r="B88" s="94"/>
      <c r="C88" s="95"/>
      <c r="D88" s="95"/>
      <c r="E88" s="96"/>
      <c r="G88" s="93"/>
    </row>
    <row r="89" spans="1:10" x14ac:dyDescent="0.2">
      <c r="A89" s="25"/>
      <c r="B89" s="94"/>
      <c r="C89" s="97"/>
      <c r="D89" s="97"/>
      <c r="E89" s="25"/>
      <c r="G89" s="93"/>
    </row>
    <row r="90" spans="1:10" x14ac:dyDescent="0.2">
      <c r="A90" s="25"/>
      <c r="B90" s="94"/>
      <c r="C90" s="98"/>
      <c r="D90" s="98"/>
      <c r="E90" s="25"/>
      <c r="G90" s="93"/>
    </row>
  </sheetData>
  <mergeCells count="29">
    <mergeCell ref="B57:C57"/>
    <mergeCell ref="A4:H4"/>
    <mergeCell ref="A5:H5"/>
    <mergeCell ref="F6:G6"/>
    <mergeCell ref="K27:L27"/>
    <mergeCell ref="K28:L28"/>
    <mergeCell ref="K29:L29"/>
    <mergeCell ref="B52:E52"/>
    <mergeCell ref="B53:E53"/>
    <mergeCell ref="K53:N53"/>
    <mergeCell ref="B54:E54"/>
    <mergeCell ref="C55:E55"/>
    <mergeCell ref="B58:C58"/>
    <mergeCell ref="M58:N58"/>
    <mergeCell ref="B59:C59"/>
    <mergeCell ref="L59:M59"/>
    <mergeCell ref="B60:C60"/>
    <mergeCell ref="K60:N60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A7706A-02AD-410E-9C43-4C329EA08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Premezcla </vt:lpstr>
      <vt:lpstr>Costo batido</vt:lpstr>
      <vt:lpstr>Costo Rosquete 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2025-04-02T13:32:01Z</cp:lastPrinted>
  <dcterms:created xsi:type="dcterms:W3CDTF">2023-07-28T19:10:29Z</dcterms:created>
  <dcterms:modified xsi:type="dcterms:W3CDTF">2025-04-02T13:32:03Z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
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67B3058A-78CD-463A-9C42-F79D1996B3E2}" xr6:coauthVersionLast="47" xr6:coauthVersionMax="47" xr10:uidLastSave="{D3F9C636-8EA5-4E48-97B9-9B0971E84EEB}"/>
  <bookViews>
    <workbookView xWindow="20370" yWindow="-120" windowWidth="24240" windowHeight="13020" xr2:uid="{F390D5EF-40C0-4B5A-ABD6-433D5D8E9694}"/>
  </bookViews>
  <sheets>
    <sheet name="Hoja1" sheetId="4" r:id="rId1"/>
  </sheets>
  <definedNames>
    <definedName name="_xlnm.Print_Area" localSheetId="0">Hoja1!$A$1:$I$47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L24" i="4"/>
</calcChain>
</file>

<file path=xl/sharedStrings.xml><?xml version="1.0" encoding="utf-8"?>
<sst xmlns="http://schemas.openxmlformats.org/spreadsheetml/2006/main" count="80" uniqueCount="71">
  <si>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</si>
  <si>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</si>
  <si>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</si>
  <si>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</si>
  <si>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</si>
  <si>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</si>
  <si>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</si>
  <si>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</si>
  <si>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</si>
  <si>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</si>
  <si>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</si>
  <si>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</si>
  <si>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</si>
  <si>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</si>
  <si>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</si>
  <si>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</si>
  <si>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</si>
  <si>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</si>
  <si>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</si>
  <si>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</si>
  <si>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</si>
  <si>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de Horneo:</t>
  </si>
  <si>
    <t>Unidad</t>
  </si>
  <si>
    <t xml:space="preserve">BOLSA 8x12 TRANSP </t>
  </si>
  <si>
    <t>1950705</t>
  </si>
  <si>
    <t>ETIQ.FECHA VENCIMIENTO</t>
  </si>
  <si>
    <t>0702012</t>
  </si>
  <si>
    <t>PLAST. AUTOAD 18 * 2000</t>
  </si>
  <si>
    <t>1950765</t>
  </si>
  <si>
    <t xml:space="preserve">MANJAR DE LECHE CONDENSADA 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</si>
  <si>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</si>
  <si>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</si>
  <si>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</si>
  <si>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</si>
  <si>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</si>
  <si>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</si>
  <si>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</si>
  <si>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cm</t>
  </si>
  <si>
    <t>Unid</t>
  </si>
  <si>
    <t>Esteban Cartin, Gte Manufactura</t>
  </si>
  <si>
    <t>10415</t>
  </si>
  <si>
    <t>AGUA POTABLE (PLANTA)</t>
  </si>
  <si>
    <t>FAS</t>
  </si>
  <si>
    <t>11400066</t>
  </si>
  <si>
    <t>CONTROL DE CAMBIOS</t>
  </si>
  <si>
    <t>MP10007</t>
  </si>
  <si>
    <t>EM10037</t>
  </si>
  <si>
    <t>EM10259</t>
  </si>
  <si>
    <t>EM10005</t>
  </si>
  <si>
    <t>AREA QUE PRODUCE:</t>
  </si>
  <si>
    <t>Decoración</t>
  </si>
  <si>
    <t xml:space="preserve">AREA QUE EMPACA: </t>
  </si>
  <si>
    <t># Código Netsuite</t>
  </si>
  <si>
    <t>Ensamble</t>
  </si>
  <si>
    <t>NESTLE</t>
  </si>
  <si>
    <t>Empaque</t>
  </si>
  <si>
    <t>MAYCA</t>
  </si>
  <si>
    <t>ETIPLAST</t>
  </si>
  <si>
    <t>PLASTICOS P</t>
  </si>
  <si>
    <t>1, Mezclar con ayuda de una espatula de goma, el manjar con el agua.</t>
  </si>
  <si>
    <t xml:space="preserve">2, Guardarlo en bolsa 8x12 y etiquetar. </t>
  </si>
  <si>
    <t>3, Usar inmediatamente o si no, guardar en camara de refigeración.</t>
  </si>
  <si>
    <t xml:space="preserve">2, Actualización datos de receta, procedimiento y pesos finales. </t>
  </si>
  <si>
    <t xml:space="preserve">3, Se actualizan datos de ingredientes </t>
  </si>
  <si>
    <t>Mariela Barrantes Sánchez , Chef</t>
  </si>
  <si>
    <t>Mezcla Sirope de Dulce de Leche(5350g) 910000006(SE00034)</t>
  </si>
  <si>
    <t>ESP-RE-POF-057</t>
  </si>
  <si>
    <t>Postres</t>
  </si>
  <si>
    <t>Cuenta con 7 dias de vida util despues de su elaboración, guardar los sobrantes en bolsasa plasticas en refigeración.</t>
  </si>
  <si>
    <t xml:space="preserve">4, Se actualiza dato de vida util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</si>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</sst>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theme="1"/>
      <name val="Century Gothic"/>
      <family val="2"/>
    </font>
    <font>
      <sz val="15"/>
      <color rgb="FF000000"/>
      <name val="Century Gothic"/>
      <family val="2"/>
    </font>
    <font>
      <sz val="15"/>
      <name val="Arial"/>
      <family val="2"/>
    </font>
    <font>
      <sz val="15"/>
      <color indexed="8"/>
      <name val="Century Gothic"/>
      <family val="2"/>
    </font>
    <font>
      <sz val="16"/>
      <name val="Arial"/>
      <family val="2"/>
    </font>
    <font>
      <b/>
      <sz val="1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174">
    <xf numFmtId="0" fontId="0" fillId="0" borderId="0" xfId="0"/>
    <xf numFmtId="0" fontId="5" fillId="2" borderId="16" xfId="3" applyFont="1" applyFill="1" applyBorder="1" applyAlignment="1">
      <alignment horizontal="right"/>
    </xf>
    <xf numFmtId="0" fontId="4" fillId="2" borderId="15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right"/>
    </xf>
    <xf numFmtId="49" fontId="4" fillId="2" borderId="10" xfId="3" applyNumberFormat="1" applyFont="1" applyFill="1" applyBorder="1" applyAlignment="1">
      <alignment horizontal="center"/>
    </xf>
    <xf numFmtId="0" fontId="4" fillId="2" borderId="4" xfId="3" applyFont="1" applyFill="1" applyBorder="1" applyAlignment="1">
      <alignment horizontal="right"/>
    </xf>
    <xf numFmtId="0" fontId="4" fillId="2" borderId="2" xfId="3" applyFont="1" applyFill="1" applyBorder="1" applyAlignment="1">
      <alignment horizontal="right"/>
    </xf>
    <xf numFmtId="14" fontId="7" fillId="2" borderId="0" xfId="5" applyNumberFormat="1" applyFont="1" applyFill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/>
    </xf>
    <xf numFmtId="1" fontId="5" fillId="3" borderId="1" xfId="2" applyNumberFormat="1" applyFont="1" applyFill="1" applyBorder="1" applyAlignment="1">
      <alignment horizontal="center" wrapText="1"/>
    </xf>
    <xf numFmtId="0" fontId="5" fillId="3" borderId="14" xfId="2" applyFont="1" applyFill="1" applyBorder="1" applyAlignment="1">
      <alignment horizontal="center"/>
    </xf>
    <xf numFmtId="0" fontId="8" fillId="0" borderId="42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9" fillId="0" borderId="2" xfId="2" applyFont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/>
    </xf>
    <xf numFmtId="1" fontId="8" fillId="0" borderId="2" xfId="2" applyNumberFormat="1" applyFont="1" applyBorder="1" applyAlignment="1">
      <alignment horizontal="center" wrapText="1"/>
    </xf>
    <xf numFmtId="0" fontId="10" fillId="0" borderId="10" xfId="2" applyFont="1" applyBorder="1" applyAlignment="1">
      <alignment horizontal="center"/>
    </xf>
    <xf numFmtId="0" fontId="11" fillId="5" borderId="4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4" xfId="0" applyFont="1" applyFill="1" applyBorder="1"/>
    <xf numFmtId="0" fontId="4" fillId="5" borderId="11" xfId="0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2" fontId="4" fillId="0" borderId="4" xfId="0" applyNumberFormat="1" applyFont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2" xfId="0" applyFont="1" applyFill="1" applyBorder="1"/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6" borderId="2" xfId="0" applyFont="1" applyFill="1" applyBorder="1"/>
    <xf numFmtId="0" fontId="4" fillId="0" borderId="2" xfId="0" applyFont="1" applyBorder="1" applyAlignment="1">
      <alignment horizontal="center" wrapText="1"/>
    </xf>
    <xf numFmtId="0" fontId="5" fillId="6" borderId="2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2" fillId="6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16" fontId="10" fillId="0" borderId="11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 wrapText="1"/>
    </xf>
    <xf numFmtId="49" fontId="10" fillId="0" borderId="42" xfId="2" applyNumberFormat="1" applyFont="1" applyBorder="1" applyAlignment="1">
      <alignment horizontal="center"/>
    </xf>
    <xf numFmtId="49" fontId="10" fillId="0" borderId="11" xfId="2" applyNumberFormat="1" applyFont="1" applyBorder="1" applyAlignment="1">
      <alignment horizontal="center"/>
    </xf>
    <xf numFmtId="0" fontId="8" fillId="5" borderId="2" xfId="2" applyFont="1" applyFill="1" applyBorder="1" applyAlignment="1">
      <alignment horizontal="left"/>
    </xf>
    <xf numFmtId="0" fontId="10" fillId="0" borderId="2" xfId="2" applyFont="1" applyBorder="1" applyAlignment="1">
      <alignment horizontal="center"/>
    </xf>
    <xf numFmtId="166" fontId="10" fillId="0" borderId="2" xfId="2" applyNumberFormat="1" applyFont="1" applyBorder="1" applyAlignment="1">
      <alignment horizontal="center"/>
    </xf>
    <xf numFmtId="1" fontId="10" fillId="0" borderId="2" xfId="2" applyNumberFormat="1" applyFont="1" applyBorder="1" applyAlignment="1">
      <alignment horizontal="center" wrapText="1"/>
    </xf>
    <xf numFmtId="0" fontId="11" fillId="5" borderId="34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5" borderId="2" xfId="2" applyNumberFormat="1" applyFont="1" applyFill="1" applyBorder="1" applyAlignment="1">
      <alignment horizontal="center"/>
    </xf>
    <xf numFmtId="1" fontId="4" fillId="5" borderId="2" xfId="2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16" fontId="4" fillId="5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16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49" fontId="8" fillId="0" borderId="36" xfId="2" applyNumberFormat="1" applyFont="1" applyBorder="1" applyAlignment="1">
      <alignment horizontal="center"/>
    </xf>
    <xf numFmtId="49" fontId="8" fillId="0" borderId="26" xfId="2" applyNumberFormat="1" applyFont="1" applyBorder="1" applyAlignment="1">
      <alignment horizontal="center"/>
    </xf>
    <xf numFmtId="0" fontId="9" fillId="5" borderId="2" xfId="2" applyFont="1" applyFill="1" applyBorder="1" applyAlignment="1">
      <alignment vertical="center"/>
    </xf>
    <xf numFmtId="0" fontId="8" fillId="0" borderId="11" xfId="2" applyFont="1" applyBorder="1" applyAlignment="1">
      <alignment horizontal="center"/>
    </xf>
    <xf numFmtId="166" fontId="8" fillId="0" borderId="2" xfId="2" applyNumberFormat="1" applyFont="1" applyBorder="1" applyAlignment="1">
      <alignment horizontal="center"/>
    </xf>
    <xf numFmtId="49" fontId="10" fillId="0" borderId="2" xfId="2" applyNumberFormat="1" applyFont="1" applyBorder="1" applyAlignment="1">
      <alignment horizontal="center"/>
    </xf>
    <xf numFmtId="49" fontId="10" fillId="0" borderId="2" xfId="2" applyNumberFormat="1" applyFont="1" applyBorder="1"/>
    <xf numFmtId="16" fontId="10" fillId="0" borderId="2" xfId="2" applyNumberFormat="1" applyFont="1" applyBorder="1" applyAlignment="1">
      <alignment horizontal="center"/>
    </xf>
    <xf numFmtId="1" fontId="4" fillId="0" borderId="4" xfId="2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65" fontId="5" fillId="5" borderId="2" xfId="1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1" fontId="13" fillId="0" borderId="2" xfId="0" applyNumberFormat="1" applyFont="1" applyBorder="1" applyAlignment="1">
      <alignment horizontal="left" vertical="center"/>
    </xf>
    <xf numFmtId="12" fontId="10" fillId="0" borderId="2" xfId="2" applyNumberFormat="1" applyFont="1" applyBorder="1" applyAlignment="1">
      <alignment horizontal="center"/>
    </xf>
    <xf numFmtId="49" fontId="14" fillId="2" borderId="9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7" fontId="4" fillId="2" borderId="0" xfId="2" applyNumberFormat="1" applyFont="1" applyFill="1" applyAlignment="1">
      <alignment horizontal="center" wrapText="1"/>
    </xf>
    <xf numFmtId="0" fontId="4" fillId="2" borderId="8" xfId="2" applyFont="1" applyFill="1" applyBorder="1" applyAlignment="1">
      <alignment horizontal="center"/>
    </xf>
    <xf numFmtId="0" fontId="4" fillId="3" borderId="7" xfId="2" applyFont="1" applyFill="1" applyBorder="1" applyAlignment="1">
      <alignment horizontal="center"/>
    </xf>
    <xf numFmtId="0" fontId="4" fillId="3" borderId="6" xfId="2" applyFont="1" applyFill="1" applyBorder="1" applyAlignment="1">
      <alignment horizontal="center"/>
    </xf>
    <xf numFmtId="0" fontId="4" fillId="3" borderId="6" xfId="2" applyFont="1" applyFill="1" applyBorder="1"/>
    <xf numFmtId="0" fontId="5" fillId="3" borderId="6" xfId="2" applyFont="1" applyFill="1" applyBorder="1" applyAlignment="1">
      <alignment horizontal="center"/>
    </xf>
    <xf numFmtId="1" fontId="5" fillId="3" borderId="6" xfId="2" applyNumberFormat="1" applyFont="1" applyFill="1" applyBorder="1" applyAlignment="1">
      <alignment horizontal="center"/>
    </xf>
    <xf numFmtId="167" fontId="4" fillId="3" borderId="6" xfId="2" applyNumberFormat="1" applyFont="1" applyFill="1" applyBorder="1" applyAlignment="1">
      <alignment horizontal="center" wrapText="1"/>
    </xf>
    <xf numFmtId="0" fontId="4" fillId="3" borderId="5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0" xfId="0" applyNumberFormat="1"/>
    <xf numFmtId="0" fontId="15" fillId="0" borderId="0" xfId="0" applyFont="1"/>
    <xf numFmtId="0" fontId="4" fillId="2" borderId="2" xfId="3" applyFont="1" applyFill="1" applyBorder="1" applyAlignment="1">
      <alignment horizontal="left"/>
    </xf>
    <xf numFmtId="0" fontId="5" fillId="7" borderId="44" xfId="3" applyFont="1" applyFill="1" applyBorder="1" applyAlignment="1">
      <alignment horizontal="center"/>
    </xf>
    <xf numFmtId="0" fontId="5" fillId="7" borderId="19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left"/>
    </xf>
    <xf numFmtId="0" fontId="4" fillId="2" borderId="26" xfId="3" applyFont="1" applyFill="1" applyBorder="1" applyAlignment="1">
      <alignment horizontal="left"/>
    </xf>
    <xf numFmtId="0" fontId="4" fillId="2" borderId="11" xfId="3" applyFont="1" applyFill="1" applyBorder="1" applyAlignment="1">
      <alignment horizontal="left"/>
    </xf>
    <xf numFmtId="0" fontId="4" fillId="0" borderId="40" xfId="2" applyFont="1" applyBorder="1" applyAlignment="1">
      <alignment horizontal="left"/>
    </xf>
    <xf numFmtId="0" fontId="4" fillId="0" borderId="34" xfId="2" applyFont="1" applyBorder="1" applyAlignment="1">
      <alignment horizontal="left"/>
    </xf>
    <xf numFmtId="0" fontId="4" fillId="0" borderId="4" xfId="2" applyFont="1" applyBorder="1" applyAlignment="1">
      <alignment horizontal="left"/>
    </xf>
    <xf numFmtId="0" fontId="4" fillId="0" borderId="13" xfId="2" applyFont="1" applyBorder="1" applyAlignment="1">
      <alignment horizontal="left"/>
    </xf>
    <xf numFmtId="0" fontId="5" fillId="0" borderId="40" xfId="2" applyFont="1" applyBorder="1" applyAlignment="1">
      <alignment horizontal="center"/>
    </xf>
    <xf numFmtId="0" fontId="5" fillId="0" borderId="34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4" fillId="0" borderId="43" xfId="2" applyFont="1" applyBorder="1" applyAlignment="1">
      <alignment horizontal="left" wrapText="1"/>
    </xf>
    <xf numFmtId="0" fontId="4" fillId="0" borderId="21" xfId="2" applyFont="1" applyBorder="1" applyAlignment="1">
      <alignment horizontal="left" wrapText="1"/>
    </xf>
    <xf numFmtId="0" fontId="4" fillId="0" borderId="12" xfId="2" applyFont="1" applyBorder="1" applyAlignment="1">
      <alignment horizontal="left" wrapText="1"/>
    </xf>
    <xf numFmtId="0" fontId="4" fillId="0" borderId="24" xfId="2" applyFont="1" applyBorder="1" applyAlignment="1">
      <alignment horizontal="left" wrapText="1"/>
    </xf>
    <xf numFmtId="0" fontId="4" fillId="0" borderId="4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5" fillId="0" borderId="36" xfId="2" applyFont="1" applyBorder="1" applyAlignment="1">
      <alignment horizontal="right"/>
    </xf>
    <xf numFmtId="0" fontId="5" fillId="0" borderId="26" xfId="2" applyFont="1" applyBorder="1" applyAlignment="1">
      <alignment horizontal="right"/>
    </xf>
    <xf numFmtId="0" fontId="5" fillId="0" borderId="11" xfId="2" applyFont="1" applyBorder="1" applyAlignment="1">
      <alignment horizontal="right"/>
    </xf>
    <xf numFmtId="0" fontId="4" fillId="0" borderId="2" xfId="2" applyFont="1" applyBorder="1" applyAlignment="1">
      <alignment horizontal="right"/>
    </xf>
    <xf numFmtId="167" fontId="4" fillId="0" borderId="17" xfId="2" applyNumberFormat="1" applyFont="1" applyBorder="1" applyAlignment="1">
      <alignment horizontal="center"/>
    </xf>
    <xf numFmtId="167" fontId="4" fillId="0" borderId="37" xfId="2" applyNumberFormat="1" applyFont="1" applyBorder="1" applyAlignment="1">
      <alignment horizontal="center"/>
    </xf>
    <xf numFmtId="167" fontId="4" fillId="0" borderId="17" xfId="2" applyNumberFormat="1" applyFont="1" applyBorder="1" applyAlignment="1">
      <alignment horizontal="right" wrapText="1"/>
    </xf>
    <xf numFmtId="167" fontId="4" fillId="0" borderId="11" xfId="2" applyNumberFormat="1" applyFont="1" applyBorder="1" applyAlignment="1">
      <alignment horizontal="right" wrapText="1"/>
    </xf>
    <xf numFmtId="167" fontId="4" fillId="0" borderId="17" xfId="0" applyNumberFormat="1" applyFont="1" applyBorder="1" applyAlignment="1">
      <alignment horizontal="center" wrapText="1"/>
    </xf>
    <xf numFmtId="167" fontId="4" fillId="0" borderId="37" xfId="0" applyNumberFormat="1" applyFont="1" applyBorder="1" applyAlignment="1">
      <alignment horizontal="center" wrapText="1"/>
    </xf>
    <xf numFmtId="0" fontId="5" fillId="0" borderId="31" xfId="2" applyFont="1" applyBorder="1" applyAlignment="1">
      <alignment horizontal="right"/>
    </xf>
    <xf numFmtId="0" fontId="5" fillId="0" borderId="38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5" fillId="3" borderId="7" xfId="2" applyFont="1" applyFill="1" applyBorder="1" applyAlignment="1">
      <alignment horizontal="center"/>
    </xf>
    <xf numFmtId="0" fontId="5" fillId="3" borderId="6" xfId="2" applyFont="1" applyFill="1" applyBorder="1" applyAlignment="1">
      <alignment horizontal="center"/>
    </xf>
    <xf numFmtId="0" fontId="5" fillId="3" borderId="5" xfId="2" applyFont="1" applyFill="1" applyBorder="1" applyAlignment="1">
      <alignment horizontal="center"/>
    </xf>
    <xf numFmtId="0" fontId="5" fillId="0" borderId="32" xfId="2" applyFont="1" applyBorder="1" applyAlignment="1">
      <alignment horizontal="right"/>
    </xf>
    <xf numFmtId="0" fontId="5" fillId="0" borderId="33" xfId="2" applyFont="1" applyBorder="1" applyAlignment="1">
      <alignment horizontal="right"/>
    </xf>
    <xf numFmtId="0" fontId="5" fillId="0" borderId="34" xfId="2" applyFont="1" applyBorder="1" applyAlignment="1">
      <alignment horizontal="right"/>
    </xf>
    <xf numFmtId="167" fontId="4" fillId="0" borderId="4" xfId="2" applyNumberFormat="1" applyFont="1" applyBorder="1" applyAlignment="1">
      <alignment horizontal="right"/>
    </xf>
    <xf numFmtId="0" fontId="4" fillId="2" borderId="3" xfId="2" applyFont="1" applyFill="1" applyBorder="1" applyAlignment="1">
      <alignment horizontal="center"/>
    </xf>
    <xf numFmtId="0" fontId="4" fillId="2" borderId="35" xfId="2" applyFont="1" applyFill="1" applyBorder="1" applyAlignment="1">
      <alignment horizontal="center"/>
    </xf>
    <xf numFmtId="0" fontId="6" fillId="2" borderId="0" xfId="5" applyFont="1" applyFill="1" applyAlignment="1">
      <alignment horizontal="right"/>
    </xf>
    <xf numFmtId="0" fontId="7" fillId="2" borderId="20" xfId="5" applyFont="1" applyFill="1" applyBorder="1" applyAlignment="1">
      <alignment horizontal="center"/>
    </xf>
    <xf numFmtId="0" fontId="6" fillId="2" borderId="0" xfId="5" applyFont="1" applyFill="1"/>
    <xf numFmtId="0" fontId="5" fillId="3" borderId="30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14" fontId="4" fillId="2" borderId="24" xfId="3" applyNumberFormat="1" applyFont="1" applyFill="1" applyBorder="1" applyAlignment="1">
      <alignment horizontal="center" vertical="center" wrapText="1"/>
    </xf>
    <xf numFmtId="14" fontId="4" fillId="2" borderId="25" xfId="3" applyNumberFormat="1" applyFont="1" applyFill="1" applyBorder="1" applyAlignment="1">
      <alignment horizontal="center" vertical="center" wrapText="1"/>
    </xf>
    <xf numFmtId="14" fontId="4" fillId="2" borderId="13" xfId="3" applyNumberFormat="1" applyFont="1" applyFill="1" applyBorder="1" applyAlignment="1">
      <alignment horizontal="center" vertical="center" wrapText="1"/>
    </xf>
    <xf numFmtId="0" fontId="4" fillId="2" borderId="27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left"/>
    </xf>
    <xf numFmtId="0" fontId="4" fillId="2" borderId="18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4" fillId="2" borderId="9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33" xfId="3" applyFont="1" applyFill="1" applyBorder="1" applyAlignment="1">
      <alignment horizontal="center"/>
    </xf>
    <xf numFmtId="0" fontId="5" fillId="2" borderId="16" xfId="3" applyFont="1" applyFill="1" applyBorder="1" applyAlignment="1">
      <alignment horizontal="center"/>
    </xf>
    <xf numFmtId="0" fontId="5" fillId="2" borderId="39" xfId="3" applyFont="1" applyFill="1" applyBorder="1" applyAlignment="1">
      <alignment horizontal="center"/>
    </xf>
    <xf numFmtId="0" fontId="5" fillId="2" borderId="41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16" fillId="4" borderId="7" xfId="3" applyFont="1" applyFill="1" applyBorder="1" applyAlignment="1">
      <alignment horizontal="center" vertical="center" wrapText="1"/>
    </xf>
    <xf numFmtId="0" fontId="16" fillId="4" borderId="6" xfId="3" applyFont="1" applyFill="1" applyBorder="1" applyAlignment="1">
      <alignment horizontal="center" vertical="center" wrapText="1"/>
    </xf>
    <xf numFmtId="0" fontId="16" fillId="4" borderId="5" xfId="3" applyFont="1" applyFill="1" applyBorder="1" applyAlignment="1">
      <alignment horizontal="center" vertical="center" wrapText="1"/>
    </xf>
    <xf numFmtId="0" fontId="5" fillId="2" borderId="21" xfId="3" applyFont="1" applyFill="1" applyBorder="1" applyAlignment="1">
      <alignment horizontal="right" vertical="top" wrapText="1"/>
    </xf>
    <xf numFmtId="0" fontId="5" fillId="2" borderId="22" xfId="3" applyFont="1" applyFill="1" applyBorder="1" applyAlignment="1">
      <alignment horizontal="right" vertical="top" wrapText="1"/>
    </xf>
    <xf numFmtId="0" fontId="5" fillId="2" borderId="23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DE7E26EE-FAC7-45F1-A83E-E28D001E11B5}"/>
    <cellStyle name="Normal_CRITERIOS DE EVALUACION PT DE GB" xfId="3" xr:uid="{10BC6F67-747A-482E-B163-3F592B824C4A}"/>
    <cellStyle name="Normal_CRITERIOS DE EVALUACION PT DE GB 2" xfId="5" xr:uid="{00C90156-A497-4429-AA41-4D47CA957729}"/>
    <cellStyle name="Porcentaje 2" xfId="4" xr:uid="{0846C9D9-3A9F-4784-B32E-1088A7837B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111125</xdr:colOff>
      <xdr:row>0</xdr:row>
      <xdr:rowOff>170815</xdr:rowOff>
    </xdr:from>
    <xdr:to>
      <xdr:col>1</xdr:col>
      <xdr:colOff>819578</xdr:colOff>
      <xdr:row>4</xdr:row>
      <xdr:rowOff>83344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94AE0547-4580-433D-9C5C-448DF259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170815"/>
          <a:ext cx="1740328" cy="1019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C20F-3B7C-40FA-8B79-C99986FE5D2A}">
  <sheetPr>
    <pageSetUpPr fitToPage="1"/>
  </sheetPr>
  <dimension ref="A1:L47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5.140625" bestFit="1" customWidth="1"/>
    <col min="2" max="2" width="14.42578125" bestFit="1" customWidth="1"/>
    <col min="3" max="3" width="50.140625" customWidth="1"/>
    <col min="4" max="4" width="34.28515625" bestFit="1" customWidth="1"/>
    <col min="5" max="5" width="17.140625" customWidth="1"/>
    <col min="6" max="6" width="16.7109375" customWidth="1"/>
    <col min="7" max="7" width="19.140625" customWidth="1"/>
    <col min="8" max="8" width="20.85546875" customWidth="1"/>
    <col min="9" max="9" width="22.7109375" bestFit="1" customWidth="1"/>
  </cols>
  <sheetData>
    <row r="1" spans="1:12" ht="18.75" x14ac:dyDescent="0.25">
      <c r="A1" s="158"/>
      <c r="B1" s="159"/>
      <c r="C1" s="164" t="s">
        <v>36</v>
      </c>
      <c r="D1" s="164"/>
      <c r="E1" s="164"/>
      <c r="F1" s="164"/>
      <c r="G1" s="164"/>
      <c r="H1" s="1" t="s">
        <v>35</v>
      </c>
      <c r="I1" s="2" t="s">
        <v>66</v>
      </c>
    </row>
    <row r="2" spans="1:12" ht="18" customHeight="1" thickBot="1" x14ac:dyDescent="0.3">
      <c r="A2" s="160"/>
      <c r="B2" s="161"/>
      <c r="C2" s="165" t="s">
        <v>0</v>
      </c>
      <c r="D2" s="166"/>
      <c r="E2" s="166"/>
      <c r="F2" s="166"/>
      <c r="G2" s="167"/>
      <c r="H2" s="3" t="s">
        <v>34</v>
      </c>
      <c r="I2" s="4" t="s">
        <v>70</v>
      </c>
    </row>
    <row r="3" spans="1:12" ht="31.5" customHeight="1" thickBot="1" x14ac:dyDescent="0.25">
      <c r="A3" s="160"/>
      <c r="B3" s="161"/>
      <c r="C3" s="168" t="s">
        <v>65</v>
      </c>
      <c r="D3" s="169"/>
      <c r="E3" s="169"/>
      <c r="F3" s="169"/>
      <c r="G3" s="170"/>
      <c r="H3" s="171" t="s">
        <v>33</v>
      </c>
      <c r="I3" s="152">
        <v>45613</v>
      </c>
    </row>
    <row r="4" spans="1:12" ht="18.75" x14ac:dyDescent="0.25">
      <c r="A4" s="160"/>
      <c r="B4" s="161"/>
      <c r="C4" s="5" t="s">
        <v>32</v>
      </c>
      <c r="D4" s="155" t="s">
        <v>64</v>
      </c>
      <c r="E4" s="156"/>
      <c r="F4" s="156"/>
      <c r="G4" s="157"/>
      <c r="H4" s="172"/>
      <c r="I4" s="153"/>
    </row>
    <row r="5" spans="1:12" ht="19.5" thickBot="1" x14ac:dyDescent="0.3">
      <c r="A5" s="162"/>
      <c r="B5" s="163"/>
      <c r="C5" s="6" t="s">
        <v>31</v>
      </c>
      <c r="D5" s="101" t="s">
        <v>39</v>
      </c>
      <c r="E5" s="102"/>
      <c r="F5" s="102"/>
      <c r="G5" s="103"/>
      <c r="H5" s="173"/>
      <c r="I5" s="154"/>
    </row>
    <row r="6" spans="1:12" ht="20.25" thickBot="1" x14ac:dyDescent="0.35">
      <c r="A6" s="143" t="s">
        <v>49</v>
      </c>
      <c r="B6" s="143"/>
      <c r="C6" s="143"/>
      <c r="D6" s="144" t="s">
        <v>67</v>
      </c>
      <c r="E6" s="144"/>
      <c r="F6" s="144"/>
      <c r="G6" s="145" t="s">
        <v>51</v>
      </c>
      <c r="H6" s="145"/>
      <c r="I6" s="7" t="s">
        <v>67</v>
      </c>
    </row>
    <row r="7" spans="1:12" ht="37.5" x14ac:dyDescent="0.2">
      <c r="A7" s="146" t="s">
        <v>1</v>
      </c>
      <c r="B7" s="148" t="s">
        <v>52</v>
      </c>
      <c r="C7" s="150" t="s">
        <v>2</v>
      </c>
      <c r="D7" s="150" t="s">
        <v>3</v>
      </c>
      <c r="E7" s="150" t="s">
        <v>4</v>
      </c>
      <c r="F7" s="150"/>
      <c r="G7" s="150" t="s">
        <v>30</v>
      </c>
      <c r="H7" s="150"/>
      <c r="I7" s="8" t="s">
        <v>5</v>
      </c>
    </row>
    <row r="8" spans="1:12" ht="38.25" thickBot="1" x14ac:dyDescent="0.3">
      <c r="A8" s="147"/>
      <c r="B8" s="149"/>
      <c r="C8" s="151"/>
      <c r="D8" s="151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12" ht="19.5" x14ac:dyDescent="0.3">
      <c r="A9" s="12"/>
      <c r="B9" s="13"/>
      <c r="C9" s="14" t="s">
        <v>53</v>
      </c>
      <c r="D9" s="15"/>
      <c r="E9" s="16"/>
      <c r="F9" s="17"/>
      <c r="G9" s="16"/>
      <c r="H9" s="17"/>
      <c r="I9" s="18"/>
    </row>
    <row r="10" spans="1:12" ht="19.5" x14ac:dyDescent="0.3">
      <c r="A10" s="19" t="s">
        <v>43</v>
      </c>
      <c r="B10" s="20" t="s">
        <v>45</v>
      </c>
      <c r="C10" s="21" t="s">
        <v>29</v>
      </c>
      <c r="D10" s="22" t="s">
        <v>54</v>
      </c>
      <c r="E10" s="23">
        <v>853</v>
      </c>
      <c r="F10" s="24" t="s">
        <v>12</v>
      </c>
      <c r="G10" s="25"/>
      <c r="H10" s="26"/>
      <c r="I10" s="18"/>
    </row>
    <row r="11" spans="1:12" ht="19.5" x14ac:dyDescent="0.3">
      <c r="A11" s="19" t="s">
        <v>40</v>
      </c>
      <c r="B11" s="27"/>
      <c r="C11" s="28" t="s">
        <v>41</v>
      </c>
      <c r="D11" s="22" t="s">
        <v>42</v>
      </c>
      <c r="E11" s="29">
        <v>158</v>
      </c>
      <c r="F11" s="30" t="s">
        <v>12</v>
      </c>
      <c r="G11" s="25"/>
      <c r="H11" s="26"/>
      <c r="I11" s="18"/>
    </row>
    <row r="12" spans="1:12" ht="20.25" x14ac:dyDescent="0.3">
      <c r="A12" s="31"/>
      <c r="B12" s="31"/>
      <c r="C12" s="36"/>
      <c r="D12" s="37"/>
      <c r="E12" s="37"/>
      <c r="F12" s="25"/>
      <c r="G12" s="31"/>
      <c r="H12" s="26"/>
      <c r="I12" s="18"/>
      <c r="J12" s="97"/>
      <c r="K12" s="97"/>
      <c r="L12" s="97"/>
    </row>
    <row r="13" spans="1:12" ht="20.25" x14ac:dyDescent="0.3">
      <c r="A13" s="33"/>
      <c r="B13" s="33"/>
      <c r="C13" s="38"/>
      <c r="D13" s="31"/>
      <c r="E13" s="31"/>
      <c r="F13" s="35"/>
      <c r="G13" s="31"/>
      <c r="H13" s="26"/>
      <c r="I13" s="18"/>
      <c r="J13" s="97"/>
      <c r="K13" s="97"/>
      <c r="L13" s="97"/>
    </row>
    <row r="14" spans="1:12" ht="20.25" x14ac:dyDescent="0.3">
      <c r="A14" s="32"/>
      <c r="B14" s="33"/>
      <c r="C14" s="34"/>
      <c r="D14" s="31"/>
      <c r="E14" s="31"/>
      <c r="F14" s="35"/>
      <c r="G14" s="31"/>
      <c r="H14" s="26"/>
      <c r="I14" s="18"/>
      <c r="J14" s="97"/>
      <c r="K14" s="97"/>
      <c r="L14" s="97"/>
    </row>
    <row r="15" spans="1:12" ht="20.25" x14ac:dyDescent="0.3">
      <c r="A15" s="39"/>
      <c r="B15" s="39"/>
      <c r="C15" s="40"/>
      <c r="D15" s="41"/>
      <c r="E15" s="42"/>
      <c r="F15" s="43"/>
      <c r="G15" s="16"/>
      <c r="H15" s="26"/>
      <c r="I15" s="18"/>
      <c r="J15" s="97"/>
      <c r="K15" s="97"/>
      <c r="L15" s="97"/>
    </row>
    <row r="16" spans="1:12" ht="20.25" x14ac:dyDescent="0.3">
      <c r="A16" s="44"/>
      <c r="B16" s="45"/>
      <c r="C16" s="46" t="s">
        <v>50</v>
      </c>
      <c r="D16" s="47"/>
      <c r="E16" s="48"/>
      <c r="F16" s="49"/>
      <c r="G16" s="16"/>
      <c r="H16" s="17"/>
      <c r="I16" s="18"/>
      <c r="J16" s="97"/>
      <c r="K16" s="97"/>
      <c r="L16" s="97"/>
    </row>
    <row r="17" spans="1:12" ht="19.5" x14ac:dyDescent="0.3">
      <c r="A17" s="19"/>
      <c r="B17" s="50"/>
      <c r="C17" s="21"/>
      <c r="D17" s="22"/>
      <c r="E17" s="52"/>
      <c r="F17" s="53"/>
      <c r="G17" s="16"/>
      <c r="H17" s="17"/>
      <c r="I17" s="18"/>
    </row>
    <row r="18" spans="1:12" ht="19.5" x14ac:dyDescent="0.3">
      <c r="A18" s="19"/>
      <c r="B18" s="50"/>
      <c r="C18" s="21"/>
      <c r="D18" s="22"/>
      <c r="E18" s="23"/>
      <c r="F18" s="53"/>
      <c r="G18" s="16"/>
      <c r="H18" s="17"/>
      <c r="I18" s="18"/>
    </row>
    <row r="19" spans="1:12" ht="19.5" x14ac:dyDescent="0.3">
      <c r="A19" s="54"/>
      <c r="B19" s="54"/>
      <c r="C19" s="55"/>
      <c r="D19" s="56"/>
      <c r="E19" s="57"/>
      <c r="F19" s="58"/>
      <c r="G19" s="16"/>
      <c r="H19" s="17"/>
      <c r="I19" s="18"/>
    </row>
    <row r="20" spans="1:12" ht="19.5" x14ac:dyDescent="0.3">
      <c r="A20" s="39"/>
      <c r="B20" s="39"/>
      <c r="C20" s="40"/>
      <c r="D20" s="59"/>
      <c r="E20" s="60"/>
      <c r="F20" s="58"/>
      <c r="G20" s="16"/>
      <c r="H20" s="17"/>
      <c r="I20" s="18"/>
    </row>
    <row r="21" spans="1:12" ht="19.5" x14ac:dyDescent="0.3">
      <c r="A21" s="39"/>
      <c r="B21" s="39"/>
      <c r="C21" s="40"/>
      <c r="D21" s="59"/>
      <c r="E21" s="51"/>
      <c r="F21" s="61"/>
      <c r="G21" s="16"/>
      <c r="H21" s="17"/>
      <c r="I21" s="18"/>
    </row>
    <row r="22" spans="1:12" ht="19.5" x14ac:dyDescent="0.3">
      <c r="A22" s="62"/>
      <c r="B22" s="63"/>
      <c r="C22" s="64" t="s">
        <v>55</v>
      </c>
      <c r="D22" s="65"/>
      <c r="E22" s="66"/>
      <c r="F22" s="17"/>
      <c r="G22" s="16"/>
      <c r="H22" s="55"/>
      <c r="I22" s="18"/>
    </row>
    <row r="23" spans="1:12" ht="19.5" x14ac:dyDescent="0.3">
      <c r="A23" s="67" t="s">
        <v>28</v>
      </c>
      <c r="B23" s="67" t="s">
        <v>47</v>
      </c>
      <c r="C23" s="68" t="s">
        <v>27</v>
      </c>
      <c r="D23" s="69" t="s">
        <v>56</v>
      </c>
      <c r="E23" s="70">
        <v>20</v>
      </c>
      <c r="F23" s="71" t="s">
        <v>37</v>
      </c>
      <c r="G23" s="72"/>
      <c r="H23" s="17"/>
      <c r="I23" s="18"/>
    </row>
    <row r="24" spans="1:12" ht="19.5" x14ac:dyDescent="0.3">
      <c r="A24" s="67" t="s">
        <v>26</v>
      </c>
      <c r="B24" s="67" t="s">
        <v>48</v>
      </c>
      <c r="C24" s="68" t="s">
        <v>25</v>
      </c>
      <c r="D24" s="69" t="s">
        <v>57</v>
      </c>
      <c r="E24" s="70">
        <v>1</v>
      </c>
      <c r="F24" s="71" t="s">
        <v>38</v>
      </c>
      <c r="G24" s="72"/>
      <c r="H24" s="17"/>
      <c r="I24" s="18"/>
      <c r="L24" s="96">
        <f>SUM(E10:E11)</f>
        <v>1011</v>
      </c>
    </row>
    <row r="25" spans="1:12" ht="19.5" x14ac:dyDescent="0.3">
      <c r="A25" s="67" t="s">
        <v>24</v>
      </c>
      <c r="B25" s="67" t="s">
        <v>46</v>
      </c>
      <c r="C25" s="68" t="s">
        <v>23</v>
      </c>
      <c r="D25" s="69" t="s">
        <v>58</v>
      </c>
      <c r="E25" s="70">
        <v>1</v>
      </c>
      <c r="F25" s="71" t="s">
        <v>38</v>
      </c>
      <c r="G25" s="72"/>
      <c r="H25" s="17"/>
      <c r="I25" s="18"/>
    </row>
    <row r="26" spans="1:12" ht="19.5" x14ac:dyDescent="0.3">
      <c r="A26" s="73"/>
      <c r="B26" s="73"/>
      <c r="C26" s="74"/>
      <c r="D26" s="75"/>
      <c r="E26" s="76"/>
      <c r="F26" s="77"/>
      <c r="G26" s="16"/>
      <c r="H26" s="17"/>
      <c r="I26" s="18"/>
    </row>
    <row r="27" spans="1:12" ht="19.5" x14ac:dyDescent="0.3">
      <c r="A27" s="73"/>
      <c r="B27" s="73"/>
      <c r="C27" s="78"/>
      <c r="D27" s="75"/>
      <c r="E27" s="75"/>
      <c r="F27" s="77"/>
      <c r="G27" s="16"/>
      <c r="H27" s="17"/>
      <c r="I27" s="18"/>
    </row>
    <row r="28" spans="1:12" ht="19.5" x14ac:dyDescent="0.3">
      <c r="A28" s="73"/>
      <c r="B28" s="73"/>
      <c r="C28" s="78"/>
      <c r="D28" s="75"/>
      <c r="E28" s="75"/>
      <c r="F28" s="77"/>
      <c r="G28" s="79"/>
      <c r="H28" s="17"/>
      <c r="I28" s="18"/>
    </row>
    <row r="29" spans="1:12" ht="19.5" thickBot="1" x14ac:dyDescent="0.3">
      <c r="A29" s="80"/>
      <c r="B29" s="81"/>
      <c r="C29" s="82"/>
      <c r="D29" s="82"/>
      <c r="E29" s="83"/>
      <c r="F29" s="84"/>
      <c r="G29" s="82"/>
      <c r="H29" s="82"/>
      <c r="I29" s="85"/>
    </row>
    <row r="30" spans="1:12" ht="19.5" thickBot="1" x14ac:dyDescent="0.3">
      <c r="A30" s="86"/>
      <c r="B30" s="87"/>
      <c r="C30" s="88"/>
      <c r="D30" s="89" t="s">
        <v>6</v>
      </c>
      <c r="E30" s="90" t="s">
        <v>22</v>
      </c>
      <c r="F30" s="91"/>
      <c r="G30" s="88"/>
      <c r="H30" s="88"/>
      <c r="I30" s="92"/>
    </row>
    <row r="31" spans="1:12" ht="18.75" x14ac:dyDescent="0.25">
      <c r="A31" s="137" t="s">
        <v>10</v>
      </c>
      <c r="B31" s="138"/>
      <c r="C31" s="139"/>
      <c r="D31" s="60">
        <v>1000</v>
      </c>
      <c r="E31" s="93" t="s">
        <v>12</v>
      </c>
      <c r="F31" s="140" t="s">
        <v>21</v>
      </c>
      <c r="G31" s="140"/>
      <c r="H31" s="141"/>
      <c r="I31" s="142"/>
    </row>
    <row r="32" spans="1:12" ht="18.75" x14ac:dyDescent="0.25">
      <c r="A32" s="120" t="s">
        <v>9</v>
      </c>
      <c r="B32" s="121"/>
      <c r="C32" s="122"/>
      <c r="D32" s="31">
        <v>3</v>
      </c>
      <c r="E32" s="31" t="s">
        <v>20</v>
      </c>
      <c r="F32" s="123" t="s">
        <v>19</v>
      </c>
      <c r="G32" s="123"/>
      <c r="H32" s="124"/>
      <c r="I32" s="125"/>
    </row>
    <row r="33" spans="1:9" ht="18.75" x14ac:dyDescent="0.25">
      <c r="A33" s="120" t="s">
        <v>18</v>
      </c>
      <c r="B33" s="121"/>
      <c r="C33" s="122"/>
      <c r="D33" s="31">
        <v>1</v>
      </c>
      <c r="E33" s="31" t="s">
        <v>17</v>
      </c>
      <c r="F33" s="123" t="s">
        <v>16</v>
      </c>
      <c r="G33" s="123"/>
      <c r="H33" s="124"/>
      <c r="I33" s="125"/>
    </row>
    <row r="34" spans="1:9" ht="18.75" x14ac:dyDescent="0.25">
      <c r="A34" s="120" t="s">
        <v>15</v>
      </c>
      <c r="B34" s="121"/>
      <c r="C34" s="122"/>
      <c r="D34" s="51">
        <v>1000</v>
      </c>
      <c r="E34" s="31" t="s">
        <v>12</v>
      </c>
      <c r="F34" s="126" t="s">
        <v>14</v>
      </c>
      <c r="G34" s="127"/>
      <c r="H34" s="128"/>
      <c r="I34" s="129"/>
    </row>
    <row r="35" spans="1:9" ht="19.5" thickBot="1" x14ac:dyDescent="0.3">
      <c r="A35" s="130" t="s">
        <v>13</v>
      </c>
      <c r="B35" s="131"/>
      <c r="C35" s="132"/>
      <c r="D35" s="94">
        <f>SUM(E10:E11)-D31</f>
        <v>11</v>
      </c>
      <c r="E35" s="95" t="s">
        <v>12</v>
      </c>
      <c r="F35" s="133"/>
      <c r="G35" s="133"/>
      <c r="H35" s="124"/>
      <c r="I35" s="125"/>
    </row>
    <row r="36" spans="1:9" ht="19.5" thickBot="1" x14ac:dyDescent="0.3">
      <c r="A36" s="134" t="s">
        <v>11</v>
      </c>
      <c r="B36" s="135"/>
      <c r="C36" s="135"/>
      <c r="D36" s="135"/>
      <c r="E36" s="135"/>
      <c r="F36" s="135"/>
      <c r="G36" s="135"/>
      <c r="H36" s="135"/>
      <c r="I36" s="136"/>
    </row>
    <row r="37" spans="1:9" ht="18.75" x14ac:dyDescent="0.25">
      <c r="A37" s="104" t="s">
        <v>59</v>
      </c>
      <c r="B37" s="105"/>
      <c r="C37" s="106"/>
      <c r="D37" s="106"/>
      <c r="E37" s="106"/>
      <c r="F37" s="106"/>
      <c r="G37" s="106"/>
      <c r="H37" s="106"/>
      <c r="I37" s="107"/>
    </row>
    <row r="38" spans="1:9" ht="18.75" x14ac:dyDescent="0.25">
      <c r="A38" s="104" t="s">
        <v>60</v>
      </c>
      <c r="B38" s="105"/>
      <c r="C38" s="106"/>
      <c r="D38" s="106"/>
      <c r="E38" s="106"/>
      <c r="F38" s="106"/>
      <c r="G38" s="106"/>
      <c r="H38" s="106"/>
      <c r="I38" s="107"/>
    </row>
    <row r="39" spans="1:9" ht="18.75" x14ac:dyDescent="0.25">
      <c r="A39" s="104" t="s">
        <v>61</v>
      </c>
      <c r="B39" s="105"/>
      <c r="C39" s="106"/>
      <c r="D39" s="106"/>
      <c r="E39" s="106"/>
      <c r="F39" s="106"/>
      <c r="G39" s="106"/>
      <c r="H39" s="106"/>
      <c r="I39" s="107"/>
    </row>
    <row r="40" spans="1:9" ht="18.75" x14ac:dyDescent="0.25">
      <c r="A40" s="108" t="s">
        <v>68</v>
      </c>
      <c r="B40" s="109"/>
      <c r="C40" s="110"/>
      <c r="D40" s="110"/>
      <c r="E40" s="110"/>
      <c r="F40" s="110"/>
      <c r="G40" s="110"/>
      <c r="H40" s="110"/>
      <c r="I40" s="111"/>
    </row>
    <row r="41" spans="1:9" ht="14.65" customHeight="1" x14ac:dyDescent="0.25">
      <c r="A41" s="112"/>
      <c r="B41" s="113"/>
      <c r="C41" s="114"/>
      <c r="D41" s="114"/>
      <c r="E41" s="114"/>
      <c r="F41" s="114"/>
      <c r="G41" s="114"/>
      <c r="H41" s="114"/>
      <c r="I41" s="115"/>
    </row>
    <row r="42" spans="1:9" ht="14.65" customHeight="1" thickBot="1" x14ac:dyDescent="0.3">
      <c r="A42" s="116"/>
      <c r="B42" s="117"/>
      <c r="C42" s="118"/>
      <c r="D42" s="118"/>
      <c r="E42" s="118"/>
      <c r="F42" s="118"/>
      <c r="G42" s="118"/>
      <c r="H42" s="118"/>
      <c r="I42" s="119"/>
    </row>
    <row r="43" spans="1:9" ht="18.75" x14ac:dyDescent="0.25">
      <c r="A43" s="99" t="s">
        <v>44</v>
      </c>
      <c r="B43" s="100"/>
      <c r="C43" s="100"/>
      <c r="D43" s="100"/>
      <c r="E43" s="100"/>
      <c r="F43" s="100"/>
      <c r="G43" s="100"/>
      <c r="H43" s="100"/>
      <c r="I43" s="100"/>
    </row>
    <row r="44" spans="1:9" ht="18.75" x14ac:dyDescent="0.25">
      <c r="A44" s="101" t="s">
        <v>62</v>
      </c>
      <c r="B44" s="102"/>
      <c r="C44" s="102"/>
      <c r="D44" s="102"/>
      <c r="E44" s="102"/>
      <c r="F44" s="102"/>
      <c r="G44" s="102"/>
      <c r="H44" s="102"/>
      <c r="I44" s="103"/>
    </row>
    <row r="45" spans="1:9" ht="18.75" x14ac:dyDescent="0.25">
      <c r="A45" s="98" t="s">
        <v>63</v>
      </c>
      <c r="B45" s="98"/>
      <c r="C45" s="98"/>
      <c r="D45" s="98"/>
      <c r="E45" s="98"/>
      <c r="F45" s="98"/>
      <c r="G45" s="98"/>
      <c r="H45" s="98"/>
      <c r="I45" s="98"/>
    </row>
    <row r="46" spans="1:9" ht="18.75" x14ac:dyDescent="0.25">
      <c r="A46" s="98" t="s">
        <v>69</v>
      </c>
      <c r="B46" s="98"/>
      <c r="C46" s="98"/>
      <c r="D46" s="98"/>
      <c r="E46" s="98"/>
      <c r="F46" s="98"/>
      <c r="G46" s="98"/>
      <c r="H46" s="98"/>
      <c r="I46" s="98"/>
    </row>
    <row r="47" spans="1:9" ht="18.75" x14ac:dyDescent="0.25">
      <c r="A47" s="98"/>
      <c r="B47" s="98"/>
      <c r="C47" s="98"/>
      <c r="D47" s="98"/>
      <c r="E47" s="98"/>
      <c r="F47" s="98"/>
      <c r="G47" s="98"/>
      <c r="H47" s="98"/>
      <c r="I47" s="98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A35:C35"/>
    <mergeCell ref="F35:G35"/>
    <mergeCell ref="H35:I35"/>
    <mergeCell ref="A36:I36"/>
    <mergeCell ref="A37:I37"/>
    <mergeCell ref="A33:C33"/>
    <mergeCell ref="F33:G33"/>
    <mergeCell ref="H33:I33"/>
    <mergeCell ref="A34:C34"/>
    <mergeCell ref="F34:G34"/>
    <mergeCell ref="H34:I34"/>
    <mergeCell ref="A39:I39"/>
    <mergeCell ref="A40:I40"/>
    <mergeCell ref="A41:I41"/>
    <mergeCell ref="A42:I42"/>
    <mergeCell ref="A38:I38"/>
    <mergeCell ref="A46:I46"/>
    <mergeCell ref="A47:I47"/>
    <mergeCell ref="A43:I43"/>
    <mergeCell ref="A44:I44"/>
    <mergeCell ref="A45:I45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61B7725E-9BE5-4EAB-A491-5120C241D1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9FADBFB-60A8-4AF2-8C1C-5AD1713C32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E1EA1E-2C20-4D15-A84C-785FB75212B4}"/>
</file>

<file path=customXml/itemProps4.xml><?xml version="1.0" encoding="utf-8"?>
<ds:datastoreItem xmlns:ds="http://schemas.openxmlformats.org/officeDocument/2006/customXml" ds:itemID="{FF86B8C3-AB31-4380-A4D2-0BC7B451D32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Allan Brenes</cp:lastModifiedBy>
  <cp:lastPrinted>2025-12-03T21:47:16Z</cp:lastPrinted>
  <dcterms:created xsi:type="dcterms:W3CDTF">2010-08-23T18:48:54Z</dcterms:created>
  <dcterms:modified xsi:type="dcterms:W3CDTF">2025-12-03T21:47:48Z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214400.000000000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
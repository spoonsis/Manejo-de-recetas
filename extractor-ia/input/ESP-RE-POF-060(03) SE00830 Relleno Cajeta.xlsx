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806FD64E-75C3-41CB-AD00-4C596B622275}" xr6:coauthVersionLast="47" xr6:coauthVersionMax="47" xr10:uidLastSave="{CA59295A-BB2C-4D0F-957A-47198C64CEAC}"/>
  <bookViews>
    <workbookView xWindow="-120" yWindow="-120" windowWidth="20730" windowHeight="11040" tabRatio="873" firstSheet="12" activeTab="12" xr2:uid="{86A95AF8-34C1-4DB7-AE30-E3F9DEB6557E}"/>
  </bookViews>
  <sheets>
    <sheet name="Costo Ensamble " sheetId="30" state="hidden" r:id="rId1"/>
    <sheet name="Rosquete Easy Vainilla " sheetId="18" state="hidden" r:id="rId2"/>
    <sheet name="Batido Easy Vainilla " sheetId="19" state="hidden" r:id="rId3"/>
    <sheet name="Premezcla Easy Vainilla" sheetId="20" state="hidden" r:id="rId4"/>
    <sheet name="Empaq relleno fresa Natural " sheetId="21" state="hidden" r:id="rId5"/>
    <sheet name="Relleno fresa natural " sheetId="22" state="hidden" r:id="rId6"/>
    <sheet name="Crema Beidge" sheetId="23" state="hidden" r:id="rId7"/>
    <sheet name="Crema Blanca supremo" sheetId="24" state="hidden" r:id="rId8"/>
    <sheet name="Costo Crema Roja Clara Bucca" sheetId="29" state="hidden" r:id="rId9"/>
    <sheet name="Crema Blanca Bucca" sheetId="17" state="hidden" r:id="rId10"/>
    <sheet name="Costo Relleno Crema Pinito" sheetId="28" state="hidden" r:id="rId11"/>
    <sheet name="Crema Chantilly Blanca  " sheetId="16" state="hidden" r:id="rId12"/>
    <sheet name="Relleno Cajeta " sheetId="13" r:id="rId13"/>
    <sheet name="Costo relleno Cajeta" sheetId="27" state="hidden" r:id="rId14"/>
    <sheet name="Sirope Rojo Bucca" sheetId="25" state="hidden" r:id="rId15"/>
    <sheet name="Ganache choco Blanco" sheetId="26" state="hidden" r:id="rId16"/>
  </sheets>
  <externalReferences>
    <externalReference r:id="rId17"/>
    <externalReference r:id="rId18"/>
  </externalReferences>
  <definedNames>
    <definedName name="_xlnm.Print_Area" localSheetId="12">'Relleno Cajeta 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0" l="1"/>
  <c r="D32" i="30"/>
  <c r="C32" i="30"/>
  <c r="B32" i="30"/>
  <c r="E31" i="30"/>
  <c r="D31" i="30"/>
  <c r="C31" i="30"/>
  <c r="B31" i="30"/>
  <c r="A46" i="30"/>
  <c r="C46" i="30" s="1"/>
  <c r="A45" i="30"/>
  <c r="C45" i="30" s="1"/>
  <c r="A44" i="30"/>
  <c r="C44" i="30" s="1"/>
  <c r="C25" i="30"/>
  <c r="C24" i="30"/>
  <c r="P13" i="13"/>
  <c r="D80" i="30"/>
  <c r="D81" i="30" s="1"/>
  <c r="D83" i="30" s="1"/>
  <c r="D78" i="30"/>
  <c r="D76" i="30"/>
  <c r="F72" i="30"/>
  <c r="E58" i="30" s="1"/>
  <c r="D67" i="30"/>
  <c r="D92" i="30" s="1"/>
  <c r="D93" i="30" s="1"/>
  <c r="C58" i="30"/>
  <c r="E54" i="30"/>
  <c r="D54" i="30"/>
  <c r="E50" i="30"/>
  <c r="D50" i="30"/>
  <c r="E43" i="30"/>
  <c r="D43" i="30"/>
  <c r="A43" i="30"/>
  <c r="C43" i="30" s="1"/>
  <c r="A42" i="30"/>
  <c r="C42" i="30" s="1"/>
  <c r="A41" i="30"/>
  <c r="C41" i="30" s="1"/>
  <c r="A40" i="30"/>
  <c r="A51" i="30" s="1"/>
  <c r="C51" i="30" s="1"/>
  <c r="E39" i="30"/>
  <c r="D39" i="30"/>
  <c r="A39" i="30"/>
  <c r="A50" i="30" s="1"/>
  <c r="C50" i="30" s="1"/>
  <c r="A38" i="30"/>
  <c r="C38" i="30" s="1"/>
  <c r="E35" i="30"/>
  <c r="D35" i="30"/>
  <c r="C35" i="30"/>
  <c r="B35" i="30"/>
  <c r="E34" i="30"/>
  <c r="D34" i="30"/>
  <c r="C34" i="30"/>
  <c r="B34" i="30"/>
  <c r="C33" i="30"/>
  <c r="E30" i="30"/>
  <c r="D30" i="30"/>
  <c r="C30" i="30"/>
  <c r="B30" i="30"/>
  <c r="D29" i="30"/>
  <c r="C29" i="30"/>
  <c r="B29" i="30"/>
  <c r="D28" i="30"/>
  <c r="C28" i="30"/>
  <c r="B28" i="30"/>
  <c r="C23" i="30"/>
  <c r="D22" i="30"/>
  <c r="C22" i="30"/>
  <c r="F22" i="30" s="1"/>
  <c r="B22" i="30"/>
  <c r="C21" i="30"/>
  <c r="C20" i="30"/>
  <c r="C19" i="30"/>
  <c r="D18" i="30"/>
  <c r="C18" i="30"/>
  <c r="B18" i="30"/>
  <c r="C17" i="30"/>
  <c r="B15" i="30"/>
  <c r="E14" i="30"/>
  <c r="D14" i="30"/>
  <c r="C14" i="30"/>
  <c r="B14" i="30"/>
  <c r="E13" i="30"/>
  <c r="D13" i="30"/>
  <c r="C13" i="30"/>
  <c r="B13" i="30"/>
  <c r="E12" i="30"/>
  <c r="D12" i="30"/>
  <c r="C12" i="30"/>
  <c r="B12" i="30"/>
  <c r="E11" i="30"/>
  <c r="D11" i="30"/>
  <c r="C11" i="30"/>
  <c r="B11" i="30"/>
  <c r="E10" i="30"/>
  <c r="D10" i="30"/>
  <c r="C10" i="30"/>
  <c r="B10" i="30"/>
  <c r="E9" i="30"/>
  <c r="D9" i="30"/>
  <c r="C9" i="30"/>
  <c r="B9" i="30"/>
  <c r="D8" i="30"/>
  <c r="C8" i="30"/>
  <c r="B8" i="30"/>
  <c r="H6" i="30"/>
  <c r="D81" i="29"/>
  <c r="D73" i="29"/>
  <c r="D74" i="29" s="1"/>
  <c r="D76" i="29" s="1"/>
  <c r="D71" i="29"/>
  <c r="D69" i="29"/>
  <c r="F65" i="29"/>
  <c r="E51" i="29" s="1"/>
  <c r="F51" i="29" s="1"/>
  <c r="D60" i="29"/>
  <c r="D85" i="29" s="1"/>
  <c r="D86" i="29" s="1"/>
  <c r="C51" i="29"/>
  <c r="E50" i="29"/>
  <c r="D50" i="29"/>
  <c r="B50" i="29"/>
  <c r="E49" i="29"/>
  <c r="D49" i="29"/>
  <c r="B49" i="29"/>
  <c r="E48" i="29"/>
  <c r="D48" i="29"/>
  <c r="B48" i="29"/>
  <c r="E47" i="29"/>
  <c r="D47" i="29"/>
  <c r="B47" i="29"/>
  <c r="E46" i="29"/>
  <c r="D46" i="29"/>
  <c r="B46" i="29"/>
  <c r="E45" i="29"/>
  <c r="D45" i="29"/>
  <c r="B45" i="29"/>
  <c r="F44" i="29"/>
  <c r="E41" i="29"/>
  <c r="D41" i="29"/>
  <c r="B41" i="29"/>
  <c r="A41" i="29"/>
  <c r="A50" i="29" s="1"/>
  <c r="C50" i="29" s="1"/>
  <c r="E40" i="29"/>
  <c r="D40" i="29"/>
  <c r="B40" i="29"/>
  <c r="A40" i="29"/>
  <c r="C40" i="29" s="1"/>
  <c r="E39" i="29"/>
  <c r="F39" i="29" s="1"/>
  <c r="D39" i="29"/>
  <c r="B39" i="29"/>
  <c r="A39" i="29"/>
  <c r="C39" i="29" s="1"/>
  <c r="E38" i="29"/>
  <c r="D38" i="29"/>
  <c r="B38" i="29"/>
  <c r="A38" i="29"/>
  <c r="A47" i="29" s="1"/>
  <c r="C47" i="29" s="1"/>
  <c r="E37" i="29"/>
  <c r="F37" i="29" s="1"/>
  <c r="D37" i="29"/>
  <c r="B37" i="29"/>
  <c r="A37" i="29"/>
  <c r="C37" i="29" s="1"/>
  <c r="E36" i="29"/>
  <c r="D36" i="29"/>
  <c r="B36" i="29"/>
  <c r="A36" i="29"/>
  <c r="A45" i="29" s="1"/>
  <c r="C45" i="29" s="1"/>
  <c r="C35" i="29"/>
  <c r="A35" i="29"/>
  <c r="A44" i="29" s="1"/>
  <c r="C44" i="29" s="1"/>
  <c r="E32" i="29"/>
  <c r="D32" i="29"/>
  <c r="C32" i="29"/>
  <c r="B32" i="29"/>
  <c r="E31" i="29"/>
  <c r="D31" i="29"/>
  <c r="C31" i="29"/>
  <c r="F31" i="29" s="1"/>
  <c r="B31" i="29"/>
  <c r="E30" i="29"/>
  <c r="D30" i="29"/>
  <c r="C30" i="29"/>
  <c r="B30" i="29"/>
  <c r="F29" i="29"/>
  <c r="E29" i="29"/>
  <c r="D29" i="29"/>
  <c r="C29" i="29"/>
  <c r="B29" i="29"/>
  <c r="E28" i="29"/>
  <c r="D28" i="29"/>
  <c r="C28" i="29"/>
  <c r="B28" i="29"/>
  <c r="E27" i="29"/>
  <c r="D27" i="29"/>
  <c r="C27" i="29"/>
  <c r="B27" i="29"/>
  <c r="E24" i="29"/>
  <c r="F24" i="29" s="1"/>
  <c r="D24" i="29"/>
  <c r="C24" i="29"/>
  <c r="B24" i="29"/>
  <c r="E23" i="29"/>
  <c r="F23" i="29" s="1"/>
  <c r="D23" i="29"/>
  <c r="C23" i="29"/>
  <c r="B23" i="29"/>
  <c r="E22" i="29"/>
  <c r="F22" i="29" s="1"/>
  <c r="D22" i="29"/>
  <c r="C22" i="29"/>
  <c r="B22" i="29"/>
  <c r="E21" i="29"/>
  <c r="F21" i="29" s="1"/>
  <c r="D21" i="29"/>
  <c r="C21" i="29"/>
  <c r="B21" i="29"/>
  <c r="E20" i="29"/>
  <c r="F20" i="29" s="1"/>
  <c r="D20" i="29"/>
  <c r="C20" i="29"/>
  <c r="B20" i="29"/>
  <c r="E19" i="29"/>
  <c r="F19" i="29" s="1"/>
  <c r="D19" i="29"/>
  <c r="C19" i="29"/>
  <c r="B19" i="29"/>
  <c r="E18" i="29"/>
  <c r="F18" i="29" s="1"/>
  <c r="D18" i="29"/>
  <c r="C18" i="29"/>
  <c r="B18" i="29"/>
  <c r="C17" i="29"/>
  <c r="B15" i="29"/>
  <c r="E14" i="29"/>
  <c r="F14" i="29" s="1"/>
  <c r="D14" i="29"/>
  <c r="C14" i="29"/>
  <c r="B14" i="29"/>
  <c r="E13" i="29"/>
  <c r="F13" i="29" s="1"/>
  <c r="D13" i="29"/>
  <c r="C13" i="29"/>
  <c r="B13" i="29"/>
  <c r="E12" i="29"/>
  <c r="F12" i="29" s="1"/>
  <c r="D12" i="29"/>
  <c r="C12" i="29"/>
  <c r="B12" i="29"/>
  <c r="E11" i="29"/>
  <c r="F11" i="29" s="1"/>
  <c r="D11" i="29"/>
  <c r="C11" i="29"/>
  <c r="B11" i="29"/>
  <c r="E10" i="29"/>
  <c r="F10" i="29" s="1"/>
  <c r="D10" i="29"/>
  <c r="C10" i="29"/>
  <c r="B10" i="29"/>
  <c r="E9" i="29"/>
  <c r="F9" i="29" s="1"/>
  <c r="D9" i="29"/>
  <c r="C9" i="29"/>
  <c r="B9" i="29"/>
  <c r="D8" i="29"/>
  <c r="C8" i="29"/>
  <c r="B8" i="29"/>
  <c r="H6" i="29"/>
  <c r="D73" i="28"/>
  <c r="D74" i="28" s="1"/>
  <c r="D76" i="28" s="1"/>
  <c r="D71" i="28"/>
  <c r="D69" i="28"/>
  <c r="F65" i="28"/>
  <c r="C73" i="28" s="1"/>
  <c r="D60" i="28"/>
  <c r="D83" i="28" s="1"/>
  <c r="E51" i="28"/>
  <c r="F51" i="28" s="1"/>
  <c r="C51" i="28"/>
  <c r="E50" i="28"/>
  <c r="D50" i="28"/>
  <c r="B50" i="28"/>
  <c r="E49" i="28"/>
  <c r="D49" i="28"/>
  <c r="B49" i="28"/>
  <c r="E48" i="28"/>
  <c r="D48" i="28"/>
  <c r="B48" i="28"/>
  <c r="E47" i="28"/>
  <c r="D47" i="28"/>
  <c r="B47" i="28"/>
  <c r="E46" i="28"/>
  <c r="D46" i="28"/>
  <c r="B46" i="28"/>
  <c r="E45" i="28"/>
  <c r="D45" i="28"/>
  <c r="B45" i="28"/>
  <c r="E41" i="28"/>
  <c r="D41" i="28"/>
  <c r="B41" i="28"/>
  <c r="A41" i="28"/>
  <c r="A50" i="28" s="1"/>
  <c r="C50" i="28" s="1"/>
  <c r="E40" i="28"/>
  <c r="D40" i="28"/>
  <c r="B40" i="28"/>
  <c r="A40" i="28"/>
  <c r="C40" i="28" s="1"/>
  <c r="E39" i="28"/>
  <c r="D39" i="28"/>
  <c r="B39" i="28"/>
  <c r="A39" i="28"/>
  <c r="C39" i="28" s="1"/>
  <c r="E38" i="28"/>
  <c r="D38" i="28"/>
  <c r="B38" i="28"/>
  <c r="A38" i="28"/>
  <c r="A47" i="28" s="1"/>
  <c r="C47" i="28" s="1"/>
  <c r="E37" i="28"/>
  <c r="D37" i="28"/>
  <c r="B37" i="28"/>
  <c r="A37" i="28"/>
  <c r="C37" i="28" s="1"/>
  <c r="E36" i="28"/>
  <c r="F36" i="28" s="1"/>
  <c r="D36" i="28"/>
  <c r="C36" i="28"/>
  <c r="B36" i="28"/>
  <c r="A36" i="28"/>
  <c r="A45" i="28" s="1"/>
  <c r="C45" i="28" s="1"/>
  <c r="A35" i="28"/>
  <c r="A44" i="28" s="1"/>
  <c r="C44" i="28" s="1"/>
  <c r="E32" i="28"/>
  <c r="F32" i="28" s="1"/>
  <c r="D32" i="28"/>
  <c r="C32" i="28"/>
  <c r="B32" i="28"/>
  <c r="E31" i="28"/>
  <c r="F31" i="28" s="1"/>
  <c r="D31" i="28"/>
  <c r="C31" i="28"/>
  <c r="B31" i="28"/>
  <c r="E30" i="28"/>
  <c r="F30" i="28" s="1"/>
  <c r="D30" i="28"/>
  <c r="C30" i="28"/>
  <c r="B30" i="28"/>
  <c r="E29" i="28"/>
  <c r="D29" i="28"/>
  <c r="C29" i="28"/>
  <c r="B29" i="28"/>
  <c r="E28" i="28"/>
  <c r="F28" i="28" s="1"/>
  <c r="D28" i="28"/>
  <c r="C28" i="28"/>
  <c r="B28" i="28"/>
  <c r="E27" i="28"/>
  <c r="F27" i="28" s="1"/>
  <c r="D27" i="28"/>
  <c r="C27" i="28"/>
  <c r="B27" i="28"/>
  <c r="E24" i="28"/>
  <c r="F24" i="28" s="1"/>
  <c r="D24" i="28"/>
  <c r="C24" i="28"/>
  <c r="B24" i="28"/>
  <c r="E23" i="28"/>
  <c r="F23" i="28" s="1"/>
  <c r="D23" i="28"/>
  <c r="C23" i="28"/>
  <c r="B23" i="28"/>
  <c r="E22" i="28"/>
  <c r="F22" i="28" s="1"/>
  <c r="D22" i="28"/>
  <c r="C22" i="28"/>
  <c r="B22" i="28"/>
  <c r="E21" i="28"/>
  <c r="F21" i="28" s="1"/>
  <c r="D21" i="28"/>
  <c r="C21" i="28"/>
  <c r="B21" i="28"/>
  <c r="E20" i="28"/>
  <c r="F20" i="28" s="1"/>
  <c r="D20" i="28"/>
  <c r="C20" i="28"/>
  <c r="B20" i="28"/>
  <c r="E19" i="28"/>
  <c r="F19" i="28" s="1"/>
  <c r="D19" i="28"/>
  <c r="C19" i="28"/>
  <c r="B19" i="28"/>
  <c r="E18" i="28"/>
  <c r="F18" i="28" s="1"/>
  <c r="D18" i="28"/>
  <c r="C18" i="28"/>
  <c r="B18" i="28"/>
  <c r="C17" i="28"/>
  <c r="F17" i="28" s="1"/>
  <c r="B15" i="28"/>
  <c r="E14" i="28"/>
  <c r="D14" i="28"/>
  <c r="C14" i="28"/>
  <c r="F14" i="28" s="1"/>
  <c r="B14" i="28"/>
  <c r="E13" i="28"/>
  <c r="F13" i="28" s="1"/>
  <c r="D13" i="28"/>
  <c r="C13" i="28"/>
  <c r="B13" i="28"/>
  <c r="E12" i="28"/>
  <c r="F12" i="28" s="1"/>
  <c r="D12" i="28"/>
  <c r="C12" i="28"/>
  <c r="B12" i="28"/>
  <c r="E11" i="28"/>
  <c r="F11" i="28" s="1"/>
  <c r="D11" i="28"/>
  <c r="C11" i="28"/>
  <c r="B11" i="28"/>
  <c r="E10" i="28"/>
  <c r="F10" i="28" s="1"/>
  <c r="D10" i="28"/>
  <c r="C10" i="28"/>
  <c r="B10" i="28"/>
  <c r="E9" i="28"/>
  <c r="F9" i="28" s="1"/>
  <c r="D9" i="28"/>
  <c r="C9" i="28"/>
  <c r="B9" i="28"/>
  <c r="D8" i="28"/>
  <c r="C8" i="28"/>
  <c r="F8" i="28" s="1"/>
  <c r="B8" i="28"/>
  <c r="H6" i="28"/>
  <c r="D73" i="27"/>
  <c r="D74" i="27" s="1"/>
  <c r="D76" i="27" s="1"/>
  <c r="D71" i="27"/>
  <c r="D69" i="27"/>
  <c r="F65" i="27"/>
  <c r="E51" i="27" s="1"/>
  <c r="D60" i="27"/>
  <c r="D85" i="27" s="1"/>
  <c r="D86" i="27" s="1"/>
  <c r="C51" i="27"/>
  <c r="E50" i="27"/>
  <c r="D50" i="27"/>
  <c r="B50" i="27"/>
  <c r="E49" i="27"/>
  <c r="D49" i="27"/>
  <c r="B49" i="27"/>
  <c r="E48" i="27"/>
  <c r="D48" i="27"/>
  <c r="B48" i="27"/>
  <c r="E47" i="27"/>
  <c r="D47" i="27"/>
  <c r="B47" i="27"/>
  <c r="E46" i="27"/>
  <c r="D46" i="27"/>
  <c r="B46" i="27"/>
  <c r="E45" i="27"/>
  <c r="D45" i="27"/>
  <c r="B45" i="27"/>
  <c r="E44" i="27"/>
  <c r="D44" i="27"/>
  <c r="B44" i="27"/>
  <c r="E41" i="27"/>
  <c r="D41" i="27"/>
  <c r="B41" i="27"/>
  <c r="A41" i="27"/>
  <c r="A50" i="27" s="1"/>
  <c r="C50" i="27" s="1"/>
  <c r="E40" i="27"/>
  <c r="D40" i="27"/>
  <c r="B40" i="27"/>
  <c r="A40" i="27"/>
  <c r="C40" i="27" s="1"/>
  <c r="E39" i="27"/>
  <c r="D39" i="27"/>
  <c r="B39" i="27"/>
  <c r="A39" i="27"/>
  <c r="C39" i="27" s="1"/>
  <c r="E38" i="27"/>
  <c r="D38" i="27"/>
  <c r="B38" i="27"/>
  <c r="A38" i="27"/>
  <c r="C38" i="27" s="1"/>
  <c r="E37" i="27"/>
  <c r="D37" i="27"/>
  <c r="B37" i="27"/>
  <c r="A37" i="27"/>
  <c r="A46" i="27" s="1"/>
  <c r="C46" i="27" s="1"/>
  <c r="E36" i="27"/>
  <c r="F36" i="27" s="1"/>
  <c r="D36" i="27"/>
  <c r="C36" i="27"/>
  <c r="B36" i="27"/>
  <c r="A36" i="27"/>
  <c r="A45" i="27" s="1"/>
  <c r="C45" i="27" s="1"/>
  <c r="E35" i="27"/>
  <c r="F35" i="27" s="1"/>
  <c r="D35" i="27"/>
  <c r="C35" i="27"/>
  <c r="B35" i="27"/>
  <c r="A35" i="27"/>
  <c r="A44" i="27" s="1"/>
  <c r="C44" i="27" s="1"/>
  <c r="E32" i="27"/>
  <c r="D32" i="27"/>
  <c r="C32" i="27"/>
  <c r="B32" i="27"/>
  <c r="E31" i="27"/>
  <c r="D31" i="27"/>
  <c r="C31" i="27"/>
  <c r="B31" i="27"/>
  <c r="E30" i="27"/>
  <c r="F30" i="27" s="1"/>
  <c r="D30" i="27"/>
  <c r="C30" i="27"/>
  <c r="B30" i="27"/>
  <c r="E29" i="27"/>
  <c r="D29" i="27"/>
  <c r="C29" i="27"/>
  <c r="B29" i="27"/>
  <c r="E28" i="27"/>
  <c r="F28" i="27" s="1"/>
  <c r="D28" i="27"/>
  <c r="C28" i="27"/>
  <c r="B28" i="27"/>
  <c r="E27" i="27"/>
  <c r="D27" i="27"/>
  <c r="C27" i="27"/>
  <c r="B27" i="27"/>
  <c r="E24" i="27"/>
  <c r="D24" i="27"/>
  <c r="C24" i="27"/>
  <c r="B24" i="27"/>
  <c r="E23" i="27"/>
  <c r="F23" i="27" s="1"/>
  <c r="D23" i="27"/>
  <c r="C23" i="27"/>
  <c r="B23" i="27"/>
  <c r="E22" i="27"/>
  <c r="F22" i="27" s="1"/>
  <c r="D22" i="27"/>
  <c r="C22" i="27"/>
  <c r="B22" i="27"/>
  <c r="E21" i="27"/>
  <c r="F21" i="27" s="1"/>
  <c r="D21" i="27"/>
  <c r="C21" i="27"/>
  <c r="B21" i="27"/>
  <c r="E20" i="27"/>
  <c r="F20" i="27" s="1"/>
  <c r="D20" i="27"/>
  <c r="C20" i="27"/>
  <c r="B20" i="27"/>
  <c r="E19" i="27"/>
  <c r="F19" i="27" s="1"/>
  <c r="D19" i="27"/>
  <c r="C19" i="27"/>
  <c r="B19" i="27"/>
  <c r="E18" i="27"/>
  <c r="F18" i="27" s="1"/>
  <c r="D18" i="27"/>
  <c r="C18" i="27"/>
  <c r="B18" i="27"/>
  <c r="E17" i="27"/>
  <c r="F17" i="27" s="1"/>
  <c r="D17" i="27"/>
  <c r="C17" i="27"/>
  <c r="B17" i="27"/>
  <c r="B15" i="27"/>
  <c r="E14" i="27"/>
  <c r="F14" i="27" s="1"/>
  <c r="D14" i="27"/>
  <c r="C14" i="27"/>
  <c r="B14" i="27"/>
  <c r="E13" i="27"/>
  <c r="D13" i="27"/>
  <c r="C13" i="27"/>
  <c r="B13" i="27"/>
  <c r="E12" i="27"/>
  <c r="F12" i="27" s="1"/>
  <c r="D12" i="27"/>
  <c r="C12" i="27"/>
  <c r="B12" i="27"/>
  <c r="E11" i="27"/>
  <c r="D11" i="27"/>
  <c r="C11" i="27"/>
  <c r="B11" i="27"/>
  <c r="E10" i="27"/>
  <c r="F10" i="27" s="1"/>
  <c r="D10" i="27"/>
  <c r="C10" i="27"/>
  <c r="B10" i="27"/>
  <c r="C9" i="27"/>
  <c r="F9" i="27" s="1"/>
  <c r="D8" i="27"/>
  <c r="C8" i="27"/>
  <c r="F8" i="27" s="1"/>
  <c r="B8" i="27"/>
  <c r="H6" i="27"/>
  <c r="F27" i="27" l="1"/>
  <c r="F32" i="29"/>
  <c r="F30" i="29"/>
  <c r="F28" i="29"/>
  <c r="C35" i="28"/>
  <c r="F35" i="28" s="1"/>
  <c r="C73" i="29"/>
  <c r="C85" i="29" s="1"/>
  <c r="F29" i="27"/>
  <c r="F29" i="28"/>
  <c r="F31" i="27"/>
  <c r="F27" i="29"/>
  <c r="F32" i="30"/>
  <c r="F31" i="30"/>
  <c r="A57" i="30"/>
  <c r="C57" i="30" s="1"/>
  <c r="F57" i="30" s="1"/>
  <c r="F25" i="30"/>
  <c r="F24" i="30"/>
  <c r="A56" i="30"/>
  <c r="C56" i="30" s="1"/>
  <c r="F56" i="30" s="1"/>
  <c r="A55" i="30"/>
  <c r="C55" i="30" s="1"/>
  <c r="F45" i="30"/>
  <c r="F46" i="30"/>
  <c r="F58" i="30"/>
  <c r="C80" i="30"/>
  <c r="C92" i="30" s="1"/>
  <c r="E92" i="30" s="1"/>
  <c r="D88" i="30"/>
  <c r="D90" i="30"/>
  <c r="F21" i="30"/>
  <c r="F28" i="30"/>
  <c r="F34" i="30"/>
  <c r="F9" i="30"/>
  <c r="F12" i="30"/>
  <c r="F30" i="30"/>
  <c r="F35" i="30"/>
  <c r="F10" i="30"/>
  <c r="F13" i="30"/>
  <c r="F11" i="30"/>
  <c r="F29" i="30"/>
  <c r="F8" i="30"/>
  <c r="C40" i="30"/>
  <c r="F14" i="30"/>
  <c r="F43" i="30"/>
  <c r="F33" i="30"/>
  <c r="D85" i="28"/>
  <c r="D86" i="28" s="1"/>
  <c r="C39" i="30"/>
  <c r="F39" i="30" s="1"/>
  <c r="F18" i="30"/>
  <c r="F17" i="30"/>
  <c r="F38" i="30"/>
  <c r="E85" i="29"/>
  <c r="F40" i="29"/>
  <c r="C38" i="29"/>
  <c r="F38" i="29" s="1"/>
  <c r="C41" i="29"/>
  <c r="F41" i="29" s="1"/>
  <c r="C36" i="29"/>
  <c r="F36" i="29"/>
  <c r="F8" i="29"/>
  <c r="F17" i="29"/>
  <c r="F35" i="29"/>
  <c r="F37" i="28"/>
  <c r="F40" i="28"/>
  <c r="F45" i="28"/>
  <c r="C38" i="28"/>
  <c r="F38" i="28" s="1"/>
  <c r="C41" i="28"/>
  <c r="F41" i="28" s="1"/>
  <c r="F45" i="27"/>
  <c r="F46" i="27"/>
  <c r="F44" i="27"/>
  <c r="C41" i="27"/>
  <c r="A47" i="27"/>
  <c r="C47" i="27" s="1"/>
  <c r="F47" i="27" s="1"/>
  <c r="F41" i="27"/>
  <c r="F24" i="27"/>
  <c r="F39" i="27"/>
  <c r="F32" i="27"/>
  <c r="C37" i="27"/>
  <c r="F37" i="27"/>
  <c r="F13" i="27"/>
  <c r="F11" i="27"/>
  <c r="F42" i="30"/>
  <c r="F50" i="30"/>
  <c r="A52" i="30"/>
  <c r="C52" i="30" s="1"/>
  <c r="A54" i="30"/>
  <c r="C54" i="30" s="1"/>
  <c r="F54" i="30" s="1"/>
  <c r="A49" i="30"/>
  <c r="C49" i="30" s="1"/>
  <c r="F49" i="30" s="1"/>
  <c r="A53" i="30"/>
  <c r="C53" i="30" s="1"/>
  <c r="F53" i="30" s="1"/>
  <c r="F50" i="29"/>
  <c r="F47" i="29"/>
  <c r="F45" i="29"/>
  <c r="A49" i="29"/>
  <c r="C49" i="29" s="1"/>
  <c r="F49" i="29" s="1"/>
  <c r="D83" i="29"/>
  <c r="A46" i="29"/>
  <c r="C46" i="29" s="1"/>
  <c r="F46" i="29" s="1"/>
  <c r="A48" i="29"/>
  <c r="C48" i="29" s="1"/>
  <c r="F48" i="29" s="1"/>
  <c r="F50" i="28"/>
  <c r="F53" i="28"/>
  <c r="F47" i="28"/>
  <c r="C85" i="28"/>
  <c r="E73" i="28"/>
  <c r="F39" i="28"/>
  <c r="F44" i="28"/>
  <c r="D81" i="28"/>
  <c r="A49" i="28"/>
  <c r="C49" i="28" s="1"/>
  <c r="F49" i="28" s="1"/>
  <c r="A46" i="28"/>
  <c r="C46" i="28" s="1"/>
  <c r="F46" i="28" s="1"/>
  <c r="A48" i="28"/>
  <c r="C48" i="28" s="1"/>
  <c r="F48" i="28" s="1"/>
  <c r="F40" i="27"/>
  <c r="F50" i="27"/>
  <c r="F38" i="27"/>
  <c r="F51" i="27"/>
  <c r="D81" i="27"/>
  <c r="C73" i="27"/>
  <c r="A49" i="27"/>
  <c r="C49" i="27" s="1"/>
  <c r="F49" i="27" s="1"/>
  <c r="D83" i="27"/>
  <c r="A48" i="27"/>
  <c r="C48" i="27" s="1"/>
  <c r="F48" i="27" s="1"/>
  <c r="E73" i="29" l="1"/>
  <c r="F54" i="27"/>
  <c r="H54" i="27" s="1"/>
  <c r="G2" i="27" s="1"/>
  <c r="E80" i="30"/>
  <c r="E85" i="28"/>
  <c r="F54" i="29"/>
  <c r="C76" i="29" s="1"/>
  <c r="E76" i="29" s="1"/>
  <c r="E44" i="30" s="1"/>
  <c r="F44" i="30" s="1"/>
  <c r="F53" i="29"/>
  <c r="H53" i="29" s="1"/>
  <c r="F2" i="29" s="1"/>
  <c r="F54" i="28"/>
  <c r="C76" i="28" s="1"/>
  <c r="E76" i="28" s="1"/>
  <c r="E41" i="30" s="1"/>
  <c r="F41" i="30" s="1"/>
  <c r="F53" i="27"/>
  <c r="H53" i="27" s="1"/>
  <c r="F2" i="27" s="1"/>
  <c r="F56" i="27"/>
  <c r="C74" i="27" s="1"/>
  <c r="F56" i="29"/>
  <c r="F56" i="28"/>
  <c r="C69" i="28"/>
  <c r="F64" i="28"/>
  <c r="H53" i="28"/>
  <c r="F2" i="28" s="1"/>
  <c r="C85" i="27"/>
  <c r="E85" i="27" s="1"/>
  <c r="E73" i="27"/>
  <c r="C69" i="27" l="1"/>
  <c r="E69" i="27" s="1"/>
  <c r="E19" i="30" s="1"/>
  <c r="F19" i="30" s="1"/>
  <c r="F64" i="27"/>
  <c r="F55" i="27"/>
  <c r="F63" i="27" s="1"/>
  <c r="F55" i="28"/>
  <c r="O54" i="28" s="1"/>
  <c r="C76" i="27"/>
  <c r="E76" i="27" s="1"/>
  <c r="E40" i="30" s="1"/>
  <c r="F40" i="30" s="1"/>
  <c r="F61" i="30" s="1"/>
  <c r="H61" i="30" s="1"/>
  <c r="G2" i="30" s="1"/>
  <c r="H54" i="29"/>
  <c r="G2" i="29" s="1"/>
  <c r="C69" i="29"/>
  <c r="E69" i="29" s="1"/>
  <c r="E23" i="30" s="1"/>
  <c r="F23" i="30" s="1"/>
  <c r="F64" i="29"/>
  <c r="F55" i="29"/>
  <c r="H55" i="29" s="1"/>
  <c r="H54" i="28"/>
  <c r="G2" i="28" s="1"/>
  <c r="H56" i="27"/>
  <c r="H2" i="27" s="1"/>
  <c r="H56" i="29"/>
  <c r="C74" i="29"/>
  <c r="H56" i="28"/>
  <c r="C74" i="28"/>
  <c r="E69" i="28"/>
  <c r="E20" i="30" s="1"/>
  <c r="F20" i="30" s="1"/>
  <c r="C81" i="28"/>
  <c r="E81" i="28" s="1"/>
  <c r="H55" i="28"/>
  <c r="F63" i="28"/>
  <c r="C86" i="27"/>
  <c r="E86" i="27" s="1"/>
  <c r="E74" i="27"/>
  <c r="C81" i="27" l="1"/>
  <c r="E81" i="27" s="1"/>
  <c r="O54" i="27"/>
  <c r="O56" i="27" s="1"/>
  <c r="H55" i="27"/>
  <c r="C83" i="30"/>
  <c r="E83" i="30" s="1"/>
  <c r="E52" i="30"/>
  <c r="F52" i="30" s="1"/>
  <c r="E51" i="30"/>
  <c r="F51" i="30" s="1"/>
  <c r="F60" i="30"/>
  <c r="C81" i="29"/>
  <c r="E81" i="29" s="1"/>
  <c r="O54" i="29"/>
  <c r="O56" i="29" s="1"/>
  <c r="F63" i="29"/>
  <c r="E63" i="29" s="1"/>
  <c r="H58" i="27"/>
  <c r="H59" i="27" s="1"/>
  <c r="O58" i="27" s="1"/>
  <c r="O55" i="27"/>
  <c r="C86" i="29"/>
  <c r="E86" i="29" s="1"/>
  <c r="E74" i="29"/>
  <c r="O55" i="29"/>
  <c r="H2" i="29"/>
  <c r="H58" i="29"/>
  <c r="H59" i="29" s="1"/>
  <c r="O58" i="29" s="1"/>
  <c r="C71" i="28"/>
  <c r="E63" i="28"/>
  <c r="F66" i="28"/>
  <c r="G63" i="28" s="1"/>
  <c r="O56" i="28"/>
  <c r="C86" i="28"/>
  <c r="E86" i="28" s="1"/>
  <c r="E74" i="28"/>
  <c r="E78" i="28" s="1"/>
  <c r="O55" i="28"/>
  <c r="H2" i="28"/>
  <c r="H58" i="28"/>
  <c r="H59" i="28" s="1"/>
  <c r="O58" i="28" s="1"/>
  <c r="E78" i="27"/>
  <c r="C71" i="27"/>
  <c r="E63" i="27"/>
  <c r="F66" i="27"/>
  <c r="G63" i="27" s="1"/>
  <c r="O57" i="28" l="1"/>
  <c r="O59" i="28" s="1"/>
  <c r="O60" i="28" s="1"/>
  <c r="O61" i="28" s="1"/>
  <c r="O62" i="28" s="1"/>
  <c r="F71" i="30"/>
  <c r="H60" i="30"/>
  <c r="F2" i="30" s="1"/>
  <c r="C76" i="30"/>
  <c r="F62" i="30"/>
  <c r="O57" i="27"/>
  <c r="O59" i="27" s="1"/>
  <c r="E78" i="29"/>
  <c r="E55" i="30"/>
  <c r="F55" i="30" s="1"/>
  <c r="F63" i="30" s="1"/>
  <c r="C71" i="29"/>
  <c r="C83" i="29" s="1"/>
  <c r="E83" i="29" s="1"/>
  <c r="F66" i="29"/>
  <c r="G22" i="29" s="1"/>
  <c r="O57" i="29"/>
  <c r="O59" i="29" s="1"/>
  <c r="E71" i="29"/>
  <c r="G66" i="28"/>
  <c r="G65" i="28"/>
  <c r="G31" i="28"/>
  <c r="G28" i="28"/>
  <c r="G17" i="28"/>
  <c r="G8" i="28"/>
  <c r="G19" i="28"/>
  <c r="G35" i="28"/>
  <c r="G29" i="28"/>
  <c r="G40" i="28"/>
  <c r="G24" i="28"/>
  <c r="G9" i="28"/>
  <c r="G23" i="28"/>
  <c r="G20" i="28"/>
  <c r="G38" i="28"/>
  <c r="G11" i="28"/>
  <c r="G37" i="28"/>
  <c r="G45" i="28"/>
  <c r="G51" i="28"/>
  <c r="G22" i="28"/>
  <c r="G12" i="28"/>
  <c r="G13" i="28"/>
  <c r="G30" i="28"/>
  <c r="G32" i="28"/>
  <c r="G27" i="28"/>
  <c r="G18" i="28"/>
  <c r="G10" i="28"/>
  <c r="G41" i="28"/>
  <c r="G21" i="28"/>
  <c r="G36" i="28"/>
  <c r="G14" i="28"/>
  <c r="G54" i="28"/>
  <c r="G47" i="28"/>
  <c r="G46" i="28"/>
  <c r="G49" i="28"/>
  <c r="G50" i="28"/>
  <c r="G39" i="28"/>
  <c r="G48" i="28"/>
  <c r="G44" i="28"/>
  <c r="G53" i="28"/>
  <c r="G56" i="28"/>
  <c r="G55" i="28"/>
  <c r="G64" i="28"/>
  <c r="C83" i="28"/>
  <c r="E83" i="28" s="1"/>
  <c r="E71" i="28"/>
  <c r="G66" i="27"/>
  <c r="G20" i="27"/>
  <c r="G8" i="27"/>
  <c r="G32" i="27"/>
  <c r="G23" i="27"/>
  <c r="G10" i="27"/>
  <c r="G22" i="27"/>
  <c r="G35" i="27"/>
  <c r="G31" i="27"/>
  <c r="G44" i="27"/>
  <c r="G12" i="27"/>
  <c r="G65" i="27"/>
  <c r="G28" i="27"/>
  <c r="G27" i="27"/>
  <c r="G11" i="27"/>
  <c r="G36" i="27"/>
  <c r="G39" i="27"/>
  <c r="G47" i="27"/>
  <c r="G29" i="27"/>
  <c r="G41" i="27"/>
  <c r="G45" i="27"/>
  <c r="G17" i="27"/>
  <c r="G37" i="27"/>
  <c r="G18" i="27"/>
  <c r="G14" i="27"/>
  <c r="G24" i="27"/>
  <c r="G19" i="27"/>
  <c r="G9" i="27"/>
  <c r="G30" i="27"/>
  <c r="G13" i="27"/>
  <c r="G21" i="27"/>
  <c r="G46" i="27"/>
  <c r="G54" i="27"/>
  <c r="G56" i="27"/>
  <c r="G50" i="27"/>
  <c r="G49" i="27"/>
  <c r="G51" i="27"/>
  <c r="G38" i="27"/>
  <c r="G53" i="27"/>
  <c r="G48" i="27"/>
  <c r="G40" i="27"/>
  <c r="G64" i="27"/>
  <c r="G55" i="27"/>
  <c r="C83" i="27"/>
  <c r="E83" i="27" s="1"/>
  <c r="E71" i="27"/>
  <c r="G40" i="29" l="1"/>
  <c r="C81" i="30"/>
  <c r="H63" i="30"/>
  <c r="F70" i="30"/>
  <c r="O61" i="30"/>
  <c r="H62" i="30"/>
  <c r="C88" i="30"/>
  <c r="E88" i="30" s="1"/>
  <c r="E76" i="30"/>
  <c r="G11" i="29"/>
  <c r="G41" i="29"/>
  <c r="G63" i="29"/>
  <c r="G39" i="29"/>
  <c r="G18" i="29"/>
  <c r="G51" i="29"/>
  <c r="G21" i="29"/>
  <c r="G10" i="29"/>
  <c r="G55" i="29"/>
  <c r="G29" i="29"/>
  <c r="G56" i="29"/>
  <c r="G65" i="29"/>
  <c r="G35" i="29"/>
  <c r="G53" i="29"/>
  <c r="G50" i="29"/>
  <c r="G31" i="29"/>
  <c r="G49" i="29"/>
  <c r="G17" i="29"/>
  <c r="G14" i="29"/>
  <c r="G19" i="29"/>
  <c r="G64" i="29"/>
  <c r="G37" i="29"/>
  <c r="G12" i="29"/>
  <c r="G24" i="29"/>
  <c r="G28" i="29"/>
  <c r="G47" i="29"/>
  <c r="G9" i="29"/>
  <c r="G13" i="29"/>
  <c r="G30" i="29"/>
  <c r="G45" i="29"/>
  <c r="G44" i="29"/>
  <c r="G23" i="29"/>
  <c r="G32" i="29"/>
  <c r="G46" i="29"/>
  <c r="G8" i="29"/>
  <c r="G20" i="29"/>
  <c r="G66" i="29"/>
  <c r="G54" i="29"/>
  <c r="G27" i="29"/>
  <c r="G36" i="29"/>
  <c r="G48" i="29"/>
  <c r="G38" i="29"/>
  <c r="O60" i="29"/>
  <c r="O61" i="29" s="1"/>
  <c r="O62" i="29" s="1"/>
  <c r="P62" i="29" s="1"/>
  <c r="O60" i="27"/>
  <c r="O61" i="27" s="1"/>
  <c r="O62" i="27" s="1"/>
  <c r="P62" i="28"/>
  <c r="E2" i="28"/>
  <c r="O62" i="30" l="1"/>
  <c r="H2" i="30"/>
  <c r="H65" i="30"/>
  <c r="H66" i="30" s="1"/>
  <c r="O65" i="30" s="1"/>
  <c r="O63" i="30"/>
  <c r="C93" i="30"/>
  <c r="E93" i="30" s="1"/>
  <c r="E81" i="30"/>
  <c r="E85" i="30" s="1"/>
  <c r="E70" i="30"/>
  <c r="C78" i="30"/>
  <c r="F73" i="30"/>
  <c r="G70" i="30" s="1"/>
  <c r="E2" i="29"/>
  <c r="P62" i="27"/>
  <c r="E2" i="27"/>
  <c r="O64" i="30" l="1"/>
  <c r="O66" i="30" s="1"/>
  <c r="O67" i="30" s="1"/>
  <c r="O68" i="30" s="1"/>
  <c r="O69" i="30" s="1"/>
  <c r="C90" i="30"/>
  <c r="E90" i="30" s="1"/>
  <c r="E78" i="30"/>
  <c r="G46" i="30"/>
  <c r="G11" i="30"/>
  <c r="G33" i="30"/>
  <c r="G60" i="30"/>
  <c r="G45" i="30"/>
  <c r="G58" i="30"/>
  <c r="G30" i="30"/>
  <c r="G40" i="30"/>
  <c r="G52" i="30"/>
  <c r="G44" i="30"/>
  <c r="G73" i="30"/>
  <c r="G28" i="30"/>
  <c r="G22" i="30"/>
  <c r="G57" i="30"/>
  <c r="G35" i="30"/>
  <c r="G17" i="30"/>
  <c r="G51" i="30"/>
  <c r="G24" i="30"/>
  <c r="G9" i="30"/>
  <c r="G72" i="30"/>
  <c r="G12" i="30"/>
  <c r="G25" i="30"/>
  <c r="G41" i="30"/>
  <c r="G13" i="30"/>
  <c r="G19" i="30"/>
  <c r="G62" i="30"/>
  <c r="G23" i="30"/>
  <c r="G20" i="30"/>
  <c r="G50" i="30"/>
  <c r="G8" i="30"/>
  <c r="G14" i="30"/>
  <c r="G42" i="30"/>
  <c r="G32" i="30"/>
  <c r="G38" i="30"/>
  <c r="G18" i="30"/>
  <c r="G61" i="30"/>
  <c r="G31" i="30"/>
  <c r="G43" i="30"/>
  <c r="G29" i="30"/>
  <c r="G49" i="30"/>
  <c r="G55" i="30"/>
  <c r="G10" i="30"/>
  <c r="G34" i="30"/>
  <c r="G54" i="30"/>
  <c r="G56" i="30"/>
  <c r="G39" i="30"/>
  <c r="G21" i="30"/>
  <c r="G53" i="30"/>
  <c r="G71" i="30"/>
  <c r="G63" i="30"/>
  <c r="P69" i="30" l="1"/>
  <c r="E2" i="30"/>
  <c r="D42" i="25" l="1"/>
  <c r="H34" i="25"/>
  <c r="D43" i="24"/>
  <c r="D39" i="24"/>
  <c r="L17" i="24"/>
  <c r="J13" i="24"/>
  <c r="K13" i="24" s="1"/>
  <c r="L12" i="24"/>
  <c r="K12" i="24"/>
  <c r="J12" i="24"/>
  <c r="L11" i="24"/>
  <c r="K11" i="24"/>
  <c r="J11" i="24"/>
  <c r="K10" i="24"/>
  <c r="J10" i="24"/>
  <c r="D45" i="23" l="1"/>
  <c r="E10" i="23"/>
  <c r="J19" i="20"/>
  <c r="K19" i="20" s="1"/>
  <c r="J18" i="20"/>
  <c r="K18" i="20" s="1"/>
  <c r="K17" i="20"/>
  <c r="J17" i="20"/>
  <c r="J16" i="20"/>
  <c r="K16" i="20" s="1"/>
  <c r="J15" i="20"/>
  <c r="K15" i="20" s="1"/>
  <c r="J14" i="20"/>
  <c r="K14" i="20" s="1"/>
  <c r="J13" i="20"/>
  <c r="K13" i="20" s="1"/>
  <c r="J12" i="20"/>
  <c r="K12" i="20" s="1"/>
  <c r="K11" i="20"/>
  <c r="J11" i="20"/>
  <c r="J10" i="20"/>
  <c r="K10" i="20" s="1"/>
  <c r="K14" i="19" l="1"/>
  <c r="J14" i="19"/>
  <c r="K13" i="19"/>
  <c r="J13" i="19"/>
  <c r="K12" i="19"/>
  <c r="J12" i="19"/>
  <c r="K11" i="19"/>
  <c r="J11" i="19"/>
  <c r="J10" i="19"/>
  <c r="D43" i="18"/>
  <c r="D41" i="18"/>
  <c r="K19" i="18"/>
  <c r="D23" i="13" l="1"/>
</calcChain>
</file>

<file path=xl/sharedStrings.xml><?xml version="1.0" encoding="utf-8"?>
<sst xmlns="http://schemas.openxmlformats.org/spreadsheetml/2006/main" count="1360" uniqueCount="344">
  <si>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</si>
  <si>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</si>
  <si>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</si>
  <si>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</si>
  <si>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</si>
  <si>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</si>
  <si>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</si>
  <si>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</si>
  <si>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</si>
  <si>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</si>
  <si>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</si>
  <si>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</si>
  <si>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</si>
  <si>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</si>
  <si>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</si>
  <si>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</si>
  <si>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</si>
  <si>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</si>
  <si>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</si>
  <si>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</si>
  <si>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</si>
  <si>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</si>
  <si>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</si>
  <si>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</si>
  <si>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</si>
  <si>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</si>
  <si>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</si>
  <si>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</si>
  <si>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</si>
  <si>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</si>
  <si>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</si>
  <si>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</si>
  <si>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</si>
  <si>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FAS</t>
  </si>
  <si>
    <t>Ensamble</t>
  </si>
  <si>
    <t>Tanda</t>
  </si>
  <si>
    <t>Sebastian Díaz, Gte Manufactura</t>
  </si>
  <si>
    <t>EMPAQUE</t>
  </si>
  <si>
    <t>EM10011</t>
  </si>
  <si>
    <t xml:space="preserve">DECORACIÓN </t>
  </si>
  <si>
    <t>121603</t>
  </si>
  <si>
    <t>ud</t>
  </si>
  <si>
    <t>1952875</t>
  </si>
  <si>
    <t>0702007</t>
  </si>
  <si>
    <t>EM10004</t>
  </si>
  <si>
    <t>0702069</t>
  </si>
  <si>
    <t>EM10002</t>
  </si>
  <si>
    <t>ETIQ.BLANCA 1 1/4 * 3/4</t>
  </si>
  <si>
    <t>0702123</t>
  </si>
  <si>
    <t>SE00454</t>
  </si>
  <si>
    <t>ROSQUETE EASY VAINILLA BC 310 G</t>
  </si>
  <si>
    <t>907000026</t>
  </si>
  <si>
    <t>MEZCLA TRES LECHES Y KOLITA (LITRO)</t>
  </si>
  <si>
    <t>CREMA BEIDGE (KILO)</t>
  </si>
  <si>
    <t xml:space="preserve">Leche Condensada Pinito </t>
  </si>
  <si>
    <t xml:space="preserve">Relleno Cajeta </t>
  </si>
  <si>
    <t>1, Colocar en la batidora con ayuda de la paleta, la leche condensada y la leche en polvo y resolver hasta que quede bien incorporado.</t>
  </si>
  <si>
    <t xml:space="preserve">2, Pasar a una tina y guardar. </t>
  </si>
  <si>
    <t xml:space="preserve">Relleno Crema-Pinito </t>
  </si>
  <si>
    <t xml:space="preserve">Postres </t>
  </si>
  <si>
    <t>SE00010</t>
  </si>
  <si>
    <t>Crema Chantilly Blanca (Spoon-Ind)</t>
  </si>
  <si>
    <t>SE00633</t>
  </si>
  <si>
    <t>Sirope Rojo Bucca</t>
  </si>
  <si>
    <t>SE00051</t>
  </si>
  <si>
    <t>Ganache Chocolate Blanco</t>
  </si>
  <si>
    <t>SE00504</t>
  </si>
  <si>
    <t>EMPAQUE RELLENO DE FRESA NATURAL</t>
  </si>
  <si>
    <t>Decoración</t>
  </si>
  <si>
    <t>Decoracion</t>
  </si>
  <si>
    <t>SE00634</t>
  </si>
  <si>
    <t>CREMA BLANCA BUCCA</t>
  </si>
  <si>
    <t>10400009</t>
  </si>
  <si>
    <t>MP10157</t>
  </si>
  <si>
    <t>COLORANTE GEL SUPER RED</t>
  </si>
  <si>
    <t>Empaque</t>
  </si>
  <si>
    <t>3, Colocar plastico para tapar y etiquetar.</t>
  </si>
  <si>
    <t xml:space="preserve">4, Volver a guardar en la camara hasta su uso. </t>
  </si>
  <si>
    <t xml:space="preserve">Crema Chantilly Roja Claro </t>
  </si>
  <si>
    <t>Etiqueta especial Mamá 2026</t>
  </si>
  <si>
    <t>ESP-RE-DES-018</t>
  </si>
  <si>
    <t>02</t>
  </si>
  <si>
    <t xml:space="preserve"> Crema Blanca Spoon (20800g)  SE00010</t>
  </si>
  <si>
    <t>Javier Tong, Chef</t>
  </si>
  <si>
    <t>Esteban Cartin, Gte Manufactura</t>
  </si>
  <si>
    <t>MP10047</t>
  </si>
  <si>
    <t>BETTERCREME SUPREMO (UND:4 K)</t>
  </si>
  <si>
    <t>RICHS</t>
  </si>
  <si>
    <t>MP10048</t>
  </si>
  <si>
    <t>CREMA PRESTIGE GRAND (UND:4 K)</t>
  </si>
  <si>
    <t>10415</t>
  </si>
  <si>
    <t>AGUA POTABLE (PLANTA)</t>
  </si>
  <si>
    <t>AYA</t>
  </si>
  <si>
    <t>MP10008</t>
  </si>
  <si>
    <t>PRESERVANTE 1047S (PAQ=5 KILO)</t>
  </si>
  <si>
    <t>ASEAL</t>
  </si>
  <si>
    <t>ETIQUETA BLANCA 2 5/8X1 15/16 (UND)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</si>
  <si>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</si>
  <si>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</si>
  <si>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</si>
  <si>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</si>
  <si>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</si>
  <si>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</si>
  <si>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</si>
  <si>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ESP-RE-DEF-026</t>
  </si>
  <si>
    <t xml:space="preserve"> SE00634 Crema blanca Bucca</t>
  </si>
  <si>
    <t>2 GALON</t>
  </si>
  <si>
    <t>3 GALON</t>
  </si>
  <si>
    <t>ETIPLAST</t>
  </si>
  <si>
    <t>1.- Abrir los galones de crema y verter dentro de la top cream (5° en liquido )</t>
  </si>
  <si>
    <t>3.- Batir por 12 a 15 minutos. Colocar en una tina plastica, tapar. (Temperatura de 18°)</t>
  </si>
  <si>
    <t>5.- Mantener en refrigeración.</t>
  </si>
  <si>
    <t xml:space="preserve">Revisión#2, Se actualizan tiempos de preparación y se agrega temperaturas adecuadas. </t>
  </si>
  <si>
    <t>ESP-RE-BAF-013</t>
  </si>
  <si>
    <t>ESP-RE-BAF-013(2) 907000287(SE00454) Rosquete easy vainilla BC 310g</t>
  </si>
  <si>
    <t>Batidos</t>
  </si>
  <si>
    <t>907000286</t>
  </si>
  <si>
    <t>SE00437</t>
  </si>
  <si>
    <t>BATIDO EASY VAINILLA BC</t>
  </si>
  <si>
    <t>MEZCLA P/ENGRASE MOLDES KILO</t>
  </si>
  <si>
    <t>ETIQ.FECHA VENCIMIENTO BLANCO (ROLLO)</t>
  </si>
  <si>
    <t>EM10259</t>
  </si>
  <si>
    <t>Plastico Autoaderible 1/ 18*2000</t>
  </si>
  <si>
    <t>metros</t>
  </si>
  <si>
    <t/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</si>
  <si>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</si>
  <si>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</si>
  <si>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desmoldar, colocar las bandejas en el coche y rapearlo con el plastico, dejando solamente la bandeja superior en bolsa plastica.</t>
  </si>
  <si>
    <t xml:space="preserve">4, Etiquetar </t>
  </si>
  <si>
    <t>2, Se actualizan pesos, datos receta y procedimiento.</t>
  </si>
  <si>
    <t>ESP-RE-BAF-031</t>
  </si>
  <si>
    <t>SE00437 Batido Easy Vainilla BC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</si>
  <si>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</si>
  <si>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</si>
  <si>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</si>
  <si>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</si>
  <si>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</si>
  <si>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</si>
  <si>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MP10002</t>
  </si>
  <si>
    <t>ACEITE CAPULLO RBD (UND:17 L)</t>
  </si>
  <si>
    <t>CAPULLO</t>
  </si>
  <si>
    <t>1212437</t>
  </si>
  <si>
    <t>MP10315</t>
  </si>
  <si>
    <t>PRESERVANTE MIXTO</t>
  </si>
  <si>
    <t>PURATOS</t>
  </si>
  <si>
    <t>1.- Agregar todos los liquidos a la batidora, luego todos los polvos. Batir 1 min en velocidada 1. Usar paleta.</t>
  </si>
  <si>
    <t>2.- Subir a velocidad 2 y batir por 4 min.</t>
  </si>
  <si>
    <t>3.- Dosificar.</t>
  </si>
  <si>
    <t>Revision #2: Cambio en el peso del huevo y el agua.</t>
  </si>
  <si>
    <t>ESP-RE-PRES-023</t>
  </si>
  <si>
    <t>03</t>
  </si>
  <si>
    <t>SE00436  Premezcla Easy vainilla BC</t>
  </si>
  <si>
    <t>Juan Pablo Brenes, Chef</t>
  </si>
  <si>
    <t>Premezclas</t>
  </si>
  <si>
    <t>MP10491</t>
  </si>
  <si>
    <t>EASY VAINILLA BC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</si>
  <si>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</si>
  <si>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</si>
  <si>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</si>
  <si>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</si>
  <si>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</si>
  <si>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</si>
  <si>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</si>
  <si>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</si>
  <si>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</si>
  <si>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</si>
  <si>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</si>
  <si>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</si>
  <si>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MAYCA</t>
  </si>
  <si>
    <t>MP10304</t>
  </si>
  <si>
    <t>POLVO HORNEAR FLEISHMAN (PAQ:2.5 K)</t>
  </si>
  <si>
    <t>FLEISHMAN</t>
  </si>
  <si>
    <t>1210445</t>
  </si>
  <si>
    <t>MP10142</t>
  </si>
  <si>
    <t>CLARA DE HUEVO DESHIDRATADA</t>
  </si>
  <si>
    <t>MP10517</t>
  </si>
  <si>
    <t>ACTI EGG</t>
  </si>
  <si>
    <t>MP10481</t>
  </si>
  <si>
    <t>Goma Xantana</t>
  </si>
  <si>
    <t>MP10769</t>
  </si>
  <si>
    <t>HUEVO EN POLVO</t>
  </si>
  <si>
    <t>EPKMARKET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</si>
  <si>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</si>
  <si>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</si>
  <si>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</si>
  <si>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</si>
  <si>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</si>
  <si>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</si>
  <si>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</si>
  <si>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</si>
  <si>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</si>
  <si>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</si>
  <si>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 y el actiegg. En una bolsa 17x25 empacar el azucar, y etiquetar.</t>
  </si>
  <si>
    <t>2.- En la otra bolsa 8x12 empacar el preservante, polvo de hornear. Colocar en la misma bolsa del harina.</t>
  </si>
  <si>
    <t>Revision #2: Se baja a la mitad el polvo de hornear y se agrega goma xantana</t>
  </si>
  <si>
    <t>Revision #3: Actualizacion por adicion de huevo en polvo.</t>
  </si>
  <si>
    <t>ESP-RE-EMPS-055</t>
  </si>
  <si>
    <t>01</t>
  </si>
  <si>
    <t>90100401(SE00504) Empaque  relleno de fresas Natural</t>
  </si>
  <si>
    <t>Cocina</t>
  </si>
  <si>
    <t>SE00503</t>
  </si>
  <si>
    <t>RELLENO DE FRESA NATURAL</t>
  </si>
  <si>
    <t>BOLSA 17x25 TRANSP (KILO)</t>
  </si>
  <si>
    <t>ETIQ.BLANCA 1 1/4 * 3/4 (UND)</t>
  </si>
  <si>
    <t>CEMUSA</t>
  </si>
  <si>
    <t>bolsa</t>
  </si>
  <si>
    <t xml:space="preserve">1, Empacar 5000g de relleno en una bolsa 17*25.  </t>
  </si>
  <si>
    <t>2, Cerrar y etiquetar</t>
  </si>
  <si>
    <t>ESP-RE-COCS-065</t>
  </si>
  <si>
    <t>SE00503 Relleno de fresa Natural</t>
  </si>
  <si>
    <t>MP10193</t>
  </si>
  <si>
    <t>FRESA PICADA (KILO)</t>
  </si>
  <si>
    <t>BEGRO</t>
  </si>
  <si>
    <t>MP10025</t>
  </si>
  <si>
    <t>PRESERVANTE 1017S (PAQ=5 KILO)</t>
  </si>
  <si>
    <t>MP10026</t>
  </si>
  <si>
    <t>ALMIDON MODIFICADO ( 25 KG )</t>
  </si>
  <si>
    <t>AMERICOLOR</t>
  </si>
  <si>
    <t>MP10509</t>
  </si>
  <si>
    <t>COLORANTE ROJO (50ML)</t>
  </si>
  <si>
    <t>ANCLA</t>
  </si>
  <si>
    <t>SE00016</t>
  </si>
  <si>
    <t>AZUCAR BLANCO INDUSTRIAL
 (BOLSAS:1500g)</t>
  </si>
  <si>
    <t>SE00015</t>
  </si>
  <si>
    <t>JUGO LIMON (KILO)</t>
  </si>
  <si>
    <t>bolsas</t>
  </si>
  <si>
    <t>1- Lavar y desinfectar la fresa. Cortar la fresa con la maquina, Colocar la fresa en la olla junto con el azucar, y el colorante. Hervir</t>
  </si>
  <si>
    <t xml:space="preserve">2- Mezclar el almidon con el preservante y el agua, juego de limon .Disolver el la mezcla de Liquidos super bien
 Agregar a la mezcla anterior. Hervir a Fuego Medio </t>
  </si>
  <si>
    <t>3- No Mezclar tanto para no desbaratar la Fresa</t>
  </si>
  <si>
    <t>4- Colocar en bandejas y hacer choque termico.</t>
  </si>
  <si>
    <t>ESP-RE-DES-021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</si>
  <si>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</si>
  <si>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</si>
  <si>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</si>
  <si>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</si>
  <si>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</si>
  <si>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</si>
  <si>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0.2</t>
  </si>
  <si>
    <t>Min</t>
  </si>
  <si>
    <t>1, Sacar la crema blanca suprema de la camara (temperatura maxima 18° ya batida).</t>
  </si>
  <si>
    <t>2, Agregar el colorantes y mezclar a mano, hasta que este completamente homogeneo.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</si>
  <si>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</si>
  <si>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</si>
  <si>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</si>
  <si>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</si>
  <si>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</si>
  <si>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</si>
  <si>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</si>
  <si>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</si>
  <si>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</si>
  <si>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</si>
  <si>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</si>
  <si>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</si>
  <si>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</si>
  <si>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</si>
  <si>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</si>
  <si>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ESP-RE-DEF-020</t>
  </si>
  <si>
    <t xml:space="preserve"> SE00633 Sirope rojo bucca</t>
  </si>
  <si>
    <t>CREMA PRESTIGE GRAND</t>
  </si>
  <si>
    <t xml:space="preserve">PRESTIGE </t>
  </si>
  <si>
    <t xml:space="preserve">0.2 </t>
  </si>
  <si>
    <t>1.-Mezclar la crema prestige con el colorante rojo y colocar en bolsas para marmolear.</t>
  </si>
  <si>
    <t xml:space="preserve">2, Se actualiza cantidad colorante. </t>
  </si>
  <si>
    <t>ESP-RE-COCS-025</t>
  </si>
  <si>
    <t>Ganache De Chocolate Blanco 37380g SE00051</t>
  </si>
  <si>
    <t>1210387</t>
  </si>
  <si>
    <t>MP10143</t>
  </si>
  <si>
    <t>COBERTURA DE CHOCOLATE BLANCO ( PAQ=5 K )</t>
  </si>
  <si>
    <t>NACIONAL CH</t>
  </si>
  <si>
    <t>11400031</t>
  </si>
  <si>
    <t>RICH</t>
  </si>
  <si>
    <t>Minutos</t>
  </si>
  <si>
    <t>1.- Colocar  la crema en una olla llegar a  65 grados , mover, no hervir, agregar los trozos de chocolate y mover hasta que se derritan.</t>
  </si>
  <si>
    <t>2.- Mezclar bien, con cuidado de no quemar,cuando este todo derretido, mezlcar con ayuda de un batidor de globo de mano, para asegurarse que no queden grumos</t>
  </si>
  <si>
    <t>3.- Colocar en bandejas, enfriar.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</si>
  <si>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</si>
  <si>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</si>
  <si>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</si>
  <si>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</si>
  <si>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</si>
  <si>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</si>
  <si>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</si>
  <si>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</si>
  <si>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</si>
  <si>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</si>
  <si>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</si>
  <si>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</si>
  <si>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</si>
  <si>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</si>
  <si>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</si>
  <si>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</si>
  <si>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</si>
  <si>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</si>
  <si>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</si>
  <si>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</si>
  <si>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</si>
  <si>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</si>
  <si>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</si>
  <si>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</si>
  <si>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</si>
  <si>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</si>
  <si>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</si>
  <si>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</si>
  <si>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</si>
  <si>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</si>
  <si>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</si>
  <si>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</si>
  <si>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</si>
  <si>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</si>
  <si>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</si>
  <si>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</si>
  <si>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</si>
  <si>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</si>
  <si>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</si>
  <si>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</si>
  <si>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</si>
  <si>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</si>
  <si>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</si>
  <si>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</si>
  <si>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</si>
  <si>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</si>
  <si>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</si>
  <si>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</si>
  <si>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</si>
  <si>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</si>
  <si>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</si>
  <si>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0310145</t>
  </si>
  <si>
    <t>Gramos</t>
  </si>
  <si>
    <t xml:space="preserve">UND </t>
  </si>
  <si>
    <t>und</t>
  </si>
  <si>
    <t>UND</t>
  </si>
  <si>
    <t>NUEVO</t>
  </si>
  <si>
    <t>Gramo</t>
  </si>
  <si>
    <t>910000018</t>
  </si>
  <si>
    <t>nuevo</t>
  </si>
  <si>
    <t>SE00830 Relleno Cajeta</t>
  </si>
  <si>
    <t>ESP-RE-POF-060</t>
  </si>
  <si>
    <t>Leche en polvo Pinito</t>
  </si>
  <si>
    <t>PINITO</t>
  </si>
  <si>
    <t>2, Cambio leche en polvo por leche en polvo Pinito</t>
  </si>
  <si>
    <t>MP10941</t>
  </si>
  <si>
    <t>MP10940</t>
  </si>
  <si>
    <t>Revision #3: Actualizacion de codigos de las leches</t>
  </si>
  <si>
    <t>Jose Sanchez Madriz, 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</si>
</sst>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0_);_(* \(#,##0.000\);_(* &quot;-&quot;??_);_(@_)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8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9"/>
      <name val="Times New Roman"/>
      <family val="1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1"/>
      <color indexed="8"/>
      <name val="Times New Roman"/>
      <family val="1"/>
    </font>
    <font>
      <b/>
      <i/>
      <sz val="18"/>
      <name val="Arial"/>
      <family val="2"/>
    </font>
    <font>
      <sz val="9"/>
      <color theme="1"/>
      <name val="Times New Roman"/>
      <family val="1"/>
    </font>
    <font>
      <b/>
      <sz val="16"/>
      <name val="Century Gothic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4"/>
      <color rgb="FF000000"/>
      <name val="Century Gothic"/>
      <family val="2"/>
    </font>
    <font>
      <sz val="14"/>
      <color rgb="FF000000"/>
      <name val="Aptos Narrow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76">
    <xf numFmtId="0" fontId="0" fillId="0" borderId="0" xfId="0"/>
    <xf numFmtId="0" fontId="7" fillId="0" borderId="1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1" fontId="0" fillId="0" borderId="0" xfId="0" applyNumberFormat="1"/>
    <xf numFmtId="1" fontId="10" fillId="0" borderId="14" xfId="0" applyNumberFormat="1" applyFont="1" applyBorder="1" applyAlignment="1">
      <alignment horizontal="center" wrapText="1"/>
    </xf>
    <xf numFmtId="0" fontId="10" fillId="0" borderId="14" xfId="0" quotePrefix="1" applyFont="1" applyBorder="1"/>
    <xf numFmtId="0" fontId="2" fillId="0" borderId="14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1" fontId="9" fillId="0" borderId="14" xfId="0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49" fontId="9" fillId="0" borderId="15" xfId="1" applyNumberFormat="1" applyFont="1" applyBorder="1" applyAlignment="1">
      <alignment horizontal="center"/>
    </xf>
    <xf numFmtId="49" fontId="9" fillId="0" borderId="8" xfId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9" fillId="0" borderId="14" xfId="1" applyNumberFormat="1" applyFont="1" applyBorder="1"/>
    <xf numFmtId="49" fontId="11" fillId="3" borderId="20" xfId="1" applyNumberFormat="1" applyFont="1" applyFill="1" applyBorder="1" applyAlignment="1">
      <alignment horizontal="center" vertical="center"/>
    </xf>
    <xf numFmtId="49" fontId="11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19" xfId="1" applyFont="1" applyFill="1" applyBorder="1" applyAlignment="1">
      <alignment horizontal="center"/>
    </xf>
    <xf numFmtId="0" fontId="10" fillId="2" borderId="40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0" fillId="2" borderId="35" xfId="1" applyFont="1" applyFill="1" applyBorder="1"/>
    <xf numFmtId="0" fontId="5" fillId="2" borderId="35" xfId="1" applyFont="1" applyFill="1" applyBorder="1" applyAlignment="1">
      <alignment horizontal="center"/>
    </xf>
    <xf numFmtId="1" fontId="5" fillId="2" borderId="35" xfId="1" applyNumberFormat="1" applyFont="1" applyFill="1" applyBorder="1" applyAlignment="1">
      <alignment horizontal="center"/>
    </xf>
    <xf numFmtId="164" fontId="10" fillId="2" borderId="35" xfId="1" applyNumberFormat="1" applyFont="1" applyFill="1" applyBorder="1" applyAlignment="1">
      <alignment horizontal="center" wrapText="1"/>
    </xf>
    <xf numFmtId="0" fontId="10" fillId="2" borderId="36" xfId="1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13" fillId="3" borderId="0" xfId="2" applyNumberFormat="1" applyFont="1" applyFill="1" applyAlignment="1">
      <alignment horizontal="center" vertical="center" wrapText="1"/>
    </xf>
    <xf numFmtId="0" fontId="5" fillId="3" borderId="17" xfId="2" applyFont="1" applyFill="1" applyBorder="1" applyAlignment="1">
      <alignment horizontal="right"/>
    </xf>
    <xf numFmtId="0" fontId="10" fillId="3" borderId="16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right"/>
    </xf>
    <xf numFmtId="49" fontId="10" fillId="3" borderId="13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4" xfId="2" applyFont="1" applyFill="1" applyBorder="1" applyAlignment="1">
      <alignment horizontal="right"/>
    </xf>
    <xf numFmtId="0" fontId="5" fillId="2" borderId="16" xfId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0" fillId="0" borderId="14" xfId="0" applyBorder="1"/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14" fillId="0" borderId="14" xfId="0" applyNumberFormat="1" applyFont="1" applyBorder="1" applyAlignment="1">
      <alignment horizontal="center" wrapText="1"/>
    </xf>
    <xf numFmtId="1" fontId="14" fillId="0" borderId="14" xfId="0" applyNumberFormat="1" applyFont="1" applyBorder="1" applyAlignment="1">
      <alignment horizontal="center"/>
    </xf>
    <xf numFmtId="16" fontId="14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0" fillId="0" borderId="0" xfId="0" applyNumberFormat="1"/>
    <xf numFmtId="0" fontId="6" fillId="0" borderId="14" xfId="0" applyFont="1" applyBorder="1" applyAlignment="1">
      <alignment horizontal="center"/>
    </xf>
    <xf numFmtId="0" fontId="21" fillId="4" borderId="14" xfId="1" applyFont="1" applyFill="1" applyBorder="1" applyAlignment="1">
      <alignment vertical="center"/>
    </xf>
    <xf numFmtId="1" fontId="19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4" fillId="3" borderId="16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49" fontId="4" fillId="3" borderId="13" xfId="2" applyNumberFormat="1" applyFont="1" applyFill="1" applyBorder="1" applyAlignment="1">
      <alignment horizontal="center"/>
    </xf>
    <xf numFmtId="0" fontId="4" fillId="3" borderId="11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14" fontId="25" fillId="3" borderId="0" xfId="2" applyNumberFormat="1" applyFont="1" applyFill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1" fontId="6" fillId="2" borderId="2" xfId="1" applyNumberFormat="1" applyFont="1" applyFill="1" applyBorder="1" applyAlignment="1">
      <alignment horizontal="center"/>
    </xf>
    <xf numFmtId="1" fontId="6" fillId="2" borderId="2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16" fillId="0" borderId="15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26" fillId="0" borderId="14" xfId="1" applyFont="1" applyBorder="1" applyAlignment="1">
      <alignment vertical="center"/>
    </xf>
    <xf numFmtId="0" fontId="16" fillId="0" borderId="14" xfId="1" applyFont="1" applyBorder="1" applyAlignment="1">
      <alignment horizontal="center" vertical="center"/>
    </xf>
    <xf numFmtId="1" fontId="16" fillId="0" borderId="14" xfId="1" applyNumberFormat="1" applyFont="1" applyBorder="1" applyAlignment="1">
      <alignment horizontal="center"/>
    </xf>
    <xf numFmtId="1" fontId="16" fillId="0" borderId="14" xfId="1" applyNumberFormat="1" applyFont="1" applyBorder="1" applyAlignment="1">
      <alignment horizontal="center" wrapText="1"/>
    </xf>
    <xf numFmtId="0" fontId="14" fillId="0" borderId="13" xfId="1" applyFont="1" applyBorder="1" applyAlignment="1">
      <alignment horizontal="center"/>
    </xf>
    <xf numFmtId="12" fontId="4" fillId="0" borderId="11" xfId="0" applyNumberFormat="1" applyFont="1" applyBorder="1" applyAlignment="1">
      <alignment horizontal="center"/>
    </xf>
    <xf numFmtId="166" fontId="14" fillId="0" borderId="14" xfId="1" applyNumberFormat="1" applyFont="1" applyBorder="1" applyAlignment="1">
      <alignment horizontal="center"/>
    </xf>
    <xf numFmtId="2" fontId="16" fillId="0" borderId="14" xfId="1" applyNumberFormat="1" applyFont="1" applyBorder="1" applyAlignment="1">
      <alignment horizontal="center"/>
    </xf>
    <xf numFmtId="1" fontId="4" fillId="4" borderId="14" xfId="0" applyNumberFormat="1" applyFont="1" applyFill="1" applyBorder="1" applyAlignment="1">
      <alignment horizontal="center" wrapText="1"/>
    </xf>
    <xf numFmtId="16" fontId="9" fillId="0" borderId="8" xfId="0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0" fontId="7" fillId="4" borderId="14" xfId="1" applyFont="1" applyFill="1" applyBorder="1" applyAlignment="1">
      <alignment horizontal="left"/>
    </xf>
    <xf numFmtId="0" fontId="14" fillId="0" borderId="14" xfId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0" fillId="4" borderId="14" xfId="0" applyFill="1" applyBorder="1"/>
    <xf numFmtId="1" fontId="0" fillId="0" borderId="14" xfId="0" applyNumberForma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" fontId="4" fillId="4" borderId="11" xfId="0" applyNumberFormat="1" applyFont="1" applyFill="1" applyBorder="1" applyAlignment="1">
      <alignment horizontal="center"/>
    </xf>
    <xf numFmtId="1" fontId="4" fillId="4" borderId="11" xfId="0" applyNumberFormat="1" applyFont="1" applyFill="1" applyBorder="1" applyAlignment="1">
      <alignment horizontal="center" wrapText="1"/>
    </xf>
    <xf numFmtId="16" fontId="4" fillId="0" borderId="14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49" fontId="16" fillId="0" borderId="7" xfId="1" applyNumberFormat="1" applyFont="1" applyBorder="1" applyAlignment="1">
      <alignment horizontal="center"/>
    </xf>
    <xf numFmtId="49" fontId="16" fillId="0" borderId="6" xfId="1" applyNumberFormat="1" applyFont="1" applyBorder="1" applyAlignment="1">
      <alignment horizontal="center"/>
    </xf>
    <xf numFmtId="0" fontId="8" fillId="4" borderId="14" xfId="1" applyFont="1" applyFill="1" applyBorder="1" applyAlignment="1">
      <alignment vertical="center"/>
    </xf>
    <xf numFmtId="0" fontId="16" fillId="0" borderId="8" xfId="1" applyFont="1" applyBorder="1" applyAlignment="1">
      <alignment horizontal="center"/>
    </xf>
    <xf numFmtId="166" fontId="16" fillId="0" borderId="14" xfId="1" applyNumberFormat="1" applyFont="1" applyBorder="1" applyAlignment="1">
      <alignment horizontal="center"/>
    </xf>
    <xf numFmtId="167" fontId="6" fillId="4" borderId="14" xfId="10" applyNumberFormat="1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 wrapText="1"/>
    </xf>
    <xf numFmtId="12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49" fontId="17" fillId="0" borderId="14" xfId="1" applyNumberFormat="1" applyFont="1" applyBorder="1"/>
    <xf numFmtId="0" fontId="14" fillId="0" borderId="14" xfId="0" applyFont="1" applyBorder="1" applyAlignment="1">
      <alignment horizontal="center"/>
    </xf>
    <xf numFmtId="49" fontId="28" fillId="3" borderId="20" xfId="1" applyNumberFormat="1" applyFont="1" applyFill="1" applyBorder="1" applyAlignment="1">
      <alignment horizontal="center" vertical="center"/>
    </xf>
    <xf numFmtId="49" fontId="28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19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35" xfId="1" applyFont="1" applyFill="1" applyBorder="1"/>
    <xf numFmtId="0" fontId="6" fillId="2" borderId="35" xfId="1" applyFont="1" applyFill="1" applyBorder="1" applyAlignment="1">
      <alignment horizontal="center"/>
    </xf>
    <xf numFmtId="1" fontId="6" fillId="2" borderId="35" xfId="1" applyNumberFormat="1" applyFont="1" applyFill="1" applyBorder="1" applyAlignment="1">
      <alignment horizontal="center"/>
    </xf>
    <xf numFmtId="164" fontId="4" fillId="2" borderId="35" xfId="1" applyNumberFormat="1" applyFont="1" applyFill="1" applyBorder="1" applyAlignment="1">
      <alignment horizontal="center" wrapText="1"/>
    </xf>
    <xf numFmtId="0" fontId="4" fillId="2" borderId="36" xfId="1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9" fillId="0" borderId="15" xfId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30" fillId="0" borderId="14" xfId="1" applyFont="1" applyBorder="1" applyAlignment="1">
      <alignment vertical="center"/>
    </xf>
    <xf numFmtId="0" fontId="29" fillId="0" borderId="14" xfId="1" applyFont="1" applyBorder="1" applyAlignment="1">
      <alignment horizontal="center" vertical="center"/>
    </xf>
    <xf numFmtId="1" fontId="29" fillId="0" borderId="14" xfId="1" applyNumberFormat="1" applyFont="1" applyBorder="1" applyAlignment="1">
      <alignment horizontal="center"/>
    </xf>
    <xf numFmtId="1" fontId="29" fillId="0" borderId="14" xfId="1" applyNumberFormat="1" applyFont="1" applyBorder="1" applyAlignment="1">
      <alignment horizontal="center" wrapText="1"/>
    </xf>
    <xf numFmtId="0" fontId="31" fillId="0" borderId="13" xfId="1" applyFont="1" applyBorder="1" applyAlignment="1">
      <alignment horizontal="center"/>
    </xf>
    <xf numFmtId="0" fontId="32" fillId="4" borderId="15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center"/>
    </xf>
    <xf numFmtId="0" fontId="32" fillId="4" borderId="11" xfId="0" applyFont="1" applyFill="1" applyBorder="1"/>
    <xf numFmtId="0" fontId="31" fillId="4" borderId="8" xfId="0" applyFont="1" applyFill="1" applyBorder="1" applyAlignment="1">
      <alignment horizontal="center"/>
    </xf>
    <xf numFmtId="1" fontId="31" fillId="4" borderId="14" xfId="0" applyNumberFormat="1" applyFont="1" applyFill="1" applyBorder="1" applyAlignment="1">
      <alignment horizontal="center"/>
    </xf>
    <xf numFmtId="1" fontId="31" fillId="4" borderId="14" xfId="0" applyNumberFormat="1" applyFont="1" applyFill="1" applyBorder="1" applyAlignment="1">
      <alignment horizontal="center" wrapText="1"/>
    </xf>
    <xf numFmtId="0" fontId="31" fillId="0" borderId="11" xfId="0" applyFont="1" applyBorder="1" applyAlignment="1">
      <alignment horizontal="center" wrapText="1"/>
    </xf>
    <xf numFmtId="12" fontId="31" fillId="0" borderId="11" xfId="0" applyNumberFormat="1" applyFont="1" applyBorder="1" applyAlignment="1">
      <alignment horizontal="center"/>
    </xf>
    <xf numFmtId="0" fontId="32" fillId="4" borderId="8" xfId="0" applyFont="1" applyFill="1" applyBorder="1" applyAlignment="1">
      <alignment horizontal="center"/>
    </xf>
    <xf numFmtId="0" fontId="32" fillId="4" borderId="14" xfId="0" applyFont="1" applyFill="1" applyBorder="1"/>
    <xf numFmtId="1" fontId="31" fillId="4" borderId="11" xfId="0" applyNumberFormat="1" applyFont="1" applyFill="1" applyBorder="1" applyAlignment="1">
      <alignment horizontal="center"/>
    </xf>
    <xf numFmtId="1" fontId="31" fillId="4" borderId="11" xfId="0" applyNumberFormat="1" applyFont="1" applyFill="1" applyBorder="1" applyAlignment="1">
      <alignment horizontal="center" wrapText="1"/>
    </xf>
    <xf numFmtId="0" fontId="31" fillId="0" borderId="14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4" xfId="0" applyFont="1" applyBorder="1" applyAlignment="1">
      <alignment horizontal="center" vertical="center"/>
    </xf>
    <xf numFmtId="0" fontId="33" fillId="7" borderId="14" xfId="0" applyFont="1" applyFill="1" applyBorder="1"/>
    <xf numFmtId="0" fontId="31" fillId="0" borderId="14" xfId="0" applyFont="1" applyBorder="1" applyAlignment="1">
      <alignment horizontal="center" wrapText="1"/>
    </xf>
    <xf numFmtId="0" fontId="33" fillId="7" borderId="0" xfId="0" applyFont="1" applyFill="1" applyAlignment="1">
      <alignment horizontal="center"/>
    </xf>
    <xf numFmtId="0" fontId="33" fillId="7" borderId="0" xfId="0" applyFont="1" applyFill="1"/>
    <xf numFmtId="0" fontId="29" fillId="7" borderId="14" xfId="0" applyFont="1" applyFill="1" applyBorder="1" applyAlignment="1">
      <alignment horizontal="left"/>
    </xf>
    <xf numFmtId="0" fontId="31" fillId="0" borderId="11" xfId="0" applyFont="1" applyBorder="1" applyAlignment="1">
      <alignment horizontal="center"/>
    </xf>
    <xf numFmtId="0" fontId="33" fillId="7" borderId="14" xfId="0" applyFont="1" applyFill="1" applyBorder="1" applyAlignment="1">
      <alignment horizontal="left" vertical="center"/>
    </xf>
    <xf numFmtId="0" fontId="31" fillId="0" borderId="14" xfId="0" applyFont="1" applyBorder="1"/>
    <xf numFmtId="16" fontId="31" fillId="0" borderId="8" xfId="0" applyNumberFormat="1" applyFont="1" applyBorder="1" applyAlignment="1">
      <alignment horizontal="center"/>
    </xf>
    <xf numFmtId="1" fontId="31" fillId="0" borderId="14" xfId="0" applyNumberFormat="1" applyFont="1" applyBorder="1" applyAlignment="1">
      <alignment horizontal="center"/>
    </xf>
    <xf numFmtId="1" fontId="31" fillId="0" borderId="14" xfId="0" applyNumberFormat="1" applyFont="1" applyBorder="1" applyAlignment="1">
      <alignment horizontal="center" wrapText="1"/>
    </xf>
    <xf numFmtId="49" fontId="31" fillId="0" borderId="15" xfId="1" applyNumberFormat="1" applyFont="1" applyBorder="1" applyAlignment="1">
      <alignment horizontal="center"/>
    </xf>
    <xf numFmtId="49" fontId="31" fillId="0" borderId="8" xfId="1" applyNumberFormat="1" applyFont="1" applyBorder="1" applyAlignment="1">
      <alignment horizontal="center"/>
    </xf>
    <xf numFmtId="0" fontId="29" fillId="4" borderId="14" xfId="1" applyFont="1" applyFill="1" applyBorder="1" applyAlignment="1">
      <alignment horizontal="left"/>
    </xf>
    <xf numFmtId="0" fontId="31" fillId="0" borderId="14" xfId="1" applyFont="1" applyBorder="1" applyAlignment="1">
      <alignment horizontal="center"/>
    </xf>
    <xf numFmtId="166" fontId="31" fillId="0" borderId="14" xfId="1" applyNumberFormat="1" applyFont="1" applyBorder="1" applyAlignment="1">
      <alignment horizontal="center"/>
    </xf>
    <xf numFmtId="1" fontId="31" fillId="0" borderId="14" xfId="1" applyNumberFormat="1" applyFont="1" applyBorder="1" applyAlignment="1">
      <alignment horizontal="center" wrapText="1"/>
    </xf>
    <xf numFmtId="0" fontId="32" fillId="4" borderId="12" xfId="0" applyFont="1" applyFill="1" applyBorder="1" applyAlignment="1">
      <alignment horizontal="center"/>
    </xf>
    <xf numFmtId="1" fontId="31" fillId="4" borderId="14" xfId="1" applyNumberFormat="1" applyFont="1" applyFill="1" applyBorder="1" applyAlignment="1">
      <alignment horizontal="center"/>
    </xf>
    <xf numFmtId="1" fontId="31" fillId="4" borderId="14" xfId="1" applyNumberFormat="1" applyFont="1" applyFill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0" xfId="0" applyFont="1"/>
    <xf numFmtId="16" fontId="31" fillId="4" borderId="14" xfId="0" applyNumberFormat="1" applyFont="1" applyFill="1" applyBorder="1" applyAlignment="1">
      <alignment horizontal="center"/>
    </xf>
    <xf numFmtId="0" fontId="31" fillId="3" borderId="14" xfId="0" applyFont="1" applyFill="1" applyBorder="1" applyAlignment="1">
      <alignment horizontal="center"/>
    </xf>
    <xf numFmtId="1" fontId="31" fillId="0" borderId="11" xfId="0" applyNumberFormat="1" applyFont="1" applyBorder="1" applyAlignment="1">
      <alignment horizontal="center" wrapText="1"/>
    </xf>
    <xf numFmtId="16" fontId="31" fillId="0" borderId="14" xfId="0" applyNumberFormat="1" applyFont="1" applyBorder="1" applyAlignment="1">
      <alignment horizontal="center"/>
    </xf>
    <xf numFmtId="1" fontId="31" fillId="0" borderId="11" xfId="0" applyNumberFormat="1" applyFont="1" applyBorder="1" applyAlignment="1">
      <alignment horizontal="center"/>
    </xf>
    <xf numFmtId="49" fontId="29" fillId="0" borderId="7" xfId="1" applyNumberFormat="1" applyFont="1" applyBorder="1" applyAlignment="1">
      <alignment horizontal="center"/>
    </xf>
    <xf numFmtId="49" fontId="29" fillId="0" borderId="6" xfId="1" applyNumberFormat="1" applyFont="1" applyBorder="1" applyAlignment="1">
      <alignment horizontal="center"/>
    </xf>
    <xf numFmtId="0" fontId="30" fillId="4" borderId="14" xfId="1" applyFont="1" applyFill="1" applyBorder="1" applyAlignment="1">
      <alignment vertical="center"/>
    </xf>
    <xf numFmtId="0" fontId="29" fillId="0" borderId="8" xfId="1" applyFont="1" applyBorder="1" applyAlignment="1">
      <alignment horizontal="center"/>
    </xf>
    <xf numFmtId="166" fontId="29" fillId="0" borderId="14" xfId="1" applyNumberFormat="1" applyFont="1" applyBorder="1" applyAlignment="1">
      <alignment horizontal="center"/>
    </xf>
    <xf numFmtId="49" fontId="31" fillId="0" borderId="14" xfId="1" applyNumberFormat="1" applyFont="1" applyBorder="1" applyAlignment="1">
      <alignment horizontal="center"/>
    </xf>
    <xf numFmtId="49" fontId="31" fillId="0" borderId="14" xfId="1" applyNumberFormat="1" applyFont="1" applyBorder="1"/>
    <xf numFmtId="16" fontId="31" fillId="0" borderId="14" xfId="1" applyNumberFormat="1" applyFont="1" applyBorder="1" applyAlignment="1">
      <alignment horizontal="center"/>
    </xf>
    <xf numFmtId="1" fontId="31" fillId="0" borderId="11" xfId="1" applyNumberFormat="1" applyFont="1" applyBorder="1" applyAlignment="1">
      <alignment horizontal="center"/>
    </xf>
    <xf numFmtId="0" fontId="31" fillId="0" borderId="11" xfId="1" applyFont="1" applyBorder="1" applyAlignment="1">
      <alignment horizontal="center"/>
    </xf>
    <xf numFmtId="167" fontId="29" fillId="4" borderId="14" xfId="10" applyNumberFormat="1" applyFont="1" applyFill="1" applyBorder="1" applyAlignment="1">
      <alignment horizontal="center"/>
    </xf>
    <xf numFmtId="0" fontId="31" fillId="0" borderId="14" xfId="0" applyFont="1" applyBorder="1" applyAlignment="1">
      <alignment horizontal="center" vertical="center"/>
    </xf>
    <xf numFmtId="0" fontId="31" fillId="0" borderId="14" xfId="0" applyFont="1" applyBorder="1" applyAlignment="1">
      <alignment horizontal="left" vertical="center"/>
    </xf>
    <xf numFmtId="0" fontId="31" fillId="0" borderId="26" xfId="0" applyFont="1" applyBorder="1" applyAlignment="1">
      <alignment horizontal="center"/>
    </xf>
    <xf numFmtId="1" fontId="31" fillId="0" borderId="14" xfId="0" applyNumberFormat="1" applyFont="1" applyBorder="1" applyAlignment="1">
      <alignment horizontal="left" vertical="center"/>
    </xf>
    <xf numFmtId="12" fontId="31" fillId="0" borderId="14" xfId="1" applyNumberFormat="1" applyFont="1" applyBorder="1" applyAlignment="1">
      <alignment horizontal="center"/>
    </xf>
    <xf numFmtId="0" fontId="31" fillId="4" borderId="15" xfId="0" applyFont="1" applyFill="1" applyBorder="1" applyAlignment="1">
      <alignment horizontal="center"/>
    </xf>
    <xf numFmtId="0" fontId="33" fillId="4" borderId="0" xfId="0" applyFont="1" applyFill="1" applyAlignment="1">
      <alignment horizontal="center"/>
    </xf>
    <xf numFmtId="1" fontId="31" fillId="4" borderId="14" xfId="0" applyNumberFormat="1" applyFont="1" applyFill="1" applyBorder="1"/>
    <xf numFmtId="0" fontId="31" fillId="4" borderId="14" xfId="0" applyFont="1" applyFill="1" applyBorder="1" applyAlignment="1">
      <alignment horizontal="center"/>
    </xf>
    <xf numFmtId="0" fontId="31" fillId="4" borderId="14" xfId="0" applyFont="1" applyFill="1" applyBorder="1" applyAlignment="1">
      <alignment horizontal="center" wrapText="1"/>
    </xf>
    <xf numFmtId="1" fontId="31" fillId="0" borderId="14" xfId="1" applyNumberFormat="1" applyFont="1" applyBorder="1" applyAlignment="1">
      <alignment horizontal="center"/>
    </xf>
    <xf numFmtId="49" fontId="34" fillId="3" borderId="20" xfId="1" applyNumberFormat="1" applyFont="1" applyFill="1" applyBorder="1" applyAlignment="1">
      <alignment horizontal="center" vertical="center"/>
    </xf>
    <xf numFmtId="49" fontId="34" fillId="3" borderId="0" xfId="1" applyNumberFormat="1" applyFont="1" applyFill="1" applyAlignment="1">
      <alignment horizontal="center" vertical="center"/>
    </xf>
    <xf numFmtId="0" fontId="31" fillId="3" borderId="0" xfId="1" applyFont="1" applyFill="1"/>
    <xf numFmtId="1" fontId="31" fillId="3" borderId="0" xfId="1" applyNumberFormat="1" applyFont="1" applyFill="1" applyAlignment="1">
      <alignment horizontal="center"/>
    </xf>
    <xf numFmtId="164" fontId="31" fillId="3" borderId="0" xfId="1" applyNumberFormat="1" applyFont="1" applyFill="1" applyAlignment="1">
      <alignment horizontal="center" wrapText="1"/>
    </xf>
    <xf numFmtId="0" fontId="31" fillId="3" borderId="19" xfId="1" applyFont="1" applyFill="1" applyBorder="1" applyAlignment="1">
      <alignment horizontal="center"/>
    </xf>
    <xf numFmtId="0" fontId="31" fillId="2" borderId="40" xfId="1" applyFont="1" applyFill="1" applyBorder="1" applyAlignment="1">
      <alignment horizontal="center"/>
    </xf>
    <xf numFmtId="0" fontId="31" fillId="2" borderId="35" xfId="1" applyFont="1" applyFill="1" applyBorder="1" applyAlignment="1">
      <alignment horizontal="center"/>
    </xf>
    <xf numFmtId="0" fontId="31" fillId="2" borderId="35" xfId="1" applyFont="1" applyFill="1" applyBorder="1"/>
    <xf numFmtId="0" fontId="29" fillId="2" borderId="35" xfId="1" applyFont="1" applyFill="1" applyBorder="1" applyAlignment="1">
      <alignment horizontal="center"/>
    </xf>
    <xf numFmtId="1" fontId="29" fillId="2" borderId="35" xfId="1" applyNumberFormat="1" applyFont="1" applyFill="1" applyBorder="1" applyAlignment="1">
      <alignment horizontal="center"/>
    </xf>
    <xf numFmtId="164" fontId="31" fillId="2" borderId="35" xfId="1" applyNumberFormat="1" applyFont="1" applyFill="1" applyBorder="1" applyAlignment="1">
      <alignment horizontal="center" wrapText="1"/>
    </xf>
    <xf numFmtId="0" fontId="31" fillId="2" borderId="36" xfId="1" applyFont="1" applyFill="1" applyBorder="1" applyAlignment="1">
      <alignment horizontal="center"/>
    </xf>
    <xf numFmtId="0" fontId="31" fillId="0" borderId="25" xfId="0" applyFont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4" xfId="0" applyFont="1" applyBorder="1" applyAlignment="1">
      <alignment horizontal="left"/>
    </xf>
    <xf numFmtId="0" fontId="2" fillId="0" borderId="14" xfId="0" applyFont="1" applyBorder="1"/>
    <xf numFmtId="16" fontId="9" fillId="0" borderId="14" xfId="0" applyNumberFormat="1" applyFont="1" applyBorder="1" applyAlignment="1">
      <alignment horizontal="center"/>
    </xf>
    <xf numFmtId="1" fontId="9" fillId="0" borderId="11" xfId="1" applyNumberFormat="1" applyFont="1" applyBorder="1" applyAlignment="1">
      <alignment horizontal="center"/>
    </xf>
    <xf numFmtId="12" fontId="10" fillId="0" borderId="11" xfId="0" applyNumberFormat="1" applyFont="1" applyBorder="1" applyAlignment="1">
      <alignment horizontal="center"/>
    </xf>
    <xf numFmtId="166" fontId="9" fillId="0" borderId="14" xfId="1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2" fontId="7" fillId="0" borderId="14" xfId="1" applyNumberFormat="1" applyFont="1" applyBorder="1" applyAlignment="1">
      <alignment horizontal="center"/>
    </xf>
    <xf numFmtId="0" fontId="35" fillId="4" borderId="14" xfId="0" applyFont="1" applyFill="1" applyBorder="1" applyAlignment="1">
      <alignment horizontal="center"/>
    </xf>
    <xf numFmtId="0" fontId="36" fillId="4" borderId="14" xfId="0" applyFont="1" applyFill="1" applyBorder="1" applyAlignment="1">
      <alignment vertical="center"/>
    </xf>
    <xf numFmtId="0" fontId="10" fillId="4" borderId="14" xfId="0" applyFont="1" applyFill="1" applyBorder="1" applyAlignment="1">
      <alignment horizontal="center"/>
    </xf>
    <xf numFmtId="1" fontId="5" fillId="4" borderId="14" xfId="0" applyNumberFormat="1" applyFont="1" applyFill="1" applyBorder="1" applyAlignment="1">
      <alignment horizontal="center"/>
    </xf>
    <xf numFmtId="1" fontId="10" fillId="4" borderId="14" xfId="0" applyNumberFormat="1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2" fillId="4" borderId="14" xfId="0" applyFont="1" applyFill="1" applyBorder="1"/>
    <xf numFmtId="16" fontId="10" fillId="4" borderId="14" xfId="0" applyNumberFormat="1" applyFont="1" applyFill="1" applyBorder="1" applyAlignment="1">
      <alignment horizontal="center"/>
    </xf>
    <xf numFmtId="0" fontId="37" fillId="4" borderId="14" xfId="0" applyFont="1" applyFill="1" applyBorder="1" applyAlignment="1">
      <alignment horizontal="center" vertical="center"/>
    </xf>
    <xf numFmtId="0" fontId="37" fillId="8" borderId="14" xfId="0" applyFont="1" applyFill="1" applyBorder="1"/>
    <xf numFmtId="0" fontId="10" fillId="4" borderId="8" xfId="0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10" fillId="0" borderId="14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1" fontId="10" fillId="0" borderId="14" xfId="0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4" xfId="0" applyFont="1" applyFill="1" applyBorder="1"/>
    <xf numFmtId="0" fontId="9" fillId="4" borderId="1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67" fontId="5" fillId="4" borderId="14" xfId="10" applyNumberFormat="1" applyFont="1" applyFill="1" applyBorder="1" applyAlignment="1">
      <alignment horizontal="center"/>
    </xf>
    <xf numFmtId="12" fontId="9" fillId="0" borderId="14" xfId="1" applyNumberFormat="1" applyFont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3" borderId="16" xfId="2" applyFont="1" applyFill="1" applyBorder="1" applyAlignment="1">
      <alignment horizontal="center"/>
    </xf>
    <xf numFmtId="1" fontId="0" fillId="0" borderId="14" xfId="0" applyNumberFormat="1" applyBorder="1"/>
    <xf numFmtId="0" fontId="4" fillId="0" borderId="14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4" fillId="4" borderId="14" xfId="1" applyFont="1" applyFill="1" applyBorder="1" applyAlignment="1">
      <alignment horizontal="center"/>
    </xf>
    <xf numFmtId="1" fontId="0" fillId="0" borderId="8" xfId="0" applyNumberFormat="1" applyBorder="1"/>
    <xf numFmtId="0" fontId="27" fillId="4" borderId="15" xfId="0" applyFont="1" applyFill="1" applyBorder="1" applyAlignment="1">
      <alignment horizontal="center"/>
    </xf>
    <xf numFmtId="0" fontId="27" fillId="4" borderId="12" xfId="0" applyFont="1" applyFill="1" applyBorder="1" applyAlignment="1">
      <alignment horizontal="center"/>
    </xf>
    <xf numFmtId="0" fontId="27" fillId="4" borderId="11" xfId="0" applyFont="1" applyFill="1" applyBorder="1"/>
    <xf numFmtId="49" fontId="14" fillId="0" borderId="15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39" fillId="0" borderId="1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4" fillId="0" borderId="14" xfId="0" quotePrefix="1" applyFont="1" applyBorder="1" applyAlignment="1">
      <alignment horizontal="center"/>
    </xf>
    <xf numFmtId="0" fontId="4" fillId="0" borderId="14" xfId="0" quotePrefix="1" applyFont="1" applyBorder="1"/>
    <xf numFmtId="1" fontId="31" fillId="0" borderId="14" xfId="0" applyNumberFormat="1" applyFont="1" applyBorder="1"/>
    <xf numFmtId="1" fontId="31" fillId="0" borderId="14" xfId="0" applyNumberFormat="1" applyFont="1" applyBorder="1" applyAlignment="1">
      <alignment horizontal="center" vertical="center"/>
    </xf>
    <xf numFmtId="1" fontId="31" fillId="0" borderId="14" xfId="0" applyNumberFormat="1" applyFont="1" applyBorder="1" applyAlignment="1">
      <alignment horizontal="center" vertical="center" wrapText="1"/>
    </xf>
    <xf numFmtId="0" fontId="31" fillId="0" borderId="52" xfId="1" applyFont="1" applyBorder="1" applyAlignment="1">
      <alignment horizontal="center" vertical="center"/>
    </xf>
    <xf numFmtId="0" fontId="31" fillId="0" borderId="14" xfId="1" applyFont="1" applyBorder="1" applyAlignment="1">
      <alignment horizontal="center" vertical="center"/>
    </xf>
    <xf numFmtId="0" fontId="31" fillId="0" borderId="53" xfId="1" applyFont="1" applyBorder="1" applyAlignment="1">
      <alignment horizontal="left" vertical="center"/>
    </xf>
    <xf numFmtId="16" fontId="31" fillId="0" borderId="11" xfId="1" applyNumberFormat="1" applyFont="1" applyBorder="1" applyAlignment="1">
      <alignment horizontal="center"/>
    </xf>
    <xf numFmtId="43" fontId="0" fillId="0" borderId="0" xfId="10" applyFont="1"/>
    <xf numFmtId="0" fontId="31" fillId="0" borderId="9" xfId="1" quotePrefix="1" applyFont="1" applyBorder="1" applyAlignment="1">
      <alignment horizontal="center"/>
    </xf>
    <xf numFmtId="0" fontId="31" fillId="0" borderId="14" xfId="1" quotePrefix="1" applyFont="1" applyBorder="1" applyAlignment="1">
      <alignment horizontal="center"/>
    </xf>
    <xf numFmtId="0" fontId="31" fillId="0" borderId="8" xfId="1" quotePrefix="1" applyFont="1" applyBorder="1"/>
    <xf numFmtId="0" fontId="34" fillId="0" borderId="14" xfId="0" applyFont="1" applyBorder="1" applyAlignment="1">
      <alignment horizontal="center" vertical="center"/>
    </xf>
    <xf numFmtId="0" fontId="29" fillId="0" borderId="14" xfId="0" applyFont="1" applyBorder="1"/>
    <xf numFmtId="49" fontId="31" fillId="0" borderId="15" xfId="0" applyNumberFormat="1" applyFont="1" applyBorder="1" applyAlignment="1">
      <alignment horizontal="center"/>
    </xf>
    <xf numFmtId="49" fontId="31" fillId="0" borderId="8" xfId="0" applyNumberFormat="1" applyFont="1" applyBorder="1" applyAlignment="1">
      <alignment horizontal="center"/>
    </xf>
    <xf numFmtId="49" fontId="29" fillId="0" borderId="14" xfId="0" applyNumberFormat="1" applyFont="1" applyBorder="1"/>
    <xf numFmtId="167" fontId="29" fillId="4" borderId="14" xfId="11" applyNumberFormat="1" applyFont="1" applyFill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14" xfId="0" applyFont="1" applyBorder="1"/>
    <xf numFmtId="0" fontId="31" fillId="0" borderId="14" xfId="0" quotePrefix="1" applyFont="1" applyBorder="1" applyAlignment="1">
      <alignment horizontal="center"/>
    </xf>
    <xf numFmtId="0" fontId="31" fillId="0" borderId="14" xfId="0" quotePrefix="1" applyFont="1" applyBorder="1"/>
    <xf numFmtId="49" fontId="31" fillId="0" borderId="14" xfId="0" applyNumberFormat="1" applyFont="1" applyBorder="1" applyAlignment="1">
      <alignment horizontal="center"/>
    </xf>
    <xf numFmtId="49" fontId="31" fillId="0" borderId="14" xfId="0" applyNumberFormat="1" applyFont="1" applyBorder="1"/>
    <xf numFmtId="0" fontId="6" fillId="7" borderId="16" xfId="0" applyFont="1" applyFill="1" applyBorder="1" applyAlignment="1">
      <alignment horizontal="left"/>
    </xf>
    <xf numFmtId="0" fontId="17" fillId="0" borderId="14" xfId="0" applyFont="1" applyBorder="1"/>
    <xf numFmtId="0" fontId="14" fillId="0" borderId="14" xfId="0" applyFont="1" applyBorder="1" applyAlignment="1">
      <alignment horizontal="center" wrapText="1"/>
    </xf>
    <xf numFmtId="1" fontId="6" fillId="4" borderId="54" xfId="1" applyNumberFormat="1" applyFont="1" applyFill="1" applyBorder="1" applyAlignment="1">
      <alignment horizontal="center" wrapText="1"/>
    </xf>
    <xf numFmtId="0" fontId="1" fillId="0" borderId="14" xfId="0" applyFont="1" applyBorder="1"/>
    <xf numFmtId="0" fontId="1" fillId="0" borderId="11" xfId="0" applyFont="1" applyBorder="1" applyAlignment="1">
      <alignment horizontal="center"/>
    </xf>
    <xf numFmtId="0" fontId="1" fillId="0" borderId="14" xfId="1" applyBorder="1" applyAlignment="1">
      <alignment horizontal="center"/>
    </xf>
    <xf numFmtId="2" fontId="16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1" fillId="0" borderId="15" xfId="4" applyBorder="1" applyAlignment="1">
      <alignment horizontal="center"/>
    </xf>
    <xf numFmtId="0" fontId="1" fillId="4" borderId="14" xfId="4" applyFill="1" applyBorder="1"/>
    <xf numFmtId="16" fontId="14" fillId="0" borderId="14" xfId="4" applyNumberFormat="1" applyFont="1" applyBorder="1" applyAlignment="1">
      <alignment horizontal="center"/>
    </xf>
    <xf numFmtId="0" fontId="1" fillId="0" borderId="14" xfId="4" applyBorder="1" applyAlignment="1">
      <alignment horizontal="center"/>
    </xf>
    <xf numFmtId="1" fontId="14" fillId="0" borderId="14" xfId="4" applyNumberFormat="1" applyFont="1" applyBorder="1" applyAlignment="1">
      <alignment horizontal="center"/>
    </xf>
    <xf numFmtId="1" fontId="14" fillId="0" borderId="14" xfId="4" applyNumberFormat="1" applyFont="1" applyBorder="1" applyAlignment="1">
      <alignment horizontal="center" wrapText="1"/>
    </xf>
    <xf numFmtId="0" fontId="21" fillId="0" borderId="48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19" fillId="0" borderId="11" xfId="1" applyFont="1" applyBorder="1"/>
    <xf numFmtId="0" fontId="19" fillId="0" borderId="11" xfId="1" applyFont="1" applyBorder="1" applyAlignment="1">
      <alignment horizontal="center"/>
    </xf>
    <xf numFmtId="1" fontId="19" fillId="0" borderId="14" xfId="1" applyNumberFormat="1" applyFont="1" applyBorder="1" applyAlignment="1">
      <alignment horizontal="center" wrapText="1"/>
    </xf>
    <xf numFmtId="1" fontId="6" fillId="4" borderId="14" xfId="1" applyNumberFormat="1" applyFont="1" applyFill="1" applyBorder="1" applyAlignment="1">
      <alignment horizontal="center" wrapText="1"/>
    </xf>
    <xf numFmtId="0" fontId="15" fillId="0" borderId="15" xfId="0" quotePrefix="1" applyFont="1" applyBorder="1" applyAlignment="1">
      <alignment horizontal="center"/>
    </xf>
    <xf numFmtId="0" fontId="15" fillId="0" borderId="8" xfId="0" quotePrefix="1" applyFont="1" applyBorder="1" applyAlignment="1">
      <alignment horizontal="center"/>
    </xf>
    <xf numFmtId="0" fontId="41" fillId="0" borderId="14" xfId="0" quotePrefix="1" applyFont="1" applyBorder="1"/>
    <xf numFmtId="0" fontId="6" fillId="4" borderId="14" xfId="0" applyFont="1" applyFill="1" applyBorder="1" applyAlignment="1">
      <alignment horizontal="center" vertical="center"/>
    </xf>
    <xf numFmtId="1" fontId="4" fillId="4" borderId="14" xfId="0" applyNumberFormat="1" applyFont="1" applyFill="1" applyBorder="1" applyAlignment="1">
      <alignment horizontal="center"/>
    </xf>
    <xf numFmtId="49" fontId="14" fillId="4" borderId="15" xfId="1" applyNumberFormat="1" applyFont="1" applyFill="1" applyBorder="1" applyAlignment="1">
      <alignment horizontal="center"/>
    </xf>
    <xf numFmtId="49" fontId="14" fillId="4" borderId="8" xfId="1" applyNumberFormat="1" applyFont="1" applyFill="1" applyBorder="1" applyAlignment="1">
      <alignment horizontal="center"/>
    </xf>
    <xf numFmtId="49" fontId="17" fillId="4" borderId="14" xfId="1" applyNumberFormat="1" applyFont="1" applyFill="1" applyBorder="1"/>
    <xf numFmtId="0" fontId="1" fillId="0" borderId="0" xfId="1"/>
    <xf numFmtId="0" fontId="4" fillId="3" borderId="0" xfId="1" applyFont="1" applyFill="1" applyAlignment="1">
      <alignment horizontal="left" indent="1"/>
    </xf>
    <xf numFmtId="9" fontId="4" fillId="3" borderId="0" xfId="9" applyFont="1" applyFill="1"/>
    <xf numFmtId="0" fontId="4" fillId="7" borderId="16" xfId="0" applyFont="1" applyFill="1" applyBorder="1" applyAlignment="1">
      <alignment horizontal="center"/>
    </xf>
    <xf numFmtId="0" fontId="24" fillId="0" borderId="15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43" fillId="0" borderId="14" xfId="1" applyFont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1" fontId="24" fillId="0" borderId="14" xfId="1" applyNumberFormat="1" applyFont="1" applyBorder="1" applyAlignment="1">
      <alignment horizontal="center"/>
    </xf>
    <xf numFmtId="1" fontId="24" fillId="0" borderId="14" xfId="1" applyNumberFormat="1" applyFont="1" applyBorder="1" applyAlignment="1">
      <alignment horizontal="center" wrapText="1"/>
    </xf>
    <xf numFmtId="0" fontId="44" fillId="0" borderId="13" xfId="1" applyFont="1" applyBorder="1" applyAlignment="1">
      <alignment horizontal="center"/>
    </xf>
    <xf numFmtId="0" fontId="44" fillId="0" borderId="55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4" fillId="0" borderId="56" xfId="0" applyFont="1" applyBorder="1" applyAlignment="1">
      <alignment horizontal="left" vertical="center"/>
    </xf>
    <xf numFmtId="0" fontId="45" fillId="0" borderId="14" xfId="0" applyFont="1" applyBorder="1" applyAlignment="1">
      <alignment horizontal="center" vertical="top"/>
    </xf>
    <xf numFmtId="0" fontId="44" fillId="7" borderId="14" xfId="0" applyFont="1" applyFill="1" applyBorder="1" applyAlignment="1">
      <alignment horizontal="center"/>
    </xf>
    <xf numFmtId="0" fontId="44" fillId="7" borderId="14" xfId="0" applyFont="1" applyFill="1" applyBorder="1" applyAlignment="1">
      <alignment horizontal="center" wrapText="1"/>
    </xf>
    <xf numFmtId="0" fontId="46" fillId="0" borderId="14" xfId="3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44" fillId="0" borderId="14" xfId="0" applyFont="1" applyBorder="1" applyAlignment="1">
      <alignment horizontal="left"/>
    </xf>
    <xf numFmtId="165" fontId="44" fillId="0" borderId="11" xfId="0" applyNumberFormat="1" applyFont="1" applyBorder="1" applyAlignment="1">
      <alignment horizontal="center" wrapText="1"/>
    </xf>
    <xf numFmtId="0" fontId="45" fillId="0" borderId="14" xfId="0" applyFont="1" applyBorder="1" applyAlignment="1">
      <alignment vertical="top"/>
    </xf>
    <xf numFmtId="0" fontId="44" fillId="7" borderId="11" xfId="0" applyFont="1" applyFill="1" applyBorder="1" applyAlignment="1">
      <alignment horizontal="center"/>
    </xf>
    <xf numFmtId="0" fontId="44" fillId="7" borderId="11" xfId="0" applyFont="1" applyFill="1" applyBorder="1" applyAlignment="1">
      <alignment horizontal="center" wrapText="1"/>
    </xf>
    <xf numFmtId="0" fontId="44" fillId="0" borderId="14" xfId="0" applyFont="1" applyBorder="1" applyAlignment="1">
      <alignment horizontal="center" vertical="top" wrapText="1"/>
    </xf>
    <xf numFmtId="0" fontId="44" fillId="0" borderId="14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wrapText="1"/>
    </xf>
    <xf numFmtId="0" fontId="44" fillId="0" borderId="14" xfId="0" applyFont="1" applyBorder="1"/>
    <xf numFmtId="0" fontId="44" fillId="4" borderId="15" xfId="1" applyFont="1" applyFill="1" applyBorder="1" applyAlignment="1">
      <alignment horizontal="right"/>
    </xf>
    <xf numFmtId="0" fontId="44" fillId="4" borderId="8" xfId="1" applyFont="1" applyFill="1" applyBorder="1" applyAlignment="1">
      <alignment horizontal="center"/>
    </xf>
    <xf numFmtId="0" fontId="44" fillId="4" borderId="14" xfId="1" applyFont="1" applyFill="1" applyBorder="1"/>
    <xf numFmtId="0" fontId="44" fillId="4" borderId="11" xfId="1" applyFont="1" applyFill="1" applyBorder="1" applyAlignment="1">
      <alignment horizontal="center"/>
    </xf>
    <xf numFmtId="0" fontId="44" fillId="0" borderId="11" xfId="1" applyFont="1" applyBorder="1" applyAlignment="1">
      <alignment horizontal="center"/>
    </xf>
    <xf numFmtId="0" fontId="44" fillId="4" borderId="14" xfId="1" applyFont="1" applyFill="1" applyBorder="1" applyAlignment="1">
      <alignment horizontal="center"/>
    </xf>
    <xf numFmtId="0" fontId="46" fillId="4" borderId="15" xfId="5" applyFont="1" applyFill="1" applyBorder="1" applyAlignment="1">
      <alignment horizontal="center"/>
    </xf>
    <xf numFmtId="0" fontId="46" fillId="4" borderId="8" xfId="5" applyFont="1" applyFill="1" applyBorder="1" applyAlignment="1">
      <alignment horizontal="center"/>
    </xf>
    <xf numFmtId="0" fontId="46" fillId="4" borderId="14" xfId="5" applyFont="1" applyFill="1" applyBorder="1"/>
    <xf numFmtId="0" fontId="46" fillId="0" borderId="14" xfId="5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/>
    </xf>
    <xf numFmtId="1" fontId="44" fillId="0" borderId="14" xfId="1" applyNumberFormat="1" applyFont="1" applyBorder="1" applyAlignment="1">
      <alignment horizontal="center" wrapText="1"/>
    </xf>
    <xf numFmtId="1" fontId="44" fillId="0" borderId="11" xfId="0" applyNumberFormat="1" applyFont="1" applyBorder="1" applyAlignment="1">
      <alignment horizontal="center" wrapText="1"/>
    </xf>
    <xf numFmtId="49" fontId="44" fillId="0" borderId="15" xfId="12" applyNumberFormat="1" applyFont="1" applyBorder="1" applyAlignment="1">
      <alignment horizontal="center"/>
    </xf>
    <xf numFmtId="49" fontId="44" fillId="0" borderId="8" xfId="12" applyNumberFormat="1" applyFont="1" applyBorder="1" applyAlignment="1">
      <alignment horizontal="center"/>
    </xf>
    <xf numFmtId="49" fontId="44" fillId="0" borderId="14" xfId="12" applyNumberFormat="1" applyFont="1" applyBorder="1"/>
    <xf numFmtId="0" fontId="44" fillId="0" borderId="14" xfId="12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2" fontId="44" fillId="0" borderId="11" xfId="1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0" fontId="46" fillId="0" borderId="14" xfId="0" applyFont="1" applyBorder="1" applyAlignment="1">
      <alignment horizontal="center"/>
    </xf>
    <xf numFmtId="0" fontId="46" fillId="4" borderId="14" xfId="0" applyFont="1" applyFill="1" applyBorder="1"/>
    <xf numFmtId="49" fontId="44" fillId="0" borderId="15" xfId="1" applyNumberFormat="1" applyFont="1" applyBorder="1" applyAlignment="1">
      <alignment horizontal="center"/>
    </xf>
    <xf numFmtId="49" fontId="44" fillId="0" borderId="8" xfId="1" applyNumberFormat="1" applyFont="1" applyBorder="1" applyAlignment="1">
      <alignment horizontal="center"/>
    </xf>
    <xf numFmtId="0" fontId="24" fillId="4" borderId="14" xfId="1" applyFont="1" applyFill="1" applyBorder="1" applyAlignment="1">
      <alignment horizontal="left"/>
    </xf>
    <xf numFmtId="0" fontId="44" fillId="0" borderId="14" xfId="1" applyFont="1" applyBorder="1" applyAlignment="1">
      <alignment horizontal="center"/>
    </xf>
    <xf numFmtId="166" fontId="44" fillId="0" borderId="14" xfId="1" applyNumberFormat="1" applyFont="1" applyBorder="1" applyAlignment="1">
      <alignment horizontal="center"/>
    </xf>
    <xf numFmtId="0" fontId="44" fillId="0" borderId="15" xfId="4" applyFont="1" applyBorder="1" applyAlignment="1">
      <alignment horizontal="center"/>
    </xf>
    <xf numFmtId="0" fontId="44" fillId="4" borderId="14" xfId="4" applyFont="1" applyFill="1" applyBorder="1"/>
    <xf numFmtId="16" fontId="44" fillId="0" borderId="14" xfId="4" applyNumberFormat="1" applyFont="1" applyBorder="1" applyAlignment="1">
      <alignment horizontal="center"/>
    </xf>
    <xf numFmtId="0" fontId="44" fillId="0" borderId="14" xfId="4" applyFont="1" applyBorder="1" applyAlignment="1">
      <alignment horizontal="center"/>
    </xf>
    <xf numFmtId="16" fontId="44" fillId="0" borderId="14" xfId="0" applyNumberFormat="1" applyFont="1" applyBorder="1" applyAlignment="1">
      <alignment horizontal="center"/>
    </xf>
    <xf numFmtId="1" fontId="44" fillId="0" borderId="14" xfId="4" applyNumberFormat="1" applyFont="1" applyBorder="1" applyAlignment="1">
      <alignment horizontal="center"/>
    </xf>
    <xf numFmtId="1" fontId="44" fillId="0" borderId="14" xfId="4" applyNumberFormat="1" applyFont="1" applyBorder="1" applyAlignment="1">
      <alignment horizontal="center" wrapText="1"/>
    </xf>
    <xf numFmtId="49" fontId="24" fillId="0" borderId="7" xfId="1" applyNumberFormat="1" applyFont="1" applyBorder="1" applyAlignment="1">
      <alignment horizontal="center"/>
    </xf>
    <xf numFmtId="49" fontId="24" fillId="0" borderId="6" xfId="1" applyNumberFormat="1" applyFont="1" applyBorder="1" applyAlignment="1">
      <alignment horizontal="center"/>
    </xf>
    <xf numFmtId="0" fontId="43" fillId="4" borderId="14" xfId="1" applyFont="1" applyFill="1" applyBorder="1" applyAlignment="1">
      <alignment vertical="center"/>
    </xf>
    <xf numFmtId="0" fontId="24" fillId="0" borderId="8" xfId="1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6" fillId="4" borderId="15" xfId="1" applyFont="1" applyFill="1" applyBorder="1" applyAlignment="1">
      <alignment horizontal="center"/>
    </xf>
    <xf numFmtId="0" fontId="46" fillId="4" borderId="8" xfId="1" applyFont="1" applyFill="1" applyBorder="1" applyAlignment="1">
      <alignment horizontal="center"/>
    </xf>
    <xf numFmtId="0" fontId="44" fillId="4" borderId="14" xfId="1" applyFont="1" applyFill="1" applyBorder="1" applyAlignment="1">
      <alignment horizontal="left"/>
    </xf>
    <xf numFmtId="0" fontId="44" fillId="0" borderId="14" xfId="1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 vertical="center" wrapText="1"/>
    </xf>
    <xf numFmtId="2" fontId="44" fillId="0" borderId="14" xfId="1" applyNumberFormat="1" applyFont="1" applyBorder="1" applyAlignment="1">
      <alignment horizontal="center"/>
    </xf>
    <xf numFmtId="0" fontId="46" fillId="0" borderId="15" xfId="5" applyFont="1" applyBorder="1" applyAlignment="1">
      <alignment horizontal="center"/>
    </xf>
    <xf numFmtId="0" fontId="46" fillId="0" borderId="8" xfId="5" applyFont="1" applyBorder="1" applyAlignment="1">
      <alignment horizontal="center"/>
    </xf>
    <xf numFmtId="0" fontId="46" fillId="0" borderId="14" xfId="5" applyFont="1" applyBorder="1"/>
    <xf numFmtId="1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 wrapText="1"/>
    </xf>
    <xf numFmtId="0" fontId="46" fillId="4" borderId="14" xfId="0" applyFont="1" applyFill="1" applyBorder="1" applyAlignment="1">
      <alignment horizontal="center"/>
    </xf>
    <xf numFmtId="49" fontId="44" fillId="4" borderId="15" xfId="1" applyNumberFormat="1" applyFont="1" applyFill="1" applyBorder="1" applyAlignment="1">
      <alignment horizontal="center"/>
    </xf>
    <xf numFmtId="49" fontId="44" fillId="4" borderId="8" xfId="1" applyNumberFormat="1" applyFont="1" applyFill="1" applyBorder="1" applyAlignment="1">
      <alignment horizontal="center"/>
    </xf>
    <xf numFmtId="49" fontId="44" fillId="4" borderId="14" xfId="1" applyNumberFormat="1" applyFont="1" applyFill="1" applyBorder="1"/>
    <xf numFmtId="12" fontId="44" fillId="0" borderId="14" xfId="1" applyNumberFormat="1" applyFont="1" applyBorder="1" applyAlignment="1">
      <alignment horizontal="center"/>
    </xf>
    <xf numFmtId="49" fontId="44" fillId="0" borderId="14" xfId="1" applyNumberFormat="1" applyFont="1" applyBorder="1"/>
    <xf numFmtId="49" fontId="47" fillId="3" borderId="20" xfId="1" applyNumberFormat="1" applyFont="1" applyFill="1" applyBorder="1" applyAlignment="1">
      <alignment horizontal="center" vertical="center"/>
    </xf>
    <xf numFmtId="49" fontId="47" fillId="3" borderId="0" xfId="1" applyNumberFormat="1" applyFont="1" applyFill="1" applyAlignment="1">
      <alignment horizontal="center" vertical="center"/>
    </xf>
    <xf numFmtId="0" fontId="44" fillId="3" borderId="0" xfId="1" applyFont="1" applyFill="1"/>
    <xf numFmtId="1" fontId="44" fillId="3" borderId="0" xfId="1" applyNumberFormat="1" applyFont="1" applyFill="1" applyAlignment="1">
      <alignment horizontal="center"/>
    </xf>
    <xf numFmtId="164" fontId="44" fillId="3" borderId="0" xfId="1" applyNumberFormat="1" applyFont="1" applyFill="1" applyAlignment="1">
      <alignment horizontal="center" wrapText="1"/>
    </xf>
    <xf numFmtId="0" fontId="44" fillId="3" borderId="19" xfId="1" applyFont="1" applyFill="1" applyBorder="1" applyAlignment="1">
      <alignment horizontal="center"/>
    </xf>
    <xf numFmtId="0" fontId="44" fillId="2" borderId="40" xfId="1" applyFont="1" applyFill="1" applyBorder="1" applyAlignment="1">
      <alignment horizontal="center"/>
    </xf>
    <xf numFmtId="0" fontId="44" fillId="2" borderId="35" xfId="1" applyFont="1" applyFill="1" applyBorder="1" applyAlignment="1">
      <alignment horizontal="center"/>
    </xf>
    <xf numFmtId="0" fontId="44" fillId="2" borderId="35" xfId="1" applyFont="1" applyFill="1" applyBorder="1"/>
    <xf numFmtId="0" fontId="24" fillId="2" borderId="35" xfId="1" applyFont="1" applyFill="1" applyBorder="1" applyAlignment="1">
      <alignment horizontal="center"/>
    </xf>
    <xf numFmtId="1" fontId="24" fillId="2" borderId="35" xfId="1" applyNumberFormat="1" applyFont="1" applyFill="1" applyBorder="1" applyAlignment="1">
      <alignment horizontal="center"/>
    </xf>
    <xf numFmtId="164" fontId="44" fillId="2" borderId="35" xfId="1" applyNumberFormat="1" applyFont="1" applyFill="1" applyBorder="1" applyAlignment="1">
      <alignment horizontal="center" wrapText="1"/>
    </xf>
    <xf numFmtId="0" fontId="44" fillId="2" borderId="36" xfId="1" applyFont="1" applyFill="1" applyBorder="1" applyAlignment="1">
      <alignment horizontal="center"/>
    </xf>
    <xf numFmtId="1" fontId="44" fillId="0" borderId="11" xfId="0" applyNumberFormat="1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" fontId="44" fillId="0" borderId="2" xfId="0" applyNumberFormat="1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6" xfId="0" applyFont="1" applyBorder="1" applyAlignment="1">
      <alignment horizontal="left"/>
    </xf>
    <xf numFmtId="0" fontId="35" fillId="4" borderId="15" xfId="0" applyFont="1" applyFill="1" applyBorder="1" applyAlignment="1">
      <alignment horizontal="center"/>
    </xf>
    <xf numFmtId="0" fontId="35" fillId="4" borderId="11" xfId="0" applyFont="1" applyFill="1" applyBorder="1"/>
    <xf numFmtId="1" fontId="10" fillId="4" borderId="14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35" fillId="4" borderId="8" xfId="0" applyFont="1" applyFill="1" applyBorder="1" applyAlignment="1">
      <alignment horizontal="center"/>
    </xf>
    <xf numFmtId="0" fontId="35" fillId="4" borderId="14" xfId="0" applyFont="1" applyFill="1" applyBorder="1"/>
    <xf numFmtId="0" fontId="37" fillId="0" borderId="14" xfId="0" applyFont="1" applyBorder="1" applyAlignment="1">
      <alignment horizontal="center"/>
    </xf>
    <xf numFmtId="0" fontId="37" fillId="0" borderId="14" xfId="0" applyFont="1" applyBorder="1" applyAlignment="1">
      <alignment horizontal="center" vertical="center"/>
    </xf>
    <xf numFmtId="0" fontId="37" fillId="7" borderId="14" xfId="0" applyFont="1" applyFill="1" applyBorder="1"/>
    <xf numFmtId="0" fontId="10" fillId="0" borderId="14" xfId="0" applyFont="1" applyBorder="1" applyAlignment="1">
      <alignment horizontal="center" wrapText="1"/>
    </xf>
    <xf numFmtId="0" fontId="37" fillId="7" borderId="0" xfId="0" applyFont="1" applyFill="1" applyAlignment="1">
      <alignment horizontal="center"/>
    </xf>
    <xf numFmtId="0" fontId="37" fillId="7" borderId="0" xfId="0" applyFont="1" applyFill="1"/>
    <xf numFmtId="0" fontId="5" fillId="7" borderId="14" xfId="0" applyFont="1" applyFill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37" fillId="7" borderId="14" xfId="0" applyFont="1" applyFill="1" applyBorder="1" applyAlignment="1">
      <alignment horizontal="left" vertical="center"/>
    </xf>
    <xf numFmtId="0" fontId="35" fillId="4" borderId="12" xfId="0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 wrapText="1"/>
    </xf>
    <xf numFmtId="0" fontId="10" fillId="3" borderId="14" xfId="0" applyFont="1" applyFill="1" applyBorder="1" applyAlignment="1">
      <alignment horizontal="center"/>
    </xf>
    <xf numFmtId="167" fontId="5" fillId="4" borderId="14" xfId="11" applyNumberFormat="1" applyFont="1" applyFill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16" fontId="9" fillId="0" borderId="14" xfId="1" applyNumberFormat="1" applyFont="1" applyBorder="1" applyAlignment="1">
      <alignment horizontal="center"/>
    </xf>
    <xf numFmtId="1" fontId="10" fillId="0" borderId="11" xfId="1" applyNumberFormat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left" vertical="center"/>
    </xf>
    <xf numFmtId="1" fontId="9" fillId="4" borderId="14" xfId="0" applyNumberFormat="1" applyFont="1" applyFill="1" applyBorder="1"/>
    <xf numFmtId="0" fontId="23" fillId="3" borderId="17" xfId="2" applyFont="1" applyFill="1" applyBorder="1" applyAlignment="1">
      <alignment horizontal="right"/>
    </xf>
    <xf numFmtId="0" fontId="48" fillId="3" borderId="16" xfId="2" applyFont="1" applyFill="1" applyBorder="1" applyAlignment="1">
      <alignment horizontal="center"/>
    </xf>
    <xf numFmtId="0" fontId="23" fillId="3" borderId="14" xfId="2" applyFont="1" applyFill="1" applyBorder="1" applyAlignment="1">
      <alignment horizontal="right"/>
    </xf>
    <xf numFmtId="49" fontId="48" fillId="3" borderId="13" xfId="2" applyNumberFormat="1" applyFont="1" applyFill="1" applyBorder="1" applyAlignment="1">
      <alignment horizontal="center"/>
    </xf>
    <xf numFmtId="0" fontId="48" fillId="3" borderId="11" xfId="2" applyFont="1" applyFill="1" applyBorder="1" applyAlignment="1">
      <alignment horizontal="right"/>
    </xf>
    <xf numFmtId="0" fontId="48" fillId="3" borderId="14" xfId="2" applyFont="1" applyFill="1" applyBorder="1" applyAlignment="1">
      <alignment horizontal="right"/>
    </xf>
    <xf numFmtId="14" fontId="50" fillId="3" borderId="0" xfId="2" applyNumberFormat="1" applyFont="1" applyFill="1" applyAlignment="1">
      <alignment horizontal="center" vertical="center" wrapText="1"/>
    </xf>
    <xf numFmtId="0" fontId="23" fillId="2" borderId="16" xfId="1" applyFont="1" applyFill="1" applyBorder="1" applyAlignment="1">
      <alignment horizontal="center" vertical="center" wrapText="1"/>
    </xf>
    <xf numFmtId="1" fontId="23" fillId="2" borderId="2" xfId="1" applyNumberFormat="1" applyFont="1" applyFill="1" applyBorder="1" applyAlignment="1">
      <alignment horizontal="center"/>
    </xf>
    <xf numFmtId="1" fontId="23" fillId="2" borderId="2" xfId="1" applyNumberFormat="1" applyFont="1" applyFill="1" applyBorder="1" applyAlignment="1">
      <alignment horizontal="center" wrapText="1"/>
    </xf>
    <xf numFmtId="0" fontId="23" fillId="2" borderId="1" xfId="1" applyFont="1" applyFill="1" applyBorder="1" applyAlignment="1">
      <alignment horizontal="center"/>
    </xf>
    <xf numFmtId="0" fontId="51" fillId="0" borderId="15" xfId="1" applyFont="1" applyBorder="1" applyAlignment="1">
      <alignment horizontal="center" vertical="center"/>
    </xf>
    <xf numFmtId="0" fontId="51" fillId="0" borderId="8" xfId="1" applyFont="1" applyBorder="1" applyAlignment="1">
      <alignment horizontal="center" vertical="center"/>
    </xf>
    <xf numFmtId="0" fontId="52" fillId="0" borderId="14" xfId="1" applyFont="1" applyBorder="1" applyAlignment="1">
      <alignment vertical="center"/>
    </xf>
    <xf numFmtId="0" fontId="51" fillId="0" borderId="14" xfId="1" applyFont="1" applyBorder="1" applyAlignment="1">
      <alignment horizontal="center" vertical="center"/>
    </xf>
    <xf numFmtId="1" fontId="51" fillId="0" borderId="14" xfId="1" applyNumberFormat="1" applyFont="1" applyBorder="1" applyAlignment="1">
      <alignment horizontal="center"/>
    </xf>
    <xf numFmtId="1" fontId="51" fillId="0" borderId="14" xfId="1" applyNumberFormat="1" applyFont="1" applyBorder="1" applyAlignment="1">
      <alignment horizontal="center" wrapText="1"/>
    </xf>
    <xf numFmtId="0" fontId="53" fillId="0" borderId="13" xfId="1" applyFont="1" applyBorder="1" applyAlignment="1">
      <alignment horizontal="center"/>
    </xf>
    <xf numFmtId="1" fontId="54" fillId="0" borderId="14" xfId="0" applyNumberFormat="1" applyFont="1" applyBorder="1"/>
    <xf numFmtId="0" fontId="54" fillId="0" borderId="14" xfId="0" applyFont="1" applyBorder="1" applyAlignment="1">
      <alignment horizontal="center"/>
    </xf>
    <xf numFmtId="0" fontId="54" fillId="0" borderId="14" xfId="0" applyFont="1" applyBorder="1"/>
    <xf numFmtId="0" fontId="48" fillId="0" borderId="14" xfId="0" applyFont="1" applyBorder="1" applyAlignment="1">
      <alignment horizontal="center" vertical="center"/>
    </xf>
    <xf numFmtId="1" fontId="48" fillId="0" borderId="14" xfId="0" applyNumberFormat="1" applyFont="1" applyBorder="1" applyAlignment="1">
      <alignment horizontal="center" vertical="center"/>
    </xf>
    <xf numFmtId="1" fontId="48" fillId="0" borderId="14" xfId="0" applyNumberFormat="1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wrapText="1"/>
    </xf>
    <xf numFmtId="12" fontId="48" fillId="0" borderId="11" xfId="0" applyNumberFormat="1" applyFont="1" applyBorder="1" applyAlignment="1">
      <alignment horizontal="center"/>
    </xf>
    <xf numFmtId="0" fontId="48" fillId="0" borderId="14" xfId="0" applyFont="1" applyBorder="1" applyAlignment="1">
      <alignment horizontal="left" vertical="center"/>
    </xf>
    <xf numFmtId="0" fontId="54" fillId="0" borderId="8" xfId="0" applyFont="1" applyBorder="1" applyAlignment="1">
      <alignment horizontal="center"/>
    </xf>
    <xf numFmtId="0" fontId="53" fillId="0" borderId="14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49" fontId="53" fillId="0" borderId="15" xfId="1" applyNumberFormat="1" applyFont="1" applyBorder="1" applyAlignment="1">
      <alignment horizontal="center"/>
    </xf>
    <xf numFmtId="49" fontId="53" fillId="0" borderId="8" xfId="1" applyNumberFormat="1" applyFont="1" applyBorder="1" applyAlignment="1">
      <alignment horizontal="center"/>
    </xf>
    <xf numFmtId="0" fontId="51" fillId="4" borderId="14" xfId="1" applyFont="1" applyFill="1" applyBorder="1" applyAlignment="1">
      <alignment horizontal="left"/>
    </xf>
    <xf numFmtId="0" fontId="48" fillId="4" borderId="14" xfId="1" applyFont="1" applyFill="1" applyBorder="1" applyAlignment="1">
      <alignment horizontal="center"/>
    </xf>
    <xf numFmtId="1" fontId="54" fillId="0" borderId="8" xfId="0" applyNumberFormat="1" applyFont="1" applyBorder="1"/>
    <xf numFmtId="0" fontId="53" fillId="0" borderId="14" xfId="1" applyFont="1" applyBorder="1" applyAlignment="1">
      <alignment horizontal="center"/>
    </xf>
    <xf numFmtId="166" fontId="53" fillId="0" borderId="14" xfId="1" applyNumberFormat="1" applyFont="1" applyBorder="1" applyAlignment="1">
      <alignment horizontal="center"/>
    </xf>
    <xf numFmtId="1" fontId="53" fillId="0" borderId="14" xfId="1" applyNumberFormat="1" applyFont="1" applyBorder="1" applyAlignment="1">
      <alignment horizontal="center" wrapText="1"/>
    </xf>
    <xf numFmtId="0" fontId="55" fillId="4" borderId="15" xfId="0" applyFont="1" applyFill="1" applyBorder="1" applyAlignment="1">
      <alignment horizontal="center"/>
    </xf>
    <xf numFmtId="0" fontId="55" fillId="4" borderId="12" xfId="0" applyFont="1" applyFill="1" applyBorder="1" applyAlignment="1">
      <alignment horizontal="center"/>
    </xf>
    <xf numFmtId="0" fontId="55" fillId="4" borderId="11" xfId="0" applyFont="1" applyFill="1" applyBorder="1"/>
    <xf numFmtId="0" fontId="48" fillId="4" borderId="8" xfId="0" applyFont="1" applyFill="1" applyBorder="1" applyAlignment="1">
      <alignment horizontal="center"/>
    </xf>
    <xf numFmtId="1" fontId="48" fillId="4" borderId="11" xfId="0" applyNumberFormat="1" applyFont="1" applyFill="1" applyBorder="1" applyAlignment="1">
      <alignment horizontal="center"/>
    </xf>
    <xf numFmtId="1" fontId="48" fillId="4" borderId="11" xfId="0" applyNumberFormat="1" applyFont="1" applyFill="1" applyBorder="1" applyAlignment="1">
      <alignment horizontal="center" wrapText="1"/>
    </xf>
    <xf numFmtId="16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 wrapText="1"/>
    </xf>
    <xf numFmtId="49" fontId="51" fillId="0" borderId="7" xfId="1" applyNumberFormat="1" applyFont="1" applyBorder="1" applyAlignment="1">
      <alignment horizontal="center"/>
    </xf>
    <xf numFmtId="49" fontId="51" fillId="0" borderId="6" xfId="1" applyNumberFormat="1" applyFont="1" applyBorder="1" applyAlignment="1">
      <alignment horizontal="center"/>
    </xf>
    <xf numFmtId="0" fontId="52" fillId="4" borderId="14" xfId="1" applyFont="1" applyFill="1" applyBorder="1" applyAlignment="1">
      <alignment vertical="center"/>
    </xf>
    <xf numFmtId="0" fontId="51" fillId="0" borderId="8" xfId="1" applyFont="1" applyBorder="1" applyAlignment="1">
      <alignment horizontal="center"/>
    </xf>
    <xf numFmtId="166" fontId="51" fillId="0" borderId="14" xfId="1" applyNumberFormat="1" applyFont="1" applyBorder="1" applyAlignment="1">
      <alignment horizontal="center"/>
    </xf>
    <xf numFmtId="49" fontId="53" fillId="0" borderId="15" xfId="0" applyNumberFormat="1" applyFont="1" applyBorder="1" applyAlignment="1">
      <alignment horizontal="center"/>
    </xf>
    <xf numFmtId="49" fontId="53" fillId="0" borderId="8" xfId="0" applyNumberFormat="1" applyFont="1" applyBorder="1" applyAlignment="1">
      <alignment horizontal="center"/>
    </xf>
    <xf numFmtId="49" fontId="51" fillId="0" borderId="14" xfId="0" applyNumberFormat="1" applyFont="1" applyBorder="1"/>
    <xf numFmtId="1" fontId="53" fillId="0" borderId="14" xfId="0" applyNumberFormat="1" applyFont="1" applyBorder="1" applyAlignment="1">
      <alignment horizontal="center"/>
    </xf>
    <xf numFmtId="1" fontId="53" fillId="0" borderId="14" xfId="0" applyNumberFormat="1" applyFont="1" applyBorder="1" applyAlignment="1">
      <alignment horizontal="center" wrapText="1"/>
    </xf>
    <xf numFmtId="167" fontId="23" fillId="4" borderId="14" xfId="10" applyNumberFormat="1" applyFont="1" applyFill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8" xfId="0" applyFont="1" applyBorder="1" applyAlignment="1">
      <alignment horizontal="center"/>
    </xf>
    <xf numFmtId="0" fontId="56" fillId="0" borderId="14" xfId="0" applyFont="1" applyBorder="1"/>
    <xf numFmtId="0" fontId="54" fillId="0" borderId="14" xfId="0" applyFont="1" applyBorder="1" applyAlignment="1">
      <alignment horizontal="center" vertical="center"/>
    </xf>
    <xf numFmtId="0" fontId="54" fillId="0" borderId="14" xfId="0" applyFont="1" applyBorder="1" applyAlignment="1">
      <alignment horizontal="left" vertical="center"/>
    </xf>
    <xf numFmtId="12" fontId="53" fillId="0" borderId="14" xfId="1" applyNumberFormat="1" applyFont="1" applyBorder="1" applyAlignment="1">
      <alignment horizontal="center"/>
    </xf>
    <xf numFmtId="1" fontId="53" fillId="0" borderId="14" xfId="1" applyNumberFormat="1" applyFont="1" applyBorder="1" applyAlignment="1">
      <alignment horizontal="center"/>
    </xf>
    <xf numFmtId="0" fontId="48" fillId="0" borderId="14" xfId="0" quotePrefix="1" applyFont="1" applyBorder="1" applyAlignment="1">
      <alignment horizontal="center"/>
    </xf>
    <xf numFmtId="0" fontId="48" fillId="0" borderId="14" xfId="0" quotePrefix="1" applyFont="1" applyBorder="1"/>
    <xf numFmtId="49" fontId="57" fillId="3" borderId="20" xfId="1" applyNumberFormat="1" applyFont="1" applyFill="1" applyBorder="1" applyAlignment="1">
      <alignment horizontal="center" vertical="center"/>
    </xf>
    <xf numFmtId="49" fontId="57" fillId="3" borderId="0" xfId="1" applyNumberFormat="1" applyFont="1" applyFill="1" applyAlignment="1">
      <alignment horizontal="center" vertical="center"/>
    </xf>
    <xf numFmtId="0" fontId="48" fillId="3" borderId="0" xfId="1" applyFont="1" applyFill="1"/>
    <xf numFmtId="1" fontId="48" fillId="3" borderId="0" xfId="1" applyNumberFormat="1" applyFont="1" applyFill="1" applyAlignment="1">
      <alignment horizontal="center"/>
    </xf>
    <xf numFmtId="164" fontId="48" fillId="3" borderId="0" xfId="1" applyNumberFormat="1" applyFont="1" applyFill="1" applyAlignment="1">
      <alignment horizontal="center" wrapText="1"/>
    </xf>
    <xf numFmtId="0" fontId="48" fillId="3" borderId="19" xfId="1" applyFont="1" applyFill="1" applyBorder="1" applyAlignment="1">
      <alignment horizontal="center"/>
    </xf>
    <xf numFmtId="0" fontId="48" fillId="2" borderId="40" xfId="1" applyFont="1" applyFill="1" applyBorder="1" applyAlignment="1">
      <alignment horizontal="center"/>
    </xf>
    <xf numFmtId="0" fontId="48" fillId="2" borderId="35" xfId="1" applyFont="1" applyFill="1" applyBorder="1" applyAlignment="1">
      <alignment horizontal="center"/>
    </xf>
    <xf numFmtId="0" fontId="48" fillId="2" borderId="35" xfId="1" applyFont="1" applyFill="1" applyBorder="1"/>
    <xf numFmtId="0" fontId="23" fillId="2" borderId="35" xfId="1" applyFont="1" applyFill="1" applyBorder="1" applyAlignment="1">
      <alignment horizontal="center"/>
    </xf>
    <xf numFmtId="1" fontId="23" fillId="2" borderId="35" xfId="1" applyNumberFormat="1" applyFont="1" applyFill="1" applyBorder="1" applyAlignment="1">
      <alignment horizontal="center"/>
    </xf>
    <xf numFmtId="164" fontId="48" fillId="2" borderId="35" xfId="1" applyNumberFormat="1" applyFont="1" applyFill="1" applyBorder="1" applyAlignment="1">
      <alignment horizontal="center" wrapText="1"/>
    </xf>
    <xf numFmtId="0" fontId="48" fillId="2" borderId="36" xfId="1" applyFont="1" applyFill="1" applyBorder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0" fontId="48" fillId="0" borderId="25" xfId="0" applyFont="1" applyBorder="1" applyAlignment="1">
      <alignment horizontal="center"/>
    </xf>
    <xf numFmtId="1" fontId="48" fillId="0" borderId="2" xfId="0" applyNumberFormat="1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54" fillId="4" borderId="14" xfId="0" applyFont="1" applyFill="1" applyBorder="1" applyAlignment="1">
      <alignment horizontal="center"/>
    </xf>
    <xf numFmtId="0" fontId="54" fillId="4" borderId="14" xfId="0" applyFont="1" applyFill="1" applyBorder="1"/>
    <xf numFmtId="0" fontId="48" fillId="4" borderId="14" xfId="0" applyFont="1" applyFill="1" applyBorder="1" applyAlignment="1">
      <alignment horizontal="center"/>
    </xf>
    <xf numFmtId="1" fontId="48" fillId="4" borderId="17" xfId="0" applyNumberFormat="1" applyFont="1" applyFill="1" applyBorder="1" applyAlignment="1">
      <alignment horizontal="center"/>
    </xf>
    <xf numFmtId="1" fontId="48" fillId="4" borderId="17" xfId="0" applyNumberFormat="1" applyFont="1" applyFill="1" applyBorder="1" applyAlignment="1">
      <alignment horizontal="center" wrapText="1"/>
    </xf>
    <xf numFmtId="1" fontId="53" fillId="0" borderId="11" xfId="1" applyNumberFormat="1" applyFont="1" applyBorder="1" applyAlignment="1">
      <alignment horizontal="center"/>
    </xf>
    <xf numFmtId="49" fontId="53" fillId="4" borderId="7" xfId="1" applyNumberFormat="1" applyFont="1" applyFill="1" applyBorder="1" applyAlignment="1">
      <alignment horizontal="center"/>
    </xf>
    <xf numFmtId="49" fontId="53" fillId="4" borderId="14" xfId="1" applyNumberFormat="1" applyFont="1" applyFill="1" applyBorder="1" applyAlignment="1">
      <alignment horizontal="center"/>
    </xf>
    <xf numFmtId="49" fontId="53" fillId="4" borderId="14" xfId="1" applyNumberFormat="1" applyFont="1" applyFill="1" applyBorder="1"/>
    <xf numFmtId="0" fontId="55" fillId="4" borderId="7" xfId="0" applyFont="1" applyFill="1" applyBorder="1" applyAlignment="1">
      <alignment horizontal="center"/>
    </xf>
    <xf numFmtId="0" fontId="55" fillId="4" borderId="14" xfId="0" applyFont="1" applyFill="1" applyBorder="1" applyAlignment="1">
      <alignment horizontal="center"/>
    </xf>
    <xf numFmtId="0" fontId="55" fillId="4" borderId="14" xfId="0" applyFont="1" applyFill="1" applyBorder="1"/>
    <xf numFmtId="1" fontId="48" fillId="4" borderId="14" xfId="0" applyNumberFormat="1" applyFont="1" applyFill="1" applyBorder="1" applyAlignment="1">
      <alignment horizontal="center"/>
    </xf>
    <xf numFmtId="1" fontId="48" fillId="4" borderId="14" xfId="0" applyNumberFormat="1" applyFont="1" applyFill="1" applyBorder="1" applyAlignment="1">
      <alignment horizontal="center" wrapText="1"/>
    </xf>
    <xf numFmtId="2" fontId="51" fillId="0" borderId="14" xfId="1" applyNumberFormat="1" applyFont="1" applyBorder="1" applyAlignment="1">
      <alignment horizontal="center"/>
    </xf>
    <xf numFmtId="0" fontId="54" fillId="0" borderId="5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4" fillId="0" borderId="8" xfId="0" applyFont="1" applyBorder="1" applyAlignment="1">
      <alignment horizontal="left" vertical="center"/>
    </xf>
    <xf numFmtId="16" fontId="53" fillId="0" borderId="8" xfId="1" applyNumberFormat="1" applyFont="1" applyBorder="1" applyAlignment="1">
      <alignment horizontal="center"/>
    </xf>
    <xf numFmtId="16" fontId="53" fillId="0" borderId="8" xfId="0" applyNumberFormat="1" applyFont="1" applyBorder="1" applyAlignment="1">
      <alignment horizontal="center"/>
    </xf>
    <xf numFmtId="0" fontId="44" fillId="4" borderId="0" xfId="0" applyFont="1" applyFill="1" applyAlignment="1">
      <alignment horizontal="center"/>
    </xf>
    <xf numFmtId="1" fontId="23" fillId="4" borderId="11" xfId="0" applyNumberFormat="1" applyFont="1" applyFill="1" applyBorder="1" applyAlignment="1">
      <alignment horizontal="center"/>
    </xf>
    <xf numFmtId="0" fontId="44" fillId="4" borderId="14" xfId="0" applyFont="1" applyFill="1" applyBorder="1" applyAlignment="1">
      <alignment horizontal="center"/>
    </xf>
    <xf numFmtId="0" fontId="54" fillId="0" borderId="14" xfId="3" applyFont="1" applyBorder="1" applyAlignment="1">
      <alignment horizontal="center"/>
    </xf>
    <xf numFmtId="0" fontId="56" fillId="0" borderId="14" xfId="0" applyFont="1" applyBorder="1" applyAlignment="1">
      <alignment horizontal="center" vertical="top"/>
    </xf>
    <xf numFmtId="1" fontId="54" fillId="0" borderId="14" xfId="0" applyNumberFormat="1" applyFont="1" applyBorder="1" applyAlignment="1">
      <alignment horizontal="center"/>
    </xf>
    <xf numFmtId="0" fontId="58" fillId="4" borderId="14" xfId="0" applyFont="1" applyFill="1" applyBorder="1" applyAlignment="1">
      <alignment horizontal="center" vertical="center"/>
    </xf>
    <xf numFmtId="0" fontId="58" fillId="8" borderId="14" xfId="0" applyFont="1" applyFill="1" applyBorder="1"/>
    <xf numFmtId="0" fontId="54" fillId="0" borderId="0" xfId="0" applyFont="1" applyAlignment="1">
      <alignment horizontal="center"/>
    </xf>
    <xf numFmtId="0" fontId="54" fillId="0" borderId="0" xfId="0" applyFont="1"/>
    <xf numFmtId="1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 wrapText="1"/>
    </xf>
    <xf numFmtId="0" fontId="53" fillId="4" borderId="14" xfId="0" applyFont="1" applyFill="1" applyBorder="1" applyAlignment="1">
      <alignment horizontal="center"/>
    </xf>
    <xf numFmtId="0" fontId="53" fillId="4" borderId="14" xfId="0" applyFont="1" applyFill="1" applyBorder="1"/>
    <xf numFmtId="0" fontId="53" fillId="4" borderId="11" xfId="0" applyFont="1" applyFill="1" applyBorder="1" applyAlignment="1">
      <alignment horizontal="center"/>
    </xf>
    <xf numFmtId="0" fontId="48" fillId="4" borderId="11" xfId="0" applyFont="1" applyFill="1" applyBorder="1" applyAlignment="1">
      <alignment horizontal="center"/>
    </xf>
    <xf numFmtId="0" fontId="53" fillId="4" borderId="14" xfId="0" applyFont="1" applyFill="1" applyBorder="1" applyAlignment="1">
      <alignment horizontal="center" wrapText="1"/>
    </xf>
    <xf numFmtId="0" fontId="53" fillId="4" borderId="15" xfId="0" applyFont="1" applyFill="1" applyBorder="1" applyAlignment="1">
      <alignment horizontal="center"/>
    </xf>
    <xf numFmtId="0" fontId="59" fillId="4" borderId="0" xfId="0" applyFont="1" applyFill="1" applyAlignment="1">
      <alignment horizontal="center"/>
    </xf>
    <xf numFmtId="49" fontId="53" fillId="0" borderId="14" xfId="1" applyNumberFormat="1" applyFont="1" applyBorder="1"/>
    <xf numFmtId="0" fontId="23" fillId="0" borderId="14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9" fillId="0" borderId="14" xfId="0" applyNumberFormat="1" applyFont="1" applyBorder="1"/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16" fontId="9" fillId="4" borderId="14" xfId="0" applyNumberFormat="1" applyFont="1" applyFill="1" applyBorder="1" applyAlignment="1">
      <alignment horizontal="center"/>
    </xf>
    <xf numFmtId="1" fontId="9" fillId="4" borderId="14" xfId="0" applyNumberFormat="1" applyFont="1" applyFill="1" applyBorder="1" applyAlignment="1">
      <alignment horizontal="center"/>
    </xf>
    <xf numFmtId="164" fontId="9" fillId="0" borderId="14" xfId="0" applyNumberFormat="1" applyFont="1" applyBorder="1" applyAlignment="1">
      <alignment horizontal="center" wrapText="1"/>
    </xf>
    <xf numFmtId="0" fontId="2" fillId="0" borderId="15" xfId="4" applyFont="1" applyBorder="1" applyAlignment="1">
      <alignment horizontal="center"/>
    </xf>
    <xf numFmtId="0" fontId="2" fillId="4" borderId="14" xfId="4" applyFont="1" applyFill="1" applyBorder="1"/>
    <xf numFmtId="16" fontId="9" fillId="0" borderId="14" xfId="4" applyNumberFormat="1" applyFont="1" applyBorder="1" applyAlignment="1">
      <alignment horizontal="center"/>
    </xf>
    <xf numFmtId="0" fontId="2" fillId="0" borderId="14" xfId="4" applyFont="1" applyBorder="1" applyAlignment="1">
      <alignment horizontal="center"/>
    </xf>
    <xf numFmtId="1" fontId="9" fillId="0" borderId="14" xfId="4" applyNumberFormat="1" applyFont="1" applyBorder="1" applyAlignment="1">
      <alignment horizontal="center"/>
    </xf>
    <xf numFmtId="1" fontId="9" fillId="0" borderId="14" xfId="4" applyNumberFormat="1" applyFont="1" applyBorder="1" applyAlignment="1">
      <alignment horizontal="center" wrapText="1"/>
    </xf>
    <xf numFmtId="49" fontId="9" fillId="4" borderId="15" xfId="1" applyNumberFormat="1" applyFont="1" applyFill="1" applyBorder="1" applyAlignment="1">
      <alignment horizontal="center"/>
    </xf>
    <xf numFmtId="49" fontId="9" fillId="4" borderId="8" xfId="1" applyNumberFormat="1" applyFont="1" applyFill="1" applyBorder="1" applyAlignment="1">
      <alignment horizontal="center"/>
    </xf>
    <xf numFmtId="49" fontId="9" fillId="4" borderId="14" xfId="1" applyNumberFormat="1" applyFont="1" applyFill="1" applyBorder="1"/>
    <xf numFmtId="1" fontId="2" fillId="0" borderId="11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7" fillId="4" borderId="0" xfId="0" applyFont="1" applyFill="1" applyAlignment="1">
      <alignment vertical="center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18" fillId="0" borderId="14" xfId="10" applyFont="1" applyFill="1" applyBorder="1" applyAlignment="1">
      <alignment horizontal="center" vertical="center"/>
    </xf>
    <xf numFmtId="43" fontId="18" fillId="0" borderId="0" xfId="10" applyFont="1" applyFill="1" applyBorder="1" applyAlignment="1">
      <alignment horizontal="center" vertical="center"/>
    </xf>
    <xf numFmtId="43" fontId="61" fillId="0" borderId="0" xfId="1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169" fontId="64" fillId="0" borderId="0" xfId="0" applyNumberFormat="1" applyFont="1" applyAlignment="1">
      <alignment horizontal="center" vertical="center" wrapText="1"/>
    </xf>
    <xf numFmtId="0" fontId="18" fillId="11" borderId="49" xfId="0" applyFont="1" applyFill="1" applyBorder="1" applyAlignment="1">
      <alignment horizontal="center" vertical="center"/>
    </xf>
    <xf numFmtId="0" fontId="18" fillId="11" borderId="50" xfId="0" applyFont="1" applyFill="1" applyBorder="1" applyAlignment="1">
      <alignment horizontal="center" vertical="center"/>
    </xf>
    <xf numFmtId="0" fontId="18" fillId="11" borderId="50" xfId="0" applyFont="1" applyFill="1" applyBorder="1" applyAlignment="1">
      <alignment horizontal="center" vertical="center" wrapText="1"/>
    </xf>
    <xf numFmtId="0" fontId="18" fillId="11" borderId="5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65" fillId="0" borderId="0" xfId="0" applyNumberFormat="1" applyFont="1" applyAlignment="1">
      <alignment horizontal="center"/>
    </xf>
    <xf numFmtId="4" fontId="65" fillId="0" borderId="0" xfId="13" applyNumberFormat="1" applyFont="1" applyFill="1" applyAlignment="1">
      <alignment horizontal="center" vertical="center"/>
    </xf>
    <xf numFmtId="4" fontId="18" fillId="0" borderId="0" xfId="13" applyNumberFormat="1" applyFont="1" applyFill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60" fillId="0" borderId="0" xfId="7" applyNumberFormat="1" applyFont="1" applyFill="1" applyAlignment="1">
      <alignment vertical="center"/>
    </xf>
    <xf numFmtId="0" fontId="17" fillId="0" borderId="0" xfId="0" applyFont="1"/>
    <xf numFmtId="49" fontId="18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43" fontId="17" fillId="0" borderId="0" xfId="10" applyFont="1" applyFill="1" applyAlignment="1">
      <alignment vertical="center"/>
    </xf>
    <xf numFmtId="49" fontId="6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10" applyNumberFormat="1" applyFont="1" applyFill="1" applyAlignment="1">
      <alignment vertical="center"/>
    </xf>
    <xf numFmtId="43" fontId="67" fillId="0" borderId="0" xfId="10" applyFont="1" applyFill="1" applyAlignment="1">
      <alignment horizontal="center" vertical="center"/>
    </xf>
    <xf numFmtId="10" fontId="60" fillId="11" borderId="60" xfId="7" applyNumberFormat="1" applyFont="1" applyFill="1" applyBorder="1" applyAlignment="1">
      <alignment vertical="center"/>
    </xf>
    <xf numFmtId="0" fontId="17" fillId="11" borderId="35" xfId="0" applyFont="1" applyFill="1" applyBorder="1" applyAlignment="1">
      <alignment vertical="center"/>
    </xf>
    <xf numFmtId="0" fontId="17" fillId="11" borderId="60" xfId="0" applyFont="1" applyFill="1" applyBorder="1" applyAlignment="1">
      <alignment vertical="center"/>
    </xf>
    <xf numFmtId="43" fontId="67" fillId="11" borderId="61" xfId="10" applyFont="1" applyFill="1" applyBorder="1" applyAlignment="1">
      <alignment horizontal="center" vertical="center"/>
    </xf>
    <xf numFmtId="43" fontId="22" fillId="0" borderId="0" xfId="10" applyFont="1" applyFill="1" applyBorder="1" applyAlignment="1">
      <alignment horizontal="right"/>
    </xf>
    <xf numFmtId="0" fontId="17" fillId="11" borderId="61" xfId="0" applyFont="1" applyFill="1" applyBorder="1" applyAlignment="1">
      <alignment vertical="center"/>
    </xf>
    <xf numFmtId="10" fontId="60" fillId="11" borderId="61" xfId="7" applyNumberFormat="1" applyFont="1" applyFill="1" applyBorder="1" applyAlignment="1">
      <alignment vertical="center"/>
    </xf>
    <xf numFmtId="0" fontId="68" fillId="0" borderId="0" xfId="0" applyFont="1" applyAlignment="1">
      <alignment horizontal="right"/>
    </xf>
    <xf numFmtId="0" fontId="68" fillId="0" borderId="0" xfId="0" applyFont="1"/>
    <xf numFmtId="9" fontId="68" fillId="0" borderId="0" xfId="0" applyNumberFormat="1" applyFont="1"/>
    <xf numFmtId="9" fontId="69" fillId="0" borderId="0" xfId="7" applyFont="1" applyFill="1" applyAlignment="1">
      <alignment horizontal="center"/>
    </xf>
    <xf numFmtId="0" fontId="67" fillId="0" borderId="0" xfId="0" applyFont="1" applyAlignment="1">
      <alignment horizontal="right" vertical="center"/>
    </xf>
    <xf numFmtId="4" fontId="67" fillId="0" borderId="0" xfId="10" applyNumberFormat="1" applyFont="1" applyFill="1" applyAlignment="1">
      <alignment vertical="center"/>
    </xf>
    <xf numFmtId="4" fontId="67" fillId="0" borderId="0" xfId="13" applyNumberFormat="1" applyFont="1" applyAlignment="1">
      <alignment horizontal="center" vertical="center"/>
    </xf>
    <xf numFmtId="0" fontId="70" fillId="0" borderId="0" xfId="0" applyFont="1" applyAlignment="1">
      <alignment horizontal="right"/>
    </xf>
    <xf numFmtId="0" fontId="71" fillId="0" borderId="0" xfId="0" applyFont="1" applyAlignment="1">
      <alignment horizontal="right"/>
    </xf>
    <xf numFmtId="0" fontId="71" fillId="0" borderId="19" xfId="0" applyFont="1" applyBorder="1" applyAlignment="1">
      <alignment horizontal="right"/>
    </xf>
    <xf numFmtId="43" fontId="72" fillId="5" borderId="62" xfId="10" applyFont="1" applyFill="1" applyBorder="1" applyAlignment="1">
      <alignment horizontal="right"/>
    </xf>
    <xf numFmtId="43" fontId="72" fillId="0" borderId="0" xfId="10" applyFont="1" applyFill="1" applyBorder="1" applyAlignment="1">
      <alignment horizontal="right"/>
    </xf>
    <xf numFmtId="43" fontId="18" fillId="0" borderId="14" xfId="10" applyFont="1" applyFill="1" applyBorder="1" applyAlignment="1">
      <alignment vertical="center"/>
    </xf>
    <xf numFmtId="0" fontId="73" fillId="0" borderId="0" xfId="0" applyFont="1" applyAlignment="1">
      <alignment horizontal="left" vertical="center"/>
    </xf>
    <xf numFmtId="4" fontId="67" fillId="0" borderId="0" xfId="13" applyNumberFormat="1" applyFont="1" applyFill="1" applyAlignment="1">
      <alignment horizontal="center" vertical="center"/>
    </xf>
    <xf numFmtId="10" fontId="74" fillId="0" borderId="0" xfId="7" applyNumberFormat="1" applyFont="1" applyFill="1" applyAlignment="1">
      <alignment horizontal="right"/>
    </xf>
    <xf numFmtId="171" fontId="18" fillId="11" borderId="14" xfId="10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43" fontId="18" fillId="12" borderId="14" xfId="10" applyFont="1" applyFill="1" applyBorder="1" applyAlignment="1">
      <alignment vertical="center"/>
    </xf>
    <xf numFmtId="168" fontId="75" fillId="0" borderId="0" xfId="0" applyNumberFormat="1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60" fillId="11" borderId="63" xfId="0" applyFont="1" applyFill="1" applyBorder="1" applyAlignment="1">
      <alignment vertical="center"/>
    </xf>
    <xf numFmtId="0" fontId="77" fillId="0" borderId="0" xfId="0" applyFont="1" applyAlignment="1">
      <alignment vertical="center"/>
    </xf>
    <xf numFmtId="2" fontId="74" fillId="0" borderId="0" xfId="10" applyNumberFormat="1" applyFont="1" applyFill="1" applyBorder="1" applyAlignment="1">
      <alignment horizontal="center"/>
    </xf>
    <xf numFmtId="2" fontId="71" fillId="0" borderId="0" xfId="10" applyNumberFormat="1" applyFont="1" applyFill="1" applyBorder="1" applyAlignment="1">
      <alignment horizontal="center"/>
    </xf>
    <xf numFmtId="0" fontId="17" fillId="11" borderId="63" xfId="0" applyFont="1" applyFill="1" applyBorder="1" applyAlignment="1">
      <alignment vertical="center"/>
    </xf>
    <xf numFmtId="10" fontId="17" fillId="0" borderId="0" xfId="7" applyNumberFormat="1" applyFont="1" applyFill="1" applyAlignment="1">
      <alignment vertical="center"/>
    </xf>
    <xf numFmtId="4" fontId="17" fillId="0" borderId="0" xfId="10" applyNumberFormat="1" applyFont="1" applyFill="1" applyAlignment="1">
      <alignment vertical="center"/>
    </xf>
    <xf numFmtId="43" fontId="72" fillId="11" borderId="35" xfId="10" applyFont="1" applyFill="1" applyBorder="1" applyAlignment="1">
      <alignment horizontal="right"/>
    </xf>
    <xf numFmtId="0" fontId="18" fillId="11" borderId="36" xfId="0" applyFont="1" applyFill="1" applyBorder="1" applyAlignment="1">
      <alignment horizontal="right" vertical="center"/>
    </xf>
    <xf numFmtId="10" fontId="78" fillId="0" borderId="0" xfId="10" applyNumberFormat="1" applyFont="1" applyFill="1" applyAlignment="1">
      <alignment vertical="center"/>
    </xf>
    <xf numFmtId="10" fontId="60" fillId="0" borderId="0" xfId="7" applyNumberFormat="1" applyFont="1" applyFill="1" applyBorder="1" applyAlignment="1">
      <alignment vertical="center"/>
    </xf>
    <xf numFmtId="168" fontId="79" fillId="0" borderId="0" xfId="0" applyNumberFormat="1" applyFont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43" fontId="80" fillId="0" borderId="0" xfId="10" applyFont="1" applyFill="1" applyAlignment="1">
      <alignment vertical="center"/>
    </xf>
    <xf numFmtId="4" fontId="81" fillId="0" borderId="0" xfId="13" applyNumberFormat="1" applyFont="1" applyFill="1" applyAlignment="1">
      <alignment horizontal="center" vertical="center" wrapText="1"/>
    </xf>
    <xf numFmtId="9" fontId="17" fillId="0" borderId="0" xfId="10" applyNumberFormat="1" applyFont="1" applyFill="1" applyAlignment="1">
      <alignment vertical="center"/>
    </xf>
    <xf numFmtId="0" fontId="6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6" fillId="0" borderId="0" xfId="0" applyFont="1" applyAlignment="1">
      <alignment horizontal="right" vertical="center"/>
    </xf>
    <xf numFmtId="4" fontId="66" fillId="0" borderId="0" xfId="10" applyNumberFormat="1" applyFont="1" applyFill="1" applyAlignment="1">
      <alignment vertical="center"/>
    </xf>
    <xf numFmtId="4" fontId="18" fillId="14" borderId="62" xfId="10" applyNumberFormat="1" applyFont="1" applyFill="1" applyBorder="1" applyAlignment="1">
      <alignment horizontal="center" vertical="center"/>
    </xf>
    <xf numFmtId="0" fontId="82" fillId="0" borderId="0" xfId="0" applyFont="1" applyAlignment="1">
      <alignment vertical="center"/>
    </xf>
    <xf numFmtId="43" fontId="82" fillId="0" borderId="0" xfId="10" applyFont="1" applyFill="1" applyAlignment="1">
      <alignment vertical="center"/>
    </xf>
    <xf numFmtId="9" fontId="82" fillId="0" borderId="0" xfId="10" applyNumberFormat="1" applyFont="1" applyFill="1" applyAlignment="1">
      <alignment vertical="center"/>
    </xf>
    <xf numFmtId="4" fontId="18" fillId="0" borderId="0" xfId="10" applyNumberFormat="1" applyFont="1" applyFill="1" applyAlignment="1">
      <alignment horizontal="center" vertical="center"/>
    </xf>
    <xf numFmtId="10" fontId="75" fillId="0" borderId="0" xfId="7" applyNumberFormat="1" applyFont="1" applyFill="1" applyAlignment="1">
      <alignment vertical="center"/>
    </xf>
    <xf numFmtId="43" fontId="75" fillId="0" borderId="0" xfId="10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43" fontId="17" fillId="0" borderId="0" xfId="10" applyFont="1" applyFill="1" applyBorder="1"/>
    <xf numFmtId="10" fontId="75" fillId="0" borderId="0" xfId="7" applyNumberFormat="1" applyFont="1" applyFill="1" applyBorder="1" applyAlignment="1">
      <alignment vertical="center"/>
    </xf>
    <xf numFmtId="0" fontId="75" fillId="0" borderId="0" xfId="0" applyFont="1" applyAlignment="1">
      <alignment horizontal="right"/>
    </xf>
    <xf numFmtId="43" fontId="17" fillId="0" borderId="0" xfId="10" applyFont="1" applyFill="1" applyBorder="1" applyAlignment="1">
      <alignment horizontal="center"/>
    </xf>
    <xf numFmtId="9" fontId="85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8" fontId="18" fillId="0" borderId="0" xfId="0" applyNumberFormat="1" applyFont="1"/>
    <xf numFmtId="0" fontId="32" fillId="0" borderId="14" xfId="0" applyFont="1" applyBorder="1"/>
    <xf numFmtId="0" fontId="31" fillId="4" borderId="8" xfId="2" applyFont="1" applyFill="1" applyBorder="1" applyAlignment="1">
      <alignment vertical="center" wrapText="1"/>
    </xf>
    <xf numFmtId="0" fontId="32" fillId="0" borderId="8" xfId="0" applyFont="1" applyBorder="1"/>
    <xf numFmtId="49" fontId="31" fillId="4" borderId="14" xfId="0" applyNumberFormat="1" applyFont="1" applyFill="1" applyBorder="1"/>
    <xf numFmtId="1" fontId="31" fillId="4" borderId="14" xfId="0" applyNumberFormat="1" applyFont="1" applyFill="1" applyBorder="1" applyAlignment="1">
      <alignment horizontal="center" vertical="center" wrapText="1"/>
    </xf>
    <xf numFmtId="49" fontId="31" fillId="4" borderId="14" xfId="0" applyNumberFormat="1" applyFont="1" applyFill="1" applyBorder="1" applyAlignment="1">
      <alignment horizontal="center"/>
    </xf>
    <xf numFmtId="49" fontId="31" fillId="4" borderId="9" xfId="0" applyNumberFormat="1" applyFont="1" applyFill="1" applyBorder="1" applyAlignment="1">
      <alignment horizontal="center"/>
    </xf>
    <xf numFmtId="49" fontId="29" fillId="4" borderId="14" xfId="0" applyNumberFormat="1" applyFont="1" applyFill="1" applyBorder="1"/>
    <xf numFmtId="49" fontId="29" fillId="0" borderId="14" xfId="0" applyNumberFormat="1" applyFont="1" applyBorder="1" applyAlignment="1">
      <alignment horizontal="left"/>
    </xf>
    <xf numFmtId="0" fontId="29" fillId="0" borderId="14" xfId="0" applyFon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  <xf numFmtId="0" fontId="31" fillId="0" borderId="7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3" borderId="14" xfId="2" applyFont="1" applyFill="1" applyBorder="1" applyAlignment="1">
      <alignment horizontal="left"/>
    </xf>
    <xf numFmtId="0" fontId="31" fillId="0" borderId="64" xfId="1" applyFont="1" applyBorder="1" applyAlignment="1">
      <alignment horizontal="left"/>
    </xf>
    <xf numFmtId="0" fontId="31" fillId="0" borderId="59" xfId="1" applyFont="1" applyBorder="1" applyAlignment="1">
      <alignment horizontal="left"/>
    </xf>
    <xf numFmtId="0" fontId="31" fillId="0" borderId="65" xfId="1" applyFont="1" applyBorder="1" applyAlignment="1">
      <alignment horizontal="left"/>
    </xf>
    <xf numFmtId="0" fontId="29" fillId="6" borderId="14" xfId="2" applyFont="1" applyFill="1" applyBorder="1" applyAlignment="1">
      <alignment horizontal="center"/>
    </xf>
    <xf numFmtId="0" fontId="29" fillId="0" borderId="4" xfId="1" applyFont="1" applyBorder="1" applyAlignment="1">
      <alignment horizontal="right"/>
    </xf>
    <xf numFmtId="0" fontId="29" fillId="0" borderId="3" xfId="1" applyFont="1" applyBorder="1" applyAlignment="1">
      <alignment horizontal="right"/>
    </xf>
    <xf numFmtId="0" fontId="29" fillId="0" borderId="2" xfId="1" applyFont="1" applyBorder="1" applyAlignment="1">
      <alignment horizontal="right"/>
    </xf>
    <xf numFmtId="0" fontId="31" fillId="0" borderId="2" xfId="1" applyFont="1" applyBorder="1" applyAlignment="1">
      <alignment horizontal="right"/>
    </xf>
    <xf numFmtId="164" fontId="31" fillId="0" borderId="21" xfId="1" applyNumberFormat="1" applyFont="1" applyBorder="1" applyAlignment="1">
      <alignment horizontal="center"/>
    </xf>
    <xf numFmtId="164" fontId="31" fillId="0" borderId="43" xfId="1" applyNumberFormat="1" applyFont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35" xfId="1" applyFont="1" applyFill="1" applyBorder="1" applyAlignment="1">
      <alignment horizontal="center"/>
    </xf>
    <xf numFmtId="0" fontId="29" fillId="2" borderId="36" xfId="1" applyFont="1" applyFill="1" applyBorder="1" applyAlignment="1">
      <alignment horizontal="center"/>
    </xf>
    <xf numFmtId="0" fontId="31" fillId="0" borderId="46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1" fillId="0" borderId="47" xfId="0" applyFont="1" applyBorder="1" applyAlignment="1">
      <alignment horizontal="left" vertical="center" wrapText="1"/>
    </xf>
    <xf numFmtId="0" fontId="29" fillId="0" borderId="7" xfId="1" applyFont="1" applyBorder="1" applyAlignment="1">
      <alignment horizontal="right"/>
    </xf>
    <xf numFmtId="0" fontId="29" fillId="0" borderId="6" xfId="1" applyFont="1" applyBorder="1" applyAlignment="1">
      <alignment horizontal="right"/>
    </xf>
    <xf numFmtId="0" fontId="29" fillId="0" borderId="8" xfId="1" applyFont="1" applyBorder="1" applyAlignment="1">
      <alignment horizontal="right"/>
    </xf>
    <xf numFmtId="0" fontId="31" fillId="0" borderId="14" xfId="1" applyFont="1" applyBorder="1" applyAlignment="1">
      <alignment horizontal="right"/>
    </xf>
    <xf numFmtId="164" fontId="31" fillId="0" borderId="9" xfId="1" applyNumberFormat="1" applyFont="1" applyBorder="1" applyAlignment="1">
      <alignment horizontal="center"/>
    </xf>
    <xf numFmtId="164" fontId="31" fillId="0" borderId="5" xfId="1" applyNumberFormat="1" applyFont="1" applyBorder="1" applyAlignment="1">
      <alignment horizontal="center"/>
    </xf>
    <xf numFmtId="164" fontId="31" fillId="0" borderId="9" xfId="1" applyNumberFormat="1" applyFont="1" applyBorder="1" applyAlignment="1">
      <alignment horizontal="right" wrapText="1"/>
    </xf>
    <xf numFmtId="164" fontId="31" fillId="0" borderId="8" xfId="1" applyNumberFormat="1" applyFont="1" applyBorder="1" applyAlignment="1">
      <alignment horizontal="right" wrapText="1"/>
    </xf>
    <xf numFmtId="0" fontId="29" fillId="0" borderId="37" xfId="1" applyFont="1" applyBorder="1" applyAlignment="1">
      <alignment horizontal="right"/>
    </xf>
    <xf numFmtId="0" fontId="29" fillId="0" borderId="38" xfId="1" applyFont="1" applyBorder="1" applyAlignment="1">
      <alignment horizontal="right"/>
    </xf>
    <xf numFmtId="0" fontId="29" fillId="0" borderId="12" xfId="1" applyFont="1" applyBorder="1" applyAlignment="1">
      <alignment horizontal="right"/>
    </xf>
    <xf numFmtId="164" fontId="31" fillId="0" borderId="11" xfId="1" applyNumberFormat="1" applyFont="1" applyBorder="1" applyAlignment="1">
      <alignment horizontal="right"/>
    </xf>
    <xf numFmtId="0" fontId="31" fillId="3" borderId="25" xfId="1" applyFont="1" applyFill="1" applyBorder="1" applyAlignment="1">
      <alignment horizontal="center"/>
    </xf>
    <xf numFmtId="0" fontId="31" fillId="3" borderId="41" xfId="1" applyFont="1" applyFill="1" applyBorder="1" applyAlignment="1">
      <alignment horizontal="center"/>
    </xf>
    <xf numFmtId="0" fontId="12" fillId="3" borderId="0" xfId="2" applyFont="1" applyFill="1" applyAlignment="1">
      <alignment horizontal="right"/>
    </xf>
    <xf numFmtId="0" fontId="13" fillId="3" borderId="28" xfId="2" applyFont="1" applyFill="1" applyBorder="1" applyAlignment="1">
      <alignment horizontal="center"/>
    </xf>
    <xf numFmtId="0" fontId="12" fillId="3" borderId="0" xfId="2" applyFont="1" applyFill="1"/>
    <xf numFmtId="0" fontId="5" fillId="2" borderId="39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29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left"/>
    </xf>
    <xf numFmtId="0" fontId="10" fillId="3" borderId="24" xfId="2" applyFont="1" applyFill="1" applyBorder="1" applyAlignment="1">
      <alignment horizontal="left"/>
    </xf>
    <xf numFmtId="0" fontId="10" fillId="3" borderId="18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4" xfId="2" applyFont="1" applyFill="1" applyBorder="1" applyAlignment="1">
      <alignment horizontal="center"/>
    </xf>
    <xf numFmtId="0" fontId="10" fillId="3" borderId="33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7" xfId="2" applyFont="1" applyFill="1" applyBorder="1" applyAlignment="1">
      <alignment horizontal="center"/>
    </xf>
    <xf numFmtId="0" fontId="10" fillId="3" borderId="38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0" fontId="86" fillId="5" borderId="14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right" vertical="top" wrapText="1"/>
    </xf>
    <xf numFmtId="0" fontId="5" fillId="3" borderId="30" xfId="2" applyFont="1" applyFill="1" applyBorder="1" applyAlignment="1">
      <alignment horizontal="right" vertical="top" wrapText="1"/>
    </xf>
    <xf numFmtId="0" fontId="5" fillId="3" borderId="27" xfId="2" applyFont="1" applyFill="1" applyBorder="1" applyAlignment="1">
      <alignment horizontal="right" vertical="top" wrapText="1"/>
    </xf>
    <xf numFmtId="0" fontId="67" fillId="0" borderId="0" xfId="0" applyFont="1" applyAlignment="1">
      <alignment horizontal="center" vertical="center"/>
    </xf>
    <xf numFmtId="0" fontId="83" fillId="0" borderId="40" xfId="0" applyFont="1" applyBorder="1" applyAlignment="1">
      <alignment horizontal="right" vertical="center"/>
    </xf>
    <xf numFmtId="0" fontId="83" fillId="0" borderId="35" xfId="0" applyFont="1" applyBorder="1" applyAlignment="1">
      <alignment horizontal="right" vertical="center"/>
    </xf>
    <xf numFmtId="0" fontId="83" fillId="0" borderId="36" xfId="0" applyFont="1" applyBorder="1" applyAlignment="1">
      <alignment horizontal="right" vertical="center"/>
    </xf>
    <xf numFmtId="0" fontId="84" fillId="0" borderId="0" xfId="0" applyFont="1" applyAlignment="1">
      <alignment horizontal="right"/>
    </xf>
    <xf numFmtId="0" fontId="74" fillId="0" borderId="28" xfId="0" applyFont="1" applyBorder="1" applyAlignment="1">
      <alignment horizontal="right"/>
    </xf>
    <xf numFmtId="0" fontId="67" fillId="0" borderId="0" xfId="0" applyFont="1" applyAlignment="1">
      <alignment horizontal="right" vertical="center"/>
    </xf>
    <xf numFmtId="0" fontId="72" fillId="11" borderId="40" xfId="0" applyFont="1" applyFill="1" applyBorder="1" applyAlignment="1">
      <alignment horizontal="right"/>
    </xf>
    <xf numFmtId="0" fontId="72" fillId="11" borderId="35" xfId="0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18" fillId="0" borderId="58" xfId="0" applyFont="1" applyBorder="1" applyAlignment="1">
      <alignment horizontal="right" vertical="center"/>
    </xf>
    <xf numFmtId="0" fontId="18" fillId="13" borderId="40" xfId="0" applyFont="1" applyFill="1" applyBorder="1" applyAlignment="1">
      <alignment horizontal="right" vertical="center"/>
    </xf>
    <xf numFmtId="0" fontId="18" fillId="13" borderId="35" xfId="0" applyFont="1" applyFill="1" applyBorder="1" applyAlignment="1">
      <alignment horizontal="right" vertical="center"/>
    </xf>
    <xf numFmtId="0" fontId="18" fillId="13" borderId="36" xfId="0" applyFont="1" applyFill="1" applyBorder="1" applyAlignment="1">
      <alignment horizontal="right" vertical="center"/>
    </xf>
    <xf numFmtId="4" fontId="81" fillId="0" borderId="0" xfId="13" applyNumberFormat="1" applyFont="1" applyFill="1" applyAlignment="1">
      <alignment horizontal="center" vertical="center" wrapText="1"/>
    </xf>
    <xf numFmtId="0" fontId="75" fillId="0" borderId="14" xfId="0" applyFont="1" applyBorder="1" applyAlignment="1">
      <alignment horizontal="right" vertical="center"/>
    </xf>
    <xf numFmtId="0" fontId="76" fillId="0" borderId="20" xfId="0" applyFont="1" applyBorder="1" applyAlignment="1">
      <alignment horizontal="right"/>
    </xf>
    <xf numFmtId="0" fontId="76" fillId="0" borderId="0" xfId="0" applyFont="1" applyAlignment="1">
      <alignment horizontal="right"/>
    </xf>
    <xf numFmtId="0" fontId="76" fillId="0" borderId="19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68" fillId="0" borderId="34" xfId="0" applyFont="1" applyBorder="1" applyAlignment="1">
      <alignment horizontal="right"/>
    </xf>
    <xf numFmtId="0" fontId="68" fillId="0" borderId="33" xfId="0" applyFont="1" applyBorder="1" applyAlignment="1">
      <alignment horizontal="right"/>
    </xf>
    <xf numFmtId="0" fontId="17" fillId="0" borderId="14" xfId="0" applyFont="1" applyBorder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28" xfId="0" applyFont="1" applyBorder="1" applyAlignment="1">
      <alignment horizontal="center" vertical="center"/>
    </xf>
    <xf numFmtId="0" fontId="63" fillId="0" borderId="40" xfId="0" applyFont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0" fontId="63" fillId="0" borderId="36" xfId="0" applyFont="1" applyBorder="1" applyAlignment="1">
      <alignment horizontal="center" vertical="center" wrapText="1"/>
    </xf>
    <xf numFmtId="0" fontId="64" fillId="0" borderId="35" xfId="0" applyFont="1" applyBorder="1" applyAlignment="1">
      <alignment horizontal="right" vertical="center" wrapText="1"/>
    </xf>
    <xf numFmtId="14" fontId="4" fillId="3" borderId="31" xfId="2" applyNumberFormat="1" applyFont="1" applyFill="1" applyBorder="1" applyAlignment="1">
      <alignment horizontal="center" vertical="center" wrapText="1"/>
    </xf>
    <xf numFmtId="14" fontId="4" fillId="3" borderId="29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left"/>
    </xf>
    <xf numFmtId="0" fontId="4" fillId="3" borderId="24" xfId="2" applyFont="1" applyFill="1" applyBorder="1" applyAlignment="1">
      <alignment horizontal="left"/>
    </xf>
    <xf numFmtId="0" fontId="4" fillId="3" borderId="18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4" fillId="3" borderId="34" xfId="2" applyFont="1" applyFill="1" applyBorder="1" applyAlignment="1">
      <alignment horizontal="center"/>
    </xf>
    <xf numFmtId="0" fontId="4" fillId="3" borderId="33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4" fillId="3" borderId="38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23" fillId="5" borderId="40" xfId="2" applyFont="1" applyFill="1" applyBorder="1" applyAlignment="1">
      <alignment horizontal="center" vertical="center" wrapText="1"/>
    </xf>
    <xf numFmtId="0" fontId="23" fillId="5" borderId="35" xfId="2" applyFont="1" applyFill="1" applyBorder="1" applyAlignment="1">
      <alignment horizontal="center" vertical="center" wrapText="1"/>
    </xf>
    <xf numFmtId="0" fontId="23" fillId="5" borderId="36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right" vertical="top" wrapText="1"/>
    </xf>
    <xf numFmtId="0" fontId="6" fillId="3" borderId="30" xfId="2" applyFont="1" applyFill="1" applyBorder="1" applyAlignment="1">
      <alignment horizontal="right" vertical="top" wrapText="1"/>
    </xf>
    <xf numFmtId="0" fontId="6" fillId="3" borderId="27" xfId="2" applyFont="1" applyFill="1" applyBorder="1" applyAlignment="1">
      <alignment horizontal="right" vertical="top" wrapText="1"/>
    </xf>
    <xf numFmtId="0" fontId="24" fillId="3" borderId="0" xfId="2" applyFont="1" applyFill="1" applyAlignment="1">
      <alignment horizontal="right"/>
    </xf>
    <xf numFmtId="0" fontId="25" fillId="3" borderId="28" xfId="2" applyFont="1" applyFill="1" applyBorder="1" applyAlignment="1">
      <alignment horizontal="center"/>
    </xf>
    <xf numFmtId="0" fontId="24" fillId="3" borderId="0" xfId="2" applyFont="1" applyFill="1"/>
    <xf numFmtId="0" fontId="6" fillId="2" borderId="39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0" borderId="37" xfId="1" applyFont="1" applyBorder="1" applyAlignment="1">
      <alignment horizontal="right"/>
    </xf>
    <xf numFmtId="0" fontId="6" fillId="0" borderId="38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164" fontId="4" fillId="0" borderId="11" xfId="1" applyNumberFormat="1" applyFont="1" applyBorder="1" applyAlignment="1">
      <alignment horizontal="right"/>
    </xf>
    <xf numFmtId="0" fontId="4" fillId="3" borderId="25" xfId="1" applyFont="1" applyFill="1" applyBorder="1" applyAlignment="1">
      <alignment horizontal="center"/>
    </xf>
    <xf numFmtId="0" fontId="4" fillId="3" borderId="41" xfId="1" applyFont="1" applyFill="1" applyBorder="1" applyAlignment="1">
      <alignment horizontal="center"/>
    </xf>
    <xf numFmtId="0" fontId="6" fillId="0" borderId="7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6" fillId="0" borderId="8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164" fontId="4" fillId="0" borderId="9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4" fillId="0" borderId="9" xfId="1" applyNumberFormat="1" applyFont="1" applyBorder="1" applyAlignment="1">
      <alignment horizontal="right" wrapText="1"/>
    </xf>
    <xf numFmtId="164" fontId="4" fillId="0" borderId="8" xfId="1" applyNumberFormat="1" applyFont="1" applyBorder="1" applyAlignment="1">
      <alignment horizontal="right" wrapText="1"/>
    </xf>
    <xf numFmtId="164" fontId="4" fillId="0" borderId="9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6" fillId="0" borderId="4" xfId="1" applyFont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6" fillId="2" borderId="40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4" fillId="0" borderId="46" xfId="6" applyFont="1" applyBorder="1" applyAlignment="1">
      <alignment horizontal="left"/>
    </xf>
    <xf numFmtId="0" fontId="4" fillId="0" borderId="24" xfId="6" applyFont="1" applyBorder="1" applyAlignment="1">
      <alignment horizontal="left"/>
    </xf>
    <xf numFmtId="0" fontId="4" fillId="0" borderId="47" xfId="6" applyFont="1" applyBorder="1" applyAlignment="1">
      <alignment horizontal="left"/>
    </xf>
    <xf numFmtId="0" fontId="4" fillId="0" borderId="7" xfId="6" applyFont="1" applyBorder="1" applyAlignment="1">
      <alignment horizontal="left"/>
    </xf>
    <xf numFmtId="0" fontId="4" fillId="0" borderId="6" xfId="6" applyFont="1" applyBorder="1" applyAlignment="1">
      <alignment horizontal="left"/>
    </xf>
    <xf numFmtId="0" fontId="4" fillId="0" borderId="5" xfId="6" applyFont="1" applyBorder="1" applyAlignment="1">
      <alignment horizontal="left"/>
    </xf>
    <xf numFmtId="0" fontId="4" fillId="0" borderId="44" xfId="6" applyFont="1" applyBorder="1" applyAlignment="1">
      <alignment horizontal="left"/>
    </xf>
    <xf numFmtId="0" fontId="4" fillId="0" borderId="22" xfId="6" applyFont="1" applyBorder="1" applyAlignment="1">
      <alignment horizontal="left"/>
    </xf>
    <xf numFmtId="0" fontId="4" fillId="0" borderId="43" xfId="6" applyFont="1" applyBorder="1" applyAlignment="1">
      <alignment horizontal="left"/>
    </xf>
    <xf numFmtId="0" fontId="19" fillId="0" borderId="23" xfId="1" applyFont="1" applyBorder="1" applyAlignment="1">
      <alignment horizontal="left" wrapText="1"/>
    </xf>
    <xf numFmtId="0" fontId="20" fillId="0" borderId="24" xfId="1" applyFont="1" applyBorder="1" applyAlignment="1">
      <alignment horizontal="left" wrapText="1"/>
    </xf>
    <xf numFmtId="0" fontId="20" fillId="0" borderId="18" xfId="1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6" fillId="6" borderId="42" xfId="2" applyFont="1" applyFill="1" applyBorder="1" applyAlignment="1">
      <alignment horizontal="center"/>
    </xf>
    <xf numFmtId="0" fontId="6" fillId="6" borderId="33" xfId="2" applyFont="1" applyFill="1" applyBorder="1" applyAlignment="1">
      <alignment horizontal="center"/>
    </xf>
    <xf numFmtId="0" fontId="4" fillId="3" borderId="45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40" fillId="5" borderId="9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164" fontId="31" fillId="0" borderId="9" xfId="0" applyNumberFormat="1" applyFont="1" applyBorder="1" applyAlignment="1">
      <alignment horizontal="center" wrapText="1"/>
    </xf>
    <xf numFmtId="164" fontId="31" fillId="0" borderId="5" xfId="0" applyNumberFormat="1" applyFont="1" applyBorder="1" applyAlignment="1">
      <alignment horizontal="center" wrapText="1"/>
    </xf>
    <xf numFmtId="0" fontId="29" fillId="0" borderId="37" xfId="1" applyFont="1" applyBorder="1" applyAlignment="1">
      <alignment horizontal="left" wrapText="1"/>
    </xf>
    <xf numFmtId="0" fontId="29" fillId="0" borderId="38" xfId="1" applyFont="1" applyBorder="1" applyAlignment="1">
      <alignment horizontal="left" wrapText="1"/>
    </xf>
    <xf numFmtId="0" fontId="29" fillId="0" borderId="41" xfId="1" applyFont="1" applyBorder="1" applyAlignment="1">
      <alignment horizontal="left" wrapText="1"/>
    </xf>
    <xf numFmtId="0" fontId="29" fillId="0" borderId="20" xfId="1" applyFont="1" applyBorder="1" applyAlignment="1">
      <alignment horizontal="left" wrapText="1"/>
    </xf>
    <xf numFmtId="0" fontId="29" fillId="0" borderId="0" xfId="1" applyFont="1" applyAlignment="1">
      <alignment horizontal="left" wrapText="1"/>
    </xf>
    <xf numFmtId="0" fontId="29" fillId="0" borderId="19" xfId="1" applyFont="1" applyBorder="1" applyAlignment="1">
      <alignment horizontal="left" wrapText="1"/>
    </xf>
    <xf numFmtId="0" fontId="31" fillId="0" borderId="20" xfId="1" applyFont="1" applyBorder="1" applyAlignment="1">
      <alignment horizontal="left"/>
    </xf>
    <xf numFmtId="0" fontId="31" fillId="0" borderId="0" xfId="1" applyFont="1" applyAlignment="1">
      <alignment horizontal="left"/>
    </xf>
    <xf numFmtId="0" fontId="31" fillId="0" borderId="19" xfId="1" applyFont="1" applyBorder="1" applyAlignment="1">
      <alignment horizontal="left"/>
    </xf>
    <xf numFmtId="0" fontId="23" fillId="9" borderId="40" xfId="0" applyFont="1" applyFill="1" applyBorder="1" applyAlignment="1">
      <alignment horizontal="center" vertical="center" wrapText="1"/>
    </xf>
    <xf numFmtId="0" fontId="23" fillId="9" borderId="35" xfId="0" applyFont="1" applyFill="1" applyBorder="1" applyAlignment="1">
      <alignment horizontal="center" vertical="center" wrapText="1"/>
    </xf>
    <xf numFmtId="164" fontId="4" fillId="0" borderId="21" xfId="1" applyNumberFormat="1" applyFont="1" applyBorder="1" applyAlignment="1">
      <alignment horizontal="center"/>
    </xf>
    <xf numFmtId="164" fontId="4" fillId="0" borderId="43" xfId="1" applyNumberFormat="1" applyFont="1" applyBorder="1" applyAlignment="1">
      <alignment horizontal="center"/>
    </xf>
    <xf numFmtId="0" fontId="4" fillId="0" borderId="46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44" xfId="1" applyFont="1" applyBorder="1" applyAlignment="1">
      <alignment horizontal="left"/>
    </xf>
    <xf numFmtId="0" fontId="4" fillId="0" borderId="22" xfId="1" applyFont="1" applyBorder="1" applyAlignment="1">
      <alignment horizontal="left"/>
    </xf>
    <xf numFmtId="0" fontId="4" fillId="0" borderId="43" xfId="1" applyFont="1" applyBorder="1" applyAlignment="1">
      <alignment horizontal="left"/>
    </xf>
    <xf numFmtId="0" fontId="20" fillId="0" borderId="37" xfId="1" applyFont="1" applyBorder="1" applyAlignment="1">
      <alignment horizontal="left" wrapText="1"/>
    </xf>
    <xf numFmtId="0" fontId="20" fillId="0" borderId="38" xfId="1" applyFont="1" applyBorder="1" applyAlignment="1">
      <alignment horizontal="left" wrapText="1"/>
    </xf>
    <xf numFmtId="0" fontId="20" fillId="0" borderId="41" xfId="1" applyFont="1" applyBorder="1" applyAlignment="1">
      <alignment horizontal="left" wrapText="1"/>
    </xf>
    <xf numFmtId="0" fontId="17" fillId="0" borderId="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4" fillId="0" borderId="7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2" fillId="9" borderId="40" xfId="0" applyFont="1" applyFill="1" applyBorder="1" applyAlignment="1">
      <alignment horizontal="center" vertical="center" wrapText="1"/>
    </xf>
    <xf numFmtId="0" fontId="42" fillId="9" borderId="35" xfId="0" applyFont="1" applyFill="1" applyBorder="1" applyAlignment="1">
      <alignment horizontal="center" vertical="center" wrapText="1"/>
    </xf>
    <xf numFmtId="0" fontId="24" fillId="0" borderId="37" xfId="1" applyFont="1" applyBorder="1" applyAlignment="1">
      <alignment horizontal="right"/>
    </xf>
    <xf numFmtId="0" fontId="24" fillId="0" borderId="38" xfId="1" applyFont="1" applyBorder="1" applyAlignment="1">
      <alignment horizontal="right"/>
    </xf>
    <xf numFmtId="0" fontId="24" fillId="0" borderId="12" xfId="1" applyFont="1" applyBorder="1" applyAlignment="1">
      <alignment horizontal="right"/>
    </xf>
    <xf numFmtId="164" fontId="44" fillId="0" borderId="11" xfId="1" applyNumberFormat="1" applyFont="1" applyBorder="1" applyAlignment="1">
      <alignment horizontal="right"/>
    </xf>
    <xf numFmtId="0" fontId="44" fillId="3" borderId="25" xfId="1" applyFont="1" applyFill="1" applyBorder="1" applyAlignment="1">
      <alignment horizontal="center"/>
    </xf>
    <xf numFmtId="0" fontId="44" fillId="3" borderId="41" xfId="1" applyFont="1" applyFill="1" applyBorder="1" applyAlignment="1">
      <alignment horizontal="center"/>
    </xf>
    <xf numFmtId="0" fontId="24" fillId="0" borderId="7" xfId="1" applyFont="1" applyBorder="1" applyAlignment="1">
      <alignment horizontal="right"/>
    </xf>
    <xf numFmtId="0" fontId="24" fillId="0" borderId="6" xfId="1" applyFont="1" applyBorder="1" applyAlignment="1">
      <alignment horizontal="right"/>
    </xf>
    <xf numFmtId="0" fontId="24" fillId="0" borderId="8" xfId="1" applyFont="1" applyBorder="1" applyAlignment="1">
      <alignment horizontal="right"/>
    </xf>
    <xf numFmtId="0" fontId="44" fillId="0" borderId="14" xfId="1" applyFont="1" applyBorder="1" applyAlignment="1">
      <alignment horizontal="right"/>
    </xf>
    <xf numFmtId="164" fontId="44" fillId="0" borderId="9" xfId="1" applyNumberFormat="1" applyFont="1" applyBorder="1" applyAlignment="1">
      <alignment horizontal="center"/>
    </xf>
    <xf numFmtId="164" fontId="44" fillId="0" borderId="5" xfId="1" applyNumberFormat="1" applyFont="1" applyBorder="1" applyAlignment="1">
      <alignment horizontal="center"/>
    </xf>
    <xf numFmtId="164" fontId="44" fillId="0" borderId="9" xfId="1" applyNumberFormat="1" applyFont="1" applyBorder="1" applyAlignment="1">
      <alignment horizontal="right" wrapText="1"/>
    </xf>
    <xf numFmtId="164" fontId="44" fillId="0" borderId="8" xfId="1" applyNumberFormat="1" applyFont="1" applyBorder="1" applyAlignment="1">
      <alignment horizontal="right" wrapText="1"/>
    </xf>
    <xf numFmtId="0" fontId="44" fillId="0" borderId="37" xfId="1" applyFont="1" applyBorder="1" applyAlignment="1">
      <alignment horizontal="left"/>
    </xf>
    <xf numFmtId="0" fontId="44" fillId="0" borderId="38" xfId="1" applyFont="1" applyBorder="1" applyAlignment="1">
      <alignment horizontal="left"/>
    </xf>
    <xf numFmtId="0" fontId="44" fillId="0" borderId="41" xfId="1" applyFont="1" applyBorder="1" applyAlignment="1">
      <alignment horizontal="left"/>
    </xf>
    <xf numFmtId="0" fontId="24" fillId="0" borderId="4" xfId="1" applyFont="1" applyBorder="1" applyAlignment="1">
      <alignment horizontal="right"/>
    </xf>
    <xf numFmtId="0" fontId="24" fillId="0" borderId="3" xfId="1" applyFont="1" applyBorder="1" applyAlignment="1">
      <alignment horizontal="right"/>
    </xf>
    <xf numFmtId="0" fontId="24" fillId="0" borderId="2" xfId="1" applyFont="1" applyBorder="1" applyAlignment="1">
      <alignment horizontal="right"/>
    </xf>
    <xf numFmtId="0" fontId="44" fillId="0" borderId="2" xfId="1" applyFont="1" applyBorder="1" applyAlignment="1">
      <alignment horizontal="right"/>
    </xf>
    <xf numFmtId="164" fontId="44" fillId="0" borderId="21" xfId="1" applyNumberFormat="1" applyFont="1" applyBorder="1" applyAlignment="1">
      <alignment horizontal="center"/>
    </xf>
    <xf numFmtId="164" fontId="44" fillId="0" borderId="43" xfId="1" applyNumberFormat="1" applyFont="1" applyBorder="1" applyAlignment="1">
      <alignment horizontal="center"/>
    </xf>
    <xf numFmtId="0" fontId="24" fillId="2" borderId="40" xfId="1" applyFont="1" applyFill="1" applyBorder="1" applyAlignment="1">
      <alignment horizontal="left"/>
    </xf>
    <xf numFmtId="0" fontId="24" fillId="2" borderId="35" xfId="1" applyFont="1" applyFill="1" applyBorder="1" applyAlignment="1">
      <alignment horizontal="left"/>
    </xf>
    <xf numFmtId="0" fontId="24" fillId="2" borderId="36" xfId="1" applyFont="1" applyFill="1" applyBorder="1" applyAlignment="1">
      <alignment horizontal="left"/>
    </xf>
    <xf numFmtId="0" fontId="44" fillId="0" borderId="46" xfId="0" applyFont="1" applyBorder="1" applyAlignment="1">
      <alignment horizontal="left"/>
    </xf>
    <xf numFmtId="0" fontId="44" fillId="0" borderId="24" xfId="0" applyFont="1" applyBorder="1" applyAlignment="1">
      <alignment horizontal="left"/>
    </xf>
    <xf numFmtId="0" fontId="44" fillId="0" borderId="7" xfId="0" applyFont="1" applyBorder="1" applyAlignment="1">
      <alignment horizontal="left" wrapText="1"/>
    </xf>
    <xf numFmtId="0" fontId="44" fillId="0" borderId="6" xfId="0" applyFont="1" applyBorder="1" applyAlignment="1">
      <alignment horizontal="left"/>
    </xf>
    <xf numFmtId="0" fontId="44" fillId="0" borderId="7" xfId="0" applyFont="1" applyBorder="1" applyAlignment="1">
      <alignment horizontal="left"/>
    </xf>
    <xf numFmtId="0" fontId="44" fillId="0" borderId="5" xfId="0" applyFont="1" applyBorder="1" applyAlignment="1">
      <alignment horizontal="left"/>
    </xf>
    <xf numFmtId="0" fontId="24" fillId="0" borderId="37" xfId="1" applyFont="1" applyBorder="1" applyAlignment="1">
      <alignment horizontal="left" wrapText="1"/>
    </xf>
    <xf numFmtId="0" fontId="24" fillId="0" borderId="38" xfId="1" applyFont="1" applyBorder="1" applyAlignment="1">
      <alignment horizontal="left" wrapText="1"/>
    </xf>
    <xf numFmtId="0" fontId="24" fillId="0" borderId="41" xfId="1" applyFont="1" applyBorder="1" applyAlignment="1">
      <alignment horizontal="left" wrapText="1"/>
    </xf>
    <xf numFmtId="0" fontId="44" fillId="0" borderId="57" xfId="1" applyFont="1" applyBorder="1" applyAlignment="1">
      <alignment horizontal="left"/>
    </xf>
    <xf numFmtId="0" fontId="44" fillId="0" borderId="28" xfId="1" applyFont="1" applyBorder="1" applyAlignment="1">
      <alignment horizontal="left"/>
    </xf>
    <xf numFmtId="0" fontId="44" fillId="0" borderId="58" xfId="1" applyFont="1" applyBorder="1" applyAlignment="1">
      <alignment horizontal="left"/>
    </xf>
    <xf numFmtId="0" fontId="44" fillId="0" borderId="44" xfId="1" applyFont="1" applyBorder="1" applyAlignment="1">
      <alignment horizontal="left"/>
    </xf>
    <xf numFmtId="0" fontId="44" fillId="0" borderId="22" xfId="1" applyFont="1" applyBorder="1" applyAlignment="1">
      <alignment horizontal="left"/>
    </xf>
    <xf numFmtId="0" fontId="44" fillId="0" borderId="43" xfId="1" applyFont="1" applyBorder="1" applyAlignment="1">
      <alignment horizontal="left"/>
    </xf>
    <xf numFmtId="0" fontId="24" fillId="6" borderId="42" xfId="2" applyFont="1" applyFill="1" applyBorder="1" applyAlignment="1">
      <alignment horizontal="center"/>
    </xf>
    <xf numFmtId="0" fontId="24" fillId="6" borderId="33" xfId="2" applyFont="1" applyFill="1" applyBorder="1" applyAlignment="1">
      <alignment horizontal="center"/>
    </xf>
    <xf numFmtId="0" fontId="44" fillId="3" borderId="45" xfId="2" applyFont="1" applyFill="1" applyBorder="1" applyAlignment="1">
      <alignment horizontal="left"/>
    </xf>
    <xf numFmtId="0" fontId="44" fillId="3" borderId="0" xfId="2" applyFont="1" applyFill="1" applyAlignment="1">
      <alignment horizontal="left"/>
    </xf>
    <xf numFmtId="0" fontId="5" fillId="5" borderId="40" xfId="2" applyFont="1" applyFill="1" applyBorder="1" applyAlignment="1">
      <alignment horizontal="center" vertical="center" wrapText="1"/>
    </xf>
    <xf numFmtId="0" fontId="5" fillId="5" borderId="35" xfId="2" applyFont="1" applyFill="1" applyBorder="1" applyAlignment="1">
      <alignment horizontal="center" vertical="center" wrapText="1"/>
    </xf>
    <xf numFmtId="0" fontId="5" fillId="5" borderId="36" xfId="2" applyFont="1" applyFill="1" applyBorder="1" applyAlignment="1">
      <alignment horizontal="center" vertical="center" wrapText="1"/>
    </xf>
    <xf numFmtId="0" fontId="5" fillId="0" borderId="37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5" xfId="1" applyFont="1" applyFill="1" applyBorder="1" applyAlignment="1">
      <alignment horizontal="center"/>
    </xf>
    <xf numFmtId="0" fontId="10" fillId="3" borderId="41" xfId="1" applyFont="1" applyFill="1" applyBorder="1" applyAlignment="1">
      <alignment horizontal="center"/>
    </xf>
    <xf numFmtId="0" fontId="5" fillId="0" borderId="7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5" fillId="0" borderId="8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9" fillId="0" borderId="37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164" fontId="10" fillId="0" borderId="9" xfId="0" applyNumberFormat="1" applyFont="1" applyBorder="1" applyAlignment="1">
      <alignment horizontal="center" wrapText="1"/>
    </xf>
    <xf numFmtId="164" fontId="10" fillId="0" borderId="5" xfId="0" applyNumberFormat="1" applyFont="1" applyBorder="1" applyAlignment="1">
      <alignment horizontal="center" wrapText="1"/>
    </xf>
    <xf numFmtId="0" fontId="5" fillId="0" borderId="4" xfId="1" applyFont="1" applyBorder="1" applyAlignment="1">
      <alignment horizontal="right"/>
    </xf>
    <xf numFmtId="0" fontId="5" fillId="0" borderId="3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5" fillId="2" borderId="40" xfId="1" applyFont="1" applyFill="1" applyBorder="1" applyAlignment="1">
      <alignment horizontal="left"/>
    </xf>
    <xf numFmtId="0" fontId="5" fillId="2" borderId="35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6" borderId="42" xfId="2" applyFont="1" applyFill="1" applyBorder="1" applyAlignment="1">
      <alignment horizontal="center"/>
    </xf>
    <xf numFmtId="0" fontId="5" fillId="6" borderId="33" xfId="2" applyFont="1" applyFill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9" fillId="0" borderId="5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58" xfId="0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44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43" xfId="0" applyFont="1" applyBorder="1" applyAlignment="1">
      <alignment horizontal="left"/>
    </xf>
    <xf numFmtId="14" fontId="48" fillId="3" borderId="31" xfId="2" applyNumberFormat="1" applyFont="1" applyFill="1" applyBorder="1" applyAlignment="1">
      <alignment horizontal="center" vertical="center" wrapText="1"/>
    </xf>
    <xf numFmtId="14" fontId="48" fillId="3" borderId="29" xfId="2" applyNumberFormat="1" applyFont="1" applyFill="1" applyBorder="1" applyAlignment="1">
      <alignment horizontal="center" vertical="center" wrapText="1"/>
    </xf>
    <xf numFmtId="14" fontId="48" fillId="3" borderId="10" xfId="2" applyNumberFormat="1" applyFont="1" applyFill="1" applyBorder="1" applyAlignment="1">
      <alignment horizontal="center" vertical="center" wrapText="1"/>
    </xf>
    <xf numFmtId="0" fontId="48" fillId="3" borderId="23" xfId="2" applyFont="1" applyFill="1" applyBorder="1" applyAlignment="1">
      <alignment horizontal="left"/>
    </xf>
    <xf numFmtId="0" fontId="48" fillId="3" borderId="24" xfId="2" applyFont="1" applyFill="1" applyBorder="1" applyAlignment="1">
      <alignment horizontal="left"/>
    </xf>
    <xf numFmtId="0" fontId="48" fillId="3" borderId="18" xfId="2" applyFont="1" applyFill="1" applyBorder="1" applyAlignment="1">
      <alignment horizontal="left"/>
    </xf>
    <xf numFmtId="0" fontId="48" fillId="3" borderId="9" xfId="2" applyFont="1" applyFill="1" applyBorder="1" applyAlignment="1">
      <alignment horizontal="left"/>
    </xf>
    <xf numFmtId="0" fontId="48" fillId="3" borderId="6" xfId="2" applyFont="1" applyFill="1" applyBorder="1" applyAlignment="1">
      <alignment horizontal="left"/>
    </xf>
    <xf numFmtId="0" fontId="48" fillId="3" borderId="8" xfId="2" applyFont="1" applyFill="1" applyBorder="1" applyAlignment="1">
      <alignment horizontal="left"/>
    </xf>
    <xf numFmtId="0" fontId="48" fillId="3" borderId="34" xfId="2" applyFont="1" applyFill="1" applyBorder="1" applyAlignment="1">
      <alignment horizontal="center"/>
    </xf>
    <xf numFmtId="0" fontId="48" fillId="3" borderId="33" xfId="2" applyFont="1" applyFill="1" applyBorder="1" applyAlignment="1">
      <alignment horizontal="center"/>
    </xf>
    <xf numFmtId="0" fontId="48" fillId="3" borderId="20" xfId="2" applyFont="1" applyFill="1" applyBorder="1" applyAlignment="1">
      <alignment horizontal="center"/>
    </xf>
    <xf numFmtId="0" fontId="48" fillId="3" borderId="0" xfId="2" applyFont="1" applyFill="1" applyAlignment="1">
      <alignment horizontal="center"/>
    </xf>
    <xf numFmtId="0" fontId="48" fillId="3" borderId="37" xfId="2" applyFont="1" applyFill="1" applyBorder="1" applyAlignment="1">
      <alignment horizontal="center"/>
    </xf>
    <xf numFmtId="0" fontId="48" fillId="3" borderId="38" xfId="2" applyFont="1" applyFill="1" applyBorder="1" applyAlignment="1">
      <alignment horizontal="center"/>
    </xf>
    <xf numFmtId="0" fontId="23" fillId="3" borderId="17" xfId="2" applyFont="1" applyFill="1" applyBorder="1" applyAlignment="1">
      <alignment horizontal="center"/>
    </xf>
    <xf numFmtId="0" fontId="23" fillId="3" borderId="21" xfId="2" applyFont="1" applyFill="1" applyBorder="1" applyAlignment="1">
      <alignment horizontal="center"/>
    </xf>
    <xf numFmtId="0" fontId="23" fillId="3" borderId="22" xfId="2" applyFont="1" applyFill="1" applyBorder="1" applyAlignment="1">
      <alignment horizontal="center"/>
    </xf>
    <xf numFmtId="0" fontId="23" fillId="3" borderId="3" xfId="2" applyFont="1" applyFill="1" applyBorder="1" applyAlignment="1">
      <alignment horizontal="center"/>
    </xf>
    <xf numFmtId="0" fontId="49" fillId="5" borderId="14" xfId="2" applyFont="1" applyFill="1" applyBorder="1" applyAlignment="1">
      <alignment horizontal="center" vertical="center" wrapText="1"/>
    </xf>
    <xf numFmtId="0" fontId="23" fillId="3" borderId="32" xfId="2" applyFont="1" applyFill="1" applyBorder="1" applyAlignment="1">
      <alignment horizontal="right" vertical="top" wrapText="1"/>
    </xf>
    <xf numFmtId="0" fontId="23" fillId="3" borderId="30" xfId="2" applyFont="1" applyFill="1" applyBorder="1" applyAlignment="1">
      <alignment horizontal="right" vertical="top" wrapText="1"/>
    </xf>
    <xf numFmtId="0" fontId="23" fillId="3" borderId="27" xfId="2" applyFont="1" applyFill="1" applyBorder="1" applyAlignment="1">
      <alignment horizontal="right" vertical="top" wrapText="1"/>
    </xf>
    <xf numFmtId="0" fontId="50" fillId="3" borderId="28" xfId="2" applyFont="1" applyFill="1" applyBorder="1" applyAlignment="1">
      <alignment horizontal="center"/>
    </xf>
    <xf numFmtId="0" fontId="23" fillId="2" borderId="39" xfId="1" applyFont="1" applyFill="1" applyBorder="1" applyAlignment="1">
      <alignment horizontal="center" vertical="center"/>
    </xf>
    <xf numFmtId="0" fontId="23" fillId="2" borderId="4" xfId="1" applyFont="1" applyFill="1" applyBorder="1" applyAlignment="1">
      <alignment horizontal="center" vertical="center"/>
    </xf>
    <xf numFmtId="0" fontId="23" fillId="2" borderId="39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/>
    </xf>
    <xf numFmtId="0" fontId="23" fillId="2" borderId="17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0" fontId="23" fillId="0" borderId="37" xfId="1" applyFont="1" applyBorder="1" applyAlignment="1">
      <alignment horizontal="right"/>
    </xf>
    <xf numFmtId="0" fontId="23" fillId="0" borderId="38" xfId="1" applyFont="1" applyBorder="1" applyAlignment="1">
      <alignment horizontal="right"/>
    </xf>
    <xf numFmtId="0" fontId="23" fillId="0" borderId="12" xfId="1" applyFont="1" applyBorder="1" applyAlignment="1">
      <alignment horizontal="right"/>
    </xf>
    <xf numFmtId="164" fontId="48" fillId="0" borderId="11" xfId="1" applyNumberFormat="1" applyFont="1" applyBorder="1" applyAlignment="1">
      <alignment horizontal="right"/>
    </xf>
    <xf numFmtId="0" fontId="48" fillId="3" borderId="25" xfId="1" applyFont="1" applyFill="1" applyBorder="1" applyAlignment="1">
      <alignment horizontal="center"/>
    </xf>
    <xf numFmtId="0" fontId="48" fillId="3" borderId="41" xfId="1" applyFont="1" applyFill="1" applyBorder="1" applyAlignment="1">
      <alignment horizontal="center"/>
    </xf>
    <xf numFmtId="0" fontId="23" fillId="0" borderId="7" xfId="1" applyFont="1" applyBorder="1" applyAlignment="1">
      <alignment horizontal="right"/>
    </xf>
    <xf numFmtId="0" fontId="23" fillId="0" borderId="6" xfId="1" applyFont="1" applyBorder="1" applyAlignment="1">
      <alignment horizontal="right"/>
    </xf>
    <xf numFmtId="0" fontId="23" fillId="0" borderId="8" xfId="1" applyFont="1" applyBorder="1" applyAlignment="1">
      <alignment horizontal="right"/>
    </xf>
    <xf numFmtId="0" fontId="48" fillId="0" borderId="14" xfId="1" applyFont="1" applyBorder="1" applyAlignment="1">
      <alignment horizontal="right"/>
    </xf>
    <xf numFmtId="164" fontId="48" fillId="0" borderId="9" xfId="1" applyNumberFormat="1" applyFont="1" applyBorder="1" applyAlignment="1">
      <alignment horizontal="center"/>
    </xf>
    <xf numFmtId="164" fontId="48" fillId="0" borderId="5" xfId="1" applyNumberFormat="1" applyFont="1" applyBorder="1" applyAlignment="1">
      <alignment horizontal="center"/>
    </xf>
    <xf numFmtId="164" fontId="48" fillId="0" borderId="9" xfId="1" applyNumberFormat="1" applyFont="1" applyBorder="1" applyAlignment="1">
      <alignment horizontal="right" wrapText="1"/>
    </xf>
    <xf numFmtId="164" fontId="48" fillId="0" borderId="8" xfId="1" applyNumberFormat="1" applyFont="1" applyBorder="1" applyAlignment="1">
      <alignment horizontal="right" wrapText="1"/>
    </xf>
    <xf numFmtId="164" fontId="48" fillId="0" borderId="9" xfId="0" applyNumberFormat="1" applyFont="1" applyBorder="1" applyAlignment="1">
      <alignment horizontal="center" wrapText="1"/>
    </xf>
    <xf numFmtId="164" fontId="48" fillId="0" borderId="5" xfId="0" applyNumberFormat="1" applyFont="1" applyBorder="1" applyAlignment="1">
      <alignment horizontal="center" wrapText="1"/>
    </xf>
    <xf numFmtId="0" fontId="48" fillId="0" borderId="14" xfId="1" applyFont="1" applyBorder="1" applyAlignment="1">
      <alignment horizontal="left"/>
    </xf>
    <xf numFmtId="0" fontId="23" fillId="0" borderId="4" xfId="1" applyFont="1" applyBorder="1" applyAlignment="1">
      <alignment horizontal="right"/>
    </xf>
    <xf numFmtId="0" fontId="23" fillId="0" borderId="3" xfId="1" applyFont="1" applyBorder="1" applyAlignment="1">
      <alignment horizontal="right"/>
    </xf>
    <xf numFmtId="0" fontId="23" fillId="0" borderId="2" xfId="1" applyFont="1" applyBorder="1" applyAlignment="1">
      <alignment horizontal="right"/>
    </xf>
    <xf numFmtId="0" fontId="48" fillId="0" borderId="2" xfId="1" applyFont="1" applyBorder="1" applyAlignment="1">
      <alignment horizontal="right"/>
    </xf>
    <xf numFmtId="0" fontId="23" fillId="2" borderId="40" xfId="1" applyFont="1" applyFill="1" applyBorder="1" applyAlignment="1">
      <alignment horizontal="left"/>
    </xf>
    <xf numFmtId="0" fontId="23" fillId="2" borderId="35" xfId="1" applyFont="1" applyFill="1" applyBorder="1" applyAlignment="1">
      <alignment horizontal="left"/>
    </xf>
    <xf numFmtId="0" fontId="23" fillId="2" borderId="36" xfId="1" applyFont="1" applyFill="1" applyBorder="1" applyAlignment="1">
      <alignment horizontal="left"/>
    </xf>
    <xf numFmtId="0" fontId="53" fillId="0" borderId="37" xfId="0" applyFont="1" applyBorder="1" applyAlignment="1">
      <alignment horizontal="left"/>
    </xf>
    <xf numFmtId="0" fontId="53" fillId="0" borderId="38" xfId="0" applyFont="1" applyBorder="1" applyAlignment="1">
      <alignment horizontal="left"/>
    </xf>
    <xf numFmtId="0" fontId="53" fillId="0" borderId="41" xfId="0" applyFont="1" applyBorder="1" applyAlignment="1">
      <alignment horizontal="left"/>
    </xf>
    <xf numFmtId="0" fontId="53" fillId="0" borderId="7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5" xfId="0" applyFont="1" applyBorder="1" applyAlignment="1">
      <alignment horizontal="left"/>
    </xf>
    <xf numFmtId="0" fontId="48" fillId="0" borderId="9" xfId="0" applyFont="1" applyBorder="1" applyAlignment="1">
      <alignment horizontal="left" wrapText="1"/>
    </xf>
    <xf numFmtId="0" fontId="48" fillId="0" borderId="6" xfId="0" applyFont="1" applyBorder="1" applyAlignment="1">
      <alignment horizontal="left" wrapText="1"/>
    </xf>
    <xf numFmtId="0" fontId="48" fillId="0" borderId="8" xfId="0" applyFont="1" applyBorder="1" applyAlignment="1">
      <alignment horizontal="left" wrapText="1"/>
    </xf>
    <xf numFmtId="0" fontId="23" fillId="6" borderId="42" xfId="2" applyFont="1" applyFill="1" applyBorder="1" applyAlignment="1">
      <alignment horizontal="center"/>
    </xf>
    <xf numFmtId="0" fontId="23" fillId="6" borderId="33" xfId="2" applyFont="1" applyFill="1" applyBorder="1" applyAlignment="1">
      <alignment horizontal="center"/>
    </xf>
    <xf numFmtId="0" fontId="48" fillId="3" borderId="14" xfId="2" applyFont="1" applyFill="1" applyBorder="1" applyAlignment="1">
      <alignment horizontal="left"/>
    </xf>
    <xf numFmtId="0" fontId="5" fillId="5" borderId="49" xfId="2" applyFont="1" applyFill="1" applyBorder="1" applyAlignment="1">
      <alignment horizontal="center"/>
    </xf>
    <xf numFmtId="0" fontId="5" fillId="5" borderId="50" xfId="2" applyFont="1" applyFill="1" applyBorder="1" applyAlignment="1">
      <alignment horizontal="center"/>
    </xf>
    <xf numFmtId="0" fontId="5" fillId="5" borderId="51" xfId="2" applyFont="1" applyFill="1" applyBorder="1" applyAlignment="1">
      <alignment horizontal="center"/>
    </xf>
    <xf numFmtId="0" fontId="10" fillId="3" borderId="45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5" xfId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9" fillId="0" borderId="14" xfId="1" applyFont="1" applyBorder="1" applyAlignment="1">
      <alignment horizontal="left"/>
    </xf>
    <xf numFmtId="0" fontId="9" fillId="0" borderId="13" xfId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1" fillId="0" borderId="37" xfId="0" applyFont="1" applyBorder="1" applyAlignment="1">
      <alignment horizontal="left"/>
    </xf>
    <xf numFmtId="0" fontId="31" fillId="0" borderId="38" xfId="0" applyFont="1" applyBorder="1" applyAlignment="1">
      <alignment horizontal="left"/>
    </xf>
    <xf numFmtId="0" fontId="31" fillId="0" borderId="41" xfId="0" applyFont="1" applyBorder="1" applyAlignment="1">
      <alignment horizontal="left"/>
    </xf>
    <xf numFmtId="0" fontId="29" fillId="2" borderId="40" xfId="1" applyFont="1" applyFill="1" applyBorder="1" applyAlignment="1">
      <alignment horizontal="left"/>
    </xf>
    <xf numFmtId="0" fontId="29" fillId="2" borderId="35" xfId="1" applyFont="1" applyFill="1" applyBorder="1" applyAlignment="1">
      <alignment horizontal="left"/>
    </xf>
    <xf numFmtId="0" fontId="29" fillId="2" borderId="36" xfId="1" applyFont="1" applyFill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6" borderId="42" xfId="2" applyFont="1" applyFill="1" applyBorder="1" applyAlignment="1">
      <alignment horizontal="center"/>
    </xf>
    <xf numFmtId="0" fontId="29" fillId="6" borderId="33" xfId="2" applyFont="1" applyFill="1" applyBorder="1" applyAlignment="1">
      <alignment horizontal="center"/>
    </xf>
    <xf numFmtId="0" fontId="31" fillId="3" borderId="9" xfId="2" applyFont="1" applyFill="1" applyBorder="1" applyAlignment="1">
      <alignment horizontal="left"/>
    </xf>
    <xf numFmtId="0" fontId="31" fillId="3" borderId="6" xfId="2" applyFont="1" applyFill="1" applyBorder="1" applyAlignment="1">
      <alignment horizontal="left"/>
    </xf>
    <xf numFmtId="0" fontId="31" fillId="3" borderId="8" xfId="2" applyFont="1" applyFill="1" applyBorder="1" applyAlignment="1">
      <alignment horizontal="left"/>
    </xf>
    <xf numFmtId="0" fontId="31" fillId="0" borderId="15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1" fillId="0" borderId="7" xfId="0" applyFont="1" applyBorder="1" applyAlignment="1">
      <alignment horizontal="left" wrapText="1"/>
    </xf>
    <xf numFmtId="0" fontId="31" fillId="0" borderId="6" xfId="0" applyFont="1" applyBorder="1" applyAlignment="1">
      <alignment horizontal="left" wrapText="1"/>
    </xf>
    <xf numFmtId="0" fontId="31" fillId="0" borderId="8" xfId="0" applyFont="1" applyBorder="1" applyAlignment="1">
      <alignment horizontal="left" wrapText="1"/>
    </xf>
    <xf numFmtId="0" fontId="31" fillId="0" borderId="44" xfId="0" applyFont="1" applyBorder="1" applyAlignment="1">
      <alignment horizontal="left"/>
    </xf>
    <xf numFmtId="0" fontId="31" fillId="0" borderId="22" xfId="0" applyFont="1" applyBorder="1" applyAlignment="1">
      <alignment horizontal="left"/>
    </xf>
    <xf numFmtId="0" fontId="31" fillId="0" borderId="43" xfId="0" applyFont="1" applyBorder="1" applyAlignment="1">
      <alignment horizontal="left"/>
    </xf>
    <xf numFmtId="0" fontId="23" fillId="5" borderId="46" xfId="2" applyFont="1" applyFill="1" applyBorder="1" applyAlignment="1">
      <alignment horizontal="center" vertical="center" wrapText="1"/>
    </xf>
    <xf numFmtId="0" fontId="23" fillId="5" borderId="24" xfId="2" applyFont="1" applyFill="1" applyBorder="1" applyAlignment="1">
      <alignment horizontal="center" vertical="center" wrapText="1"/>
    </xf>
    <xf numFmtId="0" fontId="23" fillId="5" borderId="47" xfId="2" applyFont="1" applyFill="1" applyBorder="1" applyAlignment="1">
      <alignment horizontal="center" vertical="center" wrapText="1"/>
    </xf>
    <xf numFmtId="0" fontId="48" fillId="0" borderId="15" xfId="0" applyFont="1" applyBorder="1" applyAlignment="1">
      <alignment horizontal="left" wrapText="1"/>
    </xf>
    <xf numFmtId="0" fontId="48" fillId="0" borderId="14" xfId="0" applyFont="1" applyBorder="1" applyAlignment="1">
      <alignment horizontal="left" wrapText="1"/>
    </xf>
    <xf numFmtId="0" fontId="48" fillId="0" borderId="13" xfId="0" applyFont="1" applyBorder="1" applyAlignment="1">
      <alignment horizontal="left" wrapText="1"/>
    </xf>
    <xf numFmtId="0" fontId="48" fillId="0" borderId="39" xfId="0" applyFont="1" applyBorder="1" applyAlignment="1">
      <alignment horizontal="left"/>
    </xf>
    <xf numFmtId="0" fontId="48" fillId="0" borderId="18" xfId="0" applyFont="1" applyBorder="1" applyAlignment="1">
      <alignment horizontal="left"/>
    </xf>
    <xf numFmtId="0" fontId="48" fillId="0" borderId="17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51" fillId="0" borderId="7" xfId="0" applyFont="1" applyBorder="1" applyAlignment="1">
      <alignment horizontal="left"/>
    </xf>
    <xf numFmtId="0" fontId="51" fillId="0" borderId="6" xfId="0" applyFont="1" applyBorder="1" applyAlignment="1">
      <alignment horizontal="left"/>
    </xf>
    <xf numFmtId="0" fontId="51" fillId="0" borderId="5" xfId="0" applyFont="1" applyBorder="1" applyAlignment="1">
      <alignment horizontal="left"/>
    </xf>
    <xf numFmtId="0" fontId="48" fillId="3" borderId="45" xfId="2" applyFont="1" applyFill="1" applyBorder="1" applyAlignment="1">
      <alignment horizontal="left"/>
    </xf>
    <xf numFmtId="0" fontId="48" fillId="3" borderId="0" xfId="2" applyFont="1" applyFill="1" applyAlignment="1">
      <alignment horizontal="left"/>
    </xf>
    <xf numFmtId="0" fontId="48" fillId="0" borderId="15" xfId="0" applyFont="1" applyBorder="1" applyAlignment="1">
      <alignment horizontal="left"/>
    </xf>
    <xf numFmtId="0" fontId="48" fillId="0" borderId="8" xfId="0" applyFont="1" applyBorder="1" applyAlignment="1">
      <alignment horizontal="left"/>
    </xf>
    <xf numFmtId="0" fontId="48" fillId="0" borderId="14" xfId="0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7" xfId="0" applyFont="1" applyBorder="1" applyAlignment="1">
      <alignment horizontal="left" vertical="center" wrapText="1"/>
    </xf>
    <xf numFmtId="0" fontId="48" fillId="0" borderId="6" xfId="0" applyFont="1" applyBorder="1" applyAlignment="1">
      <alignment horizontal="left" vertical="center" wrapText="1"/>
    </xf>
    <xf numFmtId="0" fontId="48" fillId="0" borderId="5" xfId="0" applyFont="1" applyBorder="1" applyAlignment="1">
      <alignment horizontal="left" vertical="center" wrapText="1"/>
    </xf>
    <xf numFmtId="0" fontId="48" fillId="0" borderId="48" xfId="0" applyFont="1" applyBorder="1" applyAlignment="1">
      <alignment horizontal="left" wrapText="1"/>
    </xf>
    <xf numFmtId="0" fontId="48" fillId="0" borderId="12" xfId="0" applyFont="1" applyBorder="1" applyAlignment="1">
      <alignment horizontal="left" wrapText="1"/>
    </xf>
    <xf numFmtId="0" fontId="48" fillId="0" borderId="11" xfId="0" applyFont="1" applyBorder="1" applyAlignment="1">
      <alignment horizontal="left" wrapText="1"/>
    </xf>
    <xf numFmtId="0" fontId="48" fillId="0" borderId="10" xfId="0" applyFont="1" applyBorder="1" applyAlignment="1">
      <alignment horizontal="left" wrapText="1"/>
    </xf>
    <xf numFmtId="0" fontId="53" fillId="0" borderId="15" xfId="1" applyFont="1" applyBorder="1" applyAlignment="1">
      <alignment horizontal="left"/>
    </xf>
    <xf numFmtId="0" fontId="53" fillId="0" borderId="8" xfId="1" applyFont="1" applyBorder="1" applyAlignment="1">
      <alignment horizontal="left"/>
    </xf>
    <xf numFmtId="0" fontId="53" fillId="0" borderId="14" xfId="1" applyFont="1" applyBorder="1" applyAlignment="1">
      <alignment horizontal="left"/>
    </xf>
    <xf numFmtId="0" fontId="53" fillId="0" borderId="13" xfId="1" applyFont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48" fillId="0" borderId="5" xfId="0" applyFont="1" applyBorder="1" applyAlignment="1">
      <alignment horizontal="left"/>
    </xf>
    <xf numFmtId="0" fontId="7" fillId="0" borderId="59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164" fontId="10" fillId="0" borderId="21" xfId="1" applyNumberFormat="1" applyFont="1" applyBorder="1" applyAlignment="1">
      <alignment horizontal="center"/>
    </xf>
    <xf numFmtId="164" fontId="10" fillId="0" borderId="43" xfId="1" applyNumberFormat="1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0" fillId="0" borderId="7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10" fillId="0" borderId="4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10" fillId="0" borderId="43" xfId="1" applyFont="1" applyBorder="1" applyAlignment="1">
      <alignment horizontal="left"/>
    </xf>
  </cellXfs>
  <cellStyles count="15">
    <cellStyle name="Millares" xfId="10" builtinId="3"/>
    <cellStyle name="Millares [0]" xfId="13" builtinId="6"/>
    <cellStyle name="Millares 2" xfId="11" xr:uid="{CAD1F1B6-1BB0-40C8-ADB4-59CB1CA2A5E5}"/>
    <cellStyle name="Millares 3" xfId="14" xr:uid="{DF111679-7FFD-40A8-96A3-23C6F9E4933F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" xfId="12" xr:uid="{9C1DF091-EEDE-42AB-B700-0909E38BCE67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119061</xdr:rowOff>
    </xdr:from>
    <xdr:to>
      <xdr:col>1</xdr:col>
      <xdr:colOff>1020504</xdr:colOff>
      <xdr:row>6</xdr:row>
      <xdr:rowOff>69533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414648-48C5-465C-8423-16C84A3B0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19061"/>
          <a:ext cx="2119213" cy="948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95249</xdr:rowOff>
    </xdr:from>
    <xdr:to>
      <xdr:col>1</xdr:col>
      <xdr:colOff>990119</xdr:colOff>
      <xdr:row>5</xdr:row>
      <xdr:rowOff>12381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8F0D0C-F016-4040-B84C-EC613E88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95249"/>
          <a:ext cx="2031677" cy="8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100854</xdr:colOff>
      <xdr:row>0</xdr:row>
      <xdr:rowOff>112059</xdr:rowOff>
    </xdr:from>
    <xdr:to>
      <xdr:col>1</xdr:col>
      <xdr:colOff>829235</xdr:colOff>
      <xdr:row>5</xdr:row>
      <xdr:rowOff>95964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00EA3F9-C675-4B6D-A212-88AE1254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4" y="112059"/>
          <a:ext cx="1787561" cy="898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4</xdr:row>
      <xdr:rowOff>166007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6673AC5-62A7-4B7C-AD03-18AC44C5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55720</xdr:colOff>
      <xdr:row>0</xdr:row>
      <xdr:rowOff>144780</xdr:rowOff>
    </xdr:from>
    <xdr:to>
      <xdr:col>1</xdr:col>
      <xdr:colOff>1018561</xdr:colOff>
      <xdr:row>4</xdr:row>
      <xdr:rowOff>71438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2CC450-4CF1-487B-889E-1ACD1DF6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0" y="144780"/>
          <a:ext cx="1915341" cy="879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11206</xdr:rowOff>
    </xdr:from>
    <xdr:to>
      <xdr:col>1</xdr:col>
      <xdr:colOff>728014</xdr:colOff>
      <xdr:row>4</xdr:row>
      <xdr:rowOff>67683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AA702AB-E941-4A92-AB3E-F81CD669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01706"/>
          <a:ext cx="1464465" cy="627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48B2-A260-4D65-923C-BE89CD012FB3}">
  <dimension ref="A1:Q98"/>
  <sheetViews>
    <sheetView workbookViewId="0">
      <selection activeCell="K33" sqref="K33:L33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7109375" style="699" customWidth="1"/>
    <col min="8" max="8" width="10.42578125" style="690" bestFit="1" customWidth="1"/>
    <col min="9" max="9" width="4.5703125" style="690" customWidth="1"/>
    <col min="10" max="10" width="1.71093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275</v>
      </c>
      <c r="F1" s="614" t="s">
        <v>276</v>
      </c>
      <c r="G1" s="614" t="s">
        <v>277</v>
      </c>
      <c r="H1" s="614" t="s">
        <v>278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IFERROR(O69,"")</f>
        <v>4504.6844882470123</v>
      </c>
      <c r="F2" s="618">
        <f>IFERROR(H60,"")</f>
        <v>2542.9286666666671</v>
      </c>
      <c r="G2" s="618">
        <f>IFERROR(H61,"")</f>
        <v>658.93846224389404</v>
      </c>
      <c r="H2" s="618">
        <f>IFERROR(H63,"")</f>
        <v>626.98085418066671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810"/>
      <c r="B4" s="810"/>
      <c r="C4" s="810"/>
      <c r="D4" s="810"/>
      <c r="E4" s="810"/>
      <c r="F4" s="810"/>
      <c r="G4" s="810"/>
      <c r="H4" s="810"/>
      <c r="I4" s="621"/>
    </row>
    <row r="5" spans="1:10" ht="19.5" customHeight="1" thickBot="1" x14ac:dyDescent="0.3">
      <c r="A5" s="811" t="s">
        <v>279</v>
      </c>
      <c r="B5" s="812"/>
      <c r="C5" s="812"/>
      <c r="D5" s="812"/>
      <c r="E5" s="812"/>
      <c r="F5" s="812"/>
      <c r="G5" s="812"/>
      <c r="H5" s="813"/>
      <c r="I5" s="622"/>
    </row>
    <row r="6" spans="1:10" ht="19.5" thickBot="1" x14ac:dyDescent="0.3">
      <c r="A6" s="622"/>
      <c r="B6" s="622"/>
      <c r="C6" s="622"/>
      <c r="D6" s="622"/>
      <c r="E6" s="622"/>
      <c r="F6" s="814" t="s">
        <v>280</v>
      </c>
      <c r="G6" s="814"/>
      <c r="H6" s="623">
        <f ca="1">TODAY()</f>
        <v>46139</v>
      </c>
      <c r="I6" s="623"/>
    </row>
    <row r="7" spans="1:10" ht="26.25" thickBot="1" x14ac:dyDescent="0.3">
      <c r="A7" s="624" t="s">
        <v>281</v>
      </c>
      <c r="B7" s="625" t="s">
        <v>282</v>
      </c>
      <c r="C7" s="625" t="s">
        <v>281</v>
      </c>
      <c r="D7" s="626" t="s">
        <v>283</v>
      </c>
      <c r="E7" s="626" t="s">
        <v>284</v>
      </c>
      <c r="F7" s="626" t="s">
        <v>285</v>
      </c>
      <c r="G7" s="626" t="s">
        <v>286</v>
      </c>
      <c r="H7" s="627" t="s">
        <v>287</v>
      </c>
      <c r="I7" s="628"/>
    </row>
    <row r="8" spans="1:10" ht="13.5" x14ac:dyDescent="0.25">
      <c r="A8" s="629">
        <v>30</v>
      </c>
      <c r="B8" s="617" t="str">
        <f>IFERROR(VLOOKUP(H8,'[1]Consolidado MP Planta'!$A$2:$M$823,3,0),"")</f>
        <v>LECHE POLVO INDUSTRIAL (SACO:25 KG)</v>
      </c>
      <c r="C8" s="630">
        <f>+A8</f>
        <v>30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94.5</v>
      </c>
      <c r="G8" s="632">
        <f t="shared" ref="G8:G14" si="0">IFERROR(F8/$F$73,"")</f>
        <v>2.5977769555771787E-2</v>
      </c>
      <c r="H8" s="633" t="s">
        <v>326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281</v>
      </c>
      <c r="B16" s="625" t="s">
        <v>288</v>
      </c>
      <c r="C16" s="625" t="s">
        <v>281</v>
      </c>
      <c r="D16" s="626" t="s">
        <v>283</v>
      </c>
      <c r="E16" s="626" t="s">
        <v>284</v>
      </c>
      <c r="F16" s="626" t="s">
        <v>285</v>
      </c>
      <c r="G16" s="626" t="s">
        <v>286</v>
      </c>
      <c r="H16" s="627" t="s">
        <v>287</v>
      </c>
      <c r="I16" s="628"/>
      <c r="J16" s="634"/>
    </row>
    <row r="17" spans="1:12" ht="13.5" x14ac:dyDescent="0.25">
      <c r="A17" s="629">
        <v>1.5</v>
      </c>
      <c r="B17" s="617" t="s">
        <v>50</v>
      </c>
      <c r="C17" s="630">
        <f>+A17</f>
        <v>1.5</v>
      </c>
      <c r="D17" s="630" t="s">
        <v>328</v>
      </c>
      <c r="E17" s="631">
        <v>391.01</v>
      </c>
      <c r="F17" s="631">
        <f>IFERROR(E17*C17,"")</f>
        <v>586.51499999999999</v>
      </c>
      <c r="G17" s="632">
        <f t="shared" ref="G17:G25" si="3">IFERROR(F17/$F$73,"")</f>
        <v>0.16123123292067185</v>
      </c>
      <c r="H17" s="633" t="s">
        <v>49</v>
      </c>
      <c r="I17" s="633"/>
      <c r="J17" s="634"/>
    </row>
    <row r="18" spans="1:12" ht="13.5" x14ac:dyDescent="0.25">
      <c r="A18" s="629">
        <v>150</v>
      </c>
      <c r="B18" s="617" t="str">
        <f>IFERROR(VLOOKUP(H18,[1]SEMIELABORADOS!$A$2:$M$6000,2,0),"")</f>
        <v>MEZCLA TRES LECHES Y KOLITA (LITRO)</v>
      </c>
      <c r="C18" s="630">
        <f t="shared" ref="C18:C23" si="4">+A18</f>
        <v>150</v>
      </c>
      <c r="D18" s="630" t="str">
        <f>IFERROR(VLOOKUP(H18,[1]SEMIELABORADOS!$A$2:$M$6000,6,0),"")</f>
        <v>Gramo</v>
      </c>
      <c r="E18" s="631">
        <v>1.34</v>
      </c>
      <c r="F18" s="631">
        <f t="shared" ref="F18:F23" si="5">IFERROR(E18*C18,"")</f>
        <v>201</v>
      </c>
      <c r="G18" s="632">
        <f t="shared" si="3"/>
        <v>5.5254303499578092E-2</v>
      </c>
      <c r="H18" s="633" t="s">
        <v>51</v>
      </c>
      <c r="I18" s="633"/>
      <c r="J18" s="634"/>
    </row>
    <row r="19" spans="1:12" ht="13.5" x14ac:dyDescent="0.25">
      <c r="A19" s="629">
        <v>240</v>
      </c>
      <c r="B19" s="617" t="s">
        <v>55</v>
      </c>
      <c r="C19" s="630">
        <f>+A19</f>
        <v>240</v>
      </c>
      <c r="D19" s="630" t="s">
        <v>332</v>
      </c>
      <c r="E19" s="631">
        <f>+'Costo relleno Cajeta'!E69</f>
        <v>2.4350000000000001</v>
      </c>
      <c r="F19" s="631">
        <f>IFERROR(E19*C19,"")</f>
        <v>584.4</v>
      </c>
      <c r="G19" s="632">
        <f t="shared" si="3"/>
        <v>0.16064982569728076</v>
      </c>
      <c r="H19" s="633" t="s">
        <v>331</v>
      </c>
      <c r="I19" s="633"/>
      <c r="J19" s="634"/>
    </row>
    <row r="20" spans="1:12" ht="13.5" x14ac:dyDescent="0.25">
      <c r="A20" s="629">
        <v>100</v>
      </c>
      <c r="B20" s="617" t="s">
        <v>58</v>
      </c>
      <c r="C20" s="630">
        <f>+A20</f>
        <v>100</v>
      </c>
      <c r="D20" s="630" t="s">
        <v>332</v>
      </c>
      <c r="E20" s="631">
        <f>+'Costo Relleno Crema Pinito'!E69</f>
        <v>2.3852666666666669</v>
      </c>
      <c r="F20" s="631">
        <f>IFERROR(E20*C20,"")</f>
        <v>238.5266666666667</v>
      </c>
      <c r="G20" s="632">
        <f t="shared" si="3"/>
        <v>6.5570272799714918E-2</v>
      </c>
      <c r="H20" s="633" t="s">
        <v>331</v>
      </c>
      <c r="I20" s="633"/>
      <c r="J20" s="634"/>
    </row>
    <row r="21" spans="1:12" ht="13.5" x14ac:dyDescent="0.25">
      <c r="A21" s="629">
        <v>190</v>
      </c>
      <c r="B21" s="617" t="s">
        <v>67</v>
      </c>
      <c r="C21" s="630">
        <f>+A21</f>
        <v>190</v>
      </c>
      <c r="D21" s="630" t="s">
        <v>332</v>
      </c>
      <c r="E21" s="631">
        <v>1.51</v>
      </c>
      <c r="F21" s="631">
        <f>IFERROR(E21*C21,"")</f>
        <v>286.89999999999998</v>
      </c>
      <c r="G21" s="632">
        <f t="shared" si="3"/>
        <v>7.8867958577258465E-2</v>
      </c>
      <c r="H21" s="633" t="s">
        <v>66</v>
      </c>
      <c r="I21" s="633"/>
      <c r="J21" s="634"/>
    </row>
    <row r="22" spans="1:12" ht="13.5" x14ac:dyDescent="0.25">
      <c r="A22" s="629">
        <v>180</v>
      </c>
      <c r="B22" s="617" t="str">
        <f>IFERROR(VLOOKUP(H22,[1]SEMIELABORADOS!$A$2:$M$6000,2,0),"")</f>
        <v>CREMA BEIDGE (KILO)</v>
      </c>
      <c r="C22" s="630">
        <f t="shared" si="4"/>
        <v>180</v>
      </c>
      <c r="D22" s="630" t="str">
        <f>IFERROR(VLOOKUP(H22,[1]SEMIELABORADOS!$A$2:$M$6000,6,0),"")</f>
        <v>Gramo</v>
      </c>
      <c r="E22" s="631">
        <v>2.2999999999999998</v>
      </c>
      <c r="F22" s="631">
        <f t="shared" si="5"/>
        <v>413.99999999999994</v>
      </c>
      <c r="G22" s="632">
        <f t="shared" si="3"/>
        <v>0.11380737138719067</v>
      </c>
      <c r="H22" s="633" t="s">
        <v>333</v>
      </c>
      <c r="I22" s="633"/>
      <c r="J22" s="634"/>
    </row>
    <row r="23" spans="1:12" ht="13.5" x14ac:dyDescent="0.25">
      <c r="A23" s="629">
        <v>30</v>
      </c>
      <c r="B23" s="617" t="s">
        <v>78</v>
      </c>
      <c r="C23" s="630">
        <f t="shared" si="4"/>
        <v>30</v>
      </c>
      <c r="D23" s="630" t="s">
        <v>332</v>
      </c>
      <c r="E23" s="631">
        <f>+'Costo Crema Roja Clara Bucca'!E69</f>
        <v>2.4469000000000003</v>
      </c>
      <c r="F23" s="631">
        <f t="shared" si="5"/>
        <v>73.407000000000011</v>
      </c>
      <c r="G23" s="632">
        <f t="shared" si="3"/>
        <v>2.0179366452704125E-2</v>
      </c>
      <c r="H23" s="633" t="s">
        <v>331</v>
      </c>
      <c r="I23" s="633"/>
      <c r="J23" s="634"/>
    </row>
    <row r="24" spans="1:12" ht="13.5" x14ac:dyDescent="0.25">
      <c r="A24" s="629">
        <v>4</v>
      </c>
      <c r="B24" s="617" t="s">
        <v>63</v>
      </c>
      <c r="C24" s="630">
        <f t="shared" ref="C24:C25" si="6">+A24</f>
        <v>4</v>
      </c>
      <c r="D24" s="630" t="s">
        <v>332</v>
      </c>
      <c r="E24" s="631">
        <v>0.22</v>
      </c>
      <c r="F24" s="631">
        <f t="shared" ref="F24:F25" si="7">IFERROR(E24*C24,"")</f>
        <v>0.88</v>
      </c>
      <c r="G24" s="632">
        <f t="shared" si="3"/>
        <v>2.4190938845586427E-4</v>
      </c>
      <c r="H24" s="633" t="s">
        <v>62</v>
      </c>
      <c r="I24" s="633"/>
      <c r="J24" s="634"/>
    </row>
    <row r="25" spans="1:12" ht="13.5" x14ac:dyDescent="0.25">
      <c r="A25" s="629">
        <v>20</v>
      </c>
      <c r="B25" s="617" t="s">
        <v>65</v>
      </c>
      <c r="C25" s="630">
        <f t="shared" si="6"/>
        <v>20</v>
      </c>
      <c r="D25" s="630" t="s">
        <v>332</v>
      </c>
      <c r="E25" s="631">
        <v>3.14</v>
      </c>
      <c r="F25" s="631">
        <f t="shared" si="7"/>
        <v>62.800000000000004</v>
      </c>
      <c r="G25" s="632">
        <f t="shared" si="3"/>
        <v>1.7263533630713951E-2</v>
      </c>
      <c r="H25" s="633" t="s">
        <v>64</v>
      </c>
      <c r="I25" s="633"/>
      <c r="J25" s="634"/>
    </row>
    <row r="26" spans="1:12" ht="14.25" thickBot="1" x14ac:dyDescent="0.3">
      <c r="A26" s="629"/>
      <c r="C26" s="630"/>
      <c r="D26" s="630"/>
      <c r="E26" s="631"/>
      <c r="F26" s="631"/>
      <c r="G26" s="632"/>
      <c r="H26" s="633"/>
      <c r="I26" s="633"/>
      <c r="J26" s="634"/>
    </row>
    <row r="27" spans="1:12" ht="26.25" thickBot="1" x14ac:dyDescent="0.3">
      <c r="A27" s="624" t="s">
        <v>281</v>
      </c>
      <c r="B27" s="625" t="s">
        <v>37</v>
      </c>
      <c r="C27" s="625" t="s">
        <v>281</v>
      </c>
      <c r="D27" s="626" t="s">
        <v>283</v>
      </c>
      <c r="E27" s="626" t="s">
        <v>284</v>
      </c>
      <c r="F27" s="626" t="s">
        <v>285</v>
      </c>
      <c r="G27" s="626" t="s">
        <v>286</v>
      </c>
      <c r="H27" s="627" t="s">
        <v>287</v>
      </c>
      <c r="I27" s="628"/>
    </row>
    <row r="28" spans="1:12" ht="13.5" x14ac:dyDescent="0.25">
      <c r="A28" s="629">
        <v>1</v>
      </c>
      <c r="B28" s="635" t="str">
        <f>IFERROR(VLOOKUP(H28,'[1]Consolidado MP Planta'!$A$2:$M$823,3,0),"")</f>
        <v>QUEQUERA RED  BASE/DOMO 10 (CAJA:50)</v>
      </c>
      <c r="C28" s="630">
        <f t="shared" ref="C28:C35" si="8">+A28</f>
        <v>1</v>
      </c>
      <c r="D28" s="631" t="str">
        <f>IFERROR(VLOOKUP(H28,'[1]Consolidado MP Planta'!$A$2:$M$823,13,0),"")</f>
        <v>UND</v>
      </c>
      <c r="E28" s="631">
        <v>410</v>
      </c>
      <c r="F28" s="631">
        <f t="shared" ref="F28:F35" si="9">IFERROR(C28*E28,"")</f>
        <v>410</v>
      </c>
      <c r="G28" s="632">
        <f t="shared" ref="G28:G35" si="10">IFERROR(F28/$F$73,"")</f>
        <v>0.11270778325784585</v>
      </c>
      <c r="H28" s="636" t="s">
        <v>40</v>
      </c>
      <c r="I28" s="636"/>
      <c r="J28" s="634"/>
      <c r="K28" s="804"/>
      <c r="L28" s="804"/>
    </row>
    <row r="29" spans="1:12" ht="13.5" x14ac:dyDescent="0.25">
      <c r="A29" s="629">
        <v>1</v>
      </c>
      <c r="B29" s="635" t="str">
        <f>IFERROR(VLOOKUP(H29,'[1]Consolidado MP Planta'!$A$2:$M$823,3,0),"")</f>
        <v>ORLA # 10 BUCCA (UND)</v>
      </c>
      <c r="C29" s="630">
        <f t="shared" si="8"/>
        <v>1</v>
      </c>
      <c r="D29" s="631">
        <f>IFERROR(VLOOKUP(H29,'[1]Consolidado MP Planta'!$A$2:$M$823,13,0),"")</f>
        <v>0</v>
      </c>
      <c r="E29" s="631">
        <v>137</v>
      </c>
      <c r="F29" s="631">
        <f t="shared" si="9"/>
        <v>137</v>
      </c>
      <c r="G29" s="632">
        <f t="shared" si="10"/>
        <v>3.7660893430060689E-2</v>
      </c>
      <c r="H29" s="636" t="s">
        <v>42</v>
      </c>
      <c r="I29" s="636"/>
      <c r="J29" s="634"/>
      <c r="K29" s="804"/>
      <c r="L29" s="804"/>
    </row>
    <row r="30" spans="1:12" ht="13.5" x14ac:dyDescent="0.25">
      <c r="A30" s="629">
        <v>1</v>
      </c>
      <c r="B30" s="635" t="str">
        <f>IFERROR(VLOOKUP(H30,'[1]Consolidado MP Planta'!$A$2:$M$823,3,0),"")</f>
        <v>ETIQ.FECHA VENCIMIENTO BLANCO (ROLLO)</v>
      </c>
      <c r="C30" s="630">
        <f t="shared" si="8"/>
        <v>1</v>
      </c>
      <c r="D30" s="631" t="str">
        <f>IFERROR(VLOOKUP(H30,'[1]Consolidado MP Planta'!$A$2:$M$823,13,0),"")</f>
        <v>Gramos</v>
      </c>
      <c r="E30" s="631">
        <f>IFERROR(VLOOKUP(H30,'[1]Consolidado MP Planta'!$A$2:$M$823,12,0),"")</f>
        <v>0.33333333333333331</v>
      </c>
      <c r="F30" s="631">
        <f t="shared" si="9"/>
        <v>0.33333333333333331</v>
      </c>
      <c r="G30" s="632">
        <f t="shared" si="10"/>
        <v>9.1632344112069791E-5</v>
      </c>
      <c r="H30" s="636" t="s">
        <v>43</v>
      </c>
      <c r="I30" s="636"/>
      <c r="J30" s="634"/>
      <c r="K30" s="804"/>
      <c r="L30" s="804"/>
    </row>
    <row r="31" spans="1:12" ht="13.5" x14ac:dyDescent="0.25">
      <c r="A31" s="629">
        <v>1</v>
      </c>
      <c r="B31" s="635" t="str">
        <f>IFERROR(VLOOKUP(H31,'[1]Consolidado MP Planta'!$A$2:$M$823,3,0),"")</f>
        <v>ETIQ.BLANCA 1 1/4 * 3/4 (UND)</v>
      </c>
      <c r="C31" s="630">
        <f t="shared" ref="C31:C32" si="11">+A31</f>
        <v>1</v>
      </c>
      <c r="D31" s="631" t="str">
        <f>IFERROR(VLOOKUP(H31,'[1]Consolidado MP Planta'!$A$2:$M$823,13,0),"")</f>
        <v>Und</v>
      </c>
      <c r="E31" s="631">
        <f>IFERROR(VLOOKUP(H31,'[1]Consolidado MP Planta'!$A$2:$M$823,12,0),"")</f>
        <v>0.57999999999999996</v>
      </c>
      <c r="F31" s="631">
        <f t="shared" ref="F31:F32" si="12">IFERROR(C31*E31,"")</f>
        <v>0.57999999999999996</v>
      </c>
      <c r="G31" s="632">
        <f t="shared" si="10"/>
        <v>1.5944027875500143E-4</v>
      </c>
      <c r="H31" s="636" t="s">
        <v>45</v>
      </c>
      <c r="I31" s="636"/>
      <c r="J31" s="634"/>
      <c r="K31" s="615"/>
      <c r="L31" s="615"/>
    </row>
    <row r="32" spans="1:12" ht="13.5" x14ac:dyDescent="0.25">
      <c r="A32" s="629">
        <v>1</v>
      </c>
      <c r="B32" s="635" t="str">
        <f>IFERROR(VLOOKUP(H32,'[1]Consolidado MP Planta'!$A$2:$M$823,3,0),"")</f>
        <v>ETIQUETA BLANCA 2 5/8X1 15/16 (UND)</v>
      </c>
      <c r="C32" s="630">
        <f t="shared" si="11"/>
        <v>1</v>
      </c>
      <c r="D32" s="631" t="str">
        <f>IFERROR(VLOOKUP(H32,'[1]Consolidado MP Planta'!$A$2:$M$823,13,0),"")</f>
        <v>Und</v>
      </c>
      <c r="E32" s="631">
        <f>IFERROR(VLOOKUP(H32,'[1]Consolidado MP Planta'!$A$2:$M$823,12,0),"")</f>
        <v>2.1280000000000001</v>
      </c>
      <c r="F32" s="631">
        <f t="shared" si="12"/>
        <v>2.1280000000000001</v>
      </c>
      <c r="G32" s="632">
        <f t="shared" si="10"/>
        <v>5.8498088481145362E-4</v>
      </c>
      <c r="H32" s="636" t="s">
        <v>48</v>
      </c>
      <c r="I32" s="636"/>
      <c r="J32" s="634"/>
      <c r="K32" s="615"/>
      <c r="L32" s="615"/>
    </row>
    <row r="33" spans="1:12" ht="14.25" x14ac:dyDescent="0.25">
      <c r="A33" s="629">
        <v>1</v>
      </c>
      <c r="B33" s="57" t="s">
        <v>79</v>
      </c>
      <c r="C33" s="630">
        <f t="shared" si="8"/>
        <v>1</v>
      </c>
      <c r="D33" s="631" t="s">
        <v>330</v>
      </c>
      <c r="E33" s="631">
        <v>100</v>
      </c>
      <c r="F33" s="631">
        <f t="shared" si="9"/>
        <v>100</v>
      </c>
      <c r="G33" s="632">
        <f t="shared" si="10"/>
        <v>2.7489703233620939E-2</v>
      </c>
      <c r="H33" s="636" t="s">
        <v>334</v>
      </c>
      <c r="I33" s="636"/>
      <c r="J33" s="634"/>
      <c r="K33" s="804"/>
      <c r="L33" s="804"/>
    </row>
    <row r="34" spans="1:12" ht="13.5" hidden="1" x14ac:dyDescent="0.25">
      <c r="A34" s="629"/>
      <c r="B34" s="635" t="str">
        <f>IFERROR(VLOOKUP(H34,'[1]Consolidado MP Planta'!$A$2:$M$823,3,0),"")</f>
        <v/>
      </c>
      <c r="C34" s="630">
        <f t="shared" si="8"/>
        <v>0</v>
      </c>
      <c r="D34" s="631" t="str">
        <f>IFERROR(VLOOKUP(H34,'[1]Consolidado MP Planta'!$A$2:$M$823,13,0),"")</f>
        <v/>
      </c>
      <c r="E34" s="631" t="str">
        <f>IFERROR(VLOOKUP(H34,'[1]Consolidado MP Planta'!$A$2:$M$823,12,0),"")</f>
        <v/>
      </c>
      <c r="F34" s="631" t="str">
        <f t="shared" si="9"/>
        <v/>
      </c>
      <c r="G34" s="632" t="str">
        <f t="shared" si="10"/>
        <v/>
      </c>
      <c r="H34" s="636"/>
      <c r="I34" s="636"/>
      <c r="J34" s="634"/>
      <c r="K34" s="637"/>
      <c r="L34" s="638"/>
    </row>
    <row r="35" spans="1:12" ht="13.5" hidden="1" x14ac:dyDescent="0.25">
      <c r="A35" s="629"/>
      <c r="B35" s="635" t="str">
        <f>IFERROR(VLOOKUP(H35,'[1]Consolidado MP Planta'!$A$2:$M$823,3,0),"")</f>
        <v/>
      </c>
      <c r="C35" s="630">
        <f t="shared" si="8"/>
        <v>0</v>
      </c>
      <c r="D35" s="631" t="str">
        <f>IFERROR(VLOOKUP(H35,'[1]Consolidado MP Planta'!$A$2:$M$823,13,0),"")</f>
        <v/>
      </c>
      <c r="E35" s="631" t="str">
        <f>IFERROR(VLOOKUP(H35,'[1]Consolidado MP Planta'!$A$2:$M$823,12,0),"")</f>
        <v/>
      </c>
      <c r="F35" s="631" t="str">
        <f t="shared" si="9"/>
        <v/>
      </c>
      <c r="G35" s="632" t="str">
        <f t="shared" si="10"/>
        <v/>
      </c>
      <c r="H35" s="636"/>
      <c r="I35" s="636"/>
      <c r="J35" s="634"/>
    </row>
    <row r="36" spans="1:12" ht="14.25" thickBot="1" x14ac:dyDescent="0.3">
      <c r="A36" s="629"/>
      <c r="B36" s="635"/>
      <c r="C36" s="630"/>
      <c r="D36" s="631"/>
      <c r="E36" s="631"/>
      <c r="F36" s="631"/>
      <c r="G36" s="632"/>
      <c r="H36" s="636"/>
      <c r="I36" s="636"/>
      <c r="J36" s="634"/>
    </row>
    <row r="37" spans="1:12" ht="26.25" thickBot="1" x14ac:dyDescent="0.25">
      <c r="A37" s="624" t="s">
        <v>281</v>
      </c>
      <c r="B37" s="625" t="s">
        <v>289</v>
      </c>
      <c r="C37" s="625" t="s">
        <v>281</v>
      </c>
      <c r="D37" s="626" t="s">
        <v>283</v>
      </c>
      <c r="E37" s="626" t="s">
        <v>284</v>
      </c>
      <c r="F37" s="626" t="s">
        <v>285</v>
      </c>
      <c r="G37" s="626" t="s">
        <v>286</v>
      </c>
      <c r="H37" s="627" t="s">
        <v>287</v>
      </c>
      <c r="I37" s="636"/>
      <c r="J37" s="634"/>
    </row>
    <row r="38" spans="1:12" ht="13.5" x14ac:dyDescent="0.25">
      <c r="A38" s="629">
        <f t="shared" ref="A38:A46" si="13">+A17</f>
        <v>1.5</v>
      </c>
      <c r="B38" s="635" t="s">
        <v>50</v>
      </c>
      <c r="C38" s="630">
        <f>+A38</f>
        <v>1.5</v>
      </c>
      <c r="D38" s="631" t="s">
        <v>329</v>
      </c>
      <c r="E38" s="631">
        <v>2.4</v>
      </c>
      <c r="F38" s="631">
        <f>IFERROR(E38*C38,"")</f>
        <v>3.5999999999999996</v>
      </c>
      <c r="G38" s="632">
        <f t="shared" ref="G38:G43" si="14">IFERROR(F38/$F$73,"")</f>
        <v>9.8962931641035376E-4</v>
      </c>
      <c r="H38" s="633" t="s">
        <v>49</v>
      </c>
      <c r="I38" s="636"/>
      <c r="J38" s="634"/>
    </row>
    <row r="39" spans="1:12" ht="13.5" x14ac:dyDescent="0.25">
      <c r="A39" s="629">
        <f t="shared" si="13"/>
        <v>150</v>
      </c>
      <c r="B39" s="635" t="s">
        <v>52</v>
      </c>
      <c r="C39" s="630">
        <f t="shared" ref="C39:C43" si="15">+A39</f>
        <v>150</v>
      </c>
      <c r="D39" s="631" t="str">
        <f>IFERROR(VLOOKUP(H39,[1]SEMIELABORADOS!$A$2:$M$6000,6,0),"")</f>
        <v>Gramo</v>
      </c>
      <c r="E39" s="631">
        <f>IFERROR(VLOOKUP(H39,[1]SEMIELABORADOS!$A$2:$M$65536,10,0),"")</f>
        <v>7.3806029934814828E-3</v>
      </c>
      <c r="F39" s="631">
        <f t="shared" ref="F39:F43" si="16">IFERROR(E39*C39,"")</f>
        <v>1.1070904490222224</v>
      </c>
      <c r="G39" s="632">
        <f t="shared" si="14"/>
        <v>3.0433587896397043E-4</v>
      </c>
      <c r="H39" s="636" t="s">
        <v>51</v>
      </c>
      <c r="I39" s="636"/>
      <c r="J39" s="634"/>
    </row>
    <row r="40" spans="1:12" ht="13.5" x14ac:dyDescent="0.25">
      <c r="A40" s="629">
        <f t="shared" si="13"/>
        <v>240</v>
      </c>
      <c r="B40" s="635" t="s">
        <v>55</v>
      </c>
      <c r="C40" s="630">
        <f t="shared" si="15"/>
        <v>240</v>
      </c>
      <c r="D40" s="631" t="s">
        <v>332</v>
      </c>
      <c r="E40" s="631">
        <f>+'Costo relleno Cajeta'!E76</f>
        <v>0</v>
      </c>
      <c r="F40" s="631">
        <f t="shared" si="16"/>
        <v>0</v>
      </c>
      <c r="G40" s="632">
        <f t="shared" si="14"/>
        <v>0</v>
      </c>
      <c r="H40" s="636" t="s">
        <v>331</v>
      </c>
      <c r="I40" s="636"/>
      <c r="J40" s="634"/>
    </row>
    <row r="41" spans="1:12" ht="13.5" x14ac:dyDescent="0.25">
      <c r="A41" s="629">
        <f t="shared" si="13"/>
        <v>100</v>
      </c>
      <c r="B41" s="635" t="s">
        <v>58</v>
      </c>
      <c r="C41" s="630">
        <f>+A41</f>
        <v>100</v>
      </c>
      <c r="D41" s="631" t="s">
        <v>332</v>
      </c>
      <c r="E41" s="631">
        <f>+'Costo Relleno Crema Pinito'!E76</f>
        <v>0</v>
      </c>
      <c r="F41" s="631">
        <f>IFERROR(E41*C41,"")</f>
        <v>0</v>
      </c>
      <c r="G41" s="632">
        <f t="shared" si="14"/>
        <v>0</v>
      </c>
      <c r="H41" s="636" t="s">
        <v>331</v>
      </c>
      <c r="I41" s="636"/>
      <c r="J41" s="634"/>
    </row>
    <row r="42" spans="1:12" ht="13.5" x14ac:dyDescent="0.25">
      <c r="A42" s="629">
        <f t="shared" si="13"/>
        <v>190</v>
      </c>
      <c r="B42" s="635" t="s">
        <v>67</v>
      </c>
      <c r="C42" s="630">
        <f>+A42</f>
        <v>190</v>
      </c>
      <c r="D42" s="631" t="s">
        <v>332</v>
      </c>
      <c r="E42" s="631">
        <v>0.02</v>
      </c>
      <c r="F42" s="631">
        <f>IFERROR(E42*C42,"")</f>
        <v>3.8000000000000003</v>
      </c>
      <c r="G42" s="632">
        <f t="shared" si="14"/>
        <v>1.0446087228775957E-3</v>
      </c>
      <c r="H42" s="636" t="s">
        <v>66</v>
      </c>
      <c r="I42" s="636"/>
      <c r="J42" s="634"/>
    </row>
    <row r="43" spans="1:12" ht="13.5" x14ac:dyDescent="0.25">
      <c r="A43" s="629">
        <f t="shared" si="13"/>
        <v>180</v>
      </c>
      <c r="B43" s="635" t="s">
        <v>53</v>
      </c>
      <c r="C43" s="630">
        <f t="shared" si="15"/>
        <v>180</v>
      </c>
      <c r="D43" s="631" t="str">
        <f>IFERROR(VLOOKUP(H43,[1]SEMIELABORADOS!$A$2:$M$6000,6,0),"")</f>
        <v>Gramo</v>
      </c>
      <c r="E43" s="631">
        <f>IFERROR(VLOOKUP(H43,[1]SEMIELABORADOS!$A$2:$M$65536,10,0),"")</f>
        <v>5.5769230769230759E-5</v>
      </c>
      <c r="F43" s="631">
        <f t="shared" si="16"/>
        <v>1.0038461538461536E-2</v>
      </c>
      <c r="G43" s="632">
        <f t="shared" si="14"/>
        <v>2.7595432861442553E-6</v>
      </c>
      <c r="H43" s="636" t="s">
        <v>333</v>
      </c>
      <c r="I43" s="636"/>
      <c r="J43" s="634"/>
    </row>
    <row r="44" spans="1:12" ht="13.5" x14ac:dyDescent="0.25">
      <c r="A44" s="629">
        <f t="shared" si="13"/>
        <v>30</v>
      </c>
      <c r="B44" s="635" t="s">
        <v>78</v>
      </c>
      <c r="C44" s="630">
        <f t="shared" ref="C44:C46" si="17">+A44</f>
        <v>30</v>
      </c>
      <c r="D44" s="631" t="s">
        <v>332</v>
      </c>
      <c r="E44" s="631">
        <f>+'Costo Crema Roja Clara Bucca'!E76</f>
        <v>0.01</v>
      </c>
      <c r="F44" s="631">
        <f t="shared" ref="F44:F46" si="18">IFERROR(E44*C44,"")</f>
        <v>0.3</v>
      </c>
      <c r="G44" s="632">
        <f t="shared" ref="G44:G46" si="19">IFERROR(F44/$F$73,"")</f>
        <v>8.2469109700862814E-5</v>
      </c>
      <c r="H44" s="636" t="s">
        <v>331</v>
      </c>
      <c r="I44" s="636"/>
      <c r="J44" s="634"/>
    </row>
    <row r="45" spans="1:12" ht="13.5" x14ac:dyDescent="0.25">
      <c r="A45" s="629">
        <f t="shared" si="13"/>
        <v>4</v>
      </c>
      <c r="B45" s="635" t="s">
        <v>63</v>
      </c>
      <c r="C45" s="630">
        <f t="shared" si="17"/>
        <v>4</v>
      </c>
      <c r="D45" s="631" t="s">
        <v>332</v>
      </c>
      <c r="E45" s="631">
        <v>0.02</v>
      </c>
      <c r="F45" s="631">
        <f t="shared" si="18"/>
        <v>0.08</v>
      </c>
      <c r="G45" s="632">
        <f t="shared" si="19"/>
        <v>2.1991762586896753E-5</v>
      </c>
      <c r="H45" s="636" t="s">
        <v>62</v>
      </c>
      <c r="I45" s="636"/>
      <c r="J45" s="634"/>
    </row>
    <row r="46" spans="1:12" ht="13.5" x14ac:dyDescent="0.25">
      <c r="A46" s="629">
        <f t="shared" si="13"/>
        <v>20</v>
      </c>
      <c r="B46" s="635" t="s">
        <v>65</v>
      </c>
      <c r="C46" s="630">
        <f t="shared" si="17"/>
        <v>20</v>
      </c>
      <c r="D46" s="631" t="s">
        <v>332</v>
      </c>
      <c r="E46" s="631">
        <v>0</v>
      </c>
      <c r="F46" s="631">
        <f t="shared" si="18"/>
        <v>0</v>
      </c>
      <c r="G46" s="632">
        <f t="shared" si="19"/>
        <v>0</v>
      </c>
      <c r="H46" s="636" t="s">
        <v>64</v>
      </c>
      <c r="I46" s="636"/>
      <c r="J46" s="634"/>
    </row>
    <row r="47" spans="1:12" ht="14.25" thickBot="1" x14ac:dyDescent="0.3">
      <c r="A47" s="629"/>
      <c r="B47" s="635"/>
      <c r="C47" s="630"/>
      <c r="D47" s="631"/>
      <c r="E47" s="631"/>
      <c r="F47" s="631"/>
      <c r="G47" s="632"/>
      <c r="H47" s="636"/>
      <c r="I47" s="636"/>
      <c r="J47" s="634"/>
    </row>
    <row r="48" spans="1:12" ht="26.25" thickBot="1" x14ac:dyDescent="0.3">
      <c r="A48" s="624" t="s">
        <v>281</v>
      </c>
      <c r="B48" s="625" t="s">
        <v>290</v>
      </c>
      <c r="C48" s="625" t="s">
        <v>281</v>
      </c>
      <c r="D48" s="626" t="s">
        <v>283</v>
      </c>
      <c r="E48" s="626" t="s">
        <v>284</v>
      </c>
      <c r="F48" s="626" t="s">
        <v>285</v>
      </c>
      <c r="G48" s="626" t="s">
        <v>286</v>
      </c>
      <c r="H48" s="627" t="s">
        <v>287</v>
      </c>
      <c r="I48" s="628"/>
      <c r="J48" s="634"/>
    </row>
    <row r="49" spans="1:17" ht="13.5" x14ac:dyDescent="0.25">
      <c r="A49" s="629">
        <f t="shared" ref="A49:A54" si="20">+A38</f>
        <v>1.5</v>
      </c>
      <c r="B49" s="635" t="s">
        <v>50</v>
      </c>
      <c r="C49" s="630">
        <f>+A49</f>
        <v>1.5</v>
      </c>
      <c r="D49" s="631" t="s">
        <v>330</v>
      </c>
      <c r="E49" s="631">
        <v>8.8699999999999992</v>
      </c>
      <c r="F49" s="631">
        <f>IFERROR(E49*C49,"")</f>
        <v>13.305</v>
      </c>
      <c r="G49" s="632">
        <f t="shared" ref="G49:G54" si="21">IFERROR(F49/$F$73,"")</f>
        <v>3.6575050152332662E-3</v>
      </c>
      <c r="H49" s="633" t="s">
        <v>49</v>
      </c>
      <c r="I49" s="628"/>
      <c r="J49" s="634"/>
    </row>
    <row r="50" spans="1:17" ht="13.5" x14ac:dyDescent="0.25">
      <c r="A50" s="629">
        <f t="shared" si="20"/>
        <v>150</v>
      </c>
      <c r="B50" s="635" t="s">
        <v>52</v>
      </c>
      <c r="C50" s="630">
        <f t="shared" ref="C50:C57" si="22">+A50</f>
        <v>150</v>
      </c>
      <c r="D50" s="631" t="str">
        <f>IFERROR(VLOOKUP(H50,[1]SEMIELABORADOS!$A$2:$M$6000,6,0),"")</f>
        <v>Gramo</v>
      </c>
      <c r="E50" s="631">
        <f>IFERROR(VLOOKUP(H50,[1]SEMIELABORADOS!$A$2:$M$65536,12,0),"")</f>
        <v>0.2426428920751881</v>
      </c>
      <c r="F50" s="631">
        <f t="shared" ref="F50:F57" si="23">IFERROR(E50*C50,"")</f>
        <v>36.396433811278214</v>
      </c>
      <c r="G50" s="632">
        <f t="shared" si="21"/>
        <v>1.0005271642341652E-2</v>
      </c>
      <c r="H50" s="636" t="s">
        <v>51</v>
      </c>
      <c r="I50" s="628"/>
      <c r="J50" s="634"/>
      <c r="M50" s="639"/>
    </row>
    <row r="51" spans="1:17" ht="13.5" x14ac:dyDescent="0.25">
      <c r="A51" s="629">
        <f t="shared" si="20"/>
        <v>240</v>
      </c>
      <c r="B51" s="635" t="s">
        <v>55</v>
      </c>
      <c r="C51" s="630">
        <f t="shared" si="22"/>
        <v>240</v>
      </c>
      <c r="D51" s="631" t="s">
        <v>332</v>
      </c>
      <c r="E51" s="631">
        <f>+'Costo relleno Cajeta'!E74</f>
        <v>2.5666666666666667E-2</v>
      </c>
      <c r="F51" s="631">
        <f t="shared" si="23"/>
        <v>6.16</v>
      </c>
      <c r="G51" s="632">
        <f t="shared" si="21"/>
        <v>1.6933657191910499E-3</v>
      </c>
      <c r="H51" s="636" t="s">
        <v>331</v>
      </c>
      <c r="I51" s="628"/>
      <c r="J51" s="634"/>
    </row>
    <row r="52" spans="1:17" ht="13.5" x14ac:dyDescent="0.25">
      <c r="A52" s="629">
        <f t="shared" si="20"/>
        <v>100</v>
      </c>
      <c r="B52" s="635" t="s">
        <v>58</v>
      </c>
      <c r="C52" s="630">
        <f t="shared" si="22"/>
        <v>100</v>
      </c>
      <c r="D52" s="631" t="s">
        <v>332</v>
      </c>
      <c r="E52" s="631">
        <f>+'Costo relleno Cajeta'!E74</f>
        <v>2.5666666666666667E-2</v>
      </c>
      <c r="F52" s="631">
        <f t="shared" si="23"/>
        <v>2.5666666666666669</v>
      </c>
      <c r="G52" s="632">
        <f t="shared" si="21"/>
        <v>7.0556904966293747E-4</v>
      </c>
      <c r="H52" s="636" t="s">
        <v>331</v>
      </c>
      <c r="I52" s="628"/>
      <c r="J52" s="634"/>
    </row>
    <row r="53" spans="1:17" ht="13.5" x14ac:dyDescent="0.25">
      <c r="A53" s="629">
        <f t="shared" si="20"/>
        <v>190</v>
      </c>
      <c r="B53" s="635" t="s">
        <v>67</v>
      </c>
      <c r="C53" s="630">
        <f t="shared" si="22"/>
        <v>190</v>
      </c>
      <c r="D53" s="631" t="s">
        <v>332</v>
      </c>
      <c r="E53" s="631">
        <v>0.13</v>
      </c>
      <c r="F53" s="631">
        <f t="shared" si="23"/>
        <v>24.7</v>
      </c>
      <c r="G53" s="632">
        <f t="shared" si="21"/>
        <v>6.7899566987043719E-3</v>
      </c>
      <c r="H53" s="636" t="s">
        <v>66</v>
      </c>
      <c r="I53" s="628"/>
      <c r="J53" s="634"/>
    </row>
    <row r="54" spans="1:17" ht="13.5" x14ac:dyDescent="0.25">
      <c r="A54" s="629">
        <f t="shared" si="20"/>
        <v>180</v>
      </c>
      <c r="B54" s="635" t="s">
        <v>53</v>
      </c>
      <c r="C54" s="630">
        <f t="shared" si="22"/>
        <v>180</v>
      </c>
      <c r="D54" s="631" t="str">
        <f>IFERROR(VLOOKUP(H54,[1]SEMIELABORADOS!$A$2:$M$6000,6,0),"")</f>
        <v>Gramo</v>
      </c>
      <c r="E54" s="631">
        <f>IFERROR(VLOOKUP(H54,[1]SEMIELABORADOS!$A$2:$M$65536,12,0),"")</f>
        <v>0.84195974279289931</v>
      </c>
      <c r="F54" s="631">
        <f t="shared" si="23"/>
        <v>151.55275370272187</v>
      </c>
      <c r="G54" s="632">
        <f t="shared" si="21"/>
        <v>4.1661402235258715E-2</v>
      </c>
      <c r="H54" s="636" t="s">
        <v>333</v>
      </c>
      <c r="I54" s="628"/>
      <c r="J54" s="634"/>
    </row>
    <row r="55" spans="1:17" ht="13.5" x14ac:dyDescent="0.25">
      <c r="A55" s="629">
        <f t="shared" ref="A55:A56" si="24">+A44</f>
        <v>30</v>
      </c>
      <c r="B55" s="635" t="s">
        <v>78</v>
      </c>
      <c r="C55" s="630">
        <f t="shared" ref="C55:C56" si="25">+A55</f>
        <v>30</v>
      </c>
      <c r="D55" s="631" t="s">
        <v>332</v>
      </c>
      <c r="E55" s="631">
        <f>+'Costo Crema Roja Clara Bucca'!E74</f>
        <v>0.214</v>
      </c>
      <c r="F55" s="631">
        <f t="shared" ref="F55:F56" si="26">IFERROR(E55*C55,"")</f>
        <v>6.42</v>
      </c>
      <c r="G55" s="632">
        <f t="shared" ref="G55:G56" si="27">IFERROR(F55/$F$73,"")</f>
        <v>1.7648389475984642E-3</v>
      </c>
      <c r="H55" s="636" t="s">
        <v>331</v>
      </c>
      <c r="I55" s="628"/>
      <c r="J55" s="634"/>
    </row>
    <row r="56" spans="1:17" ht="13.5" x14ac:dyDescent="0.25">
      <c r="A56" s="629">
        <f t="shared" si="24"/>
        <v>4</v>
      </c>
      <c r="B56" s="635" t="s">
        <v>63</v>
      </c>
      <c r="C56" s="630">
        <f t="shared" si="25"/>
        <v>4</v>
      </c>
      <c r="D56" s="631" t="s">
        <v>332</v>
      </c>
      <c r="E56" s="631">
        <v>0.02</v>
      </c>
      <c r="F56" s="631">
        <f t="shared" si="26"/>
        <v>0.08</v>
      </c>
      <c r="G56" s="632">
        <f t="shared" si="27"/>
        <v>2.1991762586896753E-5</v>
      </c>
      <c r="H56" s="636" t="s">
        <v>62</v>
      </c>
      <c r="I56" s="628"/>
      <c r="J56" s="634"/>
    </row>
    <row r="57" spans="1:17" ht="13.5" x14ac:dyDescent="0.25">
      <c r="A57" s="629">
        <f t="shared" ref="A57" si="28">+A46</f>
        <v>20</v>
      </c>
      <c r="B57" s="635" t="s">
        <v>65</v>
      </c>
      <c r="C57" s="630">
        <f t="shared" si="22"/>
        <v>20</v>
      </c>
      <c r="D57" s="631" t="s">
        <v>332</v>
      </c>
      <c r="E57" s="631">
        <v>0.04</v>
      </c>
      <c r="F57" s="631">
        <f t="shared" si="23"/>
        <v>0.8</v>
      </c>
      <c r="G57" s="632">
        <f>IFERROR(F57/$F$73,"")</f>
        <v>2.1991762586896752E-4</v>
      </c>
      <c r="H57" s="635" t="s">
        <v>64</v>
      </c>
      <c r="I57" s="628"/>
      <c r="J57" s="634"/>
    </row>
    <row r="58" spans="1:17" ht="13.5" x14ac:dyDescent="0.25">
      <c r="A58" s="629">
        <v>1</v>
      </c>
      <c r="B58" s="635" t="s">
        <v>291</v>
      </c>
      <c r="C58" s="630">
        <f>+A58</f>
        <v>1</v>
      </c>
      <c r="D58" s="630" t="s">
        <v>292</v>
      </c>
      <c r="E58" s="631">
        <f>+F72</f>
        <v>385</v>
      </c>
      <c r="F58" s="631">
        <f>IFERROR(C58*E58,"")</f>
        <v>385</v>
      </c>
      <c r="G58" s="632">
        <f>IFERROR(F58/$F$73,"")</f>
        <v>0.10583535744944061</v>
      </c>
      <c r="H58" s="640"/>
      <c r="I58" s="640"/>
      <c r="J58" s="634"/>
    </row>
    <row r="59" spans="1:17" ht="14.25" thickBot="1" x14ac:dyDescent="0.3">
      <c r="A59" s="629"/>
      <c r="B59" s="635"/>
      <c r="C59" s="630"/>
      <c r="D59" s="630"/>
      <c r="E59" s="631"/>
      <c r="F59" s="631"/>
      <c r="G59" s="632"/>
      <c r="H59" s="640"/>
      <c r="I59" s="640"/>
      <c r="J59" s="634"/>
    </row>
    <row r="60" spans="1:17" ht="13.5" thickBot="1" x14ac:dyDescent="0.3">
      <c r="A60" s="641"/>
      <c r="B60" s="805" t="s">
        <v>293</v>
      </c>
      <c r="C60" s="805"/>
      <c r="D60" s="805"/>
      <c r="E60" s="805"/>
      <c r="F60" s="643">
        <f>SUM(F8:F14,F17:F25)</f>
        <v>2542.9286666666671</v>
      </c>
      <c r="G60" s="632">
        <f>+F60/$F$73</f>
        <v>0.69904354390934065</v>
      </c>
      <c r="H60" s="644">
        <f>+F60/$D$67</f>
        <v>2542.9286666666671</v>
      </c>
      <c r="I60" s="644"/>
      <c r="J60" s="645"/>
      <c r="K60" s="646"/>
      <c r="L60" s="646"/>
      <c r="M60" s="646"/>
      <c r="N60" s="646"/>
      <c r="O60" s="646"/>
      <c r="P60" s="646"/>
      <c r="Q60" s="647"/>
    </row>
    <row r="61" spans="1:17" x14ac:dyDescent="0.2">
      <c r="A61" s="641"/>
      <c r="B61" s="805" t="s">
        <v>294</v>
      </c>
      <c r="C61" s="805"/>
      <c r="D61" s="805"/>
      <c r="E61" s="805"/>
      <c r="F61" s="643">
        <f>SUM(F28:F35,F38:F46)</f>
        <v>658.93846224389404</v>
      </c>
      <c r="G61" s="632">
        <f>+F61/$F$73</f>
        <v>0.18114022776303185</v>
      </c>
      <c r="H61" s="644">
        <f>+F61/$D$67</f>
        <v>658.93846224389404</v>
      </c>
      <c r="I61" s="644"/>
      <c r="J61" s="648"/>
      <c r="K61" s="806" t="s">
        <v>295</v>
      </c>
      <c r="L61" s="807"/>
      <c r="M61" s="807"/>
      <c r="N61" s="807"/>
      <c r="O61" s="649">
        <f>+F62</f>
        <v>3201.8671289105614</v>
      </c>
      <c r="P61" s="649"/>
      <c r="Q61" s="650"/>
    </row>
    <row r="62" spans="1:17" x14ac:dyDescent="0.2">
      <c r="A62" s="641"/>
      <c r="B62" s="805" t="s">
        <v>296</v>
      </c>
      <c r="C62" s="805"/>
      <c r="D62" s="805"/>
      <c r="E62" s="805"/>
      <c r="F62" s="643">
        <f>+F60+F61</f>
        <v>3201.8671289105614</v>
      </c>
      <c r="G62" s="632">
        <f>+F62/$F$73</f>
        <v>0.88018377167237249</v>
      </c>
      <c r="H62" s="644">
        <f>+F62/$D$67</f>
        <v>3201.8671289105614</v>
      </c>
      <c r="I62" s="644"/>
      <c r="J62" s="651"/>
      <c r="K62" s="652"/>
      <c r="M62" s="653" t="s">
        <v>297</v>
      </c>
      <c r="N62" s="654"/>
      <c r="O62" s="649">
        <f>+H63</f>
        <v>626.98085418066671</v>
      </c>
      <c r="P62" s="649"/>
      <c r="Q62" s="650"/>
    </row>
    <row r="63" spans="1:17" ht="13.5" thickBot="1" x14ac:dyDescent="0.25">
      <c r="A63" s="641"/>
      <c r="B63" s="642"/>
      <c r="C63" s="805" t="s">
        <v>298</v>
      </c>
      <c r="D63" s="805"/>
      <c r="E63" s="805"/>
      <c r="F63" s="643">
        <f>SUM(F49:F58)</f>
        <v>626.98085418066671</v>
      </c>
      <c r="G63" s="632">
        <f>+F63/$F$73</f>
        <v>0.17235517614588694</v>
      </c>
      <c r="H63" s="644">
        <f>+F63/$D$67</f>
        <v>626.98085418066671</v>
      </c>
      <c r="I63" s="644"/>
      <c r="J63" s="651"/>
      <c r="K63" s="652"/>
      <c r="L63" s="652"/>
      <c r="M63" s="652" t="s">
        <v>299</v>
      </c>
      <c r="N63" s="655"/>
      <c r="O63" s="649">
        <f>O61*N63</f>
        <v>0</v>
      </c>
      <c r="P63" s="649"/>
      <c r="Q63" s="650"/>
    </row>
    <row r="64" spans="1:17" ht="13.5" thickBot="1" x14ac:dyDescent="0.25">
      <c r="A64" s="641"/>
      <c r="B64" s="656"/>
      <c r="C64" s="656"/>
      <c r="D64" s="656"/>
      <c r="E64" s="656"/>
      <c r="F64" s="657"/>
      <c r="G64" s="632"/>
      <c r="H64" s="658"/>
      <c r="I64" s="644"/>
      <c r="J64" s="651"/>
      <c r="K64" s="659"/>
      <c r="M64" s="660" t="s">
        <v>300</v>
      </c>
      <c r="N64" s="661"/>
      <c r="O64" s="662">
        <f>SUM(O61:O63)</f>
        <v>3828.8479830912283</v>
      </c>
      <c r="P64" s="663"/>
      <c r="Q64" s="650"/>
    </row>
    <row r="65" spans="2:17" x14ac:dyDescent="0.2">
      <c r="B65" s="808" t="s">
        <v>301</v>
      </c>
      <c r="C65" s="808"/>
      <c r="D65" s="664">
        <v>1350</v>
      </c>
      <c r="E65" s="665"/>
      <c r="G65" s="632"/>
      <c r="H65" s="658">
        <f>+H63/77</f>
        <v>8.142608495852814</v>
      </c>
      <c r="I65" s="666"/>
      <c r="J65" s="651"/>
      <c r="K65" s="659"/>
      <c r="L65" s="652"/>
      <c r="M65" s="652" t="s">
        <v>302</v>
      </c>
      <c r="N65" s="667"/>
      <c r="O65" s="649">
        <f>+H66</f>
        <v>675.83650515578358</v>
      </c>
      <c r="P65" s="649"/>
      <c r="Q65" s="650"/>
    </row>
    <row r="66" spans="2:17" x14ac:dyDescent="0.2">
      <c r="B66" s="808" t="s">
        <v>303</v>
      </c>
      <c r="C66" s="808"/>
      <c r="D66" s="668">
        <v>1350</v>
      </c>
      <c r="E66" s="665"/>
      <c r="G66" s="632"/>
      <c r="H66" s="658">
        <f>+H65*83</f>
        <v>675.83650515578358</v>
      </c>
      <c r="I66" s="666"/>
      <c r="J66" s="651"/>
      <c r="K66" s="659"/>
      <c r="L66" s="652"/>
      <c r="M66" s="809" t="s">
        <v>300</v>
      </c>
      <c r="N66" s="809"/>
      <c r="O66" s="649">
        <f>SUM(O64:O65)</f>
        <v>4504.6844882470123</v>
      </c>
      <c r="P66" s="649"/>
      <c r="Q66" s="650"/>
    </row>
    <row r="67" spans="2:17" ht="13.5" thickBot="1" x14ac:dyDescent="0.25">
      <c r="B67" s="800" t="s">
        <v>304</v>
      </c>
      <c r="C67" s="800"/>
      <c r="D67" s="664">
        <f>+D65/D66</f>
        <v>1</v>
      </c>
      <c r="E67" s="665"/>
      <c r="F67" s="669"/>
      <c r="G67" s="632"/>
      <c r="H67" s="658"/>
      <c r="I67" s="666"/>
      <c r="J67" s="651"/>
      <c r="K67" s="659"/>
      <c r="L67" s="809"/>
      <c r="M67" s="809"/>
      <c r="N67" s="667"/>
      <c r="O67" s="649">
        <f>+O66*N67</f>
        <v>0</v>
      </c>
      <c r="P67" s="649"/>
      <c r="Q67" s="650"/>
    </row>
    <row r="68" spans="2:17" ht="13.5" thickBot="1" x14ac:dyDescent="0.25">
      <c r="B68" s="800" t="s">
        <v>305</v>
      </c>
      <c r="C68" s="800"/>
      <c r="D68" s="670"/>
      <c r="E68" s="665"/>
      <c r="F68" s="669"/>
      <c r="G68" s="632"/>
      <c r="H68" s="658"/>
      <c r="I68" s="666"/>
      <c r="J68" s="651"/>
      <c r="K68" s="801" t="s">
        <v>306</v>
      </c>
      <c r="L68" s="802"/>
      <c r="M68" s="802"/>
      <c r="N68" s="803"/>
      <c r="O68" s="662">
        <f>SUM(O66:O67)</f>
        <v>4504.6844882470123</v>
      </c>
      <c r="P68" s="671" t="s">
        <v>307</v>
      </c>
      <c r="Q68" s="650"/>
    </row>
    <row r="69" spans="2:17" ht="13.5" thickBot="1" x14ac:dyDescent="0.25">
      <c r="C69" s="641" t="s">
        <v>308</v>
      </c>
      <c r="D69" s="672"/>
      <c r="E69" s="615" t="s">
        <v>309</v>
      </c>
      <c r="F69" s="673" t="s">
        <v>310</v>
      </c>
      <c r="G69" s="632"/>
      <c r="H69" s="658"/>
      <c r="I69" s="666"/>
      <c r="J69" s="674"/>
      <c r="K69" s="675"/>
      <c r="L69" s="789" t="s">
        <v>311</v>
      </c>
      <c r="M69" s="789"/>
      <c r="N69" s="789"/>
      <c r="O69" s="676">
        <f>+O68/D67</f>
        <v>4504.6844882470123</v>
      </c>
      <c r="P69" s="677">
        <f>+O69/D66</f>
        <v>3.3368033246274167</v>
      </c>
      <c r="Q69" s="678"/>
    </row>
    <row r="70" spans="2:17" ht="13.5" thickBot="1" x14ac:dyDescent="0.25">
      <c r="B70" s="790" t="s">
        <v>296</v>
      </c>
      <c r="C70" s="790"/>
      <c r="D70" s="790"/>
      <c r="E70" s="679">
        <f>+F70/F70</f>
        <v>1</v>
      </c>
      <c r="F70" s="680">
        <f>SUM(F62)</f>
        <v>3201.8671289105614</v>
      </c>
      <c r="G70" s="632">
        <f>+F70/$F$73</f>
        <v>0.88018377167237249</v>
      </c>
      <c r="H70" s="658"/>
      <c r="I70" s="666"/>
      <c r="K70" s="791"/>
      <c r="L70" s="792"/>
      <c r="M70" s="792"/>
      <c r="N70" s="792"/>
      <c r="O70" s="681"/>
      <c r="P70" s="682"/>
    </row>
    <row r="71" spans="2:17" ht="13.5" thickBot="1" x14ac:dyDescent="0.3">
      <c r="B71" s="793" t="s">
        <v>312</v>
      </c>
      <c r="C71" s="793"/>
      <c r="D71" s="793"/>
      <c r="E71" s="683">
        <v>0.02</v>
      </c>
      <c r="F71" s="680">
        <f>+F60*E71</f>
        <v>50.858573333333347</v>
      </c>
      <c r="G71" s="632">
        <f>+F71/$F$73</f>
        <v>1.3980870878186814E-2</v>
      </c>
      <c r="H71" s="644"/>
      <c r="I71" s="666"/>
      <c r="J71" s="684"/>
      <c r="O71" s="685"/>
      <c r="P71" s="642"/>
    </row>
    <row r="72" spans="2:17" ht="13.5" thickBot="1" x14ac:dyDescent="0.3">
      <c r="B72" s="794" t="s">
        <v>313</v>
      </c>
      <c r="C72" s="795"/>
      <c r="D72" s="686">
        <v>5</v>
      </c>
      <c r="E72" s="687">
        <v>77</v>
      </c>
      <c r="F72" s="680">
        <f>+E72*D72</f>
        <v>385</v>
      </c>
      <c r="G72" s="632">
        <f>+F72/$F$73</f>
        <v>0.10583535744944061</v>
      </c>
      <c r="H72" s="644"/>
      <c r="I72" s="644"/>
      <c r="J72" s="634"/>
    </row>
    <row r="73" spans="2:17" ht="13.5" thickBot="1" x14ac:dyDescent="0.3">
      <c r="B73" s="796" t="s">
        <v>314</v>
      </c>
      <c r="C73" s="797"/>
      <c r="D73" s="797"/>
      <c r="E73" s="798"/>
      <c r="F73" s="657">
        <f>SUM(F70:F72)</f>
        <v>3637.7257022438948</v>
      </c>
      <c r="G73" s="632">
        <f>+F73/$F$73</f>
        <v>1</v>
      </c>
      <c r="H73" s="799"/>
      <c r="I73" s="644"/>
      <c r="J73" s="634"/>
      <c r="M73" s="617" t="s">
        <v>315</v>
      </c>
    </row>
    <row r="74" spans="2:17" x14ac:dyDescent="0.25">
      <c r="C74" s="639"/>
      <c r="D74" s="639"/>
      <c r="E74" s="689"/>
      <c r="F74" s="680"/>
      <c r="G74" s="632"/>
      <c r="H74" s="799"/>
      <c r="I74" s="688"/>
      <c r="J74" s="617"/>
      <c r="M74" s="617" t="s">
        <v>316</v>
      </c>
    </row>
    <row r="75" spans="2:17" ht="13.5" thickBot="1" x14ac:dyDescent="0.3">
      <c r="B75" s="784" t="s">
        <v>317</v>
      </c>
      <c r="C75" s="784"/>
      <c r="D75" s="784"/>
      <c r="E75" s="784"/>
      <c r="F75" s="784"/>
      <c r="G75" s="632"/>
      <c r="H75" s="691"/>
      <c r="I75" s="688"/>
      <c r="J75" s="617"/>
      <c r="M75" s="617" t="s">
        <v>318</v>
      </c>
    </row>
    <row r="76" spans="2:17" ht="13.5" thickBot="1" x14ac:dyDescent="0.3">
      <c r="B76" s="692" t="s">
        <v>319</v>
      </c>
      <c r="C76" s="693">
        <f>+F60</f>
        <v>2542.9286666666671</v>
      </c>
      <c r="D76" s="693">
        <f>+D65</f>
        <v>1350</v>
      </c>
      <c r="E76" s="694">
        <f>+C76/D76</f>
        <v>1.8836508641975311</v>
      </c>
      <c r="F76" s="632"/>
      <c r="G76" s="691"/>
      <c r="H76" s="634"/>
      <c r="I76" s="691"/>
      <c r="J76" s="617"/>
    </row>
    <row r="77" spans="2:17" x14ac:dyDescent="0.25">
      <c r="B77" s="695"/>
      <c r="C77" s="696"/>
      <c r="D77" s="697"/>
      <c r="E77" s="680"/>
      <c r="F77" s="632"/>
      <c r="G77" s="691"/>
      <c r="H77" s="634"/>
      <c r="I77" s="634"/>
      <c r="J77" s="617"/>
    </row>
    <row r="78" spans="2:17" x14ac:dyDescent="0.25">
      <c r="B78" s="692" t="s">
        <v>320</v>
      </c>
      <c r="C78" s="693">
        <f>SUM(F70:F71)</f>
        <v>3252.7257022438948</v>
      </c>
      <c r="D78" s="693">
        <f>+D65</f>
        <v>1350</v>
      </c>
      <c r="E78" s="698">
        <f>+C78/D78</f>
        <v>2.4094264461065888</v>
      </c>
      <c r="F78" s="632"/>
      <c r="G78" s="691"/>
      <c r="H78" s="634"/>
      <c r="I78" s="634"/>
      <c r="J78" s="617"/>
    </row>
    <row r="79" spans="2:17" x14ac:dyDescent="0.25">
      <c r="B79" s="692"/>
      <c r="C79" s="693"/>
      <c r="D79" s="693"/>
      <c r="E79" s="698"/>
      <c r="F79" s="632"/>
      <c r="G79" s="691"/>
      <c r="H79" s="634"/>
      <c r="I79" s="634"/>
      <c r="J79" s="617"/>
    </row>
    <row r="80" spans="2:17" ht="13.5" thickBot="1" x14ac:dyDescent="0.3">
      <c r="B80" s="692" t="s">
        <v>321</v>
      </c>
      <c r="C80" s="693">
        <f>+F72</f>
        <v>385</v>
      </c>
      <c r="D80" s="693">
        <f>+D65</f>
        <v>1350</v>
      </c>
      <c r="E80" s="698">
        <f>+C80/D80</f>
        <v>0.28518518518518521</v>
      </c>
      <c r="F80" s="632"/>
      <c r="G80" s="691"/>
      <c r="H80" s="634"/>
      <c r="I80" s="634"/>
      <c r="J80" s="617"/>
    </row>
    <row r="81" spans="1:10" ht="13.5" thickBot="1" x14ac:dyDescent="0.3">
      <c r="B81" s="692" t="s">
        <v>322</v>
      </c>
      <c r="C81" s="693">
        <f>+F63</f>
        <v>626.98085418066671</v>
      </c>
      <c r="D81" s="693">
        <f>+D80</f>
        <v>1350</v>
      </c>
      <c r="E81" s="694">
        <f>+C81/D81</f>
        <v>0.46443026235604939</v>
      </c>
      <c r="F81" s="632"/>
      <c r="G81" s="691"/>
      <c r="H81" s="634"/>
      <c r="I81" s="634"/>
      <c r="J81" s="617"/>
    </row>
    <row r="82" spans="1:10" ht="13.5" thickBot="1" x14ac:dyDescent="0.3">
      <c r="B82" s="656"/>
      <c r="C82" s="657"/>
      <c r="D82" s="657"/>
      <c r="E82" s="698"/>
      <c r="F82" s="632"/>
      <c r="G82" s="691"/>
      <c r="H82" s="634"/>
      <c r="I82" s="634"/>
      <c r="J82" s="617"/>
    </row>
    <row r="83" spans="1:10" ht="13.5" thickBot="1" x14ac:dyDescent="0.3">
      <c r="B83" s="692" t="s">
        <v>323</v>
      </c>
      <c r="C83" s="693">
        <f>+F61</f>
        <v>658.93846224389404</v>
      </c>
      <c r="D83" s="693">
        <f>+D81</f>
        <v>1350</v>
      </c>
      <c r="E83" s="694">
        <f>+C83/D83</f>
        <v>0.48810256462510671</v>
      </c>
      <c r="F83" s="632"/>
      <c r="G83" s="691"/>
      <c r="H83" s="634"/>
      <c r="I83" s="634"/>
      <c r="J83" s="634"/>
    </row>
    <row r="84" spans="1:10" ht="13.5" thickBot="1" x14ac:dyDescent="0.3">
      <c r="B84" s="656"/>
      <c r="C84" s="657"/>
      <c r="D84" s="657"/>
      <c r="E84" s="698"/>
      <c r="F84" s="632"/>
      <c r="G84" s="691"/>
      <c r="H84" s="634"/>
      <c r="I84" s="634"/>
    </row>
    <row r="85" spans="1:10" ht="13.5" thickBot="1" x14ac:dyDescent="0.3">
      <c r="B85" s="785" t="s">
        <v>324</v>
      </c>
      <c r="C85" s="786"/>
      <c r="D85" s="787"/>
      <c r="E85" s="694">
        <f>+E76+E81</f>
        <v>2.3480811265535806</v>
      </c>
      <c r="G85" s="632"/>
      <c r="H85" s="691"/>
      <c r="I85" s="634"/>
      <c r="J85" s="698"/>
    </row>
    <row r="86" spans="1:10" x14ac:dyDescent="0.25">
      <c r="I86" s="691"/>
      <c r="J86" s="617"/>
    </row>
    <row r="87" spans="1:10" ht="13.5" thickBot="1" x14ac:dyDescent="0.3">
      <c r="B87" s="784" t="s">
        <v>325</v>
      </c>
      <c r="C87" s="784"/>
      <c r="D87" s="784"/>
      <c r="E87" s="784"/>
      <c r="F87" s="784"/>
      <c r="G87" s="632"/>
      <c r="H87" s="691"/>
      <c r="J87" s="617"/>
    </row>
    <row r="88" spans="1:10" ht="13.5" thickBot="1" x14ac:dyDescent="0.3">
      <c r="B88" s="692" t="s">
        <v>319</v>
      </c>
      <c r="C88" s="693">
        <f>+C76</f>
        <v>2542.9286666666671</v>
      </c>
      <c r="D88" s="693">
        <f>+D67</f>
        <v>1</v>
      </c>
      <c r="E88" s="694">
        <f>+C88/D88</f>
        <v>2542.9286666666671</v>
      </c>
      <c r="F88" s="632"/>
      <c r="G88" s="691"/>
      <c r="H88" s="634"/>
      <c r="I88" s="691"/>
      <c r="J88" s="617"/>
    </row>
    <row r="89" spans="1:10" x14ac:dyDescent="0.25">
      <c r="B89" s="695"/>
      <c r="C89" s="696"/>
      <c r="D89" s="697"/>
      <c r="E89" s="680"/>
      <c r="F89" s="632"/>
      <c r="G89" s="691"/>
      <c r="H89" s="634"/>
      <c r="I89" s="634"/>
      <c r="J89" s="617"/>
    </row>
    <row r="90" spans="1:10" x14ac:dyDescent="0.25">
      <c r="B90" s="692" t="s">
        <v>320</v>
      </c>
      <c r="C90" s="693">
        <f>+C78</f>
        <v>3252.7257022438948</v>
      </c>
      <c r="D90" s="693">
        <f>+D67</f>
        <v>1</v>
      </c>
      <c r="E90" s="698">
        <f>+C90/D90</f>
        <v>3252.7257022438948</v>
      </c>
      <c r="F90" s="632"/>
      <c r="G90" s="691"/>
      <c r="H90" s="634"/>
      <c r="I90" s="634"/>
      <c r="J90" s="617"/>
    </row>
    <row r="91" spans="1:10" x14ac:dyDescent="0.25">
      <c r="B91" s="692"/>
      <c r="C91" s="693"/>
      <c r="D91" s="693"/>
      <c r="E91" s="698"/>
      <c r="F91" s="632"/>
      <c r="G91" s="691"/>
      <c r="H91" s="634"/>
      <c r="I91" s="634"/>
      <c r="J91" s="617"/>
    </row>
    <row r="92" spans="1:10" ht="13.5" thickBot="1" x14ac:dyDescent="0.3">
      <c r="B92" s="692" t="s">
        <v>322</v>
      </c>
      <c r="C92" s="693">
        <f>+C80</f>
        <v>385</v>
      </c>
      <c r="D92" s="693">
        <f>+D67</f>
        <v>1</v>
      </c>
      <c r="E92" s="698">
        <f>+C92/D92</f>
        <v>385</v>
      </c>
      <c r="F92" s="700"/>
      <c r="G92" s="690"/>
      <c r="H92" s="616"/>
      <c r="I92" s="634"/>
    </row>
    <row r="93" spans="1:10" ht="13.5" thickBot="1" x14ac:dyDescent="0.3">
      <c r="B93" s="692" t="s">
        <v>322</v>
      </c>
      <c r="C93" s="693">
        <f>+C81</f>
        <v>626.98085418066671</v>
      </c>
      <c r="D93" s="693">
        <f>+D92</f>
        <v>1</v>
      </c>
      <c r="E93" s="694">
        <f>+C93/D93</f>
        <v>626.98085418066671</v>
      </c>
      <c r="F93" s="699"/>
      <c r="G93" s="690"/>
      <c r="H93" s="616"/>
      <c r="I93" s="616"/>
    </row>
    <row r="94" spans="1:10" x14ac:dyDescent="0.25">
      <c r="I94" s="616"/>
    </row>
    <row r="95" spans="1:10" x14ac:dyDescent="0.2">
      <c r="A95" s="788"/>
      <c r="B95" s="788"/>
      <c r="C95" s="701"/>
      <c r="D95" s="701"/>
      <c r="E95" s="702"/>
      <c r="G95" s="703"/>
    </row>
    <row r="96" spans="1:10" x14ac:dyDescent="0.2">
      <c r="A96" s="635"/>
      <c r="B96" s="704"/>
      <c r="C96" s="705"/>
      <c r="D96" s="705"/>
      <c r="E96" s="706"/>
      <c r="G96" s="703"/>
    </row>
    <row r="97" spans="1:7" x14ac:dyDescent="0.2">
      <c r="A97" s="635"/>
      <c r="B97" s="704"/>
      <c r="C97" s="707"/>
      <c r="D97" s="707"/>
      <c r="E97" s="635"/>
      <c r="G97" s="703"/>
    </row>
    <row r="98" spans="1:7" x14ac:dyDescent="0.2">
      <c r="A98" s="635"/>
      <c r="B98" s="704"/>
      <c r="C98" s="708"/>
      <c r="D98" s="708"/>
      <c r="E98" s="635"/>
      <c r="G98" s="703"/>
    </row>
  </sheetData>
  <mergeCells count="30">
    <mergeCell ref="K30:L30"/>
    <mergeCell ref="A4:H4"/>
    <mergeCell ref="A5:H5"/>
    <mergeCell ref="F6:G6"/>
    <mergeCell ref="K28:L28"/>
    <mergeCell ref="K29:L29"/>
    <mergeCell ref="B68:C68"/>
    <mergeCell ref="K68:N68"/>
    <mergeCell ref="K33:L33"/>
    <mergeCell ref="B60:E60"/>
    <mergeCell ref="B61:E61"/>
    <mergeCell ref="K61:N61"/>
    <mergeCell ref="B62:E62"/>
    <mergeCell ref="C63:E63"/>
    <mergeCell ref="B65:C65"/>
    <mergeCell ref="B66:C66"/>
    <mergeCell ref="M66:N66"/>
    <mergeCell ref="B67:C67"/>
    <mergeCell ref="L67:M67"/>
    <mergeCell ref="B75:F75"/>
    <mergeCell ref="B85:D85"/>
    <mergeCell ref="B87:F87"/>
    <mergeCell ref="A95:B95"/>
    <mergeCell ref="L69:N69"/>
    <mergeCell ref="B70:D70"/>
    <mergeCell ref="K70:N70"/>
    <mergeCell ref="B71:D71"/>
    <mergeCell ref="B72:C72"/>
    <mergeCell ref="B73:E73"/>
    <mergeCell ref="H73:H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766E-62B8-4B24-8B64-D2D5854D5A19}">
  <dimension ref="A1:K57"/>
  <sheetViews>
    <sheetView workbookViewId="0">
      <selection activeCell="D16" sqref="D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28515625" bestFit="1" customWidth="1"/>
  </cols>
  <sheetData>
    <row r="1" spans="1:9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254" t="s">
        <v>113</v>
      </c>
    </row>
    <row r="2" spans="1:9" ht="16.5" thickBot="1" x14ac:dyDescent="0.3">
      <c r="A2" s="826"/>
      <c r="B2" s="827"/>
      <c r="C2" s="830" t="s">
        <v>28</v>
      </c>
      <c r="D2" s="831"/>
      <c r="E2" s="831"/>
      <c r="F2" s="831"/>
      <c r="G2" s="832"/>
      <c r="H2" s="62" t="s">
        <v>27</v>
      </c>
      <c r="I2" s="63" t="s">
        <v>81</v>
      </c>
    </row>
    <row r="3" spans="1:9" ht="18.75" thickBot="1" x14ac:dyDescent="0.3">
      <c r="A3" s="826"/>
      <c r="B3" s="827"/>
      <c r="C3" s="833" t="s">
        <v>114</v>
      </c>
      <c r="D3" s="834"/>
      <c r="E3" s="834"/>
      <c r="F3" s="834"/>
      <c r="G3" s="835"/>
      <c r="H3" s="836" t="s">
        <v>26</v>
      </c>
      <c r="I3" s="815">
        <v>45618</v>
      </c>
    </row>
    <row r="4" spans="1:9" x14ac:dyDescent="0.25">
      <c r="A4" s="826"/>
      <c r="B4" s="827"/>
      <c r="C4" s="64" t="s">
        <v>25</v>
      </c>
      <c r="D4" s="818" t="s">
        <v>83</v>
      </c>
      <c r="E4" s="819"/>
      <c r="F4" s="819"/>
      <c r="G4" s="820"/>
      <c r="H4" s="837"/>
      <c r="I4" s="816"/>
    </row>
    <row r="5" spans="1:9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9" ht="18.75" thickBot="1" x14ac:dyDescent="0.3">
      <c r="A6" s="839" t="s">
        <v>23</v>
      </c>
      <c r="B6" s="839"/>
      <c r="C6" s="839"/>
      <c r="D6" s="840" t="s">
        <v>115</v>
      </c>
      <c r="E6" s="840"/>
      <c r="F6" s="840"/>
      <c r="G6" s="841" t="s">
        <v>22</v>
      </c>
      <c r="H6" s="841"/>
      <c r="I6" s="66" t="s">
        <v>115</v>
      </c>
    </row>
    <row r="7" spans="1:9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9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x14ac:dyDescent="0.25">
      <c r="A9" s="71"/>
      <c r="B9" s="72"/>
      <c r="C9" s="73" t="s">
        <v>34</v>
      </c>
      <c r="D9" s="74"/>
      <c r="E9" s="75"/>
      <c r="F9" s="76"/>
      <c r="G9" s="75"/>
      <c r="H9" s="76"/>
      <c r="I9" s="77"/>
    </row>
    <row r="10" spans="1:9" x14ac:dyDescent="0.25">
      <c r="A10" s="255" t="s">
        <v>116</v>
      </c>
      <c r="B10" s="59" t="s">
        <v>117</v>
      </c>
      <c r="C10" s="48" t="s">
        <v>118</v>
      </c>
      <c r="D10" s="256" t="s">
        <v>33</v>
      </c>
      <c r="E10" s="257">
        <v>46000</v>
      </c>
      <c r="F10" s="258" t="s">
        <v>1</v>
      </c>
      <c r="G10" s="259"/>
      <c r="H10" s="78"/>
      <c r="I10" s="77"/>
    </row>
    <row r="11" spans="1:9" x14ac:dyDescent="0.25">
      <c r="A11" s="256">
        <v>902000019</v>
      </c>
      <c r="B11" s="256"/>
      <c r="C11" s="260" t="s">
        <v>119</v>
      </c>
      <c r="D11" s="256" t="s">
        <v>33</v>
      </c>
      <c r="E11" s="257">
        <v>2600</v>
      </c>
      <c r="F11" s="258" t="s">
        <v>1</v>
      </c>
      <c r="G11" s="259"/>
      <c r="H11" s="78"/>
      <c r="I11" s="77"/>
    </row>
    <row r="12" spans="1:9" x14ac:dyDescent="0.25">
      <c r="A12" s="256"/>
      <c r="B12" s="256"/>
      <c r="C12" s="260"/>
      <c r="D12" s="256"/>
      <c r="E12" s="257"/>
      <c r="F12" s="258"/>
      <c r="G12" s="259"/>
      <c r="H12" s="78"/>
      <c r="I12" s="77"/>
    </row>
    <row r="13" spans="1:9" x14ac:dyDescent="0.25">
      <c r="A13" s="256"/>
      <c r="B13" s="256"/>
      <c r="C13" s="260"/>
      <c r="D13" s="256"/>
      <c r="E13" s="257"/>
      <c r="F13" s="258"/>
      <c r="G13" s="259"/>
      <c r="H13" s="78"/>
      <c r="I13" s="77"/>
    </row>
    <row r="14" spans="1:9" x14ac:dyDescent="0.25">
      <c r="A14" s="256"/>
      <c r="B14" s="256"/>
      <c r="C14" s="260"/>
      <c r="D14" s="256"/>
      <c r="E14" s="257"/>
      <c r="F14" s="258"/>
      <c r="G14" s="259"/>
      <c r="H14" s="78"/>
      <c r="I14" s="77"/>
    </row>
    <row r="15" spans="1:9" x14ac:dyDescent="0.25">
      <c r="A15" s="256"/>
      <c r="B15" s="256"/>
      <c r="C15" s="260"/>
      <c r="D15" s="256"/>
      <c r="E15" s="257"/>
      <c r="F15" s="258"/>
      <c r="G15" s="259"/>
      <c r="H15" s="78"/>
      <c r="I15" s="77"/>
    </row>
    <row r="16" spans="1:9" x14ac:dyDescent="0.25">
      <c r="A16" s="256"/>
      <c r="B16" s="256"/>
      <c r="C16" s="260"/>
      <c r="D16" s="256"/>
      <c r="E16" s="257"/>
      <c r="F16" s="258"/>
      <c r="G16" s="259"/>
      <c r="H16" s="78"/>
      <c r="I16" s="77"/>
    </row>
    <row r="17" spans="1:11" x14ac:dyDescent="0.25">
      <c r="A17" s="256"/>
      <c r="B17" s="256"/>
      <c r="C17" s="260"/>
      <c r="D17" s="256"/>
      <c r="E17" s="257"/>
      <c r="F17" s="258"/>
      <c r="G17" s="259"/>
      <c r="H17" s="78"/>
      <c r="I17" s="77"/>
    </row>
    <row r="18" spans="1:11" x14ac:dyDescent="0.25">
      <c r="A18" s="256"/>
      <c r="B18" s="256"/>
      <c r="C18" s="260"/>
      <c r="D18" s="256"/>
      <c r="E18" s="257"/>
      <c r="F18" s="258"/>
      <c r="G18" s="259"/>
      <c r="H18" s="78"/>
      <c r="I18" s="77"/>
    </row>
    <row r="19" spans="1:11" x14ac:dyDescent="0.25">
      <c r="A19" s="256"/>
      <c r="B19" s="256"/>
      <c r="C19" s="260"/>
      <c r="D19" s="256"/>
      <c r="E19" s="257"/>
      <c r="F19" s="258"/>
      <c r="G19" s="259"/>
      <c r="H19" s="78"/>
      <c r="I19" s="77"/>
      <c r="K19" s="8">
        <f>SUM(E10:E11)</f>
        <v>48600</v>
      </c>
    </row>
    <row r="20" spans="1:11" ht="15.75" x14ac:dyDescent="0.25">
      <c r="A20" s="261"/>
      <c r="B20" s="261"/>
      <c r="C20" s="48"/>
      <c r="D20" s="20"/>
      <c r="E20" s="20"/>
      <c r="F20" s="20"/>
      <c r="G20" s="49"/>
      <c r="H20" s="78"/>
      <c r="I20" s="77"/>
    </row>
    <row r="21" spans="1:11" ht="15.75" x14ac:dyDescent="0.25">
      <c r="A21" s="83"/>
      <c r="B21" s="84"/>
      <c r="C21" s="85" t="s">
        <v>68</v>
      </c>
      <c r="D21" s="20"/>
      <c r="E21" s="20"/>
      <c r="F21" s="20"/>
      <c r="G21" s="49"/>
      <c r="H21" s="78"/>
      <c r="I21" s="77"/>
    </row>
    <row r="22" spans="1:11" x14ac:dyDescent="0.25">
      <c r="A22" s="255"/>
      <c r="B22" s="59"/>
      <c r="C22" s="48"/>
      <c r="D22" s="262"/>
      <c r="E22" s="262"/>
      <c r="F22" s="262"/>
      <c r="G22" s="75"/>
      <c r="H22" s="78"/>
      <c r="I22" s="77"/>
    </row>
    <row r="23" spans="1:11" x14ac:dyDescent="0.25">
      <c r="A23" s="263"/>
      <c r="B23" s="261"/>
      <c r="C23" s="48"/>
      <c r="D23" s="262"/>
      <c r="E23" s="262"/>
      <c r="F23" s="262"/>
      <c r="G23" s="75"/>
      <c r="H23" s="78"/>
      <c r="I23" s="77"/>
    </row>
    <row r="24" spans="1:11" x14ac:dyDescent="0.25">
      <c r="A24" s="263"/>
      <c r="B24" s="261"/>
      <c r="C24" s="48"/>
      <c r="D24" s="262"/>
      <c r="E24" s="262"/>
      <c r="F24" s="262"/>
      <c r="G24" s="75"/>
      <c r="H24" s="78"/>
      <c r="I24" s="77"/>
    </row>
    <row r="25" spans="1:11" ht="15.75" x14ac:dyDescent="0.25">
      <c r="A25" s="83"/>
      <c r="B25" s="84"/>
      <c r="C25" s="85"/>
      <c r="D25" s="86"/>
      <c r="E25" s="79"/>
      <c r="F25" s="87"/>
      <c r="G25" s="75"/>
      <c r="H25" s="78"/>
      <c r="I25" s="77"/>
    </row>
    <row r="26" spans="1:11" x14ac:dyDescent="0.25">
      <c r="A26" s="264"/>
      <c r="B26" s="265"/>
      <c r="C26" s="266"/>
      <c r="D26" s="90"/>
      <c r="E26" s="91"/>
      <c r="F26" s="92"/>
      <c r="G26" s="75"/>
      <c r="H26" s="78"/>
      <c r="I26" s="77"/>
    </row>
    <row r="27" spans="1:11" x14ac:dyDescent="0.25">
      <c r="A27" s="59"/>
      <c r="B27" s="59"/>
      <c r="C27" s="48"/>
      <c r="D27" s="93"/>
      <c r="E27" s="50"/>
      <c r="F27" s="95"/>
      <c r="G27" s="75"/>
      <c r="H27" s="78"/>
      <c r="I27" s="77"/>
    </row>
    <row r="28" spans="1:11" ht="15.75" x14ac:dyDescent="0.25">
      <c r="A28" s="96"/>
      <c r="B28" s="97"/>
      <c r="C28" s="98" t="s">
        <v>75</v>
      </c>
      <c r="D28" s="99"/>
      <c r="E28" s="100"/>
      <c r="F28" s="76"/>
      <c r="G28" s="75"/>
      <c r="H28" s="78"/>
      <c r="I28" s="77"/>
    </row>
    <row r="29" spans="1:11" x14ac:dyDescent="0.25">
      <c r="A29" s="267">
        <v>702007</v>
      </c>
      <c r="B29" s="268" t="s">
        <v>44</v>
      </c>
      <c r="C29" s="269" t="s">
        <v>120</v>
      </c>
      <c r="D29" s="106" t="s">
        <v>108</v>
      </c>
      <c r="E29" s="52">
        <v>11.821428571428571</v>
      </c>
      <c r="F29" s="51" t="s">
        <v>41</v>
      </c>
      <c r="G29" s="101"/>
      <c r="H29" s="78"/>
      <c r="I29" s="77"/>
    </row>
    <row r="30" spans="1:11" x14ac:dyDescent="0.25">
      <c r="A30" s="267">
        <v>702123</v>
      </c>
      <c r="B30" s="268" t="s">
        <v>38</v>
      </c>
      <c r="C30" s="269" t="s">
        <v>96</v>
      </c>
      <c r="D30" s="106" t="s">
        <v>33</v>
      </c>
      <c r="E30" s="52">
        <v>10</v>
      </c>
      <c r="F30" s="51" t="s">
        <v>41</v>
      </c>
      <c r="G30" s="101"/>
      <c r="H30" s="78"/>
      <c r="I30" s="77"/>
    </row>
    <row r="31" spans="1:11" x14ac:dyDescent="0.25">
      <c r="A31" s="270"/>
      <c r="B31" s="59" t="s">
        <v>121</v>
      </c>
      <c r="C31" t="s">
        <v>122</v>
      </c>
      <c r="D31" s="106"/>
      <c r="E31" s="52">
        <v>17</v>
      </c>
      <c r="F31" s="51" t="s">
        <v>123</v>
      </c>
      <c r="G31" s="101"/>
      <c r="H31" s="78"/>
      <c r="I31" s="77"/>
    </row>
    <row r="32" spans="1:11" x14ac:dyDescent="0.25">
      <c r="A32" s="271"/>
      <c r="B32" s="271"/>
      <c r="C32" s="272"/>
      <c r="D32" s="106"/>
      <c r="E32" s="52"/>
      <c r="F32" s="51"/>
      <c r="G32" s="75"/>
      <c r="H32" s="78"/>
      <c r="I32" s="77"/>
    </row>
    <row r="33" spans="1:9" x14ac:dyDescent="0.25">
      <c r="A33" s="271"/>
      <c r="B33" s="271"/>
      <c r="C33" s="272"/>
      <c r="D33" s="106"/>
      <c r="E33" s="52"/>
      <c r="F33" s="51"/>
      <c r="G33" s="75"/>
      <c r="H33" s="78"/>
      <c r="I33" s="77"/>
    </row>
    <row r="34" spans="1:9" x14ac:dyDescent="0.25">
      <c r="A34" s="271"/>
      <c r="B34" s="271"/>
      <c r="C34" s="272"/>
      <c r="D34" s="106"/>
      <c r="E34" s="52"/>
      <c r="F34" s="51"/>
      <c r="G34" s="103"/>
      <c r="H34" s="78"/>
      <c r="I34" s="77"/>
    </row>
    <row r="35" spans="1:9" ht="15.75" x14ac:dyDescent="0.25">
      <c r="A35" s="271"/>
      <c r="B35" s="271"/>
      <c r="C35" s="272"/>
      <c r="D35" s="20"/>
      <c r="E35" s="52"/>
      <c r="F35" s="51"/>
      <c r="G35" s="104"/>
      <c r="H35" s="78"/>
      <c r="I35" s="77"/>
    </row>
    <row r="36" spans="1:9" x14ac:dyDescent="0.25">
      <c r="A36" s="273"/>
      <c r="B36" s="273"/>
      <c r="C36" s="274"/>
      <c r="D36" s="106"/>
      <c r="E36" s="95"/>
      <c r="F36" s="95"/>
      <c r="G36" s="104"/>
      <c r="H36" s="76"/>
      <c r="I36" s="77"/>
    </row>
    <row r="37" spans="1:9" ht="15.75" thickBot="1" x14ac:dyDescent="0.3">
      <c r="A37" s="107"/>
      <c r="B37" s="108"/>
      <c r="C37" s="109" t="s">
        <v>124</v>
      </c>
      <c r="D37" s="109"/>
      <c r="E37" s="110"/>
      <c r="F37" s="111"/>
      <c r="G37" s="109"/>
      <c r="H37" s="109"/>
      <c r="I37" s="112"/>
    </row>
    <row r="38" spans="1:9" ht="15.75" thickBot="1" x14ac:dyDescent="0.3">
      <c r="A38" s="113"/>
      <c r="B38" s="114"/>
      <c r="C38" s="115" t="s">
        <v>124</v>
      </c>
      <c r="D38" s="116" t="s">
        <v>13</v>
      </c>
      <c r="E38" s="117" t="s">
        <v>12</v>
      </c>
      <c r="F38" s="118"/>
      <c r="G38" s="115"/>
      <c r="H38" s="115"/>
      <c r="I38" s="119"/>
    </row>
    <row r="39" spans="1:9" x14ac:dyDescent="0.25">
      <c r="A39" s="848" t="s">
        <v>11</v>
      </c>
      <c r="B39" s="849"/>
      <c r="C39" s="850"/>
      <c r="D39" s="94">
        <v>45500</v>
      </c>
      <c r="E39" s="120" t="s">
        <v>1</v>
      </c>
      <c r="F39" s="851" t="s">
        <v>10</v>
      </c>
      <c r="G39" s="851"/>
      <c r="H39" s="852"/>
      <c r="I39" s="853"/>
    </row>
    <row r="40" spans="1:9" x14ac:dyDescent="0.25">
      <c r="A40" s="854" t="s">
        <v>9</v>
      </c>
      <c r="B40" s="855"/>
      <c r="C40" s="856"/>
      <c r="D40" s="50">
        <v>50</v>
      </c>
      <c r="E40" s="49" t="s">
        <v>8</v>
      </c>
      <c r="F40" s="857" t="s">
        <v>7</v>
      </c>
      <c r="G40" s="857"/>
      <c r="H40" s="858"/>
      <c r="I40" s="859"/>
    </row>
    <row r="41" spans="1:9" x14ac:dyDescent="0.25">
      <c r="A41" s="854" t="s">
        <v>6</v>
      </c>
      <c r="B41" s="855"/>
      <c r="C41" s="856"/>
      <c r="D41" s="50">
        <f>D39/D42</f>
        <v>146.7741935483871</v>
      </c>
      <c r="E41" s="49" t="s">
        <v>41</v>
      </c>
      <c r="F41" s="857" t="s">
        <v>5</v>
      </c>
      <c r="G41" s="857"/>
      <c r="H41" s="858"/>
      <c r="I41" s="859"/>
    </row>
    <row r="42" spans="1:9" x14ac:dyDescent="0.25">
      <c r="A42" s="854" t="s">
        <v>4</v>
      </c>
      <c r="B42" s="855"/>
      <c r="C42" s="856"/>
      <c r="D42" s="50">
        <v>310</v>
      </c>
      <c r="E42" s="49" t="s">
        <v>1</v>
      </c>
      <c r="F42" s="860" t="s">
        <v>3</v>
      </c>
      <c r="G42" s="861"/>
      <c r="H42" s="862"/>
      <c r="I42" s="863"/>
    </row>
    <row r="43" spans="1:9" ht="15.75" thickBot="1" x14ac:dyDescent="0.3">
      <c r="A43" s="867" t="s">
        <v>2</v>
      </c>
      <c r="B43" s="868"/>
      <c r="C43" s="869"/>
      <c r="D43" s="121">
        <f>SUM(E10:E11)-D39</f>
        <v>3100</v>
      </c>
      <c r="E43" s="122" t="s">
        <v>1</v>
      </c>
      <c r="F43" s="870"/>
      <c r="G43" s="870"/>
      <c r="H43" s="858"/>
      <c r="I43" s="859"/>
    </row>
    <row r="44" spans="1:9" ht="15.75" thickBot="1" x14ac:dyDescent="0.3">
      <c r="A44" s="871" t="s">
        <v>0</v>
      </c>
      <c r="B44" s="872"/>
      <c r="C44" s="872"/>
      <c r="D44" s="872"/>
      <c r="E44" s="872"/>
      <c r="F44" s="872"/>
      <c r="G44" s="872"/>
      <c r="H44" s="872"/>
      <c r="I44" s="873"/>
    </row>
    <row r="45" spans="1:9" x14ac:dyDescent="0.25">
      <c r="A45" s="874" t="s">
        <v>125</v>
      </c>
      <c r="B45" s="875"/>
      <c r="C45" s="875"/>
      <c r="D45" s="875"/>
      <c r="E45" s="875"/>
      <c r="F45" s="875"/>
      <c r="G45" s="875"/>
      <c r="H45" s="875"/>
      <c r="I45" s="876"/>
    </row>
    <row r="46" spans="1:9" x14ac:dyDescent="0.25">
      <c r="A46" s="877" t="s">
        <v>126</v>
      </c>
      <c r="B46" s="878"/>
      <c r="C46" s="878"/>
      <c r="D46" s="878"/>
      <c r="E46" s="878"/>
      <c r="F46" s="878"/>
      <c r="G46" s="878"/>
      <c r="H46" s="878"/>
      <c r="I46" s="879"/>
    </row>
    <row r="47" spans="1:9" ht="15.75" thickBot="1" x14ac:dyDescent="0.3">
      <c r="A47" s="880" t="s">
        <v>127</v>
      </c>
      <c r="B47" s="881"/>
      <c r="C47" s="881"/>
      <c r="D47" s="881"/>
      <c r="E47" s="881"/>
      <c r="F47" s="881"/>
      <c r="G47" s="881"/>
      <c r="H47" s="881"/>
      <c r="I47" s="882"/>
    </row>
    <row r="48" spans="1:9" x14ac:dyDescent="0.25">
      <c r="A48" s="883" t="s">
        <v>128</v>
      </c>
      <c r="B48" s="884"/>
      <c r="C48" s="884"/>
      <c r="D48" s="884"/>
      <c r="E48" s="884"/>
      <c r="F48" s="884"/>
      <c r="G48" s="884"/>
      <c r="H48" s="884"/>
      <c r="I48" s="885"/>
    </row>
    <row r="49" spans="1:9" x14ac:dyDescent="0.25">
      <c r="A49" s="886"/>
      <c r="B49" s="887"/>
      <c r="C49" s="887"/>
      <c r="D49" s="887"/>
      <c r="E49" s="887"/>
      <c r="F49" s="887"/>
      <c r="G49" s="887"/>
      <c r="H49" s="887"/>
      <c r="I49" s="888"/>
    </row>
    <row r="50" spans="1:9" x14ac:dyDescent="0.25">
      <c r="A50" s="889"/>
      <c r="B50" s="865"/>
      <c r="C50" s="865"/>
      <c r="D50" s="865"/>
      <c r="E50" s="865"/>
      <c r="F50" s="865"/>
      <c r="G50" s="865"/>
      <c r="H50" s="865"/>
      <c r="I50" s="890"/>
    </row>
    <row r="51" spans="1:9" x14ac:dyDescent="0.25">
      <c r="A51" s="864"/>
      <c r="B51" s="865"/>
      <c r="C51" s="865"/>
      <c r="D51" s="865"/>
      <c r="E51" s="865"/>
      <c r="F51" s="865"/>
      <c r="G51" s="865"/>
      <c r="H51" s="865"/>
      <c r="I51" s="866"/>
    </row>
    <row r="52" spans="1:9" x14ac:dyDescent="0.25">
      <c r="A52" s="864"/>
      <c r="B52" s="865"/>
      <c r="C52" s="865"/>
      <c r="D52" s="865"/>
      <c r="E52" s="865"/>
      <c r="F52" s="865"/>
      <c r="G52" s="865"/>
      <c r="H52" s="865"/>
      <c r="I52" s="866"/>
    </row>
    <row r="53" spans="1:9" x14ac:dyDescent="0.25">
      <c r="A53" s="864"/>
      <c r="B53" s="865"/>
      <c r="C53" s="865"/>
      <c r="D53" s="865"/>
      <c r="E53" s="865"/>
      <c r="F53" s="865"/>
      <c r="G53" s="865"/>
      <c r="H53" s="865"/>
      <c r="I53" s="866"/>
    </row>
    <row r="54" spans="1:9" ht="15.75" thickBot="1" x14ac:dyDescent="0.3">
      <c r="A54" s="864"/>
      <c r="B54" s="865"/>
      <c r="C54" s="865"/>
      <c r="D54" s="865"/>
      <c r="E54" s="865"/>
      <c r="F54" s="865"/>
      <c r="G54" s="865"/>
      <c r="H54" s="865"/>
      <c r="I54" s="866"/>
    </row>
    <row r="55" spans="1:9" x14ac:dyDescent="0.25">
      <c r="A55" s="891" t="s">
        <v>32</v>
      </c>
      <c r="B55" s="892"/>
      <c r="C55" s="892"/>
      <c r="D55" s="892"/>
      <c r="E55" s="892"/>
      <c r="F55" s="892"/>
      <c r="G55" s="892"/>
      <c r="H55" s="892"/>
      <c r="I55" s="892"/>
    </row>
    <row r="56" spans="1:9" x14ac:dyDescent="0.25">
      <c r="A56" s="821" t="s">
        <v>129</v>
      </c>
      <c r="B56" s="822"/>
      <c r="C56" s="822"/>
      <c r="D56" s="822"/>
      <c r="E56" s="822"/>
      <c r="F56" s="822"/>
      <c r="G56" s="822"/>
      <c r="H56" s="822"/>
      <c r="I56" s="823"/>
    </row>
    <row r="57" spans="1:9" x14ac:dyDescent="0.25">
      <c r="A57" s="893"/>
      <c r="B57" s="894"/>
      <c r="C57" s="894"/>
      <c r="D57" s="894"/>
      <c r="E57" s="894"/>
      <c r="F57" s="894"/>
      <c r="G57" s="894"/>
      <c r="H57" s="894"/>
      <c r="I57" s="89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BFD6-7745-4BA5-B23C-9B7557C3FC39}">
  <dimension ref="A1:K33"/>
  <sheetViews>
    <sheetView zoomScale="55" zoomScaleNormal="55" workbookViewId="0">
      <selection activeCell="A26" sqref="A26:I26"/>
    </sheetView>
  </sheetViews>
  <sheetFormatPr baseColWidth="10" defaultRowHeight="15" x14ac:dyDescent="0.25"/>
  <cols>
    <col min="1" max="1" width="16.7109375" bestFit="1" customWidth="1"/>
    <col min="2" max="2" width="16.42578125" customWidth="1"/>
    <col min="3" max="3" width="67" customWidth="1"/>
    <col min="4" max="4" width="23" customWidth="1"/>
    <col min="7" max="7" width="22" customWidth="1"/>
    <col min="8" max="8" width="15.28515625" customWidth="1"/>
    <col min="9" max="9" width="18.28515625" bestFit="1" customWidth="1"/>
  </cols>
  <sheetData>
    <row r="1" spans="1:11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254" t="s">
        <v>130</v>
      </c>
    </row>
    <row r="2" spans="1:11" ht="16.5" thickBot="1" x14ac:dyDescent="0.3">
      <c r="A2" s="826"/>
      <c r="B2" s="827"/>
      <c r="C2" s="830" t="s">
        <v>28</v>
      </c>
      <c r="D2" s="831"/>
      <c r="E2" s="831"/>
      <c r="F2" s="831"/>
      <c r="G2" s="832"/>
      <c r="H2" s="62" t="s">
        <v>27</v>
      </c>
      <c r="I2" s="63" t="s">
        <v>81</v>
      </c>
    </row>
    <row r="3" spans="1:11" ht="24" thickBot="1" x14ac:dyDescent="0.3">
      <c r="A3" s="826"/>
      <c r="B3" s="827"/>
      <c r="C3" s="895" t="s">
        <v>131</v>
      </c>
      <c r="D3" s="896"/>
      <c r="E3" s="896"/>
      <c r="F3" s="896"/>
      <c r="G3" s="897"/>
      <c r="H3" s="836" t="s">
        <v>26</v>
      </c>
      <c r="I3" s="815">
        <v>45980</v>
      </c>
    </row>
    <row r="4" spans="1:11" x14ac:dyDescent="0.25">
      <c r="A4" s="826"/>
      <c r="B4" s="827"/>
      <c r="C4" s="64" t="s">
        <v>25</v>
      </c>
      <c r="D4" s="818" t="s">
        <v>83</v>
      </c>
      <c r="E4" s="819"/>
      <c r="F4" s="819"/>
      <c r="G4" s="820"/>
      <c r="H4" s="837"/>
      <c r="I4" s="816"/>
    </row>
    <row r="5" spans="1:11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11" ht="18.75" thickBot="1" x14ac:dyDescent="0.3">
      <c r="A6" s="839" t="s">
        <v>23</v>
      </c>
      <c r="B6" s="839"/>
      <c r="C6" s="839"/>
      <c r="D6" s="755" t="s">
        <v>115</v>
      </c>
      <c r="E6" s="755"/>
      <c r="F6" s="755"/>
      <c r="G6" s="841" t="s">
        <v>22</v>
      </c>
      <c r="H6" s="841"/>
      <c r="I6" s="37" t="s">
        <v>115</v>
      </c>
    </row>
    <row r="7" spans="1:11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11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11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1" ht="20.25" x14ac:dyDescent="0.3">
      <c r="A10" s="275">
        <v>906000136</v>
      </c>
      <c r="B10" s="142" t="s">
        <v>132</v>
      </c>
      <c r="C10" s="152" t="s">
        <v>133</v>
      </c>
      <c r="D10" s="183" t="s">
        <v>33</v>
      </c>
      <c r="E10" s="276">
        <v>26860</v>
      </c>
      <c r="F10" s="277" t="s">
        <v>1</v>
      </c>
      <c r="G10" s="136"/>
      <c r="H10" s="137"/>
      <c r="I10" s="129"/>
      <c r="J10">
        <f>+E10/$D$20</f>
        <v>0.57763440860215054</v>
      </c>
    </row>
    <row r="11" spans="1:11" ht="20.25" x14ac:dyDescent="0.3">
      <c r="A11" s="183" t="s">
        <v>134</v>
      </c>
      <c r="B11" s="183" t="s">
        <v>135</v>
      </c>
      <c r="C11" s="184" t="s">
        <v>136</v>
      </c>
      <c r="D11" s="183" t="s">
        <v>137</v>
      </c>
      <c r="E11" s="276">
        <v>4700</v>
      </c>
      <c r="F11" s="277" t="s">
        <v>1</v>
      </c>
      <c r="G11" s="136"/>
      <c r="H11" s="137"/>
      <c r="I11" s="129"/>
      <c r="J11">
        <f>+E11/$D$20</f>
        <v>0.1010752688172043</v>
      </c>
      <c r="K11">
        <f>+J11*1000</f>
        <v>101.0752688172043</v>
      </c>
    </row>
    <row r="12" spans="1:11" ht="20.25" x14ac:dyDescent="0.3">
      <c r="A12" s="183" t="s">
        <v>90</v>
      </c>
      <c r="B12" s="183"/>
      <c r="C12" s="184" t="s">
        <v>91</v>
      </c>
      <c r="D12" s="183" t="s">
        <v>33</v>
      </c>
      <c r="E12" s="276">
        <v>13395</v>
      </c>
      <c r="F12" s="277" t="s">
        <v>1</v>
      </c>
      <c r="G12" s="136"/>
      <c r="H12" s="137"/>
      <c r="I12" s="129"/>
      <c r="J12">
        <f>+E12/$D$20</f>
        <v>0.28806451612903228</v>
      </c>
      <c r="K12">
        <f>+J12*1000</f>
        <v>288.06451612903226</v>
      </c>
    </row>
    <row r="13" spans="1:11" ht="20.25" x14ac:dyDescent="0.3">
      <c r="A13" s="183">
        <v>10100050</v>
      </c>
      <c r="B13" s="183" t="s">
        <v>138</v>
      </c>
      <c r="C13" s="184" t="s">
        <v>139</v>
      </c>
      <c r="D13" s="183" t="s">
        <v>140</v>
      </c>
      <c r="E13" s="276">
        <v>1400</v>
      </c>
      <c r="F13" s="277" t="s">
        <v>1</v>
      </c>
      <c r="G13" s="136"/>
      <c r="H13" s="166"/>
      <c r="I13" s="129"/>
      <c r="J13">
        <f>+E13/$D$20</f>
        <v>3.0107526881720432E-2</v>
      </c>
      <c r="K13">
        <f>+J13*1000</f>
        <v>30.107526881720432</v>
      </c>
    </row>
    <row r="14" spans="1:11" ht="20.25" x14ac:dyDescent="0.3">
      <c r="A14" s="183" t="s">
        <v>141</v>
      </c>
      <c r="B14" s="183" t="s">
        <v>142</v>
      </c>
      <c r="C14" s="184" t="s">
        <v>143</v>
      </c>
      <c r="D14" s="183" t="s">
        <v>144</v>
      </c>
      <c r="E14" s="276">
        <v>370</v>
      </c>
      <c r="F14" s="277" t="s">
        <v>1</v>
      </c>
      <c r="G14" s="136"/>
      <c r="H14" s="137"/>
      <c r="I14" s="129"/>
      <c r="J14">
        <f>+E14/$D$20</f>
        <v>7.9569892473118284E-3</v>
      </c>
      <c r="K14">
        <f>+J14*1000</f>
        <v>7.956989247311828</v>
      </c>
    </row>
    <row r="15" spans="1:11" ht="20.25" x14ac:dyDescent="0.3">
      <c r="A15" s="183"/>
      <c r="B15" s="183"/>
      <c r="C15" s="184"/>
      <c r="D15" s="183"/>
      <c r="E15" s="276"/>
      <c r="F15" s="277"/>
      <c r="G15" s="136"/>
      <c r="H15" s="137"/>
      <c r="I15" s="129"/>
    </row>
    <row r="16" spans="1:11" ht="20.25" x14ac:dyDescent="0.3">
      <c r="A16" s="183"/>
      <c r="B16" s="183"/>
      <c r="C16" s="184"/>
      <c r="D16" s="183"/>
      <c r="E16" s="276"/>
      <c r="F16" s="277"/>
      <c r="G16" s="136"/>
      <c r="H16" s="137"/>
      <c r="I16" s="129"/>
    </row>
    <row r="17" spans="1:9" ht="20.25" x14ac:dyDescent="0.3">
      <c r="A17" s="183"/>
      <c r="B17" s="183"/>
      <c r="C17" s="184"/>
      <c r="D17" s="183"/>
      <c r="E17" s="276"/>
      <c r="F17" s="277"/>
      <c r="G17" s="136"/>
      <c r="H17" s="137"/>
      <c r="I17" s="129"/>
    </row>
    <row r="18" spans="1:9" ht="21" thickBot="1" x14ac:dyDescent="0.35">
      <c r="A18" s="194"/>
      <c r="B18" s="195"/>
      <c r="C18" s="196" t="s">
        <v>124</v>
      </c>
      <c r="D18" s="196"/>
      <c r="E18" s="197"/>
      <c r="F18" s="198"/>
      <c r="G18" s="196"/>
      <c r="H18" s="196"/>
      <c r="I18" s="199"/>
    </row>
    <row r="19" spans="1:9" ht="21" thickBot="1" x14ac:dyDescent="0.35">
      <c r="A19" s="200"/>
      <c r="B19" s="201"/>
      <c r="C19" s="202" t="s">
        <v>124</v>
      </c>
      <c r="D19" s="203" t="s">
        <v>13</v>
      </c>
      <c r="E19" s="204" t="s">
        <v>12</v>
      </c>
      <c r="F19" s="205"/>
      <c r="G19" s="202"/>
      <c r="H19" s="202"/>
      <c r="I19" s="206"/>
    </row>
    <row r="20" spans="1:9" ht="20.25" x14ac:dyDescent="0.3">
      <c r="A20" s="748" t="s">
        <v>11</v>
      </c>
      <c r="B20" s="749"/>
      <c r="C20" s="750"/>
      <c r="D20" s="171">
        <v>46500</v>
      </c>
      <c r="E20" s="207" t="s">
        <v>1</v>
      </c>
      <c r="F20" s="751" t="s">
        <v>10</v>
      </c>
      <c r="G20" s="751"/>
      <c r="H20" s="752"/>
      <c r="I20" s="753"/>
    </row>
    <row r="21" spans="1:9" ht="20.25" x14ac:dyDescent="0.3">
      <c r="A21" s="740" t="s">
        <v>9</v>
      </c>
      <c r="B21" s="741"/>
      <c r="C21" s="742"/>
      <c r="D21" s="154">
        <v>11</v>
      </c>
      <c r="E21" s="142" t="s">
        <v>8</v>
      </c>
      <c r="F21" s="743" t="s">
        <v>7</v>
      </c>
      <c r="G21" s="743"/>
      <c r="H21" s="744"/>
      <c r="I21" s="745"/>
    </row>
    <row r="22" spans="1:9" ht="20.25" x14ac:dyDescent="0.3">
      <c r="A22" s="740" t="s">
        <v>6</v>
      </c>
      <c r="B22" s="741"/>
      <c r="C22" s="742"/>
      <c r="D22" s="154">
        <v>1</v>
      </c>
      <c r="E22" s="142" t="s">
        <v>41</v>
      </c>
      <c r="F22" s="743" t="s">
        <v>5</v>
      </c>
      <c r="G22" s="743"/>
      <c r="H22" s="744"/>
      <c r="I22" s="745"/>
    </row>
    <row r="23" spans="1:9" ht="20.25" x14ac:dyDescent="0.3">
      <c r="A23" s="740" t="s">
        <v>4</v>
      </c>
      <c r="B23" s="741"/>
      <c r="C23" s="742"/>
      <c r="D23" s="154">
        <v>46500</v>
      </c>
      <c r="E23" s="142" t="s">
        <v>1</v>
      </c>
      <c r="F23" s="746" t="s">
        <v>3</v>
      </c>
      <c r="G23" s="747"/>
      <c r="H23" s="898"/>
      <c r="I23" s="899"/>
    </row>
    <row r="24" spans="1:9" ht="21" thickBot="1" x14ac:dyDescent="0.35">
      <c r="A24" s="728" t="s">
        <v>2</v>
      </c>
      <c r="B24" s="729"/>
      <c r="C24" s="730"/>
      <c r="D24" s="208">
        <v>230</v>
      </c>
      <c r="E24" s="209" t="s">
        <v>1</v>
      </c>
      <c r="F24" s="731"/>
      <c r="G24" s="731"/>
      <c r="H24" s="744"/>
      <c r="I24" s="745"/>
    </row>
    <row r="25" spans="1:9" ht="21" thickBot="1" x14ac:dyDescent="0.35">
      <c r="A25" s="734" t="s">
        <v>0</v>
      </c>
      <c r="B25" s="735"/>
      <c r="C25" s="735"/>
      <c r="D25" s="735"/>
      <c r="E25" s="735"/>
      <c r="F25" s="735"/>
      <c r="G25" s="735"/>
      <c r="H25" s="735"/>
      <c r="I25" s="736"/>
    </row>
    <row r="26" spans="1:9" ht="20.25" x14ac:dyDescent="0.3">
      <c r="A26" s="900" t="s">
        <v>145</v>
      </c>
      <c r="B26" s="901"/>
      <c r="C26" s="901"/>
      <c r="D26" s="901"/>
      <c r="E26" s="901"/>
      <c r="F26" s="901"/>
      <c r="G26" s="901"/>
      <c r="H26" s="901"/>
      <c r="I26" s="902"/>
    </row>
    <row r="27" spans="1:9" ht="20.25" x14ac:dyDescent="0.3">
      <c r="A27" s="900" t="s">
        <v>146</v>
      </c>
      <c r="B27" s="901"/>
      <c r="C27" s="901"/>
      <c r="D27" s="901"/>
      <c r="E27" s="901"/>
      <c r="F27" s="901"/>
      <c r="G27" s="901"/>
      <c r="H27" s="901"/>
      <c r="I27" s="902"/>
    </row>
    <row r="28" spans="1:9" ht="20.25" x14ac:dyDescent="0.3">
      <c r="A28" s="900" t="s">
        <v>147</v>
      </c>
      <c r="B28" s="901"/>
      <c r="C28" s="901"/>
      <c r="D28" s="901"/>
      <c r="E28" s="901"/>
      <c r="F28" s="901"/>
      <c r="G28" s="901"/>
      <c r="H28" s="901"/>
      <c r="I28" s="902"/>
    </row>
    <row r="29" spans="1:9" ht="20.25" x14ac:dyDescent="0.3">
      <c r="A29" s="900"/>
      <c r="B29" s="901"/>
      <c r="C29" s="901"/>
      <c r="D29" s="901"/>
      <c r="E29" s="901"/>
      <c r="F29" s="901"/>
      <c r="G29" s="901"/>
      <c r="H29" s="901"/>
      <c r="I29" s="902"/>
    </row>
    <row r="30" spans="1:9" ht="20.25" x14ac:dyDescent="0.3">
      <c r="A30" s="903"/>
      <c r="B30" s="904"/>
      <c r="C30" s="904"/>
      <c r="D30" s="904"/>
      <c r="E30" s="904"/>
      <c r="F30" s="904"/>
      <c r="G30" s="904"/>
      <c r="H30" s="904"/>
      <c r="I30" s="905"/>
    </row>
    <row r="31" spans="1:9" ht="20.25" x14ac:dyDescent="0.3">
      <c r="A31" s="727" t="s">
        <v>32</v>
      </c>
      <c r="B31" s="727"/>
      <c r="C31" s="727"/>
      <c r="D31" s="727"/>
      <c r="E31" s="727"/>
      <c r="F31" s="727"/>
      <c r="G31" s="727"/>
      <c r="H31" s="727"/>
      <c r="I31" s="727"/>
    </row>
    <row r="32" spans="1:9" ht="20.25" x14ac:dyDescent="0.3">
      <c r="A32" s="723" t="s">
        <v>148</v>
      </c>
      <c r="B32" s="723"/>
      <c r="C32" s="723"/>
      <c r="D32" s="723"/>
      <c r="E32" s="723"/>
      <c r="F32" s="723"/>
      <c r="G32" s="723"/>
      <c r="H32" s="723"/>
      <c r="I32" s="723"/>
    </row>
    <row r="33" spans="1:9" ht="20.25" x14ac:dyDescent="0.3">
      <c r="A33" s="723"/>
      <c r="B33" s="723"/>
      <c r="C33" s="723"/>
      <c r="D33" s="723"/>
      <c r="E33" s="723"/>
      <c r="F33" s="723"/>
      <c r="G33" s="723"/>
      <c r="H33" s="723"/>
      <c r="I33" s="723"/>
    </row>
  </sheetData>
  <mergeCells count="41">
    <mergeCell ref="A33:I33"/>
    <mergeCell ref="A24:C24"/>
    <mergeCell ref="F24:G24"/>
    <mergeCell ref="H24:I24"/>
    <mergeCell ref="A25:I25"/>
    <mergeCell ref="A26:I26"/>
    <mergeCell ref="A27:I27"/>
    <mergeCell ref="A28:I28"/>
    <mergeCell ref="A29:I29"/>
    <mergeCell ref="A30:I30"/>
    <mergeCell ref="A31:I31"/>
    <mergeCell ref="A32:I32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5C5-386F-474D-9B9C-E8D474394161}">
  <dimension ref="A1:K47"/>
  <sheetViews>
    <sheetView zoomScale="70" zoomScaleNormal="70" workbookViewId="0">
      <selection activeCell="F25" sqref="F25"/>
    </sheetView>
  </sheetViews>
  <sheetFormatPr baseColWidth="10" defaultRowHeight="15" x14ac:dyDescent="0.25"/>
  <cols>
    <col min="1" max="1" width="17.42578125" customWidth="1"/>
    <col min="2" max="2" width="17.28515625" customWidth="1"/>
    <col min="3" max="3" width="62.5703125" customWidth="1"/>
    <col min="4" max="4" width="19.5703125" bestFit="1" customWidth="1"/>
    <col min="5" max="5" width="13.7109375" customWidth="1"/>
    <col min="7" max="7" width="22" customWidth="1"/>
    <col min="8" max="8" width="16.28515625" customWidth="1"/>
    <col min="9" max="9" width="17" bestFit="1" customWidth="1"/>
  </cols>
  <sheetData>
    <row r="1" spans="1:11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61" t="s">
        <v>149</v>
      </c>
    </row>
    <row r="2" spans="1:11" ht="16.5" thickBot="1" x14ac:dyDescent="0.3">
      <c r="A2" s="826"/>
      <c r="B2" s="827"/>
      <c r="C2" s="830" t="s">
        <v>28</v>
      </c>
      <c r="D2" s="831"/>
      <c r="E2" s="831"/>
      <c r="F2" s="831"/>
      <c r="G2" s="832"/>
      <c r="H2" s="62" t="s">
        <v>27</v>
      </c>
      <c r="I2" s="63" t="s">
        <v>150</v>
      </c>
    </row>
    <row r="3" spans="1:11" ht="24" thickBot="1" x14ac:dyDescent="0.3">
      <c r="A3" s="826"/>
      <c r="B3" s="827"/>
      <c r="C3" s="895" t="s">
        <v>151</v>
      </c>
      <c r="D3" s="896"/>
      <c r="E3" s="896"/>
      <c r="F3" s="896"/>
      <c r="G3" s="897"/>
      <c r="H3" s="836" t="s">
        <v>26</v>
      </c>
      <c r="I3" s="815">
        <v>45617</v>
      </c>
    </row>
    <row r="4" spans="1:11" x14ac:dyDescent="0.25">
      <c r="A4" s="826"/>
      <c r="B4" s="827"/>
      <c r="C4" s="64" t="s">
        <v>25</v>
      </c>
      <c r="D4" s="818" t="s">
        <v>152</v>
      </c>
      <c r="E4" s="819"/>
      <c r="F4" s="819"/>
      <c r="G4" s="820"/>
      <c r="H4" s="837"/>
      <c r="I4" s="816"/>
    </row>
    <row r="5" spans="1:11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11" ht="18.75" thickBot="1" x14ac:dyDescent="0.3">
      <c r="A6" s="839" t="s">
        <v>23</v>
      </c>
      <c r="B6" s="839"/>
      <c r="C6" s="839"/>
      <c r="D6" s="755" t="s">
        <v>153</v>
      </c>
      <c r="E6" s="755"/>
      <c r="F6" s="755"/>
      <c r="G6" s="841" t="s">
        <v>22</v>
      </c>
      <c r="H6" s="841"/>
      <c r="I6" s="37" t="s">
        <v>153</v>
      </c>
    </row>
    <row r="7" spans="1:11" ht="27.75" customHeight="1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11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11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1" ht="20.25" x14ac:dyDescent="0.3">
      <c r="A10" s="278">
        <v>11200080</v>
      </c>
      <c r="B10" s="279" t="s">
        <v>154</v>
      </c>
      <c r="C10" s="280" t="s">
        <v>155</v>
      </c>
      <c r="D10" s="281" t="s">
        <v>144</v>
      </c>
      <c r="E10" s="193">
        <v>4600</v>
      </c>
      <c r="F10" s="161" t="s">
        <v>1</v>
      </c>
      <c r="G10" s="136"/>
      <c r="H10" s="137"/>
      <c r="I10" s="129"/>
      <c r="J10">
        <f>+E10/$D$35</f>
        <v>0.17125837676842889</v>
      </c>
      <c r="K10" s="282">
        <f>+J10*1000</f>
        <v>171.25837676842889</v>
      </c>
    </row>
    <row r="11" spans="1:11" ht="20.25" x14ac:dyDescent="0.3">
      <c r="A11" s="278" t="s">
        <v>156</v>
      </c>
      <c r="B11" s="142" t="s">
        <v>157</v>
      </c>
      <c r="C11" s="280" t="s">
        <v>158</v>
      </c>
      <c r="D11" s="281" t="s">
        <v>159</v>
      </c>
      <c r="E11" s="193">
        <v>11000</v>
      </c>
      <c r="F11" s="161" t="s">
        <v>1</v>
      </c>
      <c r="G11" s="136"/>
      <c r="H11" s="137"/>
      <c r="I11" s="129"/>
      <c r="J11">
        <f t="shared" ref="J11:J19" si="0">+E11/$D$35</f>
        <v>0.40953090096798211</v>
      </c>
      <c r="K11" s="282">
        <f t="shared" ref="K11:K19" si="1">+J11*1000</f>
        <v>409.53090096798212</v>
      </c>
    </row>
    <row r="12" spans="1:11" ht="20.25" x14ac:dyDescent="0.3">
      <c r="A12" s="283" t="s">
        <v>160</v>
      </c>
      <c r="B12" s="284" t="s">
        <v>161</v>
      </c>
      <c r="C12" s="285" t="s">
        <v>162</v>
      </c>
      <c r="D12" s="179" t="s">
        <v>163</v>
      </c>
      <c r="E12" s="193">
        <v>7500</v>
      </c>
      <c r="F12" s="161" t="s">
        <v>1</v>
      </c>
      <c r="G12" s="142"/>
      <c r="H12" s="137"/>
      <c r="I12" s="129"/>
      <c r="J12">
        <f t="shared" si="0"/>
        <v>0.27922561429635145</v>
      </c>
      <c r="K12" s="282">
        <f t="shared" si="1"/>
        <v>279.22561429635147</v>
      </c>
    </row>
    <row r="13" spans="1:11" ht="20.25" x14ac:dyDescent="0.3">
      <c r="A13" s="142" t="s">
        <v>164</v>
      </c>
      <c r="B13" s="142" t="s">
        <v>165</v>
      </c>
      <c r="C13" s="210" t="s">
        <v>166</v>
      </c>
      <c r="D13" s="142" t="s">
        <v>163</v>
      </c>
      <c r="E13" s="142">
        <v>1900</v>
      </c>
      <c r="F13" s="142" t="s">
        <v>1</v>
      </c>
      <c r="G13" s="142"/>
      <c r="H13" s="137"/>
      <c r="I13" s="129"/>
      <c r="J13">
        <f t="shared" si="0"/>
        <v>7.0737155621742362E-2</v>
      </c>
      <c r="K13" s="282">
        <f t="shared" si="1"/>
        <v>70.73715562174236</v>
      </c>
    </row>
    <row r="14" spans="1:11" ht="20.25" x14ac:dyDescent="0.3">
      <c r="A14" s="286" t="s">
        <v>167</v>
      </c>
      <c r="B14" s="286" t="s">
        <v>93</v>
      </c>
      <c r="C14" s="287" t="s">
        <v>94</v>
      </c>
      <c r="D14" s="142" t="s">
        <v>168</v>
      </c>
      <c r="E14" s="142">
        <v>50</v>
      </c>
      <c r="F14" s="142" t="s">
        <v>1</v>
      </c>
      <c r="G14" s="142"/>
      <c r="H14" s="137"/>
      <c r="I14" s="129"/>
      <c r="J14">
        <f t="shared" si="0"/>
        <v>1.8615040953090098E-3</v>
      </c>
      <c r="K14" s="282">
        <f t="shared" si="1"/>
        <v>1.8615040953090098</v>
      </c>
    </row>
    <row r="15" spans="1:11" ht="20.25" x14ac:dyDescent="0.3">
      <c r="A15" s="286">
        <v>10100046</v>
      </c>
      <c r="B15" s="286" t="s">
        <v>169</v>
      </c>
      <c r="C15" s="287" t="s">
        <v>170</v>
      </c>
      <c r="D15" s="142" t="s">
        <v>171</v>
      </c>
      <c r="E15" s="142">
        <v>150</v>
      </c>
      <c r="F15" s="142" t="s">
        <v>1</v>
      </c>
      <c r="G15" s="142"/>
      <c r="H15" s="137"/>
      <c r="I15" s="129"/>
      <c r="J15">
        <f>+E15/$D$35</f>
        <v>5.5845122859270293E-3</v>
      </c>
      <c r="K15" s="282">
        <f t="shared" si="1"/>
        <v>5.5845122859270289</v>
      </c>
    </row>
    <row r="16" spans="1:11" ht="20.25" x14ac:dyDescent="0.3">
      <c r="A16" s="286" t="s">
        <v>172</v>
      </c>
      <c r="B16" s="286" t="s">
        <v>173</v>
      </c>
      <c r="C16" s="287" t="s">
        <v>174</v>
      </c>
      <c r="D16" s="142" t="s">
        <v>124</v>
      </c>
      <c r="E16" s="142">
        <v>450</v>
      </c>
      <c r="F16" s="142" t="s">
        <v>1</v>
      </c>
      <c r="G16" s="142"/>
      <c r="H16" s="137"/>
      <c r="I16" s="129"/>
      <c r="J16">
        <f t="shared" si="0"/>
        <v>1.6753536857781089E-2</v>
      </c>
      <c r="K16" s="282">
        <f t="shared" si="1"/>
        <v>16.753536857781089</v>
      </c>
    </row>
    <row r="17" spans="1:11" ht="20.25" x14ac:dyDescent="0.3">
      <c r="A17" s="142">
        <v>11300012</v>
      </c>
      <c r="B17" s="142" t="s">
        <v>175</v>
      </c>
      <c r="C17" s="152" t="s">
        <v>176</v>
      </c>
      <c r="D17" s="142" t="s">
        <v>144</v>
      </c>
      <c r="E17" s="142">
        <v>360</v>
      </c>
      <c r="F17" s="142" t="s">
        <v>1</v>
      </c>
      <c r="G17" s="142"/>
      <c r="H17" s="137"/>
      <c r="I17" s="129"/>
      <c r="J17">
        <f t="shared" si="0"/>
        <v>1.3402829486224869E-2</v>
      </c>
      <c r="K17" s="282">
        <f t="shared" si="1"/>
        <v>13.402829486224869</v>
      </c>
    </row>
    <row r="18" spans="1:11" ht="20.25" x14ac:dyDescent="0.3">
      <c r="A18" s="142"/>
      <c r="B18" s="142" t="s">
        <v>177</v>
      </c>
      <c r="C18" s="152" t="s">
        <v>178</v>
      </c>
      <c r="D18" s="142"/>
      <c r="E18" s="142">
        <v>60</v>
      </c>
      <c r="F18" s="142" t="s">
        <v>1</v>
      </c>
      <c r="G18" s="142"/>
      <c r="H18" s="137"/>
      <c r="I18" s="129"/>
      <c r="J18">
        <f t="shared" si="0"/>
        <v>2.2338049143708115E-3</v>
      </c>
      <c r="K18" s="282">
        <f t="shared" si="1"/>
        <v>2.2338049143708116</v>
      </c>
    </row>
    <row r="19" spans="1:11" ht="20.25" x14ac:dyDescent="0.3">
      <c r="A19" s="142"/>
      <c r="B19" s="286" t="s">
        <v>179</v>
      </c>
      <c r="C19" s="287" t="s">
        <v>180</v>
      </c>
      <c r="D19" s="142" t="s">
        <v>181</v>
      </c>
      <c r="E19" s="142">
        <v>705</v>
      </c>
      <c r="F19" s="142" t="s">
        <v>1</v>
      </c>
      <c r="G19" s="142"/>
      <c r="H19" s="137"/>
      <c r="I19" s="129"/>
      <c r="J19">
        <f t="shared" si="0"/>
        <v>2.6247207743857037E-2</v>
      </c>
      <c r="K19" s="282">
        <f t="shared" si="1"/>
        <v>26.247207743857036</v>
      </c>
    </row>
    <row r="20" spans="1:11" ht="20.25" x14ac:dyDescent="0.3">
      <c r="A20" s="142"/>
      <c r="B20" s="142"/>
      <c r="C20" s="152"/>
      <c r="D20" s="142"/>
      <c r="E20" s="142"/>
      <c r="F20" s="142"/>
      <c r="G20" s="142"/>
      <c r="H20" s="137"/>
      <c r="I20" s="129"/>
    </row>
    <row r="21" spans="1:11" ht="20.25" x14ac:dyDescent="0.3">
      <c r="A21" s="172"/>
      <c r="B21" s="173"/>
      <c r="C21" s="174" t="s">
        <v>75</v>
      </c>
      <c r="D21" s="175"/>
      <c r="E21" s="176"/>
      <c r="F21" s="128"/>
      <c r="G21" s="127"/>
      <c r="H21" s="166"/>
      <c r="I21" s="129"/>
    </row>
    <row r="22" spans="1:11" ht="20.25" x14ac:dyDescent="0.3">
      <c r="A22" s="288" t="s">
        <v>182</v>
      </c>
      <c r="B22" s="289" t="s">
        <v>183</v>
      </c>
      <c r="C22" s="290" t="s">
        <v>184</v>
      </c>
      <c r="D22" s="142"/>
      <c r="E22" s="154">
        <v>1</v>
      </c>
      <c r="F22" s="155" t="s">
        <v>41</v>
      </c>
      <c r="G22" s="291"/>
      <c r="H22" s="128"/>
      <c r="I22" s="129"/>
    </row>
    <row r="23" spans="1:11" ht="20.25" x14ac:dyDescent="0.3">
      <c r="A23" s="288">
        <v>503000042</v>
      </c>
      <c r="B23" s="289" t="s">
        <v>185</v>
      </c>
      <c r="C23" s="290" t="s">
        <v>186</v>
      </c>
      <c r="D23" s="142"/>
      <c r="E23" s="154">
        <v>1</v>
      </c>
      <c r="F23" s="155" t="s">
        <v>41</v>
      </c>
      <c r="G23" s="291"/>
      <c r="H23" s="128"/>
      <c r="I23" s="129"/>
    </row>
    <row r="24" spans="1:11" ht="20.25" x14ac:dyDescent="0.3">
      <c r="A24" s="292" t="s">
        <v>48</v>
      </c>
      <c r="B24" s="293" t="s">
        <v>38</v>
      </c>
      <c r="C24" s="294" t="s">
        <v>96</v>
      </c>
      <c r="D24" s="142"/>
      <c r="E24" s="154">
        <v>2</v>
      </c>
      <c r="F24" s="155" t="s">
        <v>41</v>
      </c>
      <c r="G24" s="291"/>
      <c r="H24" s="128"/>
      <c r="I24" s="129"/>
    </row>
    <row r="25" spans="1:11" ht="20.25" x14ac:dyDescent="0.3">
      <c r="A25" s="183">
        <v>1950705</v>
      </c>
      <c r="B25" s="183" t="s">
        <v>187</v>
      </c>
      <c r="C25" s="184" t="s">
        <v>188</v>
      </c>
      <c r="D25" s="142"/>
      <c r="E25" s="154">
        <v>1</v>
      </c>
      <c r="F25" s="155" t="s">
        <v>41</v>
      </c>
      <c r="G25" s="127"/>
      <c r="H25" s="128"/>
      <c r="I25" s="129"/>
    </row>
    <row r="26" spans="1:11" ht="20.25" x14ac:dyDescent="0.3">
      <c r="A26" s="183">
        <v>60100010</v>
      </c>
      <c r="B26" s="183" t="s">
        <v>189</v>
      </c>
      <c r="C26" s="184" t="s">
        <v>190</v>
      </c>
      <c r="D26" s="142"/>
      <c r="E26" s="154">
        <v>1</v>
      </c>
      <c r="F26" s="155" t="s">
        <v>41</v>
      </c>
      <c r="G26" s="127"/>
      <c r="H26" s="128"/>
      <c r="I26" s="129"/>
    </row>
    <row r="27" spans="1:11" ht="20.25" x14ac:dyDescent="0.3">
      <c r="A27" s="183"/>
      <c r="B27" s="183"/>
      <c r="C27" s="184"/>
      <c r="D27" s="142"/>
      <c r="E27" s="154"/>
      <c r="F27" s="155"/>
      <c r="G27" s="187"/>
      <c r="H27" s="128"/>
      <c r="I27" s="129"/>
    </row>
    <row r="28" spans="1:11" ht="20.25" x14ac:dyDescent="0.3">
      <c r="A28" s="183"/>
      <c r="B28" s="183"/>
      <c r="C28" s="184"/>
      <c r="D28" s="142"/>
      <c r="E28" s="154"/>
      <c r="F28" s="155"/>
      <c r="G28" s="193"/>
      <c r="H28" s="128"/>
      <c r="I28" s="129"/>
    </row>
    <row r="29" spans="1:11" ht="20.25" x14ac:dyDescent="0.3">
      <c r="A29" s="295"/>
      <c r="B29" s="295"/>
      <c r="C29" s="296"/>
      <c r="D29" s="142"/>
      <c r="E29" s="155"/>
      <c r="F29" s="155"/>
      <c r="G29" s="193"/>
      <c r="H29" s="128"/>
      <c r="I29" s="129"/>
    </row>
    <row r="30" spans="1:11" ht="20.25" x14ac:dyDescent="0.3">
      <c r="A30" s="297"/>
      <c r="B30" s="142"/>
      <c r="C30" s="298"/>
      <c r="D30" s="170"/>
      <c r="E30" s="154"/>
      <c r="F30" s="142"/>
      <c r="G30" s="193"/>
      <c r="H30" s="128"/>
      <c r="I30" s="129"/>
    </row>
    <row r="31" spans="1:11" ht="20.25" x14ac:dyDescent="0.3">
      <c r="A31" s="183"/>
      <c r="B31" s="183"/>
      <c r="C31" s="184"/>
      <c r="D31" s="142"/>
      <c r="E31" s="154"/>
      <c r="F31" s="142"/>
      <c r="G31" s="193"/>
      <c r="H31" s="128"/>
      <c r="I31" s="129"/>
    </row>
    <row r="32" spans="1:11" ht="20.25" x14ac:dyDescent="0.3">
      <c r="A32" s="156"/>
      <c r="B32" s="157"/>
      <c r="C32" s="178"/>
      <c r="D32" s="159"/>
      <c r="E32" s="159"/>
      <c r="F32" s="161"/>
      <c r="G32" s="159"/>
      <c r="H32" s="159"/>
      <c r="I32" s="129"/>
    </row>
    <row r="33" spans="1:9" ht="21" thickBot="1" x14ac:dyDescent="0.35">
      <c r="A33" s="194"/>
      <c r="B33" s="195"/>
      <c r="C33" s="196"/>
      <c r="D33" s="196"/>
      <c r="E33" s="197"/>
      <c r="F33" s="198"/>
      <c r="G33" s="196"/>
      <c r="H33" s="196"/>
      <c r="I33" s="199"/>
    </row>
    <row r="34" spans="1:9" ht="21" thickBot="1" x14ac:dyDescent="0.35">
      <c r="A34" s="200"/>
      <c r="B34" s="201"/>
      <c r="C34" s="202"/>
      <c r="D34" s="203" t="s">
        <v>13</v>
      </c>
      <c r="E34" s="204" t="s">
        <v>12</v>
      </c>
      <c r="F34" s="205"/>
      <c r="G34" s="202"/>
      <c r="H34" s="202"/>
      <c r="I34" s="206"/>
    </row>
    <row r="35" spans="1:9" ht="20.25" x14ac:dyDescent="0.3">
      <c r="A35" s="748" t="s">
        <v>11</v>
      </c>
      <c r="B35" s="749"/>
      <c r="C35" s="750"/>
      <c r="D35" s="171">
        <v>26860</v>
      </c>
      <c r="E35" s="207" t="s">
        <v>1</v>
      </c>
      <c r="F35" s="751" t="s">
        <v>10</v>
      </c>
      <c r="G35" s="751"/>
      <c r="H35" s="752"/>
      <c r="I35" s="753"/>
    </row>
    <row r="36" spans="1:9" ht="20.25" x14ac:dyDescent="0.3">
      <c r="A36" s="740" t="s">
        <v>9</v>
      </c>
      <c r="B36" s="741"/>
      <c r="C36" s="742"/>
      <c r="D36" s="154">
        <v>4</v>
      </c>
      <c r="E36" s="142" t="s">
        <v>8</v>
      </c>
      <c r="F36" s="743" t="s">
        <v>7</v>
      </c>
      <c r="G36" s="743"/>
      <c r="H36" s="744"/>
      <c r="I36" s="745"/>
    </row>
    <row r="37" spans="1:9" ht="20.25" x14ac:dyDescent="0.3">
      <c r="A37" s="740" t="s">
        <v>6</v>
      </c>
      <c r="B37" s="741"/>
      <c r="C37" s="742"/>
      <c r="D37" s="154">
        <v>1</v>
      </c>
      <c r="E37" s="142" t="s">
        <v>191</v>
      </c>
      <c r="F37" s="743" t="s">
        <v>5</v>
      </c>
      <c r="G37" s="743"/>
      <c r="H37" s="744"/>
      <c r="I37" s="745"/>
    </row>
    <row r="38" spans="1:9" ht="20.25" x14ac:dyDescent="0.3">
      <c r="A38" s="740" t="s">
        <v>4</v>
      </c>
      <c r="B38" s="741"/>
      <c r="C38" s="742"/>
      <c r="D38" s="154">
        <v>26860</v>
      </c>
      <c r="E38" s="142" t="s">
        <v>1</v>
      </c>
      <c r="F38" s="746" t="s">
        <v>3</v>
      </c>
      <c r="G38" s="747"/>
      <c r="H38" s="898"/>
      <c r="I38" s="899"/>
    </row>
    <row r="39" spans="1:9" ht="21" thickBot="1" x14ac:dyDescent="0.35">
      <c r="A39" s="728" t="s">
        <v>2</v>
      </c>
      <c r="B39" s="729"/>
      <c r="C39" s="730"/>
      <c r="D39" s="208">
        <v>0</v>
      </c>
      <c r="E39" s="209" t="s">
        <v>1</v>
      </c>
      <c r="F39" s="731"/>
      <c r="G39" s="731"/>
      <c r="H39" s="744"/>
      <c r="I39" s="745"/>
    </row>
    <row r="40" spans="1:9" ht="21" thickBot="1" x14ac:dyDescent="0.35">
      <c r="A40" s="734" t="s">
        <v>0</v>
      </c>
      <c r="B40" s="735"/>
      <c r="C40" s="735"/>
      <c r="D40" s="735"/>
      <c r="E40" s="735"/>
      <c r="F40" s="735"/>
      <c r="G40" s="735"/>
      <c r="H40" s="735"/>
      <c r="I40" s="736"/>
    </row>
    <row r="41" spans="1:9" ht="20.25" x14ac:dyDescent="0.3">
      <c r="A41" s="900" t="s">
        <v>192</v>
      </c>
      <c r="B41" s="901"/>
      <c r="C41" s="901"/>
      <c r="D41" s="901"/>
      <c r="E41" s="901"/>
      <c r="F41" s="901"/>
      <c r="G41" s="901"/>
      <c r="H41" s="901"/>
      <c r="I41" s="902"/>
    </row>
    <row r="42" spans="1:9" ht="20.25" x14ac:dyDescent="0.3">
      <c r="A42" s="900" t="s">
        <v>193</v>
      </c>
      <c r="B42" s="901"/>
      <c r="C42" s="901"/>
      <c r="D42" s="901"/>
      <c r="E42" s="901"/>
      <c r="F42" s="901"/>
      <c r="G42" s="901"/>
      <c r="H42" s="901"/>
      <c r="I42" s="902"/>
    </row>
    <row r="43" spans="1:9" ht="20.25" x14ac:dyDescent="0.3">
      <c r="A43" s="900"/>
      <c r="B43" s="901"/>
      <c r="C43" s="901"/>
      <c r="D43" s="901"/>
      <c r="E43" s="901"/>
      <c r="F43" s="901"/>
      <c r="G43" s="901"/>
      <c r="H43" s="901"/>
      <c r="I43" s="902"/>
    </row>
    <row r="44" spans="1:9" ht="20.25" x14ac:dyDescent="0.3">
      <c r="A44" s="906"/>
      <c r="B44" s="907"/>
      <c r="C44" s="907"/>
      <c r="D44" s="907"/>
      <c r="E44" s="907"/>
      <c r="F44" s="907"/>
      <c r="G44" s="907"/>
      <c r="H44" s="907"/>
      <c r="I44" s="908"/>
    </row>
    <row r="45" spans="1:9" ht="20.25" x14ac:dyDescent="0.3">
      <c r="A45" s="727" t="s">
        <v>32</v>
      </c>
      <c r="B45" s="727"/>
      <c r="C45" s="727"/>
      <c r="D45" s="727"/>
      <c r="E45" s="727"/>
      <c r="F45" s="727"/>
      <c r="G45" s="727"/>
      <c r="H45" s="727"/>
      <c r="I45" s="727"/>
    </row>
    <row r="46" spans="1:9" ht="20.25" x14ac:dyDescent="0.3">
      <c r="A46" s="723" t="s">
        <v>194</v>
      </c>
      <c r="B46" s="723"/>
      <c r="C46" s="723"/>
      <c r="D46" s="723"/>
      <c r="E46" s="723"/>
      <c r="F46" s="723"/>
      <c r="G46" s="723"/>
      <c r="H46" s="723"/>
      <c r="I46" s="723"/>
    </row>
    <row r="47" spans="1:9" ht="20.25" x14ac:dyDescent="0.3">
      <c r="A47" s="723" t="s">
        <v>195</v>
      </c>
      <c r="B47" s="723"/>
      <c r="C47" s="723"/>
      <c r="D47" s="723"/>
      <c r="E47" s="723"/>
      <c r="F47" s="723"/>
      <c r="G47" s="723"/>
      <c r="H47" s="723"/>
      <c r="I47" s="723"/>
    </row>
  </sheetData>
  <mergeCells count="40">
    <mergeCell ref="A43:I43"/>
    <mergeCell ref="A44:I44"/>
    <mergeCell ref="A45:I45"/>
    <mergeCell ref="A46:I46"/>
    <mergeCell ref="A47:I47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09C-A99F-4CD3-BE21-23CF794D9DB3}">
  <dimension ref="A1:M53"/>
  <sheetViews>
    <sheetView workbookViewId="0">
      <selection activeCell="C16" sqref="C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9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299" t="s">
        <v>196</v>
      </c>
    </row>
    <row r="2" spans="1:9" ht="16.5" thickBot="1" x14ac:dyDescent="0.3">
      <c r="A2" s="826"/>
      <c r="B2" s="827"/>
      <c r="C2" s="779" t="s">
        <v>28</v>
      </c>
      <c r="D2" s="779"/>
      <c r="E2" s="779"/>
      <c r="F2" s="779"/>
      <c r="G2" s="779"/>
      <c r="H2" s="62" t="s">
        <v>27</v>
      </c>
      <c r="I2" s="63" t="s">
        <v>197</v>
      </c>
    </row>
    <row r="3" spans="1:9" ht="16.149999999999999" customHeight="1" thickBot="1" x14ac:dyDescent="0.3">
      <c r="A3" s="826"/>
      <c r="B3" s="827"/>
      <c r="C3" s="909" t="s">
        <v>198</v>
      </c>
      <c r="D3" s="910"/>
      <c r="E3" s="910"/>
      <c r="F3" s="910"/>
      <c r="G3" s="910"/>
      <c r="H3" s="836" t="s">
        <v>26</v>
      </c>
      <c r="I3" s="815">
        <v>45610</v>
      </c>
    </row>
    <row r="4" spans="1:9" ht="18" customHeight="1" x14ac:dyDescent="0.25">
      <c r="A4" s="826"/>
      <c r="B4" s="827"/>
      <c r="C4" s="64" t="s">
        <v>25</v>
      </c>
      <c r="D4" s="818" t="s">
        <v>83</v>
      </c>
      <c r="E4" s="819"/>
      <c r="F4" s="819"/>
      <c r="G4" s="820"/>
      <c r="H4" s="837"/>
      <c r="I4" s="816"/>
    </row>
    <row r="5" spans="1:9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9" ht="18.75" thickBot="1" x14ac:dyDescent="0.3">
      <c r="A6" s="839" t="s">
        <v>23</v>
      </c>
      <c r="B6" s="839"/>
      <c r="C6" s="839"/>
      <c r="D6" s="840" t="s">
        <v>199</v>
      </c>
      <c r="E6" s="840"/>
      <c r="F6" s="840"/>
      <c r="G6" s="841" t="s">
        <v>22</v>
      </c>
      <c r="H6" s="841"/>
      <c r="I6" s="66" t="s">
        <v>75</v>
      </c>
    </row>
    <row r="7" spans="1:9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9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x14ac:dyDescent="0.25">
      <c r="A9" s="71"/>
      <c r="B9" s="72"/>
      <c r="C9" s="73" t="s">
        <v>34</v>
      </c>
      <c r="D9" s="74"/>
      <c r="E9" s="75"/>
      <c r="F9" s="76"/>
      <c r="G9" s="75"/>
      <c r="H9" s="76"/>
      <c r="I9" s="77"/>
    </row>
    <row r="10" spans="1:9" x14ac:dyDescent="0.25">
      <c r="A10" s="49">
        <v>90100400</v>
      </c>
      <c r="B10" s="48" t="s">
        <v>200</v>
      </c>
      <c r="C10" s="300" t="s">
        <v>201</v>
      </c>
      <c r="D10" s="106" t="s">
        <v>33</v>
      </c>
      <c r="E10" s="106">
        <v>5000</v>
      </c>
      <c r="F10" s="301" t="s">
        <v>1</v>
      </c>
      <c r="G10" s="94"/>
      <c r="H10" s="302"/>
      <c r="I10" s="77"/>
    </row>
    <row r="11" spans="1:9" x14ac:dyDescent="0.25">
      <c r="A11" s="54"/>
      <c r="B11" s="54"/>
      <c r="C11" s="303"/>
      <c r="D11" s="54"/>
      <c r="E11" s="304"/>
      <c r="F11" s="304"/>
      <c r="G11" s="80"/>
      <c r="H11" s="302"/>
      <c r="I11" s="77"/>
    </row>
    <row r="12" spans="1:9" x14ac:dyDescent="0.25">
      <c r="A12" s="89"/>
      <c r="B12" s="59"/>
      <c r="C12" s="48"/>
      <c r="D12" s="305"/>
      <c r="E12" s="305"/>
      <c r="F12" s="305"/>
      <c r="G12" s="80"/>
      <c r="H12" s="306"/>
      <c r="I12" s="77"/>
    </row>
    <row r="13" spans="1:9" x14ac:dyDescent="0.25">
      <c r="A13" s="89"/>
      <c r="B13" s="59"/>
      <c r="C13" s="48"/>
      <c r="D13" s="305"/>
      <c r="E13" s="305"/>
      <c r="F13" s="305"/>
      <c r="G13" s="80"/>
      <c r="H13" s="306"/>
      <c r="I13" s="77"/>
    </row>
    <row r="14" spans="1:9" x14ac:dyDescent="0.25">
      <c r="A14" s="89"/>
      <c r="B14" s="59"/>
      <c r="C14" s="307"/>
      <c r="D14" s="305"/>
      <c r="E14" s="305"/>
      <c r="F14" s="305"/>
      <c r="G14" s="80"/>
      <c r="H14" s="306"/>
      <c r="I14" s="77"/>
    </row>
    <row r="15" spans="1:9" x14ac:dyDescent="0.25">
      <c r="A15" s="89"/>
      <c r="B15" s="59"/>
      <c r="C15" s="48"/>
      <c r="D15" s="305"/>
      <c r="E15" s="305"/>
      <c r="F15" s="305"/>
      <c r="G15" s="80"/>
      <c r="H15" s="306"/>
      <c r="I15" s="77"/>
    </row>
    <row r="16" spans="1:9" x14ac:dyDescent="0.25">
      <c r="A16" s="89"/>
      <c r="B16" s="59"/>
      <c r="C16" s="48"/>
      <c r="D16" s="305"/>
      <c r="E16" s="305"/>
      <c r="F16" s="305"/>
      <c r="G16" s="80"/>
      <c r="H16" s="306"/>
      <c r="I16" s="77"/>
    </row>
    <row r="17" spans="1:9" x14ac:dyDescent="0.25">
      <c r="A17" s="59"/>
      <c r="B17" s="59"/>
      <c r="C17" s="88"/>
      <c r="D17" s="104"/>
      <c r="E17" s="104"/>
      <c r="F17" s="87"/>
      <c r="G17" s="75"/>
      <c r="H17" s="76"/>
      <c r="I17" s="77"/>
    </row>
    <row r="18" spans="1:9" ht="15.75" x14ac:dyDescent="0.25">
      <c r="A18" s="83"/>
      <c r="B18" s="84"/>
      <c r="C18" s="85" t="s">
        <v>68</v>
      </c>
      <c r="D18" s="86"/>
      <c r="E18" s="79"/>
      <c r="F18" s="87"/>
      <c r="G18" s="75"/>
      <c r="H18" s="76"/>
      <c r="I18" s="77"/>
    </row>
    <row r="19" spans="1:9" x14ac:dyDescent="0.25">
      <c r="A19" s="308"/>
      <c r="B19" s="305"/>
      <c r="C19" s="309"/>
      <c r="D19" s="310"/>
      <c r="E19" s="104"/>
      <c r="F19" s="87"/>
      <c r="G19" s="75"/>
      <c r="H19" s="76"/>
      <c r="I19" s="77"/>
    </row>
    <row r="20" spans="1:9" x14ac:dyDescent="0.25">
      <c r="A20" s="59"/>
      <c r="B20" s="59"/>
      <c r="C20" s="88"/>
      <c r="D20" s="310"/>
      <c r="E20" s="104"/>
      <c r="F20" s="87"/>
      <c r="G20" s="75"/>
      <c r="H20" s="76"/>
      <c r="I20" s="77"/>
    </row>
    <row r="21" spans="1:9" x14ac:dyDescent="0.25">
      <c r="A21" s="311"/>
      <c r="B21" s="311"/>
      <c r="C21" s="309"/>
      <c r="D21" s="310"/>
      <c r="E21" s="104"/>
      <c r="F21" s="87"/>
      <c r="G21" s="75"/>
      <c r="H21" s="76"/>
      <c r="I21" s="77"/>
    </row>
    <row r="22" spans="1:9" x14ac:dyDescent="0.25">
      <c r="A22" s="59"/>
      <c r="B22" s="59"/>
      <c r="C22" s="88"/>
      <c r="D22" s="104"/>
      <c r="E22" s="86"/>
      <c r="F22" s="87"/>
      <c r="G22" s="75"/>
      <c r="H22" s="76"/>
      <c r="I22" s="77"/>
    </row>
    <row r="23" spans="1:9" x14ac:dyDescent="0.25">
      <c r="A23" s="59"/>
      <c r="B23" s="59"/>
      <c r="C23" s="88"/>
      <c r="D23" s="53"/>
      <c r="E23" s="312"/>
      <c r="F23" s="313"/>
      <c r="G23" s="75"/>
      <c r="H23" s="76"/>
      <c r="I23" s="77"/>
    </row>
    <row r="24" spans="1:9" ht="15.75" x14ac:dyDescent="0.25">
      <c r="A24" s="96"/>
      <c r="B24" s="97"/>
      <c r="C24" s="98" t="s">
        <v>75</v>
      </c>
      <c r="D24" s="99"/>
      <c r="E24" s="100"/>
      <c r="F24" s="76"/>
      <c r="G24" s="75"/>
      <c r="I24" s="77"/>
    </row>
    <row r="25" spans="1:9" x14ac:dyDescent="0.25">
      <c r="A25" s="271">
        <v>1950708</v>
      </c>
      <c r="B25" s="271" t="s">
        <v>183</v>
      </c>
      <c r="C25" s="272" t="s">
        <v>202</v>
      </c>
      <c r="D25" s="106"/>
      <c r="E25" s="304">
        <v>1</v>
      </c>
      <c r="F25" s="304" t="s">
        <v>41</v>
      </c>
      <c r="G25" s="101"/>
      <c r="H25" s="76"/>
      <c r="I25" s="77"/>
    </row>
    <row r="26" spans="1:9" x14ac:dyDescent="0.25">
      <c r="A26" s="59">
        <v>702069</v>
      </c>
      <c r="B26" s="54" t="s">
        <v>46</v>
      </c>
      <c r="C26" s="48" t="s">
        <v>203</v>
      </c>
      <c r="D26" s="54" t="s">
        <v>204</v>
      </c>
      <c r="E26" s="304">
        <v>1</v>
      </c>
      <c r="F26" s="304" t="s">
        <v>41</v>
      </c>
      <c r="G26" s="101"/>
      <c r="H26" s="76"/>
      <c r="I26" s="77"/>
    </row>
    <row r="27" spans="1:9" x14ac:dyDescent="0.25">
      <c r="A27" s="59">
        <v>702007</v>
      </c>
      <c r="B27" s="54" t="s">
        <v>44</v>
      </c>
      <c r="C27" s="48" t="s">
        <v>120</v>
      </c>
      <c r="D27" s="54" t="s">
        <v>108</v>
      </c>
      <c r="E27" s="304">
        <v>1</v>
      </c>
      <c r="F27" s="304" t="s">
        <v>41</v>
      </c>
      <c r="G27" s="101"/>
      <c r="H27" s="76"/>
      <c r="I27" s="77"/>
    </row>
    <row r="28" spans="1:9" x14ac:dyDescent="0.25">
      <c r="A28" s="314"/>
      <c r="B28" s="315"/>
      <c r="C28" s="316"/>
      <c r="D28" s="317"/>
      <c r="E28" s="58"/>
      <c r="F28" s="318"/>
      <c r="G28" s="75"/>
      <c r="H28" s="319"/>
      <c r="I28" s="77"/>
    </row>
    <row r="29" spans="1:9" x14ac:dyDescent="0.25">
      <c r="A29" s="320"/>
      <c r="B29" s="321"/>
      <c r="C29" s="322"/>
      <c r="D29" s="323"/>
      <c r="E29" s="324"/>
      <c r="F29" s="81"/>
      <c r="G29" s="75"/>
      <c r="H29" s="76"/>
      <c r="I29" s="77"/>
    </row>
    <row r="30" spans="1:9" x14ac:dyDescent="0.25">
      <c r="A30" s="325"/>
      <c r="B30" s="326"/>
      <c r="C30" s="327"/>
      <c r="D30" s="106"/>
      <c r="E30" s="104"/>
      <c r="F30" s="87"/>
      <c r="G30" s="103"/>
      <c r="H30" s="86"/>
      <c r="I30" s="77"/>
    </row>
    <row r="31" spans="1:9" x14ac:dyDescent="0.25">
      <c r="A31" s="83"/>
      <c r="B31" s="84"/>
      <c r="C31" s="105"/>
      <c r="D31" s="106"/>
      <c r="E31" s="104"/>
      <c r="F31" s="87"/>
      <c r="G31" s="104"/>
      <c r="H31" s="86"/>
      <c r="I31" s="77"/>
    </row>
    <row r="32" spans="1:9" ht="15.75" x14ac:dyDescent="0.25">
      <c r="A32" s="83"/>
      <c r="B32" s="84"/>
      <c r="C32" s="105"/>
      <c r="D32" s="106"/>
      <c r="E32" s="104"/>
      <c r="F32" s="87"/>
      <c r="G32" s="14"/>
      <c r="H32" s="87"/>
      <c r="I32" s="77"/>
    </row>
    <row r="33" spans="1:13" ht="15.75" x14ac:dyDescent="0.25">
      <c r="A33" s="83"/>
      <c r="B33" s="84"/>
      <c r="C33" s="105"/>
      <c r="D33" s="86"/>
      <c r="E33" s="86"/>
      <c r="F33" s="87"/>
      <c r="G33" s="18"/>
      <c r="H33" s="18"/>
      <c r="I33" s="77"/>
    </row>
    <row r="34" spans="1:13" ht="15.75" thickBot="1" x14ac:dyDescent="0.3">
      <c r="A34" s="107"/>
      <c r="B34" s="108"/>
      <c r="C34" s="109"/>
      <c r="D34" s="109"/>
      <c r="E34" s="110"/>
      <c r="F34" s="111"/>
      <c r="G34" s="109"/>
      <c r="H34" s="109"/>
      <c r="I34" s="112"/>
      <c r="J34" s="328"/>
      <c r="K34" s="328"/>
      <c r="L34" s="329"/>
      <c r="M34" s="328"/>
    </row>
    <row r="35" spans="1:13" ht="15.75" thickBot="1" x14ac:dyDescent="0.3">
      <c r="A35" s="113"/>
      <c r="B35" s="114"/>
      <c r="C35" s="115"/>
      <c r="D35" s="116" t="s">
        <v>13</v>
      </c>
      <c r="E35" s="117" t="s">
        <v>12</v>
      </c>
      <c r="F35" s="118"/>
      <c r="G35" s="115"/>
      <c r="H35" s="115"/>
      <c r="I35" s="119"/>
      <c r="J35" s="328"/>
      <c r="K35" s="328"/>
      <c r="L35" s="329"/>
      <c r="M35" s="328"/>
    </row>
    <row r="36" spans="1:13" x14ac:dyDescent="0.25">
      <c r="A36" s="848" t="s">
        <v>11</v>
      </c>
      <c r="B36" s="849"/>
      <c r="C36" s="850"/>
      <c r="D36" s="94">
        <v>5000</v>
      </c>
      <c r="E36" s="120" t="s">
        <v>1</v>
      </c>
      <c r="F36" s="851" t="s">
        <v>10</v>
      </c>
      <c r="G36" s="851"/>
      <c r="H36" s="852"/>
      <c r="I36" s="853"/>
      <c r="J36" s="328"/>
      <c r="K36" s="328"/>
      <c r="L36" s="329"/>
      <c r="M36" s="328"/>
    </row>
    <row r="37" spans="1:13" x14ac:dyDescent="0.25">
      <c r="A37" s="854" t="s">
        <v>9</v>
      </c>
      <c r="B37" s="855"/>
      <c r="C37" s="856"/>
      <c r="D37" s="56">
        <v>1</v>
      </c>
      <c r="E37" s="49" t="s">
        <v>8</v>
      </c>
      <c r="F37" s="857" t="s">
        <v>7</v>
      </c>
      <c r="G37" s="857"/>
      <c r="H37" s="858"/>
      <c r="I37" s="859"/>
      <c r="J37" s="328"/>
      <c r="K37" s="328"/>
      <c r="L37" s="329"/>
      <c r="M37" s="328"/>
    </row>
    <row r="38" spans="1:13" x14ac:dyDescent="0.25">
      <c r="A38" s="854" t="s">
        <v>6</v>
      </c>
      <c r="B38" s="855"/>
      <c r="C38" s="856"/>
      <c r="D38" s="49">
        <v>1</v>
      </c>
      <c r="E38" s="49" t="s">
        <v>205</v>
      </c>
      <c r="F38" s="857" t="s">
        <v>5</v>
      </c>
      <c r="G38" s="857"/>
      <c r="H38" s="858"/>
      <c r="I38" s="859"/>
      <c r="J38" s="328"/>
      <c r="K38" s="328"/>
      <c r="L38" s="329"/>
      <c r="M38" s="328"/>
    </row>
    <row r="39" spans="1:13" x14ac:dyDescent="0.25">
      <c r="A39" s="854" t="s">
        <v>4</v>
      </c>
      <c r="B39" s="855"/>
      <c r="C39" s="856"/>
      <c r="D39" s="50">
        <v>5000</v>
      </c>
      <c r="E39" s="49" t="s">
        <v>1</v>
      </c>
      <c r="F39" s="860" t="s">
        <v>3</v>
      </c>
      <c r="G39" s="861"/>
      <c r="H39" s="858"/>
      <c r="I39" s="859"/>
      <c r="J39" s="328"/>
      <c r="K39" s="328"/>
      <c r="L39" s="329"/>
      <c r="M39" s="330"/>
    </row>
    <row r="40" spans="1:13" ht="15.75" thickBot="1" x14ac:dyDescent="0.3">
      <c r="A40" s="867" t="s">
        <v>2</v>
      </c>
      <c r="B40" s="868"/>
      <c r="C40" s="869"/>
      <c r="D40" s="121">
        <v>0</v>
      </c>
      <c r="E40" s="122" t="s">
        <v>1</v>
      </c>
      <c r="F40" s="870"/>
      <c r="G40" s="870"/>
      <c r="H40" s="911"/>
      <c r="I40" s="912"/>
      <c r="J40" s="109"/>
      <c r="K40" s="109"/>
      <c r="L40" s="329"/>
      <c r="M40" s="109"/>
    </row>
    <row r="41" spans="1:13" ht="15.75" thickBot="1" x14ac:dyDescent="0.3">
      <c r="A41" s="871" t="s">
        <v>0</v>
      </c>
      <c r="B41" s="872"/>
      <c r="C41" s="872"/>
      <c r="D41" s="872"/>
      <c r="E41" s="872"/>
      <c r="F41" s="872"/>
      <c r="G41" s="872"/>
      <c r="H41" s="872"/>
      <c r="I41" s="873"/>
      <c r="J41" s="328"/>
      <c r="K41" s="328"/>
      <c r="L41" s="328"/>
      <c r="M41" s="328"/>
    </row>
    <row r="42" spans="1:13" ht="18.399999999999999" customHeight="1" x14ac:dyDescent="0.25">
      <c r="A42" s="913" t="s">
        <v>206</v>
      </c>
      <c r="B42" s="914"/>
      <c r="C42" s="914"/>
      <c r="D42" s="914"/>
      <c r="E42" s="914"/>
      <c r="F42" s="914"/>
      <c r="G42" s="914"/>
      <c r="H42" s="914"/>
      <c r="I42" s="914"/>
      <c r="J42" s="328"/>
      <c r="K42" s="328"/>
      <c r="L42" s="328"/>
      <c r="M42" s="328"/>
    </row>
    <row r="43" spans="1:13" ht="14.65" customHeight="1" x14ac:dyDescent="0.25">
      <c r="A43" s="886" t="s">
        <v>207</v>
      </c>
      <c r="B43" s="887"/>
      <c r="C43" s="887"/>
      <c r="D43" s="887"/>
      <c r="E43" s="887"/>
      <c r="F43" s="887"/>
      <c r="G43" s="887"/>
      <c r="H43" s="887"/>
      <c r="I43" s="887"/>
      <c r="J43" s="328"/>
      <c r="K43" s="328"/>
      <c r="L43" s="328"/>
      <c r="M43" s="328"/>
    </row>
    <row r="44" spans="1:13" ht="14.65" customHeight="1" x14ac:dyDescent="0.25">
      <c r="A44" s="918"/>
      <c r="B44" s="919"/>
      <c r="C44" s="919"/>
      <c r="D44" s="919"/>
      <c r="E44" s="919"/>
      <c r="F44" s="919"/>
      <c r="G44" s="919"/>
      <c r="H44" s="919"/>
      <c r="I44" s="920"/>
      <c r="J44" s="328"/>
      <c r="K44" s="328"/>
      <c r="L44" s="328"/>
      <c r="M44" s="328"/>
    </row>
    <row r="45" spans="1:13" ht="14.65" customHeight="1" x14ac:dyDescent="0.25">
      <c r="A45" s="918"/>
      <c r="B45" s="919"/>
      <c r="C45" s="919"/>
      <c r="D45" s="919"/>
      <c r="E45" s="919"/>
      <c r="F45" s="919"/>
      <c r="G45" s="919"/>
      <c r="H45" s="919"/>
      <c r="I45" s="920"/>
      <c r="J45" s="328"/>
      <c r="K45" s="328"/>
      <c r="L45" s="328"/>
      <c r="M45" s="328"/>
    </row>
    <row r="46" spans="1:13" ht="14.65" customHeight="1" x14ac:dyDescent="0.25">
      <c r="A46" s="918"/>
      <c r="B46" s="919"/>
      <c r="C46" s="919"/>
      <c r="D46" s="919"/>
      <c r="E46" s="919"/>
      <c r="F46" s="919"/>
      <c r="G46" s="919"/>
      <c r="H46" s="919"/>
      <c r="I46" s="920"/>
      <c r="J46" s="328"/>
      <c r="K46" s="328"/>
      <c r="L46" s="328"/>
      <c r="M46" s="328"/>
    </row>
    <row r="47" spans="1:13" x14ac:dyDescent="0.25">
      <c r="A47" s="918"/>
      <c r="B47" s="919"/>
      <c r="C47" s="919"/>
      <c r="D47" s="919"/>
      <c r="E47" s="919"/>
      <c r="F47" s="919"/>
      <c r="G47" s="919"/>
      <c r="H47" s="919"/>
      <c r="I47" s="920"/>
      <c r="J47" s="328"/>
      <c r="K47" s="328"/>
      <c r="L47" s="328"/>
      <c r="M47" s="328"/>
    </row>
    <row r="48" spans="1:13" ht="18" customHeight="1" x14ac:dyDescent="0.25">
      <c r="A48" s="921"/>
      <c r="B48" s="922"/>
      <c r="C48" s="922"/>
      <c r="D48" s="922"/>
      <c r="E48" s="922"/>
      <c r="F48" s="922"/>
      <c r="G48" s="922"/>
      <c r="H48" s="922"/>
      <c r="I48" s="923"/>
      <c r="J48" s="328"/>
      <c r="K48" s="328"/>
      <c r="L48" s="328"/>
      <c r="M48" s="328"/>
    </row>
    <row r="49" spans="1:13" x14ac:dyDescent="0.25">
      <c r="A49" s="924"/>
      <c r="B49" s="925"/>
      <c r="C49" s="925"/>
      <c r="D49" s="925"/>
      <c r="E49" s="925"/>
      <c r="F49" s="925"/>
      <c r="G49" s="925"/>
      <c r="H49" s="925"/>
      <c r="I49" s="926"/>
      <c r="J49" s="328"/>
      <c r="K49" s="328"/>
      <c r="L49" s="328"/>
      <c r="M49" s="328"/>
    </row>
    <row r="50" spans="1:13" ht="15.75" thickBot="1" x14ac:dyDescent="0.3">
      <c r="A50" s="915"/>
      <c r="B50" s="916"/>
      <c r="C50" s="916"/>
      <c r="D50" s="916"/>
      <c r="E50" s="916"/>
      <c r="F50" s="916"/>
      <c r="G50" s="916"/>
      <c r="H50" s="916"/>
      <c r="I50" s="917"/>
      <c r="J50" s="328"/>
      <c r="K50" s="328"/>
      <c r="L50" s="328"/>
      <c r="M50" s="328"/>
    </row>
    <row r="51" spans="1:13" x14ac:dyDescent="0.25">
      <c r="A51" s="891" t="s">
        <v>32</v>
      </c>
      <c r="B51" s="892"/>
      <c r="C51" s="892"/>
      <c r="D51" s="892"/>
      <c r="E51" s="892"/>
      <c r="F51" s="892"/>
      <c r="G51" s="892"/>
      <c r="H51" s="892"/>
      <c r="I51" s="892"/>
      <c r="J51" s="328"/>
      <c r="K51" s="328"/>
      <c r="L51" s="328"/>
      <c r="M51" s="328"/>
    </row>
    <row r="52" spans="1:13" x14ac:dyDescent="0.25">
      <c r="A52" s="893"/>
      <c r="B52" s="894"/>
      <c r="C52" s="894"/>
      <c r="D52" s="894"/>
      <c r="E52" s="894"/>
      <c r="F52" s="894"/>
      <c r="G52" s="894"/>
      <c r="H52" s="894"/>
      <c r="I52" s="894"/>
      <c r="J52" s="328"/>
      <c r="K52" s="328"/>
      <c r="L52" s="328"/>
      <c r="M52" s="328"/>
    </row>
    <row r="53" spans="1:13" x14ac:dyDescent="0.25">
      <c r="A53" s="893"/>
      <c r="B53" s="894"/>
      <c r="C53" s="894"/>
      <c r="D53" s="894"/>
      <c r="E53" s="894"/>
      <c r="F53" s="894"/>
      <c r="G53" s="894"/>
      <c r="H53" s="894"/>
      <c r="I53" s="89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0589-3372-4051-8863-760F95EBA5EA}">
  <dimension ref="A1:I64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15.42578125" bestFit="1" customWidth="1"/>
    <col min="2" max="2" width="14.7109375" customWidth="1"/>
    <col min="3" max="3" width="48.28515625" customWidth="1"/>
    <col min="4" max="4" width="19.7109375" customWidth="1"/>
    <col min="7" max="7" width="17.7109375" customWidth="1"/>
    <col min="8" max="8" width="14.7109375" customWidth="1"/>
    <col min="9" max="9" width="20.42578125" bestFit="1" customWidth="1"/>
  </cols>
  <sheetData>
    <row r="1" spans="1:9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331" t="s">
        <v>208</v>
      </c>
    </row>
    <row r="2" spans="1:9" ht="16.5" thickBot="1" x14ac:dyDescent="0.3">
      <c r="A2" s="826"/>
      <c r="B2" s="827"/>
      <c r="C2" s="779" t="s">
        <v>28</v>
      </c>
      <c r="D2" s="779"/>
      <c r="E2" s="779"/>
      <c r="F2" s="779"/>
      <c r="G2" s="779"/>
      <c r="H2" s="62" t="s">
        <v>27</v>
      </c>
      <c r="I2" s="63" t="s">
        <v>197</v>
      </c>
    </row>
    <row r="3" spans="1:9" ht="24.75" customHeight="1" thickBot="1" x14ac:dyDescent="0.3">
      <c r="A3" s="826"/>
      <c r="B3" s="827"/>
      <c r="C3" s="927" t="s">
        <v>209</v>
      </c>
      <c r="D3" s="928"/>
      <c r="E3" s="928"/>
      <c r="F3" s="928"/>
      <c r="G3" s="928"/>
      <c r="H3" s="836" t="s">
        <v>26</v>
      </c>
      <c r="I3" s="815">
        <v>45609</v>
      </c>
    </row>
    <row r="4" spans="1:9" x14ac:dyDescent="0.25">
      <c r="A4" s="826"/>
      <c r="B4" s="827"/>
      <c r="C4" s="64" t="s">
        <v>25</v>
      </c>
      <c r="D4" s="818" t="s">
        <v>83</v>
      </c>
      <c r="E4" s="819"/>
      <c r="F4" s="819"/>
      <c r="G4" s="820"/>
      <c r="H4" s="837"/>
      <c r="I4" s="816"/>
    </row>
    <row r="5" spans="1:9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9" ht="18.75" thickBot="1" x14ac:dyDescent="0.3">
      <c r="A6" s="839" t="s">
        <v>23</v>
      </c>
      <c r="B6" s="839"/>
      <c r="C6" s="839"/>
      <c r="D6" s="840" t="s">
        <v>199</v>
      </c>
      <c r="E6" s="840"/>
      <c r="F6" s="840"/>
      <c r="G6" s="841" t="s">
        <v>22</v>
      </c>
      <c r="H6" s="841"/>
      <c r="I6" s="66" t="s">
        <v>75</v>
      </c>
    </row>
    <row r="7" spans="1:9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9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ht="18" x14ac:dyDescent="0.25">
      <c r="A9" s="332"/>
      <c r="B9" s="333"/>
      <c r="C9" s="334" t="s">
        <v>34</v>
      </c>
      <c r="D9" s="335"/>
      <c r="E9" s="336"/>
      <c r="F9" s="337"/>
      <c r="G9" s="336"/>
      <c r="H9" s="337"/>
      <c r="I9" s="338"/>
    </row>
    <row r="10" spans="1:9" ht="18" x14ac:dyDescent="0.25">
      <c r="A10" s="339">
        <v>101081</v>
      </c>
      <c r="B10" s="340" t="s">
        <v>210</v>
      </c>
      <c r="C10" s="341" t="s">
        <v>211</v>
      </c>
      <c r="D10" s="342" t="s">
        <v>212</v>
      </c>
      <c r="E10" s="343">
        <v>23000</v>
      </c>
      <c r="F10" s="344" t="s">
        <v>1</v>
      </c>
      <c r="G10" s="345"/>
      <c r="H10" s="345"/>
      <c r="I10" s="338"/>
    </row>
    <row r="11" spans="1:9" ht="18" x14ac:dyDescent="0.25">
      <c r="A11" s="346">
        <v>1212412</v>
      </c>
      <c r="B11" s="346" t="s">
        <v>213</v>
      </c>
      <c r="C11" s="347" t="s">
        <v>214</v>
      </c>
      <c r="D11" s="342" t="s">
        <v>95</v>
      </c>
      <c r="E11" s="343">
        <v>62</v>
      </c>
      <c r="F11" s="344" t="s">
        <v>1</v>
      </c>
      <c r="G11" s="348"/>
      <c r="H11" s="345"/>
      <c r="I11" s="338"/>
    </row>
    <row r="12" spans="1:9" ht="18" x14ac:dyDescent="0.25">
      <c r="A12" s="342">
        <v>510215</v>
      </c>
      <c r="B12" s="342" t="s">
        <v>215</v>
      </c>
      <c r="C12" s="349" t="s">
        <v>216</v>
      </c>
      <c r="D12" s="342" t="s">
        <v>95</v>
      </c>
      <c r="E12" s="343">
        <v>1350</v>
      </c>
      <c r="F12" s="344" t="s">
        <v>1</v>
      </c>
      <c r="G12" s="348"/>
      <c r="H12" s="345"/>
      <c r="I12" s="338"/>
    </row>
    <row r="13" spans="1:9" ht="18" x14ac:dyDescent="0.25">
      <c r="A13" s="346">
        <v>10400009</v>
      </c>
      <c r="B13" s="346" t="s">
        <v>73</v>
      </c>
      <c r="C13" s="347" t="s">
        <v>74</v>
      </c>
      <c r="D13" s="342" t="s">
        <v>217</v>
      </c>
      <c r="E13" s="350">
        <v>10</v>
      </c>
      <c r="F13" s="351" t="s">
        <v>1</v>
      </c>
      <c r="G13" s="348"/>
      <c r="H13" s="345"/>
      <c r="I13" s="338"/>
    </row>
    <row r="14" spans="1:9" ht="18" x14ac:dyDescent="0.25">
      <c r="A14" s="352">
        <v>10400010</v>
      </c>
      <c r="B14" s="352" t="s">
        <v>218</v>
      </c>
      <c r="C14" s="353" t="s">
        <v>219</v>
      </c>
      <c r="D14" s="342" t="s">
        <v>220</v>
      </c>
      <c r="E14" s="350">
        <v>10</v>
      </c>
      <c r="F14" s="351" t="s">
        <v>1</v>
      </c>
      <c r="G14" s="348"/>
      <c r="H14" s="345"/>
      <c r="I14" s="338"/>
    </row>
    <row r="15" spans="1:9" ht="15.6" customHeight="1" x14ac:dyDescent="0.25">
      <c r="A15" s="346">
        <v>90100131</v>
      </c>
      <c r="B15" s="346" t="s">
        <v>221</v>
      </c>
      <c r="C15" s="354" t="s">
        <v>222</v>
      </c>
      <c r="D15" s="342" t="s">
        <v>33</v>
      </c>
      <c r="E15" s="343">
        <v>7130</v>
      </c>
      <c r="F15" s="344" t="s">
        <v>1</v>
      </c>
      <c r="G15" s="348"/>
      <c r="H15" s="345"/>
      <c r="I15" s="338"/>
    </row>
    <row r="16" spans="1:9" ht="18" x14ac:dyDescent="0.25">
      <c r="A16" s="346">
        <v>908000036</v>
      </c>
      <c r="B16" s="346" t="s">
        <v>223</v>
      </c>
      <c r="C16" s="347" t="s">
        <v>224</v>
      </c>
      <c r="D16" s="342" t="s">
        <v>33</v>
      </c>
      <c r="E16" s="343">
        <v>920</v>
      </c>
      <c r="F16" s="344" t="s">
        <v>1</v>
      </c>
      <c r="G16" s="348"/>
      <c r="H16" s="345"/>
      <c r="I16" s="338"/>
    </row>
    <row r="17" spans="1:9" ht="18" x14ac:dyDescent="0.25">
      <c r="A17" s="346">
        <v>10415</v>
      </c>
      <c r="B17" s="346"/>
      <c r="C17" s="355" t="s">
        <v>91</v>
      </c>
      <c r="D17" s="342" t="s">
        <v>33</v>
      </c>
      <c r="E17" s="350">
        <v>571</v>
      </c>
      <c r="F17" s="351" t="s">
        <v>1</v>
      </c>
      <c r="G17" s="348"/>
      <c r="H17" s="345"/>
      <c r="I17" s="338"/>
    </row>
    <row r="18" spans="1:9" ht="18" x14ac:dyDescent="0.25">
      <c r="A18" s="356"/>
      <c r="B18" s="357"/>
      <c r="C18" s="358"/>
      <c r="D18" s="359"/>
      <c r="E18" s="359"/>
      <c r="F18" s="360"/>
      <c r="G18" s="348"/>
      <c r="H18" s="345"/>
      <c r="I18" s="338"/>
    </row>
    <row r="19" spans="1:9" ht="18" x14ac:dyDescent="0.25">
      <c r="A19" s="356"/>
      <c r="B19" s="357"/>
      <c r="C19" s="358"/>
      <c r="D19" s="361"/>
      <c r="E19" s="359"/>
      <c r="F19" s="360"/>
      <c r="G19" s="348"/>
      <c r="H19" s="345"/>
      <c r="I19" s="338"/>
    </row>
    <row r="20" spans="1:9" ht="18" x14ac:dyDescent="0.25">
      <c r="A20" s="362"/>
      <c r="B20" s="363"/>
      <c r="C20" s="364"/>
      <c r="D20" s="365"/>
      <c r="E20" s="366"/>
      <c r="F20" s="367"/>
      <c r="G20" s="348"/>
      <c r="H20" s="360"/>
      <c r="I20" s="338"/>
    </row>
    <row r="21" spans="1:9" ht="18" x14ac:dyDescent="0.25">
      <c r="A21" s="362"/>
      <c r="B21" s="363"/>
      <c r="C21" s="364"/>
      <c r="D21" s="365"/>
      <c r="E21" s="368"/>
      <c r="F21" s="368"/>
      <c r="G21" s="348"/>
      <c r="H21" s="360"/>
      <c r="I21" s="338"/>
    </row>
    <row r="22" spans="1:9" ht="18" x14ac:dyDescent="0.25">
      <c r="A22" s="369"/>
      <c r="B22" s="370"/>
      <c r="C22" s="371"/>
      <c r="D22" s="372"/>
      <c r="E22" s="373"/>
      <c r="F22" s="373"/>
      <c r="G22" s="374"/>
      <c r="H22" s="360"/>
      <c r="I22" s="338"/>
    </row>
    <row r="23" spans="1:9" ht="18" x14ac:dyDescent="0.25">
      <c r="A23" s="369"/>
      <c r="B23" s="370"/>
      <c r="C23" s="371"/>
      <c r="D23" s="372"/>
      <c r="E23" s="373"/>
      <c r="F23" s="373"/>
      <c r="G23" s="374"/>
      <c r="H23" s="360"/>
      <c r="I23" s="338"/>
    </row>
    <row r="24" spans="1:9" ht="18" x14ac:dyDescent="0.25">
      <c r="A24" s="369"/>
      <c r="B24" s="370"/>
      <c r="C24" s="371"/>
      <c r="D24" s="372"/>
      <c r="E24" s="373"/>
      <c r="F24" s="373"/>
      <c r="G24" s="374"/>
      <c r="H24" s="360"/>
      <c r="I24" s="338"/>
    </row>
    <row r="25" spans="1:9" ht="18" x14ac:dyDescent="0.25">
      <c r="A25" s="375"/>
      <c r="B25" s="375"/>
      <c r="C25" s="376"/>
      <c r="D25" s="366"/>
      <c r="E25" s="346"/>
      <c r="F25" s="346"/>
      <c r="G25" s="336"/>
      <c r="H25" s="360"/>
      <c r="I25" s="338"/>
    </row>
    <row r="26" spans="1:9" ht="18" x14ac:dyDescent="0.25">
      <c r="A26" s="377"/>
      <c r="B26" s="377"/>
      <c r="C26" s="378"/>
      <c r="D26" s="366"/>
      <c r="E26" s="366"/>
      <c r="F26" s="367"/>
      <c r="G26" s="336"/>
      <c r="H26" s="360"/>
      <c r="I26" s="338"/>
    </row>
    <row r="27" spans="1:9" ht="18" x14ac:dyDescent="0.25">
      <c r="A27" s="379"/>
      <c r="B27" s="380"/>
      <c r="C27" s="381" t="s">
        <v>68</v>
      </c>
      <c r="D27" s="382" t="s">
        <v>124</v>
      </c>
      <c r="E27" s="383"/>
      <c r="F27" s="367"/>
      <c r="G27" s="336"/>
      <c r="H27" s="360"/>
      <c r="I27" s="338"/>
    </row>
    <row r="28" spans="1:9" ht="18" x14ac:dyDescent="0.25">
      <c r="A28" s="384"/>
      <c r="B28" s="382"/>
      <c r="C28" s="385"/>
      <c r="D28" s="386" t="s">
        <v>124</v>
      </c>
      <c r="E28" s="366"/>
      <c r="F28" s="367"/>
      <c r="G28" s="336"/>
      <c r="H28" s="360"/>
      <c r="I28" s="338"/>
    </row>
    <row r="29" spans="1:9" ht="18" x14ac:dyDescent="0.25">
      <c r="A29" s="377"/>
      <c r="B29" s="377"/>
      <c r="C29" s="378"/>
      <c r="D29" s="386" t="s">
        <v>124</v>
      </c>
      <c r="E29" s="366"/>
      <c r="F29" s="367"/>
      <c r="G29" s="336"/>
      <c r="H29" s="360"/>
      <c r="I29" s="338"/>
    </row>
    <row r="30" spans="1:9" ht="18" x14ac:dyDescent="0.25">
      <c r="A30" s="387"/>
      <c r="B30" s="387"/>
      <c r="C30" s="385"/>
      <c r="D30" s="386" t="s">
        <v>124</v>
      </c>
      <c r="E30" s="366"/>
      <c r="F30" s="367"/>
      <c r="G30" s="336"/>
      <c r="H30" s="360"/>
      <c r="I30" s="338"/>
    </row>
    <row r="31" spans="1:9" ht="18" x14ac:dyDescent="0.25">
      <c r="A31" s="377"/>
      <c r="B31" s="377"/>
      <c r="C31" s="378"/>
      <c r="D31" s="366" t="s">
        <v>124</v>
      </c>
      <c r="E31" s="382"/>
      <c r="F31" s="367"/>
      <c r="G31" s="336"/>
      <c r="H31" s="360"/>
      <c r="I31" s="338"/>
    </row>
    <row r="32" spans="1:9" ht="18" x14ac:dyDescent="0.25">
      <c r="A32" s="377"/>
      <c r="B32" s="377"/>
      <c r="C32" s="378"/>
      <c r="D32" s="388" t="s">
        <v>124</v>
      </c>
      <c r="E32" s="389"/>
      <c r="F32" s="390"/>
      <c r="G32" s="336"/>
      <c r="H32" s="360"/>
      <c r="I32" s="338"/>
    </row>
    <row r="33" spans="1:9" ht="18" x14ac:dyDescent="0.25">
      <c r="A33" s="391"/>
      <c r="B33" s="392"/>
      <c r="C33" s="393" t="s">
        <v>75</v>
      </c>
      <c r="D33" s="394" t="s">
        <v>124</v>
      </c>
      <c r="E33" s="336"/>
      <c r="F33" s="337"/>
      <c r="G33" s="336"/>
      <c r="H33" s="360"/>
      <c r="I33" s="338"/>
    </row>
    <row r="34" spans="1:9" ht="18" x14ac:dyDescent="0.25">
      <c r="A34" s="395">
        <v>702123</v>
      </c>
      <c r="B34" s="395" t="s">
        <v>38</v>
      </c>
      <c r="C34" s="396" t="s">
        <v>96</v>
      </c>
      <c r="D34" s="342" t="s">
        <v>204</v>
      </c>
      <c r="E34" s="343">
        <v>1</v>
      </c>
      <c r="F34" s="344" t="s">
        <v>41</v>
      </c>
      <c r="G34" s="348"/>
      <c r="H34" s="360"/>
      <c r="I34" s="338"/>
    </row>
    <row r="35" spans="1:9" ht="18" x14ac:dyDescent="0.25">
      <c r="A35" s="397"/>
      <c r="B35" s="398"/>
      <c r="C35" s="399"/>
      <c r="D35" s="400"/>
      <c r="E35" s="401"/>
      <c r="F35" s="402"/>
      <c r="G35" s="403"/>
      <c r="H35" s="360"/>
      <c r="I35" s="338"/>
    </row>
    <row r="36" spans="1:9" ht="18" x14ac:dyDescent="0.25">
      <c r="A36" s="404"/>
      <c r="B36" s="405"/>
      <c r="C36" s="406"/>
      <c r="D36" s="365"/>
      <c r="E36" s="407"/>
      <c r="F36" s="408"/>
      <c r="G36" s="336"/>
      <c r="H36" s="360"/>
      <c r="I36" s="338"/>
    </row>
    <row r="37" spans="1:9" ht="18" x14ac:dyDescent="0.25">
      <c r="A37" s="409"/>
      <c r="B37" s="409"/>
      <c r="C37" s="378"/>
      <c r="D37" s="382"/>
      <c r="E37" s="366"/>
      <c r="F37" s="367"/>
      <c r="G37" s="336"/>
      <c r="H37" s="337"/>
      <c r="I37" s="338"/>
    </row>
    <row r="38" spans="1:9" ht="18" x14ac:dyDescent="0.25">
      <c r="A38" s="410"/>
      <c r="B38" s="411"/>
      <c r="C38" s="412"/>
      <c r="D38" s="382"/>
      <c r="E38" s="366"/>
      <c r="F38" s="367"/>
      <c r="G38" s="336"/>
      <c r="H38" s="337"/>
      <c r="I38" s="338"/>
    </row>
    <row r="39" spans="1:9" ht="18" x14ac:dyDescent="0.25">
      <c r="A39" s="410"/>
      <c r="B39" s="411"/>
      <c r="C39" s="412"/>
      <c r="D39" s="382"/>
      <c r="E39" s="366"/>
      <c r="F39" s="367"/>
      <c r="G39" s="413"/>
      <c r="H39" s="382"/>
      <c r="I39" s="338"/>
    </row>
    <row r="40" spans="1:9" ht="18" x14ac:dyDescent="0.25">
      <c r="A40" s="379"/>
      <c r="B40" s="380"/>
      <c r="C40" s="414"/>
      <c r="D40" s="382"/>
      <c r="E40" s="366"/>
      <c r="F40" s="367"/>
      <c r="G40" s="366"/>
      <c r="H40" s="382"/>
      <c r="I40" s="338"/>
    </row>
    <row r="41" spans="1:9" ht="18" x14ac:dyDescent="0.25">
      <c r="A41" s="379"/>
      <c r="B41" s="380"/>
      <c r="C41" s="414"/>
      <c r="D41" s="382"/>
      <c r="E41" s="366"/>
      <c r="F41" s="367"/>
      <c r="G41" s="366"/>
      <c r="H41" s="367"/>
      <c r="I41" s="338"/>
    </row>
    <row r="42" spans="1:9" ht="18" x14ac:dyDescent="0.25">
      <c r="A42" s="379"/>
      <c r="B42" s="380"/>
      <c r="C42" s="414"/>
      <c r="D42" s="382"/>
      <c r="E42" s="382"/>
      <c r="F42" s="367"/>
      <c r="G42" s="382"/>
      <c r="H42" s="382"/>
      <c r="I42" s="338"/>
    </row>
    <row r="43" spans="1:9" ht="18.75" thickBot="1" x14ac:dyDescent="0.3">
      <c r="A43" s="415"/>
      <c r="B43" s="416"/>
      <c r="C43" s="417"/>
      <c r="D43" s="417"/>
      <c r="E43" s="418"/>
      <c r="F43" s="419"/>
      <c r="G43" s="417"/>
      <c r="H43" s="417"/>
      <c r="I43" s="420"/>
    </row>
    <row r="44" spans="1:9" ht="18.75" thickBot="1" x14ac:dyDescent="0.3">
      <c r="A44" s="421"/>
      <c r="B44" s="422"/>
      <c r="C44" s="423"/>
      <c r="D44" s="424" t="s">
        <v>13</v>
      </c>
      <c r="E44" s="425" t="s">
        <v>12</v>
      </c>
      <c r="F44" s="426"/>
      <c r="G44" s="423"/>
      <c r="H44" s="423"/>
      <c r="I44" s="427"/>
    </row>
    <row r="45" spans="1:9" ht="18" x14ac:dyDescent="0.25">
      <c r="A45" s="929" t="s">
        <v>11</v>
      </c>
      <c r="B45" s="930"/>
      <c r="C45" s="931"/>
      <c r="D45" s="428">
        <v>30000</v>
      </c>
      <c r="E45" s="429" t="s">
        <v>1</v>
      </c>
      <c r="F45" s="932" t="s">
        <v>10</v>
      </c>
      <c r="G45" s="932"/>
      <c r="H45" s="933"/>
      <c r="I45" s="934"/>
    </row>
    <row r="46" spans="1:9" ht="18" x14ac:dyDescent="0.25">
      <c r="A46" s="935" t="s">
        <v>9</v>
      </c>
      <c r="B46" s="936"/>
      <c r="C46" s="937"/>
      <c r="D46" s="430">
        <v>35</v>
      </c>
      <c r="E46" s="346" t="s">
        <v>8</v>
      </c>
      <c r="F46" s="938" t="s">
        <v>7</v>
      </c>
      <c r="G46" s="938"/>
      <c r="H46" s="939"/>
      <c r="I46" s="940"/>
    </row>
    <row r="47" spans="1:9" ht="18" x14ac:dyDescent="0.25">
      <c r="A47" s="935" t="s">
        <v>6</v>
      </c>
      <c r="B47" s="936"/>
      <c r="C47" s="937"/>
      <c r="D47" s="346">
        <v>6</v>
      </c>
      <c r="E47" s="346" t="s">
        <v>225</v>
      </c>
      <c r="F47" s="938" t="s">
        <v>5</v>
      </c>
      <c r="G47" s="938"/>
      <c r="H47" s="939"/>
      <c r="I47" s="940"/>
    </row>
    <row r="48" spans="1:9" ht="18" x14ac:dyDescent="0.25">
      <c r="A48" s="935" t="s">
        <v>4</v>
      </c>
      <c r="B48" s="936"/>
      <c r="C48" s="937"/>
      <c r="D48" s="346">
        <v>5000</v>
      </c>
      <c r="E48" s="346" t="s">
        <v>1</v>
      </c>
      <c r="F48" s="941" t="s">
        <v>3</v>
      </c>
      <c r="G48" s="942"/>
      <c r="H48" s="939"/>
      <c r="I48" s="940"/>
    </row>
    <row r="49" spans="1:9" ht="18.75" thickBot="1" x14ac:dyDescent="0.3">
      <c r="A49" s="946" t="s">
        <v>2</v>
      </c>
      <c r="B49" s="947"/>
      <c r="C49" s="948"/>
      <c r="D49" s="431">
        <v>2470</v>
      </c>
      <c r="E49" s="432" t="s">
        <v>1</v>
      </c>
      <c r="F49" s="949"/>
      <c r="G49" s="949"/>
      <c r="H49" s="950"/>
      <c r="I49" s="951"/>
    </row>
    <row r="50" spans="1:9" ht="18.75" thickBot="1" x14ac:dyDescent="0.3">
      <c r="A50" s="952" t="s">
        <v>0</v>
      </c>
      <c r="B50" s="953"/>
      <c r="C50" s="953"/>
      <c r="D50" s="953"/>
      <c r="E50" s="953"/>
      <c r="F50" s="953"/>
      <c r="G50" s="953"/>
      <c r="H50" s="953"/>
      <c r="I50" s="954"/>
    </row>
    <row r="51" spans="1:9" ht="18" x14ac:dyDescent="0.25">
      <c r="A51" s="955" t="s">
        <v>226</v>
      </c>
      <c r="B51" s="956"/>
      <c r="C51" s="956"/>
      <c r="D51" s="956"/>
      <c r="E51" s="956"/>
      <c r="F51" s="956"/>
      <c r="G51" s="956"/>
      <c r="H51" s="956"/>
      <c r="I51" s="956"/>
    </row>
    <row r="52" spans="1:9" ht="40.5" customHeight="1" x14ac:dyDescent="0.25">
      <c r="A52" s="957" t="s">
        <v>227</v>
      </c>
      <c r="B52" s="958"/>
      <c r="C52" s="958"/>
      <c r="D52" s="958"/>
      <c r="E52" s="958"/>
      <c r="F52" s="958"/>
      <c r="G52" s="958"/>
      <c r="H52" s="958"/>
      <c r="I52" s="958"/>
    </row>
    <row r="53" spans="1:9" ht="18" x14ac:dyDescent="0.25">
      <c r="A53" s="959" t="s">
        <v>228</v>
      </c>
      <c r="B53" s="958"/>
      <c r="C53" s="958"/>
      <c r="D53" s="958"/>
      <c r="E53" s="958"/>
      <c r="F53" s="958"/>
      <c r="G53" s="958"/>
      <c r="H53" s="958"/>
      <c r="I53" s="958"/>
    </row>
    <row r="54" spans="1:9" ht="18" x14ac:dyDescent="0.25">
      <c r="A54" s="959" t="s">
        <v>229</v>
      </c>
      <c r="B54" s="958"/>
      <c r="C54" s="958"/>
      <c r="D54" s="958"/>
      <c r="E54" s="958"/>
      <c r="F54" s="958"/>
      <c r="G54" s="958"/>
      <c r="H54" s="958"/>
      <c r="I54" s="958"/>
    </row>
    <row r="55" spans="1:9" ht="18" x14ac:dyDescent="0.25">
      <c r="A55" s="959"/>
      <c r="B55" s="958"/>
      <c r="C55" s="958"/>
      <c r="D55" s="958"/>
      <c r="E55" s="958"/>
      <c r="F55" s="958"/>
      <c r="G55" s="958"/>
      <c r="H55" s="958"/>
      <c r="I55" s="960"/>
    </row>
    <row r="56" spans="1:9" ht="18" x14ac:dyDescent="0.25">
      <c r="A56" s="961"/>
      <c r="B56" s="962"/>
      <c r="C56" s="962"/>
      <c r="D56" s="962"/>
      <c r="E56" s="962"/>
      <c r="F56" s="962"/>
      <c r="G56" s="962"/>
      <c r="H56" s="962"/>
      <c r="I56" s="963"/>
    </row>
    <row r="57" spans="1:9" ht="18" x14ac:dyDescent="0.25">
      <c r="A57" s="943"/>
      <c r="B57" s="944"/>
      <c r="C57" s="944"/>
      <c r="D57" s="944"/>
      <c r="E57" s="944"/>
      <c r="F57" s="944"/>
      <c r="G57" s="944"/>
      <c r="H57" s="944"/>
      <c r="I57" s="945"/>
    </row>
    <row r="58" spans="1:9" ht="18" x14ac:dyDescent="0.25">
      <c r="A58" s="943"/>
      <c r="B58" s="944"/>
      <c r="C58" s="944"/>
      <c r="D58" s="944"/>
      <c r="E58" s="944"/>
      <c r="F58" s="944"/>
      <c r="G58" s="944"/>
      <c r="H58" s="944"/>
      <c r="I58" s="945"/>
    </row>
    <row r="59" spans="1:9" ht="18" customHeight="1" thickBot="1" x14ac:dyDescent="0.3">
      <c r="A59" s="964"/>
      <c r="B59" s="965"/>
      <c r="C59" s="965"/>
      <c r="D59" s="965"/>
      <c r="E59" s="965"/>
      <c r="F59" s="965"/>
      <c r="G59" s="965"/>
      <c r="H59" s="965"/>
      <c r="I59" s="966"/>
    </row>
    <row r="60" spans="1:9" ht="18" x14ac:dyDescent="0.25">
      <c r="A60" s="433"/>
      <c r="B60" s="433"/>
      <c r="C60" s="433"/>
      <c r="D60" s="433"/>
      <c r="E60" s="433"/>
      <c r="F60" s="433"/>
      <c r="G60" s="433"/>
      <c r="H60" s="433"/>
      <c r="I60" s="433"/>
    </row>
    <row r="61" spans="1:9" ht="18.75" thickBot="1" x14ac:dyDescent="0.3">
      <c r="A61" s="967"/>
      <c r="B61" s="968"/>
      <c r="C61" s="968"/>
      <c r="D61" s="968"/>
      <c r="E61" s="968"/>
      <c r="F61" s="968"/>
      <c r="G61" s="968"/>
      <c r="H61" s="968"/>
      <c r="I61" s="969"/>
    </row>
    <row r="62" spans="1:9" ht="18" x14ac:dyDescent="0.25">
      <c r="A62" s="970" t="s">
        <v>32</v>
      </c>
      <c r="B62" s="971"/>
      <c r="C62" s="971"/>
      <c r="D62" s="971"/>
      <c r="E62" s="971"/>
      <c r="F62" s="971"/>
      <c r="G62" s="971"/>
      <c r="H62" s="971"/>
      <c r="I62" s="971"/>
    </row>
    <row r="63" spans="1:9" ht="18" x14ac:dyDescent="0.25">
      <c r="A63" s="972"/>
      <c r="B63" s="973"/>
      <c r="C63" s="973"/>
      <c r="D63" s="973"/>
      <c r="E63" s="973"/>
      <c r="F63" s="973"/>
      <c r="G63" s="973"/>
      <c r="H63" s="973"/>
      <c r="I63" s="973"/>
    </row>
    <row r="64" spans="1:9" ht="18" x14ac:dyDescent="0.25">
      <c r="A64" s="972"/>
      <c r="B64" s="973"/>
      <c r="C64" s="973"/>
      <c r="D64" s="973"/>
      <c r="E64" s="973"/>
      <c r="F64" s="973"/>
      <c r="G64" s="973"/>
      <c r="H64" s="973"/>
      <c r="I64" s="973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49CA-5428-4F3A-B786-1E56188F82F7}">
  <dimension ref="A1:I58"/>
  <sheetViews>
    <sheetView workbookViewId="0">
      <selection activeCell="D17" sqref="D17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7109375" bestFit="1" customWidth="1"/>
  </cols>
  <sheetData>
    <row r="1" spans="1:9" ht="17.25" x14ac:dyDescent="0.3">
      <c r="A1" s="772"/>
      <c r="B1" s="773"/>
      <c r="C1" s="778" t="s">
        <v>30</v>
      </c>
      <c r="D1" s="778"/>
      <c r="E1" s="778"/>
      <c r="F1" s="778"/>
      <c r="G1" s="778"/>
      <c r="H1" s="38" t="s">
        <v>29</v>
      </c>
      <c r="I1" s="39" t="s">
        <v>230</v>
      </c>
    </row>
    <row r="2" spans="1:9" ht="18" thickBot="1" x14ac:dyDescent="0.35">
      <c r="A2" s="774"/>
      <c r="B2" s="775"/>
      <c r="C2" s="830" t="s">
        <v>28</v>
      </c>
      <c r="D2" s="831"/>
      <c r="E2" s="831"/>
      <c r="F2" s="831"/>
      <c r="G2" s="832"/>
      <c r="H2" s="40" t="s">
        <v>27</v>
      </c>
      <c r="I2" s="41" t="s">
        <v>150</v>
      </c>
    </row>
    <row r="3" spans="1:9" ht="15.75" thickBot="1" x14ac:dyDescent="0.3">
      <c r="A3" s="774"/>
      <c r="B3" s="775"/>
      <c r="C3" s="974" t="s">
        <v>231</v>
      </c>
      <c r="D3" s="975"/>
      <c r="E3" s="975"/>
      <c r="F3" s="975"/>
      <c r="G3" s="976"/>
      <c r="H3" s="781" t="s">
        <v>26</v>
      </c>
      <c r="I3" s="763">
        <v>45663</v>
      </c>
    </row>
    <row r="4" spans="1:9" ht="17.25" x14ac:dyDescent="0.3">
      <c r="A4" s="774"/>
      <c r="B4" s="775"/>
      <c r="C4" s="42" t="s">
        <v>25</v>
      </c>
      <c r="D4" s="766" t="s">
        <v>83</v>
      </c>
      <c r="E4" s="767"/>
      <c r="F4" s="767"/>
      <c r="G4" s="768"/>
      <c r="H4" s="782"/>
      <c r="I4" s="764"/>
    </row>
    <row r="5" spans="1:9" ht="18" thickBot="1" x14ac:dyDescent="0.35">
      <c r="A5" s="776"/>
      <c r="B5" s="777"/>
      <c r="C5" s="43" t="s">
        <v>24</v>
      </c>
      <c r="D5" s="769" t="s">
        <v>84</v>
      </c>
      <c r="E5" s="770"/>
      <c r="F5" s="770"/>
      <c r="G5" s="771"/>
      <c r="H5" s="783"/>
      <c r="I5" s="765"/>
    </row>
    <row r="6" spans="1:9" ht="16.5" thickBot="1" x14ac:dyDescent="0.3">
      <c r="A6" s="754" t="s">
        <v>23</v>
      </c>
      <c r="B6" s="754"/>
      <c r="C6" s="754"/>
      <c r="D6" s="755" t="s">
        <v>68</v>
      </c>
      <c r="E6" s="755"/>
      <c r="F6" s="755"/>
      <c r="G6" s="756" t="s">
        <v>22</v>
      </c>
      <c r="H6" s="756"/>
      <c r="I6" s="37" t="s">
        <v>69</v>
      </c>
    </row>
    <row r="7" spans="1:9" x14ac:dyDescent="0.25">
      <c r="A7" s="757" t="s">
        <v>21</v>
      </c>
      <c r="B7" s="759" t="s">
        <v>31</v>
      </c>
      <c r="C7" s="761" t="s">
        <v>20</v>
      </c>
      <c r="D7" s="761" t="s">
        <v>19</v>
      </c>
      <c r="E7" s="761" t="s">
        <v>18</v>
      </c>
      <c r="F7" s="761"/>
      <c r="G7" s="761" t="s">
        <v>17</v>
      </c>
      <c r="H7" s="761"/>
      <c r="I7" s="44" t="s">
        <v>16</v>
      </c>
    </row>
    <row r="8" spans="1:9" ht="31.5" thickBot="1" x14ac:dyDescent="0.3">
      <c r="A8" s="758"/>
      <c r="B8" s="760"/>
      <c r="C8" s="762"/>
      <c r="D8" s="762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15.75" x14ac:dyDescent="0.25">
      <c r="A9" s="1"/>
      <c r="B9" s="2"/>
      <c r="C9" s="3" t="s">
        <v>34</v>
      </c>
      <c r="D9" s="4"/>
      <c r="E9" s="5"/>
      <c r="F9" s="6"/>
      <c r="G9" s="5"/>
      <c r="H9" s="6"/>
      <c r="I9" s="7"/>
    </row>
    <row r="10" spans="1:9" ht="17.25" x14ac:dyDescent="0.3">
      <c r="A10" s="434"/>
      <c r="B10" s="218" t="s">
        <v>232</v>
      </c>
      <c r="C10" s="435" t="s">
        <v>233</v>
      </c>
      <c r="D10" s="228" t="s">
        <v>33</v>
      </c>
      <c r="E10" s="436">
        <f>16580/16.58</f>
        <v>1000.0000000000001</v>
      </c>
      <c r="F10" s="222" t="s">
        <v>1</v>
      </c>
      <c r="G10" s="437"/>
      <c r="H10" s="214"/>
      <c r="I10" s="7"/>
    </row>
    <row r="11" spans="1:9" ht="17.25" x14ac:dyDescent="0.3">
      <c r="A11" s="434">
        <v>10400008</v>
      </c>
      <c r="B11" s="438" t="s">
        <v>234</v>
      </c>
      <c r="C11" s="439" t="s">
        <v>235</v>
      </c>
      <c r="D11" s="228" t="s">
        <v>236</v>
      </c>
      <c r="E11" s="229" t="s">
        <v>237</v>
      </c>
      <c r="F11" s="230" t="s">
        <v>1</v>
      </c>
      <c r="G11" s="437"/>
      <c r="H11" s="214"/>
      <c r="I11" s="7"/>
    </row>
    <row r="12" spans="1:9" ht="17.25" x14ac:dyDescent="0.3">
      <c r="A12" s="48"/>
      <c r="B12" s="48"/>
      <c r="C12" s="48"/>
      <c r="D12" s="48"/>
      <c r="E12" s="48"/>
      <c r="F12" s="48"/>
      <c r="G12" s="251"/>
      <c r="H12" s="214"/>
      <c r="I12" s="7"/>
    </row>
    <row r="13" spans="1:9" ht="17.25" x14ac:dyDescent="0.3">
      <c r="A13" s="218"/>
      <c r="B13" s="218"/>
      <c r="C13" s="439"/>
      <c r="D13" s="220"/>
      <c r="E13" s="436"/>
      <c r="F13" s="222"/>
      <c r="G13" s="251"/>
      <c r="H13" s="214"/>
      <c r="I13" s="7"/>
    </row>
    <row r="14" spans="1:9" ht="17.25" x14ac:dyDescent="0.3">
      <c r="A14" s="440"/>
      <c r="B14" s="441"/>
      <c r="C14" s="442"/>
      <c r="D14" s="251"/>
      <c r="E14" s="251"/>
      <c r="F14" s="443"/>
      <c r="G14" s="251"/>
      <c r="H14" s="214"/>
      <c r="I14" s="7"/>
    </row>
    <row r="15" spans="1:9" ht="17.25" x14ac:dyDescent="0.3">
      <c r="A15" s="444"/>
      <c r="B15" s="441"/>
      <c r="C15" s="445"/>
      <c r="D15" s="251"/>
      <c r="E15" s="251"/>
      <c r="F15" s="443"/>
      <c r="G15" s="251"/>
      <c r="H15" s="214"/>
      <c r="I15" s="7"/>
    </row>
    <row r="16" spans="1:9" ht="17.25" x14ac:dyDescent="0.3">
      <c r="A16" s="251"/>
      <c r="B16" s="251"/>
      <c r="C16" s="446"/>
      <c r="D16" s="447"/>
      <c r="E16" s="447"/>
      <c r="F16" s="437"/>
      <c r="G16" s="251"/>
      <c r="H16" s="214"/>
      <c r="I16" s="7"/>
    </row>
    <row r="17" spans="1:9" ht="17.25" x14ac:dyDescent="0.3">
      <c r="A17" s="441"/>
      <c r="B17" s="441"/>
      <c r="C17" s="448"/>
      <c r="D17" s="251"/>
      <c r="E17" s="251"/>
      <c r="F17" s="443"/>
      <c r="G17" s="251"/>
      <c r="H17" s="214"/>
      <c r="I17" s="7"/>
    </row>
    <row r="18" spans="1:9" ht="17.25" x14ac:dyDescent="0.3">
      <c r="A18" s="440"/>
      <c r="B18" s="441"/>
      <c r="C18" s="442"/>
      <c r="D18" s="251"/>
      <c r="E18" s="251"/>
      <c r="F18" s="443"/>
      <c r="G18" s="251"/>
      <c r="H18" s="214"/>
      <c r="I18" s="7"/>
    </row>
    <row r="19" spans="1:9" ht="17.25" x14ac:dyDescent="0.3">
      <c r="A19" s="11"/>
      <c r="B19" s="11"/>
      <c r="C19" s="211"/>
      <c r="D19" s="82"/>
      <c r="E19" s="13"/>
      <c r="F19" s="12"/>
      <c r="G19" s="5"/>
      <c r="H19" s="214"/>
      <c r="I19" s="7"/>
    </row>
    <row r="20" spans="1:9" ht="15.75" x14ac:dyDescent="0.25">
      <c r="A20" s="16"/>
      <c r="B20" s="17"/>
      <c r="C20" s="85" t="s">
        <v>68</v>
      </c>
      <c r="D20" s="18"/>
      <c r="E20" s="215"/>
      <c r="F20" s="15"/>
      <c r="G20" s="5"/>
      <c r="H20" s="6"/>
      <c r="I20" s="7"/>
    </row>
    <row r="21" spans="1:9" ht="17.25" x14ac:dyDescent="0.3">
      <c r="A21" s="434"/>
      <c r="B21" s="449"/>
      <c r="C21" s="435"/>
      <c r="D21" s="228"/>
      <c r="E21" s="229"/>
      <c r="F21" s="230"/>
      <c r="G21" s="5"/>
      <c r="H21" s="6"/>
      <c r="I21" s="7"/>
    </row>
    <row r="22" spans="1:9" ht="17.25" x14ac:dyDescent="0.3">
      <c r="A22" s="434"/>
      <c r="B22" s="449"/>
      <c r="C22" s="435"/>
      <c r="D22" s="228"/>
      <c r="E22" s="236"/>
      <c r="F22" s="230"/>
      <c r="G22" s="5"/>
      <c r="H22" s="6"/>
      <c r="I22" s="7"/>
    </row>
    <row r="23" spans="1:9" ht="17.25" x14ac:dyDescent="0.3">
      <c r="A23" s="434"/>
      <c r="B23" s="449"/>
      <c r="C23" s="435"/>
      <c r="D23" s="228"/>
      <c r="E23" s="229"/>
      <c r="F23" s="230"/>
      <c r="G23" s="5"/>
      <c r="H23" s="6"/>
      <c r="I23" s="7"/>
    </row>
    <row r="24" spans="1:9" ht="17.25" x14ac:dyDescent="0.3">
      <c r="A24" s="434"/>
      <c r="B24" s="449"/>
      <c r="C24" s="435"/>
      <c r="D24" s="228"/>
      <c r="E24" s="450"/>
      <c r="F24" s="451"/>
      <c r="G24" s="5"/>
      <c r="H24" s="6"/>
      <c r="I24" s="7"/>
    </row>
    <row r="25" spans="1:9" ht="17.25" x14ac:dyDescent="0.3">
      <c r="A25" s="434"/>
      <c r="B25" s="449"/>
      <c r="C25" s="435"/>
      <c r="D25" s="228"/>
      <c r="E25" s="436"/>
      <c r="F25" s="451"/>
      <c r="G25" s="5"/>
      <c r="H25" s="6"/>
      <c r="I25" s="7"/>
    </row>
    <row r="26" spans="1:9" ht="17.25" x14ac:dyDescent="0.3">
      <c r="A26" s="231"/>
      <c r="B26" s="231"/>
      <c r="C26" s="232"/>
      <c r="D26" s="225"/>
      <c r="E26" s="452"/>
      <c r="F26" s="235"/>
      <c r="G26" s="5"/>
      <c r="H26" s="6"/>
      <c r="I26" s="7"/>
    </row>
    <row r="27" spans="1:9" ht="17.25" x14ac:dyDescent="0.3">
      <c r="A27" s="11"/>
      <c r="B27" s="11"/>
      <c r="C27" s="211"/>
      <c r="D27" s="233"/>
      <c r="E27" s="234"/>
      <c r="F27" s="235"/>
      <c r="G27" s="5"/>
      <c r="H27" s="6"/>
      <c r="I27" s="7"/>
    </row>
    <row r="28" spans="1:9" ht="17.25" x14ac:dyDescent="0.3">
      <c r="A28" s="11"/>
      <c r="B28" s="11"/>
      <c r="C28" s="211"/>
      <c r="D28" s="233"/>
      <c r="E28" s="236"/>
      <c r="F28" s="9"/>
      <c r="G28" s="5"/>
      <c r="H28" s="6"/>
      <c r="I28" s="7"/>
    </row>
    <row r="29" spans="1:9" ht="15.75" x14ac:dyDescent="0.25">
      <c r="A29" s="237"/>
      <c r="B29" s="238"/>
      <c r="C29" s="98" t="s">
        <v>75</v>
      </c>
      <c r="D29" s="239"/>
      <c r="E29" s="240"/>
      <c r="F29" s="6"/>
      <c r="G29" s="5"/>
      <c r="H29" s="232"/>
      <c r="I29" s="7"/>
    </row>
    <row r="30" spans="1:9" ht="17.25" x14ac:dyDescent="0.3">
      <c r="A30" s="434" t="s">
        <v>45</v>
      </c>
      <c r="B30" s="438" t="s">
        <v>46</v>
      </c>
      <c r="C30" s="439" t="s">
        <v>47</v>
      </c>
      <c r="D30" s="228" t="s">
        <v>108</v>
      </c>
      <c r="E30" s="229">
        <v>1</v>
      </c>
      <c r="F30" s="230" t="s">
        <v>41</v>
      </c>
      <c r="G30" s="453"/>
      <c r="H30" s="6"/>
      <c r="I30" s="7"/>
    </row>
    <row r="31" spans="1:9" ht="17.25" x14ac:dyDescent="0.3">
      <c r="A31" s="454"/>
      <c r="B31" s="454"/>
      <c r="C31" s="21"/>
      <c r="D31" s="455"/>
      <c r="E31" s="456"/>
      <c r="F31" s="457"/>
      <c r="G31" s="453"/>
      <c r="H31" s="6"/>
      <c r="I31" s="7"/>
    </row>
    <row r="32" spans="1:9" ht="17.25" x14ac:dyDescent="0.3">
      <c r="A32" s="454"/>
      <c r="B32" s="454"/>
      <c r="C32" s="21"/>
      <c r="D32" s="455"/>
      <c r="E32" s="456"/>
      <c r="F32" s="457"/>
      <c r="G32" s="453"/>
      <c r="H32" s="6"/>
      <c r="I32" s="7"/>
    </row>
    <row r="33" spans="1:9" ht="15.75" x14ac:dyDescent="0.25">
      <c r="A33" s="458"/>
      <c r="B33" s="458"/>
      <c r="C33" s="459"/>
      <c r="D33" s="20"/>
      <c r="E33" s="460"/>
      <c r="F33" s="461"/>
      <c r="G33" s="5"/>
      <c r="H33" s="6"/>
      <c r="I33" s="7"/>
    </row>
    <row r="34" spans="1:9" ht="15.75" x14ac:dyDescent="0.25">
      <c r="A34" s="458"/>
      <c r="B34" s="458"/>
      <c r="C34" s="462"/>
      <c r="D34" s="20"/>
      <c r="E34" s="20"/>
      <c r="F34" s="461"/>
      <c r="G34" s="5"/>
      <c r="H34" s="6"/>
      <c r="I34" s="7"/>
    </row>
    <row r="35" spans="1:9" ht="15.75" x14ac:dyDescent="0.25">
      <c r="A35" s="458"/>
      <c r="B35" s="458"/>
      <c r="C35" s="462"/>
      <c r="D35" s="20"/>
      <c r="E35" s="20"/>
      <c r="F35" s="461"/>
      <c r="G35" s="246"/>
      <c r="H35" s="6"/>
      <c r="I35" s="7"/>
    </row>
    <row r="36" spans="1:9" ht="15.75" x14ac:dyDescent="0.25">
      <c r="A36" s="247"/>
      <c r="B36" s="248"/>
      <c r="C36" s="463"/>
      <c r="D36" s="241"/>
      <c r="E36" s="241"/>
      <c r="F36" s="102"/>
      <c r="G36" s="14"/>
      <c r="H36" s="6"/>
      <c r="I36" s="7"/>
    </row>
    <row r="37" spans="1:9" ht="15.75" x14ac:dyDescent="0.25">
      <c r="A37" s="16"/>
      <c r="B37" s="17"/>
      <c r="C37" s="21"/>
      <c r="D37" s="20"/>
      <c r="E37" s="14"/>
      <c r="F37" s="15"/>
      <c r="G37" s="14"/>
      <c r="H37" s="6"/>
      <c r="I37" s="7"/>
    </row>
    <row r="38" spans="1:9" ht="15.75" x14ac:dyDescent="0.25">
      <c r="A38" s="16"/>
      <c r="B38" s="17"/>
      <c r="C38" s="21"/>
      <c r="D38" s="18"/>
      <c r="E38" s="18"/>
      <c r="F38" s="15"/>
      <c r="G38" s="18"/>
      <c r="H38" s="18"/>
      <c r="I38" s="7"/>
    </row>
    <row r="39" spans="1:9" ht="18" thickBot="1" x14ac:dyDescent="0.35">
      <c r="A39" s="22"/>
      <c r="B39" s="23"/>
      <c r="C39" s="24"/>
      <c r="D39" s="24"/>
      <c r="E39" s="25"/>
      <c r="F39" s="26"/>
      <c r="G39" s="24"/>
      <c r="H39" s="24"/>
      <c r="I39" s="27"/>
    </row>
    <row r="40" spans="1:9" ht="18" thickBot="1" x14ac:dyDescent="0.35">
      <c r="A40" s="28"/>
      <c r="B40" s="29"/>
      <c r="C40" s="30"/>
      <c r="D40" s="31" t="s">
        <v>13</v>
      </c>
      <c r="E40" s="32" t="s">
        <v>12</v>
      </c>
      <c r="F40" s="33"/>
      <c r="G40" s="30"/>
      <c r="H40" s="30"/>
      <c r="I40" s="34"/>
    </row>
    <row r="41" spans="1:9" ht="17.25" x14ac:dyDescent="0.3">
      <c r="A41" s="977" t="s">
        <v>11</v>
      </c>
      <c r="B41" s="978"/>
      <c r="C41" s="979"/>
      <c r="D41" s="234">
        <v>1000</v>
      </c>
      <c r="E41" s="249" t="s">
        <v>1</v>
      </c>
      <c r="F41" s="980" t="s">
        <v>10</v>
      </c>
      <c r="G41" s="980"/>
      <c r="H41" s="981"/>
      <c r="I41" s="982"/>
    </row>
    <row r="42" spans="1:9" ht="17.25" x14ac:dyDescent="0.3">
      <c r="A42" s="983" t="s">
        <v>9</v>
      </c>
      <c r="B42" s="984"/>
      <c r="C42" s="985"/>
      <c r="D42" s="251">
        <v>3</v>
      </c>
      <c r="E42" s="251" t="s">
        <v>238</v>
      </c>
      <c r="F42" s="986" t="s">
        <v>7</v>
      </c>
      <c r="G42" s="986"/>
      <c r="H42" s="987"/>
      <c r="I42" s="988"/>
    </row>
    <row r="43" spans="1:9" ht="17.25" x14ac:dyDescent="0.3">
      <c r="A43" s="983" t="s">
        <v>6</v>
      </c>
      <c r="B43" s="984"/>
      <c r="C43" s="985"/>
      <c r="D43" s="251">
        <v>1</v>
      </c>
      <c r="E43" s="251" t="s">
        <v>35</v>
      </c>
      <c r="F43" s="986" t="s">
        <v>5</v>
      </c>
      <c r="G43" s="986"/>
      <c r="H43" s="987"/>
      <c r="I43" s="988"/>
    </row>
    <row r="44" spans="1:9" ht="17.25" x14ac:dyDescent="0.3">
      <c r="A44" s="983" t="s">
        <v>4</v>
      </c>
      <c r="B44" s="984"/>
      <c r="C44" s="985"/>
      <c r="D44" s="236">
        <v>1000</v>
      </c>
      <c r="E44" s="251" t="s">
        <v>1</v>
      </c>
      <c r="F44" s="992" t="s">
        <v>3</v>
      </c>
      <c r="G44" s="993"/>
      <c r="H44" s="994"/>
      <c r="I44" s="995"/>
    </row>
    <row r="45" spans="1:9" ht="18" thickBot="1" x14ac:dyDescent="0.35">
      <c r="A45" s="996" t="s">
        <v>2</v>
      </c>
      <c r="B45" s="997"/>
      <c r="C45" s="998"/>
      <c r="D45" s="252">
        <f>SUM(E10:E11)-D41</f>
        <v>0</v>
      </c>
      <c r="E45" s="253" t="s">
        <v>1</v>
      </c>
      <c r="F45" s="999"/>
      <c r="G45" s="999"/>
      <c r="H45" s="987"/>
      <c r="I45" s="988"/>
    </row>
    <row r="46" spans="1:9" ht="16.5" thickBot="1" x14ac:dyDescent="0.3">
      <c r="A46" s="1000" t="s">
        <v>0</v>
      </c>
      <c r="B46" s="1001"/>
      <c r="C46" s="1001"/>
      <c r="D46" s="1001"/>
      <c r="E46" s="1001"/>
      <c r="F46" s="1001"/>
      <c r="G46" s="1001"/>
      <c r="H46" s="1001"/>
      <c r="I46" s="1002"/>
    </row>
    <row r="47" spans="1:9" ht="15.75" x14ac:dyDescent="0.25">
      <c r="A47" s="989" t="s">
        <v>239</v>
      </c>
      <c r="B47" s="990"/>
      <c r="C47" s="990"/>
      <c r="D47" s="990"/>
      <c r="E47" s="990"/>
      <c r="F47" s="990"/>
      <c r="G47" s="990"/>
      <c r="H47" s="990"/>
      <c r="I47" s="991"/>
    </row>
    <row r="48" spans="1:9" ht="15.75" x14ac:dyDescent="0.25">
      <c r="A48" s="989" t="s">
        <v>240</v>
      </c>
      <c r="B48" s="990"/>
      <c r="C48" s="990"/>
      <c r="D48" s="990"/>
      <c r="E48" s="990"/>
      <c r="F48" s="990"/>
      <c r="G48" s="990"/>
      <c r="H48" s="990"/>
      <c r="I48" s="991"/>
    </row>
    <row r="49" spans="1:9" ht="15.75" x14ac:dyDescent="0.25">
      <c r="A49" s="989" t="s">
        <v>76</v>
      </c>
      <c r="B49" s="990"/>
      <c r="C49" s="990"/>
      <c r="D49" s="990"/>
      <c r="E49" s="990"/>
      <c r="F49" s="990"/>
      <c r="G49" s="990"/>
      <c r="H49" s="990"/>
      <c r="I49" s="991"/>
    </row>
    <row r="50" spans="1:9" ht="15.75" x14ac:dyDescent="0.25">
      <c r="A50" s="989" t="s">
        <v>77</v>
      </c>
      <c r="B50" s="990"/>
      <c r="C50" s="990"/>
      <c r="D50" s="990"/>
      <c r="E50" s="990"/>
      <c r="F50" s="990"/>
      <c r="G50" s="990"/>
      <c r="H50" s="990"/>
      <c r="I50" s="991"/>
    </row>
    <row r="51" spans="1:9" ht="17.25" x14ac:dyDescent="0.3">
      <c r="A51" s="1008"/>
      <c r="B51" s="1009"/>
      <c r="C51" s="1010"/>
      <c r="D51" s="1010"/>
      <c r="E51" s="1010"/>
      <c r="F51" s="1010"/>
      <c r="G51" s="1010"/>
      <c r="H51" s="1010"/>
      <c r="I51" s="1011"/>
    </row>
    <row r="52" spans="1:9" ht="16.5" thickBot="1" x14ac:dyDescent="0.3">
      <c r="A52" s="1012"/>
      <c r="B52" s="1013"/>
      <c r="C52" s="1013"/>
      <c r="D52" s="1013"/>
      <c r="E52" s="1013"/>
      <c r="F52" s="1013"/>
      <c r="G52" s="1013"/>
      <c r="H52" s="1013"/>
      <c r="I52" s="1014"/>
    </row>
    <row r="53" spans="1:9" ht="17.25" x14ac:dyDescent="0.3">
      <c r="A53" s="1015"/>
      <c r="B53" s="1016"/>
      <c r="C53" s="1016"/>
      <c r="D53" s="1016"/>
      <c r="E53" s="1016"/>
      <c r="F53" s="1016"/>
      <c r="G53" s="1016"/>
      <c r="H53" s="1016"/>
      <c r="I53" s="1017"/>
    </row>
    <row r="54" spans="1:9" ht="18" thickBot="1" x14ac:dyDescent="0.35">
      <c r="A54" s="1018"/>
      <c r="B54" s="1019"/>
      <c r="C54" s="1019"/>
      <c r="D54" s="1019"/>
      <c r="E54" s="1019"/>
      <c r="F54" s="1019"/>
      <c r="G54" s="1019"/>
      <c r="H54" s="1019"/>
      <c r="I54" s="1020"/>
    </row>
    <row r="55" spans="1:9" ht="16.5" thickBot="1" x14ac:dyDescent="0.3">
      <c r="A55" s="1003"/>
      <c r="B55" s="1004"/>
      <c r="C55" s="1004"/>
      <c r="D55" s="1004"/>
      <c r="E55" s="1004"/>
      <c r="F55" s="1004"/>
      <c r="G55" s="1004"/>
      <c r="H55" s="1004"/>
      <c r="I55" s="1005"/>
    </row>
    <row r="56" spans="1:9" ht="15.75" x14ac:dyDescent="0.25">
      <c r="A56" s="1006" t="s">
        <v>32</v>
      </c>
      <c r="B56" s="1007"/>
      <c r="C56" s="1007"/>
      <c r="D56" s="1007"/>
      <c r="E56" s="1007"/>
      <c r="F56" s="1007"/>
      <c r="G56" s="1007"/>
      <c r="H56" s="1007"/>
      <c r="I56" s="1007"/>
    </row>
    <row r="57" spans="1:9" ht="17.25" x14ac:dyDescent="0.3">
      <c r="A57" s="769" t="s">
        <v>241</v>
      </c>
      <c r="B57" s="770"/>
      <c r="C57" s="770"/>
      <c r="D57" s="770"/>
      <c r="E57" s="770"/>
      <c r="F57" s="770"/>
      <c r="G57" s="770"/>
      <c r="H57" s="770"/>
      <c r="I57" s="771"/>
    </row>
    <row r="58" spans="1:9" x14ac:dyDescent="0.25">
      <c r="A58" s="821" t="s">
        <v>242</v>
      </c>
      <c r="B58" s="822"/>
      <c r="C58" s="822"/>
      <c r="D58" s="822"/>
      <c r="E58" s="822"/>
      <c r="F58" s="822"/>
      <c r="G58" s="822"/>
      <c r="H58" s="822"/>
      <c r="I58" s="82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19E3-1E9C-433A-8AE8-6E6039257129}">
  <dimension ref="A1:L59"/>
  <sheetViews>
    <sheetView zoomScale="70" zoomScaleNormal="70" workbookViewId="0">
      <selection activeCell="D16" sqref="D16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030"/>
      <c r="B1" s="1031"/>
      <c r="C1" s="1036" t="s">
        <v>30</v>
      </c>
      <c r="D1" s="1036"/>
      <c r="E1" s="1036"/>
      <c r="F1" s="1036"/>
      <c r="G1" s="1036"/>
      <c r="H1" s="464" t="s">
        <v>29</v>
      </c>
      <c r="I1" s="465" t="s">
        <v>243</v>
      </c>
    </row>
    <row r="2" spans="1:12" ht="18" customHeight="1" thickBot="1" x14ac:dyDescent="0.3">
      <c r="A2" s="1032"/>
      <c r="B2" s="1033"/>
      <c r="C2" s="1037" t="s">
        <v>28</v>
      </c>
      <c r="D2" s="1038"/>
      <c r="E2" s="1038"/>
      <c r="F2" s="1038"/>
      <c r="G2" s="1039"/>
      <c r="H2" s="466" t="s">
        <v>27</v>
      </c>
      <c r="I2" s="467" t="s">
        <v>244</v>
      </c>
    </row>
    <row r="3" spans="1:12" ht="31.5" customHeight="1" thickBot="1" x14ac:dyDescent="0.3">
      <c r="A3" s="1032"/>
      <c r="B3" s="1033"/>
      <c r="C3" s="1040" t="s">
        <v>245</v>
      </c>
      <c r="D3" s="1040"/>
      <c r="E3" s="1040"/>
      <c r="F3" s="1040"/>
      <c r="G3" s="1040"/>
      <c r="H3" s="1041" t="s">
        <v>26</v>
      </c>
      <c r="I3" s="1021">
        <v>45659</v>
      </c>
    </row>
    <row r="4" spans="1:12" ht="18" customHeight="1" x14ac:dyDescent="0.25">
      <c r="A4" s="1032"/>
      <c r="B4" s="1033"/>
      <c r="C4" s="468" t="s">
        <v>25</v>
      </c>
      <c r="D4" s="1024" t="s">
        <v>83</v>
      </c>
      <c r="E4" s="1025"/>
      <c r="F4" s="1025"/>
      <c r="G4" s="1026"/>
      <c r="H4" s="1042"/>
      <c r="I4" s="1022"/>
    </row>
    <row r="5" spans="1:12" ht="18.75" thickBot="1" x14ac:dyDescent="0.3">
      <c r="A5" s="1034"/>
      <c r="B5" s="1035"/>
      <c r="C5" s="469" t="s">
        <v>24</v>
      </c>
      <c r="D5" s="1027" t="s">
        <v>84</v>
      </c>
      <c r="E5" s="1028"/>
      <c r="F5" s="1028"/>
      <c r="G5" s="1029"/>
      <c r="H5" s="1043"/>
      <c r="I5" s="1023"/>
    </row>
    <row r="6" spans="1:12" ht="18.75" thickBot="1" x14ac:dyDescent="0.3">
      <c r="A6" s="839" t="s">
        <v>23</v>
      </c>
      <c r="B6" s="839"/>
      <c r="C6" s="839"/>
      <c r="D6" s="1044" t="s">
        <v>246</v>
      </c>
      <c r="E6" s="1044"/>
      <c r="F6" s="1044"/>
      <c r="G6" s="841" t="s">
        <v>22</v>
      </c>
      <c r="H6" s="841"/>
      <c r="I6" s="470" t="s">
        <v>68</v>
      </c>
    </row>
    <row r="7" spans="1:12" ht="36" x14ac:dyDescent="0.25">
      <c r="A7" s="1045" t="s">
        <v>21</v>
      </c>
      <c r="B7" s="1047" t="s">
        <v>31</v>
      </c>
      <c r="C7" s="1049" t="s">
        <v>20</v>
      </c>
      <c r="D7" s="1049" t="s">
        <v>19</v>
      </c>
      <c r="E7" s="1049" t="s">
        <v>18</v>
      </c>
      <c r="F7" s="1049"/>
      <c r="G7" s="1049" t="s">
        <v>17</v>
      </c>
      <c r="H7" s="1049"/>
      <c r="I7" s="471" t="s">
        <v>16</v>
      </c>
    </row>
    <row r="8" spans="1:12" ht="36.75" thickBot="1" x14ac:dyDescent="0.3">
      <c r="A8" s="1046"/>
      <c r="B8" s="1048"/>
      <c r="C8" s="1050"/>
      <c r="D8" s="1050"/>
      <c r="E8" s="472" t="s">
        <v>13</v>
      </c>
      <c r="F8" s="473" t="s">
        <v>15</v>
      </c>
      <c r="G8" s="472" t="s">
        <v>13</v>
      </c>
      <c r="H8" s="473" t="s">
        <v>15</v>
      </c>
      <c r="I8" s="474" t="s">
        <v>14</v>
      </c>
      <c r="L8" s="8"/>
    </row>
    <row r="9" spans="1:12" ht="18.600000000000001" customHeight="1" x14ac:dyDescent="0.3">
      <c r="A9" s="475"/>
      <c r="B9" s="476"/>
      <c r="C9" s="477" t="s">
        <v>34</v>
      </c>
      <c r="D9" s="478"/>
      <c r="E9" s="479"/>
      <c r="F9" s="480"/>
      <c r="G9" s="479"/>
      <c r="H9" s="480"/>
      <c r="I9" s="481"/>
    </row>
    <row r="10" spans="1:12" ht="18" customHeight="1" x14ac:dyDescent="0.3">
      <c r="A10" s="482">
        <v>310148</v>
      </c>
      <c r="B10" s="483" t="s">
        <v>85</v>
      </c>
      <c r="C10" s="484" t="s">
        <v>86</v>
      </c>
      <c r="D10" s="485" t="s">
        <v>87</v>
      </c>
      <c r="E10" s="486">
        <v>16150</v>
      </c>
      <c r="F10" s="487" t="s">
        <v>1</v>
      </c>
      <c r="G10" s="488"/>
      <c r="H10" s="489"/>
      <c r="I10" s="481"/>
      <c r="J10">
        <f>+E10/$D$39</f>
        <v>0.99299053083824285</v>
      </c>
      <c r="K10">
        <f>+J10*1000</f>
        <v>992.99053083824288</v>
      </c>
    </row>
    <row r="11" spans="1:12" ht="18.75" x14ac:dyDescent="0.3">
      <c r="A11" s="485" t="s">
        <v>90</v>
      </c>
      <c r="B11" s="485"/>
      <c r="C11" s="490" t="s">
        <v>91</v>
      </c>
      <c r="D11" s="485" t="s">
        <v>92</v>
      </c>
      <c r="E11" s="486">
        <v>100</v>
      </c>
      <c r="F11" s="487" t="s">
        <v>1</v>
      </c>
      <c r="G11" s="488"/>
      <c r="H11" s="489"/>
      <c r="I11" s="481"/>
      <c r="J11">
        <f t="shared" ref="J11:J13" si="0">+E11/$D$39</f>
        <v>6.1485481785649712E-3</v>
      </c>
      <c r="K11">
        <f t="shared" ref="K11:K13" si="1">+J11*1000</f>
        <v>6.1485481785649716</v>
      </c>
      <c r="L11" s="8">
        <f>SUM(E10:E13)</f>
        <v>16264.002020610224</v>
      </c>
    </row>
    <row r="12" spans="1:12" ht="18.75" x14ac:dyDescent="0.3">
      <c r="A12" s="485">
        <v>1212410</v>
      </c>
      <c r="B12" s="485" t="s">
        <v>93</v>
      </c>
      <c r="C12" s="490" t="s">
        <v>94</v>
      </c>
      <c r="D12" s="485" t="s">
        <v>95</v>
      </c>
      <c r="E12" s="486">
        <v>10.002020610224299</v>
      </c>
      <c r="F12" s="487" t="s">
        <v>1</v>
      </c>
      <c r="G12" s="488"/>
      <c r="H12" s="489"/>
      <c r="I12" s="481"/>
      <c r="J12">
        <f>+E12/$D$39</f>
        <v>6.149790560496392E-4</v>
      </c>
      <c r="K12">
        <f t="shared" si="1"/>
        <v>0.61497905604963921</v>
      </c>
      <c r="L12" s="8">
        <f>L11-230</f>
        <v>16034.002020610224</v>
      </c>
    </row>
    <row r="13" spans="1:12" ht="18.75" x14ac:dyDescent="0.3">
      <c r="A13" s="434">
        <v>10400008</v>
      </c>
      <c r="B13" s="438" t="s">
        <v>234</v>
      </c>
      <c r="C13" s="439" t="s">
        <v>235</v>
      </c>
      <c r="D13" s="228" t="s">
        <v>236</v>
      </c>
      <c r="E13" s="229">
        <v>4</v>
      </c>
      <c r="F13" s="230" t="s">
        <v>1</v>
      </c>
      <c r="G13" s="488"/>
      <c r="H13" s="489"/>
      <c r="I13" s="481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85"/>
      <c r="B14" s="485"/>
      <c r="C14" s="490"/>
      <c r="D14" s="485"/>
      <c r="E14" s="486"/>
      <c r="F14" s="487"/>
      <c r="G14" s="488"/>
      <c r="H14" s="489"/>
      <c r="I14" s="481"/>
    </row>
    <row r="15" spans="1:12" ht="18.75" x14ac:dyDescent="0.3">
      <c r="A15" s="485"/>
      <c r="B15" s="485"/>
      <c r="C15" s="490"/>
      <c r="D15" s="485"/>
      <c r="E15" s="486"/>
      <c r="F15" s="487"/>
      <c r="G15" s="488"/>
      <c r="H15" s="489"/>
      <c r="I15" s="481"/>
    </row>
    <row r="16" spans="1:12" ht="18.75" x14ac:dyDescent="0.3">
      <c r="A16" s="485"/>
      <c r="B16" s="485"/>
      <c r="C16" s="490"/>
      <c r="D16" s="485"/>
      <c r="E16" s="486"/>
      <c r="F16" s="487"/>
      <c r="G16" s="488"/>
      <c r="H16" s="489"/>
      <c r="I16" s="481"/>
    </row>
    <row r="17" spans="1:12" ht="18.75" x14ac:dyDescent="0.3">
      <c r="A17" s="485"/>
      <c r="B17" s="485"/>
      <c r="C17" s="490"/>
      <c r="D17" s="485"/>
      <c r="E17" s="486"/>
      <c r="F17" s="487"/>
      <c r="G17" s="488"/>
      <c r="H17" s="489"/>
      <c r="I17" s="481"/>
      <c r="L17">
        <f>E10/1000</f>
        <v>16.149999999999999</v>
      </c>
    </row>
    <row r="18" spans="1:12" ht="18.75" x14ac:dyDescent="0.3">
      <c r="A18" s="485"/>
      <c r="B18" s="485"/>
      <c r="C18" s="490"/>
      <c r="D18" s="485"/>
      <c r="E18" s="486"/>
      <c r="F18" s="487"/>
      <c r="G18" s="488"/>
      <c r="H18" s="489"/>
      <c r="I18" s="481"/>
    </row>
    <row r="19" spans="1:12" ht="18.75" x14ac:dyDescent="0.3">
      <c r="A19" s="485"/>
      <c r="B19" s="485"/>
      <c r="C19" s="490"/>
      <c r="D19" s="485"/>
      <c r="E19" s="486"/>
      <c r="F19" s="487"/>
      <c r="G19" s="488"/>
      <c r="H19" s="489"/>
      <c r="I19" s="481"/>
    </row>
    <row r="20" spans="1:12" ht="18.75" x14ac:dyDescent="0.3">
      <c r="A20" s="491"/>
      <c r="B20" s="491"/>
      <c r="C20" s="484"/>
      <c r="D20" s="492"/>
      <c r="E20" s="492"/>
      <c r="F20" s="492"/>
      <c r="G20" s="493"/>
      <c r="H20" s="489"/>
      <c r="I20" s="481"/>
    </row>
    <row r="21" spans="1:12" ht="18.75" x14ac:dyDescent="0.3">
      <c r="A21" s="494"/>
      <c r="B21" s="495"/>
      <c r="C21" s="496" t="s">
        <v>68</v>
      </c>
      <c r="D21" s="492"/>
      <c r="E21" s="492"/>
      <c r="F21" s="492"/>
      <c r="G21" s="493"/>
      <c r="H21" s="489"/>
      <c r="I21" s="481"/>
    </row>
    <row r="22" spans="1:12" ht="18.75" x14ac:dyDescent="0.3">
      <c r="A22" s="482"/>
      <c r="B22" s="483"/>
      <c r="C22" s="484"/>
      <c r="D22" s="497"/>
      <c r="E22" s="497"/>
      <c r="F22" s="497"/>
      <c r="G22" s="479"/>
      <c r="H22" s="489"/>
      <c r="I22" s="481"/>
    </row>
    <row r="23" spans="1:12" ht="18.75" x14ac:dyDescent="0.3">
      <c r="A23" s="498"/>
      <c r="B23" s="491"/>
      <c r="C23" s="484"/>
      <c r="D23" s="497"/>
      <c r="E23" s="497"/>
      <c r="F23" s="497"/>
      <c r="G23" s="479"/>
      <c r="H23" s="489"/>
      <c r="I23" s="481"/>
    </row>
    <row r="24" spans="1:12" ht="18.75" x14ac:dyDescent="0.3">
      <c r="A24" s="498"/>
      <c r="B24" s="491"/>
      <c r="C24" s="484"/>
      <c r="D24" s="497"/>
      <c r="E24" s="497"/>
      <c r="F24" s="497"/>
      <c r="G24" s="479"/>
      <c r="H24" s="489"/>
      <c r="I24" s="481"/>
    </row>
    <row r="25" spans="1:12" ht="18.75" x14ac:dyDescent="0.3">
      <c r="A25" s="494"/>
      <c r="B25" s="495"/>
      <c r="C25" s="496"/>
      <c r="D25" s="499"/>
      <c r="E25" s="500"/>
      <c r="F25" s="501"/>
      <c r="G25" s="479"/>
      <c r="H25" s="489"/>
      <c r="I25" s="481"/>
    </row>
    <row r="26" spans="1:12" ht="18.75" x14ac:dyDescent="0.3">
      <c r="A26" s="502"/>
      <c r="B26" s="503"/>
      <c r="C26" s="504"/>
      <c r="D26" s="505"/>
      <c r="E26" s="506"/>
      <c r="F26" s="507"/>
      <c r="G26" s="479"/>
      <c r="H26" s="489"/>
      <c r="I26" s="481"/>
    </row>
    <row r="27" spans="1:12" ht="18.75" x14ac:dyDescent="0.3">
      <c r="A27" s="483"/>
      <c r="B27" s="483"/>
      <c r="C27" s="484"/>
      <c r="D27" s="508"/>
      <c r="E27" s="509"/>
      <c r="F27" s="510"/>
      <c r="G27" s="479"/>
      <c r="H27" s="489"/>
      <c r="I27" s="481"/>
    </row>
    <row r="28" spans="1:12" ht="18.75" x14ac:dyDescent="0.3">
      <c r="A28" s="511"/>
      <c r="B28" s="512"/>
      <c r="C28" s="513" t="s">
        <v>75</v>
      </c>
      <c r="D28" s="514"/>
      <c r="E28" s="515"/>
      <c r="F28" s="480"/>
      <c r="G28" s="479"/>
      <c r="H28" s="489"/>
      <c r="I28" s="481"/>
    </row>
    <row r="29" spans="1:12" ht="18.75" x14ac:dyDescent="0.3">
      <c r="A29" s="516">
        <v>702123</v>
      </c>
      <c r="B29" s="517" t="s">
        <v>38</v>
      </c>
      <c r="C29" s="518" t="s">
        <v>96</v>
      </c>
      <c r="D29" s="492" t="s">
        <v>97</v>
      </c>
      <c r="E29" s="519">
        <v>1</v>
      </c>
      <c r="F29" s="520" t="s">
        <v>41</v>
      </c>
      <c r="G29" s="521"/>
      <c r="H29" s="489"/>
      <c r="I29" s="481"/>
    </row>
    <row r="30" spans="1:12" ht="18.75" x14ac:dyDescent="0.3">
      <c r="A30" s="516"/>
      <c r="B30" s="517"/>
      <c r="C30" s="518"/>
      <c r="D30" s="492"/>
      <c r="E30" s="519"/>
      <c r="F30" s="520"/>
      <c r="G30" s="521"/>
      <c r="H30" s="489"/>
      <c r="I30" s="481"/>
    </row>
    <row r="31" spans="1:12" ht="18.75" x14ac:dyDescent="0.3">
      <c r="A31" s="522"/>
      <c r="B31" s="523"/>
      <c r="C31" s="524"/>
      <c r="D31" s="492"/>
      <c r="E31" s="519"/>
      <c r="F31" s="520"/>
      <c r="G31" s="521"/>
      <c r="H31" s="489"/>
      <c r="I31" s="481"/>
    </row>
    <row r="32" spans="1:12" ht="18.75" x14ac:dyDescent="0.3">
      <c r="A32" s="525"/>
      <c r="B32" s="525"/>
      <c r="C32" s="526"/>
      <c r="D32" s="492"/>
      <c r="E32" s="519"/>
      <c r="F32" s="520"/>
      <c r="G32" s="479"/>
      <c r="H32" s="489"/>
      <c r="I32" s="481"/>
    </row>
    <row r="33" spans="1:9" ht="18.75" x14ac:dyDescent="0.3">
      <c r="A33" s="525"/>
      <c r="B33" s="525"/>
      <c r="C33" s="526"/>
      <c r="D33" s="492"/>
      <c r="E33" s="519"/>
      <c r="F33" s="520"/>
      <c r="G33" s="479"/>
      <c r="H33" s="489"/>
      <c r="I33" s="481"/>
    </row>
    <row r="34" spans="1:9" ht="18.75" x14ac:dyDescent="0.3">
      <c r="A34" s="525"/>
      <c r="B34" s="525"/>
      <c r="C34" s="526"/>
      <c r="D34" s="492"/>
      <c r="E34" s="519"/>
      <c r="F34" s="520"/>
      <c r="G34" s="527"/>
      <c r="H34" s="489"/>
      <c r="I34" s="481"/>
    </row>
    <row r="35" spans="1:9" ht="18.75" x14ac:dyDescent="0.3">
      <c r="A35" s="525"/>
      <c r="B35" s="525"/>
      <c r="C35" s="526"/>
      <c r="D35" s="492"/>
      <c r="E35" s="519"/>
      <c r="F35" s="520"/>
      <c r="G35" s="528"/>
      <c r="H35" s="489"/>
      <c r="I35" s="481"/>
    </row>
    <row r="36" spans="1:9" ht="18.75" x14ac:dyDescent="0.3">
      <c r="A36" s="529"/>
      <c r="B36" s="529"/>
      <c r="C36" s="530"/>
      <c r="D36" s="492"/>
      <c r="E36" s="510"/>
      <c r="F36" s="510"/>
      <c r="G36" s="528"/>
      <c r="H36" s="489"/>
      <c r="I36" s="481"/>
    </row>
    <row r="37" spans="1:9" ht="18.75" thickBot="1" x14ac:dyDescent="0.3">
      <c r="A37" s="531"/>
      <c r="B37" s="532"/>
      <c r="C37" s="533" t="s">
        <v>124</v>
      </c>
      <c r="D37" s="533"/>
      <c r="E37" s="534"/>
      <c r="F37" s="535"/>
      <c r="G37" s="533"/>
      <c r="H37" s="533"/>
      <c r="I37" s="536"/>
    </row>
    <row r="38" spans="1:9" ht="18.75" thickBot="1" x14ac:dyDescent="0.3">
      <c r="A38" s="537"/>
      <c r="B38" s="538"/>
      <c r="C38" s="539" t="s">
        <v>124</v>
      </c>
      <c r="D38" s="540" t="s">
        <v>13</v>
      </c>
      <c r="E38" s="541" t="s">
        <v>12</v>
      </c>
      <c r="F38" s="542"/>
      <c r="G38" s="539"/>
      <c r="H38" s="539"/>
      <c r="I38" s="543"/>
    </row>
    <row r="39" spans="1:9" ht="18" x14ac:dyDescent="0.25">
      <c r="A39" s="1051" t="s">
        <v>11</v>
      </c>
      <c r="B39" s="1052"/>
      <c r="C39" s="1053"/>
      <c r="D39" s="544">
        <f>SUM(E10:E13)</f>
        <v>16264.002020610224</v>
      </c>
      <c r="E39" s="545" t="s">
        <v>1</v>
      </c>
      <c r="F39" s="1054" t="s">
        <v>10</v>
      </c>
      <c r="G39" s="1054"/>
      <c r="H39" s="1055"/>
      <c r="I39" s="1056"/>
    </row>
    <row r="40" spans="1:9" ht="18" x14ac:dyDescent="0.25">
      <c r="A40" s="1057" t="s">
        <v>9</v>
      </c>
      <c r="B40" s="1058"/>
      <c r="C40" s="1059"/>
      <c r="D40" s="493">
        <v>15</v>
      </c>
      <c r="E40" s="493" t="s">
        <v>8</v>
      </c>
      <c r="F40" s="1060" t="s">
        <v>7</v>
      </c>
      <c r="G40" s="1060"/>
      <c r="H40" s="1061"/>
      <c r="I40" s="1062"/>
    </row>
    <row r="41" spans="1:9" ht="18" x14ac:dyDescent="0.25">
      <c r="A41" s="1057" t="s">
        <v>6</v>
      </c>
      <c r="B41" s="1058"/>
      <c r="C41" s="1059"/>
      <c r="D41" s="509">
        <v>1</v>
      </c>
      <c r="E41" s="493" t="s">
        <v>35</v>
      </c>
      <c r="F41" s="1060" t="s">
        <v>5</v>
      </c>
      <c r="G41" s="1060"/>
      <c r="H41" s="1061"/>
      <c r="I41" s="1062"/>
    </row>
    <row r="42" spans="1:9" ht="18" x14ac:dyDescent="0.25">
      <c r="A42" s="1057" t="s">
        <v>4</v>
      </c>
      <c r="B42" s="1058"/>
      <c r="C42" s="1059"/>
      <c r="D42" s="509">
        <v>16263</v>
      </c>
      <c r="E42" s="493" t="s">
        <v>1</v>
      </c>
      <c r="F42" s="1063" t="s">
        <v>3</v>
      </c>
      <c r="G42" s="1064"/>
      <c r="H42" s="1065"/>
      <c r="I42" s="1066"/>
    </row>
    <row r="43" spans="1:9" ht="18.75" thickBot="1" x14ac:dyDescent="0.3">
      <c r="A43" s="1068" t="s">
        <v>2</v>
      </c>
      <c r="B43" s="1069"/>
      <c r="C43" s="1070"/>
      <c r="D43" s="546">
        <f>SUM(E10:E13)-D39</f>
        <v>0</v>
      </c>
      <c r="E43" s="547" t="s">
        <v>1</v>
      </c>
      <c r="F43" s="1071"/>
      <c r="G43" s="1071"/>
      <c r="H43" s="1061"/>
      <c r="I43" s="1062"/>
    </row>
    <row r="44" spans="1:9" ht="18.75" thickBot="1" x14ac:dyDescent="0.3">
      <c r="A44" s="1072" t="s">
        <v>0</v>
      </c>
      <c r="B44" s="1073"/>
      <c r="C44" s="1073"/>
      <c r="D44" s="1073"/>
      <c r="E44" s="1073"/>
      <c r="F44" s="1073"/>
      <c r="G44" s="1073"/>
      <c r="H44" s="1073"/>
      <c r="I44" s="1074"/>
    </row>
    <row r="45" spans="1:9" ht="14.65" customHeight="1" x14ac:dyDescent="0.3">
      <c r="A45" s="1075" t="s">
        <v>247</v>
      </c>
      <c r="B45" s="1076"/>
      <c r="C45" s="1076"/>
      <c r="D45" s="1076"/>
      <c r="E45" s="1076"/>
      <c r="F45" s="1076"/>
      <c r="G45" s="1076"/>
      <c r="H45" s="1076"/>
      <c r="I45" s="1077"/>
    </row>
    <row r="46" spans="1:9" ht="23.65" customHeight="1" x14ac:dyDescent="0.3">
      <c r="A46" s="1075" t="s">
        <v>248</v>
      </c>
      <c r="B46" s="1076"/>
      <c r="C46" s="1076"/>
      <c r="D46" s="1076"/>
      <c r="E46" s="1076"/>
      <c r="F46" s="1076"/>
      <c r="G46" s="1076"/>
      <c r="H46" s="1076"/>
      <c r="I46" s="1077"/>
    </row>
    <row r="47" spans="1:9" ht="18" customHeight="1" x14ac:dyDescent="0.3">
      <c r="A47" s="1075" t="s">
        <v>249</v>
      </c>
      <c r="B47" s="1076"/>
      <c r="C47" s="1076"/>
      <c r="D47" s="1076"/>
      <c r="E47" s="1076"/>
      <c r="F47" s="1076"/>
      <c r="G47" s="1076"/>
      <c r="H47" s="1076"/>
      <c r="I47" s="1077"/>
    </row>
    <row r="48" spans="1:9" ht="24" customHeight="1" x14ac:dyDescent="0.3">
      <c r="A48" s="1078" t="s">
        <v>250</v>
      </c>
      <c r="B48" s="1079"/>
      <c r="C48" s="1079"/>
      <c r="D48" s="1079"/>
      <c r="E48" s="1079"/>
      <c r="F48" s="1079"/>
      <c r="G48" s="1079"/>
      <c r="H48" s="1079"/>
      <c r="I48" s="1080"/>
    </row>
    <row r="49" spans="1:9" ht="23.65" customHeight="1" x14ac:dyDescent="0.3">
      <c r="A49" s="1075" t="s">
        <v>251</v>
      </c>
      <c r="B49" s="1076"/>
      <c r="C49" s="1076"/>
      <c r="D49" s="1076"/>
      <c r="E49" s="1076"/>
      <c r="F49" s="1076"/>
      <c r="G49" s="1076"/>
      <c r="H49" s="1076"/>
      <c r="I49" s="1077"/>
    </row>
    <row r="50" spans="1:9" ht="23.65" customHeight="1" x14ac:dyDescent="0.3">
      <c r="A50" s="1075" t="s">
        <v>252</v>
      </c>
      <c r="B50" s="1076"/>
      <c r="C50" s="1076"/>
      <c r="D50" s="1076"/>
      <c r="E50" s="1076"/>
      <c r="F50" s="1076"/>
      <c r="G50" s="1076"/>
      <c r="H50" s="1076"/>
      <c r="I50" s="1077"/>
    </row>
    <row r="51" spans="1:9" ht="14.65" customHeight="1" x14ac:dyDescent="0.25">
      <c r="A51" s="1067"/>
      <c r="B51" s="1067"/>
      <c r="C51" s="1067"/>
      <c r="D51" s="1067"/>
      <c r="E51" s="1067"/>
      <c r="F51" s="1067"/>
      <c r="G51" s="1067"/>
      <c r="H51" s="1067"/>
      <c r="I51" s="1067"/>
    </row>
    <row r="52" spans="1:9" ht="14.65" customHeight="1" x14ac:dyDescent="0.25">
      <c r="A52" s="1067"/>
      <c r="B52" s="1067"/>
      <c r="C52" s="1067"/>
      <c r="D52" s="1067"/>
      <c r="E52" s="1067"/>
      <c r="F52" s="1067"/>
      <c r="G52" s="1067"/>
      <c r="H52" s="1067"/>
      <c r="I52" s="1067"/>
    </row>
    <row r="53" spans="1:9" ht="18" customHeight="1" x14ac:dyDescent="0.25">
      <c r="A53" s="1067"/>
      <c r="B53" s="1067"/>
      <c r="C53" s="1067"/>
      <c r="D53" s="1067"/>
      <c r="E53" s="1067"/>
      <c r="F53" s="1067"/>
      <c r="G53" s="1067"/>
      <c r="H53" s="1067"/>
      <c r="I53" s="1067"/>
    </row>
    <row r="54" spans="1:9" ht="14.65" customHeight="1" x14ac:dyDescent="0.25">
      <c r="A54" s="1067"/>
      <c r="B54" s="1067"/>
      <c r="C54" s="1067"/>
      <c r="D54" s="1067"/>
      <c r="E54" s="1067"/>
      <c r="F54" s="1067"/>
      <c r="G54" s="1067"/>
      <c r="H54" s="1067"/>
      <c r="I54" s="1067"/>
    </row>
    <row r="55" spans="1:9" ht="14.65" customHeight="1" thickBot="1" x14ac:dyDescent="0.3">
      <c r="A55" s="1081"/>
      <c r="B55" s="1082"/>
      <c r="C55" s="1082"/>
      <c r="D55" s="1082"/>
      <c r="E55" s="1082"/>
      <c r="F55" s="1082"/>
      <c r="G55" s="1082"/>
      <c r="H55" s="1082"/>
      <c r="I55" s="1083"/>
    </row>
    <row r="56" spans="1:9" ht="14.65" customHeight="1" x14ac:dyDescent="0.25">
      <c r="A56" s="1084" t="s">
        <v>32</v>
      </c>
      <c r="B56" s="1085"/>
      <c r="C56" s="1085"/>
      <c r="D56" s="1085"/>
      <c r="E56" s="1085"/>
      <c r="F56" s="1085"/>
      <c r="G56" s="1085"/>
      <c r="H56" s="1085"/>
      <c r="I56" s="1085"/>
    </row>
    <row r="57" spans="1:9" ht="18" x14ac:dyDescent="0.25">
      <c r="A57" s="1086" t="s">
        <v>253</v>
      </c>
      <c r="B57" s="1086"/>
      <c r="C57" s="1086"/>
      <c r="D57" s="1086"/>
      <c r="E57" s="1086"/>
      <c r="F57" s="1086"/>
      <c r="G57" s="1086"/>
      <c r="H57" s="1086"/>
      <c r="I57" s="1086"/>
    </row>
    <row r="58" spans="1:9" ht="18" x14ac:dyDescent="0.25">
      <c r="A58" s="1027" t="s">
        <v>254</v>
      </c>
      <c r="B58" s="1028"/>
      <c r="C58" s="1028"/>
      <c r="D58" s="1028"/>
      <c r="E58" s="1028"/>
      <c r="F58" s="1028"/>
      <c r="G58" s="1028"/>
      <c r="H58" s="1028"/>
      <c r="I58" s="1029"/>
    </row>
    <row r="59" spans="1:9" ht="18" x14ac:dyDescent="0.25">
      <c r="A59" s="1027" t="s">
        <v>255</v>
      </c>
      <c r="B59" s="1028"/>
      <c r="C59" s="1028"/>
      <c r="D59" s="1028"/>
      <c r="E59" s="1028"/>
      <c r="F59" s="1028"/>
      <c r="G59" s="1028"/>
      <c r="H59" s="1028"/>
      <c r="I59" s="1029"/>
    </row>
  </sheetData>
  <mergeCells count="48">
    <mergeCell ref="A59:I59"/>
    <mergeCell ref="A53:I53"/>
    <mergeCell ref="A54:I54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4CB7-8E72-42B2-8A5F-654958F07C0F}">
  <dimension ref="A1:Q91"/>
  <sheetViews>
    <sheetView workbookViewId="0">
      <selection activeCell="B66" sqref="B66:E66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7109375" style="699" customWidth="1"/>
    <col min="8" max="8" width="10.42578125" style="690" bestFit="1" customWidth="1"/>
    <col min="9" max="9" width="4.5703125" style="690" customWidth="1"/>
    <col min="10" max="10" width="1.71093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275</v>
      </c>
      <c r="F1" s="614" t="s">
        <v>276</v>
      </c>
      <c r="G1" s="614" t="s">
        <v>277</v>
      </c>
      <c r="H1" s="614" t="s">
        <v>278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IFERROR(O62,"")</f>
        <v>2901.5753246753247</v>
      </c>
      <c r="F2" s="618">
        <f>IFERROR(H53,"")</f>
        <v>2446.9</v>
      </c>
      <c r="G2" s="618">
        <f>IFERROR(H54,"")</f>
        <v>10</v>
      </c>
      <c r="H2" s="618">
        <f>IFERROR(H56,"")</f>
        <v>214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810"/>
      <c r="B4" s="810"/>
      <c r="C4" s="810"/>
      <c r="D4" s="810"/>
      <c r="E4" s="810"/>
      <c r="F4" s="810"/>
      <c r="G4" s="810"/>
      <c r="H4" s="810"/>
      <c r="I4" s="621"/>
    </row>
    <row r="5" spans="1:10" ht="19.5" customHeight="1" thickBot="1" x14ac:dyDescent="0.3">
      <c r="A5" s="811" t="s">
        <v>279</v>
      </c>
      <c r="B5" s="812"/>
      <c r="C5" s="812"/>
      <c r="D5" s="812"/>
      <c r="E5" s="812"/>
      <c r="F5" s="812"/>
      <c r="G5" s="812"/>
      <c r="H5" s="813"/>
      <c r="I5" s="622"/>
    </row>
    <row r="6" spans="1:10" ht="19.5" thickBot="1" x14ac:dyDescent="0.3">
      <c r="A6" s="622"/>
      <c r="B6" s="622"/>
      <c r="C6" s="622"/>
      <c r="D6" s="622"/>
      <c r="E6" s="622"/>
      <c r="F6" s="814" t="s">
        <v>280</v>
      </c>
      <c r="G6" s="814"/>
      <c r="H6" s="623">
        <f ca="1">TODAY()</f>
        <v>46139</v>
      </c>
      <c r="I6" s="623"/>
    </row>
    <row r="7" spans="1:10" ht="26.25" thickBot="1" x14ac:dyDescent="0.3">
      <c r="A7" s="624" t="s">
        <v>281</v>
      </c>
      <c r="B7" s="625" t="s">
        <v>282</v>
      </c>
      <c r="C7" s="625" t="s">
        <v>281</v>
      </c>
      <c r="D7" s="626" t="s">
        <v>283</v>
      </c>
      <c r="E7" s="626" t="s">
        <v>284</v>
      </c>
      <c r="F7" s="626" t="s">
        <v>285</v>
      </c>
      <c r="G7" s="626" t="s">
        <v>286</v>
      </c>
      <c r="H7" s="627" t="s">
        <v>287</v>
      </c>
      <c r="I7" s="628"/>
    </row>
    <row r="8" spans="1:10" ht="13.5" x14ac:dyDescent="0.25">
      <c r="A8" s="629">
        <v>15</v>
      </c>
      <c r="B8" s="617" t="str">
        <f>IFERROR(VLOOKUP(H8,'[1]Consolidado MP Planta'!$A$2:$M$823,3,0),"")</f>
        <v>COLORANTE GEL SUPER RED</v>
      </c>
      <c r="C8" s="630">
        <f>+A8</f>
        <v>15</v>
      </c>
      <c r="D8" s="631" t="str">
        <f>IFERROR(VLOOKUP(H8,'[1]Consolidado MP Planta'!$A$2:$M$823,13,0),"")</f>
        <v>Mililitros</v>
      </c>
      <c r="E8" s="631">
        <v>18.46</v>
      </c>
      <c r="F8" s="631">
        <f>IFERROR(C8*E8,"")</f>
        <v>276.90000000000003</v>
      </c>
      <c r="G8" s="632">
        <f t="shared" ref="G8:G14" si="0">IFERROR(F8/$F$66,"")</f>
        <v>0.10410408453447165</v>
      </c>
      <c r="H8" s="633" t="s">
        <v>72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281</v>
      </c>
      <c r="B16" s="625" t="s">
        <v>288</v>
      </c>
      <c r="C16" s="625" t="s">
        <v>281</v>
      </c>
      <c r="D16" s="626" t="s">
        <v>283</v>
      </c>
      <c r="E16" s="626" t="s">
        <v>284</v>
      </c>
      <c r="F16" s="626" t="s">
        <v>285</v>
      </c>
      <c r="G16" s="626" t="s">
        <v>286</v>
      </c>
      <c r="H16" s="627" t="s">
        <v>287</v>
      </c>
      <c r="I16" s="628"/>
      <c r="J16" s="634"/>
    </row>
    <row r="17" spans="1:12" ht="13.5" x14ac:dyDescent="0.25">
      <c r="A17" s="629">
        <v>1000</v>
      </c>
      <c r="B17" s="617" t="s">
        <v>71</v>
      </c>
      <c r="C17" s="630">
        <f>+A17</f>
        <v>1000</v>
      </c>
      <c r="D17" s="630" t="s">
        <v>327</v>
      </c>
      <c r="E17" s="631">
        <v>2.17</v>
      </c>
      <c r="F17" s="631">
        <f>IFERROR(E17*C17,"")</f>
        <v>2170</v>
      </c>
      <c r="G17" s="632">
        <f t="shared" ref="G17:G24" si="3">IFERROR(F17/$F$66,"")</f>
        <v>0.81583916012930102</v>
      </c>
      <c r="H17" s="633" t="s">
        <v>70</v>
      </c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281</v>
      </c>
      <c r="B26" s="625" t="s">
        <v>37</v>
      </c>
      <c r="C26" s="625" t="s">
        <v>281</v>
      </c>
      <c r="D26" s="626" t="s">
        <v>283</v>
      </c>
      <c r="E26" s="626" t="s">
        <v>284</v>
      </c>
      <c r="F26" s="626" t="s">
        <v>285</v>
      </c>
      <c r="G26" s="626" t="s">
        <v>286</v>
      </c>
      <c r="H26" s="627" t="s">
        <v>287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804"/>
      <c r="L27" s="804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804"/>
      <c r="L28" s="804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804"/>
      <c r="L29" s="804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804"/>
      <c r="L30" s="804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thickBot="1" x14ac:dyDescent="0.25">
      <c r="A34" s="624" t="s">
        <v>281</v>
      </c>
      <c r="B34" s="625" t="s">
        <v>289</v>
      </c>
      <c r="C34" s="625" t="s">
        <v>281</v>
      </c>
      <c r="D34" s="626" t="s">
        <v>283</v>
      </c>
      <c r="E34" s="626" t="s">
        <v>284</v>
      </c>
      <c r="F34" s="626" t="s">
        <v>285</v>
      </c>
      <c r="G34" s="626" t="s">
        <v>286</v>
      </c>
      <c r="H34" s="627" t="s">
        <v>287</v>
      </c>
      <c r="I34" s="636"/>
      <c r="J34" s="634"/>
    </row>
    <row r="35" spans="1:13" ht="13.5" x14ac:dyDescent="0.25">
      <c r="A35" s="629">
        <f>+A17</f>
        <v>1000</v>
      </c>
      <c r="B35" s="635" t="s">
        <v>71</v>
      </c>
      <c r="C35" s="630">
        <f>+A35</f>
        <v>1000</v>
      </c>
      <c r="D35" s="631" t="s">
        <v>327</v>
      </c>
      <c r="E35" s="631">
        <v>0.01</v>
      </c>
      <c r="F35" s="631">
        <f>IFERROR(E35*C35,"")</f>
        <v>10</v>
      </c>
      <c r="G35" s="632">
        <f t="shared" ref="G35:G41" si="9">IFERROR(F35/$F$66,"")</f>
        <v>3.7596274660336455E-3</v>
      </c>
      <c r="H35" s="633" t="s">
        <v>70</v>
      </c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281</v>
      </c>
      <c r="B43" s="625" t="s">
        <v>290</v>
      </c>
      <c r="C43" s="625" t="s">
        <v>281</v>
      </c>
      <c r="D43" s="626" t="s">
        <v>283</v>
      </c>
      <c r="E43" s="626" t="s">
        <v>284</v>
      </c>
      <c r="F43" s="626" t="s">
        <v>285</v>
      </c>
      <c r="G43" s="626" t="s">
        <v>286</v>
      </c>
      <c r="H43" s="627" t="s">
        <v>287</v>
      </c>
      <c r="I43" s="628"/>
      <c r="J43" s="634"/>
    </row>
    <row r="44" spans="1:13" ht="13.5" x14ac:dyDescent="0.25">
      <c r="A44" s="629">
        <f>+A35</f>
        <v>1000</v>
      </c>
      <c r="B44" s="635" t="s">
        <v>71</v>
      </c>
      <c r="C44" s="630">
        <f>+A44</f>
        <v>1000</v>
      </c>
      <c r="D44" s="631" t="s">
        <v>327</v>
      </c>
      <c r="E44" s="631">
        <v>0.06</v>
      </c>
      <c r="F44" s="631">
        <f>IFERROR(E44*C44,"")</f>
        <v>60</v>
      </c>
      <c r="G44" s="632">
        <f>IFERROR(F44/$F$66,"")</f>
        <v>2.2557764796201873E-2</v>
      </c>
      <c r="H44" s="633" t="s">
        <v>70</v>
      </c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291</v>
      </c>
      <c r="C51" s="630">
        <f>+A51</f>
        <v>1</v>
      </c>
      <c r="D51" s="630" t="s">
        <v>292</v>
      </c>
      <c r="E51" s="631">
        <f>+F65</f>
        <v>154</v>
      </c>
      <c r="F51" s="631">
        <f>IFERROR(C51*E51,"")</f>
        <v>154</v>
      </c>
      <c r="G51" s="632">
        <f>IFERROR(F51/$F$66,"")</f>
        <v>5.7898262976918136E-2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805" t="s">
        <v>293</v>
      </c>
      <c r="C53" s="805"/>
      <c r="D53" s="805"/>
      <c r="E53" s="805"/>
      <c r="F53" s="643">
        <f>SUM(F8:F14,F17:F24)</f>
        <v>2446.9</v>
      </c>
      <c r="G53" s="632">
        <f>+F53/$F$66</f>
        <v>0.91994324466377275</v>
      </c>
      <c r="H53" s="644">
        <f>+F53/$D$60</f>
        <v>2446.9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805" t="s">
        <v>294</v>
      </c>
      <c r="C54" s="805"/>
      <c r="D54" s="805"/>
      <c r="E54" s="805"/>
      <c r="F54" s="643">
        <f>SUM(F27:F32,F35:F41)</f>
        <v>10</v>
      </c>
      <c r="G54" s="632">
        <f>+F54/$F$66</f>
        <v>3.7596274660336455E-3</v>
      </c>
      <c r="H54" s="644">
        <f>+F54/$D$60</f>
        <v>10</v>
      </c>
      <c r="I54" s="644"/>
      <c r="J54" s="648"/>
      <c r="K54" s="806" t="s">
        <v>295</v>
      </c>
      <c r="L54" s="807"/>
      <c r="M54" s="807"/>
      <c r="N54" s="807"/>
      <c r="O54" s="649">
        <f>+F55</f>
        <v>2456.9</v>
      </c>
      <c r="P54" s="649"/>
      <c r="Q54" s="650"/>
    </row>
    <row r="55" spans="1:17" x14ac:dyDescent="0.2">
      <c r="A55" s="641"/>
      <c r="B55" s="805" t="s">
        <v>296</v>
      </c>
      <c r="C55" s="805"/>
      <c r="D55" s="805"/>
      <c r="E55" s="805"/>
      <c r="F55" s="643">
        <f>+F53+F54</f>
        <v>2456.9</v>
      </c>
      <c r="G55" s="632">
        <f>+F55/$F$66</f>
        <v>0.9237028721298064</v>
      </c>
      <c r="H55" s="644">
        <f>+F55/$D$60</f>
        <v>2456.9</v>
      </c>
      <c r="I55" s="644"/>
      <c r="J55" s="651"/>
      <c r="K55" s="652"/>
      <c r="M55" s="653" t="s">
        <v>297</v>
      </c>
      <c r="N55" s="654"/>
      <c r="O55" s="649">
        <f>+H56</f>
        <v>214</v>
      </c>
      <c r="P55" s="649"/>
      <c r="Q55" s="650"/>
    </row>
    <row r="56" spans="1:17" ht="13.5" thickBot="1" x14ac:dyDescent="0.25">
      <c r="A56" s="641"/>
      <c r="B56" s="642"/>
      <c r="C56" s="805" t="s">
        <v>298</v>
      </c>
      <c r="D56" s="805"/>
      <c r="E56" s="805"/>
      <c r="F56" s="643">
        <f>SUM(F44:F51)</f>
        <v>214</v>
      </c>
      <c r="G56" s="632">
        <f>+F56/$F$66</f>
        <v>8.0456027773120012E-2</v>
      </c>
      <c r="H56" s="644">
        <f>+F56/$D$60</f>
        <v>214</v>
      </c>
      <c r="I56" s="644"/>
      <c r="J56" s="651"/>
      <c r="K56" s="652"/>
      <c r="L56" s="652"/>
      <c r="M56" s="652" t="s">
        <v>299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300</v>
      </c>
      <c r="N57" s="661"/>
      <c r="O57" s="662">
        <f>SUM(O54:O56)</f>
        <v>2670.9</v>
      </c>
      <c r="P57" s="663"/>
      <c r="Q57" s="650"/>
    </row>
    <row r="58" spans="1:17" x14ac:dyDescent="0.2">
      <c r="B58" s="808" t="s">
        <v>301</v>
      </c>
      <c r="C58" s="808"/>
      <c r="D58" s="664">
        <v>1000</v>
      </c>
      <c r="E58" s="665"/>
      <c r="G58" s="632"/>
      <c r="H58" s="658">
        <f>+H56/77</f>
        <v>2.779220779220779</v>
      </c>
      <c r="I58" s="666"/>
      <c r="J58" s="651"/>
      <c r="K58" s="659"/>
      <c r="L58" s="652"/>
      <c r="M58" s="652" t="s">
        <v>302</v>
      </c>
      <c r="N58" s="667"/>
      <c r="O58" s="649">
        <f>+H59</f>
        <v>230.67532467532465</v>
      </c>
      <c r="P58" s="649"/>
      <c r="Q58" s="650"/>
    </row>
    <row r="59" spans="1:17" x14ac:dyDescent="0.2">
      <c r="B59" s="808" t="s">
        <v>303</v>
      </c>
      <c r="C59" s="808"/>
      <c r="D59" s="668">
        <v>1000</v>
      </c>
      <c r="E59" s="665"/>
      <c r="G59" s="632"/>
      <c r="H59" s="658">
        <f>+H58*83</f>
        <v>230.67532467532465</v>
      </c>
      <c r="I59" s="666"/>
      <c r="J59" s="651"/>
      <c r="K59" s="659"/>
      <c r="L59" s="652"/>
      <c r="M59" s="809" t="s">
        <v>300</v>
      </c>
      <c r="N59" s="809"/>
      <c r="O59" s="649">
        <f>SUM(O57:O58)</f>
        <v>2901.5753246753247</v>
      </c>
      <c r="P59" s="649"/>
      <c r="Q59" s="650"/>
    </row>
    <row r="60" spans="1:17" ht="13.5" thickBot="1" x14ac:dyDescent="0.25">
      <c r="B60" s="800" t="s">
        <v>304</v>
      </c>
      <c r="C60" s="800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809"/>
      <c r="M60" s="809"/>
      <c r="N60" s="667"/>
      <c r="O60" s="649">
        <f>+O59*N60</f>
        <v>0</v>
      </c>
      <c r="P60" s="649"/>
      <c r="Q60" s="650"/>
    </row>
    <row r="61" spans="1:17" ht="13.5" thickBot="1" x14ac:dyDescent="0.25">
      <c r="B61" s="800" t="s">
        <v>305</v>
      </c>
      <c r="C61" s="800"/>
      <c r="D61" s="670"/>
      <c r="E61" s="665"/>
      <c r="F61" s="669"/>
      <c r="G61" s="632"/>
      <c r="H61" s="658"/>
      <c r="I61" s="666"/>
      <c r="J61" s="651"/>
      <c r="K61" s="801" t="s">
        <v>306</v>
      </c>
      <c r="L61" s="802"/>
      <c r="M61" s="802"/>
      <c r="N61" s="803"/>
      <c r="O61" s="662">
        <f>SUM(O59:O60)</f>
        <v>2901.5753246753247</v>
      </c>
      <c r="P61" s="671" t="s">
        <v>307</v>
      </c>
      <c r="Q61" s="650"/>
    </row>
    <row r="62" spans="1:17" ht="13.5" thickBot="1" x14ac:dyDescent="0.25">
      <c r="C62" s="641" t="s">
        <v>308</v>
      </c>
      <c r="D62" s="672"/>
      <c r="E62" s="615" t="s">
        <v>309</v>
      </c>
      <c r="F62" s="673" t="s">
        <v>310</v>
      </c>
      <c r="G62" s="632"/>
      <c r="H62" s="658"/>
      <c r="I62" s="666"/>
      <c r="J62" s="674"/>
      <c r="K62" s="675"/>
      <c r="L62" s="789" t="s">
        <v>311</v>
      </c>
      <c r="M62" s="789"/>
      <c r="N62" s="789"/>
      <c r="O62" s="676">
        <f>+O61/D60</f>
        <v>2901.5753246753247</v>
      </c>
      <c r="P62" s="677">
        <f>+O62/D59</f>
        <v>2.9015753246753246</v>
      </c>
      <c r="Q62" s="678"/>
    </row>
    <row r="63" spans="1:17" ht="13.5" thickBot="1" x14ac:dyDescent="0.25">
      <c r="B63" s="790" t="s">
        <v>296</v>
      </c>
      <c r="C63" s="790"/>
      <c r="D63" s="790"/>
      <c r="E63" s="679">
        <f>+F63/F63</f>
        <v>1</v>
      </c>
      <c r="F63" s="680">
        <f>SUM(F55)</f>
        <v>2456.9</v>
      </c>
      <c r="G63" s="632">
        <f>+F63/$F$66</f>
        <v>0.9237028721298064</v>
      </c>
      <c r="H63" s="658"/>
      <c r="I63" s="666"/>
      <c r="K63" s="791"/>
      <c r="L63" s="792"/>
      <c r="M63" s="792"/>
      <c r="N63" s="792"/>
      <c r="O63" s="681"/>
      <c r="P63" s="682"/>
    </row>
    <row r="64" spans="1:17" ht="13.5" thickBot="1" x14ac:dyDescent="0.3">
      <c r="B64" s="793" t="s">
        <v>312</v>
      </c>
      <c r="C64" s="793"/>
      <c r="D64" s="793"/>
      <c r="E64" s="683">
        <v>0.02</v>
      </c>
      <c r="F64" s="680">
        <f>+F53*E64</f>
        <v>48.938000000000002</v>
      </c>
      <c r="G64" s="632">
        <f>+F64/$F$66</f>
        <v>1.8398864893275454E-2</v>
      </c>
      <c r="H64" s="644"/>
      <c r="I64" s="666"/>
      <c r="J64" s="684"/>
      <c r="O64" s="685"/>
      <c r="P64" s="642"/>
    </row>
    <row r="65" spans="2:13" ht="13.5" thickBot="1" x14ac:dyDescent="0.3">
      <c r="B65" s="794" t="s">
        <v>313</v>
      </c>
      <c r="C65" s="795"/>
      <c r="D65" s="686">
        <v>2</v>
      </c>
      <c r="E65" s="687">
        <v>77</v>
      </c>
      <c r="F65" s="680">
        <f>+E65*D65</f>
        <v>154</v>
      </c>
      <c r="G65" s="632">
        <f>+F65/$F$66</f>
        <v>5.7898262976918136E-2</v>
      </c>
      <c r="H65" s="644"/>
      <c r="I65" s="644"/>
      <c r="J65" s="634"/>
    </row>
    <row r="66" spans="2:13" ht="13.5" thickBot="1" x14ac:dyDescent="0.3">
      <c r="B66" s="796" t="s">
        <v>314</v>
      </c>
      <c r="C66" s="797"/>
      <c r="D66" s="797"/>
      <c r="E66" s="798"/>
      <c r="F66" s="657">
        <f>SUM(F63:F65)</f>
        <v>2659.8380000000002</v>
      </c>
      <c r="G66" s="632">
        <f>+F66/$F$66</f>
        <v>1</v>
      </c>
      <c r="H66" s="799"/>
      <c r="I66" s="644"/>
      <c r="J66" s="634"/>
      <c r="M66" s="617" t="s">
        <v>315</v>
      </c>
    </row>
    <row r="67" spans="2:13" x14ac:dyDescent="0.25">
      <c r="C67" s="639"/>
      <c r="D67" s="639"/>
      <c r="E67" s="689"/>
      <c r="F67" s="680"/>
      <c r="G67" s="632"/>
      <c r="H67" s="799"/>
      <c r="I67" s="688"/>
      <c r="J67" s="617"/>
      <c r="M67" s="617" t="s">
        <v>316</v>
      </c>
    </row>
    <row r="68" spans="2:13" ht="13.5" thickBot="1" x14ac:dyDescent="0.3">
      <c r="B68" s="784" t="s">
        <v>317</v>
      </c>
      <c r="C68" s="784"/>
      <c r="D68" s="784"/>
      <c r="E68" s="784"/>
      <c r="F68" s="784"/>
      <c r="G68" s="632"/>
      <c r="H68" s="691"/>
      <c r="I68" s="688"/>
      <c r="J68" s="617"/>
      <c r="M68" s="617" t="s">
        <v>318</v>
      </c>
    </row>
    <row r="69" spans="2:13" ht="13.5" thickBot="1" x14ac:dyDescent="0.3">
      <c r="B69" s="692" t="s">
        <v>319</v>
      </c>
      <c r="C69" s="693">
        <f>+F53</f>
        <v>2446.9</v>
      </c>
      <c r="D69" s="693">
        <f>+D58</f>
        <v>1000</v>
      </c>
      <c r="E69" s="694">
        <f>+C69/D69</f>
        <v>2.4469000000000003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320</v>
      </c>
      <c r="C71" s="693">
        <f>SUM(F63:F64)</f>
        <v>2505.8380000000002</v>
      </c>
      <c r="D71" s="693">
        <f>+D58</f>
        <v>1000</v>
      </c>
      <c r="E71" s="698">
        <f>+C71/D71</f>
        <v>2.5058380000000002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321</v>
      </c>
      <c r="C73" s="693">
        <f>+F65</f>
        <v>154</v>
      </c>
      <c r="D73" s="693">
        <f>+D58</f>
        <v>1000</v>
      </c>
      <c r="E73" s="698">
        <f>+C73/D73</f>
        <v>0.154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322</v>
      </c>
      <c r="C74" s="693">
        <f>+F56</f>
        <v>214</v>
      </c>
      <c r="D74" s="693">
        <f>+D73</f>
        <v>1000</v>
      </c>
      <c r="E74" s="694">
        <f>+C74/D74</f>
        <v>0.214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323</v>
      </c>
      <c r="C76" s="693">
        <f>+F54</f>
        <v>10</v>
      </c>
      <c r="D76" s="693">
        <f>+D74</f>
        <v>1000</v>
      </c>
      <c r="E76" s="694">
        <f>+C76/D76</f>
        <v>0.01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85" t="s">
        <v>324</v>
      </c>
      <c r="C78" s="786"/>
      <c r="D78" s="787"/>
      <c r="E78" s="694">
        <f>+E69+E74</f>
        <v>2.6609000000000003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84" t="s">
        <v>325</v>
      </c>
      <c r="C80" s="784"/>
      <c r="D80" s="784"/>
      <c r="E80" s="784"/>
      <c r="F80" s="784"/>
      <c r="G80" s="632"/>
      <c r="H80" s="691"/>
      <c r="J80" s="617"/>
    </row>
    <row r="81" spans="1:10" ht="13.5" thickBot="1" x14ac:dyDescent="0.3">
      <c r="B81" s="692" t="s">
        <v>319</v>
      </c>
      <c r="C81" s="693">
        <f>+C69</f>
        <v>2446.9</v>
      </c>
      <c r="D81" s="693">
        <f>+D60</f>
        <v>1</v>
      </c>
      <c r="E81" s="694">
        <f>+C81/D81</f>
        <v>2446.9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320</v>
      </c>
      <c r="C83" s="693">
        <f>+C71</f>
        <v>2505.8380000000002</v>
      </c>
      <c r="D83" s="693">
        <f>+D60</f>
        <v>1</v>
      </c>
      <c r="E83" s="698">
        <f>+C83/D83</f>
        <v>2505.8380000000002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322</v>
      </c>
      <c r="C85" s="693">
        <f>+C73</f>
        <v>154</v>
      </c>
      <c r="D85" s="693">
        <f>+D60</f>
        <v>1</v>
      </c>
      <c r="E85" s="698">
        <f>+C85/D85</f>
        <v>154</v>
      </c>
      <c r="F85" s="700"/>
      <c r="G85" s="690"/>
      <c r="H85" s="616"/>
      <c r="I85" s="634"/>
    </row>
    <row r="86" spans="1:10" ht="13.5" thickBot="1" x14ac:dyDescent="0.3">
      <c r="B86" s="692" t="s">
        <v>322</v>
      </c>
      <c r="C86" s="693">
        <f>+C74</f>
        <v>214</v>
      </c>
      <c r="D86" s="693">
        <f>+D85</f>
        <v>1</v>
      </c>
      <c r="E86" s="694">
        <f>+C86/D86</f>
        <v>214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88"/>
      <c r="B88" s="788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EED5-4820-4C9C-B7E3-01B9BE7C7478}">
  <dimension ref="A1:I55"/>
  <sheetViews>
    <sheetView workbookViewId="0">
      <selection activeCell="D15" sqref="D15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7" max="7" width="14" bestFit="1" customWidth="1"/>
    <col min="8" max="8" width="27" customWidth="1"/>
    <col min="9" max="9" width="22" bestFit="1" customWidth="1"/>
  </cols>
  <sheetData>
    <row r="1" spans="1:9" ht="17.25" x14ac:dyDescent="0.3">
      <c r="A1" s="772"/>
      <c r="B1" s="773"/>
      <c r="C1" s="778" t="s">
        <v>30</v>
      </c>
      <c r="D1" s="778"/>
      <c r="E1" s="778"/>
      <c r="F1" s="778"/>
      <c r="G1" s="778"/>
      <c r="H1" s="38" t="s">
        <v>29</v>
      </c>
      <c r="I1" s="39" t="s">
        <v>104</v>
      </c>
    </row>
    <row r="2" spans="1:9" ht="18" customHeight="1" thickBot="1" x14ac:dyDescent="0.35">
      <c r="A2" s="774"/>
      <c r="B2" s="775"/>
      <c r="C2" s="830" t="s">
        <v>28</v>
      </c>
      <c r="D2" s="831"/>
      <c r="E2" s="831"/>
      <c r="F2" s="831"/>
      <c r="G2" s="832"/>
      <c r="H2" s="40" t="s">
        <v>27</v>
      </c>
      <c r="I2" s="41" t="s">
        <v>81</v>
      </c>
    </row>
    <row r="3" spans="1:9" ht="31.5" customHeight="1" thickBot="1" x14ac:dyDescent="0.3">
      <c r="A3" s="774"/>
      <c r="B3" s="775"/>
      <c r="C3" s="1087" t="s">
        <v>105</v>
      </c>
      <c r="D3" s="1088"/>
      <c r="E3" s="1088"/>
      <c r="F3" s="1088"/>
      <c r="G3" s="1089"/>
      <c r="H3" s="781" t="s">
        <v>26</v>
      </c>
      <c r="I3" s="763">
        <v>45612</v>
      </c>
    </row>
    <row r="4" spans="1:9" ht="18" customHeight="1" x14ac:dyDescent="0.3">
      <c r="A4" s="774"/>
      <c r="B4" s="775"/>
      <c r="C4" s="42" t="s">
        <v>25</v>
      </c>
      <c r="D4" s="766" t="s">
        <v>83</v>
      </c>
      <c r="E4" s="767"/>
      <c r="F4" s="767"/>
      <c r="G4" s="768"/>
      <c r="H4" s="782"/>
      <c r="I4" s="764"/>
    </row>
    <row r="5" spans="1:9" ht="18" thickBot="1" x14ac:dyDescent="0.35">
      <c r="A5" s="776"/>
      <c r="B5" s="777"/>
      <c r="C5" s="43" t="s">
        <v>24</v>
      </c>
      <c r="D5" s="769" t="s">
        <v>84</v>
      </c>
      <c r="E5" s="770"/>
      <c r="F5" s="770"/>
      <c r="G5" s="771"/>
      <c r="H5" s="783"/>
      <c r="I5" s="765"/>
    </row>
    <row r="6" spans="1:9" ht="16.5" thickBot="1" x14ac:dyDescent="0.3">
      <c r="A6" s="754" t="s">
        <v>23</v>
      </c>
      <c r="B6" s="754"/>
      <c r="C6" s="754"/>
      <c r="D6" s="755" t="s">
        <v>68</v>
      </c>
      <c r="E6" s="755"/>
      <c r="F6" s="755"/>
      <c r="G6" s="756" t="s">
        <v>22</v>
      </c>
      <c r="H6" s="756"/>
      <c r="I6" s="37" t="s">
        <v>69</v>
      </c>
    </row>
    <row r="7" spans="1:9" x14ac:dyDescent="0.25">
      <c r="A7" s="757" t="s">
        <v>21</v>
      </c>
      <c r="B7" s="759" t="s">
        <v>31</v>
      </c>
      <c r="C7" s="761" t="s">
        <v>20</v>
      </c>
      <c r="D7" s="761" t="s">
        <v>19</v>
      </c>
      <c r="E7" s="761" t="s">
        <v>18</v>
      </c>
      <c r="F7" s="761"/>
      <c r="G7" s="761" t="s">
        <v>17</v>
      </c>
      <c r="H7" s="761"/>
      <c r="I7" s="44" t="s">
        <v>16</v>
      </c>
    </row>
    <row r="8" spans="1:9" ht="31.5" thickBot="1" x14ac:dyDescent="0.3">
      <c r="A8" s="758"/>
      <c r="B8" s="760"/>
      <c r="C8" s="762"/>
      <c r="D8" s="762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15.75" x14ac:dyDescent="0.25">
      <c r="A9" s="1"/>
      <c r="B9" s="2"/>
      <c r="C9" s="3" t="s">
        <v>34</v>
      </c>
      <c r="D9" s="4"/>
      <c r="E9" s="5"/>
      <c r="F9" s="6"/>
      <c r="G9" s="5"/>
      <c r="H9" s="6"/>
      <c r="I9" s="7"/>
    </row>
    <row r="10" spans="1:9" ht="18" customHeight="1" x14ac:dyDescent="0.3">
      <c r="A10" s="11">
        <v>310148</v>
      </c>
      <c r="B10" s="11" t="s">
        <v>85</v>
      </c>
      <c r="C10" s="211" t="s">
        <v>86</v>
      </c>
      <c r="D10" s="212" t="s">
        <v>87</v>
      </c>
      <c r="E10" s="13">
        <v>8000</v>
      </c>
      <c r="F10" s="12" t="s">
        <v>1</v>
      </c>
      <c r="G10" s="213"/>
      <c r="H10" s="214" t="s">
        <v>106</v>
      </c>
      <c r="I10" s="7"/>
    </row>
    <row r="11" spans="1:9" ht="17.25" x14ac:dyDescent="0.3">
      <c r="A11" s="11">
        <v>11400031</v>
      </c>
      <c r="B11" s="11" t="s">
        <v>88</v>
      </c>
      <c r="C11" s="211" t="s">
        <v>89</v>
      </c>
      <c r="D11" s="212" t="s">
        <v>87</v>
      </c>
      <c r="E11" s="13">
        <v>12000</v>
      </c>
      <c r="F11" s="12" t="s">
        <v>1</v>
      </c>
      <c r="G11" s="215"/>
      <c r="H11" s="214" t="s">
        <v>107</v>
      </c>
      <c r="I11" s="7"/>
    </row>
    <row r="12" spans="1:9" ht="17.25" x14ac:dyDescent="0.3">
      <c r="A12" s="11" t="s">
        <v>90</v>
      </c>
      <c r="B12" s="11"/>
      <c r="C12" s="211" t="s">
        <v>91</v>
      </c>
      <c r="D12" s="212" t="s">
        <v>92</v>
      </c>
      <c r="E12" s="13">
        <v>50</v>
      </c>
      <c r="F12" s="12" t="s">
        <v>1</v>
      </c>
      <c r="G12" s="216"/>
      <c r="H12" s="214"/>
      <c r="I12" s="7"/>
    </row>
    <row r="13" spans="1:9" ht="17.25" x14ac:dyDescent="0.3">
      <c r="A13" s="11">
        <v>1212410</v>
      </c>
      <c r="B13" s="11" t="s">
        <v>93</v>
      </c>
      <c r="C13" s="211" t="s">
        <v>94</v>
      </c>
      <c r="D13" s="212" t="s">
        <v>95</v>
      </c>
      <c r="E13" s="13">
        <v>15</v>
      </c>
      <c r="F13" s="12" t="s">
        <v>1</v>
      </c>
      <c r="G13" s="217"/>
      <c r="H13" s="214"/>
      <c r="I13" s="7"/>
    </row>
    <row r="14" spans="1:9" ht="17.25" x14ac:dyDescent="0.3">
      <c r="A14" s="218"/>
      <c r="B14" s="218"/>
      <c r="C14" s="219"/>
      <c r="D14" s="220"/>
      <c r="E14" s="221"/>
      <c r="F14" s="222"/>
      <c r="G14" s="217"/>
      <c r="H14" s="214"/>
      <c r="I14" s="7"/>
    </row>
    <row r="15" spans="1:9" ht="17.25" x14ac:dyDescent="0.3">
      <c r="A15" s="11"/>
      <c r="B15" s="11"/>
      <c r="C15" s="211"/>
      <c r="D15" s="82"/>
      <c r="E15" s="13"/>
      <c r="F15" s="12"/>
      <c r="G15" s="217"/>
      <c r="H15" s="214"/>
      <c r="I15" s="7"/>
    </row>
    <row r="16" spans="1:9" ht="17.25" x14ac:dyDescent="0.3">
      <c r="A16" s="11"/>
      <c r="B16" s="11"/>
      <c r="C16" s="211"/>
      <c r="D16" s="82"/>
      <c r="E16" s="13"/>
      <c r="F16" s="12"/>
      <c r="G16" s="5"/>
      <c r="H16" s="214"/>
      <c r="I16" s="7"/>
    </row>
    <row r="17" spans="1:9" ht="15.75" x14ac:dyDescent="0.25">
      <c r="A17" s="16"/>
      <c r="B17" s="17"/>
      <c r="C17" s="85" t="s">
        <v>68</v>
      </c>
      <c r="D17" s="18"/>
      <c r="E17" s="215"/>
      <c r="F17" s="15"/>
      <c r="G17" s="5"/>
      <c r="H17" s="6"/>
      <c r="I17" s="7"/>
    </row>
    <row r="18" spans="1:9" ht="15.75" x14ac:dyDescent="0.25">
      <c r="A18" s="223"/>
      <c r="B18" s="223"/>
      <c r="C18" s="224"/>
      <c r="D18" s="223"/>
      <c r="E18" s="223"/>
      <c r="F18" s="223"/>
      <c r="G18" s="5"/>
      <c r="H18" s="6"/>
      <c r="I18" s="7"/>
    </row>
    <row r="19" spans="1:9" ht="15.75" x14ac:dyDescent="0.25">
      <c r="A19" s="223"/>
      <c r="B19" s="223"/>
      <c r="C19" s="224"/>
      <c r="D19" s="223"/>
      <c r="E19" s="223"/>
      <c r="F19" s="223"/>
      <c r="G19" s="5"/>
      <c r="H19" s="6"/>
      <c r="I19" s="7"/>
    </row>
    <row r="20" spans="1:9" ht="15.75" x14ac:dyDescent="0.25">
      <c r="A20" s="223"/>
      <c r="B20" s="223"/>
      <c r="C20" s="224"/>
      <c r="D20" s="223"/>
      <c r="E20" s="223"/>
      <c r="F20" s="223"/>
      <c r="G20" s="5"/>
      <c r="H20" s="6"/>
      <c r="I20" s="7"/>
    </row>
    <row r="21" spans="1:9" ht="17.25" x14ac:dyDescent="0.3">
      <c r="A21" s="223"/>
      <c r="B21" s="223"/>
      <c r="C21" s="224"/>
      <c r="D21" s="225"/>
      <c r="E21" s="220"/>
      <c r="F21" s="222"/>
      <c r="G21" s="5"/>
      <c r="H21" s="6"/>
      <c r="I21" s="7"/>
    </row>
    <row r="22" spans="1:9" ht="17.25" x14ac:dyDescent="0.3">
      <c r="A22" s="216"/>
      <c r="B22" s="226"/>
      <c r="C22" s="227"/>
      <c r="D22" s="228"/>
      <c r="E22" s="229"/>
      <c r="F22" s="230"/>
      <c r="G22" s="5"/>
      <c r="H22" s="6"/>
      <c r="I22" s="7"/>
    </row>
    <row r="23" spans="1:9" ht="17.25" x14ac:dyDescent="0.3">
      <c r="A23" s="231"/>
      <c r="B23" s="231"/>
      <c r="C23" s="232"/>
      <c r="D23" s="228"/>
      <c r="E23" s="229"/>
      <c r="F23" s="230"/>
      <c r="G23" s="5"/>
      <c r="H23" s="6"/>
      <c r="I23" s="7"/>
    </row>
    <row r="24" spans="1:9" ht="17.25" x14ac:dyDescent="0.3">
      <c r="A24" s="11"/>
      <c r="B24" s="11"/>
      <c r="C24" s="211"/>
      <c r="D24" s="233"/>
      <c r="E24" s="234"/>
      <c r="F24" s="235"/>
      <c r="G24" s="5"/>
      <c r="H24" s="6"/>
      <c r="I24" s="7"/>
    </row>
    <row r="25" spans="1:9" ht="17.25" x14ac:dyDescent="0.3">
      <c r="A25" s="11"/>
      <c r="B25" s="11"/>
      <c r="C25" s="211"/>
      <c r="D25" s="233"/>
      <c r="E25" s="236"/>
      <c r="F25" s="9"/>
      <c r="G25" s="5"/>
      <c r="H25" s="6"/>
      <c r="I25" s="7"/>
    </row>
    <row r="26" spans="1:9" ht="15.75" x14ac:dyDescent="0.25">
      <c r="A26" s="237"/>
      <c r="B26" s="238"/>
      <c r="C26" s="98" t="s">
        <v>75</v>
      </c>
      <c r="D26" s="239"/>
      <c r="E26" s="240"/>
      <c r="F26" s="6"/>
      <c r="G26" s="5"/>
      <c r="H26" s="232"/>
      <c r="I26" s="7"/>
    </row>
    <row r="27" spans="1:9" ht="17.25" x14ac:dyDescent="0.3">
      <c r="A27" s="241">
        <v>702123</v>
      </c>
      <c r="B27" s="241" t="s">
        <v>38</v>
      </c>
      <c r="C27" s="242" t="s">
        <v>96</v>
      </c>
      <c r="D27" s="241" t="s">
        <v>108</v>
      </c>
      <c r="E27" s="243">
        <v>1</v>
      </c>
      <c r="F27" s="244" t="s">
        <v>41</v>
      </c>
      <c r="G27" s="245"/>
      <c r="H27" s="6"/>
      <c r="I27" s="7"/>
    </row>
    <row r="28" spans="1:9" ht="17.25" x14ac:dyDescent="0.3">
      <c r="A28" s="241"/>
      <c r="B28" s="241"/>
      <c r="C28" s="242"/>
      <c r="D28" s="241"/>
      <c r="E28" s="243"/>
      <c r="F28" s="244"/>
      <c r="G28" s="245"/>
      <c r="H28" s="6"/>
      <c r="I28" s="7"/>
    </row>
    <row r="29" spans="1:9" ht="17.25" x14ac:dyDescent="0.3">
      <c r="A29" s="241"/>
      <c r="B29" s="241"/>
      <c r="C29" s="242"/>
      <c r="D29" s="241"/>
      <c r="E29" s="243"/>
      <c r="F29" s="244"/>
      <c r="G29" s="245"/>
      <c r="H29" s="6"/>
      <c r="I29" s="7"/>
    </row>
    <row r="30" spans="1:9" ht="17.25" x14ac:dyDescent="0.3">
      <c r="A30" s="241"/>
      <c r="B30" s="241"/>
      <c r="C30" s="242"/>
      <c r="D30" s="241"/>
      <c r="E30" s="243"/>
      <c r="F30" s="244"/>
      <c r="G30" s="5"/>
      <c r="H30" s="6"/>
      <c r="I30" s="7"/>
    </row>
    <row r="31" spans="1:9" ht="17.25" x14ac:dyDescent="0.3">
      <c r="A31" s="241"/>
      <c r="B31" s="241"/>
      <c r="C31" s="242"/>
      <c r="D31" s="241"/>
      <c r="E31" s="243"/>
      <c r="F31" s="244"/>
      <c r="G31" s="5"/>
      <c r="H31" s="6"/>
      <c r="I31" s="7"/>
    </row>
    <row r="32" spans="1:9" ht="15.75" x14ac:dyDescent="0.25">
      <c r="A32" s="241"/>
      <c r="B32" s="241"/>
      <c r="C32" s="242"/>
      <c r="D32" s="241"/>
      <c r="E32" s="241"/>
      <c r="F32" s="102"/>
      <c r="G32" s="246"/>
      <c r="H32" s="6"/>
      <c r="I32" s="7"/>
    </row>
    <row r="33" spans="1:9" ht="15.75" x14ac:dyDescent="0.25">
      <c r="A33" s="247"/>
      <c r="B33" s="248"/>
      <c r="C33" s="242"/>
      <c r="D33" s="241"/>
      <c r="E33" s="241"/>
      <c r="F33" s="102"/>
      <c r="G33" s="14"/>
      <c r="H33" s="6"/>
      <c r="I33" s="7"/>
    </row>
    <row r="34" spans="1:9" ht="15.75" x14ac:dyDescent="0.25">
      <c r="A34" s="16"/>
      <c r="B34" s="17"/>
      <c r="C34" s="21"/>
      <c r="D34" s="20"/>
      <c r="E34" s="14"/>
      <c r="F34" s="15"/>
      <c r="G34" s="14"/>
      <c r="H34" s="6"/>
      <c r="I34" s="7"/>
    </row>
    <row r="35" spans="1:9" ht="15.75" x14ac:dyDescent="0.25">
      <c r="A35" s="16"/>
      <c r="B35" s="17"/>
      <c r="C35" s="21"/>
      <c r="D35" s="18"/>
      <c r="E35" s="18"/>
      <c r="F35" s="15"/>
      <c r="G35" s="18"/>
      <c r="H35" s="18"/>
      <c r="I35" s="7"/>
    </row>
    <row r="36" spans="1:9" ht="18" thickBot="1" x14ac:dyDescent="0.35">
      <c r="A36" s="22"/>
      <c r="B36" s="23"/>
      <c r="C36" s="24"/>
      <c r="D36" s="24"/>
      <c r="E36" s="25"/>
      <c r="F36" s="26"/>
      <c r="G36" s="24"/>
      <c r="H36" s="24"/>
      <c r="I36" s="27"/>
    </row>
    <row r="37" spans="1:9" ht="18" thickBot="1" x14ac:dyDescent="0.35">
      <c r="A37" s="28"/>
      <c r="B37" s="29"/>
      <c r="C37" s="30"/>
      <c r="D37" s="31" t="s">
        <v>13</v>
      </c>
      <c r="E37" s="32" t="s">
        <v>12</v>
      </c>
      <c r="F37" s="33"/>
      <c r="G37" s="30"/>
      <c r="H37" s="30"/>
      <c r="I37" s="34"/>
    </row>
    <row r="38" spans="1:9" ht="17.25" x14ac:dyDescent="0.3">
      <c r="A38" s="977" t="s">
        <v>11</v>
      </c>
      <c r="B38" s="978"/>
      <c r="C38" s="979"/>
      <c r="D38" s="234">
        <v>20000</v>
      </c>
      <c r="E38" s="249" t="s">
        <v>1</v>
      </c>
      <c r="F38" s="980" t="s">
        <v>10</v>
      </c>
      <c r="G38" s="980"/>
      <c r="H38" s="981"/>
      <c r="I38" s="982"/>
    </row>
    <row r="39" spans="1:9" ht="17.25" x14ac:dyDescent="0.3">
      <c r="A39" s="983" t="s">
        <v>9</v>
      </c>
      <c r="B39" s="984"/>
      <c r="C39" s="985"/>
      <c r="D39" s="250">
        <v>17</v>
      </c>
      <c r="E39" s="251" t="s">
        <v>8</v>
      </c>
      <c r="F39" s="986" t="s">
        <v>7</v>
      </c>
      <c r="G39" s="986"/>
      <c r="H39" s="987"/>
      <c r="I39" s="988"/>
    </row>
    <row r="40" spans="1:9" ht="17.25" x14ac:dyDescent="0.3">
      <c r="A40" s="983" t="s">
        <v>6</v>
      </c>
      <c r="B40" s="984"/>
      <c r="C40" s="985"/>
      <c r="D40" s="251">
        <v>1</v>
      </c>
      <c r="E40" s="251" t="s">
        <v>35</v>
      </c>
      <c r="F40" s="986" t="s">
        <v>5</v>
      </c>
      <c r="G40" s="986"/>
      <c r="H40" s="987"/>
      <c r="I40" s="988"/>
    </row>
    <row r="41" spans="1:9" ht="17.25" x14ac:dyDescent="0.3">
      <c r="A41" s="983" t="s">
        <v>4</v>
      </c>
      <c r="B41" s="984"/>
      <c r="C41" s="985"/>
      <c r="D41" s="236">
        <v>20000</v>
      </c>
      <c r="E41" s="251" t="s">
        <v>1</v>
      </c>
      <c r="F41" s="992" t="s">
        <v>3</v>
      </c>
      <c r="G41" s="993"/>
      <c r="H41" s="994"/>
      <c r="I41" s="995"/>
    </row>
    <row r="42" spans="1:9" ht="18" thickBot="1" x14ac:dyDescent="0.35">
      <c r="A42" s="996" t="s">
        <v>2</v>
      </c>
      <c r="B42" s="997"/>
      <c r="C42" s="998"/>
      <c r="D42" s="252">
        <v>66</v>
      </c>
      <c r="E42" s="253" t="s">
        <v>1</v>
      </c>
      <c r="F42" s="999"/>
      <c r="G42" s="999"/>
      <c r="H42" s="987"/>
      <c r="I42" s="988"/>
    </row>
    <row r="43" spans="1:9" ht="16.5" thickBot="1" x14ac:dyDescent="0.3">
      <c r="A43" s="1000" t="s">
        <v>0</v>
      </c>
      <c r="B43" s="1001"/>
      <c r="C43" s="1001"/>
      <c r="D43" s="1001"/>
      <c r="E43" s="1001"/>
      <c r="F43" s="1001"/>
      <c r="G43" s="1001"/>
      <c r="H43" s="1001"/>
      <c r="I43" s="1002"/>
    </row>
    <row r="44" spans="1:9" ht="18.399999999999999" customHeight="1" x14ac:dyDescent="0.25">
      <c r="A44" s="989" t="s">
        <v>109</v>
      </c>
      <c r="B44" s="990"/>
      <c r="C44" s="990"/>
      <c r="D44" s="990"/>
      <c r="E44" s="990"/>
      <c r="F44" s="990"/>
      <c r="G44" s="990"/>
      <c r="H44" s="990"/>
      <c r="I44" s="991"/>
    </row>
    <row r="45" spans="1:9" ht="14.65" customHeight="1" x14ac:dyDescent="0.25">
      <c r="A45" s="989" t="s">
        <v>99</v>
      </c>
      <c r="B45" s="990"/>
      <c r="C45" s="990"/>
      <c r="D45" s="990"/>
      <c r="E45" s="990"/>
      <c r="F45" s="990"/>
      <c r="G45" s="990"/>
      <c r="H45" s="990"/>
      <c r="I45" s="991"/>
    </row>
    <row r="46" spans="1:9" ht="14.65" customHeight="1" x14ac:dyDescent="0.25">
      <c r="A46" s="989" t="s">
        <v>110</v>
      </c>
      <c r="B46" s="990"/>
      <c r="C46" s="990"/>
      <c r="D46" s="990"/>
      <c r="E46" s="990"/>
      <c r="F46" s="990"/>
      <c r="G46" s="990"/>
      <c r="H46" s="990"/>
      <c r="I46" s="991"/>
    </row>
    <row r="47" spans="1:9" ht="14.65" customHeight="1" x14ac:dyDescent="0.25">
      <c r="A47" s="989" t="s">
        <v>101</v>
      </c>
      <c r="B47" s="990"/>
      <c r="C47" s="990"/>
      <c r="D47" s="990"/>
      <c r="E47" s="990"/>
      <c r="F47" s="990"/>
      <c r="G47" s="990"/>
      <c r="H47" s="990"/>
      <c r="I47" s="991"/>
    </row>
    <row r="48" spans="1:9" ht="14.65" customHeight="1" x14ac:dyDescent="0.25">
      <c r="A48" s="989" t="s">
        <v>111</v>
      </c>
      <c r="B48" s="990"/>
      <c r="C48" s="990"/>
      <c r="D48" s="990"/>
      <c r="E48" s="990"/>
      <c r="F48" s="990"/>
      <c r="G48" s="990"/>
      <c r="H48" s="990"/>
      <c r="I48" s="991"/>
    </row>
    <row r="49" spans="1:9" ht="14.65" customHeight="1" thickBot="1" x14ac:dyDescent="0.35">
      <c r="A49" s="1092"/>
      <c r="B49" s="1093"/>
      <c r="C49" s="1094"/>
      <c r="D49" s="1094"/>
      <c r="E49" s="1094"/>
      <c r="F49" s="1094"/>
      <c r="G49" s="1094"/>
      <c r="H49" s="1094"/>
      <c r="I49" s="1095"/>
    </row>
    <row r="50" spans="1:9" ht="18" customHeight="1" x14ac:dyDescent="0.25">
      <c r="A50" s="1096"/>
      <c r="B50" s="1097"/>
      <c r="C50" s="1098"/>
      <c r="D50" s="1098"/>
      <c r="E50" s="1098"/>
      <c r="F50" s="1098"/>
      <c r="G50" s="1098"/>
      <c r="H50" s="1098"/>
      <c r="I50" s="1099"/>
    </row>
    <row r="51" spans="1:9" ht="17.25" x14ac:dyDescent="0.3">
      <c r="A51" s="1100"/>
      <c r="B51" s="1101"/>
      <c r="C51" s="1101"/>
      <c r="D51" s="1101"/>
      <c r="E51" s="1101"/>
      <c r="F51" s="1101"/>
      <c r="G51" s="1101"/>
      <c r="H51" s="1101"/>
      <c r="I51" s="1102"/>
    </row>
    <row r="52" spans="1:9" ht="16.5" thickBot="1" x14ac:dyDescent="0.3">
      <c r="A52" s="1003"/>
      <c r="B52" s="1004"/>
      <c r="C52" s="1004"/>
      <c r="D52" s="1004"/>
      <c r="E52" s="1004"/>
      <c r="F52" s="1004"/>
      <c r="G52" s="1004"/>
      <c r="H52" s="1004"/>
      <c r="I52" s="1005"/>
    </row>
    <row r="53" spans="1:9" ht="15.75" x14ac:dyDescent="0.25">
      <c r="A53" s="1006" t="s">
        <v>32</v>
      </c>
      <c r="B53" s="1007"/>
      <c r="C53" s="1007"/>
      <c r="D53" s="1007"/>
      <c r="E53" s="1007"/>
      <c r="F53" s="1007"/>
      <c r="G53" s="1007"/>
      <c r="H53" s="1007"/>
      <c r="I53" s="1007"/>
    </row>
    <row r="54" spans="1:9" ht="17.25" x14ac:dyDescent="0.3">
      <c r="A54" s="769" t="s">
        <v>112</v>
      </c>
      <c r="B54" s="770"/>
      <c r="C54" s="770"/>
      <c r="D54" s="770"/>
      <c r="E54" s="770"/>
      <c r="F54" s="770"/>
      <c r="G54" s="770"/>
      <c r="H54" s="770"/>
      <c r="I54" s="771"/>
    </row>
    <row r="55" spans="1:9" ht="17.25" x14ac:dyDescent="0.3">
      <c r="A55" s="1090"/>
      <c r="B55" s="1091"/>
      <c r="C55" s="1091"/>
      <c r="D55" s="1091"/>
      <c r="E55" s="1091"/>
      <c r="F55" s="1091"/>
      <c r="G55" s="1091"/>
      <c r="H55" s="1091"/>
      <c r="I55" s="109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653A-7FE8-46D7-BF8D-2CCB97715FF9}">
  <dimension ref="A1:Q91"/>
  <sheetViews>
    <sheetView topLeftCell="A4" workbookViewId="0">
      <selection activeCell="E15" sqref="E15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7109375" style="699" customWidth="1"/>
    <col min="8" max="8" width="10.42578125" style="690" bestFit="1" customWidth="1"/>
    <col min="9" max="9" width="4.5703125" style="690" customWidth="1"/>
    <col min="10" max="10" width="1.71093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275</v>
      </c>
      <c r="F1" s="614" t="s">
        <v>276</v>
      </c>
      <c r="G1" s="614" t="s">
        <v>277</v>
      </c>
      <c r="H1" s="614" t="s">
        <v>278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IFERROR(O62,"")</f>
        <v>37376.922077922078</v>
      </c>
      <c r="F2" s="618">
        <f>IFERROR(H53,"")</f>
        <v>35779</v>
      </c>
      <c r="G2" s="618">
        <f>IFERROR(H54,"")</f>
        <v>0</v>
      </c>
      <c r="H2" s="618">
        <f>IFERROR(H56,"")</f>
        <v>769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810"/>
      <c r="B4" s="810"/>
      <c r="C4" s="810"/>
      <c r="D4" s="810"/>
      <c r="E4" s="810"/>
      <c r="F4" s="810"/>
      <c r="G4" s="810"/>
      <c r="H4" s="810"/>
      <c r="I4" s="621"/>
    </row>
    <row r="5" spans="1:10" ht="19.5" customHeight="1" thickBot="1" x14ac:dyDescent="0.3">
      <c r="A5" s="811" t="s">
        <v>279</v>
      </c>
      <c r="B5" s="812"/>
      <c r="C5" s="812"/>
      <c r="D5" s="812"/>
      <c r="E5" s="812"/>
      <c r="F5" s="812"/>
      <c r="G5" s="812"/>
      <c r="H5" s="813"/>
      <c r="I5" s="622"/>
    </row>
    <row r="6" spans="1:10" ht="19.5" thickBot="1" x14ac:dyDescent="0.3">
      <c r="A6" s="622"/>
      <c r="B6" s="622"/>
      <c r="C6" s="622"/>
      <c r="D6" s="622"/>
      <c r="E6" s="622"/>
      <c r="F6" s="814" t="s">
        <v>280</v>
      </c>
      <c r="G6" s="814"/>
      <c r="H6" s="623">
        <f ca="1">TODAY()</f>
        <v>46139</v>
      </c>
      <c r="I6" s="623"/>
    </row>
    <row r="7" spans="1:10" ht="26.25" thickBot="1" x14ac:dyDescent="0.3">
      <c r="A7" s="624" t="s">
        <v>281</v>
      </c>
      <c r="B7" s="625" t="s">
        <v>282</v>
      </c>
      <c r="C7" s="625" t="s">
        <v>281</v>
      </c>
      <c r="D7" s="626" t="s">
        <v>283</v>
      </c>
      <c r="E7" s="626" t="s">
        <v>284</v>
      </c>
      <c r="F7" s="626" t="s">
        <v>285</v>
      </c>
      <c r="G7" s="626" t="s">
        <v>286</v>
      </c>
      <c r="H7" s="627" t="s">
        <v>287</v>
      </c>
      <c r="I7" s="628"/>
    </row>
    <row r="8" spans="1:10" ht="13.5" x14ac:dyDescent="0.25">
      <c r="A8" s="629">
        <v>2500</v>
      </c>
      <c r="B8" s="617" t="str">
        <f>IFERROR(VLOOKUP(H8,'[1]Consolidado MP Planta'!$A$2:$M$823,3,0),"")</f>
        <v>LECHE POLVO INDUSTRIAL (SACO:25 KG)</v>
      </c>
      <c r="C8" s="630">
        <f>+A8</f>
        <v>2500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7875</v>
      </c>
      <c r="G8" s="632">
        <f t="shared" ref="G8:G14" si="0">IFERROR(F8/$F$66,"")</f>
        <v>0.21353280053623169</v>
      </c>
      <c r="H8" s="633" t="s">
        <v>326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281</v>
      </c>
      <c r="B16" s="625" t="s">
        <v>288</v>
      </c>
      <c r="C16" s="625" t="s">
        <v>281</v>
      </c>
      <c r="D16" s="626" t="s">
        <v>283</v>
      </c>
      <c r="E16" s="626" t="s">
        <v>284</v>
      </c>
      <c r="F16" s="626" t="s">
        <v>285</v>
      </c>
      <c r="G16" s="626" t="s">
        <v>286</v>
      </c>
      <c r="H16" s="627" t="s">
        <v>287</v>
      </c>
      <c r="I16" s="628"/>
      <c r="J16" s="634"/>
    </row>
    <row r="17" spans="1:12" ht="13.5" x14ac:dyDescent="0.25">
      <c r="A17" s="629">
        <v>12800</v>
      </c>
      <c r="B17" s="617" t="s">
        <v>61</v>
      </c>
      <c r="C17" s="630">
        <f>+A17</f>
        <v>12800</v>
      </c>
      <c r="D17" s="630" t="s">
        <v>327</v>
      </c>
      <c r="E17" s="631">
        <v>2.1800000000000002</v>
      </c>
      <c r="F17" s="631">
        <f>IFERROR(E17*C17,"")</f>
        <v>27904.000000000004</v>
      </c>
      <c r="G17" s="632">
        <f t="shared" ref="G17:G24" si="3">IFERROR(F17/$F$66,"")</f>
        <v>0.75662466871911238</v>
      </c>
      <c r="H17" s="633" t="s">
        <v>60</v>
      </c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281</v>
      </c>
      <c r="B26" s="625" t="s">
        <v>37</v>
      </c>
      <c r="C26" s="625" t="s">
        <v>281</v>
      </c>
      <c r="D26" s="626" t="s">
        <v>283</v>
      </c>
      <c r="E26" s="626" t="s">
        <v>284</v>
      </c>
      <c r="F26" s="626" t="s">
        <v>285</v>
      </c>
      <c r="G26" s="626" t="s">
        <v>286</v>
      </c>
      <c r="H26" s="627" t="s">
        <v>287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804"/>
      <c r="L27" s="804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804"/>
      <c r="L28" s="804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804"/>
      <c r="L29" s="804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804"/>
      <c r="L30" s="804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thickBot="1" x14ac:dyDescent="0.25">
      <c r="A34" s="624" t="s">
        <v>281</v>
      </c>
      <c r="B34" s="625" t="s">
        <v>289</v>
      </c>
      <c r="C34" s="625" t="s">
        <v>281</v>
      </c>
      <c r="D34" s="626" t="s">
        <v>283</v>
      </c>
      <c r="E34" s="626" t="s">
        <v>284</v>
      </c>
      <c r="F34" s="626" t="s">
        <v>285</v>
      </c>
      <c r="G34" s="626" t="s">
        <v>286</v>
      </c>
      <c r="H34" s="627" t="s">
        <v>287</v>
      </c>
      <c r="I34" s="636"/>
      <c r="J34" s="634"/>
    </row>
    <row r="35" spans="1:13" ht="13.5" x14ac:dyDescent="0.25">
      <c r="A35" s="629">
        <f>+A17</f>
        <v>12800</v>
      </c>
      <c r="B35" s="635" t="s">
        <v>61</v>
      </c>
      <c r="C35" s="630">
        <f>+A35</f>
        <v>12800</v>
      </c>
      <c r="D35" s="631" t="s">
        <v>327</v>
      </c>
      <c r="E35" s="631">
        <v>0</v>
      </c>
      <c r="F35" s="631">
        <f>IFERROR(E35*C35,"")</f>
        <v>0</v>
      </c>
      <c r="G35" s="632">
        <f t="shared" ref="G35:G41" si="9">IFERROR(F35/$F$66,"")</f>
        <v>0</v>
      </c>
      <c r="H35" s="636" t="s">
        <v>60</v>
      </c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281</v>
      </c>
      <c r="B43" s="625" t="s">
        <v>290</v>
      </c>
      <c r="C43" s="625" t="s">
        <v>281</v>
      </c>
      <c r="D43" s="626" t="s">
        <v>283</v>
      </c>
      <c r="E43" s="626" t="s">
        <v>284</v>
      </c>
      <c r="F43" s="626" t="s">
        <v>285</v>
      </c>
      <c r="G43" s="626" t="s">
        <v>286</v>
      </c>
      <c r="H43" s="627" t="s">
        <v>287</v>
      </c>
      <c r="I43" s="628"/>
      <c r="J43" s="634"/>
    </row>
    <row r="44" spans="1:13" ht="13.5" x14ac:dyDescent="0.25">
      <c r="A44" s="629">
        <f>+A35</f>
        <v>12800</v>
      </c>
      <c r="B44" s="635" t="s">
        <v>61</v>
      </c>
      <c r="C44" s="630">
        <f>+A44</f>
        <v>12800</v>
      </c>
      <c r="D44" s="631" t="s">
        <v>327</v>
      </c>
      <c r="E44" s="631">
        <v>0.03</v>
      </c>
      <c r="F44" s="631">
        <f>IFERROR(E44*C44,"")</f>
        <v>384</v>
      </c>
      <c r="G44" s="632">
        <f>IFERROR(F44/$F$66,"")</f>
        <v>1.0412266083290536E-2</v>
      </c>
      <c r="H44" s="636" t="s">
        <v>60</v>
      </c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291</v>
      </c>
      <c r="C51" s="630">
        <f>+A51</f>
        <v>1</v>
      </c>
      <c r="D51" s="630" t="s">
        <v>292</v>
      </c>
      <c r="E51" s="631">
        <f>+F65</f>
        <v>385</v>
      </c>
      <c r="F51" s="631">
        <f>IFERROR(C51*E51,"")</f>
        <v>385</v>
      </c>
      <c r="G51" s="632">
        <f>IFERROR(F51/$F$66,"")</f>
        <v>1.0439381359549105E-2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805" t="s">
        <v>293</v>
      </c>
      <c r="C53" s="805"/>
      <c r="D53" s="805"/>
      <c r="E53" s="805"/>
      <c r="F53" s="643">
        <f>SUM(F8:F14,F17:F24)</f>
        <v>35779</v>
      </c>
      <c r="G53" s="632">
        <f>+F53/$F$66</f>
        <v>0.97015746925534396</v>
      </c>
      <c r="H53" s="644">
        <f>+F53/$D$60</f>
        <v>35779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805" t="s">
        <v>294</v>
      </c>
      <c r="C54" s="805"/>
      <c r="D54" s="805"/>
      <c r="E54" s="805"/>
      <c r="F54" s="643">
        <f>SUM(F27:F32,F35:F41)</f>
        <v>0</v>
      </c>
      <c r="G54" s="632">
        <f>+F54/$F$66</f>
        <v>0</v>
      </c>
      <c r="H54" s="644">
        <f>+F54/$D$60</f>
        <v>0</v>
      </c>
      <c r="I54" s="644"/>
      <c r="J54" s="648"/>
      <c r="K54" s="806" t="s">
        <v>295</v>
      </c>
      <c r="L54" s="807"/>
      <c r="M54" s="807"/>
      <c r="N54" s="807"/>
      <c r="O54" s="649">
        <f>+F55</f>
        <v>35779</v>
      </c>
      <c r="P54" s="649"/>
      <c r="Q54" s="650"/>
    </row>
    <row r="55" spans="1:17" x14ac:dyDescent="0.2">
      <c r="A55" s="641"/>
      <c r="B55" s="805" t="s">
        <v>296</v>
      </c>
      <c r="C55" s="805"/>
      <c r="D55" s="805"/>
      <c r="E55" s="805"/>
      <c r="F55" s="643">
        <f>+F53+F54</f>
        <v>35779</v>
      </c>
      <c r="G55" s="632">
        <f>+F55/$F$66</f>
        <v>0.97015746925534396</v>
      </c>
      <c r="H55" s="644">
        <f>+F55/$D$60</f>
        <v>35779</v>
      </c>
      <c r="I55" s="644"/>
      <c r="J55" s="651"/>
      <c r="K55" s="652"/>
      <c r="M55" s="653" t="s">
        <v>297</v>
      </c>
      <c r="N55" s="654"/>
      <c r="O55" s="649">
        <f>+H56</f>
        <v>769</v>
      </c>
      <c r="P55" s="649"/>
      <c r="Q55" s="650"/>
    </row>
    <row r="56" spans="1:17" ht="13.5" thickBot="1" x14ac:dyDescent="0.25">
      <c r="A56" s="641"/>
      <c r="B56" s="642"/>
      <c r="C56" s="805" t="s">
        <v>298</v>
      </c>
      <c r="D56" s="805"/>
      <c r="E56" s="805"/>
      <c r="F56" s="643">
        <f>SUM(F44:F51)</f>
        <v>769</v>
      </c>
      <c r="G56" s="632">
        <f>+F56/$F$66</f>
        <v>2.0851647442839641E-2</v>
      </c>
      <c r="H56" s="644">
        <f>+F56/$D$60</f>
        <v>769</v>
      </c>
      <c r="I56" s="644"/>
      <c r="J56" s="651"/>
      <c r="K56" s="652"/>
      <c r="L56" s="652"/>
      <c r="M56" s="652" t="s">
        <v>299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300</v>
      </c>
      <c r="N57" s="661"/>
      <c r="O57" s="662">
        <f>SUM(O54:O56)</f>
        <v>36548</v>
      </c>
      <c r="P57" s="663"/>
      <c r="Q57" s="650"/>
    </row>
    <row r="58" spans="1:17" x14ac:dyDescent="0.2">
      <c r="B58" s="808" t="s">
        <v>301</v>
      </c>
      <c r="C58" s="808"/>
      <c r="D58" s="664">
        <v>15000</v>
      </c>
      <c r="E58" s="665"/>
      <c r="G58" s="632"/>
      <c r="H58" s="658">
        <f>+H56/77</f>
        <v>9.9870129870129869</v>
      </c>
      <c r="I58" s="666"/>
      <c r="J58" s="651"/>
      <c r="K58" s="659"/>
      <c r="L58" s="652"/>
      <c r="M58" s="652" t="s">
        <v>302</v>
      </c>
      <c r="N58" s="667"/>
      <c r="O58" s="649">
        <f>+H59</f>
        <v>828.92207792207796</v>
      </c>
      <c r="P58" s="649"/>
      <c r="Q58" s="650"/>
    </row>
    <row r="59" spans="1:17" x14ac:dyDescent="0.2">
      <c r="B59" s="808" t="s">
        <v>303</v>
      </c>
      <c r="C59" s="808"/>
      <c r="D59" s="668">
        <v>15000</v>
      </c>
      <c r="E59" s="665"/>
      <c r="G59" s="632"/>
      <c r="H59" s="658">
        <f>+H58*83</f>
        <v>828.92207792207796</v>
      </c>
      <c r="I59" s="666"/>
      <c r="J59" s="651"/>
      <c r="K59" s="659"/>
      <c r="L59" s="652"/>
      <c r="M59" s="809" t="s">
        <v>300</v>
      </c>
      <c r="N59" s="809"/>
      <c r="O59" s="649">
        <f>SUM(O57:O58)</f>
        <v>37376.922077922078</v>
      </c>
      <c r="P59" s="649"/>
      <c r="Q59" s="650"/>
    </row>
    <row r="60" spans="1:17" ht="13.5" thickBot="1" x14ac:dyDescent="0.25">
      <c r="B60" s="800" t="s">
        <v>304</v>
      </c>
      <c r="C60" s="800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809"/>
      <c r="M60" s="809"/>
      <c r="N60" s="667"/>
      <c r="O60" s="649">
        <f>+O59*N60</f>
        <v>0</v>
      </c>
      <c r="P60" s="649"/>
      <c r="Q60" s="650"/>
    </row>
    <row r="61" spans="1:17" ht="13.5" thickBot="1" x14ac:dyDescent="0.25">
      <c r="B61" s="800" t="s">
        <v>305</v>
      </c>
      <c r="C61" s="800"/>
      <c r="D61" s="670"/>
      <c r="E61" s="665"/>
      <c r="F61" s="669"/>
      <c r="G61" s="632"/>
      <c r="H61" s="658"/>
      <c r="I61" s="666"/>
      <c r="J61" s="651"/>
      <c r="K61" s="801" t="s">
        <v>306</v>
      </c>
      <c r="L61" s="802"/>
      <c r="M61" s="802"/>
      <c r="N61" s="803"/>
      <c r="O61" s="662">
        <f>SUM(O59:O60)</f>
        <v>37376.922077922078</v>
      </c>
      <c r="P61" s="671" t="s">
        <v>307</v>
      </c>
      <c r="Q61" s="650"/>
    </row>
    <row r="62" spans="1:17" ht="13.5" thickBot="1" x14ac:dyDescent="0.25">
      <c r="C62" s="641" t="s">
        <v>308</v>
      </c>
      <c r="D62" s="672"/>
      <c r="E62" s="615" t="s">
        <v>309</v>
      </c>
      <c r="F62" s="673" t="s">
        <v>310</v>
      </c>
      <c r="G62" s="632"/>
      <c r="H62" s="658"/>
      <c r="I62" s="666"/>
      <c r="J62" s="674"/>
      <c r="K62" s="675"/>
      <c r="L62" s="789" t="s">
        <v>311</v>
      </c>
      <c r="M62" s="789"/>
      <c r="N62" s="789"/>
      <c r="O62" s="676">
        <f>+O61/D60</f>
        <v>37376.922077922078</v>
      </c>
      <c r="P62" s="677">
        <f>+O62/D59</f>
        <v>2.4917948051948051</v>
      </c>
      <c r="Q62" s="678"/>
    </row>
    <row r="63" spans="1:17" ht="13.5" thickBot="1" x14ac:dyDescent="0.25">
      <c r="B63" s="790" t="s">
        <v>296</v>
      </c>
      <c r="C63" s="790"/>
      <c r="D63" s="790"/>
      <c r="E63" s="679">
        <f>+F63/F63</f>
        <v>1</v>
      </c>
      <c r="F63" s="680">
        <f>SUM(F55)</f>
        <v>35779</v>
      </c>
      <c r="G63" s="632">
        <f>+F63/$F$66</f>
        <v>0.97015746925534396</v>
      </c>
      <c r="H63" s="658"/>
      <c r="I63" s="666"/>
      <c r="K63" s="791"/>
      <c r="L63" s="792"/>
      <c r="M63" s="792"/>
      <c r="N63" s="792"/>
      <c r="O63" s="681"/>
      <c r="P63" s="682"/>
    </row>
    <row r="64" spans="1:17" ht="13.5" thickBot="1" x14ac:dyDescent="0.3">
      <c r="B64" s="793" t="s">
        <v>312</v>
      </c>
      <c r="C64" s="793"/>
      <c r="D64" s="793"/>
      <c r="E64" s="683">
        <v>0.02</v>
      </c>
      <c r="F64" s="680">
        <f>+F53*E64</f>
        <v>715.58</v>
      </c>
      <c r="G64" s="632">
        <f>+F64/$F$66</f>
        <v>1.9403149385106882E-2</v>
      </c>
      <c r="H64" s="644"/>
      <c r="I64" s="666"/>
      <c r="J64" s="684"/>
      <c r="O64" s="685"/>
      <c r="P64" s="642"/>
    </row>
    <row r="65" spans="2:13" ht="13.5" thickBot="1" x14ac:dyDescent="0.3">
      <c r="B65" s="794" t="s">
        <v>313</v>
      </c>
      <c r="C65" s="795"/>
      <c r="D65" s="686">
        <v>5</v>
      </c>
      <c r="E65" s="687">
        <v>77</v>
      </c>
      <c r="F65" s="680">
        <f>+E65*D65</f>
        <v>385</v>
      </c>
      <c r="G65" s="632">
        <f>+F65/$F$66</f>
        <v>1.0439381359549105E-2</v>
      </c>
      <c r="H65" s="644"/>
      <c r="I65" s="644"/>
      <c r="J65" s="634"/>
    </row>
    <row r="66" spans="2:13" ht="13.5" thickBot="1" x14ac:dyDescent="0.3">
      <c r="B66" s="796" t="s">
        <v>314</v>
      </c>
      <c r="C66" s="797"/>
      <c r="D66" s="797"/>
      <c r="E66" s="798"/>
      <c r="F66" s="657">
        <f>SUM(F63:F65)</f>
        <v>36879.58</v>
      </c>
      <c r="G66" s="632">
        <f>+F66/$F$66</f>
        <v>1</v>
      </c>
      <c r="H66" s="799"/>
      <c r="I66" s="644"/>
      <c r="J66" s="634"/>
      <c r="M66" s="617" t="s">
        <v>315</v>
      </c>
    </row>
    <row r="67" spans="2:13" x14ac:dyDescent="0.25">
      <c r="C67" s="639"/>
      <c r="D67" s="639"/>
      <c r="E67" s="689"/>
      <c r="F67" s="680"/>
      <c r="G67" s="632"/>
      <c r="H67" s="799"/>
      <c r="I67" s="688"/>
      <c r="J67" s="617"/>
      <c r="M67" s="617" t="s">
        <v>316</v>
      </c>
    </row>
    <row r="68" spans="2:13" ht="13.5" thickBot="1" x14ac:dyDescent="0.3">
      <c r="B68" s="784" t="s">
        <v>317</v>
      </c>
      <c r="C68" s="784"/>
      <c r="D68" s="784"/>
      <c r="E68" s="784"/>
      <c r="F68" s="784"/>
      <c r="G68" s="632"/>
      <c r="H68" s="691"/>
      <c r="I68" s="688"/>
      <c r="J68" s="617"/>
      <c r="M68" s="617" t="s">
        <v>318</v>
      </c>
    </row>
    <row r="69" spans="2:13" ht="13.5" thickBot="1" x14ac:dyDescent="0.3">
      <c r="B69" s="692" t="s">
        <v>319</v>
      </c>
      <c r="C69" s="693">
        <f>+F53</f>
        <v>35779</v>
      </c>
      <c r="D69" s="693">
        <f>+D58</f>
        <v>15000</v>
      </c>
      <c r="E69" s="694">
        <f>+C69/D69</f>
        <v>2.3852666666666669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320</v>
      </c>
      <c r="C71" s="693">
        <f>SUM(F63:F64)</f>
        <v>36494.58</v>
      </c>
      <c r="D71" s="693">
        <f>+D58</f>
        <v>15000</v>
      </c>
      <c r="E71" s="698">
        <f>+C71/D71</f>
        <v>2.4329719999999999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321</v>
      </c>
      <c r="C73" s="693">
        <f>+F65</f>
        <v>385</v>
      </c>
      <c r="D73" s="693">
        <f>+D58</f>
        <v>15000</v>
      </c>
      <c r="E73" s="698">
        <f>+C73/D73</f>
        <v>2.5666666666666667E-2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322</v>
      </c>
      <c r="C74" s="693">
        <f>+F56</f>
        <v>769</v>
      </c>
      <c r="D74" s="693">
        <f>+D73</f>
        <v>15000</v>
      </c>
      <c r="E74" s="694">
        <f>+C74/D74</f>
        <v>5.1266666666666669E-2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323</v>
      </c>
      <c r="C76" s="693">
        <f>+F54</f>
        <v>0</v>
      </c>
      <c r="D76" s="693">
        <f>+D74</f>
        <v>15000</v>
      </c>
      <c r="E76" s="694">
        <f>+C76/D76</f>
        <v>0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85" t="s">
        <v>324</v>
      </c>
      <c r="C78" s="786"/>
      <c r="D78" s="787"/>
      <c r="E78" s="694">
        <f>+E69+E74</f>
        <v>2.4365333333333337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84" t="s">
        <v>325</v>
      </c>
      <c r="C80" s="784"/>
      <c r="D80" s="784"/>
      <c r="E80" s="784"/>
      <c r="F80" s="784"/>
      <c r="G80" s="632"/>
      <c r="H80" s="691"/>
      <c r="J80" s="617"/>
    </row>
    <row r="81" spans="1:10" ht="13.5" thickBot="1" x14ac:dyDescent="0.3">
      <c r="B81" s="692" t="s">
        <v>319</v>
      </c>
      <c r="C81" s="693">
        <f>+C69</f>
        <v>35779</v>
      </c>
      <c r="D81" s="693">
        <f>+D60</f>
        <v>1</v>
      </c>
      <c r="E81" s="694">
        <f>+C81/D81</f>
        <v>35779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320</v>
      </c>
      <c r="C83" s="693">
        <f>+C71</f>
        <v>36494.58</v>
      </c>
      <c r="D83" s="693">
        <f>+D60</f>
        <v>1</v>
      </c>
      <c r="E83" s="698">
        <f>+C83/D83</f>
        <v>36494.58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322</v>
      </c>
      <c r="C85" s="693">
        <f>+C73</f>
        <v>385</v>
      </c>
      <c r="D85" s="693">
        <f>+D60</f>
        <v>1</v>
      </c>
      <c r="E85" s="698">
        <f>+C85/D85</f>
        <v>385</v>
      </c>
      <c r="F85" s="700"/>
      <c r="G85" s="690"/>
      <c r="H85" s="616"/>
      <c r="I85" s="634"/>
    </row>
    <row r="86" spans="1:10" ht="13.5" thickBot="1" x14ac:dyDescent="0.3">
      <c r="B86" s="692" t="s">
        <v>322</v>
      </c>
      <c r="C86" s="693">
        <f>+C74</f>
        <v>769</v>
      </c>
      <c r="D86" s="693">
        <f>+D85</f>
        <v>1</v>
      </c>
      <c r="E86" s="694">
        <f>+C86/D86</f>
        <v>769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88"/>
      <c r="B88" s="788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8645-A231-4596-B14B-D1C9C136FB99}">
  <dimension ref="A1:I58"/>
  <sheetViews>
    <sheetView zoomScale="70" zoomScaleNormal="70" workbookViewId="0">
      <selection activeCell="C12" sqref="C12"/>
    </sheetView>
  </sheetViews>
  <sheetFormatPr baseColWidth="10" defaultRowHeight="15" x14ac:dyDescent="0.25"/>
  <cols>
    <col min="1" max="1" width="15" customWidth="1"/>
    <col min="2" max="2" width="21.28515625" bestFit="1" customWidth="1"/>
    <col min="3" max="3" width="55.5703125" customWidth="1"/>
    <col min="4" max="4" width="22.42578125" customWidth="1"/>
    <col min="5" max="5" width="15.7109375" customWidth="1"/>
    <col min="6" max="6" width="17.28515625" customWidth="1"/>
    <col min="7" max="7" width="12.7109375" customWidth="1"/>
    <col min="8" max="8" width="17.28515625" customWidth="1"/>
    <col min="9" max="9" width="21.7109375" bestFit="1" customWidth="1"/>
  </cols>
  <sheetData>
    <row r="1" spans="1:9" ht="17.25" x14ac:dyDescent="0.3">
      <c r="A1" s="772"/>
      <c r="B1" s="773"/>
      <c r="C1" s="778" t="s">
        <v>30</v>
      </c>
      <c r="D1" s="778"/>
      <c r="E1" s="778"/>
      <c r="F1" s="778"/>
      <c r="G1" s="778"/>
      <c r="H1" s="38" t="s">
        <v>29</v>
      </c>
      <c r="I1" s="39" t="s">
        <v>80</v>
      </c>
    </row>
    <row r="2" spans="1:9" ht="18" customHeight="1" thickBot="1" x14ac:dyDescent="0.35">
      <c r="A2" s="774"/>
      <c r="B2" s="775"/>
      <c r="C2" s="830" t="s">
        <v>28</v>
      </c>
      <c r="D2" s="831"/>
      <c r="E2" s="831"/>
      <c r="F2" s="831"/>
      <c r="G2" s="832"/>
      <c r="H2" s="40" t="s">
        <v>27</v>
      </c>
      <c r="I2" s="41" t="s">
        <v>81</v>
      </c>
    </row>
    <row r="3" spans="1:9" ht="31.5" customHeight="1" thickBot="1" x14ac:dyDescent="0.3">
      <c r="A3" s="774"/>
      <c r="B3" s="775"/>
      <c r="C3" s="974" t="s">
        <v>82</v>
      </c>
      <c r="D3" s="975"/>
      <c r="E3" s="975"/>
      <c r="F3" s="975"/>
      <c r="G3" s="976"/>
      <c r="H3" s="781" t="s">
        <v>26</v>
      </c>
      <c r="I3" s="763">
        <v>45613</v>
      </c>
    </row>
    <row r="4" spans="1:9" ht="18" customHeight="1" x14ac:dyDescent="0.3">
      <c r="A4" s="774"/>
      <c r="B4" s="775"/>
      <c r="C4" s="42" t="s">
        <v>25</v>
      </c>
      <c r="D4" s="766" t="s">
        <v>83</v>
      </c>
      <c r="E4" s="767"/>
      <c r="F4" s="767"/>
      <c r="G4" s="768"/>
      <c r="H4" s="782"/>
      <c r="I4" s="764"/>
    </row>
    <row r="5" spans="1:9" ht="18" thickBot="1" x14ac:dyDescent="0.35">
      <c r="A5" s="776"/>
      <c r="B5" s="777"/>
      <c r="C5" s="43" t="s">
        <v>24</v>
      </c>
      <c r="D5" s="769" t="s">
        <v>84</v>
      </c>
      <c r="E5" s="770"/>
      <c r="F5" s="770"/>
      <c r="G5" s="771"/>
      <c r="H5" s="783"/>
      <c r="I5" s="765"/>
    </row>
    <row r="6" spans="1:9" ht="16.5" thickBot="1" x14ac:dyDescent="0.3">
      <c r="A6" s="754" t="s">
        <v>23</v>
      </c>
      <c r="B6" s="754"/>
      <c r="C6" s="754"/>
      <c r="D6" s="755" t="s">
        <v>68</v>
      </c>
      <c r="E6" s="755"/>
      <c r="F6" s="755"/>
      <c r="G6" s="756" t="s">
        <v>22</v>
      </c>
      <c r="H6" s="756"/>
      <c r="I6" s="37" t="s">
        <v>69</v>
      </c>
    </row>
    <row r="7" spans="1:9" x14ac:dyDescent="0.25">
      <c r="A7" s="757" t="s">
        <v>21</v>
      </c>
      <c r="B7" s="759" t="s">
        <v>31</v>
      </c>
      <c r="C7" s="761" t="s">
        <v>20</v>
      </c>
      <c r="D7" s="761" t="s">
        <v>19</v>
      </c>
      <c r="E7" s="761" t="s">
        <v>18</v>
      </c>
      <c r="F7" s="761"/>
      <c r="G7" s="761" t="s">
        <v>17</v>
      </c>
      <c r="H7" s="761"/>
      <c r="I7" s="44" t="s">
        <v>16</v>
      </c>
    </row>
    <row r="8" spans="1:9" ht="31.5" thickBot="1" x14ac:dyDescent="0.3">
      <c r="A8" s="758"/>
      <c r="B8" s="760"/>
      <c r="C8" s="762"/>
      <c r="D8" s="762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9" ht="20.25" x14ac:dyDescent="0.3">
      <c r="A10" s="130">
        <v>310148</v>
      </c>
      <c r="B10" s="131" t="s">
        <v>85</v>
      </c>
      <c r="C10" s="132" t="s">
        <v>86</v>
      </c>
      <c r="D10" s="133" t="s">
        <v>87</v>
      </c>
      <c r="E10" s="134">
        <v>12800</v>
      </c>
      <c r="F10" s="135" t="s">
        <v>1</v>
      </c>
      <c r="G10" s="136"/>
      <c r="H10" s="137"/>
      <c r="I10" s="129"/>
    </row>
    <row r="11" spans="1:9" ht="20.25" x14ac:dyDescent="0.3">
      <c r="A11" s="130">
        <v>11400031</v>
      </c>
      <c r="B11" s="138" t="s">
        <v>88</v>
      </c>
      <c r="C11" s="139" t="s">
        <v>89</v>
      </c>
      <c r="D11" s="133" t="s">
        <v>87</v>
      </c>
      <c r="E11" s="140">
        <v>3200</v>
      </c>
      <c r="F11" s="141" t="s">
        <v>1</v>
      </c>
      <c r="G11" s="136"/>
      <c r="H11" s="137"/>
      <c r="I11" s="129"/>
    </row>
    <row r="12" spans="1:9" ht="20.25" x14ac:dyDescent="0.3">
      <c r="A12" s="130" t="s">
        <v>90</v>
      </c>
      <c r="B12" s="138"/>
      <c r="C12" s="139" t="s">
        <v>91</v>
      </c>
      <c r="D12" s="133" t="s">
        <v>92</v>
      </c>
      <c r="E12" s="140">
        <v>800</v>
      </c>
      <c r="F12" s="141" t="s">
        <v>1</v>
      </c>
      <c r="G12" s="142"/>
      <c r="H12" s="137"/>
      <c r="I12" s="129"/>
    </row>
    <row r="13" spans="1:9" ht="20.25" x14ac:dyDescent="0.3">
      <c r="A13" s="130">
        <v>1212410</v>
      </c>
      <c r="B13" s="138" t="s">
        <v>93</v>
      </c>
      <c r="C13" s="139" t="s">
        <v>94</v>
      </c>
      <c r="D13" s="133" t="s">
        <v>95</v>
      </c>
      <c r="E13" s="140">
        <v>12</v>
      </c>
      <c r="F13" s="141" t="s">
        <v>1</v>
      </c>
      <c r="G13" s="142"/>
      <c r="H13" s="137"/>
      <c r="I13" s="129"/>
    </row>
    <row r="14" spans="1:9" ht="20.25" x14ac:dyDescent="0.3">
      <c r="A14" s="143"/>
      <c r="B14" s="144"/>
      <c r="C14" s="145"/>
      <c r="D14" s="142"/>
      <c r="E14" s="142"/>
      <c r="F14" s="146"/>
      <c r="G14" s="142"/>
      <c r="H14" s="137"/>
      <c r="I14" s="129"/>
    </row>
    <row r="15" spans="1:9" ht="20.25" x14ac:dyDescent="0.3">
      <c r="A15" s="147"/>
      <c r="B15" s="144"/>
      <c r="C15" s="148"/>
      <c r="D15" s="142"/>
      <c r="E15" s="142"/>
      <c r="F15" s="146"/>
      <c r="G15" s="142"/>
      <c r="H15" s="137"/>
      <c r="I15" s="129"/>
    </row>
    <row r="16" spans="1:9" ht="20.25" x14ac:dyDescent="0.3">
      <c r="A16" s="142"/>
      <c r="B16" s="142"/>
      <c r="C16" s="149"/>
      <c r="D16" s="150"/>
      <c r="E16" s="150"/>
      <c r="F16" s="136"/>
      <c r="G16" s="142"/>
      <c r="H16" s="137"/>
      <c r="I16" s="129"/>
    </row>
    <row r="17" spans="1:9" ht="20.25" x14ac:dyDescent="0.3">
      <c r="A17" s="144"/>
      <c r="B17" s="144"/>
      <c r="C17" s="151"/>
      <c r="D17" s="142"/>
      <c r="E17" s="142"/>
      <c r="F17" s="146"/>
      <c r="G17" s="142"/>
      <c r="H17" s="137"/>
      <c r="I17" s="129"/>
    </row>
    <row r="18" spans="1:9" ht="20.25" x14ac:dyDescent="0.3">
      <c r="A18" s="143"/>
      <c r="B18" s="144"/>
      <c r="C18" s="145"/>
      <c r="D18" s="142"/>
      <c r="E18" s="142"/>
      <c r="F18" s="146"/>
      <c r="G18" s="142"/>
      <c r="H18" s="137"/>
      <c r="I18" s="129"/>
    </row>
    <row r="19" spans="1:9" ht="20.25" x14ac:dyDescent="0.3">
      <c r="A19" s="142"/>
      <c r="B19" s="142"/>
      <c r="C19" s="152"/>
      <c r="D19" s="153"/>
      <c r="E19" s="154"/>
      <c r="F19" s="155"/>
      <c r="G19" s="127"/>
      <c r="H19" s="137"/>
      <c r="I19" s="129"/>
    </row>
    <row r="20" spans="1:9" ht="20.25" x14ac:dyDescent="0.3">
      <c r="A20" s="156"/>
      <c r="B20" s="157"/>
      <c r="C20" s="158" t="s">
        <v>68</v>
      </c>
      <c r="D20" s="159"/>
      <c r="E20" s="160"/>
      <c r="F20" s="161"/>
      <c r="G20" s="127"/>
      <c r="H20" s="128"/>
      <c r="I20" s="129"/>
    </row>
    <row r="21" spans="1:9" ht="20.25" x14ac:dyDescent="0.3">
      <c r="A21" s="130"/>
      <c r="B21" s="162"/>
      <c r="C21" s="132"/>
      <c r="D21" s="133"/>
      <c r="E21" s="140"/>
      <c r="F21" s="141"/>
      <c r="G21" s="127"/>
      <c r="H21" s="128"/>
      <c r="I21" s="129"/>
    </row>
    <row r="22" spans="1:9" ht="20.25" x14ac:dyDescent="0.3">
      <c r="A22" s="130"/>
      <c r="B22" s="162"/>
      <c r="C22" s="132"/>
      <c r="D22" s="133"/>
      <c r="E22" s="154"/>
      <c r="F22" s="141"/>
      <c r="G22" s="127"/>
      <c r="H22" s="128"/>
      <c r="I22" s="129"/>
    </row>
    <row r="23" spans="1:9" ht="20.25" x14ac:dyDescent="0.3">
      <c r="A23" s="130"/>
      <c r="B23" s="162"/>
      <c r="C23" s="132"/>
      <c r="D23" s="133"/>
      <c r="E23" s="140"/>
      <c r="F23" s="141"/>
      <c r="G23" s="127"/>
      <c r="H23" s="128"/>
      <c r="I23" s="129"/>
    </row>
    <row r="24" spans="1:9" ht="20.25" x14ac:dyDescent="0.3">
      <c r="A24" s="130"/>
      <c r="B24" s="162"/>
      <c r="C24" s="132"/>
      <c r="D24" s="133"/>
      <c r="E24" s="163"/>
      <c r="F24" s="164"/>
      <c r="G24" s="127"/>
      <c r="H24" s="128"/>
      <c r="I24" s="129"/>
    </row>
    <row r="25" spans="1:9" ht="20.25" x14ac:dyDescent="0.3">
      <c r="A25" s="130"/>
      <c r="B25" s="162"/>
      <c r="C25" s="132"/>
      <c r="D25" s="133"/>
      <c r="E25" s="134"/>
      <c r="F25" s="164"/>
      <c r="G25" s="127"/>
      <c r="H25" s="128"/>
      <c r="I25" s="129"/>
    </row>
    <row r="26" spans="1:9" ht="20.25" x14ac:dyDescent="0.3">
      <c r="A26" s="165"/>
      <c r="B26" s="165"/>
      <c r="C26" s="166"/>
      <c r="D26" s="167"/>
      <c r="E26" s="168"/>
      <c r="F26" s="169"/>
      <c r="G26" s="127"/>
      <c r="H26" s="128"/>
      <c r="I26" s="129"/>
    </row>
    <row r="27" spans="1:9" ht="20.25" x14ac:dyDescent="0.3">
      <c r="A27" s="142"/>
      <c r="B27" s="142"/>
      <c r="C27" s="152"/>
      <c r="D27" s="170"/>
      <c r="E27" s="171"/>
      <c r="F27" s="169"/>
      <c r="G27" s="127"/>
      <c r="H27" s="128"/>
      <c r="I27" s="129"/>
    </row>
    <row r="28" spans="1:9" ht="20.25" x14ac:dyDescent="0.3">
      <c r="A28" s="142"/>
      <c r="B28" s="142"/>
      <c r="C28" s="152"/>
      <c r="D28" s="170"/>
      <c r="E28" s="154"/>
      <c r="F28" s="155"/>
      <c r="G28" s="127"/>
      <c r="H28" s="128"/>
      <c r="I28" s="129"/>
    </row>
    <row r="29" spans="1:9" ht="20.25" x14ac:dyDescent="0.3">
      <c r="A29" s="172"/>
      <c r="B29" s="173"/>
      <c r="C29" s="174" t="s">
        <v>75</v>
      </c>
      <c r="D29" s="175"/>
      <c r="E29" s="176"/>
      <c r="F29" s="128"/>
      <c r="G29" s="127"/>
      <c r="H29" s="166"/>
      <c r="I29" s="129"/>
    </row>
    <row r="30" spans="1:9" ht="20.25" x14ac:dyDescent="0.3">
      <c r="A30" s="177">
        <v>702123</v>
      </c>
      <c r="B30" s="177" t="s">
        <v>38</v>
      </c>
      <c r="C30" s="178" t="s">
        <v>96</v>
      </c>
      <c r="D30" s="179" t="s">
        <v>97</v>
      </c>
      <c r="E30" s="180">
        <v>1</v>
      </c>
      <c r="F30" s="181" t="s">
        <v>41</v>
      </c>
      <c r="G30" s="182"/>
      <c r="H30" s="128"/>
      <c r="I30" s="129"/>
    </row>
    <row r="31" spans="1:9" ht="20.25" x14ac:dyDescent="0.3">
      <c r="A31" s="177"/>
      <c r="B31" s="177"/>
      <c r="C31" s="178"/>
      <c r="D31" s="179"/>
      <c r="E31" s="180"/>
      <c r="F31" s="181"/>
      <c r="G31" s="182"/>
      <c r="H31" s="128"/>
      <c r="I31" s="129"/>
    </row>
    <row r="32" spans="1:9" ht="20.25" x14ac:dyDescent="0.3">
      <c r="A32" s="177"/>
      <c r="B32" s="177"/>
      <c r="C32" s="178"/>
      <c r="D32" s="179"/>
      <c r="E32" s="180"/>
      <c r="F32" s="181"/>
      <c r="G32" s="182"/>
      <c r="H32" s="128"/>
      <c r="I32" s="129"/>
    </row>
    <row r="33" spans="1:9" ht="20.25" x14ac:dyDescent="0.3">
      <c r="A33" s="183"/>
      <c r="B33" s="183"/>
      <c r="C33" s="184"/>
      <c r="D33" s="142"/>
      <c r="E33" s="185"/>
      <c r="F33" s="146"/>
      <c r="G33" s="127"/>
      <c r="H33" s="128"/>
      <c r="I33" s="129"/>
    </row>
    <row r="34" spans="1:9" ht="20.25" x14ac:dyDescent="0.3">
      <c r="A34" s="183"/>
      <c r="B34" s="183"/>
      <c r="C34" s="186"/>
      <c r="D34" s="142"/>
      <c r="E34" s="142"/>
      <c r="F34" s="146"/>
      <c r="G34" s="127"/>
      <c r="H34" s="128"/>
      <c r="I34" s="129"/>
    </row>
    <row r="35" spans="1:9" ht="20.25" x14ac:dyDescent="0.3">
      <c r="A35" s="183"/>
      <c r="B35" s="183"/>
      <c r="C35" s="186"/>
      <c r="D35" s="142"/>
      <c r="E35" s="142"/>
      <c r="F35" s="146"/>
      <c r="G35" s="187"/>
      <c r="H35" s="128"/>
      <c r="I35" s="129"/>
    </row>
    <row r="36" spans="1:9" ht="20.25" x14ac:dyDescent="0.3">
      <c r="A36" s="188"/>
      <c r="B36" s="189"/>
      <c r="C36" s="190"/>
      <c r="D36" s="191"/>
      <c r="E36" s="191"/>
      <c r="F36" s="192"/>
      <c r="G36" s="193"/>
      <c r="H36" s="128"/>
      <c r="I36" s="129"/>
    </row>
    <row r="37" spans="1:9" ht="20.25" x14ac:dyDescent="0.3">
      <c r="A37" s="156"/>
      <c r="B37" s="157"/>
      <c r="C37" s="178"/>
      <c r="D37" s="142"/>
      <c r="E37" s="193"/>
      <c r="F37" s="161"/>
      <c r="G37" s="193"/>
      <c r="H37" s="128"/>
      <c r="I37" s="129"/>
    </row>
    <row r="38" spans="1:9" ht="20.25" x14ac:dyDescent="0.3">
      <c r="A38" s="156"/>
      <c r="B38" s="157"/>
      <c r="C38" s="178"/>
      <c r="D38" s="159"/>
      <c r="E38" s="159"/>
      <c r="F38" s="161"/>
      <c r="G38" s="159"/>
      <c r="H38" s="159"/>
      <c r="I38" s="129"/>
    </row>
    <row r="39" spans="1:9" ht="21" thickBot="1" x14ac:dyDescent="0.35">
      <c r="A39" s="194"/>
      <c r="B39" s="195"/>
      <c r="C39" s="196"/>
      <c r="D39" s="196"/>
      <c r="E39" s="197"/>
      <c r="F39" s="198"/>
      <c r="G39" s="196"/>
      <c r="H39" s="196"/>
      <c r="I39" s="199"/>
    </row>
    <row r="40" spans="1:9" ht="21" thickBot="1" x14ac:dyDescent="0.35">
      <c r="A40" s="200"/>
      <c r="B40" s="201"/>
      <c r="C40" s="202"/>
      <c r="D40" s="203" t="s">
        <v>13</v>
      </c>
      <c r="E40" s="204" t="s">
        <v>12</v>
      </c>
      <c r="F40" s="205"/>
      <c r="G40" s="202"/>
      <c r="H40" s="202"/>
      <c r="I40" s="206"/>
    </row>
    <row r="41" spans="1:9" ht="20.25" x14ac:dyDescent="0.3">
      <c r="A41" s="748" t="s">
        <v>11</v>
      </c>
      <c r="B41" s="749"/>
      <c r="C41" s="750"/>
      <c r="D41" s="171">
        <v>16597</v>
      </c>
      <c r="E41" s="207" t="s">
        <v>1</v>
      </c>
      <c r="F41" s="751" t="s">
        <v>10</v>
      </c>
      <c r="G41" s="751"/>
      <c r="H41" s="752"/>
      <c r="I41" s="753"/>
    </row>
    <row r="42" spans="1:9" ht="20.25" x14ac:dyDescent="0.3">
      <c r="A42" s="740" t="s">
        <v>9</v>
      </c>
      <c r="B42" s="741"/>
      <c r="C42" s="742"/>
      <c r="D42" s="142">
        <v>17</v>
      </c>
      <c r="E42" s="142" t="s">
        <v>8</v>
      </c>
      <c r="F42" s="743" t="s">
        <v>7</v>
      </c>
      <c r="G42" s="743"/>
      <c r="H42" s="744"/>
      <c r="I42" s="745"/>
    </row>
    <row r="43" spans="1:9" ht="20.25" x14ac:dyDescent="0.3">
      <c r="A43" s="740" t="s">
        <v>6</v>
      </c>
      <c r="B43" s="741"/>
      <c r="C43" s="742"/>
      <c r="D43" s="142">
        <v>1</v>
      </c>
      <c r="E43" s="142" t="s">
        <v>35</v>
      </c>
      <c r="F43" s="743" t="s">
        <v>5</v>
      </c>
      <c r="G43" s="743"/>
      <c r="H43" s="744"/>
      <c r="I43" s="745"/>
    </row>
    <row r="44" spans="1:9" ht="20.25" x14ac:dyDescent="0.3">
      <c r="A44" s="740" t="s">
        <v>4</v>
      </c>
      <c r="B44" s="741"/>
      <c r="C44" s="742"/>
      <c r="D44" s="154">
        <v>16597</v>
      </c>
      <c r="E44" s="142" t="s">
        <v>1</v>
      </c>
      <c r="F44" s="746" t="s">
        <v>3</v>
      </c>
      <c r="G44" s="747"/>
      <c r="H44" s="898"/>
      <c r="I44" s="899"/>
    </row>
    <row r="45" spans="1:9" ht="21" thickBot="1" x14ac:dyDescent="0.35">
      <c r="A45" s="728" t="s">
        <v>2</v>
      </c>
      <c r="B45" s="729"/>
      <c r="C45" s="730"/>
      <c r="D45" s="208">
        <v>215</v>
      </c>
      <c r="E45" s="209" t="s">
        <v>1</v>
      </c>
      <c r="F45" s="731"/>
      <c r="G45" s="731"/>
      <c r="H45" s="744"/>
      <c r="I45" s="745"/>
    </row>
    <row r="46" spans="1:9" ht="21" thickBot="1" x14ac:dyDescent="0.35">
      <c r="A46" s="1106" t="s">
        <v>0</v>
      </c>
      <c r="B46" s="1107"/>
      <c r="C46" s="1107"/>
      <c r="D46" s="1107"/>
      <c r="E46" s="1107"/>
      <c r="F46" s="1107"/>
      <c r="G46" s="1107"/>
      <c r="H46" s="1107"/>
      <c r="I46" s="1108"/>
    </row>
    <row r="47" spans="1:9" ht="20.25" x14ac:dyDescent="0.3">
      <c r="A47" s="1103" t="s">
        <v>98</v>
      </c>
      <c r="B47" s="1104"/>
      <c r="C47" s="1104"/>
      <c r="D47" s="1104"/>
      <c r="E47" s="1104"/>
      <c r="F47" s="1104"/>
      <c r="G47" s="1104"/>
      <c r="H47" s="1104"/>
      <c r="I47" s="1105"/>
    </row>
    <row r="48" spans="1:9" ht="20.25" x14ac:dyDescent="0.3">
      <c r="A48" s="1103" t="s">
        <v>99</v>
      </c>
      <c r="B48" s="1104"/>
      <c r="C48" s="1104"/>
      <c r="D48" s="1104"/>
      <c r="E48" s="1104"/>
      <c r="F48" s="1104"/>
      <c r="G48" s="1104"/>
      <c r="H48" s="1104"/>
      <c r="I48" s="1105"/>
    </row>
    <row r="49" spans="1:9" ht="20.25" x14ac:dyDescent="0.3">
      <c r="A49" s="1103" t="s">
        <v>100</v>
      </c>
      <c r="B49" s="1104"/>
      <c r="C49" s="1104"/>
      <c r="D49" s="1104"/>
      <c r="E49" s="1104"/>
      <c r="F49" s="1104"/>
      <c r="G49" s="1104"/>
      <c r="H49" s="1104"/>
      <c r="I49" s="1105"/>
    </row>
    <row r="50" spans="1:9" ht="20.25" x14ac:dyDescent="0.3">
      <c r="A50" s="1103" t="s">
        <v>101</v>
      </c>
      <c r="B50" s="1104"/>
      <c r="C50" s="1104"/>
      <c r="D50" s="1104"/>
      <c r="E50" s="1104"/>
      <c r="F50" s="1104"/>
      <c r="G50" s="1104"/>
      <c r="H50" s="1104"/>
      <c r="I50" s="1105"/>
    </row>
    <row r="51" spans="1:9" ht="20.25" x14ac:dyDescent="0.3">
      <c r="A51" s="1103" t="s">
        <v>102</v>
      </c>
      <c r="B51" s="1104"/>
      <c r="C51" s="1104"/>
      <c r="D51" s="1104"/>
      <c r="E51" s="1104"/>
      <c r="F51" s="1104"/>
      <c r="G51" s="1104"/>
      <c r="H51" s="1104"/>
      <c r="I51" s="1105"/>
    </row>
    <row r="52" spans="1:9" ht="14.65" customHeight="1" x14ac:dyDescent="0.3">
      <c r="A52" s="1117"/>
      <c r="B52" s="1118"/>
      <c r="C52" s="1119"/>
      <c r="D52" s="1119"/>
      <c r="E52" s="1119"/>
      <c r="F52" s="1119"/>
      <c r="G52" s="1119"/>
      <c r="H52" s="1119"/>
      <c r="I52" s="1120"/>
    </row>
    <row r="53" spans="1:9" ht="18" customHeight="1" x14ac:dyDescent="0.3">
      <c r="A53" s="1121"/>
      <c r="B53" s="1122"/>
      <c r="C53" s="1122"/>
      <c r="D53" s="1122"/>
      <c r="E53" s="1122"/>
      <c r="F53" s="1122"/>
      <c r="G53" s="1122"/>
      <c r="H53" s="1122"/>
      <c r="I53" s="1123"/>
    </row>
    <row r="54" spans="1:9" ht="21" thickBot="1" x14ac:dyDescent="0.35">
      <c r="A54" s="1124"/>
      <c r="B54" s="1125"/>
      <c r="C54" s="1125"/>
      <c r="D54" s="1125"/>
      <c r="E54" s="1125"/>
      <c r="F54" s="1125"/>
      <c r="G54" s="1125"/>
      <c r="H54" s="1125"/>
      <c r="I54" s="1126"/>
    </row>
    <row r="55" spans="1:9" ht="21" thickBot="1" x14ac:dyDescent="0.35">
      <c r="A55" s="1109"/>
      <c r="B55" s="1110"/>
      <c r="C55" s="1110"/>
      <c r="D55" s="1110"/>
      <c r="E55" s="1110"/>
      <c r="F55" s="1110"/>
      <c r="G55" s="1110"/>
      <c r="H55" s="1110"/>
      <c r="I55" s="1111"/>
    </row>
    <row r="56" spans="1:9" ht="20.25" x14ac:dyDescent="0.3">
      <c r="A56" s="1112" t="s">
        <v>32</v>
      </c>
      <c r="B56" s="1113"/>
      <c r="C56" s="1113"/>
      <c r="D56" s="1113"/>
      <c r="E56" s="1113"/>
      <c r="F56" s="1113"/>
      <c r="G56" s="1113"/>
      <c r="H56" s="1113"/>
      <c r="I56" s="1113"/>
    </row>
    <row r="57" spans="1:9" ht="20.25" x14ac:dyDescent="0.3">
      <c r="A57" s="1114" t="s">
        <v>103</v>
      </c>
      <c r="B57" s="1115"/>
      <c r="C57" s="1115"/>
      <c r="D57" s="1115"/>
      <c r="E57" s="1115"/>
      <c r="F57" s="1115"/>
      <c r="G57" s="1115"/>
      <c r="H57" s="1115"/>
      <c r="I57" s="1116"/>
    </row>
    <row r="58" spans="1:9" ht="17.25" x14ac:dyDescent="0.3">
      <c r="A58" s="1090"/>
      <c r="B58" s="1091"/>
      <c r="C58" s="1091"/>
      <c r="D58" s="1091"/>
      <c r="E58" s="1091"/>
      <c r="F58" s="1091"/>
      <c r="G58" s="1091"/>
      <c r="H58" s="1091"/>
      <c r="I58" s="1091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C56-9E6F-450B-9040-CB2A10AF2E6E}">
  <sheetPr>
    <pageSetUpPr fitToPage="1"/>
  </sheetPr>
  <dimension ref="A1:P3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4.28515625" bestFit="1" customWidth="1"/>
    <col min="2" max="2" width="16.42578125" customWidth="1"/>
    <col min="3" max="3" width="37.28515625" bestFit="1" customWidth="1"/>
    <col min="4" max="5" width="15.28515625" customWidth="1"/>
    <col min="7" max="7" width="21.7109375" customWidth="1"/>
    <col min="8" max="8" width="19.28515625" customWidth="1"/>
    <col min="9" max="9" width="21.5703125" customWidth="1"/>
    <col min="10" max="10" width="12" bestFit="1" customWidth="1"/>
  </cols>
  <sheetData>
    <row r="1" spans="1:16" ht="17.25" x14ac:dyDescent="0.3">
      <c r="A1" s="772"/>
      <c r="B1" s="773"/>
      <c r="C1" s="778" t="s">
        <v>30</v>
      </c>
      <c r="D1" s="778"/>
      <c r="E1" s="778"/>
      <c r="F1" s="778"/>
      <c r="G1" s="778"/>
      <c r="H1" s="38" t="s">
        <v>29</v>
      </c>
      <c r="I1" s="39" t="s">
        <v>336</v>
      </c>
    </row>
    <row r="2" spans="1:16" ht="17.25" x14ac:dyDescent="0.3">
      <c r="A2" s="774"/>
      <c r="B2" s="775"/>
      <c r="C2" s="779" t="s">
        <v>28</v>
      </c>
      <c r="D2" s="779"/>
      <c r="E2" s="779"/>
      <c r="F2" s="779"/>
      <c r="G2" s="779"/>
      <c r="H2" s="40" t="s">
        <v>27</v>
      </c>
      <c r="I2" s="41" t="s">
        <v>150</v>
      </c>
    </row>
    <row r="3" spans="1:16" ht="24" thickBot="1" x14ac:dyDescent="0.3">
      <c r="A3" s="774"/>
      <c r="B3" s="775"/>
      <c r="C3" s="780" t="s">
        <v>335</v>
      </c>
      <c r="D3" s="780"/>
      <c r="E3" s="780"/>
      <c r="F3" s="780"/>
      <c r="G3" s="780"/>
      <c r="H3" s="781" t="s">
        <v>26</v>
      </c>
      <c r="I3" s="763">
        <v>46094</v>
      </c>
    </row>
    <row r="4" spans="1:16" ht="17.25" x14ac:dyDescent="0.3">
      <c r="A4" s="774"/>
      <c r="B4" s="775"/>
      <c r="C4" s="42" t="s">
        <v>25</v>
      </c>
      <c r="D4" s="766" t="s">
        <v>343</v>
      </c>
      <c r="E4" s="767"/>
      <c r="F4" s="767"/>
      <c r="G4" s="768"/>
      <c r="H4" s="782"/>
      <c r="I4" s="764"/>
    </row>
    <row r="5" spans="1:16" ht="18" thickBot="1" x14ac:dyDescent="0.35">
      <c r="A5" s="776"/>
      <c r="B5" s="777"/>
      <c r="C5" s="43" t="s">
        <v>24</v>
      </c>
      <c r="D5" s="769" t="s">
        <v>36</v>
      </c>
      <c r="E5" s="770"/>
      <c r="F5" s="770"/>
      <c r="G5" s="771"/>
      <c r="H5" s="783"/>
      <c r="I5" s="765"/>
    </row>
    <row r="6" spans="1:16" ht="16.5" thickBot="1" x14ac:dyDescent="0.3">
      <c r="A6" s="754" t="s">
        <v>23</v>
      </c>
      <c r="B6" s="754"/>
      <c r="C6" s="754"/>
      <c r="D6" s="755" t="s">
        <v>59</v>
      </c>
      <c r="E6" s="755"/>
      <c r="F6" s="755"/>
      <c r="G6" s="756" t="s">
        <v>22</v>
      </c>
      <c r="H6" s="756"/>
      <c r="I6" s="37" t="s">
        <v>59</v>
      </c>
    </row>
    <row r="7" spans="1:16" ht="36.75" customHeight="1" x14ac:dyDescent="0.25">
      <c r="A7" s="757" t="s">
        <v>21</v>
      </c>
      <c r="B7" s="759" t="s">
        <v>31</v>
      </c>
      <c r="C7" s="761" t="s">
        <v>20</v>
      </c>
      <c r="D7" s="761" t="s">
        <v>19</v>
      </c>
      <c r="E7" s="761" t="s">
        <v>18</v>
      </c>
      <c r="F7" s="761"/>
      <c r="G7" s="761" t="s">
        <v>17</v>
      </c>
      <c r="H7" s="761"/>
      <c r="I7" s="44" t="s">
        <v>16</v>
      </c>
    </row>
    <row r="8" spans="1:16" ht="32.25" customHeight="1" thickBot="1" x14ac:dyDescent="0.3">
      <c r="A8" s="758"/>
      <c r="B8" s="760"/>
      <c r="C8" s="762"/>
      <c r="D8" s="762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16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6" ht="20.25" x14ac:dyDescent="0.3">
      <c r="A10" s="130"/>
      <c r="B10" s="131" t="s">
        <v>341</v>
      </c>
      <c r="C10" s="139" t="s">
        <v>337</v>
      </c>
      <c r="D10" s="133" t="s">
        <v>338</v>
      </c>
      <c r="E10" s="154">
        <v>3600</v>
      </c>
      <c r="F10" s="155" t="s">
        <v>1</v>
      </c>
      <c r="G10" s="709"/>
      <c r="H10" s="142"/>
      <c r="I10" s="129"/>
      <c r="J10" s="8"/>
      <c r="K10" s="8"/>
    </row>
    <row r="11" spans="1:16" ht="20.25" x14ac:dyDescent="0.3">
      <c r="A11" s="143"/>
      <c r="B11" s="144" t="s">
        <v>340</v>
      </c>
      <c r="C11" s="145" t="s">
        <v>54</v>
      </c>
      <c r="D11" s="142" t="s">
        <v>338</v>
      </c>
      <c r="E11" s="276">
        <v>11500</v>
      </c>
      <c r="F11" s="155" t="s">
        <v>1</v>
      </c>
      <c r="G11" s="710"/>
      <c r="H11" s="142"/>
      <c r="I11" s="129"/>
      <c r="J11" s="8"/>
      <c r="K11" s="8"/>
    </row>
    <row r="12" spans="1:16" ht="20.25" x14ac:dyDescent="0.3">
      <c r="A12" s="709"/>
      <c r="B12" s="709"/>
      <c r="C12" s="712"/>
      <c r="D12" s="713"/>
      <c r="E12" s="191"/>
      <c r="F12" s="155"/>
      <c r="G12" s="711"/>
      <c r="H12" s="154"/>
      <c r="I12" s="129"/>
      <c r="J12" s="8"/>
    </row>
    <row r="13" spans="1:16" ht="20.25" x14ac:dyDescent="0.3">
      <c r="A13" s="714"/>
      <c r="B13" s="715"/>
      <c r="C13" s="716" t="s">
        <v>39</v>
      </c>
      <c r="D13" s="167"/>
      <c r="E13" s="191"/>
      <c r="F13" s="155"/>
      <c r="G13" s="709"/>
      <c r="H13" s="154"/>
      <c r="I13" s="129"/>
      <c r="P13">
        <f>970/397</f>
        <v>2.4433249370277079</v>
      </c>
    </row>
    <row r="14" spans="1:16" ht="20.25" x14ac:dyDescent="0.3">
      <c r="A14" s="297"/>
      <c r="B14" s="297"/>
      <c r="C14" s="298"/>
      <c r="D14" s="170"/>
      <c r="E14" s="154"/>
      <c r="F14" s="155"/>
      <c r="G14" s="154"/>
      <c r="H14" s="142"/>
      <c r="I14" s="129"/>
    </row>
    <row r="15" spans="1:16" ht="20.25" x14ac:dyDescent="0.3">
      <c r="A15" s="297"/>
      <c r="B15" s="297"/>
      <c r="C15" s="717" t="s">
        <v>37</v>
      </c>
      <c r="D15" s="170"/>
      <c r="E15" s="154"/>
      <c r="F15" s="142"/>
      <c r="G15" s="154"/>
      <c r="H15" s="142"/>
      <c r="I15" s="129"/>
    </row>
    <row r="16" spans="1:16" ht="20.25" x14ac:dyDescent="0.3">
      <c r="A16" s="156"/>
      <c r="B16" s="157"/>
      <c r="C16" s="178"/>
      <c r="D16" s="159"/>
      <c r="E16" s="159"/>
      <c r="F16" s="161"/>
      <c r="G16" s="159"/>
      <c r="H16" s="159"/>
      <c r="I16" s="129"/>
    </row>
    <row r="17" spans="1:11" ht="21" thickBot="1" x14ac:dyDescent="0.35">
      <c r="A17" s="194"/>
      <c r="B17" s="195"/>
      <c r="C17" s="196"/>
      <c r="D17" s="196"/>
      <c r="E17" s="197"/>
      <c r="F17" s="198"/>
      <c r="G17" s="196"/>
      <c r="H17" s="196"/>
      <c r="I17" s="199"/>
    </row>
    <row r="18" spans="1:11" ht="21" thickBot="1" x14ac:dyDescent="0.35">
      <c r="A18" s="200"/>
      <c r="B18" s="201"/>
      <c r="C18" s="202"/>
      <c r="D18" s="203" t="s">
        <v>13</v>
      </c>
      <c r="E18" s="204" t="s">
        <v>12</v>
      </c>
      <c r="F18" s="205"/>
      <c r="G18" s="202"/>
      <c r="H18" s="202"/>
      <c r="I18" s="206"/>
      <c r="K18" s="55"/>
    </row>
    <row r="19" spans="1:11" ht="20.25" x14ac:dyDescent="0.3">
      <c r="A19" s="748" t="s">
        <v>11</v>
      </c>
      <c r="B19" s="749"/>
      <c r="C19" s="750"/>
      <c r="D19" s="718">
        <v>15000</v>
      </c>
      <c r="E19" s="207" t="s">
        <v>1</v>
      </c>
      <c r="F19" s="751" t="s">
        <v>10</v>
      </c>
      <c r="G19" s="751"/>
      <c r="H19" s="752"/>
      <c r="I19" s="753"/>
    </row>
    <row r="20" spans="1:11" ht="20.25" x14ac:dyDescent="0.3">
      <c r="A20" s="740" t="s">
        <v>9</v>
      </c>
      <c r="B20" s="741"/>
      <c r="C20" s="742"/>
      <c r="D20" s="718">
        <v>5</v>
      </c>
      <c r="E20" s="142" t="s">
        <v>8</v>
      </c>
      <c r="F20" s="743" t="s">
        <v>7</v>
      </c>
      <c r="G20" s="743"/>
      <c r="H20" s="744"/>
      <c r="I20" s="745"/>
    </row>
    <row r="21" spans="1:11" ht="20.25" x14ac:dyDescent="0.3">
      <c r="A21" s="740" t="s">
        <v>6</v>
      </c>
      <c r="B21" s="741"/>
      <c r="C21" s="742"/>
      <c r="D21" s="718">
        <v>1</v>
      </c>
      <c r="E21" s="142" t="s">
        <v>35</v>
      </c>
      <c r="F21" s="743" t="s">
        <v>5</v>
      </c>
      <c r="G21" s="743"/>
      <c r="H21" s="744"/>
      <c r="I21" s="745"/>
    </row>
    <row r="22" spans="1:11" ht="20.25" x14ac:dyDescent="0.3">
      <c r="A22" s="740" t="s">
        <v>4</v>
      </c>
      <c r="B22" s="741"/>
      <c r="C22" s="742"/>
      <c r="D22" s="718">
        <v>15000</v>
      </c>
      <c r="E22" s="142" t="s">
        <v>1</v>
      </c>
      <c r="F22" s="746" t="s">
        <v>3</v>
      </c>
      <c r="G22" s="747"/>
      <c r="H22" s="744"/>
      <c r="I22" s="745"/>
    </row>
    <row r="23" spans="1:11" ht="21" thickBot="1" x14ac:dyDescent="0.35">
      <c r="A23" s="728" t="s">
        <v>2</v>
      </c>
      <c r="B23" s="729"/>
      <c r="C23" s="730"/>
      <c r="D23" s="719">
        <f>SUM(E10:E11)-D19</f>
        <v>100</v>
      </c>
      <c r="E23" s="209" t="s">
        <v>1</v>
      </c>
      <c r="F23" s="731"/>
      <c r="G23" s="731"/>
      <c r="H23" s="732"/>
      <c r="I23" s="733"/>
    </row>
    <row r="24" spans="1:11" ht="21" thickBot="1" x14ac:dyDescent="0.35">
      <c r="A24" s="734" t="s">
        <v>0</v>
      </c>
      <c r="B24" s="735"/>
      <c r="C24" s="735"/>
      <c r="D24" s="735"/>
      <c r="E24" s="735"/>
      <c r="F24" s="735"/>
      <c r="G24" s="735"/>
      <c r="H24" s="735"/>
      <c r="I24" s="736"/>
    </row>
    <row r="25" spans="1:11" ht="48" customHeight="1" x14ac:dyDescent="0.25">
      <c r="A25" s="737" t="s">
        <v>56</v>
      </c>
      <c r="B25" s="738"/>
      <c r="C25" s="738"/>
      <c r="D25" s="738"/>
      <c r="E25" s="738"/>
      <c r="F25" s="738"/>
      <c r="G25" s="738"/>
      <c r="H25" s="738"/>
      <c r="I25" s="739"/>
    </row>
    <row r="26" spans="1:11" ht="20.25" customHeight="1" x14ac:dyDescent="0.25">
      <c r="A26" s="720" t="s">
        <v>57</v>
      </c>
      <c r="B26" s="721"/>
      <c r="C26" s="721"/>
      <c r="D26" s="721"/>
      <c r="E26" s="721"/>
      <c r="F26" s="721"/>
      <c r="G26" s="721"/>
      <c r="H26" s="721"/>
      <c r="I26" s="722"/>
    </row>
    <row r="27" spans="1:11" ht="20.25" x14ac:dyDescent="0.3">
      <c r="A27" s="724"/>
      <c r="B27" s="725"/>
      <c r="C27" s="725"/>
      <c r="D27" s="725"/>
      <c r="E27" s="725"/>
      <c r="F27" s="725"/>
      <c r="G27" s="725"/>
      <c r="H27" s="725"/>
      <c r="I27" s="726"/>
    </row>
    <row r="28" spans="1:11" ht="20.25" x14ac:dyDescent="0.3">
      <c r="A28" s="727" t="s">
        <v>32</v>
      </c>
      <c r="B28" s="727"/>
      <c r="C28" s="727"/>
      <c r="D28" s="727"/>
      <c r="E28" s="727"/>
      <c r="F28" s="727"/>
      <c r="G28" s="727"/>
      <c r="H28" s="727"/>
      <c r="I28" s="727"/>
    </row>
    <row r="29" spans="1:11" ht="20.25" x14ac:dyDescent="0.3">
      <c r="A29" s="723" t="s">
        <v>339</v>
      </c>
      <c r="B29" s="723"/>
      <c r="C29" s="723"/>
      <c r="D29" s="723"/>
      <c r="E29" s="723"/>
      <c r="F29" s="723"/>
      <c r="G29" s="723"/>
      <c r="H29" s="723"/>
      <c r="I29" s="723"/>
    </row>
    <row r="30" spans="1:11" ht="20.25" x14ac:dyDescent="0.3">
      <c r="A30" s="723" t="s">
        <v>342</v>
      </c>
      <c r="B30" s="723"/>
      <c r="C30" s="723"/>
      <c r="D30" s="723"/>
      <c r="E30" s="723"/>
      <c r="F30" s="723"/>
      <c r="G30" s="723"/>
      <c r="H30" s="723"/>
      <c r="I30" s="723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26:I26"/>
    <mergeCell ref="A30:I30"/>
    <mergeCell ref="A27:I27"/>
    <mergeCell ref="A28:I28"/>
    <mergeCell ref="A29:I29"/>
  </mergeCells>
  <pageMargins left="0.25" right="0.25" top="0.75" bottom="0.75" header="0.3" footer="0.3"/>
  <pageSetup scale="5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249A-71CF-435D-8259-6067F19DF83C}">
  <dimension ref="A1:Q91"/>
  <sheetViews>
    <sheetView workbookViewId="0">
      <selection activeCell="M9" sqref="M9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7109375" style="699" customWidth="1"/>
    <col min="8" max="8" width="10.42578125" style="690" bestFit="1" customWidth="1"/>
    <col min="9" max="9" width="4.5703125" style="690" customWidth="1"/>
    <col min="10" max="10" width="1.71093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1" ht="27.75" customHeight="1" x14ac:dyDescent="0.25">
      <c r="A1" s="612"/>
      <c r="B1" s="612"/>
      <c r="C1" s="612"/>
      <c r="D1" s="612"/>
      <c r="E1" s="613" t="s">
        <v>275</v>
      </c>
      <c r="F1" s="614" t="s">
        <v>276</v>
      </c>
      <c r="G1" s="614" t="s">
        <v>277</v>
      </c>
      <c r="H1" s="614" t="s">
        <v>278</v>
      </c>
      <c r="I1" s="615"/>
    </row>
    <row r="2" spans="1:11" ht="30.75" customHeight="1" x14ac:dyDescent="0.25">
      <c r="A2" s="612"/>
      <c r="B2" s="612"/>
      <c r="C2" s="612"/>
      <c r="D2" s="612"/>
      <c r="E2" s="618">
        <f>IFERROR(O62,"")</f>
        <v>37325</v>
      </c>
      <c r="F2" s="618">
        <f>IFERROR(H53,"")</f>
        <v>36525</v>
      </c>
      <c r="G2" s="618">
        <f>IFERROR(H54,"")</f>
        <v>0</v>
      </c>
      <c r="H2" s="618">
        <f>IFERROR(H56,"")</f>
        <v>385</v>
      </c>
      <c r="I2" s="619"/>
    </row>
    <row r="3" spans="1:11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1" ht="24.75" customHeight="1" thickBot="1" x14ac:dyDescent="0.3">
      <c r="A4" s="810"/>
      <c r="B4" s="810"/>
      <c r="C4" s="810"/>
      <c r="D4" s="810"/>
      <c r="E4" s="810"/>
      <c r="F4" s="810"/>
      <c r="G4" s="810"/>
      <c r="H4" s="810"/>
      <c r="I4" s="621"/>
    </row>
    <row r="5" spans="1:11" ht="19.5" customHeight="1" thickBot="1" x14ac:dyDescent="0.3">
      <c r="A5" s="811" t="s">
        <v>279</v>
      </c>
      <c r="B5" s="812"/>
      <c r="C5" s="812"/>
      <c r="D5" s="812"/>
      <c r="E5" s="812"/>
      <c r="F5" s="812"/>
      <c r="G5" s="812"/>
      <c r="H5" s="813"/>
      <c r="I5" s="622"/>
    </row>
    <row r="6" spans="1:11" ht="19.5" thickBot="1" x14ac:dyDescent="0.3">
      <c r="A6" s="622"/>
      <c r="B6" s="622"/>
      <c r="C6" s="622"/>
      <c r="D6" s="622"/>
      <c r="E6" s="622"/>
      <c r="F6" s="814" t="s">
        <v>280</v>
      </c>
      <c r="G6" s="814"/>
      <c r="H6" s="623">
        <f ca="1">TODAY()</f>
        <v>46139</v>
      </c>
      <c r="I6" s="623"/>
    </row>
    <row r="7" spans="1:11" ht="26.25" thickBot="1" x14ac:dyDescent="0.3">
      <c r="A7" s="624" t="s">
        <v>281</v>
      </c>
      <c r="B7" s="625" t="s">
        <v>282</v>
      </c>
      <c r="C7" s="625" t="s">
        <v>281</v>
      </c>
      <c r="D7" s="626" t="s">
        <v>283</v>
      </c>
      <c r="E7" s="626" t="s">
        <v>284</v>
      </c>
      <c r="F7" s="626" t="s">
        <v>285</v>
      </c>
      <c r="G7" s="626" t="s">
        <v>286</v>
      </c>
      <c r="H7" s="627" t="s">
        <v>287</v>
      </c>
      <c r="I7" s="628"/>
    </row>
    <row r="8" spans="1:11" ht="13.5" x14ac:dyDescent="0.25">
      <c r="A8" s="629">
        <v>3600</v>
      </c>
      <c r="B8" s="617" t="str">
        <f>IFERROR(VLOOKUP(H8,'[1]Consolidado MP Planta'!$A$2:$M$823,3,0),"")</f>
        <v>LECHE POLVO INDUSTRIAL (SACO:25 KG)</v>
      </c>
      <c r="C8" s="630">
        <f>+A8</f>
        <v>3600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11340</v>
      </c>
      <c r="G8" s="632">
        <f t="shared" ref="G8:G14" si="0">IFERROR(F8/$F$66,"")</f>
        <v>0.30127123709833825</v>
      </c>
      <c r="H8" s="633" t="s">
        <v>326</v>
      </c>
      <c r="I8" s="633"/>
      <c r="J8" s="634"/>
      <c r="K8" s="617">
        <v>96</v>
      </c>
    </row>
    <row r="9" spans="1:11" ht="13.5" x14ac:dyDescent="0.25">
      <c r="A9" s="629">
        <v>11500</v>
      </c>
      <c r="B9" s="617" t="s">
        <v>54</v>
      </c>
      <c r="C9" s="630">
        <f t="shared" ref="C9:C14" si="1">+A9</f>
        <v>11500</v>
      </c>
      <c r="D9" s="631" t="s">
        <v>327</v>
      </c>
      <c r="E9" s="631">
        <v>2.19</v>
      </c>
      <c r="F9" s="631">
        <f t="shared" ref="F9:F14" si="2">IFERROR(C9*E9,"")</f>
        <v>25185</v>
      </c>
      <c r="G9" s="632">
        <f t="shared" si="0"/>
        <v>0.66909313106892843</v>
      </c>
      <c r="H9" s="633"/>
      <c r="I9" s="633"/>
      <c r="J9" s="634"/>
      <c r="K9" s="617">
        <v>306</v>
      </c>
    </row>
    <row r="10" spans="1:11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1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1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1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1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1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1" ht="26.25" hidden="1" thickBot="1" x14ac:dyDescent="0.3">
      <c r="A16" s="624" t="s">
        <v>281</v>
      </c>
      <c r="B16" s="625" t="s">
        <v>288</v>
      </c>
      <c r="C16" s="625" t="s">
        <v>281</v>
      </c>
      <c r="D16" s="626" t="s">
        <v>283</v>
      </c>
      <c r="E16" s="626" t="s">
        <v>284</v>
      </c>
      <c r="F16" s="626" t="s">
        <v>285</v>
      </c>
      <c r="G16" s="626" t="s">
        <v>286</v>
      </c>
      <c r="H16" s="627" t="s">
        <v>287</v>
      </c>
      <c r="I16" s="628"/>
      <c r="J16" s="634"/>
    </row>
    <row r="17" spans="1:12" ht="13.5" hidden="1" x14ac:dyDescent="0.25">
      <c r="A17" s="629"/>
      <c r="B17" s="617" t="str">
        <f>IFERROR(VLOOKUP(H17,[1]SEMIELABORADOS!$A$2:$M$6000,2,0),"")</f>
        <v/>
      </c>
      <c r="C17" s="630">
        <f>+A17</f>
        <v>0</v>
      </c>
      <c r="D17" s="630" t="str">
        <f>IFERROR(VLOOKUP(H17,[1]SEMIELABORADOS!$A$2:$M$6000,6,0),"")</f>
        <v/>
      </c>
      <c r="E17" s="631" t="str">
        <f>IFERROR(VLOOKUP(H17,[1]SEMIELABORADOS!$A$2:$H$65536,8,0),"")</f>
        <v/>
      </c>
      <c r="F17" s="631" t="str">
        <f>IFERROR(E17*C17,"")</f>
        <v/>
      </c>
      <c r="G17" s="632" t="str">
        <f t="shared" ref="G17:G24" si="3">IFERROR(F17/$F$66,"")</f>
        <v/>
      </c>
      <c r="H17" s="633"/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hidden="1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281</v>
      </c>
      <c r="B26" s="625" t="s">
        <v>37</v>
      </c>
      <c r="C26" s="625" t="s">
        <v>281</v>
      </c>
      <c r="D26" s="626" t="s">
        <v>283</v>
      </c>
      <c r="E26" s="626" t="s">
        <v>284</v>
      </c>
      <c r="F26" s="626" t="s">
        <v>285</v>
      </c>
      <c r="G26" s="626" t="s">
        <v>286</v>
      </c>
      <c r="H26" s="627" t="s">
        <v>287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804"/>
      <c r="L27" s="804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804"/>
      <c r="L28" s="804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804"/>
      <c r="L29" s="804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804"/>
      <c r="L30" s="804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hidden="1" thickBot="1" x14ac:dyDescent="0.25">
      <c r="A34" s="624" t="s">
        <v>281</v>
      </c>
      <c r="B34" s="625" t="s">
        <v>289</v>
      </c>
      <c r="C34" s="625" t="s">
        <v>281</v>
      </c>
      <c r="D34" s="626" t="s">
        <v>283</v>
      </c>
      <c r="E34" s="626" t="s">
        <v>284</v>
      </c>
      <c r="F34" s="626" t="s">
        <v>285</v>
      </c>
      <c r="G34" s="626" t="s">
        <v>286</v>
      </c>
      <c r="H34" s="627" t="s">
        <v>287</v>
      </c>
      <c r="I34" s="636"/>
      <c r="J34" s="634"/>
    </row>
    <row r="35" spans="1:13" ht="13.5" hidden="1" x14ac:dyDescent="0.25">
      <c r="A35" s="629">
        <f>+A17</f>
        <v>0</v>
      </c>
      <c r="B35" s="635" t="str">
        <f>IFERROR(VLOOKUP(H35,[1]SEMIELABORADOS!$A$2:$M$6000,2,0),"")</f>
        <v/>
      </c>
      <c r="C35" s="630">
        <f>+A35</f>
        <v>0</v>
      </c>
      <c r="D35" s="631" t="str">
        <f>IFERROR(VLOOKUP(H35,[1]SEMIELABORADOS!$A$2:$M$6000,6,0),"")</f>
        <v/>
      </c>
      <c r="E35" s="631" t="str">
        <f>IFERROR(VLOOKUP(H35,[1]SEMIELABORADOS!$A$2:$M$65536,10,0),"")</f>
        <v/>
      </c>
      <c r="F35" s="631" t="str">
        <f>IFERROR(E35*C35,"")</f>
        <v/>
      </c>
      <c r="G35" s="632" t="str">
        <f t="shared" ref="G35:G41" si="9">IFERROR(F35/$F$66,"")</f>
        <v/>
      </c>
      <c r="H35" s="636"/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hidden="1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281</v>
      </c>
      <c r="B43" s="625" t="s">
        <v>290</v>
      </c>
      <c r="C43" s="625" t="s">
        <v>281</v>
      </c>
      <c r="D43" s="626" t="s">
        <v>283</v>
      </c>
      <c r="E43" s="626" t="s">
        <v>284</v>
      </c>
      <c r="F43" s="626" t="s">
        <v>285</v>
      </c>
      <c r="G43" s="626" t="s">
        <v>286</v>
      </c>
      <c r="H43" s="627" t="s">
        <v>287</v>
      </c>
      <c r="I43" s="628"/>
      <c r="J43" s="634"/>
    </row>
    <row r="44" spans="1:13" ht="13.5" hidden="1" x14ac:dyDescent="0.25">
      <c r="A44" s="629">
        <f>+A35</f>
        <v>0</v>
      </c>
      <c r="B44" s="635" t="str">
        <f>IFERROR(VLOOKUP(H44,[1]SEMIELABORADOS!$A$2:$M$6000,2,0),"")</f>
        <v/>
      </c>
      <c r="C44" s="630">
        <f>+A44</f>
        <v>0</v>
      </c>
      <c r="D44" s="631" t="str">
        <f>IFERROR(VLOOKUP(H44,[1]SEMIELABORADOS!$A$2:$M$6000,6,0),"")</f>
        <v/>
      </c>
      <c r="E44" s="631" t="str">
        <f>IFERROR(VLOOKUP(H44,[1]SEMIELABORADOS!$A$2:$M$65536,12,0),"")</f>
        <v/>
      </c>
      <c r="F44" s="631" t="str">
        <f>IFERROR(E44*C44,"")</f>
        <v/>
      </c>
      <c r="G44" s="632" t="str">
        <f>IFERROR(F44/$F$66,"")</f>
        <v/>
      </c>
      <c r="H44" s="636"/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291</v>
      </c>
      <c r="C51" s="630">
        <f>+A51</f>
        <v>1</v>
      </c>
      <c r="D51" s="630" t="s">
        <v>292</v>
      </c>
      <c r="E51" s="631">
        <f>+F65</f>
        <v>385</v>
      </c>
      <c r="F51" s="631">
        <f>IFERROR(C51*E51,"")</f>
        <v>385</v>
      </c>
      <c r="G51" s="632">
        <f>IFERROR(F51/$F$66,"")</f>
        <v>1.0228344469388027E-2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805" t="s">
        <v>293</v>
      </c>
      <c r="C53" s="805"/>
      <c r="D53" s="805"/>
      <c r="E53" s="805"/>
      <c r="F53" s="643">
        <f>SUM(F8:F14,F17:F24)</f>
        <v>36525</v>
      </c>
      <c r="G53" s="632">
        <f>+F53/$F$66</f>
        <v>0.97036436816726668</v>
      </c>
      <c r="H53" s="644">
        <f>+F53/$D$60</f>
        <v>36525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805" t="s">
        <v>294</v>
      </c>
      <c r="C54" s="805"/>
      <c r="D54" s="805"/>
      <c r="E54" s="805"/>
      <c r="F54" s="643">
        <f>SUM(F27:F32,F35:F41)</f>
        <v>0</v>
      </c>
      <c r="G54" s="632">
        <f>+F54/$F$66</f>
        <v>0</v>
      </c>
      <c r="H54" s="644">
        <f>+F54/$D$60</f>
        <v>0</v>
      </c>
      <c r="I54" s="644"/>
      <c r="J54" s="648"/>
      <c r="K54" s="806" t="s">
        <v>295</v>
      </c>
      <c r="L54" s="807"/>
      <c r="M54" s="807"/>
      <c r="N54" s="807"/>
      <c r="O54" s="649">
        <f>+F55</f>
        <v>36525</v>
      </c>
      <c r="P54" s="649"/>
      <c r="Q54" s="650"/>
    </row>
    <row r="55" spans="1:17" x14ac:dyDescent="0.2">
      <c r="A55" s="641"/>
      <c r="B55" s="805" t="s">
        <v>296</v>
      </c>
      <c r="C55" s="805"/>
      <c r="D55" s="805"/>
      <c r="E55" s="805"/>
      <c r="F55" s="643">
        <f>+F53+F54</f>
        <v>36525</v>
      </c>
      <c r="G55" s="632">
        <f>+F55/$F$66</f>
        <v>0.97036436816726668</v>
      </c>
      <c r="H55" s="644">
        <f>+F55/$D$60</f>
        <v>36525</v>
      </c>
      <c r="I55" s="644"/>
      <c r="J55" s="651"/>
      <c r="K55" s="652"/>
      <c r="M55" s="653" t="s">
        <v>297</v>
      </c>
      <c r="N55" s="654"/>
      <c r="O55" s="649">
        <f>+H56</f>
        <v>385</v>
      </c>
      <c r="P55" s="649"/>
      <c r="Q55" s="650"/>
    </row>
    <row r="56" spans="1:17" ht="13.5" thickBot="1" x14ac:dyDescent="0.25">
      <c r="A56" s="641"/>
      <c r="B56" s="642"/>
      <c r="C56" s="805" t="s">
        <v>298</v>
      </c>
      <c r="D56" s="805"/>
      <c r="E56" s="805"/>
      <c r="F56" s="643">
        <f>SUM(F44:F51)</f>
        <v>385</v>
      </c>
      <c r="G56" s="632">
        <f>+F56/$F$66</f>
        <v>1.0228344469388027E-2</v>
      </c>
      <c r="H56" s="644">
        <f>+F56/$D$60</f>
        <v>385</v>
      </c>
      <c r="I56" s="644"/>
      <c r="J56" s="651"/>
      <c r="K56" s="652"/>
      <c r="L56" s="652"/>
      <c r="M56" s="652" t="s">
        <v>299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300</v>
      </c>
      <c r="N57" s="661"/>
      <c r="O57" s="662">
        <f>SUM(O54:O56)</f>
        <v>36910</v>
      </c>
      <c r="P57" s="663"/>
      <c r="Q57" s="650"/>
    </row>
    <row r="58" spans="1:17" x14ac:dyDescent="0.2">
      <c r="B58" s="808" t="s">
        <v>301</v>
      </c>
      <c r="C58" s="808"/>
      <c r="D58" s="664">
        <v>15000</v>
      </c>
      <c r="E58" s="665"/>
      <c r="G58" s="632"/>
      <c r="H58" s="658">
        <f>+H56/77</f>
        <v>5</v>
      </c>
      <c r="I58" s="666"/>
      <c r="J58" s="651"/>
      <c r="K58" s="659"/>
      <c r="L58" s="652"/>
      <c r="M58" s="652" t="s">
        <v>302</v>
      </c>
      <c r="N58" s="667"/>
      <c r="O58" s="649">
        <f>+H59</f>
        <v>415</v>
      </c>
      <c r="P58" s="649"/>
      <c r="Q58" s="650"/>
    </row>
    <row r="59" spans="1:17" x14ac:dyDescent="0.2">
      <c r="B59" s="808" t="s">
        <v>303</v>
      </c>
      <c r="C59" s="808"/>
      <c r="D59" s="668">
        <v>15000</v>
      </c>
      <c r="E59" s="665"/>
      <c r="G59" s="632"/>
      <c r="H59" s="658">
        <f>+H58*83</f>
        <v>415</v>
      </c>
      <c r="I59" s="666"/>
      <c r="J59" s="651"/>
      <c r="K59" s="659"/>
      <c r="L59" s="652"/>
      <c r="M59" s="809" t="s">
        <v>300</v>
      </c>
      <c r="N59" s="809"/>
      <c r="O59" s="649">
        <f>SUM(O57:O58)</f>
        <v>37325</v>
      </c>
      <c r="P59" s="649"/>
      <c r="Q59" s="650"/>
    </row>
    <row r="60" spans="1:17" ht="13.5" thickBot="1" x14ac:dyDescent="0.25">
      <c r="B60" s="800" t="s">
        <v>304</v>
      </c>
      <c r="C60" s="800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809"/>
      <c r="M60" s="809"/>
      <c r="N60" s="667"/>
      <c r="O60" s="649">
        <f>+O59*N60</f>
        <v>0</v>
      </c>
      <c r="P60" s="649"/>
      <c r="Q60" s="650"/>
    </row>
    <row r="61" spans="1:17" ht="13.5" thickBot="1" x14ac:dyDescent="0.25">
      <c r="B61" s="800" t="s">
        <v>305</v>
      </c>
      <c r="C61" s="800"/>
      <c r="D61" s="670"/>
      <c r="E61" s="665"/>
      <c r="F61" s="669"/>
      <c r="G61" s="632"/>
      <c r="H61" s="658"/>
      <c r="I61" s="666"/>
      <c r="J61" s="651"/>
      <c r="K61" s="801" t="s">
        <v>306</v>
      </c>
      <c r="L61" s="802"/>
      <c r="M61" s="802"/>
      <c r="N61" s="803"/>
      <c r="O61" s="662">
        <f>SUM(O59:O60)</f>
        <v>37325</v>
      </c>
      <c r="P61" s="671" t="s">
        <v>307</v>
      </c>
      <c r="Q61" s="650"/>
    </row>
    <row r="62" spans="1:17" ht="13.5" thickBot="1" x14ac:dyDescent="0.25">
      <c r="C62" s="641" t="s">
        <v>308</v>
      </c>
      <c r="D62" s="672"/>
      <c r="E62" s="615" t="s">
        <v>309</v>
      </c>
      <c r="F62" s="673" t="s">
        <v>310</v>
      </c>
      <c r="G62" s="632"/>
      <c r="H62" s="658"/>
      <c r="I62" s="666"/>
      <c r="J62" s="674"/>
      <c r="K62" s="675"/>
      <c r="L62" s="789" t="s">
        <v>311</v>
      </c>
      <c r="M62" s="789"/>
      <c r="N62" s="789"/>
      <c r="O62" s="676">
        <f>+O61/D60</f>
        <v>37325</v>
      </c>
      <c r="P62" s="677">
        <f>+O62/D59</f>
        <v>2.4883333333333333</v>
      </c>
      <c r="Q62" s="678"/>
    </row>
    <row r="63" spans="1:17" ht="13.5" thickBot="1" x14ac:dyDescent="0.25">
      <c r="B63" s="790" t="s">
        <v>296</v>
      </c>
      <c r="C63" s="790"/>
      <c r="D63" s="790"/>
      <c r="E63" s="679">
        <f>+F63/F63</f>
        <v>1</v>
      </c>
      <c r="F63" s="680">
        <f>SUM(F55)</f>
        <v>36525</v>
      </c>
      <c r="G63" s="632">
        <f>+F63/$F$66</f>
        <v>0.97036436816726668</v>
      </c>
      <c r="H63" s="658"/>
      <c r="I63" s="666"/>
      <c r="K63" s="791"/>
      <c r="L63" s="792"/>
      <c r="M63" s="792"/>
      <c r="N63" s="792"/>
      <c r="O63" s="681"/>
      <c r="P63" s="682"/>
    </row>
    <row r="64" spans="1:17" ht="13.5" thickBot="1" x14ac:dyDescent="0.3">
      <c r="B64" s="793" t="s">
        <v>312</v>
      </c>
      <c r="C64" s="793"/>
      <c r="D64" s="793"/>
      <c r="E64" s="683">
        <v>0.02</v>
      </c>
      <c r="F64" s="680">
        <f>+F53*E64</f>
        <v>730.5</v>
      </c>
      <c r="G64" s="632">
        <f>+F64/$F$66</f>
        <v>1.9407287363345332E-2</v>
      </c>
      <c r="H64" s="644"/>
      <c r="I64" s="666"/>
      <c r="J64" s="684"/>
      <c r="O64" s="685"/>
      <c r="P64" s="642"/>
    </row>
    <row r="65" spans="2:13" ht="13.5" thickBot="1" x14ac:dyDescent="0.3">
      <c r="B65" s="794" t="s">
        <v>313</v>
      </c>
      <c r="C65" s="795"/>
      <c r="D65" s="686">
        <v>5</v>
      </c>
      <c r="E65" s="687">
        <v>77</v>
      </c>
      <c r="F65" s="680">
        <f>+E65*D65</f>
        <v>385</v>
      </c>
      <c r="G65" s="632">
        <f>+F65/$F$66</f>
        <v>1.0228344469388027E-2</v>
      </c>
      <c r="H65" s="644"/>
      <c r="I65" s="644"/>
      <c r="J65" s="634"/>
    </row>
    <row r="66" spans="2:13" ht="13.5" thickBot="1" x14ac:dyDescent="0.3">
      <c r="B66" s="796" t="s">
        <v>314</v>
      </c>
      <c r="C66" s="797"/>
      <c r="D66" s="797"/>
      <c r="E66" s="798"/>
      <c r="F66" s="657">
        <f>SUM(F63:F65)</f>
        <v>37640.5</v>
      </c>
      <c r="G66" s="632">
        <f>+F66/$F$66</f>
        <v>1</v>
      </c>
      <c r="H66" s="799"/>
      <c r="I66" s="644"/>
      <c r="J66" s="634"/>
      <c r="M66" s="617" t="s">
        <v>315</v>
      </c>
    </row>
    <row r="67" spans="2:13" x14ac:dyDescent="0.25">
      <c r="C67" s="639"/>
      <c r="D67" s="639"/>
      <c r="E67" s="689"/>
      <c r="F67" s="680"/>
      <c r="G67" s="632"/>
      <c r="H67" s="799"/>
      <c r="I67" s="688"/>
      <c r="J67" s="617"/>
      <c r="M67" s="617" t="s">
        <v>316</v>
      </c>
    </row>
    <row r="68" spans="2:13" ht="13.5" thickBot="1" x14ac:dyDescent="0.3">
      <c r="B68" s="784" t="s">
        <v>317</v>
      </c>
      <c r="C68" s="784"/>
      <c r="D68" s="784"/>
      <c r="E68" s="784"/>
      <c r="F68" s="784"/>
      <c r="G68" s="632"/>
      <c r="H68" s="691"/>
      <c r="I68" s="688"/>
      <c r="J68" s="617"/>
      <c r="M68" s="617" t="s">
        <v>318</v>
      </c>
    </row>
    <row r="69" spans="2:13" ht="13.5" thickBot="1" x14ac:dyDescent="0.3">
      <c r="B69" s="692" t="s">
        <v>319</v>
      </c>
      <c r="C69" s="693">
        <f>+F53</f>
        <v>36525</v>
      </c>
      <c r="D69" s="693">
        <f>+D58</f>
        <v>15000</v>
      </c>
      <c r="E69" s="694">
        <f>+C69/D69</f>
        <v>2.4350000000000001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320</v>
      </c>
      <c r="C71" s="693">
        <f>SUM(F63:F64)</f>
        <v>37255.5</v>
      </c>
      <c r="D71" s="693">
        <f>+D58</f>
        <v>15000</v>
      </c>
      <c r="E71" s="698">
        <f>+C71/D71</f>
        <v>2.4836999999999998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321</v>
      </c>
      <c r="C73" s="693">
        <f>+F65</f>
        <v>385</v>
      </c>
      <c r="D73" s="693">
        <f>+D58</f>
        <v>15000</v>
      </c>
      <c r="E73" s="698">
        <f>+C73/D73</f>
        <v>2.5666666666666667E-2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322</v>
      </c>
      <c r="C74" s="693">
        <f>+F56</f>
        <v>385</v>
      </c>
      <c r="D74" s="693">
        <f>+D73</f>
        <v>15000</v>
      </c>
      <c r="E74" s="694">
        <f>+C74/D74</f>
        <v>2.5666666666666667E-2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323</v>
      </c>
      <c r="C76" s="693">
        <f>+F54</f>
        <v>0</v>
      </c>
      <c r="D76" s="693">
        <f>+D74</f>
        <v>15000</v>
      </c>
      <c r="E76" s="694">
        <f>+C76/D76</f>
        <v>0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85" t="s">
        <v>324</v>
      </c>
      <c r="C78" s="786"/>
      <c r="D78" s="787"/>
      <c r="E78" s="694">
        <f>+E69+E74</f>
        <v>2.4606666666666666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84" t="s">
        <v>325</v>
      </c>
      <c r="C80" s="784"/>
      <c r="D80" s="784"/>
      <c r="E80" s="784"/>
      <c r="F80" s="784"/>
      <c r="G80" s="632"/>
      <c r="H80" s="691"/>
      <c r="J80" s="617"/>
    </row>
    <row r="81" spans="1:10" ht="13.5" thickBot="1" x14ac:dyDescent="0.3">
      <c r="B81" s="692" t="s">
        <v>319</v>
      </c>
      <c r="C81" s="693">
        <f>+C69</f>
        <v>36525</v>
      </c>
      <c r="D81" s="693">
        <f>+D60</f>
        <v>1</v>
      </c>
      <c r="E81" s="694">
        <f>+C81/D81</f>
        <v>36525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320</v>
      </c>
      <c r="C83" s="693">
        <f>+C71</f>
        <v>37255.5</v>
      </c>
      <c r="D83" s="693">
        <f>+D60</f>
        <v>1</v>
      </c>
      <c r="E83" s="698">
        <f>+C83/D83</f>
        <v>37255.5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322</v>
      </c>
      <c r="C85" s="693">
        <f>+C73</f>
        <v>385</v>
      </c>
      <c r="D85" s="693">
        <f>+D60</f>
        <v>1</v>
      </c>
      <c r="E85" s="698">
        <f>+C85/D85</f>
        <v>385</v>
      </c>
      <c r="F85" s="700"/>
      <c r="G85" s="690"/>
      <c r="H85" s="616"/>
      <c r="I85" s="634"/>
    </row>
    <row r="86" spans="1:10" ht="13.5" thickBot="1" x14ac:dyDescent="0.3">
      <c r="B86" s="692" t="s">
        <v>322</v>
      </c>
      <c r="C86" s="693">
        <f>+C74</f>
        <v>385</v>
      </c>
      <c r="D86" s="693">
        <f>+D85</f>
        <v>1</v>
      </c>
      <c r="E86" s="694">
        <f>+C86/D86</f>
        <v>385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88"/>
      <c r="B88" s="788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CBFA-D64F-4A75-AF66-F1291C129777}">
  <dimension ref="A1:I55"/>
  <sheetViews>
    <sheetView workbookViewId="0">
      <selection activeCell="G16" sqref="G16"/>
    </sheetView>
  </sheetViews>
  <sheetFormatPr baseColWidth="10" defaultRowHeight="15" x14ac:dyDescent="0.25"/>
  <cols>
    <col min="1" max="1" width="13" bestFit="1" customWidth="1"/>
    <col min="2" max="2" width="13.5703125" bestFit="1" customWidth="1"/>
    <col min="3" max="3" width="49" customWidth="1"/>
    <col min="4" max="4" width="34.42578125" bestFit="1" customWidth="1"/>
    <col min="8" max="8" width="27" customWidth="1"/>
    <col min="9" max="9" width="21.28515625" bestFit="1" customWidth="1"/>
  </cols>
  <sheetData>
    <row r="1" spans="1:9" ht="18" x14ac:dyDescent="0.25">
      <c r="A1" s="1030"/>
      <c r="B1" s="1031"/>
      <c r="C1" s="1036" t="s">
        <v>30</v>
      </c>
      <c r="D1" s="1036"/>
      <c r="E1" s="1036"/>
      <c r="F1" s="1036"/>
      <c r="G1" s="1036"/>
      <c r="H1" s="464" t="s">
        <v>29</v>
      </c>
      <c r="I1" s="465" t="s">
        <v>256</v>
      </c>
    </row>
    <row r="2" spans="1:9" ht="18" customHeight="1" thickBot="1" x14ac:dyDescent="0.3">
      <c r="A2" s="1032"/>
      <c r="B2" s="1033"/>
      <c r="C2" s="1037" t="s">
        <v>28</v>
      </c>
      <c r="D2" s="1038"/>
      <c r="E2" s="1038"/>
      <c r="F2" s="1038"/>
      <c r="G2" s="1039"/>
      <c r="H2" s="466" t="s">
        <v>27</v>
      </c>
      <c r="I2" s="467" t="s">
        <v>81</v>
      </c>
    </row>
    <row r="3" spans="1:9" ht="31.5" customHeight="1" thickBot="1" x14ac:dyDescent="0.3">
      <c r="A3" s="1032"/>
      <c r="B3" s="1033"/>
      <c r="C3" s="1127" t="s">
        <v>257</v>
      </c>
      <c r="D3" s="1128"/>
      <c r="E3" s="1128"/>
      <c r="F3" s="1128"/>
      <c r="G3" s="1129"/>
      <c r="H3" s="1041" t="s">
        <v>26</v>
      </c>
      <c r="I3" s="1021">
        <v>45612</v>
      </c>
    </row>
    <row r="4" spans="1:9" ht="18" customHeight="1" x14ac:dyDescent="0.25">
      <c r="A4" s="1032"/>
      <c r="B4" s="1033"/>
      <c r="C4" s="468" t="s">
        <v>25</v>
      </c>
      <c r="D4" s="1024" t="s">
        <v>83</v>
      </c>
      <c r="E4" s="1025"/>
      <c r="F4" s="1025"/>
      <c r="G4" s="1026"/>
      <c r="H4" s="1042"/>
      <c r="I4" s="1022"/>
    </row>
    <row r="5" spans="1:9" ht="18.75" thickBot="1" x14ac:dyDescent="0.3">
      <c r="A5" s="1034"/>
      <c r="B5" s="1035"/>
      <c r="C5" s="469" t="s">
        <v>24</v>
      </c>
      <c r="D5" s="1027" t="s">
        <v>84</v>
      </c>
      <c r="E5" s="1028"/>
      <c r="F5" s="1028"/>
      <c r="G5" s="1029"/>
      <c r="H5" s="1043"/>
      <c r="I5" s="1023"/>
    </row>
    <row r="6" spans="1:9" ht="18.75" thickBot="1" x14ac:dyDescent="0.3">
      <c r="A6" s="839" t="s">
        <v>23</v>
      </c>
      <c r="B6" s="839"/>
      <c r="C6" s="839"/>
      <c r="D6" s="1044" t="s">
        <v>68</v>
      </c>
      <c r="E6" s="1044"/>
      <c r="F6" s="1044"/>
      <c r="G6" s="841" t="s">
        <v>22</v>
      </c>
      <c r="H6" s="841"/>
      <c r="I6" s="470" t="s">
        <v>69</v>
      </c>
    </row>
    <row r="7" spans="1:9" ht="36" x14ac:dyDescent="0.25">
      <c r="A7" s="1045" t="s">
        <v>21</v>
      </c>
      <c r="B7" s="1047" t="s">
        <v>31</v>
      </c>
      <c r="C7" s="1049" t="s">
        <v>20</v>
      </c>
      <c r="D7" s="1049" t="s">
        <v>19</v>
      </c>
      <c r="E7" s="1049" t="s">
        <v>18</v>
      </c>
      <c r="F7" s="1049"/>
      <c r="G7" s="1049" t="s">
        <v>17</v>
      </c>
      <c r="H7" s="1049"/>
      <c r="I7" s="471" t="s">
        <v>16</v>
      </c>
    </row>
    <row r="8" spans="1:9" ht="54.75" thickBot="1" x14ac:dyDescent="0.3">
      <c r="A8" s="1046"/>
      <c r="B8" s="1048"/>
      <c r="C8" s="1050"/>
      <c r="D8" s="1050"/>
      <c r="E8" s="472" t="s">
        <v>13</v>
      </c>
      <c r="F8" s="473" t="s">
        <v>15</v>
      </c>
      <c r="G8" s="472" t="s">
        <v>13</v>
      </c>
      <c r="H8" s="473" t="s">
        <v>15</v>
      </c>
      <c r="I8" s="474" t="s">
        <v>14</v>
      </c>
    </row>
    <row r="9" spans="1:9" ht="19.5" thickBot="1" x14ac:dyDescent="0.35">
      <c r="A9" s="475"/>
      <c r="B9" s="476"/>
      <c r="C9" s="477" t="s">
        <v>34</v>
      </c>
      <c r="D9" s="478"/>
      <c r="E9" s="479"/>
      <c r="F9" s="480"/>
      <c r="G9" s="479"/>
      <c r="H9" s="480"/>
      <c r="I9" s="481"/>
    </row>
    <row r="10" spans="1:9" ht="18" customHeight="1" x14ac:dyDescent="0.3">
      <c r="A10" s="548">
        <v>11400031</v>
      </c>
      <c r="B10" s="549" t="s">
        <v>88</v>
      </c>
      <c r="C10" s="550" t="s">
        <v>258</v>
      </c>
      <c r="D10" s="551" t="s">
        <v>259</v>
      </c>
      <c r="E10" s="552">
        <v>100</v>
      </c>
      <c r="F10" s="553" t="s">
        <v>1</v>
      </c>
      <c r="G10" s="554"/>
      <c r="H10" s="489"/>
      <c r="I10" s="481"/>
    </row>
    <row r="11" spans="1:9" ht="18.75" x14ac:dyDescent="0.3">
      <c r="A11" s="555" t="s">
        <v>72</v>
      </c>
      <c r="B11" s="556" t="s">
        <v>73</v>
      </c>
      <c r="C11" s="557" t="s">
        <v>74</v>
      </c>
      <c r="D11" s="551" t="s">
        <v>95</v>
      </c>
      <c r="E11" s="506" t="s">
        <v>260</v>
      </c>
      <c r="F11" s="507" t="s">
        <v>1</v>
      </c>
      <c r="G11" s="500"/>
      <c r="H11" s="489"/>
      <c r="I11" s="481"/>
    </row>
    <row r="12" spans="1:9" ht="18.75" x14ac:dyDescent="0.3">
      <c r="A12" s="558"/>
      <c r="B12" s="559"/>
      <c r="C12" s="560"/>
      <c r="D12" s="551"/>
      <c r="E12" s="561"/>
      <c r="F12" s="562"/>
      <c r="G12" s="407"/>
      <c r="H12" s="489"/>
      <c r="I12" s="481"/>
    </row>
    <row r="13" spans="1:9" ht="18.75" x14ac:dyDescent="0.3">
      <c r="A13" s="558"/>
      <c r="B13" s="559"/>
      <c r="C13" s="560"/>
      <c r="D13" s="551"/>
      <c r="E13" s="506"/>
      <c r="F13" s="507"/>
      <c r="G13" s="563"/>
      <c r="H13" s="489"/>
      <c r="I13" s="481"/>
    </row>
    <row r="14" spans="1:9" ht="18.75" x14ac:dyDescent="0.3">
      <c r="A14" s="564"/>
      <c r="B14" s="565"/>
      <c r="C14" s="566"/>
      <c r="D14" s="567"/>
      <c r="E14" s="528"/>
      <c r="F14" s="501"/>
      <c r="G14" s="563"/>
      <c r="H14" s="489"/>
      <c r="I14" s="481"/>
    </row>
    <row r="15" spans="1:9" ht="18.75" x14ac:dyDescent="0.3">
      <c r="A15" s="483"/>
      <c r="B15" s="483"/>
      <c r="C15" s="484"/>
      <c r="D15" s="568"/>
      <c r="E15" s="519"/>
      <c r="F15" s="520"/>
      <c r="G15" s="563"/>
      <c r="H15" s="489"/>
      <c r="I15" s="481"/>
    </row>
    <row r="16" spans="1:9" ht="18.75" x14ac:dyDescent="0.3">
      <c r="A16" s="483"/>
      <c r="B16" s="483"/>
      <c r="C16" s="484"/>
      <c r="D16" s="568"/>
      <c r="E16" s="519"/>
      <c r="F16" s="520"/>
      <c r="G16" s="479"/>
      <c r="H16" s="489"/>
      <c r="I16" s="481"/>
    </row>
    <row r="17" spans="1:9" ht="18.75" x14ac:dyDescent="0.3">
      <c r="A17" s="494"/>
      <c r="B17" s="495"/>
      <c r="C17" s="496" t="s">
        <v>68</v>
      </c>
      <c r="D17" s="499"/>
      <c r="E17" s="500"/>
      <c r="F17" s="501"/>
      <c r="G17" s="479"/>
      <c r="H17" s="480"/>
      <c r="I17" s="481"/>
    </row>
    <row r="18" spans="1:9" ht="18.75" x14ac:dyDescent="0.3">
      <c r="A18" s="569"/>
      <c r="B18" s="483"/>
      <c r="C18" s="484"/>
      <c r="D18" s="505"/>
      <c r="E18" s="570"/>
      <c r="F18" s="507"/>
      <c r="G18" s="479"/>
      <c r="H18" s="480"/>
      <c r="I18" s="481"/>
    </row>
    <row r="19" spans="1:9" ht="18.75" x14ac:dyDescent="0.3">
      <c r="A19" s="571"/>
      <c r="B19" s="549"/>
      <c r="C19" s="550"/>
      <c r="D19" s="505"/>
      <c r="E19" s="570"/>
      <c r="F19" s="507"/>
      <c r="G19" s="479"/>
      <c r="H19" s="480"/>
      <c r="I19" s="481"/>
    </row>
    <row r="20" spans="1:9" ht="18.75" x14ac:dyDescent="0.3">
      <c r="A20" s="572"/>
      <c r="B20" s="559"/>
      <c r="C20" s="560"/>
      <c r="D20" s="505"/>
      <c r="E20" s="506"/>
      <c r="F20" s="507"/>
      <c r="G20" s="479"/>
      <c r="H20" s="480"/>
      <c r="I20" s="481"/>
    </row>
    <row r="21" spans="1:9" ht="18.75" x14ac:dyDescent="0.3">
      <c r="A21" s="573"/>
      <c r="B21" s="503"/>
      <c r="C21" s="504"/>
      <c r="D21" s="505"/>
      <c r="E21" s="506"/>
      <c r="F21" s="507"/>
      <c r="G21" s="479"/>
      <c r="H21" s="480"/>
      <c r="I21" s="481"/>
    </row>
    <row r="22" spans="1:9" ht="18.75" x14ac:dyDescent="0.3">
      <c r="A22" s="574"/>
      <c r="B22" s="575"/>
      <c r="C22" s="576"/>
      <c r="D22" s="505"/>
      <c r="E22" s="506"/>
      <c r="F22" s="507"/>
      <c r="G22" s="479"/>
      <c r="H22" s="480"/>
      <c r="I22" s="481"/>
    </row>
    <row r="23" spans="1:9" ht="18.75" x14ac:dyDescent="0.3">
      <c r="A23" s="577"/>
      <c r="B23" s="577"/>
      <c r="C23" s="578"/>
      <c r="D23" s="505"/>
      <c r="E23" s="506"/>
      <c r="F23" s="507"/>
      <c r="G23" s="479"/>
      <c r="H23" s="480"/>
      <c r="I23" s="481"/>
    </row>
    <row r="24" spans="1:9" ht="18.75" x14ac:dyDescent="0.3">
      <c r="A24" s="483"/>
      <c r="B24" s="483"/>
      <c r="C24" s="484"/>
      <c r="D24" s="508"/>
      <c r="E24" s="579"/>
      <c r="F24" s="580"/>
      <c r="G24" s="479"/>
      <c r="H24" s="480"/>
      <c r="I24" s="481"/>
    </row>
    <row r="25" spans="1:9" ht="18.75" x14ac:dyDescent="0.3">
      <c r="A25" s="483"/>
      <c r="B25" s="483"/>
      <c r="C25" s="484"/>
      <c r="D25" s="508"/>
      <c r="E25" s="509"/>
      <c r="F25" s="510"/>
      <c r="G25" s="479"/>
      <c r="H25" s="480"/>
      <c r="I25" s="481"/>
    </row>
    <row r="26" spans="1:9" ht="18.75" x14ac:dyDescent="0.3">
      <c r="A26" s="511"/>
      <c r="B26" s="512"/>
      <c r="C26" s="513" t="s">
        <v>75</v>
      </c>
      <c r="D26" s="514"/>
      <c r="E26" s="515"/>
      <c r="F26" s="480"/>
      <c r="G26" s="479"/>
      <c r="H26" s="578"/>
      <c r="I26" s="481"/>
    </row>
    <row r="27" spans="1:9" ht="18.75" x14ac:dyDescent="0.3">
      <c r="A27" s="581"/>
      <c r="B27" s="581"/>
      <c r="C27" s="582"/>
      <c r="D27" s="581"/>
      <c r="E27" s="583"/>
      <c r="F27" s="584"/>
      <c r="G27" s="521"/>
      <c r="H27" s="480"/>
      <c r="I27" s="481"/>
    </row>
    <row r="28" spans="1:9" ht="18.75" x14ac:dyDescent="0.3">
      <c r="A28" s="581"/>
      <c r="B28" s="581"/>
      <c r="C28" s="582"/>
      <c r="D28" s="581"/>
      <c r="E28" s="583"/>
      <c r="F28" s="584"/>
      <c r="G28" s="521"/>
      <c r="H28" s="480"/>
      <c r="I28" s="481"/>
    </row>
    <row r="29" spans="1:9" ht="18.75" x14ac:dyDescent="0.3">
      <c r="A29" s="581"/>
      <c r="B29" s="581"/>
      <c r="C29" s="582"/>
      <c r="D29" s="581"/>
      <c r="E29" s="583"/>
      <c r="F29" s="584"/>
      <c r="G29" s="521"/>
      <c r="H29" s="480"/>
      <c r="I29" s="481"/>
    </row>
    <row r="30" spans="1:9" ht="18.75" x14ac:dyDescent="0.3">
      <c r="A30" s="581"/>
      <c r="B30" s="581"/>
      <c r="C30" s="582"/>
      <c r="D30" s="581"/>
      <c r="E30" s="583"/>
      <c r="F30" s="584"/>
      <c r="G30" s="479"/>
      <c r="H30" s="480"/>
      <c r="I30" s="481"/>
    </row>
    <row r="31" spans="1:9" ht="18.75" x14ac:dyDescent="0.3">
      <c r="A31" s="581"/>
      <c r="B31" s="581"/>
      <c r="C31" s="582"/>
      <c r="D31" s="581"/>
      <c r="E31" s="583"/>
      <c r="F31" s="584"/>
      <c r="G31" s="479"/>
      <c r="H31" s="480"/>
      <c r="I31" s="481"/>
    </row>
    <row r="32" spans="1:9" ht="18.75" x14ac:dyDescent="0.3">
      <c r="A32" s="581"/>
      <c r="B32" s="581"/>
      <c r="C32" s="582"/>
      <c r="D32" s="581"/>
      <c r="E32" s="581"/>
      <c r="F32" s="585"/>
      <c r="G32" s="527"/>
      <c r="H32" s="480"/>
      <c r="I32" s="481"/>
    </row>
    <row r="33" spans="1:9" ht="18.75" x14ac:dyDescent="0.3">
      <c r="A33" s="586"/>
      <c r="B33" s="587"/>
      <c r="C33" s="582"/>
      <c r="D33" s="581"/>
      <c r="E33" s="581"/>
      <c r="F33" s="585"/>
      <c r="G33" s="528"/>
      <c r="H33" s="480"/>
      <c r="I33" s="481"/>
    </row>
    <row r="34" spans="1:9" ht="18.75" x14ac:dyDescent="0.3">
      <c r="A34" s="494"/>
      <c r="B34" s="495"/>
      <c r="C34" s="588"/>
      <c r="D34" s="492"/>
      <c r="E34" s="528"/>
      <c r="F34" s="501"/>
      <c r="G34" s="528"/>
      <c r="H34" s="480" t="str">
        <f t="shared" ref="H34" si="0">UPPER(D34)</f>
        <v/>
      </c>
      <c r="I34" s="481"/>
    </row>
    <row r="35" spans="1:9" ht="18.75" x14ac:dyDescent="0.3">
      <c r="A35" s="494"/>
      <c r="B35" s="495"/>
      <c r="C35" s="588"/>
      <c r="D35" s="499"/>
      <c r="E35" s="499"/>
      <c r="F35" s="501"/>
      <c r="G35" s="499"/>
      <c r="H35" s="499"/>
      <c r="I35" s="481"/>
    </row>
    <row r="36" spans="1:9" ht="18.75" thickBot="1" x14ac:dyDescent="0.3">
      <c r="A36" s="531"/>
      <c r="B36" s="532"/>
      <c r="C36" s="533"/>
      <c r="D36" s="533"/>
      <c r="E36" s="534"/>
      <c r="F36" s="535"/>
      <c r="G36" s="533"/>
      <c r="H36" s="533"/>
      <c r="I36" s="536"/>
    </row>
    <row r="37" spans="1:9" ht="18.75" thickBot="1" x14ac:dyDescent="0.3">
      <c r="A37" s="537"/>
      <c r="B37" s="538"/>
      <c r="C37" s="539"/>
      <c r="D37" s="540" t="s">
        <v>13</v>
      </c>
      <c r="E37" s="541" t="s">
        <v>12</v>
      </c>
      <c r="F37" s="542"/>
      <c r="G37" s="539"/>
      <c r="H37" s="539"/>
      <c r="I37" s="543"/>
    </row>
    <row r="38" spans="1:9" ht="18" x14ac:dyDescent="0.25">
      <c r="A38" s="1051" t="s">
        <v>11</v>
      </c>
      <c r="B38" s="1052"/>
      <c r="C38" s="1053"/>
      <c r="D38" s="579">
        <v>100</v>
      </c>
      <c r="E38" s="545" t="s">
        <v>1</v>
      </c>
      <c r="F38" s="1054" t="s">
        <v>10</v>
      </c>
      <c r="G38" s="1054"/>
      <c r="H38" s="1055"/>
      <c r="I38" s="1056"/>
    </row>
    <row r="39" spans="1:9" ht="18" x14ac:dyDescent="0.25">
      <c r="A39" s="1057" t="s">
        <v>9</v>
      </c>
      <c r="B39" s="1058"/>
      <c r="C39" s="1059"/>
      <c r="D39" s="589">
        <v>1</v>
      </c>
      <c r="E39" s="493" t="s">
        <v>8</v>
      </c>
      <c r="F39" s="1060" t="s">
        <v>7</v>
      </c>
      <c r="G39" s="1060"/>
      <c r="H39" s="1061"/>
      <c r="I39" s="1062"/>
    </row>
    <row r="40" spans="1:9" ht="18" x14ac:dyDescent="0.25">
      <c r="A40" s="1057" t="s">
        <v>6</v>
      </c>
      <c r="B40" s="1058"/>
      <c r="C40" s="1059"/>
      <c r="D40" s="493">
        <v>1</v>
      </c>
      <c r="E40" s="493" t="s">
        <v>41</v>
      </c>
      <c r="F40" s="1060" t="s">
        <v>5</v>
      </c>
      <c r="G40" s="1060"/>
      <c r="H40" s="1061"/>
      <c r="I40" s="1062"/>
    </row>
    <row r="41" spans="1:9" ht="18" x14ac:dyDescent="0.25">
      <c r="A41" s="1057" t="s">
        <v>4</v>
      </c>
      <c r="B41" s="1058"/>
      <c r="C41" s="1059"/>
      <c r="D41" s="509">
        <v>100</v>
      </c>
      <c r="E41" s="493" t="s">
        <v>1</v>
      </c>
      <c r="F41" s="1063" t="s">
        <v>3</v>
      </c>
      <c r="G41" s="1064"/>
      <c r="H41" s="1065"/>
      <c r="I41" s="1066"/>
    </row>
    <row r="42" spans="1:9" ht="18.75" thickBot="1" x14ac:dyDescent="0.3">
      <c r="A42" s="1068" t="s">
        <v>2</v>
      </c>
      <c r="B42" s="1069"/>
      <c r="C42" s="1070"/>
      <c r="D42" s="546">
        <f>SUM(E10:E11)-D38</f>
        <v>0</v>
      </c>
      <c r="E42" s="547" t="s">
        <v>1</v>
      </c>
      <c r="F42" s="1071"/>
      <c r="G42" s="1071"/>
      <c r="H42" s="1061"/>
      <c r="I42" s="1062"/>
    </row>
    <row r="43" spans="1:9" ht="18.75" thickBot="1" x14ac:dyDescent="0.3">
      <c r="A43" s="1072" t="s">
        <v>0</v>
      </c>
      <c r="B43" s="1073"/>
      <c r="C43" s="1073"/>
      <c r="D43" s="1073"/>
      <c r="E43" s="1073"/>
      <c r="F43" s="1073"/>
      <c r="G43" s="1073"/>
      <c r="H43" s="1073"/>
      <c r="I43" s="1074"/>
    </row>
    <row r="44" spans="1:9" ht="18.399999999999999" customHeight="1" x14ac:dyDescent="0.25">
      <c r="A44" s="1133" t="s">
        <v>261</v>
      </c>
      <c r="B44" s="1134"/>
      <c r="C44" s="1135"/>
      <c r="D44" s="1135"/>
      <c r="E44" s="1135"/>
      <c r="F44" s="1135"/>
      <c r="G44" s="1135"/>
      <c r="H44" s="1135"/>
      <c r="I44" s="1136"/>
    </row>
    <row r="45" spans="1:9" ht="14.65" customHeight="1" x14ac:dyDescent="0.25">
      <c r="A45" s="1130"/>
      <c r="B45" s="1083"/>
      <c r="C45" s="1131"/>
      <c r="D45" s="1131"/>
      <c r="E45" s="1131"/>
      <c r="F45" s="1131"/>
      <c r="G45" s="1131"/>
      <c r="H45" s="1131"/>
      <c r="I45" s="1132"/>
    </row>
    <row r="46" spans="1:9" ht="14.65" customHeight="1" x14ac:dyDescent="0.25">
      <c r="A46" s="1142"/>
      <c r="B46" s="1143"/>
      <c r="C46" s="1144"/>
      <c r="D46" s="1144"/>
      <c r="E46" s="1144"/>
      <c r="F46" s="1144"/>
      <c r="G46" s="1144"/>
      <c r="H46" s="1144"/>
      <c r="I46" s="1145"/>
    </row>
    <row r="47" spans="1:9" ht="14.65" customHeight="1" x14ac:dyDescent="0.25">
      <c r="A47" s="1146"/>
      <c r="B47" s="1147"/>
      <c r="C47" s="1147"/>
      <c r="D47" s="1147"/>
      <c r="E47" s="1147"/>
      <c r="F47" s="1147"/>
      <c r="G47" s="1147"/>
      <c r="H47" s="1147"/>
      <c r="I47" s="1148"/>
    </row>
    <row r="48" spans="1:9" ht="14.65" customHeight="1" x14ac:dyDescent="0.25">
      <c r="A48" s="1149"/>
      <c r="B48" s="1150"/>
      <c r="C48" s="1151"/>
      <c r="D48" s="1151"/>
      <c r="E48" s="1151"/>
      <c r="F48" s="1151"/>
      <c r="G48" s="1151"/>
      <c r="H48" s="1151"/>
      <c r="I48" s="1152"/>
    </row>
    <row r="49" spans="1:9" ht="14.65" customHeight="1" x14ac:dyDescent="0.3">
      <c r="A49" s="1153"/>
      <c r="B49" s="1154"/>
      <c r="C49" s="1155"/>
      <c r="D49" s="1155"/>
      <c r="E49" s="1155"/>
      <c r="F49" s="1155"/>
      <c r="G49" s="1155"/>
      <c r="H49" s="1155"/>
      <c r="I49" s="1156"/>
    </row>
    <row r="50" spans="1:9" ht="18" customHeight="1" x14ac:dyDescent="0.3">
      <c r="A50" s="1153"/>
      <c r="B50" s="1154"/>
      <c r="C50" s="1155"/>
      <c r="D50" s="1155"/>
      <c r="E50" s="1155"/>
      <c r="F50" s="1155"/>
      <c r="G50" s="1155"/>
      <c r="H50" s="1155"/>
      <c r="I50" s="1156"/>
    </row>
    <row r="51" spans="1:9" ht="18" x14ac:dyDescent="0.25">
      <c r="A51" s="1157"/>
      <c r="B51" s="1158"/>
      <c r="C51" s="1158"/>
      <c r="D51" s="1158"/>
      <c r="E51" s="1158"/>
      <c r="F51" s="1158"/>
      <c r="G51" s="1158"/>
      <c r="H51" s="1158"/>
      <c r="I51" s="1159"/>
    </row>
    <row r="52" spans="1:9" ht="19.5" thickBot="1" x14ac:dyDescent="0.35">
      <c r="A52" s="1137"/>
      <c r="B52" s="1138"/>
      <c r="C52" s="1138"/>
      <c r="D52" s="1138"/>
      <c r="E52" s="1138"/>
      <c r="F52" s="1138"/>
      <c r="G52" s="1138"/>
      <c r="H52" s="1138"/>
      <c r="I52" s="1139"/>
    </row>
    <row r="53" spans="1:9" ht="18" x14ac:dyDescent="0.25">
      <c r="A53" s="1084" t="s">
        <v>32</v>
      </c>
      <c r="B53" s="1085"/>
      <c r="C53" s="1085"/>
      <c r="D53" s="1085"/>
      <c r="E53" s="1085"/>
      <c r="F53" s="1085"/>
      <c r="G53" s="1085"/>
      <c r="H53" s="1085"/>
      <c r="I53" s="1085"/>
    </row>
    <row r="54" spans="1:9" ht="18" x14ac:dyDescent="0.25">
      <c r="A54" s="1027" t="s">
        <v>262</v>
      </c>
      <c r="B54" s="1028"/>
      <c r="C54" s="1028"/>
      <c r="D54" s="1028"/>
      <c r="E54" s="1028"/>
      <c r="F54" s="1028"/>
      <c r="G54" s="1028"/>
      <c r="H54" s="1028"/>
      <c r="I54" s="1029"/>
    </row>
    <row r="55" spans="1:9" ht="18" x14ac:dyDescent="0.25">
      <c r="A55" s="1140"/>
      <c r="B55" s="1141"/>
      <c r="C55" s="1141"/>
      <c r="D55" s="1141"/>
      <c r="E55" s="1141"/>
      <c r="F55" s="1141"/>
      <c r="G55" s="1141"/>
      <c r="H55" s="1141"/>
      <c r="I55" s="114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151F-DACD-4D52-9123-3C22B04F3936}">
  <dimension ref="A1:M64"/>
  <sheetViews>
    <sheetView workbookViewId="0">
      <selection activeCell="D14" sqref="D14"/>
    </sheetView>
  </sheetViews>
  <sheetFormatPr baseColWidth="10" defaultRowHeight="15" x14ac:dyDescent="0.25"/>
  <cols>
    <col min="3" max="3" width="52.7109375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824"/>
      <c r="B1" s="825"/>
      <c r="C1" s="778" t="s">
        <v>30</v>
      </c>
      <c r="D1" s="778"/>
      <c r="E1" s="778"/>
      <c r="F1" s="778"/>
      <c r="G1" s="778"/>
      <c r="H1" s="60" t="s">
        <v>29</v>
      </c>
      <c r="I1" s="61" t="s">
        <v>263</v>
      </c>
    </row>
    <row r="2" spans="1:9" ht="16.5" thickBot="1" x14ac:dyDescent="0.3">
      <c r="A2" s="826"/>
      <c r="B2" s="827"/>
      <c r="C2" s="779" t="s">
        <v>28</v>
      </c>
      <c r="D2" s="779"/>
      <c r="E2" s="779"/>
      <c r="F2" s="779"/>
      <c r="G2" s="779"/>
      <c r="H2" s="62" t="s">
        <v>27</v>
      </c>
      <c r="I2" s="63" t="s">
        <v>197</v>
      </c>
    </row>
    <row r="3" spans="1:9" ht="18.75" thickBot="1" x14ac:dyDescent="0.3">
      <c r="A3" s="826"/>
      <c r="B3" s="827"/>
      <c r="C3" s="833" t="s">
        <v>264</v>
      </c>
      <c r="D3" s="834"/>
      <c r="E3" s="834"/>
      <c r="F3" s="834"/>
      <c r="G3" s="835"/>
      <c r="H3" s="836" t="s">
        <v>26</v>
      </c>
      <c r="I3" s="815">
        <v>45609</v>
      </c>
    </row>
    <row r="4" spans="1:9" x14ac:dyDescent="0.25">
      <c r="A4" s="826"/>
      <c r="B4" s="827"/>
      <c r="C4" s="64" t="s">
        <v>25</v>
      </c>
      <c r="D4" s="818" t="s">
        <v>83</v>
      </c>
      <c r="E4" s="819"/>
      <c r="F4" s="819"/>
      <c r="G4" s="820"/>
      <c r="H4" s="837"/>
      <c r="I4" s="816"/>
    </row>
    <row r="5" spans="1:9" ht="15.75" thickBot="1" x14ac:dyDescent="0.3">
      <c r="A5" s="828"/>
      <c r="B5" s="829"/>
      <c r="C5" s="65" t="s">
        <v>24</v>
      </c>
      <c r="D5" s="821" t="s">
        <v>84</v>
      </c>
      <c r="E5" s="822"/>
      <c r="F5" s="822"/>
      <c r="G5" s="823"/>
      <c r="H5" s="838"/>
      <c r="I5" s="817"/>
    </row>
    <row r="6" spans="1:9" ht="18.75" thickBot="1" x14ac:dyDescent="0.3">
      <c r="A6" s="839" t="s">
        <v>23</v>
      </c>
      <c r="B6" s="839"/>
      <c r="C6" s="839"/>
      <c r="D6" s="840" t="s">
        <v>199</v>
      </c>
      <c r="E6" s="840"/>
      <c r="F6" s="840"/>
      <c r="G6" s="841" t="s">
        <v>22</v>
      </c>
      <c r="H6" s="841"/>
      <c r="I6" s="66" t="s">
        <v>199</v>
      </c>
    </row>
    <row r="7" spans="1:9" ht="25.5" x14ac:dyDescent="0.25">
      <c r="A7" s="842" t="s">
        <v>21</v>
      </c>
      <c r="B7" s="844" t="s">
        <v>31</v>
      </c>
      <c r="C7" s="846" t="s">
        <v>20</v>
      </c>
      <c r="D7" s="846" t="s">
        <v>19</v>
      </c>
      <c r="E7" s="846" t="s">
        <v>18</v>
      </c>
      <c r="F7" s="846"/>
      <c r="G7" s="846" t="s">
        <v>17</v>
      </c>
      <c r="H7" s="846"/>
      <c r="I7" s="67" t="s">
        <v>16</v>
      </c>
    </row>
    <row r="8" spans="1:9" ht="27" thickBot="1" x14ac:dyDescent="0.3">
      <c r="A8" s="843"/>
      <c r="B8" s="845"/>
      <c r="C8" s="847"/>
      <c r="D8" s="847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ht="15.75" x14ac:dyDescent="0.25">
      <c r="A9" s="1"/>
      <c r="B9" s="2"/>
      <c r="C9" s="3" t="s">
        <v>34</v>
      </c>
      <c r="D9" s="4"/>
      <c r="E9" s="5"/>
      <c r="F9" s="6"/>
      <c r="G9" s="5"/>
      <c r="H9" s="6"/>
      <c r="I9" s="7"/>
    </row>
    <row r="10" spans="1:9" ht="17.25" x14ac:dyDescent="0.3">
      <c r="A10" s="590" t="s">
        <v>265</v>
      </c>
      <c r="B10" s="591" t="s">
        <v>266</v>
      </c>
      <c r="C10" s="592" t="s">
        <v>267</v>
      </c>
      <c r="D10" s="593" t="s">
        <v>268</v>
      </c>
      <c r="E10" s="594">
        <v>20000</v>
      </c>
      <c r="F10" s="235"/>
      <c r="G10" s="217"/>
      <c r="H10" s="6"/>
      <c r="I10" s="7"/>
    </row>
    <row r="11" spans="1:9" ht="17.25" x14ac:dyDescent="0.3">
      <c r="A11" s="231" t="s">
        <v>269</v>
      </c>
      <c r="B11" s="231" t="s">
        <v>88</v>
      </c>
      <c r="C11" s="611" t="s">
        <v>258</v>
      </c>
      <c r="D11" s="593" t="s">
        <v>270</v>
      </c>
      <c r="E11" s="594">
        <v>20000</v>
      </c>
      <c r="F11" s="9"/>
      <c r="G11" s="217"/>
      <c r="H11" s="6"/>
      <c r="I11" s="7"/>
    </row>
    <row r="12" spans="1:9" ht="17.25" x14ac:dyDescent="0.3">
      <c r="A12" s="595"/>
      <c r="B12" s="595"/>
      <c r="C12" s="10"/>
      <c r="D12" s="233"/>
      <c r="E12" s="236"/>
      <c r="F12" s="9"/>
      <c r="G12" s="217"/>
      <c r="H12" s="6"/>
      <c r="I12" s="7"/>
    </row>
    <row r="13" spans="1:9" ht="17.25" x14ac:dyDescent="0.3">
      <c r="A13" s="595"/>
      <c r="B13" s="595"/>
      <c r="C13" s="10"/>
      <c r="D13" s="233"/>
      <c r="E13" s="236"/>
      <c r="F13" s="9"/>
      <c r="G13" s="217"/>
      <c r="H13" s="6"/>
      <c r="I13" s="7"/>
    </row>
    <row r="14" spans="1:9" ht="17.25" x14ac:dyDescent="0.3">
      <c r="A14" s="595"/>
      <c r="B14" s="595"/>
      <c r="C14" s="10"/>
      <c r="D14" s="233"/>
      <c r="E14" s="236"/>
      <c r="F14" s="9"/>
      <c r="G14" s="217"/>
      <c r="H14" s="6"/>
      <c r="I14" s="7"/>
    </row>
    <row r="15" spans="1:9" ht="17.25" x14ac:dyDescent="0.3">
      <c r="A15" s="595"/>
      <c r="B15" s="595"/>
      <c r="C15" s="10"/>
      <c r="D15" s="233"/>
      <c r="E15" s="236"/>
      <c r="F15" s="9"/>
      <c r="G15" s="217"/>
      <c r="H15" s="6"/>
      <c r="I15" s="7"/>
    </row>
    <row r="16" spans="1:9" ht="17.25" x14ac:dyDescent="0.3">
      <c r="A16" s="595"/>
      <c r="B16" s="595"/>
      <c r="C16" s="10"/>
      <c r="D16" s="233"/>
      <c r="E16" s="236"/>
      <c r="F16" s="9"/>
      <c r="G16" s="217"/>
      <c r="H16" s="6"/>
      <c r="I16" s="7"/>
    </row>
    <row r="17" spans="1:9" ht="17.25" x14ac:dyDescent="0.3">
      <c r="A17" s="595"/>
      <c r="B17" s="595"/>
      <c r="C17" s="10"/>
      <c r="D17" s="233"/>
      <c r="E17" s="236"/>
      <c r="F17" s="9"/>
      <c r="G17" s="217"/>
      <c r="H17" s="6"/>
      <c r="I17" s="7"/>
    </row>
    <row r="18" spans="1:9" ht="17.25" x14ac:dyDescent="0.3">
      <c r="A18" s="595"/>
      <c r="B18" s="595"/>
      <c r="C18" s="10"/>
      <c r="D18" s="233"/>
      <c r="E18" s="236"/>
      <c r="F18" s="9"/>
      <c r="G18" s="217"/>
      <c r="H18" s="6"/>
      <c r="I18" s="7"/>
    </row>
    <row r="19" spans="1:9" ht="15.75" x14ac:dyDescent="0.25">
      <c r="A19" s="11"/>
      <c r="B19" s="11"/>
      <c r="C19" s="211"/>
      <c r="D19" s="596"/>
      <c r="E19" s="597"/>
      <c r="F19" s="12"/>
      <c r="G19" s="217"/>
      <c r="H19" s="6"/>
      <c r="I19" s="7"/>
    </row>
    <row r="20" spans="1:9" ht="15.75" x14ac:dyDescent="0.25">
      <c r="A20" s="11"/>
      <c r="B20" s="11"/>
      <c r="C20" s="211"/>
      <c r="D20" s="596"/>
      <c r="E20" s="597"/>
      <c r="F20" s="12"/>
      <c r="G20" s="217"/>
      <c r="H20" s="6"/>
      <c r="I20" s="7"/>
    </row>
    <row r="21" spans="1:9" ht="15.75" x14ac:dyDescent="0.25">
      <c r="A21" s="11"/>
      <c r="B21" s="11"/>
      <c r="C21" s="211"/>
      <c r="D21" s="596"/>
      <c r="E21" s="597"/>
      <c r="F21" s="12"/>
      <c r="G21" s="217"/>
      <c r="H21" s="6"/>
      <c r="I21" s="7"/>
    </row>
    <row r="22" spans="1:9" ht="15.75" x14ac:dyDescent="0.25">
      <c r="A22" s="11"/>
      <c r="B22" s="11"/>
      <c r="C22" s="211"/>
      <c r="D22" s="596"/>
      <c r="E22" s="597"/>
      <c r="F22" s="12"/>
      <c r="G22" s="217"/>
      <c r="H22" s="6"/>
      <c r="I22" s="7"/>
    </row>
    <row r="23" spans="1:9" ht="15.75" x14ac:dyDescent="0.25">
      <c r="A23" s="458"/>
      <c r="B23" s="458"/>
      <c r="C23" s="459"/>
      <c r="D23" s="241"/>
      <c r="E23" s="597"/>
      <c r="F23" s="598"/>
      <c r="G23" s="217"/>
      <c r="H23" s="6"/>
      <c r="I23" s="7"/>
    </row>
    <row r="24" spans="1:9" ht="15.75" x14ac:dyDescent="0.25">
      <c r="A24" s="458"/>
      <c r="B24" s="458"/>
      <c r="C24" s="459"/>
      <c r="D24" s="596"/>
      <c r="E24" s="597"/>
      <c r="F24" s="12"/>
      <c r="G24" s="5"/>
      <c r="H24" s="6"/>
      <c r="I24" s="7"/>
    </row>
    <row r="25" spans="1:9" ht="17.25" x14ac:dyDescent="0.3">
      <c r="A25" s="595"/>
      <c r="B25" s="11"/>
      <c r="C25" s="10"/>
      <c r="D25" s="212"/>
      <c r="E25" s="13"/>
      <c r="F25" s="12"/>
      <c r="G25" s="5"/>
      <c r="H25" s="6"/>
      <c r="I25" s="7"/>
    </row>
    <row r="26" spans="1:9" ht="17.25" x14ac:dyDescent="0.3">
      <c r="A26" s="595"/>
      <c r="B26" s="11"/>
      <c r="C26" s="10"/>
      <c r="D26" s="212"/>
      <c r="E26" s="13"/>
      <c r="F26" s="12"/>
      <c r="G26" s="5"/>
      <c r="H26" s="6"/>
      <c r="I26" s="7"/>
    </row>
    <row r="27" spans="1:9" ht="17.25" x14ac:dyDescent="0.3">
      <c r="A27" s="595"/>
      <c r="B27" s="11"/>
      <c r="C27" s="10"/>
      <c r="D27" s="212"/>
      <c r="E27" s="13"/>
      <c r="F27" s="12"/>
      <c r="G27" s="5"/>
      <c r="H27" s="6"/>
      <c r="I27" s="7"/>
    </row>
    <row r="28" spans="1:9" ht="15.75" x14ac:dyDescent="0.25">
      <c r="A28" s="11"/>
      <c r="B28" s="11"/>
      <c r="C28" s="224"/>
      <c r="D28" s="14"/>
      <c r="E28" s="14"/>
      <c r="F28" s="15"/>
      <c r="G28" s="5"/>
      <c r="H28" s="6"/>
      <c r="I28" s="7"/>
    </row>
    <row r="29" spans="1:9" ht="15.75" x14ac:dyDescent="0.25">
      <c r="A29" s="16"/>
      <c r="B29" s="17"/>
      <c r="C29" s="85" t="s">
        <v>68</v>
      </c>
      <c r="D29" s="18"/>
      <c r="E29" s="215"/>
      <c r="F29" s="15"/>
      <c r="G29" s="5"/>
      <c r="H29" s="6"/>
      <c r="I29" s="7"/>
    </row>
    <row r="30" spans="1:9" ht="15.75" x14ac:dyDescent="0.25">
      <c r="A30" s="599"/>
      <c r="B30" s="19"/>
      <c r="C30" s="600"/>
      <c r="D30" s="601"/>
      <c r="E30" s="14"/>
      <c r="F30" s="15"/>
      <c r="G30" s="5"/>
      <c r="H30" s="6"/>
      <c r="I30" s="7"/>
    </row>
    <row r="31" spans="1:9" ht="15.75" x14ac:dyDescent="0.25">
      <c r="A31" s="11"/>
      <c r="B31" s="11"/>
      <c r="C31" s="224"/>
      <c r="D31" s="601"/>
      <c r="E31" s="14"/>
      <c r="F31" s="15"/>
      <c r="G31" s="5"/>
      <c r="H31" s="6"/>
      <c r="I31" s="7"/>
    </row>
    <row r="32" spans="1:9" ht="15.75" x14ac:dyDescent="0.25">
      <c r="A32" s="602"/>
      <c r="B32" s="602"/>
      <c r="C32" s="600"/>
      <c r="D32" s="601"/>
      <c r="E32" s="14"/>
      <c r="F32" s="15"/>
      <c r="G32" s="5"/>
      <c r="H32" s="6"/>
      <c r="I32" s="7"/>
    </row>
    <row r="33" spans="1:13" ht="15.75" x14ac:dyDescent="0.25">
      <c r="A33" s="11"/>
      <c r="B33" s="11"/>
      <c r="C33" s="224"/>
      <c r="D33" s="14"/>
      <c r="E33" s="18"/>
      <c r="F33" s="15"/>
      <c r="G33" s="5"/>
      <c r="H33" s="6"/>
      <c r="I33" s="7"/>
    </row>
    <row r="34" spans="1:13" ht="15.75" x14ac:dyDescent="0.25">
      <c r="A34" s="11"/>
      <c r="B34" s="11"/>
      <c r="C34" s="224"/>
      <c r="D34" s="212"/>
      <c r="E34" s="603"/>
      <c r="F34" s="604"/>
      <c r="G34" s="5"/>
      <c r="H34" s="6"/>
      <c r="I34" s="7"/>
    </row>
    <row r="35" spans="1:13" ht="15.75" x14ac:dyDescent="0.25">
      <c r="A35" s="237"/>
      <c r="B35" s="238"/>
      <c r="C35" s="98" t="s">
        <v>75</v>
      </c>
      <c r="D35" s="239"/>
      <c r="E35" s="5"/>
      <c r="F35" s="6"/>
      <c r="G35" s="5"/>
      <c r="H35" s="6"/>
      <c r="I35" s="7"/>
    </row>
    <row r="36" spans="1:13" ht="15.75" x14ac:dyDescent="0.25">
      <c r="A36" s="458"/>
      <c r="B36" s="458"/>
      <c r="C36" s="459"/>
      <c r="D36" s="212"/>
      <c r="E36" s="20"/>
      <c r="F36" s="12"/>
      <c r="G36" s="217"/>
      <c r="H36" s="6"/>
      <c r="I36" s="7"/>
    </row>
    <row r="37" spans="1:13" ht="15.75" x14ac:dyDescent="0.25">
      <c r="A37" s="11"/>
      <c r="B37" s="11"/>
      <c r="C37" s="211"/>
      <c r="D37" s="212"/>
      <c r="E37" s="13"/>
      <c r="F37" s="12"/>
      <c r="G37" s="5"/>
      <c r="H37" s="6"/>
      <c r="I37" s="7"/>
    </row>
    <row r="38" spans="1:13" ht="15.75" x14ac:dyDescent="0.25">
      <c r="A38" s="605"/>
      <c r="B38" s="606"/>
      <c r="C38" s="607"/>
      <c r="D38" s="18"/>
      <c r="E38" s="14"/>
      <c r="F38" s="15"/>
      <c r="G38" s="5"/>
      <c r="H38" s="6"/>
      <c r="I38" s="7"/>
    </row>
    <row r="39" spans="1:13" ht="15.75" x14ac:dyDescent="0.25">
      <c r="A39" s="223"/>
      <c r="B39" s="223"/>
      <c r="C39" s="224"/>
      <c r="D39" s="18"/>
      <c r="E39" s="14"/>
      <c r="F39" s="15"/>
      <c r="G39" s="5"/>
      <c r="H39" s="6"/>
      <c r="I39" s="7"/>
    </row>
    <row r="40" spans="1:13" ht="15.75" x14ac:dyDescent="0.25">
      <c r="A40" s="605"/>
      <c r="B40" s="606"/>
      <c r="C40" s="607"/>
      <c r="D40" s="18"/>
      <c r="E40" s="14"/>
      <c r="F40" s="15"/>
      <c r="G40" s="5"/>
      <c r="H40" s="6"/>
      <c r="I40" s="7"/>
    </row>
    <row r="41" spans="1:13" ht="15.75" x14ac:dyDescent="0.25">
      <c r="A41" s="605"/>
      <c r="B41" s="606"/>
      <c r="C41" s="607"/>
      <c r="D41" s="18"/>
      <c r="E41" s="14"/>
      <c r="F41" s="15"/>
      <c r="G41" s="246"/>
      <c r="H41" s="18"/>
      <c r="I41" s="7"/>
    </row>
    <row r="42" spans="1:13" ht="15.75" x14ac:dyDescent="0.25">
      <c r="A42" s="16"/>
      <c r="B42" s="17"/>
      <c r="C42" s="21"/>
      <c r="D42" s="18"/>
      <c r="E42" s="14"/>
      <c r="F42" s="15"/>
      <c r="G42" s="14"/>
      <c r="H42" s="18"/>
      <c r="I42" s="7"/>
    </row>
    <row r="43" spans="1:13" ht="15.75" x14ac:dyDescent="0.25">
      <c r="A43" s="16"/>
      <c r="B43" s="17"/>
      <c r="C43" s="21"/>
      <c r="D43" s="18"/>
      <c r="E43" s="14"/>
      <c r="F43" s="15"/>
      <c r="G43" s="14"/>
      <c r="H43" s="15"/>
      <c r="I43" s="7"/>
    </row>
    <row r="44" spans="1:13" ht="15.75" x14ac:dyDescent="0.25">
      <c r="A44" s="16"/>
      <c r="B44" s="17"/>
      <c r="C44" s="21"/>
      <c r="D44" s="18"/>
      <c r="E44" s="18"/>
      <c r="F44" s="15"/>
      <c r="G44" s="18"/>
      <c r="H44" s="18"/>
      <c r="I44" s="7"/>
    </row>
    <row r="45" spans="1:13" ht="18" thickBot="1" x14ac:dyDescent="0.35">
      <c r="A45" s="22"/>
      <c r="B45" s="23"/>
      <c r="C45" s="24"/>
      <c r="D45" s="24"/>
      <c r="E45" s="25"/>
      <c r="F45" s="26"/>
      <c r="G45" s="24"/>
      <c r="H45" s="24"/>
      <c r="I45" s="27"/>
      <c r="J45" s="328"/>
      <c r="K45" s="328"/>
      <c r="L45" s="329"/>
      <c r="M45" s="328"/>
    </row>
    <row r="46" spans="1:13" ht="18" thickBot="1" x14ac:dyDescent="0.35">
      <c r="A46" s="28"/>
      <c r="B46" s="29"/>
      <c r="C46" s="30"/>
      <c r="D46" s="31" t="s">
        <v>13</v>
      </c>
      <c r="E46" s="32" t="s">
        <v>12</v>
      </c>
      <c r="F46" s="33"/>
      <c r="G46" s="30"/>
      <c r="H46" s="30"/>
      <c r="I46" s="34"/>
      <c r="J46" s="328"/>
      <c r="K46" s="328"/>
      <c r="L46" s="329"/>
      <c r="M46" s="328"/>
    </row>
    <row r="47" spans="1:13" ht="17.25" x14ac:dyDescent="0.3">
      <c r="A47" s="977" t="s">
        <v>11</v>
      </c>
      <c r="B47" s="978"/>
      <c r="C47" s="979"/>
      <c r="D47" s="608">
        <v>37380</v>
      </c>
      <c r="E47" s="35" t="s">
        <v>1</v>
      </c>
      <c r="F47" s="980" t="s">
        <v>10</v>
      </c>
      <c r="G47" s="980"/>
      <c r="H47" s="981"/>
      <c r="I47" s="982"/>
      <c r="J47" s="328"/>
      <c r="K47" s="328"/>
      <c r="L47" s="329"/>
      <c r="M47" s="328"/>
    </row>
    <row r="48" spans="1:13" ht="17.25" x14ac:dyDescent="0.3">
      <c r="A48" s="983" t="s">
        <v>9</v>
      </c>
      <c r="B48" s="984"/>
      <c r="C48" s="985"/>
      <c r="D48" s="609">
        <v>25</v>
      </c>
      <c r="E48" s="11" t="s">
        <v>271</v>
      </c>
      <c r="F48" s="986" t="s">
        <v>7</v>
      </c>
      <c r="G48" s="986"/>
      <c r="H48" s="987"/>
      <c r="I48" s="988"/>
      <c r="J48" s="328"/>
      <c r="K48" s="328"/>
      <c r="L48" s="329"/>
      <c r="M48" s="328"/>
    </row>
    <row r="49" spans="1:13" ht="17.25" x14ac:dyDescent="0.3">
      <c r="A49" s="983" t="s">
        <v>6</v>
      </c>
      <c r="B49" s="984"/>
      <c r="C49" s="985"/>
      <c r="D49" s="11">
        <v>1</v>
      </c>
      <c r="E49" s="11" t="s">
        <v>35</v>
      </c>
      <c r="F49" s="986" t="s">
        <v>5</v>
      </c>
      <c r="G49" s="986"/>
      <c r="H49" s="987"/>
      <c r="I49" s="988"/>
      <c r="J49" s="328"/>
      <c r="K49" s="328"/>
      <c r="L49" s="329"/>
      <c r="M49" s="328"/>
    </row>
    <row r="50" spans="1:13" ht="17.25" x14ac:dyDescent="0.3">
      <c r="A50" s="983" t="s">
        <v>4</v>
      </c>
      <c r="B50" s="984"/>
      <c r="C50" s="985"/>
      <c r="D50" s="216">
        <v>37380</v>
      </c>
      <c r="E50" s="11" t="s">
        <v>1</v>
      </c>
      <c r="F50" s="992" t="s">
        <v>3</v>
      </c>
      <c r="G50" s="993"/>
      <c r="H50" s="987"/>
      <c r="I50" s="988"/>
      <c r="J50" s="328"/>
      <c r="K50" s="328"/>
      <c r="L50" s="329"/>
      <c r="M50" s="330"/>
    </row>
    <row r="51" spans="1:13" ht="18" thickBot="1" x14ac:dyDescent="0.35">
      <c r="A51" s="996" t="s">
        <v>2</v>
      </c>
      <c r="B51" s="997"/>
      <c r="C51" s="998"/>
      <c r="D51" s="610">
        <v>2620</v>
      </c>
      <c r="E51" s="36" t="s">
        <v>1</v>
      </c>
      <c r="F51" s="999"/>
      <c r="G51" s="999"/>
      <c r="H51" s="1162"/>
      <c r="I51" s="1163"/>
      <c r="J51" s="109"/>
      <c r="K51" s="109"/>
      <c r="L51" s="329"/>
      <c r="M51" s="109"/>
    </row>
    <row r="52" spans="1:13" ht="16.5" thickBot="1" x14ac:dyDescent="0.3">
      <c r="A52" s="1000" t="s">
        <v>0</v>
      </c>
      <c r="B52" s="1001"/>
      <c r="C52" s="1001"/>
      <c r="D52" s="1001"/>
      <c r="E52" s="1001"/>
      <c r="F52" s="1001"/>
      <c r="G52" s="1001"/>
      <c r="H52" s="1001"/>
      <c r="I52" s="1002"/>
      <c r="J52" s="328"/>
      <c r="K52" s="328"/>
      <c r="L52" s="328"/>
      <c r="M52" s="328"/>
    </row>
    <row r="53" spans="1:13" ht="18.600000000000001" customHeight="1" x14ac:dyDescent="0.25">
      <c r="A53" s="1003" t="s">
        <v>272</v>
      </c>
      <c r="B53" s="1004"/>
      <c r="C53" s="1004"/>
      <c r="D53" s="1004"/>
      <c r="E53" s="1004"/>
      <c r="F53" s="1004"/>
      <c r="G53" s="1004"/>
      <c r="H53" s="1004"/>
      <c r="I53" s="1005"/>
      <c r="J53" s="328"/>
      <c r="K53" s="328"/>
      <c r="L53" s="328"/>
      <c r="M53" s="328"/>
    </row>
    <row r="54" spans="1:13" ht="24" customHeight="1" x14ac:dyDescent="0.25">
      <c r="A54" s="1160" t="s">
        <v>273</v>
      </c>
      <c r="B54" s="1160"/>
      <c r="C54" s="1160"/>
      <c r="D54" s="1160"/>
      <c r="E54" s="1160"/>
      <c r="F54" s="1160"/>
      <c r="G54" s="1160"/>
      <c r="H54" s="1160"/>
      <c r="I54" s="1160"/>
      <c r="J54" s="328"/>
      <c r="K54" s="328"/>
      <c r="L54" s="328"/>
      <c r="M54" s="328"/>
    </row>
    <row r="55" spans="1:13" x14ac:dyDescent="0.25">
      <c r="A55" s="1161"/>
      <c r="B55" s="1161"/>
      <c r="C55" s="1161"/>
      <c r="D55" s="1161"/>
      <c r="E55" s="1161"/>
      <c r="F55" s="1161"/>
      <c r="G55" s="1161"/>
      <c r="H55" s="1161"/>
      <c r="I55" s="1161"/>
      <c r="J55" s="328"/>
      <c r="K55" s="328"/>
      <c r="L55" s="328"/>
      <c r="M55" s="328"/>
    </row>
    <row r="56" spans="1:13" ht="15.75" x14ac:dyDescent="0.25">
      <c r="A56" s="1003" t="s">
        <v>274</v>
      </c>
      <c r="B56" s="1004"/>
      <c r="C56" s="1004"/>
      <c r="D56" s="1004"/>
      <c r="E56" s="1004"/>
      <c r="F56" s="1004"/>
      <c r="G56" s="1004"/>
      <c r="H56" s="1004"/>
      <c r="I56" s="1005"/>
      <c r="J56" s="328"/>
      <c r="K56" s="328"/>
      <c r="L56" s="328"/>
      <c r="M56" s="328"/>
    </row>
    <row r="57" spans="1:13" ht="15.75" x14ac:dyDescent="0.25">
      <c r="A57" s="1164"/>
      <c r="B57" s="1165"/>
      <c r="C57" s="1165"/>
      <c r="D57" s="1165"/>
      <c r="E57" s="1165"/>
      <c r="F57" s="1165"/>
      <c r="G57" s="1165"/>
      <c r="H57" s="1165"/>
      <c r="I57" s="1166"/>
      <c r="J57" s="328"/>
      <c r="K57" s="328"/>
      <c r="L57" s="328"/>
      <c r="M57" s="328"/>
    </row>
    <row r="58" spans="1:13" ht="15.75" x14ac:dyDescent="0.25">
      <c r="A58" s="1167"/>
      <c r="B58" s="1168"/>
      <c r="C58" s="1168"/>
      <c r="D58" s="1168"/>
      <c r="E58" s="1168"/>
      <c r="F58" s="1168"/>
      <c r="G58" s="1168"/>
      <c r="H58" s="1168"/>
      <c r="I58" s="1169"/>
      <c r="J58" s="328"/>
      <c r="K58" s="328"/>
      <c r="L58" s="328"/>
      <c r="M58" s="328"/>
    </row>
    <row r="59" spans="1:13" ht="18" customHeight="1" x14ac:dyDescent="0.25">
      <c r="A59" s="1164"/>
      <c r="B59" s="1165"/>
      <c r="C59" s="1165"/>
      <c r="D59" s="1165"/>
      <c r="E59" s="1165"/>
      <c r="F59" s="1165"/>
      <c r="G59" s="1165"/>
      <c r="H59" s="1165"/>
      <c r="I59" s="1166"/>
      <c r="J59" s="328"/>
      <c r="K59" s="328"/>
      <c r="L59" s="328"/>
      <c r="M59" s="328"/>
    </row>
    <row r="60" spans="1:13" ht="17.25" x14ac:dyDescent="0.3">
      <c r="A60" s="1170"/>
      <c r="B60" s="1171"/>
      <c r="C60" s="1171"/>
      <c r="D60" s="1171"/>
      <c r="E60" s="1171"/>
      <c r="F60" s="1171"/>
      <c r="G60" s="1171"/>
      <c r="H60" s="1171"/>
      <c r="I60" s="1172"/>
      <c r="J60" s="328"/>
      <c r="K60" s="328"/>
      <c r="L60" s="328"/>
      <c r="M60" s="328"/>
    </row>
    <row r="61" spans="1:13" ht="18" thickBot="1" x14ac:dyDescent="0.35">
      <c r="A61" s="1173"/>
      <c r="B61" s="1174"/>
      <c r="C61" s="1174"/>
      <c r="D61" s="1174"/>
      <c r="E61" s="1174"/>
      <c r="F61" s="1174"/>
      <c r="G61" s="1174"/>
      <c r="H61" s="1174"/>
      <c r="I61" s="1175"/>
      <c r="J61" s="328"/>
      <c r="K61" s="328"/>
      <c r="L61" s="328"/>
      <c r="M61" s="328"/>
    </row>
    <row r="62" spans="1:13" ht="15.75" x14ac:dyDescent="0.25">
      <c r="A62" s="1006" t="s">
        <v>32</v>
      </c>
      <c r="B62" s="1007"/>
      <c r="C62" s="1007"/>
      <c r="D62" s="1007"/>
      <c r="E62" s="1007"/>
      <c r="F62" s="1007"/>
      <c r="G62" s="1007"/>
      <c r="H62" s="1007"/>
      <c r="I62" s="1007"/>
      <c r="J62" s="328"/>
      <c r="K62" s="328"/>
      <c r="L62" s="328"/>
      <c r="M62" s="328"/>
    </row>
    <row r="63" spans="1:13" ht="17.25" x14ac:dyDescent="0.3">
      <c r="A63" s="1090"/>
      <c r="B63" s="1091"/>
      <c r="C63" s="1091"/>
      <c r="D63" s="1091"/>
      <c r="E63" s="1091"/>
      <c r="F63" s="1091"/>
      <c r="G63" s="1091"/>
      <c r="H63" s="1091"/>
      <c r="I63" s="1091"/>
      <c r="J63" s="328"/>
      <c r="K63" s="328"/>
      <c r="L63" s="328"/>
      <c r="M63" s="328"/>
    </row>
    <row r="64" spans="1:13" x14ac:dyDescent="0.25">
      <c r="A64" s="893"/>
      <c r="B64" s="894"/>
      <c r="C64" s="894"/>
      <c r="D64" s="894"/>
      <c r="E64" s="894"/>
      <c r="F64" s="894"/>
      <c r="G64" s="894"/>
      <c r="H64" s="894"/>
      <c r="I64" s="894"/>
    </row>
  </sheetData>
  <mergeCells count="44"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  <mergeCell ref="A54:I55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8AFE721-3925-49E3-BAF4-A7BEB9B53C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47afeda0-788d-434e-8cf0-1e33094daccf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459dd67-f5aa-4d10-b167-36b84a602f7d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Costo Ensamble </vt:lpstr>
      <vt:lpstr>Rosquete Easy Vainilla </vt:lpstr>
      <vt:lpstr>Batido Easy Vainilla </vt:lpstr>
      <vt:lpstr>Premezcla Easy Vainilla</vt:lpstr>
      <vt:lpstr>Empaq relleno fresa Natural </vt:lpstr>
      <vt:lpstr>Relleno fresa natural </vt:lpstr>
      <vt:lpstr>Crema Beidge</vt:lpstr>
      <vt:lpstr>Crema Blanca supremo</vt:lpstr>
      <vt:lpstr>Costo Crema Roja Clara Bucca</vt:lpstr>
      <vt:lpstr>Crema Blanca Bucca</vt:lpstr>
      <vt:lpstr>Costo Relleno Crema Pinito</vt:lpstr>
      <vt:lpstr>Crema Chantilly Blanca  </vt:lpstr>
      <vt:lpstr>Relleno Cajeta </vt:lpstr>
      <vt:lpstr>Costo relleno Cajeta</vt:lpstr>
      <vt:lpstr>Sirope Rojo Bucca</vt:lpstr>
      <vt:lpstr>Ganache choco Blanco</vt:lpstr>
      <vt:lpstr>'Relleno Cajeta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2026-04-27T17:17:45Z</cp:lastPrinted>
  <dcterms:created xsi:type="dcterms:W3CDTF">2025-01-06T20:55:42Z</dcterms:created>
  <dcterms:modified xsi:type="dcterms:W3CDTF">2026-04-27T17:18:36Z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
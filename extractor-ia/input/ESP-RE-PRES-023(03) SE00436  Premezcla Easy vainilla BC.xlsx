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REMEZCLAS/"/>
    </mc:Choice>
  </mc:AlternateContent>
  <xr:revisionPtr revIDLastSave="6" documentId="8_{F9665E7F-3CE0-4657-A451-7FD682BFB68C}" xr6:coauthVersionLast="47" xr6:coauthVersionMax="47" xr10:uidLastSave="{2FC10647-8F1B-44F2-A0E9-9290AB63958B}"/>
  <bookViews>
    <workbookView xWindow="-120" yWindow="-120" windowWidth="20730" windowHeight="11040" tabRatio="911" firstSheet="4" activeTab="4" xr2:uid="{8410AAA0-51D1-4ED7-A057-5EBA3E9D1DDD}"/>
  </bookViews>
  <sheets>
    <sheet name="Costo Actual Batido" sheetId="6" state="hidden" r:id="rId1"/>
    <sheet name="Costo Actual Premezcla " sheetId="7" state="hidden" r:id="rId2"/>
    <sheet name="Costo Nuevo Batido" sheetId="5" state="hidden" r:id="rId3"/>
    <sheet name="Costo Nuevo Batido 2" sheetId="9" state="hidden" r:id="rId4"/>
    <sheet name="Premezcla nueva " sheetId="3" r:id="rId5"/>
    <sheet name="Costo nueva premezcla " sheetId="4" state="hidden" r:id="rId6"/>
    <sheet name="Costo Nueva Prem 2" sheetId="8" state="hidden" r:id="rId7"/>
  </sheets>
  <definedNames>
    <definedName name="_xlnm.Print_Area" localSheetId="4">'Premezcla nueva '!$A$1:$I$48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23" i="9" l="1"/>
  <c r="L35" i="8"/>
  <c r="L25" i="9"/>
  <c r="K24" i="9"/>
  <c r="L22" i="9"/>
  <c r="L21" i="9"/>
  <c r="L34" i="8"/>
  <c r="L30" i="8"/>
  <c r="L29" i="8"/>
  <c r="L26" i="8"/>
  <c r="L25" i="8"/>
  <c r="L24" i="8"/>
  <c r="L23" i="8"/>
  <c r="L22" i="8"/>
  <c r="L21" i="8"/>
  <c r="L36" i="8" s="1"/>
  <c r="L36" i="4" l="1"/>
  <c r="N23" i="5"/>
  <c r="L35" i="4"/>
  <c r="L34" i="4"/>
  <c r="L30" i="4"/>
  <c r="L29" i="4"/>
  <c r="L26" i="4"/>
  <c r="J15" i="3"/>
  <c r="L25" i="4"/>
  <c r="L24" i="4"/>
  <c r="L23" i="4"/>
  <c r="L22" i="4"/>
  <c r="L21" i="4"/>
  <c r="K19" i="3"/>
  <c r="K18" i="3"/>
  <c r="K16" i="3"/>
  <c r="K15" i="3"/>
  <c r="K14" i="3"/>
  <c r="K11" i="3"/>
  <c r="K10" i="3"/>
  <c r="J19" i="3"/>
  <c r="J18" i="3"/>
  <c r="J17" i="3"/>
  <c r="K17" i="3" s="1"/>
  <c r="J16" i="3"/>
  <c r="J14" i="3"/>
  <c r="J13" i="3"/>
  <c r="K13" i="3" s="1"/>
  <c r="J12" i="3"/>
  <c r="K12" i="3" s="1"/>
  <c r="J11" i="3"/>
  <c r="J10" i="3"/>
  <c r="L25" i="5"/>
  <c r="K24" i="5"/>
  <c r="L22" i="5"/>
  <c r="L34" i="7"/>
  <c r="L21" i="5" l="1"/>
  <c r="L24" i="6"/>
</calcChain>
</file>

<file path=xl/sharedStrings.xml><?xml version="1.0" encoding="utf-8"?>
<sst xmlns="http://schemas.openxmlformats.org/spreadsheetml/2006/main" count="823" uniqueCount="208">
  <si>
    <t>PROCEDIMIENTO DE PREPARACION DE LA  RECETA</t>
  </si>
  <si>
    <t>g</t>
  </si>
  <si>
    <t>MERMA</t>
  </si>
  <si>
    <t>PESO DE CADA PORCIÓN</t>
  </si>
  <si>
    <t>ud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</si>
  <si>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</si>
  <si>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</si>
  <si>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</si>
  <si>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</si>
  <si>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</si>
  <si>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</si>
  <si>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</si>
  <si>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</si>
  <si>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</si>
  <si>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</si>
  <si>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</si>
  <si>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</si>
  <si>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</si>
  <si>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</si>
  <si>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</si>
  <si>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</si>
  <si>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</si>
  <si>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</si>
  <si>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</si>
  <si>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</si>
  <si>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</si>
  <si>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</si>
  <si>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</si>
  <si>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SE00436</t>
  </si>
  <si>
    <t>MP10005</t>
  </si>
  <si>
    <t>MP10002</t>
  </si>
  <si>
    <t>CONTROL DE CAMBIOS</t>
  </si>
  <si>
    <t>MP10315</t>
  </si>
  <si>
    <t>PURATOS</t>
  </si>
  <si>
    <t>Esteban Cartin, Gte Manufactura</t>
  </si>
  <si>
    <t># Código Netsuite</t>
  </si>
  <si>
    <t>Ensamble</t>
  </si>
  <si>
    <t/>
  </si>
  <si>
    <t>Tiempo de Horneo:</t>
  </si>
  <si>
    <t>Horno:</t>
  </si>
  <si>
    <t>Temperatura de Horneo:</t>
  </si>
  <si>
    <t>Otros</t>
  </si>
  <si>
    <t>ESP-RE-PRES-023</t>
  </si>
  <si>
    <t>Juan Pablo Brenes, Chef</t>
  </si>
  <si>
    <t>Premezclas</t>
  </si>
  <si>
    <t>MP10491</t>
  </si>
  <si>
    <t>EASY VAINILLA BC</t>
  </si>
  <si>
    <t>510301</t>
  </si>
  <si>
    <t>MP10074</t>
  </si>
  <si>
    <t>AZUCAR BLANCO INDUSTRIAL (SACO:50 K)</t>
  </si>
  <si>
    <t>LAYCA</t>
  </si>
  <si>
    <t>11200072</t>
  </si>
  <si>
    <t>MP10478</t>
  </si>
  <si>
    <t>HARINA SILVER CAKE (SACO: 25K)</t>
  </si>
  <si>
    <t>FHACASA</t>
  </si>
  <si>
    <t>0510107</t>
  </si>
  <si>
    <t>MP10036</t>
  </si>
  <si>
    <t xml:space="preserve">HARINA HARISOL WINTER </t>
  </si>
  <si>
    <t>1212410</t>
  </si>
  <si>
    <t>MP10008</t>
  </si>
  <si>
    <t>PRESERVANTE 1047S (PAQ=5 KILO)</t>
  </si>
  <si>
    <t>MAYCA</t>
  </si>
  <si>
    <t>MP10304</t>
  </si>
  <si>
    <t>POLVO HORNEAR FLEISHMAN (PAQ:2.5 K)</t>
  </si>
  <si>
    <t>FLEISHMAN</t>
  </si>
  <si>
    <t>1210445</t>
  </si>
  <si>
    <t>MP10142</t>
  </si>
  <si>
    <t>CLARA DE HUEVO DESHIDRATADA</t>
  </si>
  <si>
    <t>MP10517</t>
  </si>
  <si>
    <t>ACTI EGG</t>
  </si>
  <si>
    <t>MP10481</t>
  </si>
  <si>
    <t>Goma Xantana</t>
  </si>
  <si>
    <t>HUEVO EN POLVO</t>
  </si>
  <si>
    <t>EPKMARKET</t>
  </si>
  <si>
    <t>Empaque</t>
  </si>
  <si>
    <t>1950708</t>
  </si>
  <si>
    <t>EM10013</t>
  </si>
  <si>
    <t>BOLSA 17x25 TRANSP KILO</t>
  </si>
  <si>
    <t>EM10258</t>
  </si>
  <si>
    <t>BOLSA TRANSP 20x30x2000</t>
  </si>
  <si>
    <t>0702123</t>
  </si>
  <si>
    <t>EM10011</t>
  </si>
  <si>
    <t>ETIQUETA BLANCA 2 5/8X1 15/16 (UND)</t>
  </si>
  <si>
    <t>EM10037</t>
  </si>
  <si>
    <t>BOLSA 8x12 TRANSPARENTE KILO</t>
  </si>
  <si>
    <t>EM10133</t>
  </si>
  <si>
    <t>ETIQUETA ROJA LETRA ALERJENO (UND)</t>
  </si>
  <si>
    <t>tanda</t>
  </si>
  <si>
    <t>1.- En una bolsa 20x30 empacar el nucleo easy con el harina y el actiegg. En una bolsa 17x25 empacar el azucar, y etiquetar.</t>
  </si>
  <si>
    <t>2.- En la otra bolsa 8x12 empacar el preservante, polvo de hornear. Colocar en la misma bolsa del harina.</t>
  </si>
  <si>
    <t>Revision #2: Se baja a la mitad el polvo de hornear y se agrega goma xantana</t>
  </si>
  <si>
    <t>Revision #3: Actualizacion por adicion de huevo en polvo.</t>
  </si>
  <si>
    <t>FILTROS :</t>
  </si>
  <si>
    <t>SUBSIDIARIA</t>
  </si>
  <si>
    <t>Empresa principal : Servicios de Pastelería S.A.</t>
  </si>
  <si>
    <t>ARTÍCULO</t>
  </si>
  <si>
    <t>SE00491 Batido Vainilla Easy BC</t>
  </si>
  <si>
    <t>UBICACIÓN</t>
  </si>
  <si>
    <t>Bodega Administrativa</t>
  </si>
  <si>
    <t>LISTA DE MATERIALES</t>
  </si>
  <si>
    <t>BOM SE00491</t>
  </si>
  <si>
    <t>CONTROL DE VISUALIZACIÓN</t>
  </si>
  <si>
    <t>Por revisión</t>
  </si>
  <si>
    <t>FECHA/FECHA EFECTIVA</t>
  </si>
  <si>
    <t>01/08/2023</t>
  </si>
  <si>
    <t>REVISIÓN DE LISTA DE MATERIALES</t>
  </si>
  <si>
    <t>REV V1 BOM SE00491</t>
  </si>
  <si>
    <t>POR RUTA DE FABRICACIÓN</t>
  </si>
  <si>
    <t>No</t>
  </si>
  <si>
    <t>RUTA DE FABRICACIÓN</t>
  </si>
  <si>
    <t>CANTIDAD DE ENSAMBLAJE</t>
  </si>
  <si>
    <t>1</t>
  </si>
  <si>
    <t>SOLO NIVEL SUPERIOR</t>
  </si>
  <si>
    <t>Sí</t>
  </si>
  <si>
    <t>COSTO DE MATERIALES</t>
  </si>
  <si>
    <t>Según valor predeterminado de artículo</t>
  </si>
  <si>
    <t>COSTO TOTAL DE MATERIALES</t>
  </si>
  <si>
    <t>COSTO DE MATERIAL POR UNIDAD</t>
  </si>
  <si>
    <t>CRC1,249.74</t>
  </si>
  <si>
    <t>CRC1,249.74 KILOGRAMOS</t>
  </si>
  <si>
    <t>NOMBRE DE ARTÍCULO</t>
  </si>
  <si>
    <t>NIVEL</t>
  </si>
  <si>
    <t>NOMBRE PARA MOSTRAR</t>
  </si>
  <si>
    <t>CANTIDAD</t>
  </si>
  <si>
    <t>RENDIMIENTO DE COMPONENTES</t>
  </si>
  <si>
    <t>CANTIDAD POR ENSAMBLAJE</t>
  </si>
  <si>
    <t>CANTIDAD POR ENSAMBLAJE DE NIVEL SUPERIOR</t>
  </si>
  <si>
    <t>CANTIDAD PARA ENSAMBLAR</t>
  </si>
  <si>
    <t>COSTO UNITARIO</t>
  </si>
  <si>
    <t>UNIDADES</t>
  </si>
  <si>
    <t>COSTO TOTAL</t>
  </si>
  <si>
    <t>Huevo Liquido Refrigerado</t>
  </si>
  <si>
    <t>208.7</t>
  </si>
  <si>
    <t>100%</t>
  </si>
  <si>
    <t>2.2672</t>
  </si>
  <si>
    <t>GRAMOS</t>
  </si>
  <si>
    <t>473.16</t>
  </si>
  <si>
    <t>Aceite Capullo Rbd</t>
  </si>
  <si>
    <t>30.43</t>
  </si>
  <si>
    <t>0.89294118</t>
  </si>
  <si>
    <t>MILILITROS</t>
  </si>
  <si>
    <t>27.17</t>
  </si>
  <si>
    <t>Premezcla Vainilla Easy BC</t>
  </si>
  <si>
    <t>0.55109</t>
  </si>
  <si>
    <t>1,359.87253948</t>
  </si>
  <si>
    <t>KILOGRAMOS</t>
  </si>
  <si>
    <t>749.41</t>
  </si>
  <si>
    <t>SE00436 Premezcla Vainilla Easy BC</t>
  </si>
  <si>
    <t>BOM SE00436</t>
  </si>
  <si>
    <t>REV V1 BOM SE00436</t>
  </si>
  <si>
    <t>CRC1,359.87</t>
  </si>
  <si>
    <t>CRC1,359.87 KILOGRAMOS</t>
  </si>
  <si>
    <t>Núcleo Vainilla Easy BC 20%</t>
  </si>
  <si>
    <t>175.84</t>
  </si>
  <si>
    <t>3.295</t>
  </si>
  <si>
    <t>579.39</t>
  </si>
  <si>
    <t>Azucar Blanco Industrial</t>
  </si>
  <si>
    <t>420.49</t>
  </si>
  <si>
    <t>0.43032</t>
  </si>
  <si>
    <t>180.95</t>
  </si>
  <si>
    <t>Harina Silver Cake</t>
  </si>
  <si>
    <t>286.7</t>
  </si>
  <si>
    <t>0.51548</t>
  </si>
  <si>
    <t>147.79</t>
  </si>
  <si>
    <t>Harina Harisol Winter</t>
  </si>
  <si>
    <t>72.63</t>
  </si>
  <si>
    <t>0.467612</t>
  </si>
  <si>
    <t>33.96</t>
  </si>
  <si>
    <t>Preservante 1047S</t>
  </si>
  <si>
    <t>1.91</t>
  </si>
  <si>
    <t>7.32166</t>
  </si>
  <si>
    <t>13.98</t>
  </si>
  <si>
    <t>Polvo Hornear</t>
  </si>
  <si>
    <t>11.47</t>
  </si>
  <si>
    <t>1.00588</t>
  </si>
  <si>
    <t>11.54</t>
  </si>
  <si>
    <t>Bolsa 17X25 Transparente</t>
  </si>
  <si>
    <t>1.89</t>
  </si>
  <si>
    <t>1.80</t>
  </si>
  <si>
    <t>3.40</t>
  </si>
  <si>
    <t>Etiqueta Blanca 2 5/8X1 15/16</t>
  </si>
  <si>
    <t>0.08</t>
  </si>
  <si>
    <t>2.128</t>
  </si>
  <si>
    <t>0.17</t>
  </si>
  <si>
    <t>Clara De Huevo Deshidratada</t>
  </si>
  <si>
    <t>17.2</t>
  </si>
  <si>
    <t>20.475</t>
  </si>
  <si>
    <t>352.17</t>
  </si>
  <si>
    <t>Acti Egg</t>
  </si>
  <si>
    <t>13.76</t>
  </si>
  <si>
    <t>2.365</t>
  </si>
  <si>
    <t>32.54</t>
  </si>
  <si>
    <t>Bolsa Transparente 20x30x2000</t>
  </si>
  <si>
    <t>0.57</t>
  </si>
  <si>
    <t>2.1112</t>
  </si>
  <si>
    <t>1.20</t>
  </si>
  <si>
    <t>Bolsa 8X12 Transparente</t>
  </si>
  <si>
    <t>1.13</t>
  </si>
  <si>
    <t>2.199884</t>
  </si>
  <si>
    <t>2.49</t>
  </si>
  <si>
    <t>Etiqueta Roja Letra Alerjeno</t>
  </si>
  <si>
    <t>0.04</t>
  </si>
  <si>
    <t>7.20</t>
  </si>
  <si>
    <t>0.29</t>
  </si>
  <si>
    <t>Preservante</t>
  </si>
  <si>
    <t>MP10769</t>
  </si>
  <si>
    <t>03</t>
  </si>
  <si>
    <t>SE00436  Premezcla Easy vainilla 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</si>
</sst>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13" x14ac:knownFonts="1">
    <font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b/>
      <i/>
      <sz val="18"/>
      <name val="Arial"/>
      <family val="2"/>
    </font>
    <font>
      <b/>
      <sz val="12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</borders>
  <cellStyleXfs count="6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8">
    <xf numFmtId="0" fontId="0" fillId="0" borderId="0" xfId="0"/>
    <xf numFmtId="0" fontId="6" fillId="2" borderId="24" xfId="3" applyFont="1" applyFill="1" applyBorder="1" applyAlignment="1">
      <alignment horizontal="right"/>
    </xf>
    <xf numFmtId="0" fontId="6" fillId="2" borderId="14" xfId="3" applyFont="1" applyFill="1" applyBorder="1" applyAlignment="1">
      <alignment horizontal="right"/>
    </xf>
    <xf numFmtId="49" fontId="4" fillId="2" borderId="26" xfId="3" applyNumberFormat="1" applyFont="1" applyFill="1" applyBorder="1" applyAlignment="1">
      <alignment horizontal="center"/>
    </xf>
    <xf numFmtId="0" fontId="4" fillId="2" borderId="17" xfId="3" applyFont="1" applyFill="1" applyBorder="1" applyAlignment="1">
      <alignment horizontal="right"/>
    </xf>
    <xf numFmtId="0" fontId="4" fillId="2" borderId="14" xfId="3" applyFont="1" applyFill="1" applyBorder="1" applyAlignment="1">
      <alignment horizontal="right"/>
    </xf>
    <xf numFmtId="0" fontId="6" fillId="3" borderId="23" xfId="1" applyFont="1" applyFill="1" applyBorder="1" applyAlignment="1">
      <alignment horizontal="center" vertical="center" wrapText="1"/>
    </xf>
    <xf numFmtId="1" fontId="6" fillId="3" borderId="9" xfId="1" applyNumberFormat="1" applyFont="1" applyFill="1" applyBorder="1" applyAlignment="1">
      <alignment horizontal="center"/>
    </xf>
    <xf numFmtId="1" fontId="6" fillId="3" borderId="9" xfId="1" applyNumberFormat="1" applyFont="1" applyFill="1" applyBorder="1" applyAlignment="1">
      <alignment horizontal="center" wrapText="1"/>
    </xf>
    <xf numFmtId="0" fontId="6" fillId="3" borderId="22" xfId="1" applyFont="1" applyFill="1" applyBorder="1" applyAlignment="1">
      <alignment horizontal="center"/>
    </xf>
    <xf numFmtId="0" fontId="4" fillId="0" borderId="14" xfId="0" applyFont="1" applyBorder="1" applyAlignment="1">
      <alignment horizontal="center" vertical="center"/>
    </xf>
    <xf numFmtId="0" fontId="4" fillId="2" borderId="23" xfId="3" applyFont="1" applyFill="1" applyBorder="1" applyAlignment="1">
      <alignment horizontal="center"/>
    </xf>
    <xf numFmtId="43" fontId="0" fillId="0" borderId="0" xfId="4" applyFont="1"/>
    <xf numFmtId="43" fontId="0" fillId="0" borderId="0" xfId="0" applyNumberFormat="1"/>
    <xf numFmtId="14" fontId="4" fillId="2" borderId="35" xfId="3" applyNumberFormat="1" applyFont="1" applyFill="1" applyBorder="1" applyAlignment="1">
      <alignment horizontal="center" vertical="center" wrapText="1"/>
    </xf>
    <xf numFmtId="14" fontId="4" fillId="2" borderId="39" xfId="3" applyNumberFormat="1" applyFont="1" applyFill="1" applyBorder="1" applyAlignment="1">
      <alignment horizontal="center" vertical="center" wrapText="1"/>
    </xf>
    <xf numFmtId="14" fontId="4" fillId="2" borderId="21" xfId="3" applyNumberFormat="1" applyFont="1" applyFill="1" applyBorder="1" applyAlignment="1">
      <alignment horizontal="center" vertical="center" wrapText="1"/>
    </xf>
    <xf numFmtId="0" fontId="4" fillId="2" borderId="36" xfId="3" applyFont="1" applyFill="1" applyBorder="1" applyAlignment="1">
      <alignment horizontal="left"/>
    </xf>
    <xf numFmtId="0" fontId="4" fillId="2" borderId="37" xfId="3" applyFont="1" applyFill="1" applyBorder="1" applyAlignment="1">
      <alignment horizontal="left"/>
    </xf>
    <xf numFmtId="0" fontId="4" fillId="2" borderId="38" xfId="3" applyFont="1" applyFill="1" applyBorder="1" applyAlignment="1">
      <alignment horizontal="left"/>
    </xf>
    <xf numFmtId="0" fontId="4" fillId="2" borderId="12" xfId="3" applyFont="1" applyFill="1" applyBorder="1" applyAlignment="1">
      <alignment horizontal="left"/>
    </xf>
    <xf numFmtId="0" fontId="4" fillId="2" borderId="27" xfId="3" applyFont="1" applyFill="1" applyBorder="1" applyAlignment="1">
      <alignment horizontal="left"/>
    </xf>
    <xf numFmtId="0" fontId="4" fillId="2" borderId="13" xfId="3" applyFont="1" applyFill="1" applyBorder="1" applyAlignment="1">
      <alignment horizontal="left"/>
    </xf>
    <xf numFmtId="0" fontId="4" fillId="2" borderId="29" xfId="3" applyFont="1" applyFill="1" applyBorder="1" applyAlignment="1">
      <alignment horizontal="center"/>
    </xf>
    <xf numFmtId="0" fontId="4" fillId="2" borderId="32" xfId="3" applyFont="1" applyFill="1" applyBorder="1" applyAlignment="1">
      <alignment horizontal="center"/>
    </xf>
    <xf numFmtId="0" fontId="4" fillId="2" borderId="20" xfId="3" applyFont="1" applyFill="1" applyBorder="1" applyAlignment="1">
      <alignment horizontal="center"/>
    </xf>
    <xf numFmtId="0" fontId="4" fillId="2" borderId="0" xfId="3" applyFont="1" applyFill="1" applyAlignment="1">
      <alignment horizontal="center"/>
    </xf>
    <xf numFmtId="0" fontId="4" fillId="2" borderId="4" xfId="3" applyFont="1" applyFill="1" applyBorder="1" applyAlignment="1">
      <alignment horizontal="center"/>
    </xf>
    <xf numFmtId="0" fontId="4" fillId="2" borderId="3" xfId="3" applyFont="1" applyFill="1" applyBorder="1" applyAlignment="1">
      <alignment horizontal="center"/>
    </xf>
    <xf numFmtId="0" fontId="5" fillId="2" borderId="24" xfId="3" applyFont="1" applyFill="1" applyBorder="1" applyAlignment="1">
      <alignment horizontal="center"/>
    </xf>
    <xf numFmtId="0" fontId="5" fillId="2" borderId="8" xfId="3" applyFont="1" applyFill="1" applyBorder="1" applyAlignment="1">
      <alignment horizontal="center"/>
    </xf>
    <xf numFmtId="0" fontId="5" fillId="2" borderId="33" xfId="3" applyFont="1" applyFill="1" applyBorder="1" applyAlignment="1">
      <alignment horizontal="center"/>
    </xf>
    <xf numFmtId="0" fontId="5" fillId="2" borderId="28" xfId="3" applyFont="1" applyFill="1" applyBorder="1" applyAlignment="1">
      <alignment horizontal="center"/>
    </xf>
    <xf numFmtId="0" fontId="6" fillId="2" borderId="34" xfId="3" applyFont="1" applyFill="1" applyBorder="1" applyAlignment="1">
      <alignment horizontal="right" vertical="top" wrapText="1"/>
    </xf>
    <xf numFmtId="0" fontId="6" fillId="2" borderId="30" xfId="3" applyFont="1" applyFill="1" applyBorder="1" applyAlignment="1">
      <alignment horizontal="right" vertical="top" wrapText="1"/>
    </xf>
    <xf numFmtId="0" fontId="6" fillId="2" borderId="31" xfId="3" applyFont="1" applyFill="1" applyBorder="1" applyAlignment="1">
      <alignment horizontal="right" vertical="top" wrapText="1"/>
    </xf>
    <xf numFmtId="0" fontId="3" fillId="2" borderId="0" xfId="3" applyFont="1" applyFill="1" applyAlignment="1">
      <alignment horizontal="right"/>
    </xf>
    <xf numFmtId="0" fontId="3" fillId="2" borderId="0" xfId="3" applyFont="1" applyFill="1"/>
    <xf numFmtId="0" fontId="6" fillId="3" borderId="25" xfId="1" applyFont="1" applyFill="1" applyBorder="1" applyAlignment="1">
      <alignment horizontal="center" vertical="center"/>
    </xf>
    <xf numFmtId="0" fontId="6" fillId="3" borderId="10" xfId="1" applyFont="1" applyFill="1" applyBorder="1" applyAlignment="1">
      <alignment horizontal="center" vertical="center"/>
    </xf>
    <xf numFmtId="0" fontId="6" fillId="3" borderId="25" xfId="1" applyFont="1" applyFill="1" applyBorder="1" applyAlignment="1">
      <alignment horizontal="center" vertical="center" wrapText="1"/>
    </xf>
    <xf numFmtId="0" fontId="6" fillId="3" borderId="10" xfId="1" applyFont="1" applyFill="1" applyBorder="1" applyAlignment="1">
      <alignment horizontal="center" vertical="center" wrapText="1"/>
    </xf>
    <xf numFmtId="0" fontId="6" fillId="3" borderId="24" xfId="1" applyFont="1" applyFill="1" applyBorder="1" applyAlignment="1">
      <alignment horizontal="center" vertical="center"/>
    </xf>
    <xf numFmtId="0" fontId="6" fillId="3" borderId="9" xfId="1" applyFont="1" applyFill="1" applyBorder="1" applyAlignment="1">
      <alignment horizontal="center" vertical="center"/>
    </xf>
    <xf numFmtId="0" fontId="7" fillId="0" borderId="40" xfId="1" applyFont="1" applyBorder="1" applyAlignment="1">
      <alignment horizontal="center" vertical="center"/>
    </xf>
    <xf numFmtId="0" fontId="7" fillId="0" borderId="13" xfId="1" applyFont="1" applyBorder="1" applyAlignment="1">
      <alignment horizontal="center" vertical="center"/>
    </xf>
    <xf numFmtId="0" fontId="8" fillId="0" borderId="14" xfId="1" applyFont="1" applyBorder="1" applyAlignment="1">
      <alignment vertical="center"/>
    </xf>
    <xf numFmtId="0" fontId="7" fillId="0" borderId="14" xfId="1" applyFont="1" applyBorder="1" applyAlignment="1">
      <alignment horizontal="center" vertical="center"/>
    </xf>
    <xf numFmtId="1" fontId="7" fillId="0" borderId="14" xfId="1" applyNumberFormat="1" applyFont="1" applyBorder="1" applyAlignment="1">
      <alignment horizontal="center"/>
    </xf>
    <xf numFmtId="1" fontId="7" fillId="0" borderId="14" xfId="1" applyNumberFormat="1" applyFont="1" applyBorder="1" applyAlignment="1">
      <alignment horizontal="center" wrapText="1"/>
    </xf>
    <xf numFmtId="0" fontId="9" fillId="0" borderId="26" xfId="1" applyFont="1" applyBorder="1" applyAlignment="1">
      <alignment horizontal="center"/>
    </xf>
    <xf numFmtId="0" fontId="9" fillId="0" borderId="41" xfId="1" applyFont="1" applyBorder="1" applyAlignment="1">
      <alignment horizontal="center" vertical="center"/>
    </xf>
    <xf numFmtId="0" fontId="9" fillId="0" borderId="14" xfId="1" applyFont="1" applyBorder="1" applyAlignment="1">
      <alignment horizontal="center" vertical="center"/>
    </xf>
    <xf numFmtId="0" fontId="9" fillId="0" borderId="42" xfId="1" applyFont="1" applyBorder="1" applyAlignment="1">
      <alignment horizontal="left" vertical="center"/>
    </xf>
    <xf numFmtId="16" fontId="9" fillId="0" borderId="17" xfId="1" applyNumberFormat="1" applyFont="1" applyBorder="1" applyAlignment="1">
      <alignment horizontal="center"/>
    </xf>
    <xf numFmtId="1" fontId="9" fillId="0" borderId="14" xfId="1" applyNumberFormat="1" applyFont="1" applyBorder="1" applyAlignment="1">
      <alignment horizontal="center"/>
    </xf>
    <xf numFmtId="1" fontId="9" fillId="0" borderId="14" xfId="1" applyNumberFormat="1" applyFont="1" applyBorder="1" applyAlignment="1">
      <alignment horizontal="center" wrapText="1"/>
    </xf>
    <xf numFmtId="0" fontId="9" fillId="0" borderId="17" xfId="0" applyFont="1" applyBorder="1" applyAlignment="1">
      <alignment horizontal="center" wrapText="1"/>
    </xf>
    <xf numFmtId="12" fontId="9" fillId="0" borderId="17" xfId="0" applyNumberFormat="1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12" xfId="1" quotePrefix="1" applyFont="1" applyBorder="1" applyAlignment="1">
      <alignment horizontal="center"/>
    </xf>
    <xf numFmtId="0" fontId="9" fillId="0" borderId="14" xfId="1" quotePrefix="1" applyFont="1" applyBorder="1" applyAlignment="1">
      <alignment horizontal="center"/>
    </xf>
    <xf numFmtId="0" fontId="9" fillId="0" borderId="13" xfId="1" quotePrefix="1" applyFont="1" applyBorder="1"/>
    <xf numFmtId="16" fontId="9" fillId="0" borderId="14" xfId="1" applyNumberFormat="1" applyFont="1" applyBorder="1" applyAlignment="1">
      <alignment horizontal="center"/>
    </xf>
    <xf numFmtId="0" fontId="9" fillId="0" borderId="14" xfId="0" applyFont="1" applyBorder="1" applyAlignment="1">
      <alignment horizontal="left"/>
    </xf>
    <xf numFmtId="0" fontId="10" fillId="0" borderId="14" xfId="0" applyFont="1" applyBorder="1" applyAlignment="1">
      <alignment horizontal="center" vertical="center"/>
    </xf>
    <xf numFmtId="0" fontId="7" fillId="0" borderId="14" xfId="0" applyFont="1" applyBorder="1"/>
    <xf numFmtId="0" fontId="9" fillId="0" borderId="14" xfId="0" applyFont="1" applyBorder="1"/>
    <xf numFmtId="0" fontId="9" fillId="0" borderId="0" xfId="0" applyFont="1"/>
    <xf numFmtId="49" fontId="7" fillId="0" borderId="15" xfId="1" applyNumberFormat="1" applyFont="1" applyBorder="1" applyAlignment="1">
      <alignment horizontal="center"/>
    </xf>
    <xf numFmtId="49" fontId="7" fillId="0" borderId="27" xfId="1" applyNumberFormat="1" applyFont="1" applyBorder="1" applyAlignment="1">
      <alignment horizontal="center"/>
    </xf>
    <xf numFmtId="0" fontId="8" fillId="6" borderId="14" xfId="1" applyFont="1" applyFill="1" applyBorder="1" applyAlignment="1">
      <alignment vertical="center"/>
    </xf>
    <xf numFmtId="0" fontId="7" fillId="0" borderId="13" xfId="1" applyFont="1" applyBorder="1" applyAlignment="1">
      <alignment horizontal="center"/>
    </xf>
    <xf numFmtId="165" fontId="7" fillId="0" borderId="14" xfId="1" applyNumberFormat="1" applyFont="1" applyBorder="1" applyAlignment="1">
      <alignment horizontal="center"/>
    </xf>
    <xf numFmtId="49" fontId="9" fillId="0" borderId="40" xfId="0" applyNumberFormat="1" applyFont="1" applyBorder="1" applyAlignment="1">
      <alignment horizontal="center"/>
    </xf>
    <xf numFmtId="49" fontId="9" fillId="0" borderId="13" xfId="0" applyNumberFormat="1" applyFont="1" applyBorder="1" applyAlignment="1">
      <alignment horizontal="center"/>
    </xf>
    <xf numFmtId="49" fontId="7" fillId="0" borderId="14" xfId="0" applyNumberFormat="1" applyFont="1" applyBorder="1"/>
    <xf numFmtId="1" fontId="9" fillId="0" borderId="14" xfId="0" applyNumberFormat="1" applyFont="1" applyBorder="1" applyAlignment="1">
      <alignment horizontal="center"/>
    </xf>
    <xf numFmtId="1" fontId="9" fillId="0" borderId="14" xfId="0" applyNumberFormat="1" applyFont="1" applyBorder="1" applyAlignment="1">
      <alignment horizontal="center" wrapText="1"/>
    </xf>
    <xf numFmtId="166" fontId="7" fillId="6" borderId="14" xfId="5" applyNumberFormat="1" applyFont="1" applyFill="1" applyBorder="1" applyAlignment="1">
      <alignment horizontal="center"/>
    </xf>
    <xf numFmtId="0" fontId="10" fillId="0" borderId="40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14" xfId="0" applyFont="1" applyBorder="1"/>
    <xf numFmtId="0" fontId="9" fillId="0" borderId="14" xfId="0" applyFont="1" applyBorder="1" applyAlignment="1">
      <alignment horizontal="center" vertical="center"/>
    </xf>
    <xf numFmtId="0" fontId="9" fillId="0" borderId="14" xfId="0" applyFont="1" applyBorder="1" applyAlignment="1">
      <alignment horizontal="left" vertical="center"/>
    </xf>
    <xf numFmtId="12" fontId="9" fillId="0" borderId="14" xfId="1" applyNumberFormat="1" applyFont="1" applyBorder="1" applyAlignment="1">
      <alignment horizontal="center"/>
    </xf>
    <xf numFmtId="0" fontId="9" fillId="0" borderId="14" xfId="0" quotePrefix="1" applyFont="1" applyBorder="1" applyAlignment="1">
      <alignment horizontal="center"/>
    </xf>
    <xf numFmtId="0" fontId="9" fillId="0" borderId="14" xfId="0" quotePrefix="1" applyFont="1" applyBorder="1"/>
    <xf numFmtId="49" fontId="9" fillId="0" borderId="14" xfId="0" applyNumberFormat="1" applyFont="1" applyBorder="1" applyAlignment="1">
      <alignment horizontal="center"/>
    </xf>
    <xf numFmtId="49" fontId="9" fillId="0" borderId="14" xfId="0" applyNumberFormat="1" applyFont="1" applyBorder="1"/>
    <xf numFmtId="16" fontId="9" fillId="0" borderId="14" xfId="0" applyNumberFormat="1" applyFont="1" applyBorder="1" applyAlignment="1">
      <alignment horizontal="center"/>
    </xf>
    <xf numFmtId="49" fontId="9" fillId="0" borderId="40" xfId="1" applyNumberFormat="1" applyFont="1" applyBorder="1" applyAlignment="1">
      <alignment horizontal="center"/>
    </xf>
    <xf numFmtId="49" fontId="9" fillId="0" borderId="13" xfId="1" applyNumberFormat="1" applyFont="1" applyBorder="1" applyAlignment="1">
      <alignment horizontal="center"/>
    </xf>
    <xf numFmtId="49" fontId="9" fillId="0" borderId="14" xfId="1" applyNumberFormat="1" applyFont="1" applyBorder="1"/>
    <xf numFmtId="0" fontId="9" fillId="0" borderId="14" xfId="1" applyFont="1" applyBorder="1" applyAlignment="1">
      <alignment horizontal="center"/>
    </xf>
    <xf numFmtId="49" fontId="10" fillId="2" borderId="20" xfId="1" applyNumberFormat="1" applyFont="1" applyFill="1" applyBorder="1" applyAlignment="1">
      <alignment horizontal="center" vertical="center"/>
    </xf>
    <xf numFmtId="49" fontId="10" fillId="2" borderId="0" xfId="1" applyNumberFormat="1" applyFont="1" applyFill="1" applyAlignment="1">
      <alignment horizontal="center" vertical="center"/>
    </xf>
    <xf numFmtId="0" fontId="9" fillId="2" borderId="0" xfId="1" applyFont="1" applyFill="1"/>
    <xf numFmtId="1" fontId="9" fillId="2" borderId="0" xfId="1" applyNumberFormat="1" applyFont="1" applyFill="1" applyAlignment="1">
      <alignment horizontal="center"/>
    </xf>
    <xf numFmtId="164" fontId="9" fillId="2" borderId="0" xfId="1" applyNumberFormat="1" applyFont="1" applyFill="1" applyAlignment="1">
      <alignment horizontal="center" wrapText="1"/>
    </xf>
    <xf numFmtId="0" fontId="9" fillId="2" borderId="19" xfId="1" applyFont="1" applyFill="1" applyBorder="1" applyAlignment="1">
      <alignment horizontal="center"/>
    </xf>
    <xf numFmtId="0" fontId="9" fillId="3" borderId="7" xfId="1" applyFont="1" applyFill="1" applyBorder="1" applyAlignment="1">
      <alignment horizontal="center"/>
    </xf>
    <xf numFmtId="0" fontId="9" fillId="3" borderId="6" xfId="1" applyFont="1" applyFill="1" applyBorder="1" applyAlignment="1">
      <alignment horizontal="center"/>
    </xf>
    <xf numFmtId="0" fontId="9" fillId="3" borderId="6" xfId="1" applyFont="1" applyFill="1" applyBorder="1"/>
    <xf numFmtId="0" fontId="7" fillId="3" borderId="6" xfId="1" applyFont="1" applyFill="1" applyBorder="1" applyAlignment="1">
      <alignment horizontal="center"/>
    </xf>
    <xf numFmtId="1" fontId="7" fillId="3" borderId="6" xfId="1" applyNumberFormat="1" applyFont="1" applyFill="1" applyBorder="1" applyAlignment="1">
      <alignment horizontal="center"/>
    </xf>
    <xf numFmtId="164" fontId="9" fillId="3" borderId="6" xfId="1" applyNumberFormat="1" applyFont="1" applyFill="1" applyBorder="1" applyAlignment="1">
      <alignment horizontal="center" wrapText="1"/>
    </xf>
    <xf numFmtId="0" fontId="9" fillId="3" borderId="5" xfId="1" applyFont="1" applyFill="1" applyBorder="1" applyAlignment="1">
      <alignment horizontal="center"/>
    </xf>
    <xf numFmtId="0" fontId="7" fillId="0" borderId="4" xfId="1" applyFont="1" applyBorder="1" applyAlignment="1">
      <alignment horizontal="right"/>
    </xf>
    <xf numFmtId="0" fontId="7" fillId="0" borderId="3" xfId="1" applyFont="1" applyBorder="1" applyAlignment="1">
      <alignment horizontal="right"/>
    </xf>
    <xf numFmtId="0" fontId="7" fillId="0" borderId="18" xfId="1" applyFont="1" applyBorder="1" applyAlignment="1">
      <alignment horizontal="right"/>
    </xf>
    <xf numFmtId="1" fontId="9" fillId="0" borderId="17" xfId="0" applyNumberFormat="1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164" fontId="9" fillId="0" borderId="17" xfId="1" applyNumberFormat="1" applyFont="1" applyBorder="1" applyAlignment="1">
      <alignment horizontal="right"/>
    </xf>
    <xf numFmtId="0" fontId="9" fillId="2" borderId="16" xfId="1" applyFont="1" applyFill="1" applyBorder="1" applyAlignment="1">
      <alignment horizontal="center"/>
    </xf>
    <xf numFmtId="0" fontId="9" fillId="2" borderId="2" xfId="1" applyFont="1" applyFill="1" applyBorder="1" applyAlignment="1">
      <alignment horizontal="center"/>
    </xf>
    <xf numFmtId="0" fontId="7" fillId="0" borderId="15" xfId="1" applyFont="1" applyBorder="1" applyAlignment="1">
      <alignment horizontal="right"/>
    </xf>
    <xf numFmtId="0" fontId="7" fillId="0" borderId="27" xfId="1" applyFont="1" applyBorder="1" applyAlignment="1">
      <alignment horizontal="right"/>
    </xf>
    <xf numFmtId="0" fontId="7" fillId="0" borderId="13" xfId="1" applyFont="1" applyBorder="1" applyAlignment="1">
      <alignment horizontal="right"/>
    </xf>
    <xf numFmtId="0" fontId="9" fillId="0" borderId="14" xfId="1" applyFont="1" applyBorder="1" applyAlignment="1">
      <alignment horizontal="right"/>
    </xf>
    <xf numFmtId="164" fontId="9" fillId="0" borderId="12" xfId="1" applyNumberFormat="1" applyFont="1" applyBorder="1" applyAlignment="1">
      <alignment horizontal="center"/>
    </xf>
    <xf numFmtId="164" fontId="9" fillId="0" borderId="11" xfId="1" applyNumberFormat="1" applyFont="1" applyBorder="1" applyAlignment="1">
      <alignment horizontal="center"/>
    </xf>
    <xf numFmtId="164" fontId="9" fillId="0" borderId="12" xfId="1" applyNumberFormat="1" applyFont="1" applyBorder="1" applyAlignment="1">
      <alignment horizontal="right" wrapText="1"/>
    </xf>
    <xf numFmtId="164" fontId="9" fillId="0" borderId="13" xfId="1" applyNumberFormat="1" applyFont="1" applyBorder="1" applyAlignment="1">
      <alignment horizontal="right" wrapText="1"/>
    </xf>
    <xf numFmtId="164" fontId="9" fillId="0" borderId="12" xfId="0" applyNumberFormat="1" applyFont="1" applyBorder="1" applyAlignment="1">
      <alignment horizontal="center" wrapText="1"/>
    </xf>
    <xf numFmtId="164" fontId="9" fillId="0" borderId="11" xfId="0" applyNumberFormat="1" applyFont="1" applyBorder="1" applyAlignment="1">
      <alignment horizontal="center" wrapText="1"/>
    </xf>
    <xf numFmtId="0" fontId="7" fillId="0" borderId="10" xfId="1" applyFont="1" applyBorder="1" applyAlignment="1">
      <alignment horizontal="right"/>
    </xf>
    <xf numFmtId="0" fontId="7" fillId="0" borderId="28" xfId="1" applyFont="1" applyBorder="1" applyAlignment="1">
      <alignment horizontal="right"/>
    </xf>
    <xf numFmtId="0" fontId="7" fillId="0" borderId="9" xfId="1" applyFont="1" applyBorder="1" applyAlignment="1">
      <alignment horizontal="right"/>
    </xf>
    <xf numFmtId="1" fontId="9" fillId="0" borderId="9" xfId="0" applyNumberFormat="1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9" xfId="1" applyFont="1" applyBorder="1" applyAlignment="1">
      <alignment horizontal="right"/>
    </xf>
    <xf numFmtId="0" fontId="7" fillId="0" borderId="4" xfId="1" applyFont="1" applyBorder="1" applyAlignment="1">
      <alignment horizontal="left" wrapText="1"/>
    </xf>
    <xf numFmtId="0" fontId="7" fillId="0" borderId="3" xfId="1" applyFont="1" applyBorder="1" applyAlignment="1">
      <alignment horizontal="left" wrapText="1"/>
    </xf>
    <xf numFmtId="0" fontId="7" fillId="0" borderId="2" xfId="1" applyFont="1" applyBorder="1" applyAlignment="1">
      <alignment horizontal="left" wrapText="1"/>
    </xf>
    <xf numFmtId="0" fontId="11" fillId="4" borderId="12" xfId="3" applyFont="1" applyFill="1" applyBorder="1" applyAlignment="1">
      <alignment horizontal="center" vertical="center" wrapText="1"/>
    </xf>
    <xf numFmtId="0" fontId="11" fillId="4" borderId="27" xfId="3" applyFont="1" applyFill="1" applyBorder="1" applyAlignment="1">
      <alignment horizontal="center" vertical="center" wrapText="1"/>
    </xf>
    <xf numFmtId="0" fontId="11" fillId="4" borderId="13" xfId="3" applyFont="1" applyFill="1" applyBorder="1" applyAlignment="1">
      <alignment horizontal="center" vertical="center" wrapText="1"/>
    </xf>
    <xf numFmtId="0" fontId="12" fillId="2" borderId="1" xfId="3" applyFont="1" applyFill="1" applyBorder="1" applyAlignment="1">
      <alignment horizontal="center"/>
    </xf>
    <xf numFmtId="14" fontId="12" fillId="2" borderId="0" xfId="3" applyNumberFormat="1" applyFont="1" applyFill="1" applyAlignment="1">
      <alignment horizontal="center" vertical="center" wrapText="1"/>
    </xf>
    <xf numFmtId="0" fontId="9" fillId="0" borderId="20" xfId="1" applyFont="1" applyBorder="1" applyAlignment="1">
      <alignment horizontal="left"/>
    </xf>
    <xf numFmtId="0" fontId="9" fillId="0" borderId="0" xfId="1" applyFont="1" applyBorder="1" applyAlignment="1">
      <alignment horizontal="left"/>
    </xf>
    <xf numFmtId="0" fontId="9" fillId="0" borderId="19" xfId="1" applyFont="1" applyBorder="1" applyAlignment="1">
      <alignment horizontal="left"/>
    </xf>
    <xf numFmtId="0" fontId="7" fillId="5" borderId="14" xfId="3" applyFont="1" applyFill="1" applyBorder="1" applyAlignment="1">
      <alignment horizontal="center"/>
    </xf>
    <xf numFmtId="0" fontId="9" fillId="2" borderId="14" xfId="3" applyFont="1" applyFill="1" applyBorder="1" applyAlignment="1">
      <alignment horizontal="left"/>
    </xf>
    <xf numFmtId="0" fontId="7" fillId="3" borderId="7" xfId="1" applyFont="1" applyFill="1" applyBorder="1" applyAlignment="1">
      <alignment horizontal="center"/>
    </xf>
    <xf numFmtId="0" fontId="7" fillId="3" borderId="6" xfId="1" applyFont="1" applyFill="1" applyBorder="1" applyAlignment="1">
      <alignment horizontal="center"/>
    </xf>
    <xf numFmtId="0" fontId="7" fillId="3" borderId="5" xfId="1" applyFont="1" applyFill="1" applyBorder="1" applyAlignment="1">
      <alignment horizontal="center"/>
    </xf>
  </cellXfs>
  <cellStyles count="6">
    <cellStyle name="Millares" xfId="4" builtinId="3"/>
    <cellStyle name="Millares 2" xfId="5" xr:uid="{2C72EF9F-6A85-4EC6-903D-8AAC5154E55C}"/>
    <cellStyle name="Normal" xfId="0" builtinId="0"/>
    <cellStyle name="Normal 2" xfId="1" xr:uid="{A19F8BC0-12D2-4179-8E3D-58AD89D2A73C}"/>
    <cellStyle name="Normal_CRITERIOS DE EVALUACION PT DE GB 2" xfId="3" xr:uid="{BB00D3BD-E880-4413-AD2D-CBA2552C4F31}"/>
    <cellStyle name="Porcentaje 2" xfId="2" xr:uid="{8C5550F8-97FB-4251-A4ED-52C913E818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154782</xdr:colOff>
      <xdr:row>0</xdr:row>
      <xdr:rowOff>95249</xdr:rowOff>
    </xdr:from>
    <xdr:to>
      <xdr:col>1</xdr:col>
      <xdr:colOff>990119</xdr:colOff>
      <xdr:row>4</xdr:row>
      <xdr:rowOff>119061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D3302560-A3CF-47A8-AFF8-2D48B5735A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782" y="95249"/>
          <a:ext cx="2002150" cy="916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FB0CD-E462-4500-8D93-D972836A80C9}">
  <dimension ref="A2:L24"/>
  <sheetViews>
    <sheetView workbookViewId="0">
      <selection activeCell="J25" sqref="J25"/>
    </sheetView>
  </sheetViews>
  <sheetFormatPr baseColWidth="10" defaultRowHeight="12.75" x14ac:dyDescent="0.2"/>
  <cols>
    <col min="3" max="3" width="23.85546875" bestFit="1" customWidth="1"/>
  </cols>
  <sheetData>
    <row r="2" spans="1:2" x14ac:dyDescent="0.2">
      <c r="A2" t="s">
        <v>92</v>
      </c>
    </row>
    <row r="3" spans="1:2" x14ac:dyDescent="0.2">
      <c r="A3" t="s">
        <v>93</v>
      </c>
      <c r="B3" t="s">
        <v>94</v>
      </c>
    </row>
    <row r="4" spans="1:2" x14ac:dyDescent="0.2">
      <c r="A4" t="s">
        <v>95</v>
      </c>
      <c r="B4" t="s">
        <v>96</v>
      </c>
    </row>
    <row r="5" spans="1:2" x14ac:dyDescent="0.2">
      <c r="A5" t="s">
        <v>97</v>
      </c>
      <c r="B5" t="s">
        <v>98</v>
      </c>
    </row>
    <row r="6" spans="1:2" x14ac:dyDescent="0.2">
      <c r="A6" t="s">
        <v>99</v>
      </c>
      <c r="B6" t="s">
        <v>100</v>
      </c>
    </row>
    <row r="7" spans="1:2" x14ac:dyDescent="0.2">
      <c r="A7" t="s">
        <v>101</v>
      </c>
      <c r="B7" t="s">
        <v>102</v>
      </c>
    </row>
    <row r="8" spans="1:2" x14ac:dyDescent="0.2">
      <c r="A8" t="s">
        <v>103</v>
      </c>
      <c r="B8" t="s">
        <v>104</v>
      </c>
    </row>
    <row r="9" spans="1:2" x14ac:dyDescent="0.2">
      <c r="A9" t="s">
        <v>105</v>
      </c>
      <c r="B9" t="s">
        <v>106</v>
      </c>
    </row>
    <row r="10" spans="1:2" x14ac:dyDescent="0.2">
      <c r="A10" t="s">
        <v>107</v>
      </c>
      <c r="B10" t="s">
        <v>108</v>
      </c>
    </row>
    <row r="11" spans="1:2" x14ac:dyDescent="0.2">
      <c r="A11" t="s">
        <v>109</v>
      </c>
      <c r="B11" t="s">
        <v>37</v>
      </c>
    </row>
    <row r="12" spans="1:2" x14ac:dyDescent="0.2">
      <c r="A12" t="s">
        <v>110</v>
      </c>
      <c r="B12" t="s">
        <v>111</v>
      </c>
    </row>
    <row r="13" spans="1:2" x14ac:dyDescent="0.2">
      <c r="A13" t="s">
        <v>112</v>
      </c>
      <c r="B13" t="s">
        <v>113</v>
      </c>
    </row>
    <row r="14" spans="1:2" x14ac:dyDescent="0.2">
      <c r="A14" t="s">
        <v>114</v>
      </c>
      <c r="B14" t="s">
        <v>115</v>
      </c>
    </row>
    <row r="17" spans="1:12" x14ac:dyDescent="0.2">
      <c r="A17" t="s">
        <v>116</v>
      </c>
      <c r="B17" t="s">
        <v>117</v>
      </c>
    </row>
    <row r="18" spans="1:12" x14ac:dyDescent="0.2">
      <c r="A18" t="s">
        <v>118</v>
      </c>
      <c r="B18" t="s">
        <v>119</v>
      </c>
    </row>
    <row r="20" spans="1:12" x14ac:dyDescent="0.2">
      <c r="A20" t="s">
        <v>120</v>
      </c>
      <c r="B20" t="s">
        <v>121</v>
      </c>
      <c r="C20" t="s">
        <v>122</v>
      </c>
      <c r="D20" t="s">
        <v>123</v>
      </c>
      <c r="E20" t="s">
        <v>124</v>
      </c>
      <c r="F20" t="s">
        <v>125</v>
      </c>
      <c r="G20" t="s">
        <v>126</v>
      </c>
      <c r="H20" t="s">
        <v>127</v>
      </c>
      <c r="I20" t="s">
        <v>128</v>
      </c>
      <c r="J20" t="s">
        <v>129</v>
      </c>
      <c r="K20" t="s">
        <v>130</v>
      </c>
      <c r="L20" t="s">
        <v>130</v>
      </c>
    </row>
    <row r="21" spans="1:12" x14ac:dyDescent="0.2">
      <c r="A21" t="s">
        <v>29</v>
      </c>
      <c r="B21" t="s">
        <v>111</v>
      </c>
      <c r="C21" t="s">
        <v>131</v>
      </c>
      <c r="D21" t="s">
        <v>132</v>
      </c>
      <c r="E21" t="s">
        <v>133</v>
      </c>
      <c r="F21" t="s">
        <v>132</v>
      </c>
      <c r="G21" t="s">
        <v>132</v>
      </c>
      <c r="H21" t="s">
        <v>132</v>
      </c>
      <c r="I21" t="s">
        <v>134</v>
      </c>
      <c r="J21" t="s">
        <v>135</v>
      </c>
      <c r="K21" t="s">
        <v>136</v>
      </c>
      <c r="L21">
        <v>473.16</v>
      </c>
    </row>
    <row r="22" spans="1:12" x14ac:dyDescent="0.2">
      <c r="A22" t="s">
        <v>30</v>
      </c>
      <c r="B22" t="s">
        <v>111</v>
      </c>
      <c r="C22" t="s">
        <v>137</v>
      </c>
      <c r="D22" t="s">
        <v>138</v>
      </c>
      <c r="E22" t="s">
        <v>133</v>
      </c>
      <c r="F22" t="s">
        <v>138</v>
      </c>
      <c r="G22" t="s">
        <v>138</v>
      </c>
      <c r="H22" t="s">
        <v>138</v>
      </c>
      <c r="I22" t="s">
        <v>139</v>
      </c>
      <c r="J22" t="s">
        <v>140</v>
      </c>
      <c r="K22" t="s">
        <v>141</v>
      </c>
      <c r="L22">
        <v>27.17</v>
      </c>
    </row>
    <row r="23" spans="1:12" x14ac:dyDescent="0.2">
      <c r="A23" t="s">
        <v>28</v>
      </c>
      <c r="B23" t="s">
        <v>111</v>
      </c>
      <c r="C23" t="s">
        <v>142</v>
      </c>
      <c r="D23" t="s">
        <v>143</v>
      </c>
      <c r="E23" t="s">
        <v>133</v>
      </c>
      <c r="F23" t="s">
        <v>143</v>
      </c>
      <c r="G23" t="s">
        <v>143</v>
      </c>
      <c r="H23" t="s">
        <v>143</v>
      </c>
      <c r="I23" t="s">
        <v>144</v>
      </c>
      <c r="J23" t="s">
        <v>145</v>
      </c>
      <c r="K23" t="s">
        <v>146</v>
      </c>
      <c r="L23">
        <v>749.41</v>
      </c>
    </row>
    <row r="24" spans="1:12" x14ac:dyDescent="0.2">
      <c r="L24">
        <f>SUM(L21:L23)</f>
        <v>1249.74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22780-52C2-4B02-BFEE-3846521F5E5E}">
  <dimension ref="A2:L34"/>
  <sheetViews>
    <sheetView topLeftCell="A16" workbookViewId="0">
      <selection activeCell="A10" sqref="A1:XFD1048576"/>
    </sheetView>
  </sheetViews>
  <sheetFormatPr baseColWidth="10" defaultRowHeight="12.75" x14ac:dyDescent="0.2"/>
  <cols>
    <col min="3" max="3" width="15.42578125" customWidth="1"/>
  </cols>
  <sheetData>
    <row r="2" spans="1:2" x14ac:dyDescent="0.2">
      <c r="A2" t="s">
        <v>92</v>
      </c>
    </row>
    <row r="3" spans="1:2" x14ac:dyDescent="0.2">
      <c r="A3" t="s">
        <v>93</v>
      </c>
      <c r="B3" t="s">
        <v>94</v>
      </c>
    </row>
    <row r="4" spans="1:2" x14ac:dyDescent="0.2">
      <c r="A4" t="s">
        <v>95</v>
      </c>
      <c r="B4" t="s">
        <v>147</v>
      </c>
    </row>
    <row r="5" spans="1:2" x14ac:dyDescent="0.2">
      <c r="A5" t="s">
        <v>97</v>
      </c>
      <c r="B5" t="s">
        <v>98</v>
      </c>
    </row>
    <row r="6" spans="1:2" x14ac:dyDescent="0.2">
      <c r="A6" t="s">
        <v>99</v>
      </c>
      <c r="B6" t="s">
        <v>148</v>
      </c>
    </row>
    <row r="7" spans="1:2" x14ac:dyDescent="0.2">
      <c r="A7" t="s">
        <v>101</v>
      </c>
      <c r="B7" t="s">
        <v>102</v>
      </c>
    </row>
    <row r="8" spans="1:2" x14ac:dyDescent="0.2">
      <c r="A8" t="s">
        <v>103</v>
      </c>
      <c r="B8" t="s">
        <v>104</v>
      </c>
    </row>
    <row r="9" spans="1:2" x14ac:dyDescent="0.2">
      <c r="A9" t="s">
        <v>105</v>
      </c>
      <c r="B9" t="s">
        <v>149</v>
      </c>
    </row>
    <row r="10" spans="1:2" x14ac:dyDescent="0.2">
      <c r="A10" t="s">
        <v>107</v>
      </c>
      <c r="B10" t="s">
        <v>108</v>
      </c>
    </row>
    <row r="11" spans="1:2" x14ac:dyDescent="0.2">
      <c r="A11" t="s">
        <v>109</v>
      </c>
      <c r="B11" t="s">
        <v>37</v>
      </c>
    </row>
    <row r="12" spans="1:2" x14ac:dyDescent="0.2">
      <c r="A12" t="s">
        <v>110</v>
      </c>
      <c r="B12" t="s">
        <v>111</v>
      </c>
    </row>
    <row r="13" spans="1:2" x14ac:dyDescent="0.2">
      <c r="A13" t="s">
        <v>112</v>
      </c>
      <c r="B13" t="s">
        <v>113</v>
      </c>
    </row>
    <row r="14" spans="1:2" x14ac:dyDescent="0.2">
      <c r="A14" t="s">
        <v>114</v>
      </c>
      <c r="B14" t="s">
        <v>115</v>
      </c>
    </row>
    <row r="17" spans="1:12" x14ac:dyDescent="0.2">
      <c r="A17" t="s">
        <v>116</v>
      </c>
      <c r="B17" t="s">
        <v>117</v>
      </c>
    </row>
    <row r="18" spans="1:12" x14ac:dyDescent="0.2">
      <c r="A18" t="s">
        <v>150</v>
      </c>
      <c r="B18" t="s">
        <v>151</v>
      </c>
    </row>
    <row r="20" spans="1:12" x14ac:dyDescent="0.2">
      <c r="A20" t="s">
        <v>120</v>
      </c>
      <c r="B20" t="s">
        <v>121</v>
      </c>
      <c r="C20" t="s">
        <v>122</v>
      </c>
      <c r="D20" t="s">
        <v>123</v>
      </c>
      <c r="E20" t="s">
        <v>124</v>
      </c>
      <c r="F20" t="s">
        <v>125</v>
      </c>
      <c r="G20" t="s">
        <v>126</v>
      </c>
      <c r="H20" t="s">
        <v>127</v>
      </c>
      <c r="I20" t="s">
        <v>128</v>
      </c>
      <c r="J20" t="s">
        <v>129</v>
      </c>
      <c r="K20" t="s">
        <v>130</v>
      </c>
      <c r="L20" t="s">
        <v>130</v>
      </c>
    </row>
    <row r="21" spans="1:12" x14ac:dyDescent="0.2">
      <c r="A21" t="s">
        <v>45</v>
      </c>
      <c r="B21" t="s">
        <v>111</v>
      </c>
      <c r="C21" t="s">
        <v>152</v>
      </c>
      <c r="D21" t="s">
        <v>153</v>
      </c>
      <c r="E21" t="s">
        <v>133</v>
      </c>
      <c r="F21" t="s">
        <v>153</v>
      </c>
      <c r="G21" t="s">
        <v>153</v>
      </c>
      <c r="H21" t="s">
        <v>153</v>
      </c>
      <c r="I21" t="s">
        <v>154</v>
      </c>
      <c r="J21" t="s">
        <v>135</v>
      </c>
      <c r="K21" t="s">
        <v>155</v>
      </c>
      <c r="L21">
        <v>579.39</v>
      </c>
    </row>
    <row r="22" spans="1:12" x14ac:dyDescent="0.2">
      <c r="A22" t="s">
        <v>48</v>
      </c>
      <c r="B22" t="s">
        <v>111</v>
      </c>
      <c r="C22" t="s">
        <v>156</v>
      </c>
      <c r="D22" t="s">
        <v>157</v>
      </c>
      <c r="E22" t="s">
        <v>133</v>
      </c>
      <c r="F22" t="s">
        <v>157</v>
      </c>
      <c r="G22" t="s">
        <v>157</v>
      </c>
      <c r="H22" t="s">
        <v>157</v>
      </c>
      <c r="I22" t="s">
        <v>158</v>
      </c>
      <c r="J22" t="s">
        <v>135</v>
      </c>
      <c r="K22" t="s">
        <v>159</v>
      </c>
      <c r="L22">
        <v>180.95</v>
      </c>
    </row>
    <row r="23" spans="1:12" x14ac:dyDescent="0.2">
      <c r="A23" t="s">
        <v>52</v>
      </c>
      <c r="B23" t="s">
        <v>111</v>
      </c>
      <c r="C23" t="s">
        <v>160</v>
      </c>
      <c r="D23" t="s">
        <v>161</v>
      </c>
      <c r="E23" t="s">
        <v>133</v>
      </c>
      <c r="F23" t="s">
        <v>161</v>
      </c>
      <c r="G23" t="s">
        <v>161</v>
      </c>
      <c r="H23" t="s">
        <v>161</v>
      </c>
      <c r="I23" t="s">
        <v>162</v>
      </c>
      <c r="J23" t="s">
        <v>135</v>
      </c>
      <c r="K23" t="s">
        <v>163</v>
      </c>
      <c r="L23">
        <v>147.79</v>
      </c>
    </row>
    <row r="24" spans="1:12" x14ac:dyDescent="0.2">
      <c r="A24" t="s">
        <v>56</v>
      </c>
      <c r="B24" t="s">
        <v>111</v>
      </c>
      <c r="C24" t="s">
        <v>164</v>
      </c>
      <c r="D24" t="s">
        <v>165</v>
      </c>
      <c r="E24" t="s">
        <v>133</v>
      </c>
      <c r="F24" t="s">
        <v>165</v>
      </c>
      <c r="G24" t="s">
        <v>165</v>
      </c>
      <c r="H24" t="s">
        <v>165</v>
      </c>
      <c r="I24" t="s">
        <v>166</v>
      </c>
      <c r="J24" t="s">
        <v>135</v>
      </c>
      <c r="K24" t="s">
        <v>167</v>
      </c>
      <c r="L24">
        <v>33.96</v>
      </c>
    </row>
    <row r="25" spans="1:12" x14ac:dyDescent="0.2">
      <c r="A25" t="s">
        <v>59</v>
      </c>
      <c r="B25" t="s">
        <v>111</v>
      </c>
      <c r="C25" t="s">
        <v>168</v>
      </c>
      <c r="D25" t="s">
        <v>169</v>
      </c>
      <c r="E25" t="s">
        <v>133</v>
      </c>
      <c r="F25" t="s">
        <v>169</v>
      </c>
      <c r="G25" t="s">
        <v>169</v>
      </c>
      <c r="H25" t="s">
        <v>169</v>
      </c>
      <c r="I25" t="s">
        <v>170</v>
      </c>
      <c r="J25" t="s">
        <v>135</v>
      </c>
      <c r="K25" t="s">
        <v>171</v>
      </c>
      <c r="L25">
        <v>13.98</v>
      </c>
    </row>
    <row r="26" spans="1:12" x14ac:dyDescent="0.2">
      <c r="A26" t="s">
        <v>62</v>
      </c>
      <c r="B26" t="s">
        <v>111</v>
      </c>
      <c r="C26" t="s">
        <v>172</v>
      </c>
      <c r="D26" t="s">
        <v>173</v>
      </c>
      <c r="E26" t="s">
        <v>133</v>
      </c>
      <c r="F26" t="s">
        <v>173</v>
      </c>
      <c r="G26" t="s">
        <v>173</v>
      </c>
      <c r="H26" t="s">
        <v>173</v>
      </c>
      <c r="I26" t="s">
        <v>174</v>
      </c>
      <c r="J26" t="s">
        <v>135</v>
      </c>
      <c r="K26" t="s">
        <v>175</v>
      </c>
      <c r="L26">
        <v>11.54</v>
      </c>
    </row>
    <row r="27" spans="1:12" x14ac:dyDescent="0.2">
      <c r="A27" t="s">
        <v>76</v>
      </c>
      <c r="B27" t="s">
        <v>111</v>
      </c>
      <c r="C27" t="s">
        <v>176</v>
      </c>
      <c r="D27" t="s">
        <v>177</v>
      </c>
      <c r="E27" t="s">
        <v>133</v>
      </c>
      <c r="F27" t="s">
        <v>177</v>
      </c>
      <c r="G27" t="s">
        <v>177</v>
      </c>
      <c r="H27" t="s">
        <v>177</v>
      </c>
      <c r="I27" t="s">
        <v>178</v>
      </c>
      <c r="J27" t="s">
        <v>135</v>
      </c>
      <c r="K27" t="s">
        <v>179</v>
      </c>
      <c r="L27">
        <v>3.4</v>
      </c>
    </row>
    <row r="28" spans="1:12" x14ac:dyDescent="0.2">
      <c r="A28" t="s">
        <v>81</v>
      </c>
      <c r="B28" t="s">
        <v>111</v>
      </c>
      <c r="C28" t="s">
        <v>180</v>
      </c>
      <c r="D28" t="s">
        <v>181</v>
      </c>
      <c r="E28" t="s">
        <v>133</v>
      </c>
      <c r="F28" t="s">
        <v>181</v>
      </c>
      <c r="G28" t="s">
        <v>181</v>
      </c>
      <c r="H28" t="s">
        <v>181</v>
      </c>
      <c r="I28" t="s">
        <v>182</v>
      </c>
      <c r="J28" t="s">
        <v>129</v>
      </c>
      <c r="K28" t="s">
        <v>183</v>
      </c>
      <c r="L28">
        <v>0.17</v>
      </c>
    </row>
    <row r="29" spans="1:12" x14ac:dyDescent="0.2">
      <c r="A29" t="s">
        <v>66</v>
      </c>
      <c r="B29" t="s">
        <v>111</v>
      </c>
      <c r="C29" t="s">
        <v>184</v>
      </c>
      <c r="D29" t="s">
        <v>185</v>
      </c>
      <c r="E29" t="s">
        <v>133</v>
      </c>
      <c r="F29" t="s">
        <v>185</v>
      </c>
      <c r="G29" t="s">
        <v>185</v>
      </c>
      <c r="H29" t="s">
        <v>185</v>
      </c>
      <c r="I29" t="s">
        <v>186</v>
      </c>
      <c r="J29" t="s">
        <v>135</v>
      </c>
      <c r="K29" t="s">
        <v>187</v>
      </c>
      <c r="L29">
        <v>352.17</v>
      </c>
    </row>
    <row r="30" spans="1:12" x14ac:dyDescent="0.2">
      <c r="A30" t="s">
        <v>68</v>
      </c>
      <c r="B30" t="s">
        <v>111</v>
      </c>
      <c r="C30" t="s">
        <v>188</v>
      </c>
      <c r="D30" t="s">
        <v>189</v>
      </c>
      <c r="E30" t="s">
        <v>133</v>
      </c>
      <c r="F30" t="s">
        <v>189</v>
      </c>
      <c r="G30" t="s">
        <v>189</v>
      </c>
      <c r="H30" t="s">
        <v>189</v>
      </c>
      <c r="I30" t="s">
        <v>190</v>
      </c>
      <c r="J30" t="s">
        <v>135</v>
      </c>
      <c r="K30" t="s">
        <v>191</v>
      </c>
      <c r="L30">
        <v>32.54</v>
      </c>
    </row>
    <row r="31" spans="1:12" x14ac:dyDescent="0.2">
      <c r="A31" t="s">
        <v>78</v>
      </c>
      <c r="B31" t="s">
        <v>111</v>
      </c>
      <c r="C31" t="s">
        <v>192</v>
      </c>
      <c r="D31" t="s">
        <v>193</v>
      </c>
      <c r="E31" t="s">
        <v>133</v>
      </c>
      <c r="F31" t="s">
        <v>193</v>
      </c>
      <c r="G31" t="s">
        <v>193</v>
      </c>
      <c r="H31" t="s">
        <v>193</v>
      </c>
      <c r="I31" t="s">
        <v>194</v>
      </c>
      <c r="J31" t="s">
        <v>135</v>
      </c>
      <c r="K31" t="s">
        <v>195</v>
      </c>
      <c r="L31">
        <v>1.2</v>
      </c>
    </row>
    <row r="32" spans="1:12" x14ac:dyDescent="0.2">
      <c r="A32" t="s">
        <v>83</v>
      </c>
      <c r="B32" t="s">
        <v>111</v>
      </c>
      <c r="C32" t="s">
        <v>196</v>
      </c>
      <c r="D32" t="s">
        <v>197</v>
      </c>
      <c r="E32" t="s">
        <v>133</v>
      </c>
      <c r="F32" t="s">
        <v>197</v>
      </c>
      <c r="G32" t="s">
        <v>197</v>
      </c>
      <c r="H32" t="s">
        <v>197</v>
      </c>
      <c r="I32" t="s">
        <v>198</v>
      </c>
      <c r="J32" t="s">
        <v>135</v>
      </c>
      <c r="K32" t="s">
        <v>199</v>
      </c>
      <c r="L32">
        <v>2.4900000000000002</v>
      </c>
    </row>
    <row r="33" spans="1:12" x14ac:dyDescent="0.2">
      <c r="A33" t="s">
        <v>85</v>
      </c>
      <c r="B33" t="s">
        <v>111</v>
      </c>
      <c r="C33" t="s">
        <v>200</v>
      </c>
      <c r="D33" t="s">
        <v>201</v>
      </c>
      <c r="E33" t="s">
        <v>133</v>
      </c>
      <c r="F33" t="s">
        <v>201</v>
      </c>
      <c r="G33" t="s">
        <v>201</v>
      </c>
      <c r="H33" t="s">
        <v>201</v>
      </c>
      <c r="I33" t="s">
        <v>202</v>
      </c>
      <c r="J33" t="s">
        <v>129</v>
      </c>
      <c r="K33" t="s">
        <v>203</v>
      </c>
      <c r="L33">
        <v>0.28999999999999998</v>
      </c>
    </row>
    <row r="34" spans="1:12" x14ac:dyDescent="0.2">
      <c r="L34">
        <f>SUM(L21:L33)</f>
        <v>1359.87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4467E-6F14-49BB-9D71-741E262EC274}">
  <dimension ref="A2:N25"/>
  <sheetViews>
    <sheetView workbookViewId="0">
      <selection sqref="A1:XFD1048576"/>
    </sheetView>
  </sheetViews>
  <sheetFormatPr baseColWidth="10" defaultRowHeight="12.75" x14ac:dyDescent="0.2"/>
  <cols>
    <col min="3" max="3" width="23.85546875" bestFit="1" customWidth="1"/>
  </cols>
  <sheetData>
    <row r="2" spans="1:2" x14ac:dyDescent="0.2">
      <c r="A2" t="s">
        <v>92</v>
      </c>
    </row>
    <row r="3" spans="1:2" x14ac:dyDescent="0.2">
      <c r="A3" t="s">
        <v>93</v>
      </c>
      <c r="B3" t="s">
        <v>94</v>
      </c>
    </row>
    <row r="4" spans="1:2" x14ac:dyDescent="0.2">
      <c r="A4" t="s">
        <v>95</v>
      </c>
      <c r="B4" t="s">
        <v>96</v>
      </c>
    </row>
    <row r="5" spans="1:2" x14ac:dyDescent="0.2">
      <c r="A5" t="s">
        <v>97</v>
      </c>
      <c r="B5" t="s">
        <v>98</v>
      </c>
    </row>
    <row r="6" spans="1:2" x14ac:dyDescent="0.2">
      <c r="A6" t="s">
        <v>99</v>
      </c>
      <c r="B6" t="s">
        <v>100</v>
      </c>
    </row>
    <row r="7" spans="1:2" x14ac:dyDescent="0.2">
      <c r="A7" t="s">
        <v>101</v>
      </c>
      <c r="B7" t="s">
        <v>102</v>
      </c>
    </row>
    <row r="8" spans="1:2" x14ac:dyDescent="0.2">
      <c r="A8" t="s">
        <v>103</v>
      </c>
      <c r="B8" t="s">
        <v>104</v>
      </c>
    </row>
    <row r="9" spans="1:2" x14ac:dyDescent="0.2">
      <c r="A9" t="s">
        <v>105</v>
      </c>
      <c r="B9" t="s">
        <v>106</v>
      </c>
    </row>
    <row r="10" spans="1:2" x14ac:dyDescent="0.2">
      <c r="A10" t="s">
        <v>107</v>
      </c>
      <c r="B10" t="s">
        <v>108</v>
      </c>
    </row>
    <row r="11" spans="1:2" x14ac:dyDescent="0.2">
      <c r="A11" t="s">
        <v>109</v>
      </c>
      <c r="B11" t="s">
        <v>37</v>
      </c>
    </row>
    <row r="12" spans="1:2" x14ac:dyDescent="0.2">
      <c r="A12" t="s">
        <v>110</v>
      </c>
      <c r="B12" t="s">
        <v>111</v>
      </c>
    </row>
    <row r="13" spans="1:2" x14ac:dyDescent="0.2">
      <c r="A13" t="s">
        <v>112</v>
      </c>
      <c r="B13" t="s">
        <v>113</v>
      </c>
    </row>
    <row r="14" spans="1:2" x14ac:dyDescent="0.2">
      <c r="A14" t="s">
        <v>114</v>
      </c>
      <c r="B14" t="s">
        <v>115</v>
      </c>
    </row>
    <row r="17" spans="1:14" x14ac:dyDescent="0.2">
      <c r="A17" t="s">
        <v>116</v>
      </c>
      <c r="B17" t="s">
        <v>117</v>
      </c>
    </row>
    <row r="18" spans="1:14" x14ac:dyDescent="0.2">
      <c r="A18" t="s">
        <v>118</v>
      </c>
      <c r="B18" t="s">
        <v>119</v>
      </c>
    </row>
    <row r="20" spans="1:14" x14ac:dyDescent="0.2">
      <c r="A20" t="s">
        <v>120</v>
      </c>
      <c r="B20" t="s">
        <v>121</v>
      </c>
      <c r="C20" t="s">
        <v>122</v>
      </c>
      <c r="D20" t="s">
        <v>123</v>
      </c>
      <c r="E20" t="s">
        <v>124</v>
      </c>
      <c r="F20" t="s">
        <v>125</v>
      </c>
      <c r="G20" t="s">
        <v>126</v>
      </c>
      <c r="H20" t="s">
        <v>127</v>
      </c>
      <c r="I20" t="s">
        <v>128</v>
      </c>
      <c r="J20" t="s">
        <v>129</v>
      </c>
      <c r="K20" t="s">
        <v>130</v>
      </c>
      <c r="L20" t="s">
        <v>130</v>
      </c>
    </row>
    <row r="21" spans="1:14" x14ac:dyDescent="0.2">
      <c r="A21" t="s">
        <v>29</v>
      </c>
      <c r="B21" t="s">
        <v>111</v>
      </c>
      <c r="C21" t="s">
        <v>131</v>
      </c>
      <c r="D21">
        <v>101.07</v>
      </c>
      <c r="E21" t="s">
        <v>133</v>
      </c>
      <c r="F21">
        <v>101.07</v>
      </c>
      <c r="G21">
        <v>101.07</v>
      </c>
      <c r="H21">
        <v>101.07</v>
      </c>
      <c r="I21" t="s">
        <v>134</v>
      </c>
      <c r="J21" t="s">
        <v>135</v>
      </c>
      <c r="K21" t="s">
        <v>136</v>
      </c>
      <c r="L21">
        <f>101.07*2.26</f>
        <v>228.41819999999996</v>
      </c>
    </row>
    <row r="22" spans="1:14" x14ac:dyDescent="0.2">
      <c r="A22" t="s">
        <v>30</v>
      </c>
      <c r="B22" t="s">
        <v>111</v>
      </c>
      <c r="C22" t="s">
        <v>137</v>
      </c>
      <c r="D22">
        <v>30.1</v>
      </c>
      <c r="E22" t="s">
        <v>133</v>
      </c>
      <c r="F22">
        <v>30.1</v>
      </c>
      <c r="G22">
        <v>30.1</v>
      </c>
      <c r="H22">
        <v>30.1</v>
      </c>
      <c r="I22" t="s">
        <v>139</v>
      </c>
      <c r="J22" t="s">
        <v>140</v>
      </c>
      <c r="K22" t="s">
        <v>141</v>
      </c>
      <c r="L22">
        <f>30.1*0.89</f>
        <v>26.789000000000001</v>
      </c>
    </row>
    <row r="23" spans="1:14" x14ac:dyDescent="0.2">
      <c r="A23" t="s">
        <v>28</v>
      </c>
      <c r="B23" t="s">
        <v>111</v>
      </c>
      <c r="C23" t="s">
        <v>142</v>
      </c>
      <c r="D23" t="s">
        <v>143</v>
      </c>
      <c r="E23" t="s">
        <v>133</v>
      </c>
      <c r="F23">
        <v>0.57999999999999996</v>
      </c>
      <c r="G23">
        <v>0.57999999999999996</v>
      </c>
      <c r="H23">
        <v>0.57999999999999996</v>
      </c>
      <c r="I23">
        <v>1394.88</v>
      </c>
      <c r="J23" t="s">
        <v>145</v>
      </c>
      <c r="K23" t="s">
        <v>146</v>
      </c>
      <c r="L23">
        <v>809.03</v>
      </c>
      <c r="N23">
        <f>1394.88*0.58</f>
        <v>809.03039999999999</v>
      </c>
    </row>
    <row r="24" spans="1:14" ht="13.5" x14ac:dyDescent="0.2">
      <c r="A24" s="10" t="s">
        <v>32</v>
      </c>
      <c r="B24">
        <v>1</v>
      </c>
      <c r="C24" t="s">
        <v>204</v>
      </c>
      <c r="D24">
        <v>7.95</v>
      </c>
      <c r="E24" t="s">
        <v>133</v>
      </c>
      <c r="F24">
        <v>7.95</v>
      </c>
      <c r="G24">
        <v>7.95</v>
      </c>
      <c r="H24">
        <v>7.95</v>
      </c>
      <c r="I24">
        <v>5.3</v>
      </c>
      <c r="J24" t="s">
        <v>135</v>
      </c>
      <c r="K24">
        <f>7.95*5.3</f>
        <v>42.134999999999998</v>
      </c>
      <c r="L24">
        <v>42.13</v>
      </c>
    </row>
    <row r="25" spans="1:14" x14ac:dyDescent="0.2">
      <c r="L25">
        <f>SUM(L21:L24)</f>
        <v>1106.3672000000001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DC89F-8933-4146-9DB0-4BD19F3868C3}">
  <dimension ref="A2:N25"/>
  <sheetViews>
    <sheetView topLeftCell="A7" workbookViewId="0">
      <selection activeCell="I16" sqref="I16"/>
    </sheetView>
  </sheetViews>
  <sheetFormatPr baseColWidth="10" defaultRowHeight="12.75" x14ac:dyDescent="0.2"/>
  <cols>
    <col min="3" max="3" width="23.85546875" bestFit="1" customWidth="1"/>
  </cols>
  <sheetData>
    <row r="2" spans="1:2" x14ac:dyDescent="0.2">
      <c r="A2" t="s">
        <v>92</v>
      </c>
    </row>
    <row r="3" spans="1:2" x14ac:dyDescent="0.2">
      <c r="A3" t="s">
        <v>93</v>
      </c>
      <c r="B3" t="s">
        <v>94</v>
      </c>
    </row>
    <row r="4" spans="1:2" x14ac:dyDescent="0.2">
      <c r="A4" t="s">
        <v>95</v>
      </c>
      <c r="B4" t="s">
        <v>96</v>
      </c>
    </row>
    <row r="5" spans="1:2" x14ac:dyDescent="0.2">
      <c r="A5" t="s">
        <v>97</v>
      </c>
      <c r="B5" t="s">
        <v>98</v>
      </c>
    </row>
    <row r="6" spans="1:2" x14ac:dyDescent="0.2">
      <c r="A6" t="s">
        <v>99</v>
      </c>
      <c r="B6" t="s">
        <v>100</v>
      </c>
    </row>
    <row r="7" spans="1:2" x14ac:dyDescent="0.2">
      <c r="A7" t="s">
        <v>101</v>
      </c>
      <c r="B7" t="s">
        <v>102</v>
      </c>
    </row>
    <row r="8" spans="1:2" x14ac:dyDescent="0.2">
      <c r="A8" t="s">
        <v>103</v>
      </c>
      <c r="B8" t="s">
        <v>104</v>
      </c>
    </row>
    <row r="9" spans="1:2" x14ac:dyDescent="0.2">
      <c r="A9" t="s">
        <v>105</v>
      </c>
      <c r="B9" t="s">
        <v>106</v>
      </c>
    </row>
    <row r="10" spans="1:2" x14ac:dyDescent="0.2">
      <c r="A10" t="s">
        <v>107</v>
      </c>
      <c r="B10" t="s">
        <v>108</v>
      </c>
    </row>
    <row r="11" spans="1:2" x14ac:dyDescent="0.2">
      <c r="A11" t="s">
        <v>109</v>
      </c>
      <c r="B11" t="s">
        <v>37</v>
      </c>
    </row>
    <row r="12" spans="1:2" x14ac:dyDescent="0.2">
      <c r="A12" t="s">
        <v>110</v>
      </c>
      <c r="B12" t="s">
        <v>111</v>
      </c>
    </row>
    <row r="13" spans="1:2" x14ac:dyDescent="0.2">
      <c r="A13" t="s">
        <v>112</v>
      </c>
      <c r="B13" t="s">
        <v>113</v>
      </c>
    </row>
    <row r="14" spans="1:2" x14ac:dyDescent="0.2">
      <c r="A14" t="s">
        <v>114</v>
      </c>
      <c r="B14" t="s">
        <v>115</v>
      </c>
    </row>
    <row r="17" spans="1:14" x14ac:dyDescent="0.2">
      <c r="A17" t="s">
        <v>116</v>
      </c>
      <c r="B17" t="s">
        <v>117</v>
      </c>
    </row>
    <row r="18" spans="1:14" x14ac:dyDescent="0.2">
      <c r="A18" t="s">
        <v>118</v>
      </c>
      <c r="B18" t="s">
        <v>119</v>
      </c>
    </row>
    <row r="20" spans="1:14" x14ac:dyDescent="0.2">
      <c r="A20" t="s">
        <v>120</v>
      </c>
      <c r="B20" t="s">
        <v>121</v>
      </c>
      <c r="C20" t="s">
        <v>122</v>
      </c>
      <c r="D20" t="s">
        <v>123</v>
      </c>
      <c r="E20" t="s">
        <v>124</v>
      </c>
      <c r="F20" t="s">
        <v>125</v>
      </c>
      <c r="G20" t="s">
        <v>126</v>
      </c>
      <c r="H20" t="s">
        <v>127</v>
      </c>
      <c r="I20" t="s">
        <v>128</v>
      </c>
      <c r="J20" t="s">
        <v>129</v>
      </c>
      <c r="K20" t="s">
        <v>130</v>
      </c>
      <c r="L20" t="s">
        <v>130</v>
      </c>
    </row>
    <row r="21" spans="1:14" x14ac:dyDescent="0.2">
      <c r="A21" t="s">
        <v>29</v>
      </c>
      <c r="B21" t="s">
        <v>111</v>
      </c>
      <c r="C21" t="s">
        <v>131</v>
      </c>
      <c r="D21">
        <v>101.07</v>
      </c>
      <c r="E21" t="s">
        <v>133</v>
      </c>
      <c r="F21">
        <v>101.07</v>
      </c>
      <c r="G21">
        <v>101.07</v>
      </c>
      <c r="H21">
        <v>101.07</v>
      </c>
      <c r="I21" t="s">
        <v>134</v>
      </c>
      <c r="J21" t="s">
        <v>135</v>
      </c>
      <c r="K21" t="s">
        <v>136</v>
      </c>
      <c r="L21">
        <f>101.07*2.26</f>
        <v>228.41819999999996</v>
      </c>
    </row>
    <row r="22" spans="1:14" x14ac:dyDescent="0.2">
      <c r="A22" t="s">
        <v>30</v>
      </c>
      <c r="B22" t="s">
        <v>111</v>
      </c>
      <c r="C22" t="s">
        <v>137</v>
      </c>
      <c r="D22">
        <v>30.1</v>
      </c>
      <c r="E22" t="s">
        <v>133</v>
      </c>
      <c r="F22">
        <v>30.1</v>
      </c>
      <c r="G22">
        <v>30.1</v>
      </c>
      <c r="H22">
        <v>30.1</v>
      </c>
      <c r="I22" t="s">
        <v>139</v>
      </c>
      <c r="J22" t="s">
        <v>140</v>
      </c>
      <c r="K22" t="s">
        <v>141</v>
      </c>
      <c r="L22">
        <f>30.1*0.89</f>
        <v>26.789000000000001</v>
      </c>
    </row>
    <row r="23" spans="1:14" x14ac:dyDescent="0.2">
      <c r="A23" t="s">
        <v>28</v>
      </c>
      <c r="B23" t="s">
        <v>111</v>
      </c>
      <c r="C23" t="s">
        <v>142</v>
      </c>
      <c r="D23" t="s">
        <v>143</v>
      </c>
      <c r="E23" t="s">
        <v>133</v>
      </c>
      <c r="F23">
        <v>0.57999999999999996</v>
      </c>
      <c r="G23">
        <v>0.57999999999999996</v>
      </c>
      <c r="H23">
        <v>0.57999999999999996</v>
      </c>
      <c r="I23">
        <v>1597</v>
      </c>
      <c r="J23" t="s">
        <v>145</v>
      </c>
      <c r="K23" t="s">
        <v>146</v>
      </c>
      <c r="L23">
        <v>926.26</v>
      </c>
      <c r="N23">
        <f>1597*0.58</f>
        <v>926.26</v>
      </c>
    </row>
    <row r="24" spans="1:14" ht="13.5" x14ac:dyDescent="0.2">
      <c r="A24" s="10" t="s">
        <v>32</v>
      </c>
      <c r="B24">
        <v>1</v>
      </c>
      <c r="C24" t="s">
        <v>204</v>
      </c>
      <c r="D24">
        <v>7.95</v>
      </c>
      <c r="E24" t="s">
        <v>133</v>
      </c>
      <c r="F24">
        <v>7.95</v>
      </c>
      <c r="G24">
        <v>7.95</v>
      </c>
      <c r="H24">
        <v>7.95</v>
      </c>
      <c r="I24">
        <v>5.3</v>
      </c>
      <c r="J24" t="s">
        <v>135</v>
      </c>
      <c r="K24">
        <f>7.95*5.3</f>
        <v>42.134999999999998</v>
      </c>
      <c r="L24">
        <v>42.13</v>
      </c>
    </row>
    <row r="25" spans="1:14" x14ac:dyDescent="0.2">
      <c r="L25">
        <f>SUM(L21:L24)</f>
        <v>1223.5972000000002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73BD2-EE6F-4DE2-BFB7-1FFC55D127F0}">
  <sheetPr>
    <pageSetUpPr fitToPage="1"/>
  </sheetPr>
  <dimension ref="A1:K47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1" max="1" width="17.42578125" customWidth="1"/>
    <col min="2" max="2" width="17.140625" customWidth="1"/>
    <col min="3" max="3" width="62.5703125" customWidth="1"/>
    <col min="4" max="4" width="19.5703125" bestFit="1" customWidth="1"/>
    <col min="5" max="5" width="13.85546875" customWidth="1"/>
    <col min="7" max="7" width="22" customWidth="1"/>
    <col min="8" max="8" width="16.140625" customWidth="1"/>
    <col min="9" max="9" width="17" bestFit="1" customWidth="1"/>
  </cols>
  <sheetData>
    <row r="1" spans="1:11" ht="15.75" x14ac:dyDescent="0.25">
      <c r="A1" s="23"/>
      <c r="B1" s="24"/>
      <c r="C1" s="29" t="s">
        <v>27</v>
      </c>
      <c r="D1" s="29"/>
      <c r="E1" s="29"/>
      <c r="F1" s="29"/>
      <c r="G1" s="29"/>
      <c r="H1" s="1" t="s">
        <v>26</v>
      </c>
      <c r="I1" s="11" t="s">
        <v>42</v>
      </c>
    </row>
    <row r="2" spans="1:11" ht="16.5" thickBot="1" x14ac:dyDescent="0.3">
      <c r="A2" s="25"/>
      <c r="B2" s="26"/>
      <c r="C2" s="30" t="s">
        <v>25</v>
      </c>
      <c r="D2" s="31"/>
      <c r="E2" s="31"/>
      <c r="F2" s="31"/>
      <c r="G2" s="32"/>
      <c r="H2" s="2" t="s">
        <v>24</v>
      </c>
      <c r="I2" s="3" t="s">
        <v>206</v>
      </c>
    </row>
    <row r="3" spans="1:11" ht="24" thickBot="1" x14ac:dyDescent="0.25">
      <c r="A3" s="25"/>
      <c r="B3" s="26"/>
      <c r="C3" s="135" t="s">
        <v>207</v>
      </c>
      <c r="D3" s="136"/>
      <c r="E3" s="136"/>
      <c r="F3" s="136"/>
      <c r="G3" s="137"/>
      <c r="H3" s="33" t="s">
        <v>23</v>
      </c>
      <c r="I3" s="14">
        <v>45617</v>
      </c>
    </row>
    <row r="4" spans="1:11" ht="13.5" x14ac:dyDescent="0.25">
      <c r="A4" s="25"/>
      <c r="B4" s="26"/>
      <c r="C4" s="4" t="s">
        <v>22</v>
      </c>
      <c r="D4" s="17" t="s">
        <v>43</v>
      </c>
      <c r="E4" s="18"/>
      <c r="F4" s="18"/>
      <c r="G4" s="19"/>
      <c r="H4" s="34"/>
      <c r="I4" s="15"/>
    </row>
    <row r="5" spans="1:11" ht="14.25" thickBot="1" x14ac:dyDescent="0.3">
      <c r="A5" s="27"/>
      <c r="B5" s="28"/>
      <c r="C5" s="5" t="s">
        <v>21</v>
      </c>
      <c r="D5" s="20" t="s">
        <v>34</v>
      </c>
      <c r="E5" s="21"/>
      <c r="F5" s="21"/>
      <c r="G5" s="22"/>
      <c r="H5" s="35"/>
      <c r="I5" s="16"/>
    </row>
    <row r="6" spans="1:11" ht="18.75" thickBot="1" x14ac:dyDescent="0.3">
      <c r="A6" s="36" t="s">
        <v>20</v>
      </c>
      <c r="B6" s="36"/>
      <c r="C6" s="36"/>
      <c r="D6" s="138" t="s">
        <v>44</v>
      </c>
      <c r="E6" s="138"/>
      <c r="F6" s="138"/>
      <c r="G6" s="37" t="s">
        <v>19</v>
      </c>
      <c r="H6" s="37"/>
      <c r="I6" s="139" t="s">
        <v>44</v>
      </c>
    </row>
    <row r="7" spans="1:11" ht="27.75" customHeight="1" x14ac:dyDescent="0.2">
      <c r="A7" s="38" t="s">
        <v>18</v>
      </c>
      <c r="B7" s="40" t="s">
        <v>35</v>
      </c>
      <c r="C7" s="42" t="s">
        <v>17</v>
      </c>
      <c r="D7" s="42" t="s">
        <v>16</v>
      </c>
      <c r="E7" s="42" t="s">
        <v>15</v>
      </c>
      <c r="F7" s="42"/>
      <c r="G7" s="42" t="s">
        <v>14</v>
      </c>
      <c r="H7" s="42"/>
      <c r="I7" s="6" t="s">
        <v>13</v>
      </c>
    </row>
    <row r="8" spans="1:11" ht="26.25" thickBot="1" x14ac:dyDescent="0.25">
      <c r="A8" s="39"/>
      <c r="B8" s="41"/>
      <c r="C8" s="43"/>
      <c r="D8" s="43"/>
      <c r="E8" s="7" t="s">
        <v>10</v>
      </c>
      <c r="F8" s="8" t="s">
        <v>12</v>
      </c>
      <c r="G8" s="7" t="s">
        <v>10</v>
      </c>
      <c r="H8" s="8" t="s">
        <v>12</v>
      </c>
      <c r="I8" s="9" t="s">
        <v>11</v>
      </c>
    </row>
    <row r="9" spans="1:11" ht="20.25" x14ac:dyDescent="0.3">
      <c r="A9" s="44"/>
      <c r="B9" s="45"/>
      <c r="C9" s="46" t="s">
        <v>36</v>
      </c>
      <c r="D9" s="47"/>
      <c r="E9" s="48"/>
      <c r="F9" s="49"/>
      <c r="G9" s="48"/>
      <c r="H9" s="49"/>
      <c r="I9" s="50"/>
    </row>
    <row r="10" spans="1:11" ht="20.25" x14ac:dyDescent="0.3">
      <c r="A10" s="51">
        <v>11200080</v>
      </c>
      <c r="B10" s="52" t="s">
        <v>45</v>
      </c>
      <c r="C10" s="53" t="s">
        <v>46</v>
      </c>
      <c r="D10" s="54" t="s">
        <v>33</v>
      </c>
      <c r="E10" s="55">
        <v>4600</v>
      </c>
      <c r="F10" s="56" t="s">
        <v>1</v>
      </c>
      <c r="G10" s="57"/>
      <c r="H10" s="58"/>
      <c r="I10" s="50"/>
      <c r="J10">
        <f>+E10/$D$35</f>
        <v>0.17125837676842889</v>
      </c>
      <c r="K10" s="12">
        <f>+J10*1000</f>
        <v>171.25837676842889</v>
      </c>
    </row>
    <row r="11" spans="1:11" ht="20.25" x14ac:dyDescent="0.3">
      <c r="A11" s="51" t="s">
        <v>47</v>
      </c>
      <c r="B11" s="59" t="s">
        <v>48</v>
      </c>
      <c r="C11" s="53" t="s">
        <v>49</v>
      </c>
      <c r="D11" s="54" t="s">
        <v>50</v>
      </c>
      <c r="E11" s="55">
        <v>11000</v>
      </c>
      <c r="F11" s="56" t="s">
        <v>1</v>
      </c>
      <c r="G11" s="57"/>
      <c r="H11" s="58"/>
      <c r="I11" s="50"/>
      <c r="J11">
        <f t="shared" ref="J11:J19" si="0">+E11/$D$35</f>
        <v>0.40953090096798211</v>
      </c>
      <c r="K11" s="12">
        <f t="shared" ref="K11:K19" si="1">+J11*1000</f>
        <v>409.53090096798212</v>
      </c>
    </row>
    <row r="12" spans="1:11" ht="20.25" x14ac:dyDescent="0.3">
      <c r="A12" s="60" t="s">
        <v>51</v>
      </c>
      <c r="B12" s="61" t="s">
        <v>52</v>
      </c>
      <c r="C12" s="62" t="s">
        <v>53</v>
      </c>
      <c r="D12" s="63" t="s">
        <v>54</v>
      </c>
      <c r="E12" s="55">
        <v>7500</v>
      </c>
      <c r="F12" s="56" t="s">
        <v>1</v>
      </c>
      <c r="G12" s="59"/>
      <c r="H12" s="58"/>
      <c r="I12" s="50"/>
      <c r="J12">
        <f t="shared" si="0"/>
        <v>0.27922561429635145</v>
      </c>
      <c r="K12" s="12">
        <f t="shared" si="1"/>
        <v>279.22561429635147</v>
      </c>
    </row>
    <row r="13" spans="1:11" ht="20.25" x14ac:dyDescent="0.3">
      <c r="A13" s="59" t="s">
        <v>55</v>
      </c>
      <c r="B13" s="59" t="s">
        <v>56</v>
      </c>
      <c r="C13" s="64" t="s">
        <v>57</v>
      </c>
      <c r="D13" s="59" t="s">
        <v>54</v>
      </c>
      <c r="E13" s="59">
        <v>1900</v>
      </c>
      <c r="F13" s="59" t="s">
        <v>1</v>
      </c>
      <c r="G13" s="59"/>
      <c r="H13" s="58"/>
      <c r="I13" s="50"/>
      <c r="J13">
        <f t="shared" si="0"/>
        <v>7.0737155621742362E-2</v>
      </c>
      <c r="K13" s="12">
        <f t="shared" si="1"/>
        <v>70.73715562174236</v>
      </c>
    </row>
    <row r="14" spans="1:11" ht="20.25" x14ac:dyDescent="0.3">
      <c r="A14" s="65" t="s">
        <v>58</v>
      </c>
      <c r="B14" s="65" t="s">
        <v>59</v>
      </c>
      <c r="C14" s="66" t="s">
        <v>60</v>
      </c>
      <c r="D14" s="59" t="s">
        <v>61</v>
      </c>
      <c r="E14" s="59">
        <v>50</v>
      </c>
      <c r="F14" s="59" t="s">
        <v>1</v>
      </c>
      <c r="G14" s="59"/>
      <c r="H14" s="58"/>
      <c r="I14" s="50"/>
      <c r="J14">
        <f t="shared" si="0"/>
        <v>1.8615040953090098E-3</v>
      </c>
      <c r="K14" s="12">
        <f t="shared" si="1"/>
        <v>1.8615040953090098</v>
      </c>
    </row>
    <row r="15" spans="1:11" ht="20.25" x14ac:dyDescent="0.3">
      <c r="A15" s="65">
        <v>10100046</v>
      </c>
      <c r="B15" s="65" t="s">
        <v>62</v>
      </c>
      <c r="C15" s="66" t="s">
        <v>63</v>
      </c>
      <c r="D15" s="59" t="s">
        <v>64</v>
      </c>
      <c r="E15" s="59">
        <v>150</v>
      </c>
      <c r="F15" s="59" t="s">
        <v>1</v>
      </c>
      <c r="G15" s="59"/>
      <c r="H15" s="58"/>
      <c r="I15" s="50"/>
      <c r="J15">
        <f>+E15/$D$35</f>
        <v>5.5845122859270293E-3</v>
      </c>
      <c r="K15" s="12">
        <f t="shared" si="1"/>
        <v>5.5845122859270289</v>
      </c>
    </row>
    <row r="16" spans="1:11" ht="20.25" x14ac:dyDescent="0.3">
      <c r="A16" s="65" t="s">
        <v>65</v>
      </c>
      <c r="B16" s="65" t="s">
        <v>66</v>
      </c>
      <c r="C16" s="66" t="s">
        <v>67</v>
      </c>
      <c r="D16" s="59" t="s">
        <v>37</v>
      </c>
      <c r="E16" s="59">
        <v>450</v>
      </c>
      <c r="F16" s="59" t="s">
        <v>1</v>
      </c>
      <c r="G16" s="59"/>
      <c r="H16" s="58"/>
      <c r="I16" s="50"/>
      <c r="J16">
        <f t="shared" si="0"/>
        <v>1.6753536857781089E-2</v>
      </c>
      <c r="K16" s="12">
        <f t="shared" si="1"/>
        <v>16.753536857781089</v>
      </c>
    </row>
    <row r="17" spans="1:11" ht="20.25" x14ac:dyDescent="0.3">
      <c r="A17" s="59">
        <v>11300012</v>
      </c>
      <c r="B17" s="59" t="s">
        <v>68</v>
      </c>
      <c r="C17" s="67" t="s">
        <v>69</v>
      </c>
      <c r="D17" s="59" t="s">
        <v>33</v>
      </c>
      <c r="E17" s="59">
        <v>360</v>
      </c>
      <c r="F17" s="59" t="s">
        <v>1</v>
      </c>
      <c r="G17" s="59"/>
      <c r="H17" s="58"/>
      <c r="I17" s="50"/>
      <c r="J17">
        <f t="shared" si="0"/>
        <v>1.3402829486224869E-2</v>
      </c>
      <c r="K17" s="12">
        <f t="shared" si="1"/>
        <v>13.402829486224869</v>
      </c>
    </row>
    <row r="18" spans="1:11" ht="20.25" x14ac:dyDescent="0.3">
      <c r="A18" s="59"/>
      <c r="B18" s="59" t="s">
        <v>70</v>
      </c>
      <c r="C18" s="67" t="s">
        <v>71</v>
      </c>
      <c r="D18" s="59"/>
      <c r="E18" s="59">
        <v>60</v>
      </c>
      <c r="F18" s="59" t="s">
        <v>1</v>
      </c>
      <c r="G18" s="59"/>
      <c r="H18" s="58"/>
      <c r="I18" s="50"/>
      <c r="J18">
        <f t="shared" si="0"/>
        <v>2.2338049143708115E-3</v>
      </c>
      <c r="K18" s="12">
        <f t="shared" si="1"/>
        <v>2.2338049143708116</v>
      </c>
    </row>
    <row r="19" spans="1:11" ht="20.25" x14ac:dyDescent="0.3">
      <c r="A19" s="59"/>
      <c r="B19" s="65" t="s">
        <v>205</v>
      </c>
      <c r="C19" s="66" t="s">
        <v>72</v>
      </c>
      <c r="D19" s="59" t="s">
        <v>73</v>
      </c>
      <c r="E19" s="59">
        <v>705</v>
      </c>
      <c r="F19" s="59" t="s">
        <v>1</v>
      </c>
      <c r="G19" s="59"/>
      <c r="H19" s="58"/>
      <c r="I19" s="50"/>
      <c r="J19">
        <f t="shared" si="0"/>
        <v>2.6247207743857037E-2</v>
      </c>
      <c r="K19" s="12">
        <f t="shared" si="1"/>
        <v>26.247207743857036</v>
      </c>
    </row>
    <row r="20" spans="1:11" ht="20.25" x14ac:dyDescent="0.3">
      <c r="A20" s="59"/>
      <c r="B20" s="59"/>
      <c r="C20" s="67"/>
      <c r="D20" s="59"/>
      <c r="E20" s="59"/>
      <c r="F20" s="59"/>
      <c r="G20" s="59"/>
      <c r="H20" s="58"/>
      <c r="I20" s="50"/>
    </row>
    <row r="21" spans="1:11" ht="20.25" x14ac:dyDescent="0.3">
      <c r="A21" s="69"/>
      <c r="B21" s="70"/>
      <c r="C21" s="71" t="s">
        <v>74</v>
      </c>
      <c r="D21" s="72"/>
      <c r="E21" s="73"/>
      <c r="F21" s="49"/>
      <c r="G21" s="48"/>
      <c r="H21" s="68"/>
      <c r="I21" s="50"/>
    </row>
    <row r="22" spans="1:11" ht="20.25" x14ac:dyDescent="0.3">
      <c r="A22" s="74" t="s">
        <v>75</v>
      </c>
      <c r="B22" s="75" t="s">
        <v>76</v>
      </c>
      <c r="C22" s="76" t="s">
        <v>77</v>
      </c>
      <c r="D22" s="59"/>
      <c r="E22" s="77">
        <v>1</v>
      </c>
      <c r="F22" s="78" t="s">
        <v>4</v>
      </c>
      <c r="G22" s="79"/>
      <c r="H22" s="49"/>
      <c r="I22" s="50"/>
    </row>
    <row r="23" spans="1:11" ht="20.25" x14ac:dyDescent="0.3">
      <c r="A23" s="74">
        <v>503000042</v>
      </c>
      <c r="B23" s="75" t="s">
        <v>78</v>
      </c>
      <c r="C23" s="76" t="s">
        <v>79</v>
      </c>
      <c r="D23" s="59"/>
      <c r="E23" s="77">
        <v>1</v>
      </c>
      <c r="F23" s="78" t="s">
        <v>4</v>
      </c>
      <c r="G23" s="79"/>
      <c r="H23" s="49"/>
      <c r="I23" s="50"/>
    </row>
    <row r="24" spans="1:11" ht="20.25" x14ac:dyDescent="0.3">
      <c r="A24" s="80" t="s">
        <v>80</v>
      </c>
      <c r="B24" s="81" t="s">
        <v>81</v>
      </c>
      <c r="C24" s="82" t="s">
        <v>82</v>
      </c>
      <c r="D24" s="59"/>
      <c r="E24" s="77">
        <v>2</v>
      </c>
      <c r="F24" s="78" t="s">
        <v>4</v>
      </c>
      <c r="G24" s="79"/>
      <c r="H24" s="49"/>
      <c r="I24" s="50"/>
    </row>
    <row r="25" spans="1:11" ht="20.25" x14ac:dyDescent="0.3">
      <c r="A25" s="83">
        <v>1950705</v>
      </c>
      <c r="B25" s="83" t="s">
        <v>83</v>
      </c>
      <c r="C25" s="84" t="s">
        <v>84</v>
      </c>
      <c r="D25" s="59"/>
      <c r="E25" s="77">
        <v>1</v>
      </c>
      <c r="F25" s="78" t="s">
        <v>4</v>
      </c>
      <c r="G25" s="48"/>
      <c r="H25" s="49"/>
      <c r="I25" s="50"/>
    </row>
    <row r="26" spans="1:11" ht="20.25" x14ac:dyDescent="0.3">
      <c r="A26" s="83">
        <v>60100010</v>
      </c>
      <c r="B26" s="83" t="s">
        <v>85</v>
      </c>
      <c r="C26" s="84" t="s">
        <v>86</v>
      </c>
      <c r="D26" s="59"/>
      <c r="E26" s="77">
        <v>1</v>
      </c>
      <c r="F26" s="78" t="s">
        <v>4</v>
      </c>
      <c r="G26" s="48"/>
      <c r="H26" s="49"/>
      <c r="I26" s="50"/>
    </row>
    <row r="27" spans="1:11" ht="20.25" x14ac:dyDescent="0.3">
      <c r="A27" s="83"/>
      <c r="B27" s="83"/>
      <c r="C27" s="84"/>
      <c r="D27" s="59"/>
      <c r="E27" s="77"/>
      <c r="F27" s="78"/>
      <c r="G27" s="85"/>
      <c r="H27" s="49"/>
      <c r="I27" s="50"/>
    </row>
    <row r="28" spans="1:11" ht="20.25" x14ac:dyDescent="0.3">
      <c r="A28" s="83"/>
      <c r="B28" s="83"/>
      <c r="C28" s="84"/>
      <c r="D28" s="59"/>
      <c r="E28" s="77"/>
      <c r="F28" s="78"/>
      <c r="G28" s="55"/>
      <c r="H28" s="49"/>
      <c r="I28" s="50"/>
    </row>
    <row r="29" spans="1:11" ht="20.25" x14ac:dyDescent="0.3">
      <c r="A29" s="86"/>
      <c r="B29" s="86"/>
      <c r="C29" s="87"/>
      <c r="D29" s="59"/>
      <c r="E29" s="78"/>
      <c r="F29" s="78"/>
      <c r="G29" s="55"/>
      <c r="H29" s="49"/>
      <c r="I29" s="50"/>
    </row>
    <row r="30" spans="1:11" ht="20.25" x14ac:dyDescent="0.3">
      <c r="A30" s="88"/>
      <c r="B30" s="59"/>
      <c r="C30" s="89"/>
      <c r="D30" s="90"/>
      <c r="E30" s="77"/>
      <c r="F30" s="59"/>
      <c r="G30" s="55"/>
      <c r="H30" s="49"/>
      <c r="I30" s="50"/>
    </row>
    <row r="31" spans="1:11" ht="20.25" x14ac:dyDescent="0.3">
      <c r="A31" s="83"/>
      <c r="B31" s="83"/>
      <c r="C31" s="84"/>
      <c r="D31" s="59"/>
      <c r="E31" s="77"/>
      <c r="F31" s="59"/>
      <c r="G31" s="55"/>
      <c r="H31" s="49"/>
      <c r="I31" s="50"/>
    </row>
    <row r="32" spans="1:11" ht="20.25" x14ac:dyDescent="0.3">
      <c r="A32" s="91"/>
      <c r="B32" s="92"/>
      <c r="C32" s="93"/>
      <c r="D32" s="94"/>
      <c r="E32" s="94"/>
      <c r="F32" s="56"/>
      <c r="G32" s="94"/>
      <c r="H32" s="94"/>
      <c r="I32" s="50"/>
    </row>
    <row r="33" spans="1:9" ht="21" thickBot="1" x14ac:dyDescent="0.35">
      <c r="A33" s="95"/>
      <c r="B33" s="96"/>
      <c r="C33" s="97"/>
      <c r="D33" s="97"/>
      <c r="E33" s="98"/>
      <c r="F33" s="99"/>
      <c r="G33" s="97"/>
      <c r="H33" s="97"/>
      <c r="I33" s="100"/>
    </row>
    <row r="34" spans="1:9" ht="21" thickBot="1" x14ac:dyDescent="0.35">
      <c r="A34" s="101"/>
      <c r="B34" s="102"/>
      <c r="C34" s="103"/>
      <c r="D34" s="104" t="s">
        <v>10</v>
      </c>
      <c r="E34" s="105" t="s">
        <v>9</v>
      </c>
      <c r="F34" s="106"/>
      <c r="G34" s="103"/>
      <c r="H34" s="103"/>
      <c r="I34" s="107"/>
    </row>
    <row r="35" spans="1:9" ht="20.25" x14ac:dyDescent="0.3">
      <c r="A35" s="108" t="s">
        <v>8</v>
      </c>
      <c r="B35" s="109"/>
      <c r="C35" s="110"/>
      <c r="D35" s="111">
        <v>26860</v>
      </c>
      <c r="E35" s="112" t="s">
        <v>1</v>
      </c>
      <c r="F35" s="113" t="s">
        <v>38</v>
      </c>
      <c r="G35" s="113"/>
      <c r="H35" s="114"/>
      <c r="I35" s="115"/>
    </row>
    <row r="36" spans="1:9" ht="20.25" x14ac:dyDescent="0.3">
      <c r="A36" s="116" t="s">
        <v>7</v>
      </c>
      <c r="B36" s="117"/>
      <c r="C36" s="118"/>
      <c r="D36" s="77">
        <v>4</v>
      </c>
      <c r="E36" s="59" t="s">
        <v>6</v>
      </c>
      <c r="F36" s="119" t="s">
        <v>39</v>
      </c>
      <c r="G36" s="119"/>
      <c r="H36" s="120"/>
      <c r="I36" s="121"/>
    </row>
    <row r="37" spans="1:9" ht="20.25" x14ac:dyDescent="0.3">
      <c r="A37" s="116" t="s">
        <v>5</v>
      </c>
      <c r="B37" s="117"/>
      <c r="C37" s="118"/>
      <c r="D37" s="77">
        <v>1</v>
      </c>
      <c r="E37" s="59" t="s">
        <v>87</v>
      </c>
      <c r="F37" s="119" t="s">
        <v>40</v>
      </c>
      <c r="G37" s="119"/>
      <c r="H37" s="120"/>
      <c r="I37" s="121"/>
    </row>
    <row r="38" spans="1:9" ht="20.25" x14ac:dyDescent="0.3">
      <c r="A38" s="116" t="s">
        <v>3</v>
      </c>
      <c r="B38" s="117"/>
      <c r="C38" s="118"/>
      <c r="D38" s="77">
        <v>26860</v>
      </c>
      <c r="E38" s="59" t="s">
        <v>1</v>
      </c>
      <c r="F38" s="122" t="s">
        <v>41</v>
      </c>
      <c r="G38" s="123"/>
      <c r="H38" s="124"/>
      <c r="I38" s="125"/>
    </row>
    <row r="39" spans="1:9" ht="21" thickBot="1" x14ac:dyDescent="0.35">
      <c r="A39" s="126" t="s">
        <v>2</v>
      </c>
      <c r="B39" s="127"/>
      <c r="C39" s="128"/>
      <c r="D39" s="129">
        <v>0</v>
      </c>
      <c r="E39" s="130" t="s">
        <v>1</v>
      </c>
      <c r="F39" s="131"/>
      <c r="G39" s="131"/>
      <c r="H39" s="120"/>
      <c r="I39" s="121"/>
    </row>
    <row r="40" spans="1:9" ht="21" thickBot="1" x14ac:dyDescent="0.35">
      <c r="A40" s="145" t="s">
        <v>0</v>
      </c>
      <c r="B40" s="146"/>
      <c r="C40" s="146"/>
      <c r="D40" s="146"/>
      <c r="E40" s="146"/>
      <c r="F40" s="146"/>
      <c r="G40" s="146"/>
      <c r="H40" s="146"/>
      <c r="I40" s="147"/>
    </row>
    <row r="41" spans="1:9" ht="20.25" x14ac:dyDescent="0.3">
      <c r="A41" s="132" t="s">
        <v>88</v>
      </c>
      <c r="B41" s="133"/>
      <c r="C41" s="133"/>
      <c r="D41" s="133"/>
      <c r="E41" s="133"/>
      <c r="F41" s="133"/>
      <c r="G41" s="133"/>
      <c r="H41" s="133"/>
      <c r="I41" s="134"/>
    </row>
    <row r="42" spans="1:9" ht="20.25" x14ac:dyDescent="0.3">
      <c r="A42" s="132" t="s">
        <v>89</v>
      </c>
      <c r="B42" s="133"/>
      <c r="C42" s="133"/>
      <c r="D42" s="133"/>
      <c r="E42" s="133"/>
      <c r="F42" s="133"/>
      <c r="G42" s="133"/>
      <c r="H42" s="133"/>
      <c r="I42" s="134"/>
    </row>
    <row r="43" spans="1:9" ht="20.25" x14ac:dyDescent="0.3">
      <c r="A43" s="132"/>
      <c r="B43" s="133"/>
      <c r="C43" s="133"/>
      <c r="D43" s="133"/>
      <c r="E43" s="133"/>
      <c r="F43" s="133"/>
      <c r="G43" s="133"/>
      <c r="H43" s="133"/>
      <c r="I43" s="134"/>
    </row>
    <row r="44" spans="1:9" ht="20.25" x14ac:dyDescent="0.3">
      <c r="A44" s="140"/>
      <c r="B44" s="141"/>
      <c r="C44" s="141"/>
      <c r="D44" s="141"/>
      <c r="E44" s="141"/>
      <c r="F44" s="141"/>
      <c r="G44" s="141"/>
      <c r="H44" s="141"/>
      <c r="I44" s="142"/>
    </row>
    <row r="45" spans="1:9" ht="20.25" x14ac:dyDescent="0.3">
      <c r="A45" s="143" t="s">
        <v>31</v>
      </c>
      <c r="B45" s="143"/>
      <c r="C45" s="143"/>
      <c r="D45" s="143"/>
      <c r="E45" s="143"/>
      <c r="F45" s="143"/>
      <c r="G45" s="143"/>
      <c r="H45" s="143"/>
      <c r="I45" s="143"/>
    </row>
    <row r="46" spans="1:9" ht="20.25" x14ac:dyDescent="0.3">
      <c r="A46" s="144" t="s">
        <v>90</v>
      </c>
      <c r="B46" s="144"/>
      <c r="C46" s="144"/>
      <c r="D46" s="144"/>
      <c r="E46" s="144"/>
      <c r="F46" s="144"/>
      <c r="G46" s="144"/>
      <c r="H46" s="144"/>
      <c r="I46" s="144"/>
    </row>
    <row r="47" spans="1:9" ht="20.25" x14ac:dyDescent="0.3">
      <c r="A47" s="144" t="s">
        <v>91</v>
      </c>
      <c r="B47" s="144"/>
      <c r="C47" s="144"/>
      <c r="D47" s="144"/>
      <c r="E47" s="144"/>
      <c r="F47" s="144"/>
      <c r="G47" s="144"/>
      <c r="H47" s="144"/>
      <c r="I47" s="144"/>
    </row>
  </sheetData>
  <mergeCells count="40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5:C35"/>
    <mergeCell ref="F35:G35"/>
    <mergeCell ref="H35:I35"/>
    <mergeCell ref="A36:C36"/>
    <mergeCell ref="F36:G36"/>
    <mergeCell ref="H36:I36"/>
    <mergeCell ref="A42:I42"/>
    <mergeCell ref="A37:C37"/>
    <mergeCell ref="F37:G37"/>
    <mergeCell ref="H37:I37"/>
    <mergeCell ref="A38:C38"/>
    <mergeCell ref="F38:G38"/>
    <mergeCell ref="H38:I38"/>
    <mergeCell ref="A39:C39"/>
    <mergeCell ref="F39:G39"/>
    <mergeCell ref="H39:I39"/>
    <mergeCell ref="A40:I40"/>
    <mergeCell ref="A41:I41"/>
    <mergeCell ref="A45:I45"/>
    <mergeCell ref="A46:I46"/>
    <mergeCell ref="A47:I47"/>
    <mergeCell ref="A43:I43"/>
    <mergeCell ref="A44:I44"/>
  </mergeCells>
  <pageMargins left="0.7" right="0.7" top="0.75" bottom="0.75" header="0.3" footer="0.3"/>
  <pageSetup scale="46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D602A-7846-4A00-A94B-68F1E53E5531}">
  <dimension ref="A2:L36"/>
  <sheetViews>
    <sheetView topLeftCell="A10" workbookViewId="0">
      <selection activeCell="A10" sqref="A1:XFD1048576"/>
    </sheetView>
  </sheetViews>
  <sheetFormatPr baseColWidth="10" defaultRowHeight="12.75" x14ac:dyDescent="0.2"/>
  <cols>
    <col min="3" max="3" width="29.7109375" customWidth="1"/>
    <col min="9" max="9" width="16" customWidth="1"/>
  </cols>
  <sheetData>
    <row r="2" spans="1:2" x14ac:dyDescent="0.2">
      <c r="A2" t="s">
        <v>92</v>
      </c>
    </row>
    <row r="3" spans="1:2" x14ac:dyDescent="0.2">
      <c r="A3" t="s">
        <v>93</v>
      </c>
      <c r="B3" t="s">
        <v>94</v>
      </c>
    </row>
    <row r="4" spans="1:2" x14ac:dyDescent="0.2">
      <c r="A4" t="s">
        <v>95</v>
      </c>
      <c r="B4" t="s">
        <v>147</v>
      </c>
    </row>
    <row r="5" spans="1:2" x14ac:dyDescent="0.2">
      <c r="A5" t="s">
        <v>97</v>
      </c>
      <c r="B5" t="s">
        <v>98</v>
      </c>
    </row>
    <row r="6" spans="1:2" x14ac:dyDescent="0.2">
      <c r="A6" t="s">
        <v>99</v>
      </c>
      <c r="B6" t="s">
        <v>148</v>
      </c>
    </row>
    <row r="7" spans="1:2" x14ac:dyDescent="0.2">
      <c r="A7" t="s">
        <v>101</v>
      </c>
      <c r="B7" t="s">
        <v>102</v>
      </c>
    </row>
    <row r="8" spans="1:2" x14ac:dyDescent="0.2">
      <c r="A8" t="s">
        <v>103</v>
      </c>
      <c r="B8" t="s">
        <v>104</v>
      </c>
    </row>
    <row r="9" spans="1:2" x14ac:dyDescent="0.2">
      <c r="A9" t="s">
        <v>105</v>
      </c>
      <c r="B9" t="s">
        <v>149</v>
      </c>
    </row>
    <row r="10" spans="1:2" x14ac:dyDescent="0.2">
      <c r="A10" t="s">
        <v>107</v>
      </c>
      <c r="B10" t="s">
        <v>108</v>
      </c>
    </row>
    <row r="11" spans="1:2" x14ac:dyDescent="0.2">
      <c r="A11" t="s">
        <v>109</v>
      </c>
      <c r="B11" t="s">
        <v>37</v>
      </c>
    </row>
    <row r="12" spans="1:2" x14ac:dyDescent="0.2">
      <c r="A12" t="s">
        <v>110</v>
      </c>
      <c r="B12" t="s">
        <v>111</v>
      </c>
    </row>
    <row r="13" spans="1:2" x14ac:dyDescent="0.2">
      <c r="A13" t="s">
        <v>112</v>
      </c>
      <c r="B13" t="s">
        <v>113</v>
      </c>
    </row>
    <row r="14" spans="1:2" x14ac:dyDescent="0.2">
      <c r="A14" t="s">
        <v>114</v>
      </c>
      <c r="B14" t="s">
        <v>115</v>
      </c>
    </row>
    <row r="17" spans="1:12" x14ac:dyDescent="0.2">
      <c r="A17" t="s">
        <v>116</v>
      </c>
      <c r="B17" t="s">
        <v>117</v>
      </c>
    </row>
    <row r="18" spans="1:12" x14ac:dyDescent="0.2">
      <c r="A18" t="s">
        <v>150</v>
      </c>
      <c r="B18" t="s">
        <v>151</v>
      </c>
    </row>
    <row r="20" spans="1:12" x14ac:dyDescent="0.2">
      <c r="A20" t="s">
        <v>120</v>
      </c>
      <c r="B20" t="s">
        <v>121</v>
      </c>
      <c r="C20" t="s">
        <v>122</v>
      </c>
      <c r="D20" t="s">
        <v>123</v>
      </c>
      <c r="E20" t="s">
        <v>124</v>
      </c>
      <c r="F20" t="s">
        <v>125</v>
      </c>
      <c r="G20" t="s">
        <v>126</v>
      </c>
      <c r="H20" t="s">
        <v>127</v>
      </c>
      <c r="I20" t="s">
        <v>128</v>
      </c>
      <c r="J20" t="s">
        <v>129</v>
      </c>
      <c r="K20" t="s">
        <v>130</v>
      </c>
      <c r="L20" t="s">
        <v>130</v>
      </c>
    </row>
    <row r="21" spans="1:12" x14ac:dyDescent="0.2">
      <c r="A21" t="s">
        <v>45</v>
      </c>
      <c r="B21" t="s">
        <v>111</v>
      </c>
      <c r="C21" t="s">
        <v>152</v>
      </c>
      <c r="D21">
        <v>171.26</v>
      </c>
      <c r="E21" t="s">
        <v>133</v>
      </c>
      <c r="F21">
        <v>171.26</v>
      </c>
      <c r="G21">
        <v>171.26</v>
      </c>
      <c r="H21">
        <v>171.26</v>
      </c>
      <c r="I21" t="s">
        <v>154</v>
      </c>
      <c r="J21" t="s">
        <v>135</v>
      </c>
      <c r="K21" t="s">
        <v>155</v>
      </c>
      <c r="L21" s="12">
        <f>+H21*3.295</f>
        <v>564.30169999999998</v>
      </c>
    </row>
    <row r="22" spans="1:12" x14ac:dyDescent="0.2">
      <c r="A22" t="s">
        <v>48</v>
      </c>
      <c r="B22" t="s">
        <v>111</v>
      </c>
      <c r="C22" t="s">
        <v>156</v>
      </c>
      <c r="D22">
        <v>409.53</v>
      </c>
      <c r="E22" t="s">
        <v>133</v>
      </c>
      <c r="F22">
        <v>409.53</v>
      </c>
      <c r="G22">
        <v>409.53</v>
      </c>
      <c r="H22">
        <v>409.53</v>
      </c>
      <c r="I22" t="s">
        <v>158</v>
      </c>
      <c r="J22" t="s">
        <v>135</v>
      </c>
      <c r="K22" t="s">
        <v>159</v>
      </c>
      <c r="L22" s="12">
        <f>409.53*0.43</f>
        <v>176.09789999999998</v>
      </c>
    </row>
    <row r="23" spans="1:12" x14ac:dyDescent="0.2">
      <c r="A23" t="s">
        <v>52</v>
      </c>
      <c r="B23" t="s">
        <v>111</v>
      </c>
      <c r="C23" t="s">
        <v>160</v>
      </c>
      <c r="D23" t="s">
        <v>161</v>
      </c>
      <c r="E23" t="s">
        <v>133</v>
      </c>
      <c r="F23">
        <v>279.23</v>
      </c>
      <c r="G23">
        <v>279.23</v>
      </c>
      <c r="H23">
        <v>279.23</v>
      </c>
      <c r="I23" t="s">
        <v>162</v>
      </c>
      <c r="J23" t="s">
        <v>135</v>
      </c>
      <c r="K23" t="s">
        <v>163</v>
      </c>
      <c r="L23" s="12">
        <f>279.23*0.515</f>
        <v>143.80345000000003</v>
      </c>
    </row>
    <row r="24" spans="1:12" x14ac:dyDescent="0.2">
      <c r="A24" t="s">
        <v>56</v>
      </c>
      <c r="B24" t="s">
        <v>111</v>
      </c>
      <c r="C24" t="s">
        <v>164</v>
      </c>
      <c r="D24">
        <v>70.739999999999995</v>
      </c>
      <c r="E24" t="s">
        <v>133</v>
      </c>
      <c r="F24">
        <v>70.739999999999995</v>
      </c>
      <c r="G24">
        <v>70.739999999999995</v>
      </c>
      <c r="H24">
        <v>70.739999999999995</v>
      </c>
      <c r="I24" t="s">
        <v>166</v>
      </c>
      <c r="J24" t="s">
        <v>135</v>
      </c>
      <c r="K24" t="s">
        <v>167</v>
      </c>
      <c r="L24" s="12">
        <f>70.74*0.4676</f>
        <v>33.078023999999999</v>
      </c>
    </row>
    <row r="25" spans="1:12" x14ac:dyDescent="0.2">
      <c r="A25" t="s">
        <v>59</v>
      </c>
      <c r="B25" t="s">
        <v>111</v>
      </c>
      <c r="C25" t="s">
        <v>168</v>
      </c>
      <c r="D25">
        <v>1.86</v>
      </c>
      <c r="E25" t="s">
        <v>133</v>
      </c>
      <c r="F25">
        <v>1.86</v>
      </c>
      <c r="G25">
        <v>1.86</v>
      </c>
      <c r="H25">
        <v>1.86</v>
      </c>
      <c r="I25" t="s">
        <v>170</v>
      </c>
      <c r="J25" t="s">
        <v>135</v>
      </c>
      <c r="K25" t="s">
        <v>171</v>
      </c>
      <c r="L25">
        <f>1.86*7.32</f>
        <v>13.615200000000002</v>
      </c>
    </row>
    <row r="26" spans="1:12" x14ac:dyDescent="0.2">
      <c r="A26" t="s">
        <v>62</v>
      </c>
      <c r="B26" t="s">
        <v>111</v>
      </c>
      <c r="C26" t="s">
        <v>172</v>
      </c>
      <c r="D26">
        <v>5.58</v>
      </c>
      <c r="E26" t="s">
        <v>133</v>
      </c>
      <c r="F26">
        <v>5.58</v>
      </c>
      <c r="G26">
        <v>5.58</v>
      </c>
      <c r="H26">
        <v>5.58</v>
      </c>
      <c r="I26" t="s">
        <v>174</v>
      </c>
      <c r="J26" t="s">
        <v>135</v>
      </c>
      <c r="K26" t="s">
        <v>175</v>
      </c>
      <c r="L26">
        <f>5.58*1.005</f>
        <v>5.6078999999999999</v>
      </c>
    </row>
    <row r="27" spans="1:12" x14ac:dyDescent="0.2">
      <c r="A27" t="s">
        <v>76</v>
      </c>
      <c r="B27" t="s">
        <v>111</v>
      </c>
      <c r="C27" t="s">
        <v>176</v>
      </c>
      <c r="D27" t="s">
        <v>177</v>
      </c>
      <c r="E27" t="s">
        <v>133</v>
      </c>
      <c r="F27" t="s">
        <v>177</v>
      </c>
      <c r="G27" t="s">
        <v>177</v>
      </c>
      <c r="H27" t="s">
        <v>177</v>
      </c>
      <c r="I27" t="s">
        <v>178</v>
      </c>
      <c r="J27" t="s">
        <v>135</v>
      </c>
      <c r="K27" t="s">
        <v>179</v>
      </c>
      <c r="L27">
        <v>3.4</v>
      </c>
    </row>
    <row r="28" spans="1:12" x14ac:dyDescent="0.2">
      <c r="A28" t="s">
        <v>81</v>
      </c>
      <c r="B28" t="s">
        <v>111</v>
      </c>
      <c r="C28" t="s">
        <v>180</v>
      </c>
      <c r="D28" t="s">
        <v>181</v>
      </c>
      <c r="E28" t="s">
        <v>133</v>
      </c>
      <c r="F28" t="s">
        <v>181</v>
      </c>
      <c r="G28" t="s">
        <v>181</v>
      </c>
      <c r="H28" t="s">
        <v>181</v>
      </c>
      <c r="I28" t="s">
        <v>182</v>
      </c>
      <c r="J28" t="s">
        <v>129</v>
      </c>
      <c r="K28" t="s">
        <v>183</v>
      </c>
      <c r="L28">
        <v>0.17</v>
      </c>
    </row>
    <row r="29" spans="1:12" x14ac:dyDescent="0.2">
      <c r="A29" t="s">
        <v>66</v>
      </c>
      <c r="B29" t="s">
        <v>111</v>
      </c>
      <c r="C29" t="s">
        <v>184</v>
      </c>
      <c r="D29">
        <v>16.75</v>
      </c>
      <c r="E29" t="s">
        <v>133</v>
      </c>
      <c r="F29">
        <v>16.75</v>
      </c>
      <c r="G29">
        <v>16.75</v>
      </c>
      <c r="H29">
        <v>16.75</v>
      </c>
      <c r="I29" t="s">
        <v>186</v>
      </c>
      <c r="J29" t="s">
        <v>135</v>
      </c>
      <c r="K29" t="s">
        <v>187</v>
      </c>
      <c r="L29">
        <f>16.75*20.475</f>
        <v>342.95625000000001</v>
      </c>
    </row>
    <row r="30" spans="1:12" x14ac:dyDescent="0.2">
      <c r="A30" t="s">
        <v>68</v>
      </c>
      <c r="B30" t="s">
        <v>111</v>
      </c>
      <c r="C30" t="s">
        <v>188</v>
      </c>
      <c r="D30">
        <v>13.4</v>
      </c>
      <c r="E30" t="s">
        <v>133</v>
      </c>
      <c r="F30">
        <v>13.4</v>
      </c>
      <c r="G30">
        <v>13.4</v>
      </c>
      <c r="H30">
        <v>13.4</v>
      </c>
      <c r="I30" t="s">
        <v>190</v>
      </c>
      <c r="J30" t="s">
        <v>135</v>
      </c>
      <c r="K30" t="s">
        <v>191</v>
      </c>
      <c r="L30">
        <f>13.4*2.365</f>
        <v>31.691000000000003</v>
      </c>
    </row>
    <row r="31" spans="1:12" x14ac:dyDescent="0.2">
      <c r="A31" t="s">
        <v>78</v>
      </c>
      <c r="B31" t="s">
        <v>111</v>
      </c>
      <c r="C31" t="s">
        <v>192</v>
      </c>
      <c r="D31" t="s">
        <v>193</v>
      </c>
      <c r="E31" t="s">
        <v>133</v>
      </c>
      <c r="F31" t="s">
        <v>193</v>
      </c>
      <c r="G31" t="s">
        <v>193</v>
      </c>
      <c r="H31" t="s">
        <v>193</v>
      </c>
      <c r="I31" t="s">
        <v>194</v>
      </c>
      <c r="J31" t="s">
        <v>135</v>
      </c>
      <c r="K31" t="s">
        <v>195</v>
      </c>
      <c r="L31">
        <v>1.2</v>
      </c>
    </row>
    <row r="32" spans="1:12" x14ac:dyDescent="0.2">
      <c r="A32" t="s">
        <v>83</v>
      </c>
      <c r="B32" t="s">
        <v>111</v>
      </c>
      <c r="C32" t="s">
        <v>196</v>
      </c>
      <c r="D32" t="s">
        <v>197</v>
      </c>
      <c r="E32" t="s">
        <v>133</v>
      </c>
      <c r="F32" t="s">
        <v>197</v>
      </c>
      <c r="G32" t="s">
        <v>197</v>
      </c>
      <c r="H32" t="s">
        <v>197</v>
      </c>
      <c r="I32" t="s">
        <v>198</v>
      </c>
      <c r="J32" t="s">
        <v>135</v>
      </c>
      <c r="K32" t="s">
        <v>199</v>
      </c>
      <c r="L32">
        <v>2.4900000000000002</v>
      </c>
    </row>
    <row r="33" spans="1:12" x14ac:dyDescent="0.2">
      <c r="A33" t="s">
        <v>85</v>
      </c>
      <c r="B33" t="s">
        <v>111</v>
      </c>
      <c r="C33" t="s">
        <v>200</v>
      </c>
      <c r="D33" t="s">
        <v>201</v>
      </c>
      <c r="E33" t="s">
        <v>133</v>
      </c>
      <c r="F33" t="s">
        <v>201</v>
      </c>
      <c r="G33" t="s">
        <v>201</v>
      </c>
      <c r="H33" t="s">
        <v>201</v>
      </c>
      <c r="I33" t="s">
        <v>202</v>
      </c>
      <c r="J33" t="s">
        <v>129</v>
      </c>
      <c r="K33" t="s">
        <v>203</v>
      </c>
      <c r="L33">
        <v>0.28999999999999998</v>
      </c>
    </row>
    <row r="34" spans="1:12" x14ac:dyDescent="0.2">
      <c r="A34" t="s">
        <v>70</v>
      </c>
      <c r="C34" t="s">
        <v>71</v>
      </c>
      <c r="D34">
        <v>2.23</v>
      </c>
      <c r="E34" t="s">
        <v>133</v>
      </c>
      <c r="F34">
        <v>2.23</v>
      </c>
      <c r="G34">
        <v>2.23</v>
      </c>
      <c r="H34">
        <v>2.23</v>
      </c>
      <c r="I34">
        <v>17.68</v>
      </c>
      <c r="J34" t="s">
        <v>135</v>
      </c>
      <c r="L34">
        <f>2.23*17.68</f>
        <v>39.426400000000001</v>
      </c>
    </row>
    <row r="35" spans="1:12" x14ac:dyDescent="0.2">
      <c r="C35" t="s">
        <v>72</v>
      </c>
      <c r="D35">
        <v>26.25</v>
      </c>
      <c r="E35" t="s">
        <v>133</v>
      </c>
      <c r="F35">
        <v>26.25</v>
      </c>
      <c r="G35">
        <v>26.25</v>
      </c>
      <c r="H35">
        <v>26.25</v>
      </c>
      <c r="I35">
        <v>1.4</v>
      </c>
      <c r="J35" t="s">
        <v>135</v>
      </c>
      <c r="L35">
        <f>26.25*1.4</f>
        <v>36.75</v>
      </c>
    </row>
    <row r="36" spans="1:12" x14ac:dyDescent="0.2">
      <c r="L36" s="13">
        <f>SUM(L21:L35)</f>
        <v>1394.8778239999999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86076-EBBF-44DE-A1C3-DF82B271166E}">
  <dimension ref="A2:L36"/>
  <sheetViews>
    <sheetView topLeftCell="A22" workbookViewId="0">
      <selection activeCell="L36" sqref="L36"/>
    </sheetView>
  </sheetViews>
  <sheetFormatPr baseColWidth="10" defaultRowHeight="12.75" x14ac:dyDescent="0.2"/>
  <cols>
    <col min="3" max="3" width="29.7109375" customWidth="1"/>
    <col min="9" max="9" width="16" customWidth="1"/>
  </cols>
  <sheetData>
    <row r="2" spans="1:2" x14ac:dyDescent="0.2">
      <c r="A2" t="s">
        <v>92</v>
      </c>
    </row>
    <row r="3" spans="1:2" x14ac:dyDescent="0.2">
      <c r="A3" t="s">
        <v>93</v>
      </c>
      <c r="B3" t="s">
        <v>94</v>
      </c>
    </row>
    <row r="4" spans="1:2" x14ac:dyDescent="0.2">
      <c r="A4" t="s">
        <v>95</v>
      </c>
      <c r="B4" t="s">
        <v>147</v>
      </c>
    </row>
    <row r="5" spans="1:2" x14ac:dyDescent="0.2">
      <c r="A5" t="s">
        <v>97</v>
      </c>
      <c r="B5" t="s">
        <v>98</v>
      </c>
    </row>
    <row r="6" spans="1:2" x14ac:dyDescent="0.2">
      <c r="A6" t="s">
        <v>99</v>
      </c>
      <c r="B6" t="s">
        <v>148</v>
      </c>
    </row>
    <row r="7" spans="1:2" x14ac:dyDescent="0.2">
      <c r="A7" t="s">
        <v>101</v>
      </c>
      <c r="B7" t="s">
        <v>102</v>
      </c>
    </row>
    <row r="8" spans="1:2" x14ac:dyDescent="0.2">
      <c r="A8" t="s">
        <v>103</v>
      </c>
      <c r="B8" t="s">
        <v>104</v>
      </c>
    </row>
    <row r="9" spans="1:2" x14ac:dyDescent="0.2">
      <c r="A9" t="s">
        <v>105</v>
      </c>
      <c r="B9" t="s">
        <v>149</v>
      </c>
    </row>
    <row r="10" spans="1:2" x14ac:dyDescent="0.2">
      <c r="A10" t="s">
        <v>107</v>
      </c>
      <c r="B10" t="s">
        <v>108</v>
      </c>
    </row>
    <row r="11" spans="1:2" x14ac:dyDescent="0.2">
      <c r="A11" t="s">
        <v>109</v>
      </c>
      <c r="B11" t="s">
        <v>37</v>
      </c>
    </row>
    <row r="12" spans="1:2" x14ac:dyDescent="0.2">
      <c r="A12" t="s">
        <v>110</v>
      </c>
      <c r="B12" t="s">
        <v>111</v>
      </c>
    </row>
    <row r="13" spans="1:2" x14ac:dyDescent="0.2">
      <c r="A13" t="s">
        <v>112</v>
      </c>
      <c r="B13" t="s">
        <v>113</v>
      </c>
    </row>
    <row r="14" spans="1:2" x14ac:dyDescent="0.2">
      <c r="A14" t="s">
        <v>114</v>
      </c>
      <c r="B14" t="s">
        <v>115</v>
      </c>
    </row>
    <row r="17" spans="1:12" x14ac:dyDescent="0.2">
      <c r="A17" t="s">
        <v>116</v>
      </c>
      <c r="B17" t="s">
        <v>117</v>
      </c>
    </row>
    <row r="18" spans="1:12" x14ac:dyDescent="0.2">
      <c r="A18" t="s">
        <v>150</v>
      </c>
      <c r="B18" t="s">
        <v>151</v>
      </c>
    </row>
    <row r="20" spans="1:12" x14ac:dyDescent="0.2">
      <c r="A20" t="s">
        <v>120</v>
      </c>
      <c r="B20" t="s">
        <v>121</v>
      </c>
      <c r="C20" t="s">
        <v>122</v>
      </c>
      <c r="D20" t="s">
        <v>123</v>
      </c>
      <c r="E20" t="s">
        <v>124</v>
      </c>
      <c r="F20" t="s">
        <v>125</v>
      </c>
      <c r="G20" t="s">
        <v>126</v>
      </c>
      <c r="H20" t="s">
        <v>127</v>
      </c>
      <c r="I20" t="s">
        <v>128</v>
      </c>
      <c r="J20" t="s">
        <v>129</v>
      </c>
      <c r="K20" t="s">
        <v>130</v>
      </c>
      <c r="L20" t="s">
        <v>130</v>
      </c>
    </row>
    <row r="21" spans="1:12" x14ac:dyDescent="0.2">
      <c r="A21" t="s">
        <v>45</v>
      </c>
      <c r="B21" t="s">
        <v>111</v>
      </c>
      <c r="C21" t="s">
        <v>152</v>
      </c>
      <c r="D21">
        <v>171.26</v>
      </c>
      <c r="E21" t="s">
        <v>133</v>
      </c>
      <c r="F21">
        <v>171.26</v>
      </c>
      <c r="G21">
        <v>171.26</v>
      </c>
      <c r="H21">
        <v>171.26</v>
      </c>
      <c r="I21" t="s">
        <v>154</v>
      </c>
      <c r="J21" t="s">
        <v>135</v>
      </c>
      <c r="K21" t="s">
        <v>155</v>
      </c>
      <c r="L21" s="12">
        <f>+H21*3.295</f>
        <v>564.30169999999998</v>
      </c>
    </row>
    <row r="22" spans="1:12" x14ac:dyDescent="0.2">
      <c r="A22" t="s">
        <v>48</v>
      </c>
      <c r="B22" t="s">
        <v>111</v>
      </c>
      <c r="C22" t="s">
        <v>156</v>
      </c>
      <c r="D22">
        <v>409.53</v>
      </c>
      <c r="E22" t="s">
        <v>133</v>
      </c>
      <c r="F22">
        <v>409.53</v>
      </c>
      <c r="G22">
        <v>409.53</v>
      </c>
      <c r="H22">
        <v>409.53</v>
      </c>
      <c r="I22" t="s">
        <v>158</v>
      </c>
      <c r="J22" t="s">
        <v>135</v>
      </c>
      <c r="K22" t="s">
        <v>159</v>
      </c>
      <c r="L22" s="12">
        <f>409.53*0.43</f>
        <v>176.09789999999998</v>
      </c>
    </row>
    <row r="23" spans="1:12" x14ac:dyDescent="0.2">
      <c r="A23" t="s">
        <v>52</v>
      </c>
      <c r="B23" t="s">
        <v>111</v>
      </c>
      <c r="C23" t="s">
        <v>160</v>
      </c>
      <c r="D23" t="s">
        <v>161</v>
      </c>
      <c r="E23" t="s">
        <v>133</v>
      </c>
      <c r="F23">
        <v>279.23</v>
      </c>
      <c r="G23">
        <v>279.23</v>
      </c>
      <c r="H23">
        <v>279.23</v>
      </c>
      <c r="I23" t="s">
        <v>162</v>
      </c>
      <c r="J23" t="s">
        <v>135</v>
      </c>
      <c r="K23" t="s">
        <v>163</v>
      </c>
      <c r="L23" s="12">
        <f>279.23*0.515</f>
        <v>143.80345000000003</v>
      </c>
    </row>
    <row r="24" spans="1:12" x14ac:dyDescent="0.2">
      <c r="A24" t="s">
        <v>56</v>
      </c>
      <c r="B24" t="s">
        <v>111</v>
      </c>
      <c r="C24" t="s">
        <v>164</v>
      </c>
      <c r="D24">
        <v>70.739999999999995</v>
      </c>
      <c r="E24" t="s">
        <v>133</v>
      </c>
      <c r="F24">
        <v>70.739999999999995</v>
      </c>
      <c r="G24">
        <v>70.739999999999995</v>
      </c>
      <c r="H24">
        <v>70.739999999999995</v>
      </c>
      <c r="I24" t="s">
        <v>166</v>
      </c>
      <c r="J24" t="s">
        <v>135</v>
      </c>
      <c r="K24" t="s">
        <v>167</v>
      </c>
      <c r="L24" s="12">
        <f>70.74*0.4676</f>
        <v>33.078023999999999</v>
      </c>
    </row>
    <row r="25" spans="1:12" x14ac:dyDescent="0.2">
      <c r="A25" t="s">
        <v>59</v>
      </c>
      <c r="B25" t="s">
        <v>111</v>
      </c>
      <c r="C25" t="s">
        <v>168</v>
      </c>
      <c r="D25">
        <v>1.86</v>
      </c>
      <c r="E25" t="s">
        <v>133</v>
      </c>
      <c r="F25">
        <v>1.86</v>
      </c>
      <c r="G25">
        <v>1.86</v>
      </c>
      <c r="H25">
        <v>1.86</v>
      </c>
      <c r="I25" t="s">
        <v>170</v>
      </c>
      <c r="J25" t="s">
        <v>135</v>
      </c>
      <c r="K25" t="s">
        <v>171</v>
      </c>
      <c r="L25">
        <f>1.86*7.32</f>
        <v>13.615200000000002</v>
      </c>
    </row>
    <row r="26" spans="1:12" x14ac:dyDescent="0.2">
      <c r="A26" t="s">
        <v>62</v>
      </c>
      <c r="B26" t="s">
        <v>111</v>
      </c>
      <c r="C26" t="s">
        <v>172</v>
      </c>
      <c r="D26">
        <v>5.58</v>
      </c>
      <c r="E26" t="s">
        <v>133</v>
      </c>
      <c r="F26">
        <v>5.58</v>
      </c>
      <c r="G26">
        <v>5.58</v>
      </c>
      <c r="H26">
        <v>5.58</v>
      </c>
      <c r="I26" t="s">
        <v>174</v>
      </c>
      <c r="J26" t="s">
        <v>135</v>
      </c>
      <c r="K26" t="s">
        <v>175</v>
      </c>
      <c r="L26">
        <f>5.58*1.005</f>
        <v>5.6078999999999999</v>
      </c>
    </row>
    <row r="27" spans="1:12" x14ac:dyDescent="0.2">
      <c r="A27" t="s">
        <v>76</v>
      </c>
      <c r="B27" t="s">
        <v>111</v>
      </c>
      <c r="C27" t="s">
        <v>176</v>
      </c>
      <c r="D27" t="s">
        <v>177</v>
      </c>
      <c r="E27" t="s">
        <v>133</v>
      </c>
      <c r="F27" t="s">
        <v>177</v>
      </c>
      <c r="G27" t="s">
        <v>177</v>
      </c>
      <c r="H27" t="s">
        <v>177</v>
      </c>
      <c r="I27" t="s">
        <v>178</v>
      </c>
      <c r="J27" t="s">
        <v>135</v>
      </c>
      <c r="K27" t="s">
        <v>179</v>
      </c>
      <c r="L27">
        <v>3.4</v>
      </c>
    </row>
    <row r="28" spans="1:12" x14ac:dyDescent="0.2">
      <c r="A28" t="s">
        <v>81</v>
      </c>
      <c r="B28" t="s">
        <v>111</v>
      </c>
      <c r="C28" t="s">
        <v>180</v>
      </c>
      <c r="D28" t="s">
        <v>181</v>
      </c>
      <c r="E28" t="s">
        <v>133</v>
      </c>
      <c r="F28" t="s">
        <v>181</v>
      </c>
      <c r="G28" t="s">
        <v>181</v>
      </c>
      <c r="H28" t="s">
        <v>181</v>
      </c>
      <c r="I28" t="s">
        <v>182</v>
      </c>
      <c r="J28" t="s">
        <v>129</v>
      </c>
      <c r="K28" t="s">
        <v>183</v>
      </c>
      <c r="L28">
        <v>0.17</v>
      </c>
    </row>
    <row r="29" spans="1:12" x14ac:dyDescent="0.2">
      <c r="A29" t="s">
        <v>66</v>
      </c>
      <c r="B29" t="s">
        <v>111</v>
      </c>
      <c r="C29" t="s">
        <v>184</v>
      </c>
      <c r="D29">
        <v>16.75</v>
      </c>
      <c r="E29" t="s">
        <v>133</v>
      </c>
      <c r="F29">
        <v>16.75</v>
      </c>
      <c r="G29">
        <v>16.75</v>
      </c>
      <c r="H29">
        <v>16.75</v>
      </c>
      <c r="I29" t="s">
        <v>186</v>
      </c>
      <c r="J29" t="s">
        <v>135</v>
      </c>
      <c r="K29" t="s">
        <v>187</v>
      </c>
      <c r="L29">
        <f>16.75*20.475</f>
        <v>342.95625000000001</v>
      </c>
    </row>
    <row r="30" spans="1:12" x14ac:dyDescent="0.2">
      <c r="A30" t="s">
        <v>68</v>
      </c>
      <c r="B30" t="s">
        <v>111</v>
      </c>
      <c r="C30" t="s">
        <v>188</v>
      </c>
      <c r="D30">
        <v>13.4</v>
      </c>
      <c r="E30" t="s">
        <v>133</v>
      </c>
      <c r="F30">
        <v>13.4</v>
      </c>
      <c r="G30">
        <v>13.4</v>
      </c>
      <c r="H30">
        <v>13.4</v>
      </c>
      <c r="I30" t="s">
        <v>190</v>
      </c>
      <c r="J30" t="s">
        <v>135</v>
      </c>
      <c r="K30" t="s">
        <v>191</v>
      </c>
      <c r="L30">
        <f>13.4*2.365</f>
        <v>31.691000000000003</v>
      </c>
    </row>
    <row r="31" spans="1:12" x14ac:dyDescent="0.2">
      <c r="A31" t="s">
        <v>78</v>
      </c>
      <c r="B31" t="s">
        <v>111</v>
      </c>
      <c r="C31" t="s">
        <v>192</v>
      </c>
      <c r="D31" t="s">
        <v>193</v>
      </c>
      <c r="E31" t="s">
        <v>133</v>
      </c>
      <c r="F31" t="s">
        <v>193</v>
      </c>
      <c r="G31" t="s">
        <v>193</v>
      </c>
      <c r="H31" t="s">
        <v>193</v>
      </c>
      <c r="I31" t="s">
        <v>194</v>
      </c>
      <c r="J31" t="s">
        <v>135</v>
      </c>
      <c r="K31" t="s">
        <v>195</v>
      </c>
      <c r="L31">
        <v>1.2</v>
      </c>
    </row>
    <row r="32" spans="1:12" x14ac:dyDescent="0.2">
      <c r="A32" t="s">
        <v>83</v>
      </c>
      <c r="B32" t="s">
        <v>111</v>
      </c>
      <c r="C32" t="s">
        <v>196</v>
      </c>
      <c r="D32" t="s">
        <v>197</v>
      </c>
      <c r="E32" t="s">
        <v>133</v>
      </c>
      <c r="F32" t="s">
        <v>197</v>
      </c>
      <c r="G32" t="s">
        <v>197</v>
      </c>
      <c r="H32" t="s">
        <v>197</v>
      </c>
      <c r="I32" t="s">
        <v>198</v>
      </c>
      <c r="J32" t="s">
        <v>135</v>
      </c>
      <c r="K32" t="s">
        <v>199</v>
      </c>
      <c r="L32">
        <v>2.4900000000000002</v>
      </c>
    </row>
    <row r="33" spans="1:12" x14ac:dyDescent="0.2">
      <c r="A33" t="s">
        <v>85</v>
      </c>
      <c r="B33" t="s">
        <v>111</v>
      </c>
      <c r="C33" t="s">
        <v>200</v>
      </c>
      <c r="D33" t="s">
        <v>201</v>
      </c>
      <c r="E33" t="s">
        <v>133</v>
      </c>
      <c r="F33" t="s">
        <v>201</v>
      </c>
      <c r="G33" t="s">
        <v>201</v>
      </c>
      <c r="H33" t="s">
        <v>201</v>
      </c>
      <c r="I33" t="s">
        <v>202</v>
      </c>
      <c r="J33" t="s">
        <v>129</v>
      </c>
      <c r="K33" t="s">
        <v>203</v>
      </c>
      <c r="L33">
        <v>0.28999999999999998</v>
      </c>
    </row>
    <row r="34" spans="1:12" x14ac:dyDescent="0.2">
      <c r="A34" t="s">
        <v>70</v>
      </c>
      <c r="C34" t="s">
        <v>71</v>
      </c>
      <c r="D34">
        <v>2.23</v>
      </c>
      <c r="E34" t="s">
        <v>133</v>
      </c>
      <c r="F34">
        <v>2.23</v>
      </c>
      <c r="G34">
        <v>2.23</v>
      </c>
      <c r="H34">
        <v>2.23</v>
      </c>
      <c r="I34">
        <v>17.68</v>
      </c>
      <c r="J34" t="s">
        <v>135</v>
      </c>
      <c r="L34">
        <f>2.23*17.68</f>
        <v>39.426400000000001</v>
      </c>
    </row>
    <row r="35" spans="1:12" x14ac:dyDescent="0.2">
      <c r="C35" t="s">
        <v>72</v>
      </c>
      <c r="D35">
        <v>26.25</v>
      </c>
      <c r="E35" t="s">
        <v>133</v>
      </c>
      <c r="F35">
        <v>26.25</v>
      </c>
      <c r="G35">
        <v>26.25</v>
      </c>
      <c r="H35">
        <v>26.25</v>
      </c>
      <c r="I35">
        <v>9.11</v>
      </c>
      <c r="J35" t="s">
        <v>135</v>
      </c>
      <c r="L35">
        <f>26.25*9.11</f>
        <v>239.13749999999999</v>
      </c>
    </row>
    <row r="36" spans="1:12" x14ac:dyDescent="0.2">
      <c r="L36" s="13">
        <f>SUM(L21:L35)</f>
        <v>1597.265324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458b6a9d5d6b9a17d8ab2559e7240bab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41056e0dad6d77feaf64f6a7e964ff49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A2454D9-4CF0-46CA-ADA8-10145C2DD52F}"/>
</file>

<file path=customXml/itemProps2.xml><?xml version="1.0" encoding="utf-8"?>
<ds:datastoreItem xmlns:ds="http://schemas.openxmlformats.org/officeDocument/2006/customXml" ds:itemID="{90684B75-A1B9-4AB4-928D-A58FDE6BF5FC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F03107AA-D197-47D5-9D8C-F96DCC5B832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</vt:i4>
      </vt:variant>
    </vt:vector>
  </HeadingPairs>
  <TitlesOfParts>
    <vt:vector size="8" baseType="lpstr">
      <vt:lpstr>Costo Actual Batido</vt:lpstr>
      <vt:lpstr>Costo Actual Premezcla </vt:lpstr>
      <vt:lpstr>Costo Nuevo Batido</vt:lpstr>
      <vt:lpstr>Costo Nuevo Batido 2</vt:lpstr>
      <vt:lpstr>Premezcla nueva </vt:lpstr>
      <vt:lpstr>Costo nueva premezcla </vt:lpstr>
      <vt:lpstr>Costo Nueva Prem 2</vt:lpstr>
      <vt:lpstr>'Premezcla nueva 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Brenes Madriz</dc:creator>
  <cp:lastModifiedBy>Allan Brenes</cp:lastModifiedBy>
  <cp:lastPrinted>2025-11-19T16:30:54Z</cp:lastPrinted>
  <dcterms:created xsi:type="dcterms:W3CDTF">2022-08-11T16:12:05Z</dcterms:created>
  <dcterms:modified xsi:type="dcterms:W3CDTF">2025-11-19T16:30:55Z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57000</vt:r8>
  </property>
  <property fmtid="{D5CDD505-2E9C-101B-9397-08002B2CF9AE}" pid="4" name="MediaServiceImageTags">
    <vt:lpwstr/>
  </property>
</Properties>
</file>
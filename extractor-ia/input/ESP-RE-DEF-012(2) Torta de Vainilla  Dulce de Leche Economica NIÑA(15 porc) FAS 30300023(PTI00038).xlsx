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46169DEF-F8A2-4801-B3C6-E3A1C47992AF}" xr6:coauthVersionLast="47" xr6:coauthVersionMax="47" xr10:uidLastSave="{92A4F50C-4226-4888-9535-84997E98B1E5}"/>
  <bookViews>
    <workbookView xWindow="-108" yWindow="-108" windowWidth="23256" windowHeight="12456" firstSheet="1" activeTab="1" xr2:uid="{22A06F23-61CD-4DF9-96BA-C9A84CFD50DA}"/>
  </bookViews>
  <sheets>
    <sheet name="REC TORTA" sheetId="1" state="hidden" r:id="rId1"/>
    <sheet name="Hoja1" sheetId="7" r:id="rId2"/>
    <sheet name="COSTEO" sheetId="5" state="hidden" r:id="rId3"/>
    <sheet name="PRECIO" sheetId="6" state="hidden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7" l="1"/>
  <c r="D9" i="6"/>
  <c r="D6" i="6"/>
  <c r="D73" i="5"/>
  <c r="D74" i="5"/>
  <c r="D76" i="5"/>
  <c r="D71" i="5"/>
  <c r="D69" i="5"/>
  <c r="F65" i="5"/>
  <c r="C73" i="5"/>
  <c r="D60" i="5"/>
  <c r="D85" i="5"/>
  <c r="D86" i="5"/>
  <c r="C51" i="5"/>
  <c r="E50" i="5"/>
  <c r="F50" i="5" s="1"/>
  <c r="D50" i="5"/>
  <c r="B50" i="5"/>
  <c r="E49" i="5"/>
  <c r="F49" i="5" s="1"/>
  <c r="D49" i="5"/>
  <c r="B49" i="5"/>
  <c r="E48" i="5"/>
  <c r="F48" i="5" s="1"/>
  <c r="D48" i="5"/>
  <c r="B48" i="5"/>
  <c r="E47" i="5"/>
  <c r="D47" i="5"/>
  <c r="B47" i="5"/>
  <c r="E46" i="5"/>
  <c r="F46" i="5"/>
  <c r="D46" i="5"/>
  <c r="B46" i="5"/>
  <c r="E45" i="5"/>
  <c r="D45" i="5"/>
  <c r="B45" i="5"/>
  <c r="E41" i="5"/>
  <c r="F41" i="5" s="1"/>
  <c r="D41" i="5"/>
  <c r="B41" i="5"/>
  <c r="A41" i="5"/>
  <c r="C41" i="5"/>
  <c r="E40" i="5"/>
  <c r="F40" i="5" s="1"/>
  <c r="D40" i="5"/>
  <c r="C40" i="5"/>
  <c r="B40" i="5"/>
  <c r="A40" i="5"/>
  <c r="A49" i="5"/>
  <c r="C49" i="5"/>
  <c r="E39" i="5"/>
  <c r="F39" i="5" s="1"/>
  <c r="D39" i="5"/>
  <c r="B39" i="5"/>
  <c r="A39" i="5"/>
  <c r="A48" i="5"/>
  <c r="C48" i="5"/>
  <c r="E38" i="5"/>
  <c r="F38" i="5"/>
  <c r="D38" i="5"/>
  <c r="B38" i="5"/>
  <c r="A38" i="5"/>
  <c r="C38" i="5"/>
  <c r="E37" i="5"/>
  <c r="F37" i="5" s="1"/>
  <c r="D37" i="5"/>
  <c r="B37" i="5"/>
  <c r="A37" i="5"/>
  <c r="A46" i="5"/>
  <c r="C46" i="5"/>
  <c r="C37" i="5"/>
  <c r="E36" i="5"/>
  <c r="D36" i="5"/>
  <c r="B36" i="5"/>
  <c r="A36" i="5"/>
  <c r="C36" i="5"/>
  <c r="A45" i="5"/>
  <c r="C45" i="5"/>
  <c r="F45" i="5"/>
  <c r="F56" i="5" s="1"/>
  <c r="D35" i="5"/>
  <c r="D44" i="5"/>
  <c r="A35" i="5"/>
  <c r="A44" i="5"/>
  <c r="C44" i="5"/>
  <c r="F44" i="5"/>
  <c r="C35" i="5"/>
  <c r="E32" i="5"/>
  <c r="F32" i="5" s="1"/>
  <c r="D32" i="5"/>
  <c r="C32" i="5"/>
  <c r="B32" i="5"/>
  <c r="E31" i="5"/>
  <c r="F31" i="5"/>
  <c r="D31" i="5"/>
  <c r="C31" i="5"/>
  <c r="B31" i="5"/>
  <c r="E30" i="5"/>
  <c r="F30" i="5" s="1"/>
  <c r="D30" i="5"/>
  <c r="C30" i="5"/>
  <c r="B30" i="5"/>
  <c r="E29" i="5"/>
  <c r="F29" i="5"/>
  <c r="D29" i="5"/>
  <c r="C29" i="5"/>
  <c r="B29" i="5"/>
  <c r="E28" i="5"/>
  <c r="F28" i="5" s="1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/>
  <c r="D21" i="5"/>
  <c r="C21" i="5"/>
  <c r="B21" i="5"/>
  <c r="E20" i="5"/>
  <c r="F20" i="5"/>
  <c r="D20" i="5"/>
  <c r="C20" i="5"/>
  <c r="B20" i="5"/>
  <c r="E19" i="5"/>
  <c r="F19" i="5"/>
  <c r="D19" i="5"/>
  <c r="C19" i="5"/>
  <c r="B19" i="5"/>
  <c r="E18" i="5"/>
  <c r="F18" i="5" s="1"/>
  <c r="D18" i="5"/>
  <c r="C18" i="5"/>
  <c r="B18" i="5"/>
  <c r="C17" i="5"/>
  <c r="B15" i="5"/>
  <c r="E14" i="5"/>
  <c r="F14" i="5"/>
  <c r="D14" i="5"/>
  <c r="C14" i="5"/>
  <c r="B14" i="5"/>
  <c r="E13" i="5"/>
  <c r="F13" i="5" s="1"/>
  <c r="D13" i="5"/>
  <c r="C13" i="5"/>
  <c r="B13" i="5"/>
  <c r="E12" i="5"/>
  <c r="D12" i="5"/>
  <c r="C12" i="5"/>
  <c r="B12" i="5"/>
  <c r="E11" i="5"/>
  <c r="D11" i="5"/>
  <c r="C11" i="5"/>
  <c r="F11" i="5"/>
  <c r="B11" i="5"/>
  <c r="E10" i="5"/>
  <c r="F10" i="5" s="1"/>
  <c r="D10" i="5"/>
  <c r="C10" i="5"/>
  <c r="B10" i="5"/>
  <c r="E9" i="5"/>
  <c r="F9" i="5"/>
  <c r="D9" i="5"/>
  <c r="C9" i="5"/>
  <c r="B9" i="5"/>
  <c r="E8" i="5"/>
  <c r="F8" i="5" s="1"/>
  <c r="D8" i="5"/>
  <c r="C8" i="5"/>
  <c r="B8" i="5"/>
  <c r="H6" i="5"/>
  <c r="F12" i="5"/>
  <c r="D83" i="5"/>
  <c r="D81" i="5"/>
  <c r="C85" i="5"/>
  <c r="E85" i="5"/>
  <c r="E73" i="5"/>
  <c r="A47" i="5"/>
  <c r="C47" i="5"/>
  <c r="F47" i="5"/>
  <c r="E51" i="5"/>
  <c r="F51" i="5"/>
  <c r="A50" i="5"/>
  <c r="C50" i="5"/>
  <c r="D29" i="1"/>
  <c r="D32" i="1"/>
  <c r="E17" i="5"/>
  <c r="F17" i="5"/>
  <c r="E35" i="5"/>
  <c r="F35" i="5"/>
  <c r="E44" i="5"/>
  <c r="F36" i="5"/>
  <c r="C39" i="5"/>
  <c r="F6" i="6"/>
  <c r="F11" i="6"/>
  <c r="F9" i="6"/>
  <c r="F18" i="6"/>
  <c r="F12" i="6"/>
  <c r="F13" i="6"/>
  <c r="F15" i="6"/>
  <c r="F17" i="6"/>
  <c r="F19" i="6"/>
  <c r="F20" i="6"/>
  <c r="F21" i="6"/>
  <c r="F22" i="6"/>
  <c r="F23" i="6"/>
  <c r="G21" i="6"/>
  <c r="G19" i="6"/>
  <c r="F27" i="6"/>
  <c r="G23" i="6"/>
  <c r="G6" i="6"/>
  <c r="G16" i="6"/>
  <c r="G11" i="6"/>
  <c r="G9" i="6"/>
  <c r="G18" i="6"/>
  <c r="G12" i="6"/>
  <c r="G13" i="6"/>
  <c r="G15" i="6"/>
  <c r="G17" i="6"/>
  <c r="G20" i="6"/>
  <c r="G22" i="6"/>
  <c r="F28" i="6"/>
  <c r="F29" i="6"/>
  <c r="F30" i="6"/>
  <c r="F31" i="6"/>
  <c r="F32" i="6"/>
  <c r="F34" i="6"/>
  <c r="F35" i="6"/>
  <c r="G29" i="6"/>
  <c r="H29" i="6"/>
  <c r="O55" i="5" l="1"/>
  <c r="H56" i="5"/>
  <c r="H2" i="5" s="1"/>
  <c r="C74" i="5"/>
  <c r="F53" i="5"/>
  <c r="F54" i="5"/>
  <c r="C69" i="5" l="1"/>
  <c r="F64" i="5"/>
  <c r="H53" i="5"/>
  <c r="F2" i="5" s="1"/>
  <c r="F55" i="5"/>
  <c r="C86" i="5"/>
  <c r="E86" i="5" s="1"/>
  <c r="E74" i="5"/>
  <c r="C76" i="5"/>
  <c r="E76" i="5" s="1"/>
  <c r="H54" i="5"/>
  <c r="G2" i="5" s="1"/>
  <c r="O54" i="5" l="1"/>
  <c r="F63" i="5"/>
  <c r="H55" i="5"/>
  <c r="C81" i="5"/>
  <c r="E81" i="5" s="1"/>
  <c r="E69" i="5"/>
  <c r="E78" i="5" s="1"/>
  <c r="E63" i="5" l="1"/>
  <c r="C71" i="5"/>
  <c r="F66" i="5"/>
  <c r="O56" i="5"/>
  <c r="O57" i="5" s="1"/>
  <c r="O58" i="5" l="1"/>
  <c r="O59" i="5"/>
  <c r="G65" i="5"/>
  <c r="G17" i="5"/>
  <c r="G35" i="5"/>
  <c r="G14" i="5"/>
  <c r="G36" i="5"/>
  <c r="G20" i="5"/>
  <c r="G38" i="5"/>
  <c r="G44" i="5"/>
  <c r="G51" i="5"/>
  <c r="G21" i="5"/>
  <c r="G9" i="5"/>
  <c r="G66" i="5"/>
  <c r="G8" i="5"/>
  <c r="G31" i="5"/>
  <c r="G28" i="5"/>
  <c r="G37" i="5"/>
  <c r="G39" i="5"/>
  <c r="G46" i="5"/>
  <c r="G49" i="5"/>
  <c r="G40" i="5"/>
  <c r="G11" i="5"/>
  <c r="G56" i="5"/>
  <c r="G48" i="5"/>
  <c r="G32" i="5"/>
  <c r="G24" i="5"/>
  <c r="G10" i="5"/>
  <c r="G47" i="5"/>
  <c r="G41" i="5"/>
  <c r="G27" i="5"/>
  <c r="G30" i="5"/>
  <c r="G22" i="5"/>
  <c r="G23" i="5"/>
  <c r="G12" i="5"/>
  <c r="G45" i="5"/>
  <c r="G50" i="5"/>
  <c r="G19" i="5"/>
  <c r="G18" i="5"/>
  <c r="G13" i="5"/>
  <c r="G29" i="5"/>
  <c r="G54" i="5"/>
  <c r="G53" i="5"/>
  <c r="G55" i="5"/>
  <c r="G64" i="5"/>
  <c r="C83" i="5"/>
  <c r="E83" i="5" s="1"/>
  <c r="E71" i="5"/>
  <c r="G63" i="5"/>
  <c r="O60" i="5" l="1"/>
  <c r="O61" i="5" s="1"/>
  <c r="O62" i="5" s="1"/>
  <c r="E2" i="5" l="1"/>
  <c r="P62" i="5"/>
</calcChain>
</file>

<file path=xl/sharedStrings.xml><?xml version="1.0" encoding="utf-8"?>
<sst xmlns="http://schemas.openxmlformats.org/spreadsheetml/2006/main" count="340" uniqueCount="203">
  <si>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</si>
  <si>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</si>
  <si>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</si>
  <si>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</si>
  <si>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</si>
  <si>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</si>
  <si>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Maria Jose Rodriguez, Chef</t>
  </si>
  <si>
    <t>Aprobado</t>
  </si>
  <si>
    <t>Jorge, Montero. Gte de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</si>
  <si>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</si>
  <si>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</si>
  <si>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</si>
  <si>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</si>
  <si>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</si>
  <si>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</si>
  <si>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</si>
  <si>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</si>
  <si>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</si>
  <si>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</si>
  <si>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ROSQUETE VAINILLA PASTELERO REAL(crudo 650)</t>
  </si>
  <si>
    <t>Spoon</t>
  </si>
  <si>
    <t>g</t>
  </si>
  <si>
    <t>1 Unidad</t>
  </si>
  <si>
    <t>1/4 Taza</t>
  </si>
  <si>
    <t>Decoración</t>
  </si>
  <si>
    <t>CREMA TOP BASE CHANTILLY</t>
  </si>
  <si>
    <t>(Encremar)</t>
  </si>
  <si>
    <t>(Colocho Boquilla #842)</t>
  </si>
  <si>
    <t>0807003</t>
  </si>
  <si>
    <t>COLORANTE PASTA 4 ONZ</t>
  </si>
  <si>
    <t>American Colors</t>
  </si>
  <si>
    <t>(Electric blue) (Lemon Yellow)</t>
  </si>
  <si>
    <t>EMPAQUE</t>
  </si>
  <si>
    <t>1942318</t>
  </si>
  <si>
    <t>QUEQUERA 10" BAJA</t>
  </si>
  <si>
    <t>Export pmt</t>
  </si>
  <si>
    <t>Unidad</t>
  </si>
  <si>
    <t>1950692</t>
  </si>
  <si>
    <t xml:space="preserve">ORLA CARTON 10" </t>
  </si>
  <si>
    <t>Estuardo</t>
  </si>
  <si>
    <t>0702012</t>
  </si>
  <si>
    <t>ETIQ.FECHA VENCIMIENTO VERDE</t>
  </si>
  <si>
    <t>Etiplast</t>
  </si>
  <si>
    <t>2172411</t>
  </si>
  <si>
    <t>ET. TORTA BUCCA GENERICA</t>
  </si>
  <si>
    <t>0702069</t>
  </si>
  <si>
    <t>ETIQ.BLANCA 1 1/4 * 3/4</t>
  </si>
  <si>
    <t>Cemusa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</si>
  <si>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</si>
  <si>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</si>
  <si>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</si>
  <si>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</si>
  <si>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</si>
  <si>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</si>
  <si>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</si>
  <si>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</si>
  <si>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</si>
  <si>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</si>
  <si>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</si>
  <si>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el rosquete por la mitad y rellenar con manjar. Tapar. Colocar en una orla.</t>
  </si>
  <si>
    <t>2.- Encremar con crema chantilly, peinar a los lados. Decorar con colochos con crema chantilly de color morado y lila.</t>
  </si>
  <si>
    <t xml:space="preserve">3.- Empacar en quequera, etiquetar con nombre y fecha de vencimiento. </t>
  </si>
  <si>
    <t>Torta de Vainilla con dulce de leche 15 Por NIÑA</t>
  </si>
  <si>
    <t>DULCE DE LECHE LA CIABATTA</t>
  </si>
  <si>
    <t>La Ciabatta</t>
  </si>
  <si>
    <t>95717</t>
  </si>
  <si>
    <t>Javier Tong, Chef</t>
  </si>
  <si>
    <t>1112431</t>
  </si>
  <si>
    <t>121603</t>
  </si>
  <si>
    <t>QUEQUERA RED  BASE/DOMO 10 (CAJA:50)</t>
  </si>
  <si>
    <t>MAYCA</t>
  </si>
  <si>
    <t>ud</t>
  </si>
  <si>
    <t>0702123</t>
  </si>
  <si>
    <t>min</t>
  </si>
  <si>
    <t>701096</t>
  </si>
  <si>
    <t>ETIQUETA BLANCA R-153 (UND)</t>
  </si>
  <si>
    <t>CONTROL DE CAMBIOS</t>
  </si>
  <si>
    <t>CREMA CHANTILLY BLANCA SPOON-IND KILO</t>
  </si>
  <si>
    <t>FAS</t>
  </si>
  <si>
    <t>ORLA # 10 BUCCA (UND)</t>
  </si>
  <si>
    <t>60100011</t>
  </si>
  <si>
    <t>ETIQUETA BLANCA 2 5/8X1 15/16 (UND)</t>
  </si>
  <si>
    <t>ROSQUETE VAINILLA PASTELERO 550G</t>
  </si>
  <si>
    <t>905000100</t>
  </si>
  <si>
    <t>CREMA CHANTILLY LILA KILO</t>
  </si>
  <si>
    <t>905000101</t>
  </si>
  <si>
    <t>CREMA CHANTILLY MORADO BARNIE KILO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</si>
  <si>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</si>
  <si>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</si>
  <si>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</si>
  <si>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</si>
  <si>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</si>
  <si>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</si>
  <si>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</si>
  <si>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</si>
  <si>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</si>
  <si>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</si>
  <si>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</si>
  <si>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</si>
  <si>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</si>
  <si>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</si>
  <si>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und</t>
  </si>
  <si>
    <t>905000062</t>
  </si>
  <si>
    <t>905000064</t>
  </si>
  <si>
    <t>0702006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</si>
  <si>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</si>
  <si>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</si>
  <si>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</si>
  <si>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</si>
  <si>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</si>
  <si>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</si>
  <si>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</si>
  <si>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</si>
  <si>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</si>
  <si>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</si>
  <si>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</si>
  <si>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</si>
  <si>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</si>
  <si>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</si>
  <si>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</si>
  <si>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</si>
  <si>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</si>
  <si>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</si>
  <si>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UND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</si>
  <si>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</si>
  <si>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</si>
  <si>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</si>
  <si>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</si>
  <si>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</si>
  <si>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</si>
  <si>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</si>
  <si>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</si>
  <si>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</si>
  <si>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</si>
  <si>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</si>
  <si>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</si>
  <si>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</si>
  <si>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</si>
  <si>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</si>
  <si>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</si>
  <si>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</si>
  <si>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</si>
  <si>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</si>
  <si>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</si>
  <si>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</si>
  <si>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</si>
  <si>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</si>
  <si>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</si>
  <si>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</si>
  <si>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</si>
  <si>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</si>
  <si>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</si>
  <si>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</si>
  <si>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</si>
  <si>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</si>
  <si>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</si>
  <si>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</si>
  <si>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</si>
  <si>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</si>
  <si>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</si>
  <si>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</si>
  <si>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</si>
  <si>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</si>
  <si>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</si>
  <si>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</si>
  <si>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</si>
  <si>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 xml:space="preserve">TORTA NIÑA </t>
  </si>
  <si>
    <t>CINTA ADHESIVA TRANSPARENT 2*100 M (UND)</t>
  </si>
  <si>
    <t>cm</t>
  </si>
  <si>
    <t>Esteban Cartin, Gte Manufactura</t>
  </si>
  <si>
    <t>LA CIABATA</t>
  </si>
  <si>
    <t>1.- Partir el rosquete por la mitad y rellenar con dulce de leche. Tapar. Colocar en una orla.</t>
  </si>
  <si>
    <t># Codigo Netsuite</t>
  </si>
  <si>
    <t>SE00442</t>
  </si>
  <si>
    <t>MP10176</t>
  </si>
  <si>
    <t>SE00010</t>
  </si>
  <si>
    <t>SE00065</t>
  </si>
  <si>
    <t>SE00066</t>
  </si>
  <si>
    <t>EM10009</t>
  </si>
  <si>
    <t>EM10084</t>
  </si>
  <si>
    <t>EM10124</t>
  </si>
  <si>
    <t>EM10011</t>
  </si>
  <si>
    <t>EM10248</t>
  </si>
  <si>
    <t># Código Netsuite</t>
  </si>
  <si>
    <t>EM10002</t>
  </si>
  <si>
    <t>EM10390</t>
  </si>
  <si>
    <t>ETIQUETA TORTA VAINILLA 60 PORCIONES BUCCA</t>
  </si>
  <si>
    <t>AREA QUE PRODUCE:</t>
  </si>
  <si>
    <t xml:space="preserve">AREA QUE EMPACA: </t>
  </si>
  <si>
    <t xml:space="preserve"> Torta de Vainilla  Dulce de Leche Economica NIÑA(15 porc) FAS 30300023(PTI00038)</t>
  </si>
  <si>
    <t>ROSQUETE EASY QUEQUE VAINILLA SP 550G</t>
  </si>
  <si>
    <t>1 UND</t>
  </si>
  <si>
    <t xml:space="preserve">DULCE LECHE LA CIABATA </t>
  </si>
  <si>
    <t>1/4 TAZA</t>
  </si>
  <si>
    <t>ENCREMAR</t>
  </si>
  <si>
    <t>COLOCHO BOQUILLA 842</t>
  </si>
  <si>
    <t>Empaque</t>
  </si>
  <si>
    <t>ESTUARDO</t>
  </si>
  <si>
    <t>ETIPLAST</t>
  </si>
  <si>
    <t>CEMUSA</t>
  </si>
  <si>
    <t>ESP-RE-DEF-012</t>
  </si>
  <si>
    <t xml:space="preserve">2, Se actualiza datos de receta y peso final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</si>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</sst>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6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5">
    <xf numFmtId="0" fontId="0" fillId="0" borderId="0"/>
    <xf numFmtId="43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9" fillId="0" borderId="0"/>
    <xf numFmtId="0" fontId="9" fillId="0" borderId="0"/>
    <xf numFmtId="0" fontId="49" fillId="0" borderId="0"/>
    <xf numFmtId="0" fontId="1" fillId="0" borderId="0"/>
    <xf numFmtId="9" fontId="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" fillId="0" borderId="0"/>
  </cellStyleXfs>
  <cellXfs count="507">
    <xf numFmtId="0" fontId="0" fillId="0" borderId="0" xfId="0"/>
    <xf numFmtId="0" fontId="4" fillId="2" borderId="1" xfId="11" applyFont="1" applyFill="1" applyBorder="1" applyAlignment="1">
      <alignment horizontal="right"/>
    </xf>
    <xf numFmtId="0" fontId="2" fillId="2" borderId="2" xfId="11" applyFont="1" applyFill="1" applyBorder="1" applyAlignment="1">
      <alignment horizontal="center"/>
    </xf>
    <xf numFmtId="0" fontId="2" fillId="2" borderId="0" xfId="0" applyFont="1" applyFill="1"/>
    <xf numFmtId="0" fontId="4" fillId="2" borderId="3" xfId="11" applyFont="1" applyFill="1" applyBorder="1" applyAlignment="1">
      <alignment horizontal="right"/>
    </xf>
    <xf numFmtId="49" fontId="2" fillId="2" borderId="4" xfId="11" applyNumberFormat="1" applyFont="1" applyFill="1" applyBorder="1" applyAlignment="1">
      <alignment horizontal="center"/>
    </xf>
    <xf numFmtId="0" fontId="2" fillId="2" borderId="5" xfId="11" applyFont="1" applyFill="1" applyBorder="1" applyAlignment="1">
      <alignment horizontal="right"/>
    </xf>
    <xf numFmtId="0" fontId="2" fillId="2" borderId="6" xfId="1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/>
    </xf>
    <xf numFmtId="1" fontId="4" fillId="3" borderId="7" xfId="0" applyNumberFormat="1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4" fillId="0" borderId="10" xfId="0" applyNumberFormat="1" applyFont="1" applyBorder="1"/>
    <xf numFmtId="16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7" fillId="0" borderId="3" xfId="0" applyNumberFormat="1" applyFont="1" applyBorder="1"/>
    <xf numFmtId="16" fontId="2" fillId="0" borderId="3" xfId="0" applyNumberFormat="1" applyFont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4" fillId="0" borderId="13" xfId="0" applyNumberFormat="1" applyFont="1" applyBorder="1"/>
    <xf numFmtId="1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49" fontId="6" fillId="0" borderId="12" xfId="0" applyNumberFormat="1" applyFont="1" applyBorder="1" applyAlignment="1">
      <alignment horizontal="right"/>
    </xf>
    <xf numFmtId="0" fontId="6" fillId="2" borderId="3" xfId="0" applyFont="1" applyFill="1" applyBorder="1"/>
    <xf numFmtId="1" fontId="8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49" fontId="2" fillId="0" borderId="9" xfId="0" applyNumberFormat="1" applyFont="1" applyBorder="1" applyAlignment="1">
      <alignment horizontal="right"/>
    </xf>
    <xf numFmtId="49" fontId="4" fillId="0" borderId="10" xfId="0" applyNumberFormat="1" applyFont="1" applyBorder="1" applyAlignment="1">
      <alignment horizontal="center"/>
    </xf>
    <xf numFmtId="16" fontId="6" fillId="0" borderId="6" xfId="0" applyNumberFormat="1" applyFont="1" applyBorder="1" applyAlignment="1">
      <alignment horizontal="center"/>
    </xf>
    <xf numFmtId="49" fontId="6" fillId="0" borderId="3" xfId="9" applyNumberFormat="1" applyFont="1" applyBorder="1" applyAlignment="1">
      <alignment horizontal="center"/>
    </xf>
    <xf numFmtId="49" fontId="7" fillId="0" borderId="14" xfId="9" applyNumberFormat="1" applyFont="1" applyBorder="1"/>
    <xf numFmtId="0" fontId="8" fillId="0" borderId="3" xfId="9" applyFont="1" applyBorder="1" applyAlignment="1">
      <alignment horizontal="center"/>
    </xf>
    <xf numFmtId="49" fontId="7" fillId="0" borderId="3" xfId="9" applyNumberFormat="1" applyFont="1" applyBorder="1"/>
    <xf numFmtId="16" fontId="6" fillId="0" borderId="3" xfId="0" applyNumberFormat="1" applyFont="1" applyBorder="1" applyAlignment="1">
      <alignment horizontal="center"/>
    </xf>
    <xf numFmtId="0" fontId="6" fillId="0" borderId="3" xfId="0" applyFont="1" applyBorder="1"/>
    <xf numFmtId="1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wrapText="1"/>
    </xf>
    <xf numFmtId="0" fontId="2" fillId="0" borderId="12" xfId="0" quotePrefix="1" applyFont="1" applyBorder="1" applyAlignment="1">
      <alignment horizontal="right"/>
    </xf>
    <xf numFmtId="0" fontId="2" fillId="0" borderId="3" xfId="0" quotePrefix="1" applyFont="1" applyBorder="1"/>
    <xf numFmtId="49" fontId="10" fillId="2" borderId="15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/>
    <xf numFmtId="0" fontId="4" fillId="3" borderId="18" xfId="0" applyFont="1" applyFill="1" applyBorder="1" applyAlignment="1">
      <alignment horizontal="center"/>
    </xf>
    <xf numFmtId="1" fontId="4" fillId="3" borderId="18" xfId="0" applyNumberFormat="1" applyFont="1" applyFill="1" applyBorder="1" applyAlignment="1">
      <alignment horizontal="center"/>
    </xf>
    <xf numFmtId="166" fontId="2" fillId="3" borderId="18" xfId="0" applyNumberFormat="1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2" fillId="2" borderId="0" xfId="12" applyFont="1" applyFill="1"/>
    <xf numFmtId="1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2" borderId="0" xfId="0" applyFont="1" applyFill="1" applyAlignment="1">
      <alignment vertical="center"/>
    </xf>
    <xf numFmtId="49" fontId="6" fillId="10" borderId="3" xfId="0" applyNumberFormat="1" applyFont="1" applyFill="1" applyBorder="1" applyAlignment="1">
      <alignment horizontal="center"/>
    </xf>
    <xf numFmtId="49" fontId="7" fillId="10" borderId="3" xfId="0" applyNumberFormat="1" applyFont="1" applyFill="1" applyBorder="1"/>
    <xf numFmtId="16" fontId="2" fillId="10" borderId="3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49" fontId="2" fillId="10" borderId="9" xfId="0" applyNumberFormat="1" applyFont="1" applyFill="1" applyBorder="1" applyAlignment="1">
      <alignment horizontal="center"/>
    </xf>
    <xf numFmtId="49" fontId="4" fillId="10" borderId="10" xfId="0" applyNumberFormat="1" applyFont="1" applyFill="1" applyBorder="1"/>
    <xf numFmtId="16" fontId="2" fillId="10" borderId="6" xfId="0" applyNumberFormat="1" applyFont="1" applyFill="1" applyBorder="1" applyAlignment="1">
      <alignment horizontal="center"/>
    </xf>
    <xf numFmtId="1" fontId="2" fillId="10" borderId="3" xfId="0" applyNumberFormat="1" applyFont="1" applyFill="1" applyBorder="1" applyAlignment="1">
      <alignment horizontal="center" wrapText="1"/>
    </xf>
    <xf numFmtId="49" fontId="6" fillId="10" borderId="12" xfId="0" applyNumberFormat="1" applyFont="1" applyFill="1" applyBorder="1" applyAlignment="1">
      <alignment horizontal="center"/>
    </xf>
    <xf numFmtId="49" fontId="7" fillId="10" borderId="14" xfId="0" applyNumberFormat="1" applyFont="1" applyFill="1" applyBorder="1"/>
    <xf numFmtId="49" fontId="6" fillId="10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9" borderId="0" xfId="0" applyFont="1" applyFill="1" applyAlignment="1">
      <alignment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11" fillId="0" borderId="3" xfId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12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12" applyNumberFormat="1" applyFont="1" applyFill="1" applyAlignment="1">
      <alignment vertical="center"/>
    </xf>
    <xf numFmtId="0" fontId="7" fillId="0" borderId="0" xfId="0" applyFont="1"/>
    <xf numFmtId="49" fontId="11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11" fillId="0" borderId="0" xfId="1" applyNumberFormat="1" applyFont="1" applyFill="1" applyAlignment="1">
      <alignment vertical="center"/>
    </xf>
    <xf numFmtId="43" fontId="19" fillId="0" borderId="0" xfId="1" applyFont="1" applyFill="1" applyAlignment="1">
      <alignment horizontal="center" vertical="center"/>
    </xf>
    <xf numFmtId="10" fontId="12" fillId="4" borderId="24" xfId="12" applyNumberFormat="1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24" xfId="0" applyFont="1" applyFill="1" applyBorder="1" applyAlignment="1">
      <alignment vertical="center"/>
    </xf>
    <xf numFmtId="43" fontId="19" fillId="4" borderId="25" xfId="1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horizontal="right"/>
    </xf>
    <xf numFmtId="0" fontId="7" fillId="4" borderId="25" xfId="0" applyFont="1" applyFill="1" applyBorder="1" applyAlignment="1">
      <alignment vertical="center"/>
    </xf>
    <xf numFmtId="10" fontId="12" fillId="4" borderId="25" xfId="12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9" fontId="51" fillId="0" borderId="0" xfId="12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16" xfId="0" applyFont="1" applyBorder="1" applyAlignment="1">
      <alignment horizontal="right"/>
    </xf>
    <xf numFmtId="43" fontId="24" fillId="5" borderId="10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11" fillId="0" borderId="3" xfId="1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12" applyNumberFormat="1" applyFont="1" applyFill="1" applyAlignment="1">
      <alignment horizontal="right"/>
    </xf>
    <xf numFmtId="168" fontId="11" fillId="4" borderId="3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11" fillId="6" borderId="3" xfId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6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0" fontId="7" fillId="4" borderId="26" xfId="0" applyFont="1" applyFill="1" applyBorder="1" applyAlignment="1">
      <alignment vertical="center"/>
    </xf>
    <xf numFmtId="10" fontId="7" fillId="0" borderId="0" xfId="12" applyNumberFormat="1" applyFont="1" applyFill="1" applyAlignment="1">
      <alignment vertical="center"/>
    </xf>
    <xf numFmtId="4" fontId="7" fillId="0" borderId="0" xfId="1" applyNumberFormat="1" applyFont="1" applyFill="1" applyAlignment="1">
      <alignment vertical="center"/>
    </xf>
    <xf numFmtId="43" fontId="24" fillId="4" borderId="18" xfId="1" applyFont="1" applyFill="1" applyBorder="1" applyAlignment="1">
      <alignment horizontal="right"/>
    </xf>
    <xf numFmtId="0" fontId="11" fillId="4" borderId="19" xfId="0" applyFont="1" applyFill="1" applyBorder="1" applyAlignment="1">
      <alignment horizontal="right" vertical="center"/>
    </xf>
    <xf numFmtId="10" fontId="30" fillId="0" borderId="0" xfId="1" applyNumberFormat="1" applyFont="1" applyFill="1" applyAlignment="1">
      <alignment vertical="center"/>
    </xf>
    <xf numFmtId="10" fontId="12" fillId="0" borderId="0" xfId="12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43" fontId="32" fillId="0" borderId="0" xfId="1" applyFont="1" applyFill="1" applyAlignment="1">
      <alignment vertical="center"/>
    </xf>
    <xf numFmtId="9" fontId="7" fillId="0" borderId="0" xfId="1" applyNumberFormat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1" fillId="7" borderId="10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7" fillId="0" borderId="0" xfId="12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43" fontId="27" fillId="0" borderId="0" xfId="1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1" applyFont="1" applyFill="1" applyBorder="1"/>
    <xf numFmtId="10" fontId="27" fillId="0" borderId="0" xfId="1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7" fillId="0" borderId="0" xfId="1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2" fontId="17" fillId="12" borderId="0" xfId="0" applyNumberFormat="1" applyFont="1" applyFill="1" applyAlignment="1">
      <alignment horizontal="center"/>
    </xf>
    <xf numFmtId="0" fontId="7" fillId="12" borderId="0" xfId="0" applyFont="1" applyFill="1" applyAlignment="1">
      <alignment vertical="center"/>
    </xf>
    <xf numFmtId="0" fontId="25" fillId="0" borderId="0" xfId="0" applyFont="1"/>
    <xf numFmtId="0" fontId="39" fillId="0" borderId="27" xfId="0" applyFont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/>
    </xf>
    <xf numFmtId="0" fontId="40" fillId="5" borderId="3" xfId="0" applyFont="1" applyFill="1" applyBorder="1" applyAlignment="1">
      <alignment horizontal="center" wrapText="1"/>
    </xf>
    <xf numFmtId="0" fontId="24" fillId="0" borderId="0" xfId="0" applyFont="1"/>
    <xf numFmtId="0" fontId="24" fillId="0" borderId="0" xfId="0" applyFont="1" applyAlignment="1">
      <alignment horizontal="center"/>
    </xf>
    <xf numFmtId="43" fontId="24" fillId="0" borderId="0" xfId="1" applyFont="1"/>
    <xf numFmtId="4" fontId="24" fillId="0" borderId="0" xfId="1" applyNumberFormat="1" applyFont="1" applyAlignment="1">
      <alignment horizontal="right"/>
    </xf>
    <xf numFmtId="9" fontId="24" fillId="0" borderId="0" xfId="12" applyFont="1" applyAlignment="1">
      <alignment horizontal="right"/>
    </xf>
    <xf numFmtId="49" fontId="24" fillId="0" borderId="0" xfId="2" applyNumberFormat="1" applyFont="1" applyAlignment="1">
      <alignment horizontal="center"/>
    </xf>
    <xf numFmtId="0" fontId="21" fillId="0" borderId="0" xfId="0" applyFont="1"/>
    <xf numFmtId="43" fontId="41" fillId="0" borderId="0" xfId="1" applyFont="1" applyFill="1" applyBorder="1" applyAlignment="1">
      <alignment horizontal="center"/>
    </xf>
    <xf numFmtId="0" fontId="41" fillId="0" borderId="0" xfId="0" applyFont="1"/>
    <xf numFmtId="4" fontId="41" fillId="0" borderId="0" xfId="2" applyNumberFormat="1" applyFont="1" applyFill="1" applyBorder="1"/>
    <xf numFmtId="4" fontId="41" fillId="0" borderId="0" xfId="2" applyNumberFormat="1" applyFont="1" applyFill="1" applyBorder="1" applyAlignment="1">
      <alignment horizontal="right"/>
    </xf>
    <xf numFmtId="9" fontId="22" fillId="0" borderId="0" xfId="12" applyFont="1" applyFill="1"/>
    <xf numFmtId="49" fontId="41" fillId="0" borderId="0" xfId="2" applyNumberFormat="1" applyFont="1" applyFill="1" applyBorder="1" applyAlignment="1">
      <alignment horizontal="center"/>
    </xf>
    <xf numFmtId="9" fontId="24" fillId="0" borderId="0" xfId="12" applyFont="1" applyFill="1" applyAlignment="1">
      <alignment vertical="center"/>
    </xf>
    <xf numFmtId="43" fontId="21" fillId="0" borderId="28" xfId="1" applyFont="1" applyFill="1" applyBorder="1" applyAlignment="1">
      <alignment horizontal="right"/>
    </xf>
    <xf numFmtId="9" fontId="22" fillId="0" borderId="0" xfId="1" applyNumberFormat="1" applyFont="1" applyFill="1" applyBorder="1"/>
    <xf numFmtId="4" fontId="22" fillId="0" borderId="0" xfId="1" applyNumberFormat="1" applyFont="1" applyFill="1" applyBorder="1" applyAlignment="1">
      <alignment horizontal="right"/>
    </xf>
    <xf numFmtId="10" fontId="21" fillId="0" borderId="0" xfId="12" applyNumberFormat="1" applyFont="1" applyFill="1" applyAlignment="1">
      <alignment horizontal="right"/>
    </xf>
    <xf numFmtId="0" fontId="22" fillId="0" borderId="0" xfId="0" applyFont="1" applyAlignment="1">
      <alignment horizontal="center"/>
    </xf>
    <xf numFmtId="10" fontId="24" fillId="0" borderId="0" xfId="12" applyNumberFormat="1" applyFont="1" applyFill="1" applyBorder="1" applyAlignment="1">
      <alignment horizontal="right"/>
    </xf>
    <xf numFmtId="169" fontId="26" fillId="0" borderId="0" xfId="1" applyNumberFormat="1" applyFont="1" applyFill="1"/>
    <xf numFmtId="0" fontId="24" fillId="0" borderId="0" xfId="12" applyNumberFormat="1" applyFont="1" applyFill="1" applyAlignment="1">
      <alignment vertical="center"/>
    </xf>
    <xf numFmtId="2" fontId="22" fillId="0" borderId="0" xfId="0" applyNumberFormat="1" applyFont="1" applyAlignment="1">
      <alignment horizontal="center"/>
    </xf>
    <xf numFmtId="0" fontId="42" fillId="0" borderId="0" xfId="0" applyFont="1" applyAlignment="1">
      <alignment horizontal="right"/>
    </xf>
    <xf numFmtId="10" fontId="24" fillId="0" borderId="0" xfId="12" applyNumberFormat="1" applyFont="1" applyFill="1"/>
    <xf numFmtId="0" fontId="21" fillId="4" borderId="18" xfId="0" applyFont="1" applyFill="1" applyBorder="1"/>
    <xf numFmtId="0" fontId="21" fillId="0" borderId="29" xfId="0" applyFont="1" applyBorder="1" applyAlignment="1">
      <alignment horizontal="right"/>
    </xf>
    <xf numFmtId="10" fontId="23" fillId="0" borderId="0" xfId="12" applyNumberFormat="1" applyFont="1" applyFill="1" applyBorder="1"/>
    <xf numFmtId="43" fontId="24" fillId="9" borderId="0" xfId="1" applyFont="1" applyFill="1" applyBorder="1" applyAlignment="1">
      <alignment horizontal="right"/>
    </xf>
    <xf numFmtId="10" fontId="24" fillId="0" borderId="0" xfId="12" applyNumberFormat="1" applyFont="1" applyFill="1" applyAlignment="1">
      <alignment vertical="center"/>
    </xf>
    <xf numFmtId="9" fontId="22" fillId="0" borderId="0" xfId="12" applyFont="1" applyFill="1" applyAlignment="1">
      <alignment horizontal="center"/>
    </xf>
    <xf numFmtId="2" fontId="44" fillId="0" borderId="0" xfId="0" applyNumberFormat="1" applyFont="1" applyAlignment="1">
      <alignment horizontal="center"/>
    </xf>
    <xf numFmtId="10" fontId="45" fillId="0" borderId="0" xfId="12" applyNumberFormat="1" applyFont="1" applyFill="1" applyAlignment="1">
      <alignment horizontal="right"/>
    </xf>
    <xf numFmtId="10" fontId="46" fillId="0" borderId="0" xfId="12" applyNumberFormat="1" applyFont="1" applyFill="1" applyAlignment="1">
      <alignment horizontal="right"/>
    </xf>
    <xf numFmtId="3" fontId="24" fillId="3" borderId="10" xfId="0" applyNumberFormat="1" applyFont="1" applyFill="1" applyBorder="1" applyAlignment="1">
      <alignment horizontal="center"/>
    </xf>
    <xf numFmtId="10" fontId="23" fillId="0" borderId="0" xfId="12" applyNumberFormat="1" applyFont="1" applyFill="1" applyAlignment="1">
      <alignment horizontal="right"/>
    </xf>
    <xf numFmtId="1" fontId="23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right"/>
    </xf>
    <xf numFmtId="10" fontId="23" fillId="0" borderId="0" xfId="12" applyNumberFormat="1" applyFont="1" applyFill="1"/>
    <xf numFmtId="0" fontId="21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10" fontId="47" fillId="0" borderId="0" xfId="12" applyNumberFormat="1" applyFont="1" applyFill="1"/>
    <xf numFmtId="0" fontId="48" fillId="0" borderId="0" xfId="0" applyFont="1" applyAlignment="1">
      <alignment horizontal="center"/>
    </xf>
    <xf numFmtId="0" fontId="2" fillId="2" borderId="30" xfId="11" applyFont="1" applyFill="1" applyBorder="1" applyAlignment="1">
      <alignment horizontal="center"/>
    </xf>
    <xf numFmtId="0" fontId="2" fillId="2" borderId="0" xfId="11" applyFont="1" applyFill="1" applyAlignment="1">
      <alignment horizontal="center"/>
    </xf>
    <xf numFmtId="0" fontId="2" fillId="2" borderId="15" xfId="11" applyFont="1" applyFill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49" fontId="2" fillId="10" borderId="15" xfId="0" applyNumberFormat="1" applyFont="1" applyFill="1" applyBorder="1" applyAlignment="1">
      <alignment horizontal="center"/>
    </xf>
    <xf numFmtId="49" fontId="6" fillId="10" borderId="5" xfId="0" applyNumberFormat="1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right"/>
    </xf>
    <xf numFmtId="49" fontId="2" fillId="0" borderId="15" xfId="0" applyNumberFormat="1" applyFont="1" applyBorder="1" applyAlignment="1">
      <alignment horizontal="right"/>
    </xf>
    <xf numFmtId="49" fontId="6" fillId="0" borderId="14" xfId="9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2" fillId="0" borderId="6" xfId="0" quotePrefix="1" applyFont="1" applyBorder="1" applyAlignment="1">
      <alignment horizontal="right"/>
    </xf>
    <xf numFmtId="49" fontId="10" fillId="2" borderId="0" xfId="0" applyNumberFormat="1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/>
    </xf>
    <xf numFmtId="0" fontId="5" fillId="2" borderId="1" xfId="11" applyFont="1" applyFill="1" applyBorder="1" applyAlignment="1">
      <alignment horizontal="right"/>
    </xf>
    <xf numFmtId="0" fontId="54" fillId="2" borderId="2" xfId="11" applyFont="1" applyFill="1" applyBorder="1" applyAlignment="1">
      <alignment horizontal="center"/>
    </xf>
    <xf numFmtId="0" fontId="5" fillId="2" borderId="3" xfId="11" applyFont="1" applyFill="1" applyBorder="1" applyAlignment="1">
      <alignment horizontal="right"/>
    </xf>
    <xf numFmtId="49" fontId="54" fillId="2" borderId="4" xfId="11" applyNumberFormat="1" applyFont="1" applyFill="1" applyBorder="1" applyAlignment="1">
      <alignment horizontal="center"/>
    </xf>
    <xf numFmtId="0" fontId="54" fillId="2" borderId="14" xfId="11" applyFont="1" applyFill="1" applyBorder="1" applyAlignment="1">
      <alignment horizontal="right"/>
    </xf>
    <xf numFmtId="0" fontId="54" fillId="2" borderId="3" xfId="11" applyFont="1" applyFill="1" applyBorder="1" applyAlignment="1">
      <alignment horizontal="right"/>
    </xf>
    <xf numFmtId="14" fontId="55" fillId="2" borderId="0" xfId="14" applyNumberFormat="1" applyFont="1" applyFill="1" applyAlignment="1">
      <alignment horizontal="center" vertical="center" wrapText="1"/>
    </xf>
    <xf numFmtId="0" fontId="5" fillId="3" borderId="2" xfId="8" applyFont="1" applyFill="1" applyBorder="1" applyAlignment="1">
      <alignment horizontal="center" vertical="center" wrapText="1"/>
    </xf>
    <xf numFmtId="1" fontId="5" fillId="3" borderId="7" xfId="8" applyNumberFormat="1" applyFont="1" applyFill="1" applyBorder="1" applyAlignment="1">
      <alignment horizontal="center"/>
    </xf>
    <xf numFmtId="1" fontId="5" fillId="3" borderId="7" xfId="8" applyNumberFormat="1" applyFont="1" applyFill="1" applyBorder="1" applyAlignment="1">
      <alignment horizontal="center" wrapText="1"/>
    </xf>
    <xf numFmtId="0" fontId="5" fillId="3" borderId="48" xfId="8" applyFont="1" applyFill="1" applyBorder="1" applyAlignment="1">
      <alignment horizontal="center"/>
    </xf>
    <xf numFmtId="0" fontId="56" fillId="0" borderId="12" xfId="8" applyFont="1" applyBorder="1" applyAlignment="1">
      <alignment horizontal="center" vertical="center"/>
    </xf>
    <xf numFmtId="0" fontId="56" fillId="0" borderId="6" xfId="8" applyFont="1" applyBorder="1" applyAlignment="1">
      <alignment horizontal="center" vertical="center"/>
    </xf>
    <xf numFmtId="0" fontId="57" fillId="0" borderId="3" xfId="8" applyFont="1" applyBorder="1" applyAlignment="1">
      <alignment vertical="center"/>
    </xf>
    <xf numFmtId="0" fontId="56" fillId="0" borderId="3" xfId="8" applyFont="1" applyBorder="1" applyAlignment="1">
      <alignment horizontal="center" vertical="center"/>
    </xf>
    <xf numFmtId="1" fontId="56" fillId="0" borderId="3" xfId="8" applyNumberFormat="1" applyFont="1" applyBorder="1" applyAlignment="1">
      <alignment horizontal="center"/>
    </xf>
    <xf numFmtId="1" fontId="56" fillId="0" borderId="3" xfId="8" applyNumberFormat="1" applyFont="1" applyBorder="1" applyAlignment="1">
      <alignment horizontal="center" wrapText="1"/>
    </xf>
    <xf numFmtId="0" fontId="58" fillId="0" borderId="4" xfId="8" applyFont="1" applyBorder="1" applyAlignment="1">
      <alignment horizontal="center"/>
    </xf>
    <xf numFmtId="0" fontId="59" fillId="0" borderId="3" xfId="1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59" fillId="0" borderId="3" xfId="10" applyFont="1" applyBorder="1"/>
    <xf numFmtId="16" fontId="54" fillId="0" borderId="6" xfId="0" applyNumberFormat="1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1" fontId="58" fillId="0" borderId="14" xfId="8" applyNumberFormat="1" applyFont="1" applyBorder="1" applyAlignment="1">
      <alignment horizontal="center"/>
    </xf>
    <xf numFmtId="12" fontId="54" fillId="0" borderId="14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3" xfId="0" applyFont="1" applyBorder="1"/>
    <xf numFmtId="170" fontId="58" fillId="0" borderId="3" xfId="8" applyNumberFormat="1" applyFont="1" applyBorder="1" applyAlignment="1">
      <alignment horizontal="center"/>
    </xf>
    <xf numFmtId="0" fontId="61" fillId="0" borderId="3" xfId="0" applyFont="1" applyBorder="1" applyAlignment="1">
      <alignment horizontal="center" vertical="top"/>
    </xf>
    <xf numFmtId="0" fontId="61" fillId="0" borderId="3" xfId="0" applyFont="1" applyBorder="1" applyAlignment="1">
      <alignment vertical="top"/>
    </xf>
    <xf numFmtId="0" fontId="58" fillId="9" borderId="3" xfId="0" applyFont="1" applyFill="1" applyBorder="1" applyAlignment="1">
      <alignment horizontal="center" vertical="center"/>
    </xf>
    <xf numFmtId="1" fontId="58" fillId="9" borderId="3" xfId="0" applyNumberFormat="1" applyFont="1" applyFill="1" applyBorder="1" applyAlignment="1">
      <alignment horizontal="center"/>
    </xf>
    <xf numFmtId="1" fontId="58" fillId="9" borderId="3" xfId="0" applyNumberFormat="1" applyFont="1" applyFill="1" applyBorder="1" applyAlignment="1">
      <alignment horizontal="center" wrapText="1"/>
    </xf>
    <xf numFmtId="1" fontId="59" fillId="0" borderId="3" xfId="0" applyNumberFormat="1" applyFont="1" applyBorder="1" applyAlignment="1">
      <alignment horizontal="center"/>
    </xf>
    <xf numFmtId="1" fontId="60" fillId="0" borderId="3" xfId="0" applyNumberFormat="1" applyFont="1" applyBorder="1" applyAlignment="1">
      <alignment horizontal="center"/>
    </xf>
    <xf numFmtId="0" fontId="54" fillId="9" borderId="3" xfId="0" applyFont="1" applyFill="1" applyBorder="1" applyAlignment="1">
      <alignment horizontal="center" vertical="center"/>
    </xf>
    <xf numFmtId="1" fontId="54" fillId="9" borderId="3" xfId="0" applyNumberFormat="1" applyFont="1" applyFill="1" applyBorder="1" applyAlignment="1">
      <alignment horizontal="center"/>
    </xf>
    <xf numFmtId="1" fontId="54" fillId="9" borderId="3" xfId="0" applyNumberFormat="1" applyFont="1" applyFill="1" applyBorder="1" applyAlignment="1">
      <alignment horizontal="center" wrapText="1"/>
    </xf>
    <xf numFmtId="2" fontId="56" fillId="0" borderId="3" xfId="8" applyNumberFormat="1" applyFont="1" applyBorder="1" applyAlignment="1">
      <alignment horizontal="center"/>
    </xf>
    <xf numFmtId="16" fontId="58" fillId="0" borderId="6" xfId="0" applyNumberFormat="1" applyFont="1" applyBorder="1" applyAlignment="1">
      <alignment horizontal="center"/>
    </xf>
    <xf numFmtId="1" fontId="58" fillId="0" borderId="3" xfId="0" applyNumberFormat="1" applyFont="1" applyBorder="1" applyAlignment="1">
      <alignment horizontal="center"/>
    </xf>
    <xf numFmtId="1" fontId="58" fillId="0" borderId="3" xfId="0" applyNumberFormat="1" applyFont="1" applyBorder="1" applyAlignment="1">
      <alignment horizontal="center" wrapText="1"/>
    </xf>
    <xf numFmtId="49" fontId="58" fillId="0" borderId="12" xfId="8" applyNumberFormat="1" applyFont="1" applyBorder="1" applyAlignment="1">
      <alignment horizontal="center"/>
    </xf>
    <xf numFmtId="49" fontId="58" fillId="0" borderId="6" xfId="8" applyNumberFormat="1" applyFont="1" applyBorder="1" applyAlignment="1">
      <alignment horizontal="center"/>
    </xf>
    <xf numFmtId="0" fontId="56" fillId="9" borderId="3" xfId="8" applyFont="1" applyFill="1" applyBorder="1" applyAlignment="1">
      <alignment horizontal="left"/>
    </xf>
    <xf numFmtId="0" fontId="58" fillId="0" borderId="3" xfId="8" applyFont="1" applyBorder="1" applyAlignment="1">
      <alignment horizontal="center"/>
    </xf>
    <xf numFmtId="1" fontId="58" fillId="0" borderId="3" xfId="8" applyNumberFormat="1" applyFont="1" applyBorder="1" applyAlignment="1">
      <alignment horizontal="center" wrapText="1"/>
    </xf>
    <xf numFmtId="1" fontId="54" fillId="9" borderId="14" xfId="0" applyNumberFormat="1" applyFont="1" applyFill="1" applyBorder="1" applyAlignment="1">
      <alignment horizontal="center" wrapText="1"/>
    </xf>
    <xf numFmtId="0" fontId="60" fillId="0" borderId="0" xfId="0" applyFont="1"/>
    <xf numFmtId="16" fontId="54" fillId="9" borderId="3" xfId="0" applyNumberFormat="1" applyFont="1" applyFill="1" applyBorder="1" applyAlignment="1">
      <alignment horizontal="center"/>
    </xf>
    <xf numFmtId="0" fontId="54" fillId="2" borderId="3" xfId="0" applyFont="1" applyFill="1" applyBorder="1" applyAlignment="1">
      <alignment horizontal="center"/>
    </xf>
    <xf numFmtId="1" fontId="54" fillId="0" borderId="14" xfId="0" applyNumberFormat="1" applyFont="1" applyBorder="1" applyAlignment="1">
      <alignment horizontal="center" wrapText="1"/>
    </xf>
    <xf numFmtId="16" fontId="54" fillId="0" borderId="3" xfId="0" applyNumberFormat="1" applyFont="1" applyBorder="1" applyAlignment="1">
      <alignment horizontal="center"/>
    </xf>
    <xf numFmtId="1" fontId="54" fillId="0" borderId="14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/>
    </xf>
    <xf numFmtId="49" fontId="56" fillId="0" borderId="9" xfId="8" applyNumberFormat="1" applyFont="1" applyBorder="1" applyAlignment="1">
      <alignment horizontal="center"/>
    </xf>
    <xf numFmtId="49" fontId="56" fillId="0" borderId="37" xfId="8" applyNumberFormat="1" applyFont="1" applyBorder="1" applyAlignment="1">
      <alignment horizontal="center"/>
    </xf>
    <xf numFmtId="0" fontId="57" fillId="9" borderId="3" xfId="8" applyFont="1" applyFill="1" applyBorder="1" applyAlignment="1">
      <alignment vertical="center"/>
    </xf>
    <xf numFmtId="0" fontId="56" fillId="0" borderId="6" xfId="8" applyFont="1" applyBorder="1" applyAlignment="1">
      <alignment horizontal="center"/>
    </xf>
    <xf numFmtId="170" fontId="56" fillId="0" borderId="3" xfId="8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8" fillId="0" borderId="3" xfId="0" applyFont="1" applyBorder="1"/>
    <xf numFmtId="0" fontId="56" fillId="9" borderId="3" xfId="0" applyFont="1" applyFill="1" applyBorder="1" applyAlignment="1">
      <alignment horizontal="center" vertical="center"/>
    </xf>
    <xf numFmtId="171" fontId="5" fillId="9" borderId="3" xfId="1" applyNumberFormat="1" applyFont="1" applyFill="1" applyBorder="1" applyAlignment="1">
      <alignment horizontal="center"/>
    </xf>
    <xf numFmtId="16" fontId="58" fillId="0" borderId="3" xfId="0" applyNumberFormat="1" applyFont="1" applyBorder="1" applyAlignment="1">
      <alignment horizontal="center"/>
    </xf>
    <xf numFmtId="1" fontId="60" fillId="0" borderId="0" xfId="0" applyNumberFormat="1" applyFont="1" applyAlignment="1">
      <alignment horizontal="center"/>
    </xf>
    <xf numFmtId="12" fontId="58" fillId="0" borderId="3" xfId="8" applyNumberFormat="1" applyFont="1" applyBorder="1" applyAlignment="1">
      <alignment horizontal="center"/>
    </xf>
    <xf numFmtId="0" fontId="58" fillId="0" borderId="58" xfId="0" applyFont="1" applyBorder="1" applyAlignment="1">
      <alignment horizontal="center" vertical="center"/>
    </xf>
    <xf numFmtId="0" fontId="58" fillId="0" borderId="59" xfId="0" applyFont="1" applyBorder="1" applyAlignment="1">
      <alignment horizontal="center" vertical="center"/>
    </xf>
    <xf numFmtId="0" fontId="58" fillId="0" borderId="59" xfId="0" applyFont="1" applyBorder="1" applyAlignment="1">
      <alignment horizontal="left" vertical="center"/>
    </xf>
    <xf numFmtId="1" fontId="58" fillId="0" borderId="3" xfId="8" applyNumberFormat="1" applyFont="1" applyBorder="1" applyAlignment="1">
      <alignment horizontal="center"/>
    </xf>
    <xf numFmtId="49" fontId="58" fillId="0" borderId="3" xfId="8" applyNumberFormat="1" applyFont="1" applyBorder="1"/>
    <xf numFmtId="49" fontId="62" fillId="2" borderId="15" xfId="8" applyNumberFormat="1" applyFont="1" applyFill="1" applyBorder="1" applyAlignment="1">
      <alignment horizontal="center" vertical="center"/>
    </xf>
    <xf numFmtId="49" fontId="62" fillId="2" borderId="0" xfId="8" applyNumberFormat="1" applyFont="1" applyFill="1" applyAlignment="1">
      <alignment horizontal="center" vertical="center"/>
    </xf>
    <xf numFmtId="0" fontId="54" fillId="2" borderId="0" xfId="8" applyFont="1" applyFill="1"/>
    <xf numFmtId="1" fontId="54" fillId="2" borderId="0" xfId="8" applyNumberFormat="1" applyFont="1" applyFill="1" applyAlignment="1">
      <alignment horizontal="center"/>
    </xf>
    <xf numFmtId="166" fontId="54" fillId="2" borderId="0" xfId="8" applyNumberFormat="1" applyFont="1" applyFill="1" applyAlignment="1">
      <alignment horizontal="center" wrapText="1"/>
    </xf>
    <xf numFmtId="0" fontId="54" fillId="2" borderId="16" xfId="8" applyFont="1" applyFill="1" applyBorder="1" applyAlignment="1">
      <alignment horizontal="center"/>
    </xf>
    <xf numFmtId="0" fontId="54" fillId="3" borderId="17" xfId="8" applyFont="1" applyFill="1" applyBorder="1" applyAlignment="1">
      <alignment horizontal="center"/>
    </xf>
    <xf numFmtId="0" fontId="54" fillId="3" borderId="18" xfId="8" applyFont="1" applyFill="1" applyBorder="1" applyAlignment="1">
      <alignment horizontal="center"/>
    </xf>
    <xf numFmtId="0" fontId="54" fillId="3" borderId="18" xfId="8" applyFont="1" applyFill="1" applyBorder="1"/>
    <xf numFmtId="0" fontId="5" fillId="3" borderId="18" xfId="8" applyFont="1" applyFill="1" applyBorder="1" applyAlignment="1">
      <alignment horizontal="center"/>
    </xf>
    <xf numFmtId="1" fontId="5" fillId="3" borderId="18" xfId="8" applyNumberFormat="1" applyFont="1" applyFill="1" applyBorder="1" applyAlignment="1">
      <alignment horizontal="center"/>
    </xf>
    <xf numFmtId="166" fontId="54" fillId="3" borderId="18" xfId="8" applyNumberFormat="1" applyFont="1" applyFill="1" applyBorder="1" applyAlignment="1">
      <alignment horizontal="center" wrapText="1"/>
    </xf>
    <xf numFmtId="0" fontId="54" fillId="3" borderId="19" xfId="8" applyFont="1" applyFill="1" applyBorder="1" applyAlignment="1">
      <alignment horizontal="center"/>
    </xf>
    <xf numFmtId="0" fontId="54" fillId="0" borderId="2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4" fillId="0" borderId="7" xfId="0" applyNumberFormat="1" applyFont="1" applyBorder="1" applyAlignment="1">
      <alignment horizontal="center"/>
    </xf>
    <xf numFmtId="0" fontId="54" fillId="0" borderId="7" xfId="0" applyFont="1" applyBorder="1" applyAlignment="1">
      <alignment horizontal="center"/>
    </xf>
    <xf numFmtId="14" fontId="2" fillId="2" borderId="8" xfId="11" applyNumberFormat="1" applyFont="1" applyFill="1" applyBorder="1" applyAlignment="1">
      <alignment horizontal="center" vertical="center" wrapText="1"/>
    </xf>
    <xf numFmtId="14" fontId="2" fillId="2" borderId="32" xfId="11" applyNumberFormat="1" applyFont="1" applyFill="1" applyBorder="1" applyAlignment="1">
      <alignment horizontal="center" vertical="center" wrapText="1"/>
    </xf>
    <xf numFmtId="0" fontId="2" fillId="2" borderId="33" xfId="11" applyFont="1" applyFill="1" applyBorder="1" applyAlignment="1">
      <alignment horizontal="left"/>
    </xf>
    <xf numFmtId="0" fontId="2" fillId="2" borderId="34" xfId="11" applyFont="1" applyFill="1" applyBorder="1" applyAlignment="1">
      <alignment horizontal="left"/>
    </xf>
    <xf numFmtId="0" fontId="2" fillId="2" borderId="35" xfId="11" applyFont="1" applyFill="1" applyBorder="1" applyAlignment="1">
      <alignment horizontal="left"/>
    </xf>
    <xf numFmtId="0" fontId="2" fillId="2" borderId="36" xfId="11" applyFont="1" applyFill="1" applyBorder="1" applyAlignment="1">
      <alignment horizontal="left"/>
    </xf>
    <xf numFmtId="0" fontId="2" fillId="2" borderId="37" xfId="11" applyFont="1" applyFill="1" applyBorder="1" applyAlignment="1">
      <alignment horizontal="left"/>
    </xf>
    <xf numFmtId="0" fontId="2" fillId="2" borderId="6" xfId="11" applyFont="1" applyFill="1" applyBorder="1" applyAlignment="1">
      <alignment horizontal="left"/>
    </xf>
    <xf numFmtId="1" fontId="2" fillId="0" borderId="3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2" borderId="24" xfId="11" applyFont="1" applyFill="1" applyBorder="1" applyAlignment="1">
      <alignment horizontal="center"/>
    </xf>
    <xf numFmtId="0" fontId="2" fillId="2" borderId="25" xfId="11" applyFont="1" applyFill="1" applyBorder="1" applyAlignment="1">
      <alignment horizontal="center"/>
    </xf>
    <xf numFmtId="0" fontId="2" fillId="2" borderId="26" xfId="11" applyFont="1" applyFill="1" applyBorder="1" applyAlignment="1">
      <alignment horizontal="center"/>
    </xf>
    <xf numFmtId="0" fontId="3" fillId="2" borderId="35" xfId="11" applyFont="1" applyFill="1" applyBorder="1" applyAlignment="1">
      <alignment horizontal="center"/>
    </xf>
    <xf numFmtId="0" fontId="3" fillId="2" borderId="1" xfId="11" applyFont="1" applyFill="1" applyBorder="1" applyAlignment="1">
      <alignment horizontal="center"/>
    </xf>
    <xf numFmtId="0" fontId="3" fillId="2" borderId="31" xfId="11" applyFont="1" applyFill="1" applyBorder="1" applyAlignment="1">
      <alignment horizontal="center"/>
    </xf>
    <xf numFmtId="0" fontId="3" fillId="2" borderId="13" xfId="11" applyFont="1" applyFill="1" applyBorder="1" applyAlignment="1">
      <alignment horizontal="center"/>
    </xf>
    <xf numFmtId="0" fontId="5" fillId="5" borderId="17" xfId="11" applyFont="1" applyFill="1" applyBorder="1" applyAlignment="1">
      <alignment horizontal="center" vertical="center" wrapText="1"/>
    </xf>
    <xf numFmtId="0" fontId="5" fillId="5" borderId="18" xfId="11" applyFont="1" applyFill="1" applyBorder="1" applyAlignment="1">
      <alignment horizontal="center" vertical="center" wrapText="1"/>
    </xf>
    <xf numFmtId="0" fontId="5" fillId="5" borderId="19" xfId="11" applyFont="1" applyFill="1" applyBorder="1" applyAlignment="1">
      <alignment horizontal="center" vertical="center" wrapText="1"/>
    </xf>
    <xf numFmtId="0" fontId="4" fillId="2" borderId="31" xfId="11" applyFont="1" applyFill="1" applyBorder="1" applyAlignment="1">
      <alignment horizontal="right" vertical="top" wrapText="1"/>
    </xf>
    <xf numFmtId="0" fontId="4" fillId="2" borderId="38" xfId="11" applyFont="1" applyFill="1" applyBorder="1" applyAlignment="1">
      <alignment horizontal="right" vertical="top" wrapText="1"/>
    </xf>
    <xf numFmtId="0" fontId="4" fillId="2" borderId="39" xfId="11" applyFont="1" applyFill="1" applyBorder="1" applyAlignment="1">
      <alignment horizontal="right" vertical="top" wrapText="1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66" fontId="2" fillId="0" borderId="14" xfId="0" applyNumberFormat="1" applyFont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6" fontId="2" fillId="0" borderId="36" xfId="0" applyNumberFormat="1" applyFont="1" applyBorder="1" applyAlignment="1">
      <alignment horizontal="center"/>
    </xf>
    <xf numFmtId="166" fontId="2" fillId="0" borderId="46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right" wrapText="1"/>
    </xf>
    <xf numFmtId="166" fontId="2" fillId="0" borderId="6" xfId="0" applyNumberFormat="1" applyFont="1" applyBorder="1" applyAlignment="1">
      <alignment horizontal="right" wrapText="1"/>
    </xf>
    <xf numFmtId="0" fontId="8" fillId="0" borderId="9" xfId="8" applyFont="1" applyBorder="1" applyAlignment="1">
      <alignment horizontal="left"/>
    </xf>
    <xf numFmtId="0" fontId="8" fillId="0" borderId="37" xfId="8" applyFont="1" applyBorder="1" applyAlignment="1">
      <alignment horizontal="left"/>
    </xf>
    <xf numFmtId="0" fontId="8" fillId="0" borderId="46" xfId="8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4" fillId="0" borderId="41" xfId="0" applyFont="1" applyBorder="1" applyAlignment="1">
      <alignment horizontal="right"/>
    </xf>
    <xf numFmtId="0" fontId="4" fillId="0" borderId="47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6" fontId="2" fillId="0" borderId="49" xfId="0" applyNumberFormat="1" applyFont="1" applyBorder="1" applyAlignment="1">
      <alignment horizontal="center"/>
    </xf>
    <xf numFmtId="166" fontId="2" fillId="0" borderId="50" xfId="0" applyNumberFormat="1" applyFont="1" applyBorder="1" applyAlignment="1">
      <alignment horizontal="center"/>
    </xf>
    <xf numFmtId="0" fontId="4" fillId="3" borderId="17" xfId="0" applyFont="1" applyFill="1" applyBorder="1" applyAlignment="1">
      <alignment horizontal="left"/>
    </xf>
    <xf numFmtId="0" fontId="4" fillId="3" borderId="18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56" fillId="0" borderId="9" xfId="0" applyFont="1" applyBorder="1" applyAlignment="1">
      <alignment horizontal="left"/>
    </xf>
    <xf numFmtId="0" fontId="56" fillId="0" borderId="37" xfId="0" applyFont="1" applyBorder="1" applyAlignment="1">
      <alignment horizontal="left"/>
    </xf>
    <xf numFmtId="0" fontId="56" fillId="0" borderId="46" xfId="0" applyFont="1" applyBorder="1" applyAlignment="1">
      <alignment horizontal="left"/>
    </xf>
    <xf numFmtId="0" fontId="5" fillId="13" borderId="60" xfId="11" applyFont="1" applyFill="1" applyBorder="1" applyAlignment="1">
      <alignment horizontal="center"/>
    </xf>
    <xf numFmtId="0" fontId="5" fillId="13" borderId="30" xfId="11" applyFont="1" applyFill="1" applyBorder="1" applyAlignment="1">
      <alignment horizontal="center"/>
    </xf>
    <xf numFmtId="0" fontId="54" fillId="2" borderId="3" xfId="11" applyFont="1" applyFill="1" applyBorder="1" applyAlignment="1">
      <alignment horizontal="left"/>
    </xf>
    <xf numFmtId="0" fontId="54" fillId="2" borderId="51" xfId="11" applyFont="1" applyFill="1" applyBorder="1" applyAlignment="1">
      <alignment horizontal="left"/>
    </xf>
    <xf numFmtId="0" fontId="54" fillId="2" borderId="0" xfId="11" applyFont="1" applyFill="1" applyAlignment="1">
      <alignment horizontal="left"/>
    </xf>
    <xf numFmtId="0" fontId="58" fillId="0" borderId="9" xfId="8" applyFont="1" applyBorder="1" applyAlignment="1">
      <alignment horizontal="left"/>
    </xf>
    <xf numFmtId="0" fontId="58" fillId="0" borderId="37" xfId="8" applyFont="1" applyBorder="1" applyAlignment="1">
      <alignment horizontal="left"/>
    </xf>
    <xf numFmtId="0" fontId="58" fillId="0" borderId="46" xfId="8" applyFont="1" applyBorder="1" applyAlignment="1">
      <alignment horizontal="left"/>
    </xf>
    <xf numFmtId="0" fontId="58" fillId="0" borderId="9" xfId="0" applyFont="1" applyBorder="1" applyAlignment="1">
      <alignment horizontal="left" wrapText="1"/>
    </xf>
    <xf numFmtId="0" fontId="58" fillId="0" borderId="37" xfId="0" applyFont="1" applyBorder="1" applyAlignment="1">
      <alignment horizontal="left" wrapText="1"/>
    </xf>
    <xf numFmtId="0" fontId="58" fillId="0" borderId="46" xfId="0" applyFont="1" applyBorder="1" applyAlignment="1">
      <alignment horizontal="left" wrapText="1"/>
    </xf>
    <xf numFmtId="0" fontId="58" fillId="0" borderId="9" xfId="0" applyFont="1" applyBorder="1" applyAlignment="1">
      <alignment horizontal="left"/>
    </xf>
    <xf numFmtId="0" fontId="58" fillId="0" borderId="37" xfId="0" applyFont="1" applyBorder="1" applyAlignment="1">
      <alignment horizontal="left"/>
    </xf>
    <xf numFmtId="0" fontId="58" fillId="0" borderId="46" xfId="0" applyFont="1" applyBorder="1" applyAlignment="1">
      <alignment horizontal="left"/>
    </xf>
    <xf numFmtId="0" fontId="54" fillId="0" borderId="9" xfId="0" applyFont="1" applyBorder="1" applyAlignment="1">
      <alignment horizontal="left"/>
    </xf>
    <xf numFmtId="0" fontId="54" fillId="0" borderId="37" xfId="0" applyFont="1" applyBorder="1" applyAlignment="1">
      <alignment horizontal="left"/>
    </xf>
    <xf numFmtId="0" fontId="54" fillId="0" borderId="46" xfId="0" applyFont="1" applyBorder="1" applyAlignment="1">
      <alignment horizontal="left"/>
    </xf>
    <xf numFmtId="0" fontId="5" fillId="0" borderId="9" xfId="8" applyFont="1" applyBorder="1" applyAlignment="1">
      <alignment horizontal="right"/>
    </xf>
    <xf numFmtId="0" fontId="5" fillId="0" borderId="37" xfId="8" applyFont="1" applyBorder="1" applyAlignment="1">
      <alignment horizontal="right"/>
    </xf>
    <xf numFmtId="0" fontId="5" fillId="0" borderId="6" xfId="8" applyFont="1" applyBorder="1" applyAlignment="1">
      <alignment horizontal="right"/>
    </xf>
    <xf numFmtId="0" fontId="54" fillId="0" borderId="3" xfId="8" applyFont="1" applyBorder="1" applyAlignment="1">
      <alignment horizontal="right"/>
    </xf>
    <xf numFmtId="166" fontId="54" fillId="0" borderId="36" xfId="8" applyNumberFormat="1" applyFont="1" applyBorder="1" applyAlignment="1">
      <alignment horizontal="center"/>
    </xf>
    <xf numFmtId="166" fontId="54" fillId="0" borderId="46" xfId="8" applyNumberFormat="1" applyFont="1" applyBorder="1" applyAlignment="1">
      <alignment horizontal="center"/>
    </xf>
    <xf numFmtId="166" fontId="54" fillId="0" borderId="36" xfId="8" applyNumberFormat="1" applyFont="1" applyBorder="1" applyAlignment="1">
      <alignment horizontal="right" wrapText="1"/>
    </xf>
    <xf numFmtId="166" fontId="54" fillId="0" borderId="6" xfId="8" applyNumberFormat="1" applyFont="1" applyBorder="1" applyAlignment="1">
      <alignment horizontal="right" wrapText="1"/>
    </xf>
    <xf numFmtId="166" fontId="54" fillId="0" borderId="36" xfId="0" applyNumberFormat="1" applyFont="1" applyBorder="1" applyAlignment="1">
      <alignment horizontal="center" wrapText="1"/>
    </xf>
    <xf numFmtId="166" fontId="54" fillId="0" borderId="46" xfId="0" applyNumberFormat="1" applyFont="1" applyBorder="1" applyAlignment="1">
      <alignment horizontal="center" wrapText="1"/>
    </xf>
    <xf numFmtId="0" fontId="5" fillId="0" borderId="41" xfId="8" applyFont="1" applyBorder="1" applyAlignment="1">
      <alignment horizontal="right"/>
    </xf>
    <xf numFmtId="0" fontId="5" fillId="0" borderId="47" xfId="8" applyFont="1" applyBorder="1" applyAlignment="1">
      <alignment horizontal="right"/>
    </xf>
    <xf numFmtId="0" fontId="5" fillId="0" borderId="7" xfId="8" applyFont="1" applyBorder="1" applyAlignment="1">
      <alignment horizontal="right"/>
    </xf>
    <xf numFmtId="0" fontId="54" fillId="0" borderId="7" xfId="8" applyFont="1" applyBorder="1" applyAlignment="1">
      <alignment horizontal="right"/>
    </xf>
    <xf numFmtId="0" fontId="5" fillId="3" borderId="17" xfId="8" applyFont="1" applyFill="1" applyBorder="1" applyAlignment="1">
      <alignment horizontal="left"/>
    </xf>
    <xf numFmtId="0" fontId="5" fillId="3" borderId="18" xfId="8" applyFont="1" applyFill="1" applyBorder="1" applyAlignment="1">
      <alignment horizontal="left"/>
    </xf>
    <xf numFmtId="0" fontId="5" fillId="3" borderId="19" xfId="8" applyFont="1" applyFill="1" applyBorder="1" applyAlignment="1">
      <alignment horizontal="left"/>
    </xf>
    <xf numFmtId="0" fontId="5" fillId="0" borderId="42" xfId="8" applyFont="1" applyBorder="1" applyAlignment="1">
      <alignment horizontal="right"/>
    </xf>
    <xf numFmtId="0" fontId="5" fillId="0" borderId="27" xfId="8" applyFont="1" applyBorder="1" applyAlignment="1">
      <alignment horizontal="right"/>
    </xf>
    <xf numFmtId="0" fontId="5" fillId="0" borderId="5" xfId="8" applyFont="1" applyBorder="1" applyAlignment="1">
      <alignment horizontal="right"/>
    </xf>
    <xf numFmtId="166" fontId="54" fillId="0" borderId="14" xfId="8" applyNumberFormat="1" applyFont="1" applyBorder="1" applyAlignment="1">
      <alignment horizontal="right"/>
    </xf>
    <xf numFmtId="0" fontId="54" fillId="2" borderId="20" xfId="8" applyFont="1" applyFill="1" applyBorder="1" applyAlignment="1">
      <alignment horizontal="center"/>
    </xf>
    <xf numFmtId="0" fontId="54" fillId="2" borderId="43" xfId="8" applyFont="1" applyFill="1" applyBorder="1" applyAlignment="1">
      <alignment horizontal="center"/>
    </xf>
    <xf numFmtId="0" fontId="53" fillId="2" borderId="0" xfId="14" applyFont="1" applyFill="1" applyAlignment="1">
      <alignment horizontal="right"/>
    </xf>
    <xf numFmtId="0" fontId="55" fillId="2" borderId="29" xfId="14" applyFont="1" applyFill="1" applyBorder="1" applyAlignment="1">
      <alignment horizontal="center"/>
    </xf>
    <xf numFmtId="0" fontId="53" fillId="2" borderId="0" xfId="14" applyFont="1" applyFill="1"/>
    <xf numFmtId="0" fontId="5" fillId="3" borderId="40" xfId="8" applyFont="1" applyFill="1" applyBorder="1" applyAlignment="1">
      <alignment horizontal="center" vertical="center"/>
    </xf>
    <xf numFmtId="0" fontId="5" fillId="3" borderId="41" xfId="8" applyFont="1" applyFill="1" applyBorder="1" applyAlignment="1">
      <alignment horizontal="center" vertical="center"/>
    </xf>
    <xf numFmtId="0" fontId="5" fillId="3" borderId="40" xfId="8" applyFont="1" applyFill="1" applyBorder="1" applyAlignment="1">
      <alignment horizontal="center" vertical="center" wrapText="1"/>
    </xf>
    <xf numFmtId="0" fontId="5" fillId="3" borderId="41" xfId="8" applyFont="1" applyFill="1" applyBorder="1" applyAlignment="1">
      <alignment horizontal="center" vertical="center" wrapText="1"/>
    </xf>
    <xf numFmtId="0" fontId="5" fillId="3" borderId="1" xfId="8" applyFont="1" applyFill="1" applyBorder="1" applyAlignment="1">
      <alignment horizontal="center" vertical="center"/>
    </xf>
    <xf numFmtId="0" fontId="5" fillId="3" borderId="7" xfId="8" applyFont="1" applyFill="1" applyBorder="1" applyAlignment="1">
      <alignment horizontal="center" vertical="center"/>
    </xf>
    <xf numFmtId="14" fontId="54" fillId="2" borderId="8" xfId="11" applyNumberFormat="1" applyFont="1" applyFill="1" applyBorder="1" applyAlignment="1">
      <alignment horizontal="center" vertical="center" wrapText="1"/>
    </xf>
    <xf numFmtId="14" fontId="54" fillId="2" borderId="32" xfId="11" applyNumberFormat="1" applyFont="1" applyFill="1" applyBorder="1" applyAlignment="1">
      <alignment horizontal="center" vertical="center" wrapText="1"/>
    </xf>
    <xf numFmtId="14" fontId="54" fillId="2" borderId="11" xfId="11" applyNumberFormat="1" applyFont="1" applyFill="1" applyBorder="1" applyAlignment="1">
      <alignment horizontal="center" vertical="center" wrapText="1"/>
    </xf>
    <xf numFmtId="0" fontId="54" fillId="2" borderId="33" xfId="11" applyFont="1" applyFill="1" applyBorder="1" applyAlignment="1">
      <alignment horizontal="left"/>
    </xf>
    <xf numFmtId="0" fontId="54" fillId="2" borderId="34" xfId="11" applyFont="1" applyFill="1" applyBorder="1" applyAlignment="1">
      <alignment horizontal="left"/>
    </xf>
    <xf numFmtId="0" fontId="54" fillId="2" borderId="35" xfId="11" applyFont="1" applyFill="1" applyBorder="1" applyAlignment="1">
      <alignment horizontal="left"/>
    </xf>
    <xf numFmtId="0" fontId="54" fillId="2" borderId="36" xfId="11" applyFont="1" applyFill="1" applyBorder="1" applyAlignment="1">
      <alignment horizontal="left"/>
    </xf>
    <xf numFmtId="0" fontId="54" fillId="2" borderId="37" xfId="11" applyFont="1" applyFill="1" applyBorder="1" applyAlignment="1">
      <alignment horizontal="left"/>
    </xf>
    <xf numFmtId="0" fontId="54" fillId="2" borderId="6" xfId="11" applyFont="1" applyFill="1" applyBorder="1" applyAlignment="1">
      <alignment horizontal="left"/>
    </xf>
    <xf numFmtId="0" fontId="54" fillId="2" borderId="53" xfId="11" applyFont="1" applyFill="1" applyBorder="1" applyAlignment="1">
      <alignment horizontal="center"/>
    </xf>
    <xf numFmtId="0" fontId="54" fillId="2" borderId="30" xfId="11" applyFont="1" applyFill="1" applyBorder="1" applyAlignment="1">
      <alignment horizontal="center"/>
    </xf>
    <xf numFmtId="0" fontId="54" fillId="2" borderId="15" xfId="11" applyFont="1" applyFill="1" applyBorder="1" applyAlignment="1">
      <alignment horizontal="center"/>
    </xf>
    <xf numFmtId="0" fontId="54" fillId="2" borderId="0" xfId="11" applyFont="1" applyFill="1" applyAlignment="1">
      <alignment horizontal="center"/>
    </xf>
    <xf numFmtId="0" fontId="54" fillId="2" borderId="42" xfId="11" applyFont="1" applyFill="1" applyBorder="1" applyAlignment="1">
      <alignment horizontal="center"/>
    </xf>
    <xf numFmtId="0" fontId="54" fillId="2" borderId="27" xfId="11" applyFont="1" applyFill="1" applyBorder="1" applyAlignment="1">
      <alignment horizontal="center"/>
    </xf>
    <xf numFmtId="0" fontId="5" fillId="2" borderId="1" xfId="11" applyFont="1" applyFill="1" applyBorder="1" applyAlignment="1">
      <alignment horizontal="center"/>
    </xf>
    <xf numFmtId="0" fontId="5" fillId="2" borderId="49" xfId="11" applyFont="1" applyFill="1" applyBorder="1" applyAlignment="1">
      <alignment horizontal="center"/>
    </xf>
    <xf numFmtId="0" fontId="5" fillId="2" borderId="57" xfId="11" applyFont="1" applyFill="1" applyBorder="1" applyAlignment="1">
      <alignment horizontal="center"/>
    </xf>
    <xf numFmtId="0" fontId="5" fillId="2" borderId="47" xfId="11" applyFont="1" applyFill="1" applyBorder="1" applyAlignment="1">
      <alignment horizontal="center"/>
    </xf>
    <xf numFmtId="0" fontId="5" fillId="5" borderId="52" xfId="11" applyFont="1" applyFill="1" applyBorder="1" applyAlignment="1">
      <alignment horizontal="center"/>
    </xf>
    <xf numFmtId="0" fontId="5" fillId="5" borderId="22" xfId="11" applyFont="1" applyFill="1" applyBorder="1" applyAlignment="1">
      <alignment horizontal="center"/>
    </xf>
    <xf numFmtId="0" fontId="5" fillId="5" borderId="23" xfId="11" applyFont="1" applyFill="1" applyBorder="1" applyAlignment="1">
      <alignment horizontal="center"/>
    </xf>
    <xf numFmtId="0" fontId="5" fillId="2" borderId="31" xfId="11" applyFont="1" applyFill="1" applyBorder="1" applyAlignment="1">
      <alignment horizontal="right" vertical="top" wrapText="1"/>
    </xf>
    <xf numFmtId="0" fontId="5" fillId="2" borderId="38" xfId="11" applyFont="1" applyFill="1" applyBorder="1" applyAlignment="1">
      <alignment horizontal="right" vertical="top" wrapText="1"/>
    </xf>
    <xf numFmtId="0" fontId="5" fillId="2" borderId="39" xfId="11" applyFont="1" applyFill="1" applyBorder="1" applyAlignment="1">
      <alignment horizontal="right"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4" fillId="0" borderId="2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right" vertical="center" wrapText="1"/>
    </xf>
    <xf numFmtId="0" fontId="20" fillId="0" borderId="53" xfId="0" applyFont="1" applyBorder="1" applyAlignment="1">
      <alignment horizontal="right"/>
    </xf>
    <xf numFmtId="0" fontId="20" fillId="0" borderId="30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7" fillId="0" borderId="3" xfId="0" applyFont="1" applyBorder="1" applyAlignment="1">
      <alignment horizontal="right" vertical="center"/>
    </xf>
    <xf numFmtId="0" fontId="27" fillId="0" borderId="3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4" fillId="4" borderId="17" xfId="0" applyFont="1" applyFill="1" applyBorder="1" applyAlignment="1">
      <alignment horizontal="right"/>
    </xf>
    <xf numFmtId="0" fontId="24" fillId="4" borderId="18" xfId="0" applyFont="1" applyFill="1" applyBorder="1" applyAlignment="1">
      <alignment horizontal="right"/>
    </xf>
    <xf numFmtId="0" fontId="28" fillId="0" borderId="15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16" xfId="0" applyFont="1" applyBorder="1" applyAlignment="1">
      <alignment horizontal="right"/>
    </xf>
    <xf numFmtId="0" fontId="26" fillId="0" borderId="29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36" fillId="0" borderId="0" xfId="0" applyFont="1" applyAlignment="1">
      <alignment horizontal="right"/>
    </xf>
    <xf numFmtId="0" fontId="11" fillId="0" borderId="29" xfId="0" applyFont="1" applyBorder="1" applyAlignment="1">
      <alignment horizontal="right" vertical="center"/>
    </xf>
    <xf numFmtId="0" fontId="11" fillId="0" borderId="54" xfId="0" applyFont="1" applyBorder="1" applyAlignment="1">
      <alignment horizontal="right" vertical="center"/>
    </xf>
    <xf numFmtId="0" fontId="11" fillId="8" borderId="17" xfId="0" applyFont="1" applyFill="1" applyBorder="1" applyAlignment="1">
      <alignment horizontal="right" vertical="center"/>
    </xf>
    <xf numFmtId="0" fontId="11" fillId="8" borderId="18" xfId="0" applyFont="1" applyFill="1" applyBorder="1" applyAlignment="1">
      <alignment horizontal="right" vertical="center"/>
    </xf>
    <xf numFmtId="0" fontId="11" fillId="8" borderId="19" xfId="0" applyFont="1" applyFill="1" applyBorder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5" fillId="0" borderId="17" xfId="0" applyFont="1" applyBorder="1" applyAlignment="1">
      <alignment horizontal="right" vertical="center"/>
    </xf>
    <xf numFmtId="0" fontId="35" fillId="0" borderId="18" xfId="0" applyFont="1" applyBorder="1" applyAlignment="1">
      <alignment horizontal="right" vertical="center"/>
    </xf>
    <xf numFmtId="0" fontId="35" fillId="0" borderId="19" xfId="0" applyFont="1" applyBorder="1" applyAlignment="1">
      <alignment horizontal="right" vertical="center"/>
    </xf>
    <xf numFmtId="0" fontId="38" fillId="0" borderId="17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55" xfId="0" applyFont="1" applyBorder="1" applyAlignment="1">
      <alignment horizontal="center" vertical="center" wrapText="1"/>
    </xf>
    <xf numFmtId="0" fontId="39" fillId="0" borderId="5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right" vertical="center" wrapText="1"/>
    </xf>
    <xf numFmtId="0" fontId="23" fillId="0" borderId="0" xfId="0" applyFont="1" applyAlignment="1">
      <alignment horizontal="right"/>
    </xf>
    <xf numFmtId="0" fontId="23" fillId="0" borderId="16" xfId="0" applyFont="1" applyBorder="1" applyAlignment="1">
      <alignment horizontal="right"/>
    </xf>
    <xf numFmtId="0" fontId="21" fillId="4" borderId="17" xfId="0" applyFont="1" applyFill="1" applyBorder="1" applyAlignment="1">
      <alignment horizontal="center"/>
    </xf>
    <xf numFmtId="0" fontId="21" fillId="4" borderId="18" xfId="0" applyFont="1" applyFill="1" applyBorder="1" applyAlignment="1">
      <alignment horizontal="center"/>
    </xf>
    <xf numFmtId="0" fontId="39" fillId="4" borderId="17" xfId="0" applyFont="1" applyFill="1" applyBorder="1" applyAlignment="1">
      <alignment horizontal="right"/>
    </xf>
    <xf numFmtId="0" fontId="39" fillId="4" borderId="18" xfId="0" applyFont="1" applyFill="1" applyBorder="1" applyAlignment="1">
      <alignment horizontal="right"/>
    </xf>
    <xf numFmtId="0" fontId="43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43" fillId="0" borderId="29" xfId="0" applyFont="1" applyBorder="1" applyAlignment="1">
      <alignment horizontal="right"/>
    </xf>
    <xf numFmtId="0" fontId="43" fillId="0" borderId="30" xfId="0" applyFont="1" applyBorder="1" applyAlignment="1">
      <alignment horizontal="right"/>
    </xf>
  </cellXfs>
  <cellStyles count="15">
    <cellStyle name="Millares" xfId="1" builtinId="3"/>
    <cellStyle name="Millares [0]" xfId="2" builtinId="6"/>
    <cellStyle name="Millares [0] 2" xfId="3" xr:uid="{43F447A4-460D-4811-AC04-EC77E3997C71}"/>
    <cellStyle name="Millares [0] 3" xfId="4" xr:uid="{890E9770-5EB4-42B7-A0C4-3677DF755EEC}"/>
    <cellStyle name="Millares 2" xfId="5" xr:uid="{61B9242D-7E7E-4E03-A2DB-D650FAC76BA4}"/>
    <cellStyle name="Millares 3" xfId="6" xr:uid="{160B683B-2CE9-4C5B-9C02-FDB22FEC0921}"/>
    <cellStyle name="Millares 4" xfId="7" xr:uid="{C349B6E2-53BC-4939-B594-E5F0CAB0A5C2}"/>
    <cellStyle name="Normal" xfId="0" builtinId="0"/>
    <cellStyle name="Normal 2" xfId="8" xr:uid="{9AE069A4-B77A-4484-A49E-1A76D7A03C4D}"/>
    <cellStyle name="Normal 3" xfId="9" xr:uid="{EB49E54E-1549-4B54-A4C2-6703065C85BD}"/>
    <cellStyle name="Normal 4" xfId="10" xr:uid="{1CABEC9F-7723-4D02-94CC-1CCB8C5D5750}"/>
    <cellStyle name="Normal_CRITERIOS DE EVALUACION PT DE GB" xfId="11" xr:uid="{26AD8A0C-B4DD-4A4F-840E-170A3F1B865F}"/>
    <cellStyle name="Normal_CRITERIOS DE EVALUACION PT DE GB 2" xfId="14" xr:uid="{26486074-4CCB-4C4E-BE6A-C003B1A52E33}"/>
    <cellStyle name="Porcentaje 2" xfId="12" xr:uid="{04D39C8A-70B9-4672-B6ED-DC0A690B9DD5}"/>
    <cellStyle name="Porcentaje 3" xfId="13" xr:uid="{B9420D23-9BD7-4E5A-B55E-0D5409A71B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82550</xdr:rowOff>
    </xdr:from>
    <xdr:to>
      <xdr:col>0</xdr:col>
      <xdr:colOff>1009650</xdr:colOff>
      <xdr:row>2</xdr:row>
      <xdr:rowOff>476250</xdr:rowOff>
    </xdr:to>
    <xdr:pic>
      <xdr:nvPicPr>
        <xdr:cNvPr id="1038" name="Imagen 1">
          <a:extLst>
            <a:ext uri="{FF2B5EF4-FFF2-40B4-BE49-F238E27FC236}">
              <a16:creationId xmlns:a16="http://schemas.microsoft.com/office/drawing/2014/main" id="{87C36D7E-23B0-3295-8AEB-D987337F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82550"/>
          <a:ext cx="9271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Productos%20factibilidad\FACTIBILIDAD%202021\Enero\reingenierias\Rosquete%20Vainilla%20Pastelero%20Real%205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#N/A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 t="str">
            <v>Und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 t="str">
            <v>Und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Und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Mililitros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Gramos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  <cell r="M364" t="str">
            <v>Gramos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/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 t="str">
            <v>und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 t="str">
            <v>Gramos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 t="str">
            <v>Gramos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  <cell r="M380" t="str">
            <v>Gramos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 t="str">
            <v>Gramos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/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  <cell r="M401" t="str">
            <v>Gramos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/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Mililitros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 t="str">
            <v>Mililitros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  <cell r="M407" t="str">
            <v>Gramos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 t="str">
            <v>Gramos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  <cell r="M417" t="str">
            <v>Gramos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  <cell r="M423" t="str">
            <v>Gramos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 t="str">
            <v>Mililitros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 t="str">
            <v>Unidad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Gramos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 t="str">
            <v>Mililitros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/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/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 t="str">
            <v>Gramos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 t="str">
            <v>Mililitros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/>
          <cell r="L461" t="e">
            <v>#DIV/0!</v>
          </cell>
          <cell r="M461"/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#N/A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#DIV/0!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 t="str">
            <v>Mililitros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 t="str">
            <v>Gramos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 t="str">
            <v>Gramos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/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 t="str">
            <v>Gramos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#N/A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#DIV/0!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#DIV/0!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#N/A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#N/A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 t="str">
            <v>Und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 t="str">
            <v>Und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 t="str">
            <v>Und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/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/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 t="str">
            <v>Und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 t="str">
            <v>Und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 t="str">
            <v>Und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 t="str">
            <v>Und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/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/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#DIV/0!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 t="str">
            <v>Und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/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/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 t="str">
            <v>Mililitros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/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#N/A</v>
          </cell>
          <cell r="M711"/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/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  <cell r="M714"/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 t="str">
            <v>Mililitros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/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  <cell r="M765"/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/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#N/A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#N/A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Und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 t="str">
            <v>Gramos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/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MATERIAS PRIMAS PLANTA</v>
          </cell>
          <cell r="F788" t="str">
            <v>LITRO</v>
          </cell>
          <cell r="G788"/>
          <cell r="H788" t="str">
            <v>28/03/2020</v>
          </cell>
          <cell r="I788">
            <v>100</v>
          </cell>
          <cell r="J788" t="e">
            <v>#N/A</v>
          </cell>
          <cell r="K788">
            <v>1000</v>
          </cell>
          <cell r="L788" t="e">
            <v>#N/A</v>
          </cell>
          <cell r="M788" t="str">
            <v>Mililitros</v>
          </cell>
        </row>
        <row r="789">
          <cell r="A789" t="str">
            <v>10415</v>
          </cell>
          <cell r="B789">
            <v>5668</v>
          </cell>
          <cell r="C789" t="str">
            <v>MANO OBRA</v>
          </cell>
          <cell r="D789" t="str">
            <v>119000012</v>
          </cell>
          <cell r="E789" t="str">
            <v>MANO OBRA</v>
          </cell>
          <cell r="F789" t="str">
            <v>Minuto</v>
          </cell>
          <cell r="G789">
            <v>500</v>
          </cell>
          <cell r="H789" t="str">
            <v>15/06/2020</v>
          </cell>
          <cell r="I789">
            <v>56</v>
          </cell>
          <cell r="J789" t="e">
            <v>#N/A</v>
          </cell>
          <cell r="K789">
            <v>1</v>
          </cell>
          <cell r="L789" t="e">
            <v>#N/A</v>
          </cell>
          <cell r="M789" t="str">
            <v>Minutos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EMPAQUES PLANTA</v>
          </cell>
          <cell r="F790" t="str">
            <v>UND</v>
          </cell>
          <cell r="G790">
            <v>500</v>
          </cell>
          <cell r="H790" t="str">
            <v>15/06/2020</v>
          </cell>
          <cell r="I790">
            <v>8990</v>
          </cell>
          <cell r="J790" t="e">
            <v>#N/A</v>
          </cell>
          <cell r="K790">
            <v>14000</v>
          </cell>
          <cell r="L790" t="e">
            <v>#N/A</v>
          </cell>
          <cell r="M790" t="str">
            <v>Centimetros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MATERIAS PRIMAS PLANTA</v>
          </cell>
          <cell r="F791"/>
          <cell r="G791">
            <v>500</v>
          </cell>
          <cell r="H791" t="str">
            <v>03/12/2019</v>
          </cell>
          <cell r="I791" t="e">
            <v>#N/A</v>
          </cell>
          <cell r="J791">
            <v>1921</v>
          </cell>
          <cell r="K791">
            <v>3785</v>
          </cell>
          <cell r="L791">
            <v>0.50752972258916773</v>
          </cell>
          <cell r="M791" t="str">
            <v>Mililitros</v>
          </cell>
        </row>
        <row r="792">
          <cell r="A792" t="str">
            <v>18406411</v>
          </cell>
          <cell r="B792">
            <v>14824</v>
          </cell>
          <cell r="C792" t="str">
            <v xml:space="preserve">TRIPLE SEC </v>
          </cell>
          <cell r="D792" t="str">
            <v>120000017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13/05/2020</v>
          </cell>
          <cell r="I792">
            <v>5600</v>
          </cell>
          <cell r="J792">
            <v>5600</v>
          </cell>
          <cell r="K792">
            <v>750</v>
          </cell>
          <cell r="L792">
            <v>7.4666666666666668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>MERMELADA DE NARANJA SMUCKER (UND:361 G)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2323</v>
          </cell>
          <cell r="J793" t="e">
            <v>#N/A</v>
          </cell>
          <cell r="K793">
            <v>361</v>
          </cell>
          <cell r="L793" t="e">
            <v>#N/A</v>
          </cell>
          <cell r="M793" t="str">
            <v>Gramos</v>
          </cell>
        </row>
        <row r="794">
          <cell r="A794" t="str">
            <v>10100285</v>
          </cell>
          <cell r="B794">
            <v>14826</v>
          </cell>
          <cell r="C794" t="str">
            <v>CAFÉ INSTANTANEO (PAQ: 500 G)</v>
          </cell>
          <cell r="D794" t="str">
            <v>120000019</v>
          </cell>
          <cell r="E794" t="str">
            <v>MATERIAS PRIMAS PLANTA</v>
          </cell>
          <cell r="F794" t="str">
            <v>PAQUETE</v>
          </cell>
          <cell r="G794"/>
          <cell r="H794" t="str">
            <v>05/06/2020</v>
          </cell>
          <cell r="I794">
            <v>8555</v>
          </cell>
          <cell r="J794">
            <v>8983</v>
          </cell>
          <cell r="K794">
            <v>500</v>
          </cell>
          <cell r="L794">
            <v>17.966000000000001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ETIQ.FECHA VENCIMIENTO BLANCO (ROLLO)</v>
          </cell>
          <cell r="D795" t="str">
            <v>120000022</v>
          </cell>
          <cell r="E795" t="str">
            <v>EMPAQUES PLANTA</v>
          </cell>
          <cell r="F795" t="str">
            <v>rollo</v>
          </cell>
          <cell r="G795">
            <v>500</v>
          </cell>
          <cell r="H795" t="str">
            <v>21/05/2020</v>
          </cell>
          <cell r="I795">
            <v>205</v>
          </cell>
          <cell r="J795">
            <v>180</v>
          </cell>
          <cell r="K795">
            <v>900</v>
          </cell>
          <cell r="L795">
            <v>0.2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TOMATE PELADO ENTERO (UND: 2.89 K)</v>
          </cell>
          <cell r="D796" t="str">
            <v>120000023</v>
          </cell>
          <cell r="E796"/>
          <cell r="F796"/>
          <cell r="G796">
            <v>500</v>
          </cell>
          <cell r="H796" t="str">
            <v>16/04/2020</v>
          </cell>
          <cell r="I796">
            <v>2728</v>
          </cell>
          <cell r="J796">
            <v>2728</v>
          </cell>
          <cell r="K796">
            <v>2890</v>
          </cell>
          <cell r="L796">
            <v>0.94394463667820072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CARNE MOLIDA 80-20 (KILO)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3195</v>
          </cell>
          <cell r="J797">
            <v>3195</v>
          </cell>
          <cell r="K797">
            <v>1000</v>
          </cell>
          <cell r="L797">
            <v>3.1949999999999998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GALLETA CHOCOLATE (PAQ:KG)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3135</v>
          </cell>
          <cell r="J798">
            <v>3135</v>
          </cell>
          <cell r="K798">
            <v>1000</v>
          </cell>
          <cell r="L798">
            <v>3.1349999999999998</v>
          </cell>
          <cell r="M798" t="str">
            <v>Gramos</v>
          </cell>
        </row>
        <row r="799">
          <cell r="A799" t="str">
            <v>207000002</v>
          </cell>
          <cell r="B799">
            <v>11324</v>
          </cell>
          <cell r="C799" t="str">
            <v>LECHE CONDENSADA UNTABLE (PAQ:4.5 K)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11910</v>
          </cell>
          <cell r="J799">
            <v>11910</v>
          </cell>
          <cell r="K799">
            <v>4500</v>
          </cell>
          <cell r="L799">
            <v>2.6466666666666665</v>
          </cell>
          <cell r="M799" t="str">
            <v>Gramos</v>
          </cell>
        </row>
        <row r="800">
          <cell r="A800" t="str">
            <v>207000003</v>
          </cell>
          <cell r="B800">
            <v>11325</v>
          </cell>
          <cell r="C800" t="str">
            <v>BOLSA DOYPACK KRAFT 11X19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98.76</v>
          </cell>
          <cell r="J800">
            <v>106.19468999999999</v>
          </cell>
          <cell r="K800">
            <v>1</v>
          </cell>
          <cell r="L800">
            <v>106.19468999999999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8X10X4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 t="e">
            <v>#N/A</v>
          </cell>
          <cell r="K801">
            <v>196</v>
          </cell>
          <cell r="L801" t="e">
            <v>#N/A</v>
          </cell>
          <cell r="M801" t="str">
            <v>Und</v>
          </cell>
        </row>
        <row r="802">
          <cell r="A802" t="str">
            <v>401000003</v>
          </cell>
          <cell r="B802">
            <v>5680</v>
          </cell>
          <cell r="C802" t="str">
            <v>RON PLATA ESPECIAL (UND: LITRO)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5720</v>
          </cell>
          <cell r="J802">
            <v>6500</v>
          </cell>
          <cell r="K802">
            <v>1000</v>
          </cell>
          <cell r="L802">
            <v>6.5</v>
          </cell>
          <cell r="M802" t="str">
            <v>Mililitros</v>
          </cell>
        </row>
        <row r="803">
          <cell r="A803" t="str">
            <v>401000004</v>
          </cell>
          <cell r="B803">
            <v>5681</v>
          </cell>
          <cell r="C803" t="str">
            <v>CREMA ROSSANA (351g)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1345</v>
          </cell>
          <cell r="J803">
            <v>1345</v>
          </cell>
          <cell r="K803">
            <v>200</v>
          </cell>
          <cell r="L803">
            <v>6.7249999999999996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PREMEZCLA DAWN BROWNIE (SACO=22.68K)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40000</v>
          </cell>
          <cell r="J804">
            <v>40000</v>
          </cell>
          <cell r="K804">
            <v>22680</v>
          </cell>
          <cell r="L804">
            <v>1.7636684303350969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 xml:space="preserve">SABORIZANTE AVELLANA 1595 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10974</v>
          </cell>
          <cell r="J805">
            <v>10974.08</v>
          </cell>
          <cell r="K805">
            <v>1000</v>
          </cell>
          <cell r="L805">
            <v>10.974080000000001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CHOCOLATE LOGO ROSSANA UND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9750</v>
          </cell>
          <cell r="J806">
            <v>487.5</v>
          </cell>
          <cell r="K806">
            <v>20</v>
          </cell>
          <cell r="L806">
            <v>24.375</v>
          </cell>
          <cell r="M806" t="str">
            <v>UND</v>
          </cell>
        </row>
        <row r="807">
          <cell r="A807" t="str">
            <v>510000013</v>
          </cell>
          <cell r="B807">
            <v>8045</v>
          </cell>
          <cell r="C807" t="str">
            <v>MEZCLA QUESO UNIVERSAL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3456</v>
          </cell>
          <cell r="J807">
            <v>3456</v>
          </cell>
          <cell r="K807">
            <v>1000</v>
          </cell>
          <cell r="L807">
            <v>3.456</v>
          </cell>
          <cell r="M807" t="str">
            <v>Gramos</v>
          </cell>
        </row>
        <row r="808">
          <cell r="A808" t="str">
            <v>510000014</v>
          </cell>
          <cell r="B808">
            <v>15367</v>
          </cell>
          <cell r="C808" t="str">
            <v>FRUTOS DEL BOSQUE (PAQ: 500 G)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951</v>
          </cell>
          <cell r="J808">
            <v>951</v>
          </cell>
          <cell r="K808">
            <v>500</v>
          </cell>
          <cell r="L808">
            <v>1.9019999999999999</v>
          </cell>
          <cell r="M808" t="str">
            <v>Gramos</v>
          </cell>
        </row>
        <row r="809">
          <cell r="A809" t="str">
            <v>510000015</v>
          </cell>
          <cell r="B809">
            <v>15384</v>
          </cell>
          <cell r="C809" t="str">
            <v>CREMA PASTELERA (UND: 1 KILO)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1750</v>
          </cell>
          <cell r="J809">
            <v>1750</v>
          </cell>
          <cell r="K809">
            <v>1000</v>
          </cell>
          <cell r="L809">
            <v>1.75</v>
          </cell>
          <cell r="M809" t="str">
            <v>Gramos</v>
          </cell>
        </row>
        <row r="810">
          <cell r="A810" t="str">
            <v>510000016</v>
          </cell>
          <cell r="B810">
            <v>15385</v>
          </cell>
          <cell r="C810" t="str">
            <v>BOLSA AL VACIO 10X15 UND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83</v>
          </cell>
          <cell r="J810">
            <v>83</v>
          </cell>
          <cell r="K810">
            <v>1</v>
          </cell>
          <cell r="L810">
            <v>83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MERMELADA NARANJA UJARRAS (UND: 4.5 K)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 t="e">
            <v>#N/A</v>
          </cell>
          <cell r="K811">
            <v>2500</v>
          </cell>
          <cell r="L811" t="e">
            <v>#N/A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CAJA QUEQUE NAVIDEÑO 700g (UNIDAD)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 t="e">
            <v>#N/A</v>
          </cell>
          <cell r="K812">
            <v>20000</v>
          </cell>
          <cell r="L812" t="e">
            <v>#N/A</v>
          </cell>
          <cell r="M812" t="str">
            <v>Und</v>
          </cell>
        </row>
        <row r="813">
          <cell r="A813" t="str">
            <v>515000012</v>
          </cell>
          <cell r="B813">
            <v>5874</v>
          </cell>
          <cell r="C813" t="str">
            <v>ORLA NAVIDEÑA GRANDE (UND)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140</v>
          </cell>
          <cell r="J813">
            <v>105</v>
          </cell>
          <cell r="K813">
            <v>1</v>
          </cell>
          <cell r="L813">
            <v>105</v>
          </cell>
          <cell r="M813" t="str">
            <v>und</v>
          </cell>
        </row>
        <row r="814">
          <cell r="A814" t="str">
            <v>516000002</v>
          </cell>
          <cell r="B814">
            <v>8074</v>
          </cell>
          <cell r="C814" t="str">
            <v>BOLSA AL VACIO 8*10 ( 100 * PAQ 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39</v>
          </cell>
          <cell r="J814">
            <v>39</v>
          </cell>
          <cell r="K814">
            <v>1</v>
          </cell>
          <cell r="L814">
            <v>39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ORLA NAVIDEÑA PEQUEÑA (UND)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57</v>
          </cell>
          <cell r="J815">
            <v>65</v>
          </cell>
          <cell r="K815">
            <v>1</v>
          </cell>
          <cell r="L815">
            <v>65</v>
          </cell>
          <cell r="M815" t="str">
            <v>und</v>
          </cell>
        </row>
        <row r="816">
          <cell r="A816" t="str">
            <v>1020000471</v>
          </cell>
          <cell r="B816">
            <v>15833</v>
          </cell>
          <cell r="C816" t="str">
            <v>CAJA NAVIDEÑA PEQ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566</v>
          </cell>
          <cell r="J816" t="e">
            <v>#N/A</v>
          </cell>
          <cell r="K816">
            <v>1</v>
          </cell>
          <cell r="L816" t="e">
            <v>#N/A</v>
          </cell>
          <cell r="M816" t="str">
            <v>und</v>
          </cell>
        </row>
        <row r="817">
          <cell r="A817" t="str">
            <v>403000007</v>
          </cell>
          <cell r="B817">
            <v>5717</v>
          </cell>
          <cell r="C817" t="str">
            <v>CHILE MORRON ASADO (UND:2.9 K)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 t="e">
            <v>#N/A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 t="e">
            <v>#N/A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3000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24912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18041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>
            <v>500</v>
          </cell>
          <cell r="I823">
            <v>20298</v>
          </cell>
          <cell r="J823">
            <v>14720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e">
            <v>#N/A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e">
            <v>#N/A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/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/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/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/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/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/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/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2504.1564981818178</v>
          </cell>
          <cell r="H47">
            <v>2.5041564981818176</v>
          </cell>
          <cell r="I47">
            <v>0</v>
          </cell>
          <cell r="J47">
            <v>0</v>
          </cell>
          <cell r="K47">
            <v>450.74816967272722</v>
          </cell>
          <cell r="L47">
            <v>0.45074816967272724</v>
          </cell>
          <cell r="M47">
            <v>2954.9046678545451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1326.1626390163178</v>
          </cell>
          <cell r="H85">
            <v>1.3261626390163179</v>
          </cell>
          <cell r="I85">
            <v>17.500383714188949</v>
          </cell>
          <cell r="J85">
            <v>1.7500383714188949E-2</v>
          </cell>
          <cell r="K85">
            <v>241.85934409149121</v>
          </cell>
          <cell r="L85">
            <v>0.24185934409149121</v>
          </cell>
          <cell r="M85">
            <v>1585.522366821998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2300.2934436977612</v>
          </cell>
          <cell r="H253">
            <v>2.3002934436977611</v>
          </cell>
          <cell r="I253">
            <v>2.3980769230769225E-3</v>
          </cell>
          <cell r="J253">
            <v>2.3980769230769227E-6</v>
          </cell>
          <cell r="K253">
            <v>414.05325151944311</v>
          </cell>
          <cell r="L253">
            <v>0.41405325151944311</v>
          </cell>
          <cell r="M253">
            <v>2714.3490932941272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1843.3397736906572</v>
          </cell>
          <cell r="H328">
            <v>1843.3397736906572</v>
          </cell>
          <cell r="I328">
            <v>0.24805175150499653</v>
          </cell>
          <cell r="J328">
            <v>0.24805175150499653</v>
          </cell>
          <cell r="K328">
            <v>331.84580857958917</v>
          </cell>
          <cell r="L328">
            <v>331.84580857958917</v>
          </cell>
          <cell r="M328">
            <v>2175.4336340217515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/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ROSQUETE 550"/>
      <sheetName val="COSTEO ROSQUETE"/>
    </sheetNames>
    <sheetDataSet>
      <sheetData sheetId="0"/>
      <sheetData sheetId="1">
        <row r="53">
          <cell r="H53">
            <v>506.41110916259913</v>
          </cell>
        </row>
        <row r="54">
          <cell r="H54">
            <v>25.752939443784925</v>
          </cell>
        </row>
        <row r="56">
          <cell r="H56">
            <v>31.054765795698927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D759-E930-4FFF-823D-4335A3B5AE72}">
  <dimension ref="A1:M40"/>
  <sheetViews>
    <sheetView workbookViewId="0">
      <selection activeCell="B10" sqref="B10"/>
    </sheetView>
  </sheetViews>
  <sheetFormatPr baseColWidth="10" defaultColWidth="11.44140625" defaultRowHeight="13.2" x14ac:dyDescent="0.25"/>
  <cols>
    <col min="1" max="1" width="16.33203125" style="3" customWidth="1"/>
    <col min="2" max="2" width="24.5546875" style="3" customWidth="1"/>
    <col min="3" max="3" width="43.44140625" style="3" customWidth="1"/>
    <col min="4" max="4" width="18.6640625" style="3" customWidth="1"/>
    <col min="5" max="5" width="11.44140625" style="3"/>
    <col min="6" max="6" width="13.33203125" style="3" customWidth="1"/>
    <col min="7" max="7" width="12.5546875" style="3" customWidth="1"/>
    <col min="8" max="8" width="15.5546875" style="3" customWidth="1"/>
    <col min="9" max="9" width="16" style="3" customWidth="1"/>
    <col min="10" max="16384" width="11.44140625" style="3"/>
  </cols>
  <sheetData>
    <row r="1" spans="1:9" ht="15" x14ac:dyDescent="0.25">
      <c r="A1" s="334"/>
      <c r="B1" s="220"/>
      <c r="C1" s="337" t="s">
        <v>0</v>
      </c>
      <c r="D1" s="338"/>
      <c r="E1" s="338"/>
      <c r="F1" s="338"/>
      <c r="G1" s="338"/>
      <c r="H1" s="1" t="s">
        <v>1</v>
      </c>
      <c r="I1" s="2"/>
    </row>
    <row r="2" spans="1:9" ht="15.6" thickBot="1" x14ac:dyDescent="0.3">
      <c r="A2" s="335"/>
      <c r="B2" s="221"/>
      <c r="C2" s="339" t="s">
        <v>2</v>
      </c>
      <c r="D2" s="340"/>
      <c r="E2" s="340"/>
      <c r="F2" s="340"/>
      <c r="G2" s="340"/>
      <c r="H2" s="4" t="s">
        <v>3</v>
      </c>
      <c r="I2" s="5"/>
    </row>
    <row r="3" spans="1:9" ht="50.1" customHeight="1" thickBot="1" x14ac:dyDescent="0.3">
      <c r="A3" s="335"/>
      <c r="B3" s="222"/>
      <c r="C3" s="341" t="s">
        <v>62</v>
      </c>
      <c r="D3" s="342"/>
      <c r="E3" s="342"/>
      <c r="F3" s="342"/>
      <c r="G3" s="343"/>
      <c r="H3" s="344" t="s">
        <v>4</v>
      </c>
      <c r="I3" s="324"/>
    </row>
    <row r="4" spans="1:9" x14ac:dyDescent="0.25">
      <c r="A4" s="335"/>
      <c r="B4" s="221"/>
      <c r="C4" s="6" t="s">
        <v>5</v>
      </c>
      <c r="D4" s="326" t="s">
        <v>6</v>
      </c>
      <c r="E4" s="327"/>
      <c r="F4" s="327"/>
      <c r="G4" s="328"/>
      <c r="H4" s="345"/>
      <c r="I4" s="325"/>
    </row>
    <row r="5" spans="1:9" ht="13.8" thickBot="1" x14ac:dyDescent="0.3">
      <c r="A5" s="336"/>
      <c r="B5" s="221"/>
      <c r="C5" s="7" t="s">
        <v>7</v>
      </c>
      <c r="D5" s="329" t="s">
        <v>8</v>
      </c>
      <c r="E5" s="330"/>
      <c r="F5" s="330"/>
      <c r="G5" s="331"/>
      <c r="H5" s="346"/>
      <c r="I5" s="325"/>
    </row>
    <row r="6" spans="1:9" ht="25.2" x14ac:dyDescent="0.25">
      <c r="A6" s="347" t="s">
        <v>9</v>
      </c>
      <c r="B6" s="357" t="s">
        <v>172</v>
      </c>
      <c r="C6" s="349" t="s">
        <v>10</v>
      </c>
      <c r="D6" s="349" t="s">
        <v>11</v>
      </c>
      <c r="E6" s="349" t="s">
        <v>12</v>
      </c>
      <c r="F6" s="349"/>
      <c r="G6" s="349" t="s">
        <v>13</v>
      </c>
      <c r="H6" s="349"/>
      <c r="I6" s="8" t="s">
        <v>14</v>
      </c>
    </row>
    <row r="7" spans="1:9" ht="26.7" customHeight="1" thickBot="1" x14ac:dyDescent="0.3">
      <c r="A7" s="348"/>
      <c r="B7" s="358"/>
      <c r="C7" s="350"/>
      <c r="D7" s="350"/>
      <c r="E7" s="9" t="s">
        <v>15</v>
      </c>
      <c r="F7" s="10" t="s">
        <v>16</v>
      </c>
      <c r="G7" s="9" t="s">
        <v>15</v>
      </c>
      <c r="H7" s="10" t="s">
        <v>16</v>
      </c>
      <c r="I7" s="11" t="s">
        <v>17</v>
      </c>
    </row>
    <row r="8" spans="1:9" ht="13.8" thickBot="1" x14ac:dyDescent="0.3">
      <c r="A8" s="12"/>
      <c r="B8" s="223"/>
      <c r="C8" s="13" t="s">
        <v>18</v>
      </c>
      <c r="D8" s="14"/>
      <c r="E8" s="15"/>
      <c r="F8" s="16"/>
      <c r="G8" s="17"/>
      <c r="H8" s="15"/>
      <c r="I8" s="18"/>
    </row>
    <row r="9" spans="1:9" ht="13.8" x14ac:dyDescent="0.25">
      <c r="A9" s="64"/>
      <c r="B9" s="64"/>
      <c r="C9" s="65" t="s">
        <v>19</v>
      </c>
      <c r="D9" s="66" t="s">
        <v>20</v>
      </c>
      <c r="E9" s="67">
        <v>600</v>
      </c>
      <c r="F9" s="16" t="s">
        <v>21</v>
      </c>
      <c r="G9" s="332" t="s">
        <v>22</v>
      </c>
      <c r="H9" s="333"/>
      <c r="I9" s="22"/>
    </row>
    <row r="10" spans="1:9" ht="13.8" x14ac:dyDescent="0.25">
      <c r="A10" s="64"/>
      <c r="B10" s="64"/>
      <c r="C10" s="65" t="s">
        <v>63</v>
      </c>
      <c r="D10" s="66" t="s">
        <v>64</v>
      </c>
      <c r="E10" s="67">
        <v>80</v>
      </c>
      <c r="F10" s="16" t="s">
        <v>21</v>
      </c>
      <c r="G10" s="332" t="s">
        <v>23</v>
      </c>
      <c r="H10" s="333"/>
      <c r="I10" s="22"/>
    </row>
    <row r="11" spans="1:9" ht="13.8" thickBot="1" x14ac:dyDescent="0.3">
      <c r="A11" s="23"/>
      <c r="B11" s="224"/>
      <c r="C11" s="24"/>
      <c r="D11" s="21"/>
      <c r="E11" s="15"/>
      <c r="F11" s="16"/>
      <c r="G11" s="25"/>
      <c r="H11" s="26"/>
      <c r="I11" s="22"/>
    </row>
    <row r="12" spans="1:9" ht="13.8" thickBot="1" x14ac:dyDescent="0.3">
      <c r="A12" s="68"/>
      <c r="B12" s="225"/>
      <c r="C12" s="69" t="s">
        <v>24</v>
      </c>
      <c r="D12" s="70"/>
      <c r="E12" s="67"/>
      <c r="F12" s="71"/>
      <c r="G12" s="25"/>
      <c r="H12" s="26"/>
      <c r="I12" s="22"/>
    </row>
    <row r="13" spans="1:9" ht="13.8" x14ac:dyDescent="0.25">
      <c r="A13" s="72"/>
      <c r="B13" s="226"/>
      <c r="C13" s="73" t="s">
        <v>25</v>
      </c>
      <c r="D13" s="66" t="s">
        <v>20</v>
      </c>
      <c r="E13" s="67">
        <v>140</v>
      </c>
      <c r="F13" s="71" t="s">
        <v>21</v>
      </c>
      <c r="G13" s="25"/>
      <c r="H13" s="26"/>
      <c r="I13" s="28"/>
    </row>
    <row r="14" spans="1:9" ht="13.8" x14ac:dyDescent="0.25">
      <c r="A14" s="72"/>
      <c r="B14" s="226"/>
      <c r="C14" s="73" t="s">
        <v>26</v>
      </c>
      <c r="D14" s="66"/>
      <c r="E14" s="67"/>
      <c r="F14" s="71"/>
      <c r="G14" s="25"/>
      <c r="H14" s="26"/>
      <c r="I14" s="28"/>
    </row>
    <row r="15" spans="1:9" ht="13.8" x14ac:dyDescent="0.25">
      <c r="A15" s="72"/>
      <c r="B15" s="226"/>
      <c r="C15" s="73" t="s">
        <v>25</v>
      </c>
      <c r="D15" s="66" t="s">
        <v>20</v>
      </c>
      <c r="E15" s="67">
        <v>60</v>
      </c>
      <c r="F15" s="71" t="s">
        <v>21</v>
      </c>
      <c r="G15" s="25"/>
      <c r="H15" s="26"/>
      <c r="I15" s="28"/>
    </row>
    <row r="16" spans="1:9" ht="13.8" x14ac:dyDescent="0.25">
      <c r="A16" s="74"/>
      <c r="B16" s="226"/>
      <c r="C16" s="73" t="s">
        <v>27</v>
      </c>
      <c r="D16" s="66"/>
      <c r="E16" s="67"/>
      <c r="F16" s="71"/>
      <c r="G16" s="25"/>
      <c r="H16" s="26"/>
      <c r="I16" s="28"/>
    </row>
    <row r="17" spans="1:13" ht="13.8" x14ac:dyDescent="0.25">
      <c r="A17" s="64" t="s">
        <v>28</v>
      </c>
      <c r="B17" s="64"/>
      <c r="C17" s="65" t="s">
        <v>29</v>
      </c>
      <c r="D17" s="66" t="s">
        <v>30</v>
      </c>
      <c r="E17" s="67">
        <v>1</v>
      </c>
      <c r="F17" s="71" t="s">
        <v>21</v>
      </c>
      <c r="G17" s="25"/>
      <c r="H17" s="26"/>
      <c r="I17" s="22"/>
    </row>
    <row r="18" spans="1:13" ht="16.2" thickBot="1" x14ac:dyDescent="0.35">
      <c r="A18" s="29"/>
      <c r="B18" s="227"/>
      <c r="C18" s="20" t="s">
        <v>31</v>
      </c>
      <c r="D18" s="30"/>
      <c r="E18" s="31"/>
      <c r="F18" s="32"/>
      <c r="G18" s="25"/>
      <c r="H18" s="26"/>
      <c r="I18" s="33"/>
    </row>
    <row r="19" spans="1:13" ht="14.4" thickBot="1" x14ac:dyDescent="0.3">
      <c r="A19" s="34"/>
      <c r="B19" s="228"/>
      <c r="C19" s="35" t="s">
        <v>32</v>
      </c>
      <c r="D19" s="36"/>
      <c r="E19" s="25"/>
      <c r="F19" s="26"/>
      <c r="G19" s="17"/>
      <c r="H19" s="15"/>
      <c r="I19" s="33"/>
    </row>
    <row r="20" spans="1:13" ht="15.6" x14ac:dyDescent="0.3">
      <c r="A20" s="37" t="s">
        <v>33</v>
      </c>
      <c r="B20" s="229"/>
      <c r="C20" s="38" t="s">
        <v>34</v>
      </c>
      <c r="D20" s="39" t="s">
        <v>35</v>
      </c>
      <c r="E20" s="15">
        <v>1</v>
      </c>
      <c r="F20" s="16" t="s">
        <v>36</v>
      </c>
      <c r="G20" s="17"/>
      <c r="H20" s="15"/>
      <c r="I20" s="33"/>
    </row>
    <row r="21" spans="1:13" ht="15.6" x14ac:dyDescent="0.3">
      <c r="A21" s="37" t="s">
        <v>37</v>
      </c>
      <c r="B21" s="37"/>
      <c r="C21" s="40" t="s">
        <v>38</v>
      </c>
      <c r="D21" s="39" t="s">
        <v>39</v>
      </c>
      <c r="E21" s="15">
        <v>1</v>
      </c>
      <c r="F21" s="16" t="s">
        <v>36</v>
      </c>
      <c r="G21" s="17"/>
      <c r="H21" s="15"/>
      <c r="I21" s="33"/>
    </row>
    <row r="22" spans="1:13" ht="15.6" x14ac:dyDescent="0.3">
      <c r="A22" s="37" t="s">
        <v>40</v>
      </c>
      <c r="B22" s="37"/>
      <c r="C22" s="40" t="s">
        <v>41</v>
      </c>
      <c r="D22" s="39" t="s">
        <v>42</v>
      </c>
      <c r="E22" s="15">
        <v>1</v>
      </c>
      <c r="F22" s="16" t="s">
        <v>36</v>
      </c>
      <c r="G22" s="17"/>
      <c r="H22" s="15"/>
      <c r="I22" s="33"/>
    </row>
    <row r="23" spans="1:13" ht="15.6" x14ac:dyDescent="0.3">
      <c r="A23" s="37" t="s">
        <v>43</v>
      </c>
      <c r="B23" s="37"/>
      <c r="C23" s="40" t="s">
        <v>44</v>
      </c>
      <c r="D23" s="39" t="s">
        <v>42</v>
      </c>
      <c r="E23" s="15">
        <v>1</v>
      </c>
      <c r="F23" s="16" t="s">
        <v>36</v>
      </c>
      <c r="G23" s="17"/>
      <c r="H23" s="15"/>
      <c r="I23" s="33"/>
    </row>
    <row r="24" spans="1:13" ht="13.8" x14ac:dyDescent="0.25">
      <c r="A24" s="19" t="s">
        <v>45</v>
      </c>
      <c r="B24" s="19"/>
      <c r="C24" s="20" t="s">
        <v>46</v>
      </c>
      <c r="D24" s="41" t="s">
        <v>47</v>
      </c>
      <c r="E24" s="15">
        <v>1</v>
      </c>
      <c r="F24" s="16" t="s">
        <v>36</v>
      </c>
      <c r="G24" s="17"/>
      <c r="H24" s="17"/>
      <c r="I24" s="33"/>
    </row>
    <row r="25" spans="1:13" ht="13.8" x14ac:dyDescent="0.25">
      <c r="A25" s="27"/>
      <c r="B25" s="230"/>
      <c r="C25" s="20"/>
      <c r="D25" s="42"/>
      <c r="E25" s="43"/>
      <c r="F25" s="44"/>
      <c r="G25" s="17"/>
      <c r="H25" s="17"/>
      <c r="I25" s="33"/>
    </row>
    <row r="26" spans="1:13" ht="13.8" x14ac:dyDescent="0.25">
      <c r="A26" s="45"/>
      <c r="B26" s="231"/>
      <c r="C26" s="46"/>
      <c r="D26" s="42"/>
      <c r="E26" s="16"/>
      <c r="F26" s="16"/>
      <c r="G26" s="16"/>
      <c r="H26" s="16"/>
      <c r="I26" s="33"/>
    </row>
    <row r="27" spans="1:13" ht="13.8" thickBot="1" x14ac:dyDescent="0.3">
      <c r="A27" s="47"/>
      <c r="B27" s="232"/>
      <c r="E27" s="48"/>
      <c r="F27" s="49"/>
      <c r="I27" s="50"/>
      <c r="L27" s="51"/>
    </row>
    <row r="28" spans="1:13" ht="13.8" thickBot="1" x14ac:dyDescent="0.3">
      <c r="A28" s="52"/>
      <c r="B28" s="233"/>
      <c r="C28" s="53"/>
      <c r="D28" s="54" t="s">
        <v>15</v>
      </c>
      <c r="E28" s="55" t="s">
        <v>36</v>
      </c>
      <c r="F28" s="56"/>
      <c r="G28" s="53"/>
      <c r="H28" s="53"/>
      <c r="I28" s="57"/>
      <c r="L28" s="51"/>
    </row>
    <row r="29" spans="1:13" x14ac:dyDescent="0.25">
      <c r="A29" s="351" t="s">
        <v>48</v>
      </c>
      <c r="B29" s="352"/>
      <c r="C29" s="353"/>
      <c r="D29" s="25">
        <f>SUM(E9:E15)-D33</f>
        <v>850</v>
      </c>
      <c r="E29" s="58" t="s">
        <v>21</v>
      </c>
      <c r="F29" s="354" t="s">
        <v>49</v>
      </c>
      <c r="G29" s="354"/>
      <c r="H29" s="355"/>
      <c r="I29" s="356"/>
      <c r="L29" s="51"/>
    </row>
    <row r="30" spans="1:13" x14ac:dyDescent="0.25">
      <c r="A30" s="359" t="s">
        <v>50</v>
      </c>
      <c r="B30" s="360"/>
      <c r="C30" s="361"/>
      <c r="D30" s="59">
        <v>8</v>
      </c>
      <c r="E30" s="15" t="s">
        <v>51</v>
      </c>
      <c r="F30" s="362" t="s">
        <v>52</v>
      </c>
      <c r="G30" s="362"/>
      <c r="H30" s="363"/>
      <c r="I30" s="364"/>
      <c r="L30" s="51"/>
    </row>
    <row r="31" spans="1:13" x14ac:dyDescent="0.25">
      <c r="A31" s="359" t="s">
        <v>53</v>
      </c>
      <c r="B31" s="360"/>
      <c r="C31" s="361"/>
      <c r="D31" s="15">
        <v>1</v>
      </c>
      <c r="E31" s="15" t="s">
        <v>36</v>
      </c>
      <c r="F31" s="362" t="s">
        <v>54</v>
      </c>
      <c r="G31" s="362"/>
      <c r="H31" s="363"/>
      <c r="I31" s="364"/>
      <c r="L31" s="51"/>
    </row>
    <row r="32" spans="1:13" x14ac:dyDescent="0.25">
      <c r="A32" s="359" t="s">
        <v>55</v>
      </c>
      <c r="B32" s="360"/>
      <c r="C32" s="361"/>
      <c r="D32" s="17">
        <f>D29</f>
        <v>850</v>
      </c>
      <c r="E32" s="15" t="s">
        <v>21</v>
      </c>
      <c r="F32" s="365" t="s">
        <v>56</v>
      </c>
      <c r="G32" s="366"/>
      <c r="H32" s="363"/>
      <c r="I32" s="364"/>
      <c r="L32" s="51"/>
      <c r="M32" s="60"/>
    </row>
    <row r="33" spans="1:12" ht="13.8" thickBot="1" x14ac:dyDescent="0.3">
      <c r="A33" s="374" t="s">
        <v>57</v>
      </c>
      <c r="B33" s="375"/>
      <c r="C33" s="376"/>
      <c r="D33" s="61">
        <v>30</v>
      </c>
      <c r="E33" s="62" t="s">
        <v>21</v>
      </c>
      <c r="F33" s="377"/>
      <c r="G33" s="377"/>
      <c r="H33" s="378"/>
      <c r="I33" s="379"/>
      <c r="L33" s="51"/>
    </row>
    <row r="34" spans="1:12" ht="13.8" thickBot="1" x14ac:dyDescent="0.3">
      <c r="A34" s="380" t="s">
        <v>58</v>
      </c>
      <c r="B34" s="381"/>
      <c r="C34" s="381"/>
      <c r="D34" s="381"/>
      <c r="E34" s="381"/>
      <c r="F34" s="381"/>
      <c r="G34" s="381"/>
      <c r="H34" s="381"/>
      <c r="I34" s="382"/>
    </row>
    <row r="35" spans="1:12" ht="15.6" x14ac:dyDescent="0.3">
      <c r="A35" s="367" t="s">
        <v>59</v>
      </c>
      <c r="B35" s="368"/>
      <c r="C35" s="368"/>
      <c r="D35" s="368"/>
      <c r="E35" s="368"/>
      <c r="F35" s="368"/>
      <c r="G35" s="368"/>
      <c r="H35" s="368"/>
      <c r="I35" s="369"/>
    </row>
    <row r="36" spans="1:12" ht="15.6" x14ac:dyDescent="0.3">
      <c r="A36" s="367" t="s">
        <v>60</v>
      </c>
      <c r="B36" s="368"/>
      <c r="C36" s="368"/>
      <c r="D36" s="368"/>
      <c r="E36" s="368"/>
      <c r="F36" s="368"/>
      <c r="G36" s="368"/>
      <c r="H36" s="368"/>
      <c r="I36" s="369"/>
    </row>
    <row r="37" spans="1:12" ht="15.6" x14ac:dyDescent="0.3">
      <c r="A37" s="367" t="s">
        <v>61</v>
      </c>
      <c r="B37" s="368"/>
      <c r="C37" s="368"/>
      <c r="D37" s="368"/>
      <c r="E37" s="368"/>
      <c r="F37" s="368"/>
      <c r="G37" s="368"/>
      <c r="H37" s="368"/>
      <c r="I37" s="369"/>
    </row>
    <row r="38" spans="1:12" ht="13.8" thickBot="1" x14ac:dyDescent="0.3">
      <c r="A38" s="370"/>
      <c r="B38" s="371"/>
      <c r="C38" s="372"/>
      <c r="D38" s="372"/>
      <c r="E38" s="372"/>
      <c r="F38" s="372"/>
      <c r="G38" s="372"/>
      <c r="H38" s="372"/>
      <c r="I38" s="373"/>
    </row>
    <row r="40" spans="1:12" x14ac:dyDescent="0.25">
      <c r="A40" s="63"/>
      <c r="B40" s="63"/>
      <c r="C40" s="63"/>
    </row>
  </sheetData>
  <mergeCells count="36">
    <mergeCell ref="A38:I38"/>
    <mergeCell ref="A33:C33"/>
    <mergeCell ref="F33:G33"/>
    <mergeCell ref="H33:I33"/>
    <mergeCell ref="A34:I34"/>
    <mergeCell ref="A36:I36"/>
    <mergeCell ref="A32:C32"/>
    <mergeCell ref="F32:G32"/>
    <mergeCell ref="H32:I32"/>
    <mergeCell ref="A37:I37"/>
    <mergeCell ref="A35:I35"/>
    <mergeCell ref="A30:C30"/>
    <mergeCell ref="F30:G30"/>
    <mergeCell ref="H30:I30"/>
    <mergeCell ref="A31:C31"/>
    <mergeCell ref="F31:G31"/>
    <mergeCell ref="H31:I31"/>
    <mergeCell ref="G10:H10"/>
    <mergeCell ref="A29:C29"/>
    <mergeCell ref="F29:G29"/>
    <mergeCell ref="H29:I29"/>
    <mergeCell ref="B6:B7"/>
    <mergeCell ref="I3:I5"/>
    <mergeCell ref="D4:G4"/>
    <mergeCell ref="D5:G5"/>
    <mergeCell ref="G9:H9"/>
    <mergeCell ref="A1:A5"/>
    <mergeCell ref="C1:G1"/>
    <mergeCell ref="C2:G2"/>
    <mergeCell ref="C3:G3"/>
    <mergeCell ref="H3:H5"/>
    <mergeCell ref="A6:A7"/>
    <mergeCell ref="C6:C7"/>
    <mergeCell ref="D6:D7"/>
    <mergeCell ref="E6:F6"/>
    <mergeCell ref="G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8FD8-AB43-46E5-A080-13B5EAD0B85D}">
  <dimension ref="A1:I55"/>
  <sheetViews>
    <sheetView tabSelected="1" view="pageBreakPreview" zoomScale="60" zoomScaleNormal="70" workbookViewId="0">
      <selection activeCell="O15" sqref="O15"/>
    </sheetView>
  </sheetViews>
  <sheetFormatPr baseColWidth="10" defaultRowHeight="14.4" x14ac:dyDescent="0.3"/>
  <cols>
    <col min="1" max="1" width="15.44140625" bestFit="1" customWidth="1"/>
    <col min="2" max="2" width="13.5546875" bestFit="1" customWidth="1"/>
    <col min="3" max="3" width="85.44140625" customWidth="1"/>
    <col min="4" max="4" width="34.44140625" bestFit="1" customWidth="1"/>
    <col min="5" max="5" width="11.5546875" bestFit="1" customWidth="1"/>
    <col min="8" max="8" width="27" customWidth="1"/>
    <col min="9" max="9" width="21.109375" bestFit="1" customWidth="1"/>
  </cols>
  <sheetData>
    <row r="1" spans="1:9" ht="17.399999999999999" x14ac:dyDescent="0.3">
      <c r="A1" s="444"/>
      <c r="B1" s="445"/>
      <c r="C1" s="450" t="s">
        <v>0</v>
      </c>
      <c r="D1" s="450"/>
      <c r="E1" s="450"/>
      <c r="F1" s="450"/>
      <c r="G1" s="450"/>
      <c r="H1" s="234" t="s">
        <v>1</v>
      </c>
      <c r="I1" s="235" t="s">
        <v>200</v>
      </c>
    </row>
    <row r="2" spans="1:9" ht="18" customHeight="1" thickBot="1" x14ac:dyDescent="0.35">
      <c r="A2" s="446"/>
      <c r="B2" s="447"/>
      <c r="C2" s="451" t="s">
        <v>2</v>
      </c>
      <c r="D2" s="452"/>
      <c r="E2" s="452"/>
      <c r="F2" s="452"/>
      <c r="G2" s="453"/>
      <c r="H2" s="236" t="s">
        <v>3</v>
      </c>
      <c r="I2" s="237" t="s">
        <v>202</v>
      </c>
    </row>
    <row r="3" spans="1:9" ht="31.5" customHeight="1" thickBot="1" x14ac:dyDescent="0.35">
      <c r="A3" s="446"/>
      <c r="B3" s="447"/>
      <c r="C3" s="454" t="s">
        <v>189</v>
      </c>
      <c r="D3" s="455"/>
      <c r="E3" s="455"/>
      <c r="F3" s="455"/>
      <c r="G3" s="456"/>
      <c r="H3" s="457" t="s">
        <v>4</v>
      </c>
      <c r="I3" s="435">
        <v>45612</v>
      </c>
    </row>
    <row r="4" spans="1:9" ht="18" customHeight="1" x14ac:dyDescent="0.3">
      <c r="A4" s="446"/>
      <c r="B4" s="447"/>
      <c r="C4" s="238" t="s">
        <v>5</v>
      </c>
      <c r="D4" s="438" t="s">
        <v>66</v>
      </c>
      <c r="E4" s="439"/>
      <c r="F4" s="439"/>
      <c r="G4" s="440"/>
      <c r="H4" s="458"/>
      <c r="I4" s="436"/>
    </row>
    <row r="5" spans="1:9" ht="18" thickBot="1" x14ac:dyDescent="0.35">
      <c r="A5" s="448"/>
      <c r="B5" s="449"/>
      <c r="C5" s="239" t="s">
        <v>7</v>
      </c>
      <c r="D5" s="441" t="s">
        <v>169</v>
      </c>
      <c r="E5" s="442"/>
      <c r="F5" s="442"/>
      <c r="G5" s="443"/>
      <c r="H5" s="459"/>
      <c r="I5" s="437"/>
    </row>
    <row r="6" spans="1:9" ht="18" thickBot="1" x14ac:dyDescent="0.35">
      <c r="A6" s="426" t="s">
        <v>187</v>
      </c>
      <c r="B6" s="426"/>
      <c r="C6" s="426"/>
      <c r="D6" s="427" t="s">
        <v>24</v>
      </c>
      <c r="E6" s="427"/>
      <c r="F6" s="427"/>
      <c r="G6" s="428" t="s">
        <v>188</v>
      </c>
      <c r="H6" s="428"/>
      <c r="I6" s="240" t="s">
        <v>24</v>
      </c>
    </row>
    <row r="7" spans="1:9" ht="34.799999999999997" x14ac:dyDescent="0.3">
      <c r="A7" s="429" t="s">
        <v>9</v>
      </c>
      <c r="B7" s="431" t="s">
        <v>183</v>
      </c>
      <c r="C7" s="433" t="s">
        <v>10</v>
      </c>
      <c r="D7" s="433" t="s">
        <v>11</v>
      </c>
      <c r="E7" s="433" t="s">
        <v>12</v>
      </c>
      <c r="F7" s="433"/>
      <c r="G7" s="433" t="s">
        <v>13</v>
      </c>
      <c r="H7" s="433"/>
      <c r="I7" s="241" t="s">
        <v>14</v>
      </c>
    </row>
    <row r="8" spans="1:9" ht="35.4" thickBot="1" x14ac:dyDescent="0.35">
      <c r="A8" s="430"/>
      <c r="B8" s="432"/>
      <c r="C8" s="434"/>
      <c r="D8" s="434"/>
      <c r="E8" s="242" t="s">
        <v>15</v>
      </c>
      <c r="F8" s="243" t="s">
        <v>16</v>
      </c>
      <c r="G8" s="242" t="s">
        <v>15</v>
      </c>
      <c r="H8" s="243" t="s">
        <v>16</v>
      </c>
      <c r="I8" s="244" t="s">
        <v>17</v>
      </c>
    </row>
    <row r="9" spans="1:9" ht="18" x14ac:dyDescent="0.35">
      <c r="A9" s="245"/>
      <c r="B9" s="246"/>
      <c r="C9" s="247" t="s">
        <v>18</v>
      </c>
      <c r="D9" s="248"/>
      <c r="E9" s="249"/>
      <c r="F9" s="250"/>
      <c r="G9" s="249"/>
      <c r="H9" s="250"/>
      <c r="I9" s="251"/>
    </row>
    <row r="10" spans="1:9" ht="18" customHeight="1" x14ac:dyDescent="0.35">
      <c r="A10" s="252">
        <v>907000300</v>
      </c>
      <c r="B10" s="253" t="s">
        <v>173</v>
      </c>
      <c r="C10" s="254" t="s">
        <v>190</v>
      </c>
      <c r="D10" s="255" t="s">
        <v>78</v>
      </c>
      <c r="E10" s="256">
        <v>500</v>
      </c>
      <c r="F10" s="257" t="s">
        <v>21</v>
      </c>
      <c r="G10" s="258"/>
      <c r="H10" s="259" t="s">
        <v>191</v>
      </c>
      <c r="I10" s="251"/>
    </row>
    <row r="11" spans="1:9" ht="18" x14ac:dyDescent="0.35">
      <c r="A11" s="260">
        <v>11700002</v>
      </c>
      <c r="B11" s="253" t="s">
        <v>174</v>
      </c>
      <c r="C11" s="261" t="s">
        <v>192</v>
      </c>
      <c r="D11" s="255" t="s">
        <v>170</v>
      </c>
      <c r="E11" s="256">
        <v>70</v>
      </c>
      <c r="F11" s="257" t="s">
        <v>21</v>
      </c>
      <c r="G11" s="262"/>
      <c r="H11" s="259" t="s">
        <v>193</v>
      </c>
      <c r="I11" s="251"/>
    </row>
    <row r="12" spans="1:9" ht="18" x14ac:dyDescent="0.35">
      <c r="A12" s="263"/>
      <c r="B12" s="263"/>
      <c r="C12" s="264"/>
      <c r="D12" s="265"/>
      <c r="E12" s="266"/>
      <c r="F12" s="267"/>
      <c r="G12" s="268"/>
      <c r="H12" s="259"/>
      <c r="I12" s="251"/>
    </row>
    <row r="13" spans="1:9" ht="18" x14ac:dyDescent="0.35">
      <c r="A13" s="269"/>
      <c r="B13" s="260"/>
      <c r="C13" s="261"/>
      <c r="D13" s="270"/>
      <c r="E13" s="271"/>
      <c r="F13" s="272"/>
      <c r="G13" s="273"/>
      <c r="H13" s="259"/>
      <c r="I13" s="251"/>
    </row>
    <row r="14" spans="1:9" ht="18" x14ac:dyDescent="0.35">
      <c r="A14" s="260"/>
      <c r="B14" s="260"/>
      <c r="C14" s="261"/>
      <c r="D14" s="274"/>
      <c r="E14" s="275"/>
      <c r="F14" s="276"/>
      <c r="G14" s="273"/>
      <c r="H14" s="259"/>
      <c r="I14" s="251"/>
    </row>
    <row r="15" spans="1:9" ht="18" x14ac:dyDescent="0.35">
      <c r="A15" s="260"/>
      <c r="B15" s="260"/>
      <c r="C15" s="261"/>
      <c r="D15" s="274"/>
      <c r="E15" s="275"/>
      <c r="F15" s="276"/>
      <c r="G15" s="273"/>
      <c r="H15" s="259"/>
      <c r="I15" s="251"/>
    </row>
    <row r="16" spans="1:9" ht="18" x14ac:dyDescent="0.35">
      <c r="A16" s="260"/>
      <c r="B16" s="260"/>
      <c r="C16" s="261"/>
      <c r="D16" s="274"/>
      <c r="E16" s="275"/>
      <c r="F16" s="276"/>
      <c r="G16" s="249"/>
      <c r="H16" s="259"/>
      <c r="I16" s="251"/>
    </row>
    <row r="17" spans="1:9" ht="18" x14ac:dyDescent="0.35">
      <c r="A17" s="277"/>
      <c r="B17" s="278"/>
      <c r="C17" s="279" t="s">
        <v>24</v>
      </c>
      <c r="D17" s="280"/>
      <c r="E17" s="262"/>
      <c r="F17" s="281"/>
      <c r="G17" s="249"/>
      <c r="H17" s="250"/>
      <c r="I17" s="251"/>
    </row>
    <row r="18" spans="1:9" ht="18" x14ac:dyDescent="0.35">
      <c r="A18" s="260">
        <v>95717</v>
      </c>
      <c r="B18" s="260" t="s">
        <v>175</v>
      </c>
      <c r="C18" s="261" t="s">
        <v>77</v>
      </c>
      <c r="D18" s="255" t="s">
        <v>78</v>
      </c>
      <c r="E18" s="256">
        <v>140</v>
      </c>
      <c r="F18" s="257" t="s">
        <v>21</v>
      </c>
      <c r="G18" s="249"/>
      <c r="H18" s="250" t="s">
        <v>194</v>
      </c>
      <c r="I18" s="251"/>
    </row>
    <row r="19" spans="1:9" ht="35.4" x14ac:dyDescent="0.35">
      <c r="A19" s="260">
        <v>905000100</v>
      </c>
      <c r="B19" s="260" t="s">
        <v>176</v>
      </c>
      <c r="C19" s="261" t="s">
        <v>84</v>
      </c>
      <c r="D19" s="255" t="s">
        <v>78</v>
      </c>
      <c r="E19" s="256">
        <v>30</v>
      </c>
      <c r="F19" s="257" t="s">
        <v>21</v>
      </c>
      <c r="G19" s="249"/>
      <c r="H19" s="250" t="s">
        <v>195</v>
      </c>
      <c r="I19" s="251"/>
    </row>
    <row r="20" spans="1:9" ht="35.4" x14ac:dyDescent="0.35">
      <c r="A20" s="260">
        <v>905000101</v>
      </c>
      <c r="B20" s="260" t="s">
        <v>177</v>
      </c>
      <c r="C20" s="261" t="s">
        <v>86</v>
      </c>
      <c r="D20" s="255" t="s">
        <v>78</v>
      </c>
      <c r="E20" s="256">
        <v>20</v>
      </c>
      <c r="F20" s="257" t="s">
        <v>21</v>
      </c>
      <c r="G20" s="249"/>
      <c r="H20" s="250" t="s">
        <v>195</v>
      </c>
      <c r="I20" s="251"/>
    </row>
    <row r="21" spans="1:9" ht="18" x14ac:dyDescent="0.35">
      <c r="A21" s="263"/>
      <c r="B21" s="263"/>
      <c r="C21" s="264"/>
      <c r="D21" s="265"/>
      <c r="E21" s="266"/>
      <c r="F21" s="267"/>
      <c r="G21" s="249"/>
      <c r="H21" s="250"/>
      <c r="I21" s="251"/>
    </row>
    <row r="22" spans="1:9" ht="18" x14ac:dyDescent="0.35">
      <c r="A22" s="269"/>
      <c r="B22" s="260"/>
      <c r="C22" s="261"/>
      <c r="D22" s="270"/>
      <c r="E22" s="271"/>
      <c r="F22" s="282"/>
      <c r="G22" s="249"/>
      <c r="H22" s="250"/>
      <c r="I22" s="251"/>
    </row>
    <row r="23" spans="1:9" ht="18" x14ac:dyDescent="0.35">
      <c r="A23" s="253"/>
      <c r="B23" s="253"/>
      <c r="C23" s="283"/>
      <c r="D23" s="284"/>
      <c r="E23" s="285"/>
      <c r="F23" s="286"/>
      <c r="G23" s="249"/>
      <c r="H23" s="250"/>
      <c r="I23" s="251"/>
    </row>
    <row r="24" spans="1:9" ht="18" x14ac:dyDescent="0.35">
      <c r="A24" s="260"/>
      <c r="B24" s="260"/>
      <c r="C24" s="261"/>
      <c r="D24" s="287"/>
      <c r="E24" s="288"/>
      <c r="F24" s="286"/>
      <c r="G24" s="249"/>
      <c r="H24" s="250"/>
      <c r="I24" s="251"/>
    </row>
    <row r="25" spans="1:9" ht="18" x14ac:dyDescent="0.35">
      <c r="A25" s="260"/>
      <c r="B25" s="260"/>
      <c r="C25" s="261"/>
      <c r="D25" s="287"/>
      <c r="E25" s="289"/>
      <c r="F25" s="257"/>
      <c r="G25" s="249"/>
      <c r="H25" s="250"/>
      <c r="I25" s="251"/>
    </row>
    <row r="26" spans="1:9" ht="18" x14ac:dyDescent="0.35">
      <c r="A26" s="290"/>
      <c r="B26" s="291"/>
      <c r="C26" s="292" t="s">
        <v>196</v>
      </c>
      <c r="D26" s="293"/>
      <c r="E26" s="294"/>
      <c r="F26" s="250"/>
      <c r="G26" s="249"/>
      <c r="H26" s="283"/>
      <c r="I26" s="251"/>
    </row>
    <row r="27" spans="1:9" ht="18" x14ac:dyDescent="0.35">
      <c r="A27" s="295">
        <v>121603</v>
      </c>
      <c r="B27" s="295" t="s">
        <v>178</v>
      </c>
      <c r="C27" s="296" t="s">
        <v>69</v>
      </c>
      <c r="D27" s="297" t="s">
        <v>70</v>
      </c>
      <c r="E27" s="266">
        <v>1</v>
      </c>
      <c r="F27" s="276" t="s">
        <v>71</v>
      </c>
      <c r="G27" s="298"/>
      <c r="H27" s="250"/>
      <c r="I27" s="251"/>
    </row>
    <row r="28" spans="1:9" ht="18" x14ac:dyDescent="0.35">
      <c r="A28" s="295">
        <v>1952875</v>
      </c>
      <c r="B28" s="295" t="s">
        <v>179</v>
      </c>
      <c r="C28" s="296" t="s">
        <v>79</v>
      </c>
      <c r="D28" s="299" t="s">
        <v>197</v>
      </c>
      <c r="E28" s="275">
        <v>1</v>
      </c>
      <c r="F28" s="276" t="s">
        <v>71</v>
      </c>
      <c r="G28" s="298"/>
      <c r="H28" s="250"/>
      <c r="I28" s="251"/>
    </row>
    <row r="29" spans="1:9" ht="18" x14ac:dyDescent="0.35">
      <c r="A29" s="295">
        <v>702069</v>
      </c>
      <c r="B29" s="295" t="s">
        <v>184</v>
      </c>
      <c r="C29" s="296" t="s">
        <v>46</v>
      </c>
      <c r="D29" s="265" t="s">
        <v>198</v>
      </c>
      <c r="E29" s="266">
        <v>1</v>
      </c>
      <c r="F29" s="266" t="s">
        <v>71</v>
      </c>
      <c r="G29" s="298"/>
      <c r="H29" s="250"/>
      <c r="I29" s="251"/>
    </row>
    <row r="30" spans="1:9" ht="18" x14ac:dyDescent="0.35">
      <c r="A30" s="295"/>
      <c r="B30" s="295" t="s">
        <v>185</v>
      </c>
      <c r="C30" s="296" t="s">
        <v>186</v>
      </c>
      <c r="D30" s="265"/>
      <c r="E30" s="266">
        <v>1</v>
      </c>
      <c r="F30" s="266" t="s">
        <v>71</v>
      </c>
      <c r="G30" s="249"/>
      <c r="H30" s="250"/>
      <c r="I30" s="251"/>
    </row>
    <row r="31" spans="1:9" ht="18" x14ac:dyDescent="0.35">
      <c r="A31" s="295">
        <v>701096</v>
      </c>
      <c r="B31" s="295" t="s">
        <v>180</v>
      </c>
      <c r="C31" s="296" t="s">
        <v>75</v>
      </c>
      <c r="D31" s="265" t="s">
        <v>199</v>
      </c>
      <c r="E31" s="266">
        <v>1</v>
      </c>
      <c r="F31" s="266" t="s">
        <v>71</v>
      </c>
      <c r="G31" s="249"/>
      <c r="H31" s="250"/>
      <c r="I31" s="251"/>
    </row>
    <row r="32" spans="1:9" ht="18" x14ac:dyDescent="0.35">
      <c r="A32" s="300">
        <v>702123</v>
      </c>
      <c r="B32" s="253" t="s">
        <v>181</v>
      </c>
      <c r="C32" s="283" t="s">
        <v>81</v>
      </c>
      <c r="D32" s="265"/>
      <c r="E32" s="266">
        <v>1</v>
      </c>
      <c r="F32" s="266" t="s">
        <v>71</v>
      </c>
      <c r="G32" s="301"/>
      <c r="H32" s="250"/>
      <c r="I32" s="251"/>
    </row>
    <row r="33" spans="1:9" ht="18" x14ac:dyDescent="0.35">
      <c r="A33" s="302">
        <v>703020</v>
      </c>
      <c r="B33" s="303" t="s">
        <v>182</v>
      </c>
      <c r="C33" s="304" t="s">
        <v>167</v>
      </c>
      <c r="D33" s="297"/>
      <c r="E33" s="266">
        <v>60</v>
      </c>
      <c r="F33" s="267" t="s">
        <v>168</v>
      </c>
      <c r="G33" s="305"/>
      <c r="H33" s="250"/>
      <c r="I33" s="251"/>
    </row>
    <row r="34" spans="1:9" ht="18" x14ac:dyDescent="0.35">
      <c r="A34" s="277"/>
      <c r="B34" s="278"/>
      <c r="C34" s="306"/>
      <c r="D34" s="295"/>
      <c r="E34" s="305"/>
      <c r="F34" s="281"/>
      <c r="G34" s="305"/>
      <c r="H34" s="281"/>
      <c r="I34" s="251"/>
    </row>
    <row r="35" spans="1:9" ht="18" x14ac:dyDescent="0.35">
      <c r="A35" s="277"/>
      <c r="B35" s="278"/>
      <c r="C35" s="306"/>
      <c r="D35" s="280"/>
      <c r="E35" s="280"/>
      <c r="F35" s="281"/>
      <c r="G35" s="280"/>
      <c r="H35" s="280"/>
      <c r="I35" s="251"/>
    </row>
    <row r="36" spans="1:9" ht="18" thickBot="1" x14ac:dyDescent="0.35">
      <c r="A36" s="307"/>
      <c r="B36" s="308"/>
      <c r="C36" s="309"/>
      <c r="D36" s="309"/>
      <c r="E36" s="310"/>
      <c r="F36" s="311"/>
      <c r="G36" s="309"/>
      <c r="H36" s="309"/>
      <c r="I36" s="312"/>
    </row>
    <row r="37" spans="1:9" ht="18" thickBot="1" x14ac:dyDescent="0.35">
      <c r="A37" s="313"/>
      <c r="B37" s="314"/>
      <c r="C37" s="315"/>
      <c r="D37" s="316" t="s">
        <v>15</v>
      </c>
      <c r="E37" s="317" t="s">
        <v>36</v>
      </c>
      <c r="F37" s="318"/>
      <c r="G37" s="315"/>
      <c r="H37" s="315"/>
      <c r="I37" s="319"/>
    </row>
    <row r="38" spans="1:9" ht="17.399999999999999" x14ac:dyDescent="0.3">
      <c r="A38" s="420" t="s">
        <v>48</v>
      </c>
      <c r="B38" s="421"/>
      <c r="C38" s="422"/>
      <c r="D38" s="288">
        <v>755</v>
      </c>
      <c r="E38" s="320" t="s">
        <v>21</v>
      </c>
      <c r="F38" s="423" t="s">
        <v>49</v>
      </c>
      <c r="G38" s="423"/>
      <c r="H38" s="424"/>
      <c r="I38" s="425"/>
    </row>
    <row r="39" spans="1:9" ht="17.399999999999999" x14ac:dyDescent="0.3">
      <c r="A39" s="403" t="s">
        <v>50</v>
      </c>
      <c r="B39" s="404"/>
      <c r="C39" s="405"/>
      <c r="D39" s="321">
        <v>8</v>
      </c>
      <c r="E39" s="256" t="s">
        <v>73</v>
      </c>
      <c r="F39" s="406" t="s">
        <v>52</v>
      </c>
      <c r="G39" s="406"/>
      <c r="H39" s="407"/>
      <c r="I39" s="408"/>
    </row>
    <row r="40" spans="1:9" ht="17.399999999999999" x14ac:dyDescent="0.3">
      <c r="A40" s="403" t="s">
        <v>53</v>
      </c>
      <c r="B40" s="404"/>
      <c r="C40" s="405"/>
      <c r="D40" s="256">
        <v>1</v>
      </c>
      <c r="E40" s="256" t="s">
        <v>71</v>
      </c>
      <c r="F40" s="406" t="s">
        <v>54</v>
      </c>
      <c r="G40" s="406"/>
      <c r="H40" s="407"/>
      <c r="I40" s="408"/>
    </row>
    <row r="41" spans="1:9" ht="17.399999999999999" x14ac:dyDescent="0.3">
      <c r="A41" s="403" t="s">
        <v>55</v>
      </c>
      <c r="B41" s="404"/>
      <c r="C41" s="405"/>
      <c r="D41" s="289">
        <v>755</v>
      </c>
      <c r="E41" s="256" t="s">
        <v>21</v>
      </c>
      <c r="F41" s="409" t="s">
        <v>56</v>
      </c>
      <c r="G41" s="410"/>
      <c r="H41" s="411"/>
      <c r="I41" s="412"/>
    </row>
    <row r="42" spans="1:9" ht="18" thickBot="1" x14ac:dyDescent="0.35">
      <c r="A42" s="413" t="s">
        <v>57</v>
      </c>
      <c r="B42" s="414"/>
      <c r="C42" s="415"/>
      <c r="D42" s="322">
        <f>SUM(E10:E20)-D38</f>
        <v>5</v>
      </c>
      <c r="E42" s="323" t="s">
        <v>21</v>
      </c>
      <c r="F42" s="416"/>
      <c r="G42" s="416"/>
      <c r="H42" s="407"/>
      <c r="I42" s="408"/>
    </row>
    <row r="43" spans="1:9" ht="18" thickBot="1" x14ac:dyDescent="0.35">
      <c r="A43" s="417" t="s">
        <v>58</v>
      </c>
      <c r="B43" s="418"/>
      <c r="C43" s="418"/>
      <c r="D43" s="418"/>
      <c r="E43" s="418"/>
      <c r="F43" s="418"/>
      <c r="G43" s="418"/>
      <c r="H43" s="418"/>
      <c r="I43" s="419"/>
    </row>
    <row r="44" spans="1:9" ht="18.45" customHeight="1" x14ac:dyDescent="0.35">
      <c r="A44" s="391" t="s">
        <v>171</v>
      </c>
      <c r="B44" s="392"/>
      <c r="C44" s="392"/>
      <c r="D44" s="392"/>
      <c r="E44" s="392"/>
      <c r="F44" s="392"/>
      <c r="G44" s="392"/>
      <c r="H44" s="392"/>
      <c r="I44" s="393"/>
    </row>
    <row r="45" spans="1:9" ht="14.7" customHeight="1" x14ac:dyDescent="0.35">
      <c r="A45" s="391" t="s">
        <v>60</v>
      </c>
      <c r="B45" s="392"/>
      <c r="C45" s="392"/>
      <c r="D45" s="392"/>
      <c r="E45" s="392"/>
      <c r="F45" s="392"/>
      <c r="G45" s="392"/>
      <c r="H45" s="392"/>
      <c r="I45" s="393"/>
    </row>
    <row r="46" spans="1:9" ht="14.7" customHeight="1" x14ac:dyDescent="0.35">
      <c r="A46" s="391" t="s">
        <v>61</v>
      </c>
      <c r="B46" s="392"/>
      <c r="C46" s="392"/>
      <c r="D46" s="392"/>
      <c r="E46" s="392"/>
      <c r="F46" s="392"/>
      <c r="G46" s="392"/>
      <c r="H46" s="392"/>
      <c r="I46" s="393"/>
    </row>
    <row r="47" spans="1:9" ht="14.7" customHeight="1" x14ac:dyDescent="0.35">
      <c r="A47" s="394"/>
      <c r="B47" s="395"/>
      <c r="C47" s="395"/>
      <c r="D47" s="395"/>
      <c r="E47" s="395"/>
      <c r="F47" s="395"/>
      <c r="G47" s="395"/>
      <c r="H47" s="395"/>
      <c r="I47" s="396"/>
    </row>
    <row r="48" spans="1:9" ht="14.7" customHeight="1" x14ac:dyDescent="0.35">
      <c r="A48" s="397"/>
      <c r="B48" s="398"/>
      <c r="C48" s="398"/>
      <c r="D48" s="398"/>
      <c r="E48" s="398"/>
      <c r="F48" s="398"/>
      <c r="G48" s="398"/>
      <c r="H48" s="398"/>
      <c r="I48" s="399"/>
    </row>
    <row r="49" spans="1:9" ht="14.7" customHeight="1" x14ac:dyDescent="0.3">
      <c r="A49" s="400"/>
      <c r="B49" s="401"/>
      <c r="C49" s="401"/>
      <c r="D49" s="401"/>
      <c r="E49" s="401"/>
      <c r="F49" s="401"/>
      <c r="G49" s="401"/>
      <c r="H49" s="401"/>
      <c r="I49" s="402"/>
    </row>
    <row r="50" spans="1:9" ht="18" customHeight="1" x14ac:dyDescent="0.3">
      <c r="A50" s="400"/>
      <c r="B50" s="401"/>
      <c r="C50" s="401"/>
      <c r="D50" s="401"/>
      <c r="E50" s="401"/>
      <c r="F50" s="401"/>
      <c r="G50" s="401"/>
      <c r="H50" s="401"/>
      <c r="I50" s="402"/>
    </row>
    <row r="51" spans="1:9" ht="17.399999999999999" x14ac:dyDescent="0.3">
      <c r="A51" s="400"/>
      <c r="B51" s="401"/>
      <c r="C51" s="401"/>
      <c r="D51" s="401"/>
      <c r="E51" s="401"/>
      <c r="F51" s="401"/>
      <c r="G51" s="401"/>
      <c r="H51" s="401"/>
      <c r="I51" s="402"/>
    </row>
    <row r="52" spans="1:9" ht="18" thickBot="1" x14ac:dyDescent="0.35">
      <c r="A52" s="383"/>
      <c r="B52" s="384"/>
      <c r="C52" s="384"/>
      <c r="D52" s="384"/>
      <c r="E52" s="384"/>
      <c r="F52" s="384"/>
      <c r="G52" s="384"/>
      <c r="H52" s="384"/>
      <c r="I52" s="385"/>
    </row>
    <row r="53" spans="1:9" ht="17.399999999999999" x14ac:dyDescent="0.3">
      <c r="A53" s="386" t="s">
        <v>76</v>
      </c>
      <c r="B53" s="387"/>
      <c r="C53" s="387"/>
      <c r="D53" s="387"/>
      <c r="E53" s="387"/>
      <c r="F53" s="387"/>
      <c r="G53" s="387"/>
      <c r="H53" s="387"/>
      <c r="I53" s="387"/>
    </row>
    <row r="54" spans="1:9" ht="17.399999999999999" x14ac:dyDescent="0.3">
      <c r="A54" s="388" t="s">
        <v>201</v>
      </c>
      <c r="B54" s="388"/>
      <c r="C54" s="388"/>
      <c r="D54" s="388"/>
      <c r="E54" s="388"/>
      <c r="F54" s="388"/>
      <c r="G54" s="388"/>
      <c r="H54" s="388"/>
      <c r="I54" s="388"/>
    </row>
    <row r="55" spans="1:9" ht="17.399999999999999" x14ac:dyDescent="0.3">
      <c r="A55" s="389"/>
      <c r="B55" s="390"/>
      <c r="C55" s="390"/>
      <c r="D55" s="390"/>
      <c r="E55" s="390"/>
      <c r="F55" s="390"/>
      <c r="G55" s="390"/>
      <c r="H55" s="390"/>
      <c r="I55" s="39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3F72-1A05-41BF-884C-921E8F30E7A5}">
  <dimension ref="A1:Q91"/>
  <sheetViews>
    <sheetView topLeftCell="A37" workbookViewId="0">
      <selection activeCell="F55" sqref="F55"/>
    </sheetView>
  </sheetViews>
  <sheetFormatPr baseColWidth="10" defaultColWidth="8.44140625" defaultRowHeight="13.2" x14ac:dyDescent="0.3"/>
  <cols>
    <col min="1" max="1" width="10" style="81" bestFit="1" customWidth="1"/>
    <col min="2" max="2" width="44.33203125" style="81" bestFit="1" customWidth="1"/>
    <col min="3" max="3" width="10.44140625" style="81" bestFit="1" customWidth="1"/>
    <col min="4" max="4" width="10.44140625" style="81" customWidth="1"/>
    <col min="5" max="5" width="9.6640625" style="81" bestFit="1" customWidth="1"/>
    <col min="6" max="6" width="9.5546875" style="81" bestFit="1" customWidth="1"/>
    <col min="7" max="7" width="9.5546875" style="160" bestFit="1" customWidth="1"/>
    <col min="8" max="8" width="10.44140625" style="161" bestFit="1" customWidth="1"/>
    <col min="9" max="9" width="4.5546875" style="161" customWidth="1"/>
    <col min="10" max="10" width="1.6640625" style="80" customWidth="1"/>
    <col min="11" max="11" width="7" style="81" bestFit="1" customWidth="1"/>
    <col min="12" max="12" width="6.33203125" style="81" customWidth="1"/>
    <col min="13" max="13" width="20.44140625" style="81" customWidth="1"/>
    <col min="14" max="14" width="6.44140625" style="81" bestFit="1" customWidth="1"/>
    <col min="15" max="16" width="8.44140625" style="81"/>
    <col min="17" max="17" width="3.33203125" style="81" customWidth="1"/>
    <col min="18" max="16384" width="8.44140625" style="81"/>
  </cols>
  <sheetData>
    <row r="1" spans="1:10" ht="27.75" customHeight="1" x14ac:dyDescent="0.3">
      <c r="A1" s="76"/>
      <c r="B1" s="76"/>
      <c r="C1" s="76"/>
      <c r="D1" s="76"/>
      <c r="E1" s="77" t="s">
        <v>87</v>
      </c>
      <c r="F1" s="78" t="s">
        <v>88</v>
      </c>
      <c r="G1" s="78" t="s">
        <v>89</v>
      </c>
      <c r="H1" s="78" t="s">
        <v>90</v>
      </c>
      <c r="I1" s="79"/>
    </row>
    <row r="2" spans="1:10" ht="30.75" customHeight="1" x14ac:dyDescent="0.3">
      <c r="A2" s="76"/>
      <c r="B2" s="76"/>
      <c r="C2" s="76"/>
      <c r="D2" s="76"/>
      <c r="E2" s="82">
        <f>IFERROR(O62,"")</f>
        <v>3052.1161762582647</v>
      </c>
      <c r="F2" s="82">
        <f>IFERROR(H53,"")</f>
        <v>1090.9909325887991</v>
      </c>
      <c r="G2" s="82">
        <f>IFERROR(H54,"")</f>
        <v>675.79484328993885</v>
      </c>
      <c r="H2" s="82">
        <f>IFERROR(H56,"")</f>
        <v>540.96821494020048</v>
      </c>
      <c r="I2" s="83"/>
    </row>
    <row r="3" spans="1:10" ht="15" customHeight="1" x14ac:dyDescent="0.3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5">
      <c r="A4" s="462"/>
      <c r="B4" s="462"/>
      <c r="C4" s="462"/>
      <c r="D4" s="462"/>
      <c r="E4" s="462"/>
      <c r="F4" s="462"/>
      <c r="G4" s="462"/>
      <c r="H4" s="462"/>
      <c r="I4" s="85"/>
    </row>
    <row r="5" spans="1:10" ht="19.5" customHeight="1" thickBot="1" x14ac:dyDescent="0.35">
      <c r="A5" s="463" t="s">
        <v>91</v>
      </c>
      <c r="B5" s="464"/>
      <c r="C5" s="464"/>
      <c r="D5" s="464"/>
      <c r="E5" s="464"/>
      <c r="F5" s="464"/>
      <c r="G5" s="464"/>
      <c r="H5" s="465"/>
      <c r="I5" s="86"/>
    </row>
    <row r="6" spans="1:10" ht="18" thickBot="1" x14ac:dyDescent="0.35">
      <c r="A6" s="86"/>
      <c r="B6" s="86"/>
      <c r="C6" s="86"/>
      <c r="D6" s="86"/>
      <c r="E6" s="86"/>
      <c r="F6" s="466" t="s">
        <v>92</v>
      </c>
      <c r="G6" s="466"/>
      <c r="H6" s="87">
        <f ca="1">TODAY()</f>
        <v>45866</v>
      </c>
      <c r="I6" s="87"/>
    </row>
    <row r="7" spans="1:10" ht="40.200000000000003" thickBot="1" x14ac:dyDescent="0.35">
      <c r="A7" s="88" t="s">
        <v>93</v>
      </c>
      <c r="B7" s="89" t="s">
        <v>94</v>
      </c>
      <c r="C7" s="89" t="s">
        <v>93</v>
      </c>
      <c r="D7" s="90" t="s">
        <v>95</v>
      </c>
      <c r="E7" s="90" t="s">
        <v>96</v>
      </c>
      <c r="F7" s="90" t="s">
        <v>97</v>
      </c>
      <c r="G7" s="90" t="s">
        <v>98</v>
      </c>
      <c r="H7" s="91" t="s">
        <v>99</v>
      </c>
      <c r="I7" s="92"/>
    </row>
    <row r="8" spans="1:10" ht="13.8" x14ac:dyDescent="0.3">
      <c r="A8" s="171">
        <v>80</v>
      </c>
      <c r="B8" s="172" t="str">
        <f>IFERROR(VLOOKUP(H8,'[1]Consolidado MP Planta'!$A$2:$M$823,3,0),"")</f>
        <v>MANJAR LECHE CONDENSADA (PAQ: 4.5 K)</v>
      </c>
      <c r="C8" s="94">
        <f>+A8</f>
        <v>80</v>
      </c>
      <c r="D8" s="95" t="str">
        <f>IFERROR(VLOOKUP(H8,'[1]Consolidado MP Planta'!$A$2:$M$823,13,0),"")</f>
        <v>Gramos</v>
      </c>
      <c r="E8" s="95">
        <f>IFERROR(VLOOKUP(H8,'[1]Consolidado MP Planta'!$A$2:$M$823,12,0),"")</f>
        <v>2.5188888888888887</v>
      </c>
      <c r="F8" s="95">
        <f>IFERROR(C8*E8,"")</f>
        <v>201.51111111111109</v>
      </c>
      <c r="G8" s="96">
        <f t="shared" ref="G8:G14" si="0">IFERROR(F8/$F$66,"")</f>
        <v>9.0420266199485219E-2</v>
      </c>
      <c r="H8" s="97" t="s">
        <v>67</v>
      </c>
      <c r="I8" s="97"/>
      <c r="J8" s="98"/>
    </row>
    <row r="9" spans="1:10" ht="13.8" hidden="1" x14ac:dyDescent="0.3">
      <c r="A9" s="93"/>
      <c r="B9" s="81" t="str">
        <f>IFERROR(VLOOKUP(H9,'[1]Consolidado MP Planta'!$A$2:$M$823,3,0),"")</f>
        <v/>
      </c>
      <c r="C9" s="94">
        <f t="shared" ref="C9:C14" si="1">+A9</f>
        <v>0</v>
      </c>
      <c r="D9" s="95" t="str">
        <f>IFERROR(VLOOKUP(H9,'[1]Consolidado MP Planta'!$A$2:$M$823,13,0),"")</f>
        <v/>
      </c>
      <c r="E9" s="95" t="str">
        <f>IFERROR(VLOOKUP(H9,'[1]Consolidado MP Planta'!$A$2:$M$823,12,0),"")</f>
        <v/>
      </c>
      <c r="F9" s="95" t="str">
        <f t="shared" ref="F9:F14" si="2">IFERROR(C9*E9,"")</f>
        <v/>
      </c>
      <c r="G9" s="96" t="str">
        <f t="shared" si="0"/>
        <v/>
      </c>
      <c r="H9" s="97"/>
      <c r="I9" s="97"/>
      <c r="J9" s="98"/>
    </row>
    <row r="10" spans="1:10" ht="13.8" hidden="1" x14ac:dyDescent="0.3">
      <c r="A10" s="93"/>
      <c r="B10" s="81" t="str">
        <f>IFERROR(VLOOKUP(H10,'[1]Consolidado MP Planta'!$A$2:$M$823,3,0),"")</f>
        <v/>
      </c>
      <c r="C10" s="94">
        <f t="shared" si="1"/>
        <v>0</v>
      </c>
      <c r="D10" s="95" t="str">
        <f>IFERROR(VLOOKUP(H10,'[1]Consolidado MP Planta'!$A$2:$M$823,13,0),"")</f>
        <v/>
      </c>
      <c r="E10" s="95" t="str">
        <f>IFERROR(VLOOKUP(H10,'[1]Consolidado MP Planta'!$A$2:$M$823,12,0),"")</f>
        <v/>
      </c>
      <c r="F10" s="95" t="str">
        <f t="shared" si="2"/>
        <v/>
      </c>
      <c r="G10" s="96" t="str">
        <f t="shared" si="0"/>
        <v/>
      </c>
      <c r="H10" s="97"/>
      <c r="I10" s="97"/>
      <c r="J10" s="98"/>
    </row>
    <row r="11" spans="1:10" ht="13.8" hidden="1" x14ac:dyDescent="0.3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3.8" hidden="1" x14ac:dyDescent="0.3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3.8" hidden="1" x14ac:dyDescent="0.3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3.8" hidden="1" x14ac:dyDescent="0.3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4" thickBot="1" x14ac:dyDescent="0.35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40.200000000000003" thickBot="1" x14ac:dyDescent="0.35">
      <c r="A16" s="88" t="s">
        <v>93</v>
      </c>
      <c r="B16" s="89" t="s">
        <v>100</v>
      </c>
      <c r="C16" s="89" t="s">
        <v>93</v>
      </c>
      <c r="D16" s="90" t="s">
        <v>95</v>
      </c>
      <c r="E16" s="90" t="s">
        <v>96</v>
      </c>
      <c r="F16" s="90" t="s">
        <v>97</v>
      </c>
      <c r="G16" s="90" t="s">
        <v>98</v>
      </c>
      <c r="H16" s="91" t="s">
        <v>99</v>
      </c>
      <c r="I16" s="92"/>
      <c r="J16" s="98"/>
    </row>
    <row r="17" spans="1:12" ht="13.8" x14ac:dyDescent="0.3">
      <c r="A17" s="171">
        <v>1</v>
      </c>
      <c r="B17" s="172" t="s">
        <v>82</v>
      </c>
      <c r="C17" s="94">
        <f>+A17</f>
        <v>1</v>
      </c>
      <c r="D17" s="94" t="s">
        <v>101</v>
      </c>
      <c r="E17" s="95">
        <f>+'[3]COSTEO ROSQUETE'!$H$53</f>
        <v>506.41110916259913</v>
      </c>
      <c r="F17" s="95">
        <f>IFERROR(E17*C17,"")</f>
        <v>506.41110916259913</v>
      </c>
      <c r="G17" s="96">
        <f t="shared" ref="G17:G24" si="3">IFERROR(F17/$F$66,"")</f>
        <v>0.22723227044096223</v>
      </c>
      <c r="H17" s="97"/>
      <c r="I17" s="97"/>
      <c r="J17" s="98"/>
    </row>
    <row r="18" spans="1:12" ht="13.8" x14ac:dyDescent="0.3">
      <c r="A18" s="171">
        <v>140</v>
      </c>
      <c r="B18" s="172" t="str">
        <f>IFERROR(VLOOKUP(H18,[1]SEMIELABORADOS!$A$2:$M$6000,2,0),"")</f>
        <v>CREMA CHANTILLY BLANCA SPOON-IND KILO</v>
      </c>
      <c r="C18" s="94">
        <f t="shared" ref="C18:C24" si="4">+A18</f>
        <v>140</v>
      </c>
      <c r="D18" s="94" t="str">
        <f>IFERROR(VLOOKUP(H18,[1]SEMIELABORADOS!$A$2:$M$6000,6,0),"")</f>
        <v>Gramo</v>
      </c>
      <c r="E18" s="95">
        <f>IFERROR(VLOOKUP(H18,[1]SEMIELABORADOS!$A$2:$H$65536,8,0),"")</f>
        <v>1.8754027331730769</v>
      </c>
      <c r="F18" s="95">
        <f t="shared" ref="F18:F24" si="5">IFERROR(E18*C18,"")</f>
        <v>262.55638264423078</v>
      </c>
      <c r="G18" s="96">
        <f t="shared" si="3"/>
        <v>0.11781195528208385</v>
      </c>
      <c r="H18" s="97" t="s">
        <v>65</v>
      </c>
      <c r="I18" s="97"/>
      <c r="J18" s="98"/>
    </row>
    <row r="19" spans="1:12" ht="14.4" x14ac:dyDescent="0.3">
      <c r="A19" s="93">
        <v>30</v>
      </c>
      <c r="B19" s="81" t="str">
        <f>IFERROR(VLOOKUP(H19,[1]SEMIELABORADOS!$A$2:$M$6000,2,0),"")</f>
        <v>CREMA CHANTILLY LILA KILO</v>
      </c>
      <c r="C19" s="94">
        <f>+A19</f>
        <v>30</v>
      </c>
      <c r="D19" s="94" t="str">
        <f>IFERROR(VLOOKUP(H19,[1]SEMIELABORADOS!$A$2:$M$6000,6,0),"")</f>
        <v>Gramo</v>
      </c>
      <c r="E19" s="95">
        <f>IFERROR(VLOOKUP(H19,[1]SEMIELABORADOS!$A$2:$H$65536,8,0),"")</f>
        <v>1.9996630882026627</v>
      </c>
      <c r="F19" s="95">
        <f>IFERROR(E19*C19,"")</f>
        <v>59.98989264607988</v>
      </c>
      <c r="G19" s="96">
        <f t="shared" si="3"/>
        <v>2.6918128893379883E-2</v>
      </c>
      <c r="H19" s="75" t="s">
        <v>83</v>
      </c>
      <c r="I19" s="97"/>
      <c r="J19" s="98"/>
    </row>
    <row r="20" spans="1:12" ht="14.4" x14ac:dyDescent="0.3">
      <c r="A20" s="93">
        <v>30</v>
      </c>
      <c r="B20" s="81" t="str">
        <f>IFERROR(VLOOKUP(H20,[1]SEMIELABORADOS!$A$2:$M$6000,2,0),"")</f>
        <v>CREMA CHANTILLY MORADO BARNIE KILO</v>
      </c>
      <c r="C20" s="94">
        <f>+A20</f>
        <v>30</v>
      </c>
      <c r="D20" s="94" t="str">
        <f>IFERROR(VLOOKUP(H20,[1]SEMIELABORADOS!$A$2:$M$6000,6,0),"")</f>
        <v>Gramo</v>
      </c>
      <c r="E20" s="95">
        <f>IFERROR(VLOOKUP(H20,[1]SEMIELABORADOS!$A$2:$H$65536,8,0),"")</f>
        <v>2.0174145674926036</v>
      </c>
      <c r="F20" s="95">
        <f>IFERROR(E20*C20,"")</f>
        <v>60.522437024778107</v>
      </c>
      <c r="G20" s="96">
        <f t="shared" si="3"/>
        <v>2.7157087451145874E-2</v>
      </c>
      <c r="H20" s="75" t="s">
        <v>85</v>
      </c>
      <c r="I20" s="97"/>
      <c r="J20" s="98"/>
    </row>
    <row r="21" spans="1:12" ht="13.8" hidden="1" x14ac:dyDescent="0.3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8" hidden="1" x14ac:dyDescent="0.3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8" hidden="1" x14ac:dyDescent="0.3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8" hidden="1" x14ac:dyDescent="0.3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4" thickBot="1" x14ac:dyDescent="0.35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40.200000000000003" thickBot="1" x14ac:dyDescent="0.35">
      <c r="A26" s="88" t="s">
        <v>93</v>
      </c>
      <c r="B26" s="89" t="s">
        <v>32</v>
      </c>
      <c r="C26" s="89" t="s">
        <v>93</v>
      </c>
      <c r="D26" s="90" t="s">
        <v>95</v>
      </c>
      <c r="E26" s="90" t="s">
        <v>96</v>
      </c>
      <c r="F26" s="90" t="s">
        <v>97</v>
      </c>
      <c r="G26" s="90" t="s">
        <v>98</v>
      </c>
      <c r="H26" s="91" t="s">
        <v>99</v>
      </c>
      <c r="I26" s="92"/>
    </row>
    <row r="27" spans="1:12" ht="13.8" x14ac:dyDescent="0.3">
      <c r="A27" s="93">
        <v>1</v>
      </c>
      <c r="B27" s="99" t="str">
        <f>IFERROR(VLOOKUP(H27,'[1]Consolidado MP Planta'!$A$2:$M$823,3,0),"")</f>
        <v>QUEQUERA RED  BASE/DOMO 10 (CAJA:50)</v>
      </c>
      <c r="C27" s="94">
        <f t="shared" ref="C27:C32" si="6">+A27</f>
        <v>1</v>
      </c>
      <c r="D27" s="95" t="str">
        <f>IFERROR(VLOOKUP(H27,'[1]Consolidado MP Planta'!$A$2:$M$823,13,0),"")</f>
        <v>UND</v>
      </c>
      <c r="E27" s="95">
        <f>IFERROR(VLOOKUP(H27,'[1]Consolidado MP Planta'!$A$2:$M$823,12,0),"")</f>
        <v>482.82</v>
      </c>
      <c r="F27" s="95">
        <f t="shared" ref="F27:F32" si="7">IFERROR(C27*E27,"")</f>
        <v>482.82</v>
      </c>
      <c r="G27" s="96">
        <f t="shared" ref="G27:G32" si="8">IFERROR(F27/$F$66,"")</f>
        <v>0.21664667861596776</v>
      </c>
      <c r="H27" s="100" t="s">
        <v>68</v>
      </c>
      <c r="I27" s="100"/>
      <c r="J27" s="98"/>
      <c r="K27" s="460"/>
      <c r="L27" s="460"/>
    </row>
    <row r="28" spans="1:12" ht="13.8" x14ac:dyDescent="0.3">
      <c r="A28" s="93">
        <v>1</v>
      </c>
      <c r="B28" s="99" t="str">
        <f>IFERROR(VLOOKUP(H28,'[1]Consolidado MP Planta'!$A$2:$M$823,3,0),"")</f>
        <v>ORLA CARTON 10" DORADA (UND)</v>
      </c>
      <c r="C28" s="94">
        <f t="shared" si="6"/>
        <v>1</v>
      </c>
      <c r="D28" s="95" t="str">
        <f>IFERROR(VLOOKUP(H28,'[1]Consolidado MP Planta'!$A$2:$M$823,13,0),"")</f>
        <v>Und</v>
      </c>
      <c r="E28" s="95">
        <f>IFERROR(VLOOKUP(H28,'[1]Consolidado MP Planta'!$A$2:$M$823,12,0),"")</f>
        <v>121</v>
      </c>
      <c r="F28" s="95">
        <f t="shared" si="7"/>
        <v>121</v>
      </c>
      <c r="G28" s="96">
        <f t="shared" si="8"/>
        <v>5.4294039419518866E-2</v>
      </c>
      <c r="H28" s="100" t="s">
        <v>37</v>
      </c>
      <c r="I28" s="100"/>
      <c r="J28" s="98"/>
      <c r="K28" s="460"/>
      <c r="L28" s="460"/>
    </row>
    <row r="29" spans="1:12" ht="13.8" x14ac:dyDescent="0.3">
      <c r="A29" s="93">
        <v>1</v>
      </c>
      <c r="B29" s="99" t="str">
        <f>IFERROR(VLOOKUP(H29,'[1]Consolidado MP Planta'!$A$2:$M$823,3,0),"")</f>
        <v>ETIQ.FECHA VENCIMIENTO AMARILLO (ROLLO)</v>
      </c>
      <c r="C29" s="94">
        <f t="shared" si="6"/>
        <v>1</v>
      </c>
      <c r="D29" s="95" t="str">
        <f>IFERROR(VLOOKUP(H29,'[1]Consolidado MP Planta'!$A$2:$M$823,13,0),"")</f>
        <v>Und</v>
      </c>
      <c r="E29" s="95">
        <f>IFERROR(VLOOKUP(H29,'[1]Consolidado MP Planta'!$A$2:$M$823,12,0),"")</f>
        <v>0.2</v>
      </c>
      <c r="F29" s="95">
        <f t="shared" si="7"/>
        <v>0.2</v>
      </c>
      <c r="G29" s="96">
        <f t="shared" si="8"/>
        <v>8.974221391656012E-5</v>
      </c>
      <c r="H29" s="100" t="s">
        <v>104</v>
      </c>
      <c r="I29" s="100"/>
      <c r="J29" s="98"/>
      <c r="K29" s="460"/>
      <c r="L29" s="460"/>
    </row>
    <row r="30" spans="1:12" ht="13.8" x14ac:dyDescent="0.3">
      <c r="A30" s="93">
        <v>1</v>
      </c>
      <c r="B30" s="99" t="str">
        <f>IFERROR(VLOOKUP(H30,'[1]Consolidado MP Planta'!$A$2:$M$823,3,0),"")</f>
        <v>ETIQ TORTA GENERICA BUCCA GRANDE (UND)</v>
      </c>
      <c r="C30" s="94">
        <f t="shared" si="6"/>
        <v>1</v>
      </c>
      <c r="D30" s="95" t="str">
        <f>IFERROR(VLOOKUP(H30,'[1]Consolidado MP Planta'!$A$2:$M$823,13,0),"")</f>
        <v>Und</v>
      </c>
      <c r="E30" s="95">
        <f>IFERROR(VLOOKUP(H30,'[1]Consolidado MP Planta'!$A$2:$M$823,12,0),"")</f>
        <v>43.5</v>
      </c>
      <c r="F30" s="95">
        <f t="shared" si="7"/>
        <v>43.5</v>
      </c>
      <c r="G30" s="96">
        <f t="shared" si="8"/>
        <v>1.9518931526851826E-2</v>
      </c>
      <c r="H30" s="100" t="s">
        <v>80</v>
      </c>
      <c r="I30" s="100"/>
      <c r="J30" s="98"/>
      <c r="K30" s="460"/>
      <c r="L30" s="460"/>
    </row>
    <row r="31" spans="1:12" ht="13.8" x14ac:dyDescent="0.3">
      <c r="A31" s="93">
        <v>1</v>
      </c>
      <c r="B31" s="99" t="str">
        <f>IFERROR(VLOOKUP(H31,'[1]Consolidado MP Planta'!$A$2:$M$823,3,0),"")</f>
        <v>ETIQUETA BLANCA R-153 (UND)</v>
      </c>
      <c r="C31" s="94">
        <f t="shared" si="6"/>
        <v>1</v>
      </c>
      <c r="D31" s="95" t="str">
        <f>IFERROR(VLOOKUP(H31,'[1]Consolidado MP Planta'!$A$2:$M$823,13,0),"")</f>
        <v>Und</v>
      </c>
      <c r="E31" s="95">
        <f>IFERROR(VLOOKUP(H31,'[1]Consolidado MP Planta'!$A$2:$M$823,12,0),"")</f>
        <v>0.39</v>
      </c>
      <c r="F31" s="95">
        <f t="shared" si="7"/>
        <v>0.39</v>
      </c>
      <c r="G31" s="96">
        <f t="shared" si="8"/>
        <v>1.7499731713729224E-4</v>
      </c>
      <c r="H31" s="100" t="s">
        <v>74</v>
      </c>
      <c r="I31" s="100"/>
      <c r="J31" s="98"/>
      <c r="K31" s="101"/>
      <c r="L31" s="102"/>
    </row>
    <row r="32" spans="1:12" ht="13.8" x14ac:dyDescent="0.3">
      <c r="A32" s="93">
        <v>1</v>
      </c>
      <c r="B32" s="99" t="str">
        <f>IFERROR(VLOOKUP(H32,'[1]Consolidado MP Planta'!$A$2:$M$823,3,0),"")</f>
        <v>ETIQUETA BLANCA 2 5/8X1 15/16 (UND)</v>
      </c>
      <c r="C32" s="94">
        <f t="shared" si="6"/>
        <v>1</v>
      </c>
      <c r="D32" s="95" t="str">
        <f>IFERROR(VLOOKUP(H32,'[1]Consolidado MP Planta'!$A$2:$M$823,13,0),"")</f>
        <v>Und</v>
      </c>
      <c r="E32" s="95">
        <f>IFERROR(VLOOKUP(H32,'[1]Consolidado MP Planta'!$A$2:$M$823,12,0),"")</f>
        <v>2.1280000000000001</v>
      </c>
      <c r="F32" s="95">
        <f t="shared" si="7"/>
        <v>2.1280000000000001</v>
      </c>
      <c r="G32" s="96">
        <f t="shared" si="8"/>
        <v>9.5485715607219969E-4</v>
      </c>
      <c r="H32" s="100" t="s">
        <v>72</v>
      </c>
      <c r="I32" s="100"/>
      <c r="J32" s="98"/>
    </row>
    <row r="33" spans="1:13" ht="14.4" thickBot="1" x14ac:dyDescent="0.35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40.200000000000003" thickBot="1" x14ac:dyDescent="0.3">
      <c r="A34" s="88" t="s">
        <v>93</v>
      </c>
      <c r="B34" s="89" t="s">
        <v>105</v>
      </c>
      <c r="C34" s="89" t="s">
        <v>93</v>
      </c>
      <c r="D34" s="90" t="s">
        <v>95</v>
      </c>
      <c r="E34" s="90" t="s">
        <v>96</v>
      </c>
      <c r="F34" s="90" t="s">
        <v>97</v>
      </c>
      <c r="G34" s="90" t="s">
        <v>98</v>
      </c>
      <c r="H34" s="91" t="s">
        <v>99</v>
      </c>
      <c r="I34" s="100"/>
      <c r="J34" s="98"/>
    </row>
    <row r="35" spans="1:13" ht="13.8" x14ac:dyDescent="0.3">
      <c r="A35" s="93">
        <f>+A17</f>
        <v>1</v>
      </c>
      <c r="B35" s="99" t="s">
        <v>82</v>
      </c>
      <c r="C35" s="94">
        <f>+A35</f>
        <v>1</v>
      </c>
      <c r="D35" s="95" t="str">
        <f>+D17</f>
        <v>und</v>
      </c>
      <c r="E35" s="95">
        <f>+'[3]COSTEO ROSQUETE'!$H$54</f>
        <v>25.752939443784925</v>
      </c>
      <c r="F35" s="95">
        <f>IFERROR(E35*C35,"")</f>
        <v>25.752939443784925</v>
      </c>
      <c r="G35" s="96">
        <f t="shared" ref="G35:G41" si="9">IFERROR(F35/$F$66,"")</f>
        <v>1.1555629002721826E-2</v>
      </c>
      <c r="H35" s="100"/>
      <c r="I35" s="100"/>
      <c r="J35" s="98"/>
    </row>
    <row r="36" spans="1:13" ht="13.8" x14ac:dyDescent="0.3">
      <c r="A36" s="93">
        <f t="shared" ref="A36:A41" si="10">+A18</f>
        <v>140</v>
      </c>
      <c r="B36" s="99" t="str">
        <f>IFERROR(VLOOKUP(H36,[1]SEMIELABORADOS!$A$2:$M$6000,2,0),"")</f>
        <v>CREMA CHANTILLY BLANCA SPOON-IND KILO</v>
      </c>
      <c r="C36" s="94">
        <f t="shared" ref="C36:C41" si="11">+A36</f>
        <v>140</v>
      </c>
      <c r="D36" s="95" t="str">
        <f>IFERROR(VLOOKUP(H36,[1]SEMIELABORADOS!$A$2:$M$6000,6,0),"")</f>
        <v>Gramo</v>
      </c>
      <c r="E36" s="95">
        <f>IFERROR(VLOOKUP(H36,[1]SEMIELABORADOS!$A$2:$M$65536,10,0),"")</f>
        <v>2.7884615384615379E-5</v>
      </c>
      <c r="F36" s="95">
        <f t="shared" ref="F36:F41" si="12">IFERROR(E36*C36,"")</f>
        <v>3.9038461538461531E-3</v>
      </c>
      <c r="G36" s="96">
        <f t="shared" si="9"/>
        <v>1.7516989831790095E-6</v>
      </c>
      <c r="H36" s="100" t="s">
        <v>65</v>
      </c>
      <c r="I36" s="100"/>
      <c r="J36" s="98"/>
    </row>
    <row r="37" spans="1:13" ht="13.8" x14ac:dyDescent="0.3">
      <c r="A37" s="93">
        <f t="shared" si="10"/>
        <v>30</v>
      </c>
      <c r="B37" s="99" t="str">
        <f>IFERROR(VLOOKUP(H37,[1]SEMIELABORADOS!$A$2:$M$6000,2,0),"")</f>
        <v>CREMA CHANTILLY AZUL ELECTRICO KILO</v>
      </c>
      <c r="C37" s="94">
        <f t="shared" si="11"/>
        <v>30</v>
      </c>
      <c r="D37" s="95" t="str">
        <f>IFERROR(VLOOKUP(H37,[1]SEMIELABORADOS!$A$2:$M$6000,6,0),"")</f>
        <v>Gramo</v>
      </c>
      <c r="E37" s="95">
        <f>IFERROR(VLOOKUP(H37,[1]SEMIELABORADOS!$A$2:$M$65536,10,0),"")</f>
        <v>0</v>
      </c>
      <c r="F37" s="95">
        <f t="shared" si="12"/>
        <v>0</v>
      </c>
      <c r="G37" s="96">
        <f t="shared" si="9"/>
        <v>0</v>
      </c>
      <c r="H37" s="100" t="s">
        <v>102</v>
      </c>
      <c r="I37" s="100"/>
      <c r="J37" s="98"/>
    </row>
    <row r="38" spans="1:13" ht="13.8" x14ac:dyDescent="0.3">
      <c r="A38" s="93">
        <f t="shared" si="10"/>
        <v>30</v>
      </c>
      <c r="B38" s="99" t="str">
        <f>IFERROR(VLOOKUP(H38,[1]SEMIELABORADOS!$A$2:$M$6000,2,0),"")</f>
        <v>CREMA CHANTILLY VERDE OSCURO KILO</v>
      </c>
      <c r="C38" s="94">
        <f>+A38</f>
        <v>30</v>
      </c>
      <c r="D38" s="95" t="str">
        <f>IFERROR(VLOOKUP(H38,[1]SEMIELABORADOS!$A$2:$M$6000,6,0),"")</f>
        <v>Gramo</v>
      </c>
      <c r="E38" s="95">
        <f>IFERROR(VLOOKUP(H38,[1]SEMIELABORADOS!$A$2:$M$65536,10,0),"")</f>
        <v>0</v>
      </c>
      <c r="F38" s="95">
        <f>IFERROR(E38*C38,"")</f>
        <v>0</v>
      </c>
      <c r="G38" s="96">
        <f t="shared" si="9"/>
        <v>0</v>
      </c>
      <c r="H38" s="100" t="s">
        <v>103</v>
      </c>
      <c r="I38" s="100"/>
      <c r="J38" s="98"/>
    </row>
    <row r="39" spans="1:13" ht="13.8" hidden="1" x14ac:dyDescent="0.3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8" hidden="1" x14ac:dyDescent="0.3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8" hidden="1" x14ac:dyDescent="0.3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4" thickBot="1" x14ac:dyDescent="0.35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40.200000000000003" thickBot="1" x14ac:dyDescent="0.35">
      <c r="A43" s="88" t="s">
        <v>93</v>
      </c>
      <c r="B43" s="89" t="s">
        <v>106</v>
      </c>
      <c r="C43" s="89" t="s">
        <v>93</v>
      </c>
      <c r="D43" s="90" t="s">
        <v>95</v>
      </c>
      <c r="E43" s="90" t="s">
        <v>96</v>
      </c>
      <c r="F43" s="90" t="s">
        <v>97</v>
      </c>
      <c r="G43" s="90" t="s">
        <v>98</v>
      </c>
      <c r="H43" s="91" t="s">
        <v>99</v>
      </c>
      <c r="I43" s="92"/>
      <c r="J43" s="98"/>
    </row>
    <row r="44" spans="1:13" ht="13.8" x14ac:dyDescent="0.3">
      <c r="A44" s="93">
        <f>+A35</f>
        <v>1</v>
      </c>
      <c r="B44" s="99" t="s">
        <v>82</v>
      </c>
      <c r="C44" s="94">
        <f>+A44</f>
        <v>1</v>
      </c>
      <c r="D44" s="95" t="str">
        <f>+D35</f>
        <v>und</v>
      </c>
      <c r="E44" s="95">
        <f>+'[3]COSTEO ROSQUETE'!$H$56</f>
        <v>31.054765795698927</v>
      </c>
      <c r="F44" s="95">
        <f>IFERROR(E44*C44,"")</f>
        <v>31.054765795698927</v>
      </c>
      <c r="G44" s="96">
        <f>IFERROR(F44/$F$66,"")</f>
        <v>1.3934617175831436E-2</v>
      </c>
      <c r="H44" s="100"/>
      <c r="I44" s="92"/>
      <c r="J44" s="98"/>
    </row>
    <row r="45" spans="1:13" ht="13.8" x14ac:dyDescent="0.3">
      <c r="A45" s="93">
        <f t="shared" ref="A45:A50" si="13">+A36</f>
        <v>140</v>
      </c>
      <c r="B45" s="99" t="str">
        <f>IFERROR(VLOOKUP(H45,[1]SEMIELABORADOS!$A$2:$M$6000,2,0),"")</f>
        <v>CREMA CHANTILLY BLANCA SPOON-IND KILO</v>
      </c>
      <c r="C45" s="94">
        <f t="shared" ref="C45:C50" si="14">+A45</f>
        <v>140</v>
      </c>
      <c r="D45" s="95" t="str">
        <f>IFERROR(VLOOKUP(H45,[1]SEMIELABORADOS!$A$2:$M$6000,6,0),"")</f>
        <v>Gramo</v>
      </c>
      <c r="E45" s="95">
        <f>IFERROR(VLOOKUP(H45,[1]SEMIELABORADOS!$A$2:$M$65536,12,0),"")</f>
        <v>0.33757751120192309</v>
      </c>
      <c r="F45" s="95">
        <f t="shared" ref="F45:F50" si="15">IFERROR(E45*C45,"")</f>
        <v>47.260851568269231</v>
      </c>
      <c r="G45" s="96">
        <f t="shared" ref="G45:G50" si="16">IFERROR(F45/$F$66,"")</f>
        <v>2.1206467256592063E-2</v>
      </c>
      <c r="H45" s="100" t="s">
        <v>65</v>
      </c>
      <c r="I45" s="92"/>
      <c r="J45" s="98"/>
      <c r="M45" s="103"/>
    </row>
    <row r="46" spans="1:13" ht="13.8" x14ac:dyDescent="0.3">
      <c r="A46" s="93">
        <f t="shared" si="13"/>
        <v>30</v>
      </c>
      <c r="B46" s="99" t="str">
        <f>IFERROR(VLOOKUP(H46,[1]SEMIELABORADOS!$A$2:$M$6000,2,0),"")</f>
        <v>CREMA CHANTILLY AZUL ELECTRICO KILO</v>
      </c>
      <c r="C46" s="94">
        <f t="shared" si="14"/>
        <v>30</v>
      </c>
      <c r="D46" s="95" t="str">
        <f>IFERROR(VLOOKUP(H46,[1]SEMIELABORADOS!$A$2:$M$6000,6,0),"")</f>
        <v>Gramo</v>
      </c>
      <c r="E46" s="95">
        <f>IFERROR(VLOOKUP(H46,[1]SEMIELABORADOS!$A$2:$M$65536,12,0),"")</f>
        <v>0.37916527095918362</v>
      </c>
      <c r="F46" s="95">
        <f t="shared" si="15"/>
        <v>11.374958128775509</v>
      </c>
      <c r="G46" s="96">
        <f t="shared" si="16"/>
        <v>5.1040696284224306E-3</v>
      </c>
      <c r="H46" s="100" t="s">
        <v>102</v>
      </c>
      <c r="I46" s="92"/>
      <c r="J46" s="98"/>
    </row>
    <row r="47" spans="1:13" ht="13.8" x14ac:dyDescent="0.3">
      <c r="A47" s="93">
        <f t="shared" si="13"/>
        <v>30</v>
      </c>
      <c r="B47" s="99" t="str">
        <f>IFERROR(VLOOKUP(H47,[1]SEMIELABORADOS!$A$2:$M$6000,2,0),"")</f>
        <v>CREMA CHANTILLY VERDE OSCURO KILO</v>
      </c>
      <c r="C47" s="94">
        <f t="shared" si="14"/>
        <v>30</v>
      </c>
      <c r="D47" s="95" t="str">
        <f>IFERROR(VLOOKUP(H47,[1]SEMIELABORADOS!$A$2:$M$6000,6,0),"")</f>
        <v>Gramo</v>
      </c>
      <c r="E47" s="95">
        <f>IFERROR(VLOOKUP(H47,[1]SEMIELABORADOS!$A$2:$M$65536,12,0),"")</f>
        <v>0.37592131491522751</v>
      </c>
      <c r="F47" s="95">
        <f t="shared" si="15"/>
        <v>11.277639447456826</v>
      </c>
      <c r="G47" s="96">
        <f t="shared" si="16"/>
        <v>5.0604016588375366E-3</v>
      </c>
      <c r="H47" s="100" t="s">
        <v>103</v>
      </c>
      <c r="I47" s="92"/>
      <c r="J47" s="98"/>
    </row>
    <row r="48" spans="1:13" ht="13.8" hidden="1" x14ac:dyDescent="0.3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8" hidden="1" x14ac:dyDescent="0.3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8" hidden="1" x14ac:dyDescent="0.3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8" x14ac:dyDescent="0.3">
      <c r="A51" s="93">
        <v>1</v>
      </c>
      <c r="B51" s="99" t="s">
        <v>107</v>
      </c>
      <c r="C51" s="94">
        <f>+A51</f>
        <v>1</v>
      </c>
      <c r="D51" s="94" t="s">
        <v>108</v>
      </c>
      <c r="E51" s="95">
        <f>+F65</f>
        <v>440</v>
      </c>
      <c r="F51" s="95">
        <f>IFERROR(C51*E51,"")</f>
        <v>440</v>
      </c>
      <c r="G51" s="96">
        <f>IFERROR(F51/$F$66,"")</f>
        <v>0.19743287061643225</v>
      </c>
      <c r="H51" s="104"/>
      <c r="I51" s="104"/>
      <c r="J51" s="98"/>
    </row>
    <row r="52" spans="1:17" ht="14.4" thickBot="1" x14ac:dyDescent="0.35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8" thickBot="1" x14ac:dyDescent="0.35">
      <c r="A53" s="105"/>
      <c r="B53" s="461" t="s">
        <v>109</v>
      </c>
      <c r="C53" s="461"/>
      <c r="D53" s="461"/>
      <c r="E53" s="461"/>
      <c r="F53" s="106">
        <f>SUM(F8:F14,F17:F24)</f>
        <v>1090.9909325887991</v>
      </c>
      <c r="G53" s="96">
        <f>+F53/$F$66</f>
        <v>0.48953970826705712</v>
      </c>
      <c r="H53" s="107">
        <f>+F53/$D$60</f>
        <v>1090.9909325887991</v>
      </c>
      <c r="I53" s="107"/>
      <c r="J53" s="108"/>
      <c r="K53" s="109"/>
      <c r="L53" s="109"/>
      <c r="M53" s="109"/>
      <c r="N53" s="109"/>
      <c r="O53" s="109"/>
      <c r="P53" s="109"/>
      <c r="Q53" s="110"/>
    </row>
    <row r="54" spans="1:17" x14ac:dyDescent="0.25">
      <c r="A54" s="105"/>
      <c r="B54" s="461" t="s">
        <v>110</v>
      </c>
      <c r="C54" s="461"/>
      <c r="D54" s="461"/>
      <c r="E54" s="461"/>
      <c r="F54" s="106">
        <f>SUM(F27:F32,F35:F41)</f>
        <v>675.79484328993885</v>
      </c>
      <c r="G54" s="96">
        <f>+F54/$F$66</f>
        <v>0.30323662695116954</v>
      </c>
      <c r="H54" s="107">
        <f>+F54/$D$60</f>
        <v>675.79484328993885</v>
      </c>
      <c r="I54" s="107"/>
      <c r="J54" s="111"/>
      <c r="K54" s="467" t="s">
        <v>111</v>
      </c>
      <c r="L54" s="468"/>
      <c r="M54" s="468"/>
      <c r="N54" s="468"/>
      <c r="O54" s="112">
        <f>+F55</f>
        <v>1766.7857758787379</v>
      </c>
      <c r="P54" s="112"/>
      <c r="Q54" s="113"/>
    </row>
    <row r="55" spans="1:17" x14ac:dyDescent="0.25">
      <c r="A55" s="105"/>
      <c r="B55" s="461" t="s">
        <v>112</v>
      </c>
      <c r="C55" s="461"/>
      <c r="D55" s="461"/>
      <c r="E55" s="461"/>
      <c r="F55" s="106">
        <f>+F53+F54</f>
        <v>1766.7857758787379</v>
      </c>
      <c r="G55" s="96">
        <f>+F55/$F$66</f>
        <v>0.79277633521822666</v>
      </c>
      <c r="H55" s="107">
        <f>+F55/$D$60</f>
        <v>1766.7857758787379</v>
      </c>
      <c r="I55" s="107"/>
      <c r="J55" s="114"/>
      <c r="K55" s="115"/>
      <c r="L55" s="469" t="s">
        <v>113</v>
      </c>
      <c r="M55" s="469"/>
      <c r="N55" s="469"/>
      <c r="O55" s="112">
        <f>+F56</f>
        <v>540.96821494020048</v>
      </c>
      <c r="P55" s="112"/>
      <c r="Q55" s="113"/>
    </row>
    <row r="56" spans="1:17" ht="13.8" thickBot="1" x14ac:dyDescent="0.3">
      <c r="A56" s="105"/>
      <c r="B56" s="116"/>
      <c r="C56" s="461" t="s">
        <v>114</v>
      </c>
      <c r="D56" s="461"/>
      <c r="E56" s="461"/>
      <c r="F56" s="106">
        <f>SUM(F44:F51)</f>
        <v>540.96821494020048</v>
      </c>
      <c r="G56" s="96">
        <f>+F56/$F$66</f>
        <v>0.2427384263361157</v>
      </c>
      <c r="H56" s="107">
        <f>+F56/$D$60</f>
        <v>540.96821494020048</v>
      </c>
      <c r="I56" s="107"/>
      <c r="J56" s="114"/>
      <c r="K56" s="115"/>
      <c r="L56" s="115"/>
      <c r="M56" s="115" t="s">
        <v>115</v>
      </c>
      <c r="N56" s="117">
        <v>0.01</v>
      </c>
      <c r="O56" s="112">
        <f>O54*N56</f>
        <v>17.667857758787381</v>
      </c>
      <c r="P56" s="112"/>
      <c r="Q56" s="113"/>
    </row>
    <row r="57" spans="1:17" ht="13.8" thickBot="1" x14ac:dyDescent="0.25">
      <c r="A57" s="105"/>
      <c r="B57" s="118"/>
      <c r="C57" s="118"/>
      <c r="D57" s="118"/>
      <c r="E57" s="118"/>
      <c r="F57" s="119"/>
      <c r="G57" s="96"/>
      <c r="H57" s="120"/>
      <c r="I57" s="107"/>
      <c r="J57" s="114"/>
      <c r="K57" s="121"/>
      <c r="M57" s="122" t="s">
        <v>116</v>
      </c>
      <c r="N57" s="123"/>
      <c r="O57" s="124">
        <f>SUM(O54:O56)</f>
        <v>2325.4218485777255</v>
      </c>
      <c r="P57" s="125"/>
      <c r="Q57" s="113"/>
    </row>
    <row r="58" spans="1:17" x14ac:dyDescent="0.25">
      <c r="B58" s="470" t="s">
        <v>117</v>
      </c>
      <c r="C58" s="470"/>
      <c r="D58" s="126">
        <v>750</v>
      </c>
      <c r="E58" s="127"/>
      <c r="G58" s="96"/>
      <c r="H58" s="120"/>
      <c r="I58" s="128"/>
      <c r="J58" s="114"/>
      <c r="K58" s="121"/>
      <c r="L58" s="115"/>
      <c r="M58" s="115" t="s">
        <v>118</v>
      </c>
      <c r="N58" s="129">
        <v>0.25</v>
      </c>
      <c r="O58" s="112">
        <f>+O57*N58</f>
        <v>581.35546214443139</v>
      </c>
      <c r="P58" s="112"/>
      <c r="Q58" s="113"/>
    </row>
    <row r="59" spans="1:17" x14ac:dyDescent="0.25">
      <c r="B59" s="470" t="s">
        <v>119</v>
      </c>
      <c r="C59" s="470"/>
      <c r="D59" s="130">
        <v>750</v>
      </c>
      <c r="E59" s="127"/>
      <c r="G59" s="96"/>
      <c r="H59" s="120"/>
      <c r="I59" s="128"/>
      <c r="J59" s="114"/>
      <c r="K59" s="121"/>
      <c r="L59" s="115"/>
      <c r="M59" s="469" t="s">
        <v>116</v>
      </c>
      <c r="N59" s="469"/>
      <c r="O59" s="112">
        <f>SUM(O57:O58)</f>
        <v>2906.7773107221569</v>
      </c>
      <c r="P59" s="112"/>
      <c r="Q59" s="113"/>
    </row>
    <row r="60" spans="1:17" ht="13.8" thickBot="1" x14ac:dyDescent="0.3">
      <c r="B60" s="471" t="s">
        <v>120</v>
      </c>
      <c r="C60" s="471"/>
      <c r="D60" s="126">
        <f>+D58/D59</f>
        <v>1</v>
      </c>
      <c r="E60" s="127"/>
      <c r="F60" s="131"/>
      <c r="G60" s="96"/>
      <c r="H60" s="120"/>
      <c r="I60" s="128"/>
      <c r="J60" s="114"/>
      <c r="K60" s="121"/>
      <c r="L60" s="469" t="s">
        <v>121</v>
      </c>
      <c r="M60" s="469"/>
      <c r="N60" s="129">
        <v>0.05</v>
      </c>
      <c r="O60" s="112">
        <f>+O59*N60</f>
        <v>145.33886553610785</v>
      </c>
      <c r="P60" s="112"/>
      <c r="Q60" s="113"/>
    </row>
    <row r="61" spans="1:17" ht="13.8" thickBot="1" x14ac:dyDescent="0.25">
      <c r="B61" s="471" t="s">
        <v>122</v>
      </c>
      <c r="C61" s="471"/>
      <c r="D61" s="132" t="s">
        <v>123</v>
      </c>
      <c r="E61" s="127"/>
      <c r="F61" s="131"/>
      <c r="G61" s="96"/>
      <c r="H61" s="120"/>
      <c r="I61" s="128"/>
      <c r="J61" s="114"/>
      <c r="K61" s="475" t="s">
        <v>124</v>
      </c>
      <c r="L61" s="476"/>
      <c r="M61" s="476"/>
      <c r="N61" s="477"/>
      <c r="O61" s="124">
        <f>SUM(O59:O60)</f>
        <v>3052.1161762582647</v>
      </c>
      <c r="P61" s="133" t="s">
        <v>125</v>
      </c>
      <c r="Q61" s="113"/>
    </row>
    <row r="62" spans="1:17" ht="13.8" thickBot="1" x14ac:dyDescent="0.25">
      <c r="C62" s="105" t="s">
        <v>126</v>
      </c>
      <c r="D62" s="134"/>
      <c r="E62" s="79" t="s">
        <v>127</v>
      </c>
      <c r="F62" s="135" t="s">
        <v>128</v>
      </c>
      <c r="G62" s="96"/>
      <c r="H62" s="120"/>
      <c r="I62" s="128"/>
      <c r="J62" s="136"/>
      <c r="K62" s="137"/>
      <c r="L62" s="478" t="s">
        <v>129</v>
      </c>
      <c r="M62" s="478"/>
      <c r="N62" s="478"/>
      <c r="O62" s="138">
        <f>+O61/D60</f>
        <v>3052.1161762582647</v>
      </c>
      <c r="P62" s="139">
        <f>+O62/D59</f>
        <v>4.0694882350110193</v>
      </c>
      <c r="Q62" s="140"/>
    </row>
    <row r="63" spans="1:17" ht="13.8" thickBot="1" x14ac:dyDescent="0.25">
      <c r="B63" s="472" t="s">
        <v>112</v>
      </c>
      <c r="C63" s="472"/>
      <c r="D63" s="472"/>
      <c r="E63" s="141">
        <f>+F63/F63</f>
        <v>1</v>
      </c>
      <c r="F63" s="142">
        <f>SUM(F55)</f>
        <v>1766.7857758787379</v>
      </c>
      <c r="G63" s="96">
        <f>+F63/$F$66</f>
        <v>0.79277633521822666</v>
      </c>
      <c r="H63" s="120"/>
      <c r="I63" s="128"/>
      <c r="K63" s="473"/>
      <c r="L63" s="474"/>
      <c r="M63" s="474"/>
      <c r="N63" s="474"/>
      <c r="O63" s="143"/>
      <c r="P63" s="144"/>
    </row>
    <row r="64" spans="1:17" ht="13.8" thickBot="1" x14ac:dyDescent="0.35">
      <c r="B64" s="479" t="s">
        <v>130</v>
      </c>
      <c r="C64" s="479"/>
      <c r="D64" s="479"/>
      <c r="E64" s="145">
        <v>0.02</v>
      </c>
      <c r="F64" s="142">
        <f>+F53*E64</f>
        <v>21.819818651775982</v>
      </c>
      <c r="G64" s="96">
        <f>+F64/$F$66</f>
        <v>9.7907941653411421E-3</v>
      </c>
      <c r="H64" s="107"/>
      <c r="I64" s="128"/>
      <c r="J64" s="146"/>
      <c r="O64" s="147"/>
      <c r="P64" s="116"/>
    </row>
    <row r="65" spans="2:10" ht="13.8" thickBot="1" x14ac:dyDescent="0.35">
      <c r="B65" s="481" t="s">
        <v>131</v>
      </c>
      <c r="C65" s="482"/>
      <c r="D65" s="148">
        <v>8</v>
      </c>
      <c r="E65" s="149">
        <v>55</v>
      </c>
      <c r="F65" s="142">
        <f>+E65*D65</f>
        <v>440</v>
      </c>
      <c r="G65" s="96">
        <f>+F65/$F$66</f>
        <v>0.19743287061643225</v>
      </c>
      <c r="H65" s="107"/>
      <c r="I65" s="107"/>
      <c r="J65" s="98"/>
    </row>
    <row r="66" spans="2:10" ht="13.8" thickBot="1" x14ac:dyDescent="0.35">
      <c r="B66" s="483" t="s">
        <v>132</v>
      </c>
      <c r="C66" s="484"/>
      <c r="D66" s="484"/>
      <c r="E66" s="485"/>
      <c r="F66" s="119">
        <f>SUM(F63:F65)</f>
        <v>2228.6055945305138</v>
      </c>
      <c r="G66" s="96">
        <f>+F66/$F$66</f>
        <v>1</v>
      </c>
      <c r="H66" s="486"/>
      <c r="I66" s="107"/>
      <c r="J66" s="98"/>
    </row>
    <row r="67" spans="2:10" x14ac:dyDescent="0.3">
      <c r="C67" s="103"/>
      <c r="D67" s="103"/>
      <c r="E67" s="150"/>
      <c r="F67" s="142"/>
      <c r="G67" s="96"/>
      <c r="H67" s="486"/>
      <c r="I67" s="151"/>
      <c r="J67" s="81"/>
    </row>
    <row r="68" spans="2:10" ht="13.8" thickBot="1" x14ac:dyDescent="0.35">
      <c r="B68" s="487" t="s">
        <v>133</v>
      </c>
      <c r="C68" s="487"/>
      <c r="D68" s="487"/>
      <c r="E68" s="487"/>
      <c r="F68" s="487"/>
      <c r="G68" s="96"/>
      <c r="H68" s="152"/>
      <c r="I68" s="151"/>
      <c r="J68" s="81"/>
    </row>
    <row r="69" spans="2:10" ht="13.8" thickBot="1" x14ac:dyDescent="0.35">
      <c r="B69" s="153" t="s">
        <v>134</v>
      </c>
      <c r="C69" s="154">
        <f>+F53</f>
        <v>1090.9909325887991</v>
      </c>
      <c r="D69" s="154">
        <f>+D58</f>
        <v>750</v>
      </c>
      <c r="E69" s="155">
        <f>+C69/D69</f>
        <v>1.4546545767850654</v>
      </c>
      <c r="F69" s="96"/>
      <c r="G69" s="152"/>
      <c r="H69" s="98"/>
      <c r="I69" s="152"/>
      <c r="J69" s="81"/>
    </row>
    <row r="70" spans="2:10" x14ac:dyDescent="0.3">
      <c r="B70" s="156"/>
      <c r="C70" s="157"/>
      <c r="D70" s="158"/>
      <c r="E70" s="142"/>
      <c r="F70" s="96"/>
      <c r="G70" s="152"/>
      <c r="H70" s="98"/>
      <c r="I70" s="98"/>
      <c r="J70" s="81"/>
    </row>
    <row r="71" spans="2:10" x14ac:dyDescent="0.3">
      <c r="B71" s="153" t="s">
        <v>135</v>
      </c>
      <c r="C71" s="154">
        <f>SUM(F63:F64)</f>
        <v>1788.6055945305138</v>
      </c>
      <c r="D71" s="154">
        <f>+D58</f>
        <v>750</v>
      </c>
      <c r="E71" s="159">
        <f>+C71/D71</f>
        <v>2.3848074593740183</v>
      </c>
      <c r="F71" s="96"/>
      <c r="G71" s="152"/>
      <c r="H71" s="98"/>
      <c r="I71" s="98"/>
      <c r="J71" s="81"/>
    </row>
    <row r="72" spans="2:10" x14ac:dyDescent="0.3">
      <c r="B72" s="153"/>
      <c r="C72" s="154"/>
      <c r="D72" s="154"/>
      <c r="E72" s="159"/>
      <c r="F72" s="96"/>
      <c r="G72" s="152"/>
      <c r="H72" s="98"/>
      <c r="I72" s="98"/>
      <c r="J72" s="81"/>
    </row>
    <row r="73" spans="2:10" ht="13.8" thickBot="1" x14ac:dyDescent="0.35">
      <c r="B73" s="153" t="s">
        <v>136</v>
      </c>
      <c r="C73" s="154">
        <f>+F65</f>
        <v>440</v>
      </c>
      <c r="D73" s="154">
        <f>+D58</f>
        <v>750</v>
      </c>
      <c r="E73" s="159">
        <f>+C73/D73</f>
        <v>0.58666666666666667</v>
      </c>
      <c r="F73" s="96"/>
      <c r="G73" s="152"/>
      <c r="H73" s="98"/>
      <c r="I73" s="98"/>
      <c r="J73" s="81"/>
    </row>
    <row r="74" spans="2:10" ht="13.8" thickBot="1" x14ac:dyDescent="0.35">
      <c r="B74" s="153" t="s">
        <v>137</v>
      </c>
      <c r="C74" s="154">
        <f>+F56</f>
        <v>540.96821494020048</v>
      </c>
      <c r="D74" s="154">
        <f>+D73</f>
        <v>750</v>
      </c>
      <c r="E74" s="155">
        <f>+C74/D74</f>
        <v>0.7212909532536006</v>
      </c>
      <c r="F74" s="96"/>
      <c r="G74" s="152"/>
      <c r="H74" s="98"/>
      <c r="I74" s="98"/>
      <c r="J74" s="81"/>
    </row>
    <row r="75" spans="2:10" ht="13.8" thickBot="1" x14ac:dyDescent="0.35">
      <c r="B75" s="118"/>
      <c r="C75" s="119"/>
      <c r="D75" s="119"/>
      <c r="E75" s="159"/>
      <c r="F75" s="96"/>
      <c r="G75" s="152"/>
      <c r="H75" s="98"/>
      <c r="I75" s="98"/>
      <c r="J75" s="81"/>
    </row>
    <row r="76" spans="2:10" ht="13.8" thickBot="1" x14ac:dyDescent="0.35">
      <c r="B76" s="153" t="s">
        <v>138</v>
      </c>
      <c r="C76" s="154">
        <f>+F54</f>
        <v>675.79484328993885</v>
      </c>
      <c r="D76" s="154">
        <f>+D74</f>
        <v>750</v>
      </c>
      <c r="E76" s="155">
        <f>+C76/D76</f>
        <v>0.90105979105325185</v>
      </c>
      <c r="F76" s="96"/>
      <c r="G76" s="152"/>
      <c r="H76" s="98"/>
      <c r="I76" s="98"/>
      <c r="J76" s="98"/>
    </row>
    <row r="77" spans="2:10" ht="13.8" thickBot="1" x14ac:dyDescent="0.35">
      <c r="B77" s="118"/>
      <c r="C77" s="119"/>
      <c r="D77" s="119"/>
      <c r="E77" s="159"/>
      <c r="F77" s="96"/>
      <c r="G77" s="152"/>
      <c r="H77" s="98"/>
      <c r="I77" s="98"/>
    </row>
    <row r="78" spans="2:10" ht="13.8" thickBot="1" x14ac:dyDescent="0.35">
      <c r="B78" s="488" t="s">
        <v>139</v>
      </c>
      <c r="C78" s="489"/>
      <c r="D78" s="490"/>
      <c r="E78" s="155">
        <f>+E69+E74</f>
        <v>2.1759455300386659</v>
      </c>
      <c r="G78" s="96"/>
      <c r="H78" s="152"/>
      <c r="I78" s="98"/>
      <c r="J78" s="159"/>
    </row>
    <row r="79" spans="2:10" x14ac:dyDescent="0.3">
      <c r="I79" s="152"/>
      <c r="J79" s="81"/>
    </row>
    <row r="80" spans="2:10" ht="13.8" thickBot="1" x14ac:dyDescent="0.35">
      <c r="B80" s="487" t="s">
        <v>140</v>
      </c>
      <c r="C80" s="487"/>
      <c r="D80" s="487"/>
      <c r="E80" s="487"/>
      <c r="F80" s="487"/>
      <c r="G80" s="96"/>
      <c r="H80" s="152"/>
      <c r="J80" s="81"/>
    </row>
    <row r="81" spans="1:10" ht="13.8" thickBot="1" x14ac:dyDescent="0.35">
      <c r="B81" s="153" t="s">
        <v>134</v>
      </c>
      <c r="C81" s="154">
        <f>+C69</f>
        <v>1090.9909325887991</v>
      </c>
      <c r="D81" s="154">
        <f>+D60</f>
        <v>1</v>
      </c>
      <c r="E81" s="155">
        <f>+C81/D81</f>
        <v>1090.9909325887991</v>
      </c>
      <c r="F81" s="96"/>
      <c r="G81" s="152"/>
      <c r="H81" s="98"/>
      <c r="I81" s="152"/>
      <c r="J81" s="81"/>
    </row>
    <row r="82" spans="1:10" x14ac:dyDescent="0.3">
      <c r="B82" s="156"/>
      <c r="C82" s="157"/>
      <c r="D82" s="158"/>
      <c r="E82" s="142"/>
      <c r="F82" s="96"/>
      <c r="G82" s="152"/>
      <c r="H82" s="98"/>
      <c r="I82" s="98"/>
      <c r="J82" s="81"/>
    </row>
    <row r="83" spans="1:10" x14ac:dyDescent="0.3">
      <c r="B83" s="153" t="s">
        <v>135</v>
      </c>
      <c r="C83" s="154">
        <f>+C71</f>
        <v>1788.6055945305138</v>
      </c>
      <c r="D83" s="154">
        <f>+D60</f>
        <v>1</v>
      </c>
      <c r="E83" s="159">
        <f>+C83/D83</f>
        <v>1788.6055945305138</v>
      </c>
      <c r="F83" s="96"/>
      <c r="G83" s="152"/>
      <c r="H83" s="98"/>
      <c r="I83" s="98"/>
      <c r="J83" s="81"/>
    </row>
    <row r="84" spans="1:10" x14ac:dyDescent="0.3">
      <c r="B84" s="153"/>
      <c r="C84" s="154"/>
      <c r="D84" s="154"/>
      <c r="E84" s="159"/>
      <c r="F84" s="96"/>
      <c r="G84" s="152"/>
      <c r="H84" s="98"/>
      <c r="I84" s="98"/>
      <c r="J84" s="81"/>
    </row>
    <row r="85" spans="1:10" ht="13.8" thickBot="1" x14ac:dyDescent="0.35">
      <c r="B85" s="153" t="s">
        <v>137</v>
      </c>
      <c r="C85" s="154">
        <f>+C73</f>
        <v>440</v>
      </c>
      <c r="D85" s="154">
        <f>+D60</f>
        <v>1</v>
      </c>
      <c r="E85" s="159">
        <f>+C85/D85</f>
        <v>440</v>
      </c>
      <c r="F85" s="162"/>
      <c r="G85" s="161"/>
      <c r="H85" s="80"/>
      <c r="I85" s="98"/>
    </row>
    <row r="86" spans="1:10" ht="13.8" thickBot="1" x14ac:dyDescent="0.35">
      <c r="B86" s="153" t="s">
        <v>137</v>
      </c>
      <c r="C86" s="154">
        <f>+C74</f>
        <v>540.96821494020048</v>
      </c>
      <c r="D86" s="154">
        <f>+D85</f>
        <v>1</v>
      </c>
      <c r="E86" s="155">
        <f>+C86/D86</f>
        <v>540.96821494020048</v>
      </c>
      <c r="F86" s="160"/>
      <c r="G86" s="161"/>
      <c r="H86" s="80"/>
      <c r="I86" s="80"/>
    </row>
    <row r="87" spans="1:10" x14ac:dyDescent="0.3">
      <c r="I87" s="80"/>
    </row>
    <row r="88" spans="1:10" x14ac:dyDescent="0.25">
      <c r="A88" s="480"/>
      <c r="B88" s="480"/>
      <c r="C88" s="163"/>
      <c r="D88" s="163"/>
      <c r="E88" s="164"/>
      <c r="G88" s="165"/>
    </row>
    <row r="89" spans="1:10" x14ac:dyDescent="0.25">
      <c r="A89" s="99"/>
      <c r="B89" s="166"/>
      <c r="C89" s="167"/>
      <c r="D89" s="167"/>
      <c r="E89" s="168"/>
      <c r="G89" s="165"/>
    </row>
    <row r="90" spans="1:10" x14ac:dyDescent="0.25">
      <c r="A90" s="99"/>
      <c r="B90" s="166"/>
      <c r="C90" s="169"/>
      <c r="D90" s="169"/>
      <c r="E90" s="99"/>
      <c r="G90" s="165"/>
    </row>
    <row r="91" spans="1:10" x14ac:dyDescent="0.25">
      <c r="A91" s="99"/>
      <c r="B91" s="166"/>
      <c r="C91" s="170"/>
      <c r="D91" s="170"/>
      <c r="E91" s="99"/>
      <c r="G91" s="165"/>
    </row>
  </sheetData>
  <mergeCells count="31">
    <mergeCell ref="B64:D64"/>
    <mergeCell ref="A88:B88"/>
    <mergeCell ref="B65:C65"/>
    <mergeCell ref="B66:E66"/>
    <mergeCell ref="H66:H67"/>
    <mergeCell ref="B68:F68"/>
    <mergeCell ref="B78:D78"/>
    <mergeCell ref="B80:F80"/>
    <mergeCell ref="B60:C60"/>
    <mergeCell ref="L60:M60"/>
    <mergeCell ref="B63:D63"/>
    <mergeCell ref="K63:N63"/>
    <mergeCell ref="B61:C61"/>
    <mergeCell ref="K61:N61"/>
    <mergeCell ref="L62:N62"/>
    <mergeCell ref="B55:E55"/>
    <mergeCell ref="L55:N55"/>
    <mergeCell ref="B58:C58"/>
    <mergeCell ref="B59:C59"/>
    <mergeCell ref="M59:N59"/>
    <mergeCell ref="C56:E56"/>
    <mergeCell ref="K30:L30"/>
    <mergeCell ref="B53:E53"/>
    <mergeCell ref="B54:E54"/>
    <mergeCell ref="K29:L29"/>
    <mergeCell ref="A4:H4"/>
    <mergeCell ref="A5:H5"/>
    <mergeCell ref="F6:G6"/>
    <mergeCell ref="K27:L27"/>
    <mergeCell ref="K28:L28"/>
    <mergeCell ref="K54:N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D46C-D4D9-48B8-9631-9907E096052A}">
  <dimension ref="A1:AK43"/>
  <sheetViews>
    <sheetView topLeftCell="A10" workbookViewId="0">
      <selection activeCell="K25" sqref="K25"/>
    </sheetView>
  </sheetViews>
  <sheetFormatPr baseColWidth="10" defaultColWidth="8.44140625" defaultRowHeight="10.199999999999999" x14ac:dyDescent="0.2"/>
  <cols>
    <col min="1" max="1" width="7.5546875" style="173" customWidth="1"/>
    <col min="2" max="2" width="7.6640625" style="173" bestFit="1" customWidth="1"/>
    <col min="3" max="3" width="39.33203125" style="173" customWidth="1"/>
    <col min="4" max="4" width="10" style="173" bestFit="1" customWidth="1"/>
    <col min="5" max="5" width="9.44140625" style="173" bestFit="1" customWidth="1"/>
    <col min="6" max="6" width="11.6640625" style="217" customWidth="1"/>
    <col min="7" max="7" width="8.6640625" style="218" bestFit="1" customWidth="1"/>
    <col min="8" max="8" width="10.33203125" style="219" bestFit="1" customWidth="1"/>
    <col min="9" max="16384" width="8.44140625" style="173"/>
  </cols>
  <sheetData>
    <row r="1" spans="2:8" ht="36" customHeight="1" thickBot="1" x14ac:dyDescent="0.4">
      <c r="B1" s="491"/>
      <c r="C1" s="492"/>
      <c r="D1" s="492"/>
      <c r="E1" s="492"/>
      <c r="F1" s="492"/>
      <c r="G1" s="492"/>
      <c r="H1" s="493"/>
    </row>
    <row r="2" spans="2:8" ht="19.5" customHeight="1" thickBot="1" x14ac:dyDescent="0.25">
      <c r="B2" s="494" t="s">
        <v>141</v>
      </c>
      <c r="C2" s="494"/>
      <c r="D2" s="494"/>
      <c r="E2" s="494"/>
      <c r="F2" s="494"/>
      <c r="G2" s="494"/>
      <c r="H2" s="494"/>
    </row>
    <row r="3" spans="2:8" ht="19.5" customHeight="1" thickTop="1" x14ac:dyDescent="0.2">
      <c r="B3" s="495" t="s">
        <v>142</v>
      </c>
      <c r="C3" s="495"/>
      <c r="D3" s="495"/>
      <c r="E3" s="495"/>
      <c r="F3" s="495"/>
      <c r="G3" s="495"/>
      <c r="H3" s="495"/>
    </row>
    <row r="4" spans="2:8" ht="19.5" customHeight="1" x14ac:dyDescent="0.2">
      <c r="B4" s="174"/>
      <c r="C4" s="174"/>
      <c r="D4" s="174"/>
      <c r="E4" s="174"/>
      <c r="F4" s="496" t="s">
        <v>92</v>
      </c>
      <c r="G4" s="496"/>
      <c r="H4" s="87"/>
    </row>
    <row r="5" spans="2:8" ht="30" customHeight="1" x14ac:dyDescent="0.2">
      <c r="B5" s="175" t="s">
        <v>129</v>
      </c>
      <c r="C5" s="175" t="s">
        <v>94</v>
      </c>
      <c r="D5" s="175" t="s">
        <v>129</v>
      </c>
      <c r="E5" s="176" t="s">
        <v>143</v>
      </c>
      <c r="F5" s="176" t="s">
        <v>144</v>
      </c>
      <c r="G5" s="176" t="s">
        <v>145</v>
      </c>
      <c r="H5" s="176" t="s">
        <v>146</v>
      </c>
    </row>
    <row r="6" spans="2:8" s="177" customFormat="1" ht="20.100000000000001" customHeight="1" x14ac:dyDescent="0.2">
      <c r="B6" s="178">
        <v>1</v>
      </c>
      <c r="C6" s="177" t="s">
        <v>166</v>
      </c>
      <c r="D6" s="179">
        <f>+B6</f>
        <v>1</v>
      </c>
      <c r="E6" s="179">
        <v>1032.3234402276878</v>
      </c>
      <c r="F6" s="180">
        <f>+D6*E6</f>
        <v>1032.3234402276878</v>
      </c>
      <c r="G6" s="181">
        <f>+F6/$F$23</f>
        <v>0.39951390872183823</v>
      </c>
      <c r="H6" s="182" t="s">
        <v>147</v>
      </c>
    </row>
    <row r="7" spans="2:8" s="177" customFormat="1" ht="20.100000000000001" customHeight="1" x14ac:dyDescent="0.2">
      <c r="B7" s="178"/>
      <c r="D7" s="179"/>
      <c r="E7" s="179"/>
      <c r="F7" s="180"/>
      <c r="G7" s="181"/>
      <c r="H7" s="182"/>
    </row>
    <row r="8" spans="2:8" ht="30" customHeight="1" x14ac:dyDescent="0.2">
      <c r="B8" s="175" t="s">
        <v>129</v>
      </c>
      <c r="C8" s="175" t="s">
        <v>32</v>
      </c>
      <c r="D8" s="175" t="s">
        <v>129</v>
      </c>
      <c r="E8" s="176" t="s">
        <v>143</v>
      </c>
      <c r="F8" s="176" t="s">
        <v>144</v>
      </c>
      <c r="G8" s="176" t="s">
        <v>145</v>
      </c>
      <c r="H8" s="176" t="s">
        <v>146</v>
      </c>
    </row>
    <row r="9" spans="2:8" s="177" customFormat="1" ht="20.100000000000001" customHeight="1" x14ac:dyDescent="0.2">
      <c r="B9" s="178">
        <v>1</v>
      </c>
      <c r="C9" s="177" t="s">
        <v>148</v>
      </c>
      <c r="D9" s="179">
        <f>+B9</f>
        <v>1</v>
      </c>
      <c r="E9" s="179">
        <v>506.29484328993868</v>
      </c>
      <c r="F9" s="180">
        <f>+D9*E9</f>
        <v>506.29484328993868</v>
      </c>
      <c r="G9" s="181">
        <f>+F9/$F$23</f>
        <v>0.19593842775076498</v>
      </c>
      <c r="H9" s="182" t="s">
        <v>149</v>
      </c>
    </row>
    <row r="10" spans="2:8" s="183" customFormat="1" ht="17.25" customHeight="1" x14ac:dyDescent="0.25">
      <c r="B10" s="184"/>
      <c r="C10" s="185"/>
      <c r="D10" s="186"/>
      <c r="E10" s="186"/>
      <c r="F10" s="187"/>
      <c r="G10" s="188"/>
      <c r="H10" s="189"/>
    </row>
    <row r="11" spans="2:8" s="183" customFormat="1" ht="12" x14ac:dyDescent="0.25">
      <c r="B11" s="178"/>
      <c r="C11" s="469" t="s">
        <v>150</v>
      </c>
      <c r="D11" s="469"/>
      <c r="E11" s="179"/>
      <c r="F11" s="112">
        <f>SUM(F6)</f>
        <v>1032.3234402276878</v>
      </c>
      <c r="G11" s="190">
        <f>+F11/$F$23</f>
        <v>0.39951390872183823</v>
      </c>
      <c r="H11" s="182"/>
    </row>
    <row r="12" spans="2:8" s="183" customFormat="1" ht="12.6" thickBot="1" x14ac:dyDescent="0.3">
      <c r="B12" s="178"/>
      <c r="C12" s="469" t="s">
        <v>151</v>
      </c>
      <c r="D12" s="469"/>
      <c r="E12" s="179"/>
      <c r="F12" s="191">
        <f>SUM(F9)</f>
        <v>506.29484328993868</v>
      </c>
      <c r="G12" s="190">
        <f>+F12/$F$23</f>
        <v>0.19593842775076498</v>
      </c>
      <c r="H12" s="182"/>
    </row>
    <row r="13" spans="2:8" s="183" customFormat="1" ht="12.6" thickTop="1" x14ac:dyDescent="0.25">
      <c r="B13" s="178"/>
      <c r="C13" s="476" t="s">
        <v>111</v>
      </c>
      <c r="D13" s="476"/>
      <c r="E13" s="476"/>
      <c r="F13" s="125">
        <f>SUM(F11:F12)</f>
        <v>1538.6182835176264</v>
      </c>
      <c r="G13" s="190">
        <f>+F13/$F$23</f>
        <v>0.59545233647260321</v>
      </c>
      <c r="H13" s="182"/>
    </row>
    <row r="14" spans="2:8" s="183" customFormat="1" ht="12" x14ac:dyDescent="0.25">
      <c r="C14" s="121"/>
      <c r="D14" s="121"/>
      <c r="E14" s="192"/>
      <c r="F14" s="193"/>
      <c r="G14" s="190"/>
    </row>
    <row r="15" spans="2:8" s="183" customFormat="1" ht="12" x14ac:dyDescent="0.25">
      <c r="B15" s="469" t="s">
        <v>111</v>
      </c>
      <c r="C15" s="469"/>
      <c r="D15" s="469"/>
      <c r="E15" s="194" t="s">
        <v>152</v>
      </c>
      <c r="F15" s="112">
        <f>+F13</f>
        <v>1538.6182835176264</v>
      </c>
      <c r="G15" s="190">
        <f t="shared" ref="G15:G23" si="0">+F15/$F$23</f>
        <v>0.59545233647260321</v>
      </c>
      <c r="H15" s="195"/>
    </row>
    <row r="16" spans="2:8" s="183" customFormat="1" ht="12.75" customHeight="1" thickBot="1" x14ac:dyDescent="0.3">
      <c r="B16" s="115"/>
      <c r="C16" s="469" t="s">
        <v>113</v>
      </c>
      <c r="D16" s="469"/>
      <c r="E16" s="196"/>
      <c r="F16" s="112">
        <v>478.12215579569892</v>
      </c>
      <c r="G16" s="190">
        <f t="shared" si="0"/>
        <v>0.18503546840544571</v>
      </c>
      <c r="H16" s="195"/>
    </row>
    <row r="17" spans="1:37" s="183" customFormat="1" ht="12.75" hidden="1" customHeight="1" x14ac:dyDescent="0.25">
      <c r="B17" s="115"/>
      <c r="C17" s="469" t="s">
        <v>153</v>
      </c>
      <c r="D17" s="469"/>
      <c r="E17" s="197">
        <v>0</v>
      </c>
      <c r="F17" s="112">
        <f>+(F15+F16)*E17</f>
        <v>0</v>
      </c>
      <c r="G17" s="190">
        <f t="shared" si="0"/>
        <v>0</v>
      </c>
      <c r="H17" s="195"/>
    </row>
    <row r="18" spans="1:37" s="183" customFormat="1" ht="12.6" hidden="1" thickBot="1" x14ac:dyDescent="0.3">
      <c r="B18" s="115"/>
      <c r="C18" s="469" t="s">
        <v>154</v>
      </c>
      <c r="D18" s="469"/>
      <c r="E18" s="197">
        <v>0</v>
      </c>
      <c r="F18" s="112">
        <f>+F16*E18</f>
        <v>0</v>
      </c>
      <c r="G18" s="190">
        <f t="shared" si="0"/>
        <v>0</v>
      </c>
      <c r="H18" s="195"/>
    </row>
    <row r="19" spans="1:37" s="183" customFormat="1" ht="12.6" thickBot="1" x14ac:dyDescent="0.3">
      <c r="B19" s="121"/>
      <c r="C19" s="497"/>
      <c r="D19" s="497"/>
      <c r="E19" s="498"/>
      <c r="F19" s="124">
        <f>SUM(F15:F18)</f>
        <v>2016.7404393133254</v>
      </c>
      <c r="G19" s="198">
        <f>+F19/$F$21</f>
        <v>0.8</v>
      </c>
      <c r="H19" s="195"/>
    </row>
    <row r="20" spans="1:37" s="183" customFormat="1" ht="12" x14ac:dyDescent="0.25">
      <c r="B20" s="121"/>
      <c r="C20" s="469" t="s">
        <v>118</v>
      </c>
      <c r="D20" s="469"/>
      <c r="E20" s="129">
        <v>0.25</v>
      </c>
      <c r="F20" s="112">
        <f>+F19*E20</f>
        <v>504.18510982833135</v>
      </c>
      <c r="G20" s="190">
        <f t="shared" si="0"/>
        <v>0.19512195121951223</v>
      </c>
      <c r="H20" s="195"/>
    </row>
    <row r="21" spans="1:37" s="183" customFormat="1" ht="12" x14ac:dyDescent="0.25">
      <c r="B21" s="121"/>
      <c r="C21" s="469" t="s">
        <v>116</v>
      </c>
      <c r="D21" s="469"/>
      <c r="E21" s="469"/>
      <c r="F21" s="112">
        <f>SUM(F19:F20)</f>
        <v>2520.9255491416566</v>
      </c>
      <c r="G21" s="190">
        <f t="shared" si="0"/>
        <v>0.97560975609756106</v>
      </c>
      <c r="H21" s="195"/>
    </row>
    <row r="22" spans="1:37" s="183" customFormat="1" ht="12.6" thickBot="1" x14ac:dyDescent="0.3">
      <c r="B22" s="121"/>
      <c r="C22" s="469" t="s">
        <v>121</v>
      </c>
      <c r="D22" s="469"/>
      <c r="E22" s="129">
        <v>2.5000000000000001E-2</v>
      </c>
      <c r="F22" s="112">
        <f>+F21*E22</f>
        <v>63.023138728541419</v>
      </c>
      <c r="G22" s="190">
        <f t="shared" si="0"/>
        <v>2.4390243902439029E-2</v>
      </c>
      <c r="H22" s="195"/>
    </row>
    <row r="23" spans="1:37" s="183" customFormat="1" ht="12.6" thickBot="1" x14ac:dyDescent="0.3">
      <c r="B23" s="121"/>
      <c r="C23" s="476" t="s">
        <v>124</v>
      </c>
      <c r="D23" s="476"/>
      <c r="E23" s="477"/>
      <c r="F23" s="124">
        <f>SUM(F21:F22)</f>
        <v>2583.9486878701978</v>
      </c>
      <c r="G23" s="190">
        <f t="shared" si="0"/>
        <v>1</v>
      </c>
      <c r="H23" s="199"/>
    </row>
    <row r="24" spans="1:37" s="183" customFormat="1" ht="12.6" thickBot="1" x14ac:dyDescent="0.3">
      <c r="B24" s="121"/>
      <c r="C24" s="200"/>
      <c r="D24" s="200"/>
      <c r="E24" s="200"/>
      <c r="F24" s="125"/>
      <c r="G24" s="201"/>
      <c r="H24" s="199"/>
    </row>
    <row r="25" spans="1:37" s="202" customFormat="1" ht="19.5" customHeight="1" thickBot="1" x14ac:dyDescent="0.3">
      <c r="A25" s="499"/>
      <c r="B25" s="500"/>
      <c r="C25" s="500"/>
      <c r="D25" s="500"/>
      <c r="E25" s="500"/>
      <c r="F25" s="500"/>
      <c r="G25" s="500"/>
      <c r="H25" s="500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</row>
    <row r="26" spans="1:37" s="183" customFormat="1" ht="19.5" customHeight="1" thickBot="1" x14ac:dyDescent="0.3">
      <c r="F26" s="203"/>
      <c r="G26" s="204"/>
      <c r="H26" s="195"/>
    </row>
    <row r="27" spans="1:37" s="183" customFormat="1" ht="13.5" customHeight="1" thickBot="1" x14ac:dyDescent="0.3">
      <c r="B27" s="121"/>
      <c r="C27" s="476" t="s">
        <v>124</v>
      </c>
      <c r="D27" s="476"/>
      <c r="E27" s="477"/>
      <c r="F27" s="124">
        <f>+F23</f>
        <v>2583.9486878701978</v>
      </c>
      <c r="H27" s="195"/>
    </row>
    <row r="28" spans="1:37" s="183" customFormat="1" ht="13.5" customHeight="1" x14ac:dyDescent="0.25">
      <c r="B28" s="121"/>
      <c r="C28" s="503" t="s">
        <v>155</v>
      </c>
      <c r="D28" s="503" t="s">
        <v>156</v>
      </c>
      <c r="E28" s="129">
        <v>0.1</v>
      </c>
      <c r="F28" s="205">
        <f>+F27*E28</f>
        <v>258.39486878701979</v>
      </c>
      <c r="G28" s="206" t="s">
        <v>157</v>
      </c>
      <c r="H28" s="195" t="s">
        <v>158</v>
      </c>
    </row>
    <row r="29" spans="1:37" s="183" customFormat="1" ht="13.5" customHeight="1" x14ac:dyDescent="0.25">
      <c r="B29" s="121"/>
      <c r="C29" s="504" t="s">
        <v>159</v>
      </c>
      <c r="D29" s="504"/>
      <c r="E29" s="504"/>
      <c r="F29" s="205">
        <f>SUM(F27:F28)</f>
        <v>2842.3435566572175</v>
      </c>
      <c r="G29" s="206">
        <f>+F29/$F$31</f>
        <v>0.68965517241379304</v>
      </c>
      <c r="H29" s="207">
        <f>1-(F29/F31)</f>
        <v>0.31034482758620696</v>
      </c>
    </row>
    <row r="30" spans="1:37" s="183" customFormat="1" ht="12" x14ac:dyDescent="0.25">
      <c r="B30" s="185"/>
      <c r="C30" s="503" t="s">
        <v>160</v>
      </c>
      <c r="D30" s="503"/>
      <c r="E30" s="129">
        <v>0.45</v>
      </c>
      <c r="F30" s="112">
        <f>+F29*E30</f>
        <v>1279.054600495748</v>
      </c>
      <c r="G30" s="201"/>
      <c r="H30" s="208"/>
    </row>
    <row r="31" spans="1:37" s="183" customFormat="1" ht="12.6" thickBot="1" x14ac:dyDescent="0.3">
      <c r="B31" s="185"/>
      <c r="C31" s="503" t="s">
        <v>161</v>
      </c>
      <c r="D31" s="503"/>
      <c r="E31" s="209"/>
      <c r="F31" s="112">
        <f>SUM(F29:F30)</f>
        <v>4121.3981571529657</v>
      </c>
      <c r="G31" s="201"/>
      <c r="H31" s="199"/>
    </row>
    <row r="32" spans="1:37" s="183" customFormat="1" ht="12.6" thickBot="1" x14ac:dyDescent="0.3">
      <c r="B32" s="185"/>
      <c r="C32" s="505" t="s">
        <v>162</v>
      </c>
      <c r="D32" s="505"/>
      <c r="E32" s="210">
        <v>0.13</v>
      </c>
      <c r="F32" s="211">
        <f>+F31*(1+E32)</f>
        <v>4657.179917582851</v>
      </c>
      <c r="G32" s="201"/>
      <c r="H32" s="199"/>
    </row>
    <row r="33" spans="1:37" s="183" customFormat="1" ht="12.6" thickBot="1" x14ac:dyDescent="0.3">
      <c r="A33" s="499"/>
      <c r="B33" s="500"/>
      <c r="C33" s="500"/>
      <c r="D33" s="500"/>
      <c r="E33" s="500"/>
      <c r="F33" s="500"/>
      <c r="G33" s="500"/>
      <c r="H33" s="500"/>
    </row>
    <row r="34" spans="1:37" s="183" customFormat="1" ht="12" x14ac:dyDescent="0.25">
      <c r="B34" s="185"/>
      <c r="C34" s="506" t="s">
        <v>163</v>
      </c>
      <c r="D34" s="506"/>
      <c r="E34" s="212">
        <v>0.65</v>
      </c>
      <c r="F34" s="213">
        <f>+F31/0.65</f>
        <v>6340.612549466101</v>
      </c>
      <c r="G34" s="201"/>
      <c r="H34" s="199"/>
    </row>
    <row r="35" spans="1:37" s="183" customFormat="1" ht="12" x14ac:dyDescent="0.25">
      <c r="B35" s="185"/>
      <c r="C35" s="503" t="s">
        <v>164</v>
      </c>
      <c r="D35" s="503"/>
      <c r="E35" s="212">
        <v>0.13</v>
      </c>
      <c r="F35" s="213">
        <f>+F34*1.13</f>
        <v>7164.8921808966934</v>
      </c>
      <c r="G35" s="201"/>
      <c r="H35" s="199"/>
    </row>
    <row r="36" spans="1:37" s="183" customFormat="1" ht="12.6" thickBot="1" x14ac:dyDescent="0.3">
      <c r="C36" s="478"/>
      <c r="D36" s="478"/>
      <c r="F36" s="214"/>
      <c r="G36" s="215"/>
      <c r="H36" s="195"/>
    </row>
    <row r="37" spans="1:37" s="202" customFormat="1" ht="19.5" customHeight="1" thickBot="1" x14ac:dyDescent="0.35">
      <c r="A37" s="501" t="s">
        <v>165</v>
      </c>
      <c r="B37" s="502"/>
      <c r="C37" s="502"/>
      <c r="D37" s="502"/>
      <c r="E37" s="502"/>
      <c r="F37" s="502"/>
      <c r="G37" s="502"/>
      <c r="H37" s="502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</row>
    <row r="38" spans="1:37" s="183" customFormat="1" ht="12" x14ac:dyDescent="0.25">
      <c r="F38" s="216"/>
      <c r="G38" s="215"/>
      <c r="H38" s="195"/>
    </row>
    <row r="43" spans="1:37" ht="12" x14ac:dyDescent="0.25">
      <c r="H43" s="187"/>
    </row>
  </sheetData>
  <mergeCells count="28">
    <mergeCell ref="A37:H37"/>
    <mergeCell ref="C28:D28"/>
    <mergeCell ref="C29:E29"/>
    <mergeCell ref="C30:D30"/>
    <mergeCell ref="C31:D31"/>
    <mergeCell ref="C32:D32"/>
    <mergeCell ref="A33:H33"/>
    <mergeCell ref="C34:D34"/>
    <mergeCell ref="C35:D35"/>
    <mergeCell ref="C17:D17"/>
    <mergeCell ref="C18:D18"/>
    <mergeCell ref="C19:E19"/>
    <mergeCell ref="C36:D36"/>
    <mergeCell ref="C23:E23"/>
    <mergeCell ref="A25:H25"/>
    <mergeCell ref="C27:E27"/>
    <mergeCell ref="C20:D20"/>
    <mergeCell ref="C21:E21"/>
    <mergeCell ref="C22:D22"/>
    <mergeCell ref="C13:E13"/>
    <mergeCell ref="B15:D15"/>
    <mergeCell ref="C16:D16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8265D7C-D67D-428D-BB7C-88A8F0B7E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2CBA26-7634-48E4-9C58-458522CD4A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65D4A-42BE-4E7C-B9A8-5E1BD6C8E4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 TORTA</vt:lpstr>
      <vt:lpstr>Hoja1</vt:lpstr>
      <vt:lpstr>COSTEO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Valery Cerdas</cp:lastModifiedBy>
  <cp:lastPrinted>2025-04-04T19:14:52Z</cp:lastPrinted>
  <dcterms:created xsi:type="dcterms:W3CDTF">2017-06-08T17:12:10Z</dcterms:created>
  <dcterms:modified xsi:type="dcterms:W3CDTF">2025-07-28T20:22:43Z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189600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
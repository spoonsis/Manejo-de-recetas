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1" documentId="8_{40BE69A6-3A6F-42AD-A5B9-3502AC62D3FB}" xr6:coauthVersionLast="47" xr6:coauthVersionMax="47" xr10:uidLastSave="{C5E9123C-92C7-4ABD-916E-78AC54A8593B}"/>
  <bookViews>
    <workbookView xWindow="20370" yWindow="-120" windowWidth="24240" windowHeight="13020" xr2:uid="{00000000-000D-0000-FFFF-FFFF00000000}"/>
  </bookViews>
  <sheets>
    <sheet name="Hoja1" sheetId="10" r:id="rId1"/>
    <sheet name="COSTEO" sheetId="9" state="hidden" r:id="rId2"/>
  </sheets>
  <externalReferences>
    <externalReference r:id="rId3"/>
    <externalReference r:id="rId4"/>
  </externalReferences>
  <definedNames>
    <definedName name="_xlnm.Print_Area" localSheetId="0">Hoja1!$A$1:$I$56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1" i="9" l="1"/>
  <c r="D73" i="9"/>
  <c r="C73" i="9"/>
  <c r="C85" i="9"/>
  <c r="D71" i="9"/>
  <c r="D69" i="9"/>
  <c r="F65" i="9"/>
  <c r="D60" i="9"/>
  <c r="D83" i="9"/>
  <c r="E51" i="9"/>
  <c r="F51" i="9"/>
  <c r="C51" i="9"/>
  <c r="E50" i="9"/>
  <c r="D50" i="9"/>
  <c r="B50" i="9"/>
  <c r="E49" i="9"/>
  <c r="D49" i="9"/>
  <c r="B49" i="9"/>
  <c r="E48" i="9"/>
  <c r="D48" i="9"/>
  <c r="B48" i="9"/>
  <c r="A48" i="9"/>
  <c r="C48" i="9"/>
  <c r="E47" i="9"/>
  <c r="D47" i="9"/>
  <c r="B47" i="9"/>
  <c r="A47" i="9"/>
  <c r="C47" i="9"/>
  <c r="E46" i="9"/>
  <c r="D46" i="9"/>
  <c r="B46" i="9"/>
  <c r="E45" i="9"/>
  <c r="D45" i="9"/>
  <c r="B45" i="9"/>
  <c r="A45" i="9"/>
  <c r="C45" i="9"/>
  <c r="D44" i="9"/>
  <c r="E41" i="9"/>
  <c r="D41" i="9"/>
  <c r="B41" i="9"/>
  <c r="A41" i="9"/>
  <c r="A50" i="9"/>
  <c r="C50" i="9"/>
  <c r="E40" i="9"/>
  <c r="D40" i="9"/>
  <c r="C40" i="9"/>
  <c r="B40" i="9"/>
  <c r="A40" i="9"/>
  <c r="A49" i="9"/>
  <c r="C49" i="9"/>
  <c r="E39" i="9"/>
  <c r="D39" i="9"/>
  <c r="B39" i="9"/>
  <c r="A39" i="9"/>
  <c r="C39" i="9"/>
  <c r="E38" i="9"/>
  <c r="F38" i="9"/>
  <c r="D38" i="9"/>
  <c r="C38" i="9"/>
  <c r="B38" i="9"/>
  <c r="A38" i="9"/>
  <c r="E37" i="9"/>
  <c r="D37" i="9"/>
  <c r="B37" i="9"/>
  <c r="A37" i="9"/>
  <c r="C37" i="9"/>
  <c r="E36" i="9"/>
  <c r="F36" i="9"/>
  <c r="D36" i="9"/>
  <c r="C36" i="9"/>
  <c r="B36" i="9"/>
  <c r="A36" i="9"/>
  <c r="D35" i="9"/>
  <c r="C35" i="9"/>
  <c r="A35" i="9"/>
  <c r="A44" i="9"/>
  <c r="C44" i="9"/>
  <c r="E32" i="9"/>
  <c r="F32" i="9"/>
  <c r="D32" i="9"/>
  <c r="C32" i="9"/>
  <c r="B32" i="9"/>
  <c r="E31" i="9"/>
  <c r="F31" i="9"/>
  <c r="D31" i="9"/>
  <c r="C31" i="9"/>
  <c r="B31" i="9"/>
  <c r="E30" i="9"/>
  <c r="D30" i="9"/>
  <c r="C30" i="9"/>
  <c r="B30" i="9"/>
  <c r="E29" i="9"/>
  <c r="F29" i="9"/>
  <c r="D29" i="9"/>
  <c r="C29" i="9"/>
  <c r="B29" i="9"/>
  <c r="E28" i="9"/>
  <c r="F28" i="9"/>
  <c r="D28" i="9"/>
  <c r="C28" i="9"/>
  <c r="B28" i="9"/>
  <c r="E27" i="9"/>
  <c r="D27" i="9"/>
  <c r="C27" i="9"/>
  <c r="B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F18" i="9"/>
  <c r="D18" i="9"/>
  <c r="C18" i="9"/>
  <c r="B18" i="9"/>
  <c r="D17" i="9"/>
  <c r="C17" i="9"/>
  <c r="B15" i="9"/>
  <c r="E14" i="9"/>
  <c r="F14" i="9"/>
  <c r="D14" i="9"/>
  <c r="C14" i="9"/>
  <c r="B14" i="9"/>
  <c r="E13" i="9"/>
  <c r="F13" i="9"/>
  <c r="D13" i="9"/>
  <c r="C13" i="9"/>
  <c r="B13" i="9"/>
  <c r="E12" i="9"/>
  <c r="D12" i="9"/>
  <c r="C12" i="9"/>
  <c r="B12" i="9"/>
  <c r="E11" i="9"/>
  <c r="F11" i="9"/>
  <c r="D11" i="9"/>
  <c r="C11" i="9"/>
  <c r="B11" i="9"/>
  <c r="E10" i="9"/>
  <c r="F10" i="9"/>
  <c r="D10" i="9"/>
  <c r="C10" i="9"/>
  <c r="B10" i="9"/>
  <c r="E9" i="9"/>
  <c r="F9" i="9"/>
  <c r="D9" i="9"/>
  <c r="C9" i="9"/>
  <c r="B9" i="9"/>
  <c r="E8" i="9"/>
  <c r="D8" i="9"/>
  <c r="C8" i="9"/>
  <c r="B8" i="9"/>
  <c r="H6" i="9"/>
  <c r="F30" i="9"/>
  <c r="F19" i="9"/>
  <c r="F20" i="9"/>
  <c r="F21" i="9"/>
  <c r="F49" i="9"/>
  <c r="F45" i="9"/>
  <c r="F8" i="9"/>
  <c r="F12" i="9"/>
  <c r="E73" i="9"/>
  <c r="D74" i="9"/>
  <c r="D76" i="9"/>
  <c r="D85" i="9"/>
  <c r="F50" i="9"/>
  <c r="F47" i="9"/>
  <c r="F48" i="9"/>
  <c r="F39" i="9"/>
  <c r="F37" i="9"/>
  <c r="F40" i="9"/>
  <c r="C41" i="9"/>
  <c r="F41" i="9"/>
  <c r="A46" i="9"/>
  <c r="C46" i="9"/>
  <c r="F46" i="9"/>
  <c r="F27" i="9"/>
  <c r="D86" i="9"/>
  <c r="E85" i="9"/>
  <c r="B44" i="9"/>
  <c r="B17" i="9"/>
  <c r="B35" i="9"/>
  <c r="E17" i="9"/>
  <c r="F17" i="9"/>
  <c r="F53" i="9"/>
  <c r="H53" i="9"/>
  <c r="F2" i="9"/>
  <c r="F64" i="9"/>
  <c r="C69" i="9"/>
  <c r="E69" i="9"/>
  <c r="C81" i="9"/>
  <c r="E81" i="9"/>
  <c r="E35" i="9"/>
  <c r="F35" i="9"/>
  <c r="F54" i="9"/>
  <c r="E44" i="9"/>
  <c r="F44" i="9"/>
  <c r="F56" i="9"/>
  <c r="F55" i="9"/>
  <c r="C76" i="9"/>
  <c r="E76" i="9"/>
  <c r="H54" i="9"/>
  <c r="G2" i="9"/>
  <c r="H55" i="9"/>
  <c r="O54" i="9"/>
  <c r="F63" i="9"/>
  <c r="H56" i="9"/>
  <c r="H2" i="9"/>
  <c r="O55" i="9"/>
  <c r="C74" i="9"/>
  <c r="E74" i="9"/>
  <c r="E78" i="9"/>
  <c r="C86" i="9"/>
  <c r="E86" i="9"/>
  <c r="C71" i="9"/>
  <c r="E63" i="9"/>
  <c r="F66" i="9"/>
  <c r="G63" i="9"/>
  <c r="O56" i="9"/>
  <c r="O57" i="9"/>
  <c r="O58" i="9"/>
  <c r="O59" i="9"/>
  <c r="O60" i="9"/>
  <c r="O61" i="9"/>
  <c r="O62" i="9"/>
  <c r="P62" i="9"/>
  <c r="E2" i="9"/>
  <c r="C83" i="9"/>
  <c r="E83" i="9"/>
  <c r="E71" i="9"/>
  <c r="G22" i="9"/>
  <c r="G50" i="9"/>
  <c r="G27" i="9"/>
  <c r="G45" i="9"/>
  <c r="G13" i="9"/>
  <c r="G65" i="9"/>
  <c r="G11" i="9"/>
  <c r="G30" i="9"/>
  <c r="G51" i="9"/>
  <c r="G36" i="9"/>
  <c r="G10" i="9"/>
  <c r="G47" i="9"/>
  <c r="G18" i="9"/>
  <c r="G23" i="9"/>
  <c r="G46" i="9"/>
  <c r="G12" i="9"/>
  <c r="G31" i="9"/>
  <c r="G8" i="9"/>
  <c r="G9" i="9"/>
  <c r="G37" i="9"/>
  <c r="G24" i="9"/>
  <c r="G38" i="9"/>
  <c r="G66" i="9"/>
  <c r="G20" i="9"/>
  <c r="G48" i="9"/>
  <c r="G21" i="9"/>
  <c r="G28" i="9"/>
  <c r="G41" i="9"/>
  <c r="G14" i="9"/>
  <c r="G29" i="9"/>
  <c r="G32" i="9"/>
  <c r="G40" i="9"/>
  <c r="G39" i="9"/>
  <c r="G19" i="9"/>
  <c r="G49" i="9"/>
  <c r="G17" i="9"/>
  <c r="G53" i="9"/>
  <c r="G64" i="9"/>
  <c r="G35" i="9"/>
  <c r="G44" i="9"/>
  <c r="G54" i="9"/>
  <c r="G55" i="9"/>
  <c r="G56" i="9"/>
</calcChain>
</file>

<file path=xl/sharedStrings.xml><?xml version="1.0" encoding="utf-8"?>
<sst xmlns="http://schemas.openxmlformats.org/spreadsheetml/2006/main" count="166" uniqueCount="118">
  <si>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</si>
  <si>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</si>
  <si>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</si>
  <si>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</si>
  <si>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</si>
  <si>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</si>
  <si>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</si>
  <si>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</si>
  <si>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</si>
  <si>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</si>
  <si>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</si>
  <si>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</si>
  <si>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</si>
  <si>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</si>
  <si>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</si>
  <si>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</si>
  <si>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</si>
  <si>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</si>
  <si>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</si>
  <si>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</si>
  <si>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</si>
  <si>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</si>
  <si>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</si>
  <si>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</si>
  <si>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</si>
  <si>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</si>
  <si>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</si>
  <si>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GRAMOS</t>
  </si>
  <si>
    <t>PORCIONES</t>
  </si>
  <si>
    <t>MIN</t>
  </si>
  <si>
    <t>HUMMUS</t>
  </si>
  <si>
    <t>1950704</t>
  </si>
  <si>
    <t>2, etiquetar</t>
  </si>
  <si>
    <t>01</t>
  </si>
  <si>
    <t>1, Pesar 100 g de hummus en una bolsa 5*8.</t>
  </si>
  <si>
    <t>Unid</t>
  </si>
  <si>
    <t>g</t>
  </si>
  <si>
    <t>0702123</t>
  </si>
  <si>
    <t>0702006</t>
  </si>
  <si>
    <t>BOLSA 5x8 TRANSPARENTE KILO</t>
  </si>
  <si>
    <t>ETIQUETA BLANCA 2 5/8X1 15/16 (UND)</t>
  </si>
  <si>
    <t>ETIQ.FECHA VENCIMIENTO AMARILLO (ROLLO)</t>
  </si>
  <si>
    <t xml:space="preserve">1 KILO </t>
  </si>
  <si>
    <t>1 UND</t>
  </si>
  <si>
    <t>1 ROLLO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</si>
  <si>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</si>
  <si>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</si>
  <si>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</si>
  <si>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</si>
  <si>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</si>
  <si>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</si>
  <si>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</si>
  <si>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</si>
  <si>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</si>
  <si>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</si>
  <si>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</si>
  <si>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</si>
  <si>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</si>
  <si>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</si>
  <si>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</si>
  <si>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</si>
  <si>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</si>
  <si>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</si>
  <si>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</si>
  <si>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</si>
  <si>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</si>
  <si>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</si>
  <si>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</si>
  <si>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</si>
  <si>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</si>
  <si>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</si>
  <si>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</si>
  <si>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</si>
  <si>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</si>
  <si>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</si>
  <si>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</si>
  <si>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</si>
  <si>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</si>
  <si>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</si>
  <si>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</si>
  <si>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</si>
  <si>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</si>
  <si>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</si>
  <si>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</si>
  <si>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</si>
  <si>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</si>
  <si>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</si>
  <si>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</si>
  <si>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</si>
  <si>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</si>
  <si>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</si>
  <si>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</si>
  <si>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</si>
  <si>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</si>
  <si>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901000025</t>
  </si>
  <si>
    <t>BOLSA</t>
  </si>
  <si>
    <t>EMPAQUE SEMIELABORADOS</t>
  </si>
  <si>
    <t>SE00319</t>
  </si>
  <si>
    <t>EM10010</t>
  </si>
  <si>
    <t>EM10011</t>
  </si>
  <si>
    <t>EM10003</t>
  </si>
  <si>
    <t xml:space="preserve"> 1522524- PTL00010  EMPAQUE HUMMUS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</si>
  <si>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</si>
  <si>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</si>
  <si>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</si>
  <si>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</si>
  <si>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</si>
  <si>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</si>
  <si>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</si>
  <si>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</si>
  <si>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100 GRAMOS</t>
  </si>
  <si>
    <t>Decoración</t>
  </si>
  <si>
    <t>PLASTICOS P</t>
  </si>
  <si>
    <t>CEMUSA</t>
  </si>
  <si>
    <t>ETIPLAST</t>
  </si>
  <si>
    <t>Unidad</t>
  </si>
  <si>
    <t>CONTROL DE CAMBIOS</t>
  </si>
  <si>
    <t>ESP-RE-EMPST-002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</si>
</sst>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_(* #,##0.000_);_(* \(#,##0.000\);_(* &quot;-&quot;??_);_(@_)"/>
    <numFmt numFmtId="169" formatCode="[$-409]d\-mmm\-yy;@"/>
    <numFmt numFmtId="170" formatCode="_-* #,##0.0\ _€_-;\-* #,##0.0\ _€_-;_-* &quot;-&quot;??\ _€_-;_-@_-"/>
    <numFmt numFmtId="171" formatCode="0.0"/>
  </numFmts>
  <fonts count="4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295">
    <xf numFmtId="0" fontId="0" fillId="0" borderId="0" xfId="0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0" fontId="4" fillId="2" borderId="0" xfId="4" applyFont="1" applyFill="1"/>
    <xf numFmtId="0" fontId="4" fillId="2" borderId="0" xfId="4" applyFont="1" applyFill="1" applyAlignment="1">
      <alignment horizontal="left" indent="1"/>
    </xf>
    <xf numFmtId="0" fontId="5" fillId="3" borderId="1" xfId="4" applyFont="1" applyFill="1" applyBorder="1" applyAlignment="1">
      <alignment horizontal="center" vertical="center" wrapText="1"/>
    </xf>
    <xf numFmtId="49" fontId="4" fillId="2" borderId="6" xfId="2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5" fillId="3" borderId="3" xfId="4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1" fontId="5" fillId="3" borderId="2" xfId="4" applyNumberFormat="1" applyFont="1" applyFill="1" applyBorder="1" applyAlignment="1">
      <alignment horizontal="center"/>
    </xf>
    <xf numFmtId="0" fontId="6" fillId="5" borderId="0" xfId="0" applyFont="1" applyFill="1" applyAlignment="1">
      <alignment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8" fillId="0" borderId="5" xfId="1" applyFont="1" applyFill="1" applyBorder="1" applyAlignment="1">
      <alignment horizontal="center" vertical="center"/>
    </xf>
    <xf numFmtId="166" fontId="8" fillId="0" borderId="0" xfId="1" applyFont="1" applyFill="1" applyBorder="1" applyAlignment="1">
      <alignment horizontal="center" vertical="center"/>
    </xf>
    <xf numFmtId="166" fontId="10" fillId="0" borderId="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9" fontId="13" fillId="0" borderId="0" xfId="0" applyNumberFormat="1" applyFont="1" applyAlignment="1">
      <alignment horizontal="center" vertical="center" wrapText="1"/>
    </xf>
    <xf numFmtId="0" fontId="8" fillId="7" borderId="37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 wrapText="1"/>
    </xf>
    <xf numFmtId="0" fontId="8" fillId="7" borderId="3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5" applyNumberFormat="1" applyFont="1" applyFill="1" applyAlignment="1">
      <alignment horizontal="center" vertical="center"/>
    </xf>
    <xf numFmtId="4" fontId="8" fillId="0" borderId="0" xfId="5" applyNumberFormat="1" applyFont="1" applyFill="1" applyAlignment="1">
      <alignment horizontal="center" vertical="center"/>
    </xf>
    <xf numFmtId="10" fontId="8" fillId="0" borderId="0" xfId="3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3" applyNumberFormat="1" applyFont="1" applyFill="1" applyAlignment="1">
      <alignment vertical="center"/>
    </xf>
    <xf numFmtId="0" fontId="6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8" fillId="0" borderId="0" xfId="1" applyNumberFormat="1" applyFont="1" applyFill="1" applyAlignment="1">
      <alignment vertical="center"/>
    </xf>
    <xf numFmtId="166" fontId="16" fillId="0" borderId="0" xfId="1" applyFont="1" applyFill="1" applyAlignment="1">
      <alignment horizontal="center" vertical="center"/>
    </xf>
    <xf numFmtId="10" fontId="9" fillId="7" borderId="40" xfId="3" applyNumberFormat="1" applyFont="1" applyFill="1" applyBorder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7" borderId="40" xfId="0" applyFont="1" applyFill="1" applyBorder="1" applyAlignment="1">
      <alignment vertical="center"/>
    </xf>
    <xf numFmtId="166" fontId="16" fillId="7" borderId="41" xfId="1" applyFont="1" applyFill="1" applyBorder="1" applyAlignment="1">
      <alignment horizontal="center" vertical="center"/>
    </xf>
    <xf numFmtId="166" fontId="18" fillId="0" borderId="0" xfId="1" applyFont="1" applyFill="1" applyBorder="1" applyAlignment="1">
      <alignment horizontal="right"/>
    </xf>
    <xf numFmtId="0" fontId="6" fillId="7" borderId="41" xfId="0" applyFont="1" applyFill="1" applyBorder="1" applyAlignment="1">
      <alignment vertical="center"/>
    </xf>
    <xf numFmtId="10" fontId="9" fillId="7" borderId="41" xfId="3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9" fontId="19" fillId="0" borderId="0" xfId="3" applyFont="1" applyFill="1" applyAlignment="1">
      <alignment horizontal="center"/>
    </xf>
    <xf numFmtId="4" fontId="16" fillId="0" borderId="0" xfId="1" applyNumberFormat="1" applyFont="1" applyFill="1" applyAlignment="1">
      <alignment vertical="center"/>
    </xf>
    <xf numFmtId="4" fontId="16" fillId="0" borderId="0" xfId="5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43" xfId="0" applyFont="1" applyBorder="1" applyAlignment="1">
      <alignment horizontal="right"/>
    </xf>
    <xf numFmtId="166" fontId="22" fillId="4" borderId="44" xfId="1" applyFont="1" applyFill="1" applyBorder="1" applyAlignment="1">
      <alignment horizontal="right"/>
    </xf>
    <xf numFmtId="166" fontId="22" fillId="0" borderId="0" xfId="1" applyFont="1" applyFill="1" applyBorder="1" applyAlignment="1">
      <alignment horizontal="right"/>
    </xf>
    <xf numFmtId="166" fontId="8" fillId="0" borderId="5" xfId="1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5" applyNumberFormat="1" applyFont="1" applyFill="1" applyAlignment="1">
      <alignment horizontal="center" vertical="center"/>
    </xf>
    <xf numFmtId="10" fontId="24" fillId="0" borderId="0" xfId="3" applyNumberFormat="1" applyFont="1" applyFill="1" applyAlignment="1">
      <alignment horizontal="right"/>
    </xf>
    <xf numFmtId="170" fontId="8" fillId="7" borderId="5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6" fontId="8" fillId="8" borderId="5" xfId="1" applyFont="1" applyFill="1" applyBorder="1" applyAlignment="1">
      <alignment vertical="center"/>
    </xf>
    <xf numFmtId="166" fontId="2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45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1" applyNumberFormat="1" applyFont="1" applyFill="1" applyBorder="1" applyAlignment="1">
      <alignment horizontal="center"/>
    </xf>
    <xf numFmtId="2" fontId="21" fillId="0" borderId="0" xfId="1" applyNumberFormat="1" applyFont="1" applyFill="1" applyBorder="1" applyAlignment="1">
      <alignment horizontal="center"/>
    </xf>
    <xf numFmtId="0" fontId="6" fillId="7" borderId="45" xfId="0" applyFont="1" applyFill="1" applyBorder="1" applyAlignment="1">
      <alignment vertical="center"/>
    </xf>
    <xf numFmtId="0" fontId="16" fillId="0" borderId="0" xfId="0" applyFont="1" applyAlignment="1">
      <alignment horizontal="right" vertical="center"/>
    </xf>
    <xf numFmtId="10" fontId="6" fillId="0" borderId="0" xfId="3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66" fontId="22" fillId="7" borderId="9" xfId="1" applyFont="1" applyFill="1" applyBorder="1" applyAlignment="1">
      <alignment horizontal="right"/>
    </xf>
    <xf numFmtId="0" fontId="8" fillId="7" borderId="10" xfId="0" applyFont="1" applyFill="1" applyBorder="1" applyAlignment="1">
      <alignment horizontal="right" vertical="center"/>
    </xf>
    <xf numFmtId="10" fontId="28" fillId="0" borderId="0" xfId="1" applyNumberFormat="1" applyFont="1" applyFill="1" applyAlignment="1">
      <alignment vertical="center"/>
    </xf>
    <xf numFmtId="10" fontId="9" fillId="0" borderId="0" xfId="3" applyNumberFormat="1" applyFont="1" applyFill="1" applyBorder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6" fillId="5" borderId="44" xfId="0" applyFont="1" applyFill="1" applyBorder="1" applyAlignment="1">
      <alignment horizontal="center" vertical="center"/>
    </xf>
    <xf numFmtId="166" fontId="30" fillId="0" borderId="0" xfId="1" applyFont="1" applyFill="1" applyAlignment="1">
      <alignment vertical="center"/>
    </xf>
    <xf numFmtId="166" fontId="6" fillId="0" borderId="0" xfId="1" applyFont="1" applyFill="1" applyAlignment="1">
      <alignment vertical="center"/>
    </xf>
    <xf numFmtId="9" fontId="6" fillId="0" borderId="0" xfId="1" applyNumberFormat="1" applyFont="1" applyFill="1" applyAlignment="1">
      <alignment vertical="center"/>
    </xf>
    <xf numFmtId="4" fontId="31" fillId="0" borderId="0" xfId="5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8" fillId="10" borderId="44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166" fontId="32" fillId="0" borderId="0" xfId="1" applyFont="1" applyFill="1" applyAlignment="1">
      <alignment vertical="center"/>
    </xf>
    <xf numFmtId="9" fontId="32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5" fillId="0" borderId="0" xfId="3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166" fontId="25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6" fontId="6" fillId="0" borderId="0" xfId="1" applyFont="1" applyFill="1" applyBorder="1"/>
    <xf numFmtId="10" fontId="25" fillId="0" borderId="0" xfId="3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166" fontId="6" fillId="0" borderId="0" xfId="1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6" fontId="8" fillId="0" borderId="0" xfId="0" applyNumberFormat="1" applyFont="1"/>
    <xf numFmtId="14" fontId="37" fillId="2" borderId="0" xfId="6" applyNumberFormat="1" applyFont="1" applyFill="1" applyAlignment="1">
      <alignment horizontal="center" vertical="center" wrapText="1"/>
    </xf>
    <xf numFmtId="0" fontId="1" fillId="0" borderId="0" xfId="4"/>
    <xf numFmtId="9" fontId="4" fillId="2" borderId="0" xfId="8" applyFont="1" applyFill="1"/>
    <xf numFmtId="0" fontId="36" fillId="2" borderId="0" xfId="6" applyFont="1" applyFill="1" applyAlignment="1">
      <alignment horizontal="right"/>
    </xf>
    <xf numFmtId="0" fontId="37" fillId="2" borderId="36" xfId="6" applyFont="1" applyFill="1" applyBorder="1" applyAlignment="1">
      <alignment horizontal="center"/>
    </xf>
    <xf numFmtId="0" fontId="36" fillId="2" borderId="0" xfId="6" applyFont="1" applyFill="1"/>
    <xf numFmtId="0" fontId="5" fillId="3" borderId="50" xfId="4" applyFont="1" applyFill="1" applyBorder="1" applyAlignment="1">
      <alignment horizontal="center" vertical="center"/>
    </xf>
    <xf numFmtId="0" fontId="5" fillId="3" borderId="51" xfId="4" applyFont="1" applyFill="1" applyBorder="1" applyAlignment="1">
      <alignment horizontal="center" vertical="center"/>
    </xf>
    <xf numFmtId="0" fontId="5" fillId="3" borderId="50" xfId="4" applyFont="1" applyFill="1" applyBorder="1" applyAlignment="1">
      <alignment horizontal="center" vertical="center" wrapText="1"/>
    </xf>
    <xf numFmtId="0" fontId="5" fillId="3" borderId="51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14" fontId="4" fillId="2" borderId="15" xfId="2" applyNumberFormat="1" applyFont="1" applyFill="1" applyBorder="1" applyAlignment="1">
      <alignment horizontal="center" vertical="center" wrapText="1"/>
    </xf>
    <xf numFmtId="14" fontId="4" fillId="2" borderId="14" xfId="2" applyNumberFormat="1" applyFont="1" applyFill="1" applyBorder="1" applyAlignment="1">
      <alignment horizontal="center" vertical="center" wrapText="1"/>
    </xf>
    <xf numFmtId="14" fontId="4" fillId="2" borderId="49" xfId="2" applyNumberFormat="1" applyFont="1" applyFill="1" applyBorder="1" applyAlignment="1">
      <alignment horizontal="center" vertical="center" wrapText="1"/>
    </xf>
    <xf numFmtId="0" fontId="4" fillId="2" borderId="29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30" xfId="2" applyFont="1" applyFill="1" applyBorder="1" applyAlignment="1">
      <alignment horizontal="left"/>
    </xf>
    <xf numFmtId="0" fontId="4" fillId="2" borderId="26" xfId="2" applyFont="1" applyFill="1" applyBorder="1" applyAlignment="1">
      <alignment horizontal="left"/>
    </xf>
    <xf numFmtId="0" fontId="4" fillId="2" borderId="23" xfId="2" applyFont="1" applyFill="1" applyBorder="1" applyAlignment="1">
      <alignment horizontal="left"/>
    </xf>
    <xf numFmtId="0" fontId="4" fillId="2" borderId="25" xfId="2" applyFont="1" applyFill="1" applyBorder="1" applyAlignment="1">
      <alignment horizontal="left"/>
    </xf>
    <xf numFmtId="0" fontId="4" fillId="2" borderId="31" xfId="2" applyFont="1" applyFill="1" applyBorder="1" applyAlignment="1">
      <alignment horizontal="center"/>
    </xf>
    <xf numFmtId="0" fontId="4" fillId="2" borderId="42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47" xfId="2" applyFont="1" applyFill="1" applyBorder="1" applyAlignment="1">
      <alignment horizontal="center"/>
    </xf>
    <xf numFmtId="0" fontId="4" fillId="2" borderId="48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right" vertical="top" wrapText="1"/>
    </xf>
    <xf numFmtId="0" fontId="5" fillId="2" borderId="34" xfId="2" applyFont="1" applyFill="1" applyBorder="1" applyAlignment="1">
      <alignment horizontal="right" vertical="top" wrapText="1"/>
    </xf>
    <xf numFmtId="0" fontId="5" fillId="2" borderId="35" xfId="2" applyFont="1" applyFill="1" applyBorder="1" applyAlignment="1">
      <alignment horizontal="right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1" fillId="0" borderId="3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right" vertical="center" wrapText="1"/>
    </xf>
    <xf numFmtId="0" fontId="17" fillId="0" borderId="31" xfId="0" applyFont="1" applyBorder="1" applyAlignment="1">
      <alignment horizontal="right"/>
    </xf>
    <xf numFmtId="0" fontId="17" fillId="0" borderId="42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6" fillId="0" borderId="5" xfId="0" applyFont="1" applyBorder="1" applyAlignment="1">
      <alignment horizontal="right" vertical="center"/>
    </xf>
    <xf numFmtId="0" fontId="25" fillId="0" borderId="5" xfId="0" applyFont="1" applyBorder="1" applyAlignment="1">
      <alignment horizontal="right" vertical="center"/>
    </xf>
    <xf numFmtId="0" fontId="26" fillId="0" borderId="32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43" xfId="0" applyFont="1" applyBorder="1" applyAlignment="1">
      <alignment horizontal="right"/>
    </xf>
    <xf numFmtId="0" fontId="33" fillId="0" borderId="8" xfId="0" applyFont="1" applyBorder="1" applyAlignment="1">
      <alignment horizontal="right" vertical="center"/>
    </xf>
    <xf numFmtId="0" fontId="33" fillId="0" borderId="9" xfId="0" applyFont="1" applyBorder="1" applyAlignment="1">
      <alignment horizontal="right" vertical="center"/>
    </xf>
    <xf numFmtId="0" fontId="33" fillId="0" borderId="10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34" fillId="0" borderId="0" xfId="0" applyFont="1" applyAlignment="1">
      <alignment horizontal="right"/>
    </xf>
    <xf numFmtId="0" fontId="24" fillId="0" borderId="36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8" xfId="0" applyFont="1" applyFill="1" applyBorder="1" applyAlignment="1">
      <alignment horizontal="right"/>
    </xf>
    <xf numFmtId="0" fontId="22" fillId="7" borderId="9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8" fillId="0" borderId="36" xfId="0" applyFont="1" applyBorder="1" applyAlignment="1">
      <alignment horizontal="right" vertical="center"/>
    </xf>
    <xf numFmtId="0" fontId="8" fillId="0" borderId="46" xfId="0" applyFont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10" xfId="0" applyFont="1" applyFill="1" applyBorder="1" applyAlignment="1">
      <alignment horizontal="right" vertical="center"/>
    </xf>
    <xf numFmtId="4" fontId="31" fillId="0" borderId="0" xfId="5" applyNumberFormat="1" applyFont="1" applyFill="1" applyAlignment="1">
      <alignment horizontal="center" vertical="center" wrapText="1"/>
    </xf>
    <xf numFmtId="0" fontId="38" fillId="0" borderId="52" xfId="4" applyFont="1" applyBorder="1" applyAlignment="1">
      <alignment horizontal="center" vertical="center"/>
    </xf>
    <xf numFmtId="0" fontId="38" fillId="0" borderId="25" xfId="4" applyFont="1" applyBorder="1" applyAlignment="1">
      <alignment horizontal="center" vertical="center"/>
    </xf>
    <xf numFmtId="0" fontId="39" fillId="0" borderId="5" xfId="4" applyFont="1" applyBorder="1" applyAlignment="1">
      <alignment vertical="center"/>
    </xf>
    <xf numFmtId="0" fontId="38" fillId="0" borderId="5" xfId="4" applyFont="1" applyBorder="1" applyAlignment="1">
      <alignment horizontal="center" vertical="center"/>
    </xf>
    <xf numFmtId="1" fontId="38" fillId="0" borderId="5" xfId="4" applyNumberFormat="1" applyFont="1" applyBorder="1" applyAlignment="1">
      <alignment horizontal="center"/>
    </xf>
    <xf numFmtId="1" fontId="38" fillId="0" borderId="5" xfId="4" applyNumberFormat="1" applyFont="1" applyBorder="1" applyAlignment="1">
      <alignment horizontal="center" wrapText="1"/>
    </xf>
    <xf numFmtId="0" fontId="40" fillId="0" borderId="6" xfId="4" applyFont="1" applyBorder="1" applyAlignment="1">
      <alignment horizontal="center"/>
    </xf>
    <xf numFmtId="0" fontId="40" fillId="0" borderId="5" xfId="4" quotePrefix="1" applyFont="1" applyBorder="1" applyAlignment="1">
      <alignment horizontal="center"/>
    </xf>
    <xf numFmtId="49" fontId="40" fillId="0" borderId="5" xfId="4" applyNumberFormat="1" applyFont="1" applyBorder="1"/>
    <xf numFmtId="16" fontId="40" fillId="0" borderId="5" xfId="4" applyNumberFormat="1" applyFont="1" applyBorder="1" applyAlignment="1">
      <alignment horizontal="center"/>
    </xf>
    <xf numFmtId="1" fontId="40" fillId="0" borderId="5" xfId="4" applyNumberFormat="1" applyFont="1" applyBorder="1" applyAlignment="1">
      <alignment horizontal="center"/>
    </xf>
    <xf numFmtId="1" fontId="40" fillId="0" borderId="5" xfId="4" applyNumberFormat="1" applyFont="1" applyBorder="1" applyAlignment="1">
      <alignment horizontal="center" wrapText="1"/>
    </xf>
    <xf numFmtId="1" fontId="38" fillId="5" borderId="13" xfId="4" applyNumberFormat="1" applyFont="1" applyFill="1" applyBorder="1" applyAlignment="1">
      <alignment horizontal="center"/>
    </xf>
    <xf numFmtId="1" fontId="38" fillId="5" borderId="13" xfId="4" applyNumberFormat="1" applyFont="1" applyFill="1" applyBorder="1" applyAlignment="1">
      <alignment horizontal="center" wrapText="1"/>
    </xf>
    <xf numFmtId="1" fontId="40" fillId="0" borderId="5" xfId="0" applyNumberFormat="1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5" xfId="0" applyFont="1" applyBorder="1"/>
    <xf numFmtId="0" fontId="40" fillId="0" borderId="5" xfId="4" applyFont="1" applyBorder="1" applyAlignment="1">
      <alignment horizontal="center"/>
    </xf>
    <xf numFmtId="2" fontId="38" fillId="0" borderId="5" xfId="4" applyNumberFormat="1" applyFont="1" applyBorder="1" applyAlignment="1">
      <alignment horizontal="center"/>
    </xf>
    <xf numFmtId="2" fontId="38" fillId="0" borderId="5" xfId="4" applyNumberFormat="1" applyFont="1" applyBorder="1" applyAlignment="1">
      <alignment horizontal="center" wrapText="1"/>
    </xf>
    <xf numFmtId="0" fontId="40" fillId="0" borderId="5" xfId="0" applyFont="1" applyBorder="1" applyAlignment="1">
      <alignment horizontal="left"/>
    </xf>
    <xf numFmtId="0" fontId="41" fillId="0" borderId="5" xfId="0" applyFont="1" applyBorder="1" applyAlignment="1">
      <alignment horizontal="center"/>
    </xf>
    <xf numFmtId="0" fontId="40" fillId="0" borderId="5" xfId="4" applyFont="1" applyBorder="1"/>
    <xf numFmtId="1" fontId="40" fillId="0" borderId="5" xfId="0" applyNumberFormat="1" applyFont="1" applyBorder="1" applyAlignment="1">
      <alignment horizontal="center" wrapText="1"/>
    </xf>
    <xf numFmtId="0" fontId="40" fillId="0" borderId="5" xfId="0" quotePrefix="1" applyFont="1" applyBorder="1" applyAlignment="1">
      <alignment horizontal="center"/>
    </xf>
    <xf numFmtId="0" fontId="40" fillId="0" borderId="5" xfId="0" quotePrefix="1" applyFont="1" applyBorder="1"/>
    <xf numFmtId="16" fontId="40" fillId="0" borderId="5" xfId="0" applyNumberFormat="1" applyFont="1" applyBorder="1" applyAlignment="1">
      <alignment horizontal="center"/>
    </xf>
    <xf numFmtId="0" fontId="40" fillId="5" borderId="5" xfId="0" applyFont="1" applyFill="1" applyBorder="1"/>
    <xf numFmtId="49" fontId="40" fillId="0" borderId="52" xfId="4" applyNumberFormat="1" applyFont="1" applyBorder="1" applyAlignment="1">
      <alignment horizontal="center"/>
    </xf>
    <xf numFmtId="49" fontId="40" fillId="0" borderId="25" xfId="4" applyNumberFormat="1" applyFont="1" applyBorder="1" applyAlignment="1">
      <alignment horizontal="center"/>
    </xf>
    <xf numFmtId="0" fontId="38" fillId="5" borderId="5" xfId="4" applyFont="1" applyFill="1" applyBorder="1" applyAlignment="1">
      <alignment horizontal="left"/>
    </xf>
    <xf numFmtId="171" fontId="40" fillId="0" borderId="5" xfId="4" applyNumberFormat="1" applyFont="1" applyBorder="1" applyAlignment="1">
      <alignment horizontal="center"/>
    </xf>
    <xf numFmtId="0" fontId="40" fillId="0" borderId="52" xfId="7" applyFont="1" applyBorder="1" applyAlignment="1">
      <alignment horizontal="center"/>
    </xf>
    <xf numFmtId="0" fontId="40" fillId="5" borderId="5" xfId="7" applyFont="1" applyFill="1" applyBorder="1"/>
    <xf numFmtId="16" fontId="40" fillId="0" borderId="5" xfId="7" applyNumberFormat="1" applyFont="1" applyBorder="1" applyAlignment="1">
      <alignment horizontal="center"/>
    </xf>
    <xf numFmtId="0" fontId="40" fillId="0" borderId="5" xfId="7" applyFont="1" applyBorder="1" applyAlignment="1">
      <alignment horizontal="center"/>
    </xf>
    <xf numFmtId="1" fontId="40" fillId="0" borderId="5" xfId="7" applyNumberFormat="1" applyFont="1" applyBorder="1" applyAlignment="1">
      <alignment horizontal="center"/>
    </xf>
    <xf numFmtId="1" fontId="40" fillId="0" borderId="5" xfId="7" applyNumberFormat="1" applyFont="1" applyBorder="1" applyAlignment="1">
      <alignment horizontal="center" wrapText="1"/>
    </xf>
    <xf numFmtId="49" fontId="38" fillId="0" borderId="22" xfId="4" applyNumberFormat="1" applyFont="1" applyBorder="1" applyAlignment="1">
      <alignment horizontal="center"/>
    </xf>
    <xf numFmtId="49" fontId="38" fillId="0" borderId="23" xfId="4" applyNumberFormat="1" applyFont="1" applyBorder="1" applyAlignment="1">
      <alignment horizontal="center"/>
    </xf>
    <xf numFmtId="0" fontId="39" fillId="5" borderId="5" xfId="4" applyFont="1" applyFill="1" applyBorder="1" applyAlignment="1">
      <alignment vertical="center"/>
    </xf>
    <xf numFmtId="0" fontId="38" fillId="0" borderId="25" xfId="4" applyFont="1" applyBorder="1" applyAlignment="1">
      <alignment horizontal="center"/>
    </xf>
    <xf numFmtId="49" fontId="40" fillId="0" borderId="5" xfId="4" applyNumberFormat="1" applyFont="1" applyBorder="1" applyAlignment="1">
      <alignment horizontal="center"/>
    </xf>
    <xf numFmtId="168" fontId="38" fillId="5" borderId="5" xfId="1" applyNumberFormat="1" applyFont="1" applyFill="1" applyBorder="1" applyAlignment="1">
      <alignment horizontal="center"/>
    </xf>
    <xf numFmtId="1" fontId="38" fillId="5" borderId="5" xfId="4" applyNumberFormat="1" applyFont="1" applyFill="1" applyBorder="1" applyAlignment="1">
      <alignment horizontal="center" wrapText="1"/>
    </xf>
    <xf numFmtId="16" fontId="40" fillId="2" borderId="5" xfId="4" applyNumberFormat="1" applyFont="1" applyFill="1" applyBorder="1" applyAlignment="1">
      <alignment horizontal="center"/>
    </xf>
    <xf numFmtId="1" fontId="40" fillId="2" borderId="5" xfId="4" applyNumberFormat="1" applyFont="1" applyFill="1" applyBorder="1" applyAlignment="1">
      <alignment horizontal="center"/>
    </xf>
    <xf numFmtId="0" fontId="41" fillId="0" borderId="52" xfId="0" quotePrefix="1" applyFont="1" applyBorder="1" applyAlignment="1">
      <alignment horizontal="center"/>
    </xf>
    <xf numFmtId="0" fontId="41" fillId="0" borderId="25" xfId="0" quotePrefix="1" applyFont="1" applyBorder="1" applyAlignment="1">
      <alignment horizontal="center"/>
    </xf>
    <xf numFmtId="0" fontId="41" fillId="0" borderId="5" xfId="0" quotePrefix="1" applyFont="1" applyBorder="1"/>
    <xf numFmtId="0" fontId="38" fillId="0" borderId="5" xfId="0" applyFont="1" applyBorder="1" applyAlignment="1">
      <alignment horizontal="center"/>
    </xf>
    <xf numFmtId="171" fontId="40" fillId="0" borderId="5" xfId="0" applyNumberFormat="1" applyFont="1" applyBorder="1" applyAlignment="1">
      <alignment horizontal="center"/>
    </xf>
    <xf numFmtId="0" fontId="38" fillId="5" borderId="5" xfId="0" applyFont="1" applyFill="1" applyBorder="1" applyAlignment="1">
      <alignment horizontal="center" vertical="center"/>
    </xf>
    <xf numFmtId="1" fontId="40" fillId="5" borderId="5" xfId="0" applyNumberFormat="1" applyFont="1" applyFill="1" applyBorder="1" applyAlignment="1">
      <alignment horizontal="center"/>
    </xf>
    <xf numFmtId="1" fontId="40" fillId="5" borderId="5" xfId="0" applyNumberFormat="1" applyFont="1" applyFill="1" applyBorder="1" applyAlignment="1">
      <alignment horizontal="center" wrapText="1"/>
    </xf>
    <xf numFmtId="49" fontId="40" fillId="5" borderId="52" xfId="4" applyNumberFormat="1" applyFont="1" applyFill="1" applyBorder="1" applyAlignment="1">
      <alignment horizontal="center"/>
    </xf>
    <xf numFmtId="49" fontId="40" fillId="5" borderId="25" xfId="4" applyNumberFormat="1" applyFont="1" applyFill="1" applyBorder="1" applyAlignment="1">
      <alignment horizontal="center"/>
    </xf>
    <xf numFmtId="49" fontId="40" fillId="5" borderId="5" xfId="4" applyNumberFormat="1" applyFont="1" applyFill="1" applyBorder="1"/>
    <xf numFmtId="12" fontId="40" fillId="0" borderId="5" xfId="4" applyNumberFormat="1" applyFont="1" applyBorder="1" applyAlignment="1">
      <alignment horizontal="center"/>
    </xf>
    <xf numFmtId="49" fontId="42" fillId="2" borderId="32" xfId="4" applyNumberFormat="1" applyFont="1" applyFill="1" applyBorder="1" applyAlignment="1">
      <alignment horizontal="center" vertical="center"/>
    </xf>
    <xf numFmtId="49" fontId="42" fillId="2" borderId="0" xfId="4" applyNumberFormat="1" applyFont="1" applyFill="1" applyAlignment="1">
      <alignment horizontal="center" vertical="center"/>
    </xf>
    <xf numFmtId="0" fontId="40" fillId="2" borderId="0" xfId="4" applyFont="1" applyFill="1"/>
    <xf numFmtId="1" fontId="40" fillId="2" borderId="0" xfId="4" applyNumberFormat="1" applyFont="1" applyFill="1" applyAlignment="1">
      <alignment horizontal="center"/>
    </xf>
    <xf numFmtId="167" fontId="40" fillId="2" borderId="0" xfId="4" applyNumberFormat="1" applyFont="1" applyFill="1" applyAlignment="1">
      <alignment horizontal="center" wrapText="1"/>
    </xf>
    <xf numFmtId="0" fontId="40" fillId="2" borderId="43" xfId="4" applyFont="1" applyFill="1" applyBorder="1" applyAlignment="1">
      <alignment horizontal="center"/>
    </xf>
    <xf numFmtId="0" fontId="40" fillId="3" borderId="8" xfId="4" applyFont="1" applyFill="1" applyBorder="1" applyAlignment="1">
      <alignment horizontal="center"/>
    </xf>
    <xf numFmtId="0" fontId="40" fillId="3" borderId="9" xfId="4" applyFont="1" applyFill="1" applyBorder="1" applyAlignment="1">
      <alignment horizontal="center"/>
    </xf>
    <xf numFmtId="0" fontId="40" fillId="3" borderId="9" xfId="4" applyFont="1" applyFill="1" applyBorder="1"/>
    <xf numFmtId="0" fontId="38" fillId="3" borderId="9" xfId="4" applyFont="1" applyFill="1" applyBorder="1" applyAlignment="1">
      <alignment horizontal="center"/>
    </xf>
    <xf numFmtId="1" fontId="38" fillId="3" borderId="9" xfId="4" applyNumberFormat="1" applyFont="1" applyFill="1" applyBorder="1" applyAlignment="1">
      <alignment horizontal="center"/>
    </xf>
    <xf numFmtId="167" fontId="40" fillId="3" borderId="9" xfId="4" applyNumberFormat="1" applyFont="1" applyFill="1" applyBorder="1" applyAlignment="1">
      <alignment horizontal="center" wrapText="1"/>
    </xf>
    <xf numFmtId="0" fontId="40" fillId="3" borderId="10" xfId="4" applyFont="1" applyFill="1" applyBorder="1" applyAlignment="1">
      <alignment horizontal="center"/>
    </xf>
    <xf numFmtId="0" fontId="38" fillId="0" borderId="47" xfId="4" applyFont="1" applyBorder="1" applyAlignment="1">
      <alignment horizontal="right"/>
    </xf>
    <xf numFmtId="0" fontId="38" fillId="0" borderId="48" xfId="4" applyFont="1" applyBorder="1" applyAlignment="1">
      <alignment horizontal="right"/>
    </xf>
    <xf numFmtId="0" fontId="38" fillId="0" borderId="53" xfId="4" applyFont="1" applyBorder="1" applyAlignment="1">
      <alignment horizontal="right"/>
    </xf>
    <xf numFmtId="1" fontId="40" fillId="0" borderId="7" xfId="0" applyNumberFormat="1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167" fontId="40" fillId="0" borderId="7" xfId="4" applyNumberFormat="1" applyFont="1" applyBorder="1" applyAlignment="1">
      <alignment horizontal="right"/>
    </xf>
    <xf numFmtId="0" fontId="40" fillId="2" borderId="11" xfId="4" applyFont="1" applyFill="1" applyBorder="1" applyAlignment="1">
      <alignment horizontal="center"/>
    </xf>
    <xf numFmtId="0" fontId="40" fillId="2" borderId="54" xfId="4" applyFont="1" applyFill="1" applyBorder="1" applyAlignment="1">
      <alignment horizontal="center"/>
    </xf>
    <xf numFmtId="0" fontId="38" fillId="0" borderId="22" xfId="4" applyFont="1" applyBorder="1" applyAlignment="1">
      <alignment horizontal="right"/>
    </xf>
    <xf numFmtId="0" fontId="38" fillId="0" borderId="23" xfId="4" applyFont="1" applyBorder="1" applyAlignment="1">
      <alignment horizontal="right"/>
    </xf>
    <xf numFmtId="0" fontId="38" fillId="0" borderId="25" xfId="4" applyFont="1" applyBorder="1" applyAlignment="1">
      <alignment horizontal="right"/>
    </xf>
    <xf numFmtId="1" fontId="38" fillId="0" borderId="5" xfId="0" applyNumberFormat="1" applyFont="1" applyBorder="1" applyAlignment="1">
      <alignment horizontal="center"/>
    </xf>
    <xf numFmtId="0" fontId="40" fillId="0" borderId="5" xfId="4" applyFont="1" applyBorder="1" applyAlignment="1">
      <alignment horizontal="right"/>
    </xf>
    <xf numFmtId="167" fontId="40" fillId="0" borderId="26" xfId="4" applyNumberFormat="1" applyFont="1" applyBorder="1" applyAlignment="1">
      <alignment horizontal="center"/>
    </xf>
    <xf numFmtId="167" fontId="40" fillId="0" borderId="24" xfId="4" applyNumberFormat="1" applyFont="1" applyBorder="1" applyAlignment="1">
      <alignment horizontal="center"/>
    </xf>
    <xf numFmtId="167" fontId="40" fillId="0" borderId="26" xfId="4" applyNumberFormat="1" applyFont="1" applyBorder="1" applyAlignment="1">
      <alignment horizontal="right" wrapText="1"/>
    </xf>
    <xf numFmtId="167" fontId="40" fillId="0" borderId="25" xfId="4" applyNumberFormat="1" applyFont="1" applyBorder="1" applyAlignment="1">
      <alignment horizontal="right" wrapText="1"/>
    </xf>
    <xf numFmtId="0" fontId="38" fillId="0" borderId="51" xfId="4" applyFont="1" applyBorder="1" applyAlignment="1">
      <alignment horizontal="right"/>
    </xf>
    <xf numFmtId="0" fontId="38" fillId="0" borderId="27" xfId="4" applyFont="1" applyBorder="1" applyAlignment="1">
      <alignment horizontal="right"/>
    </xf>
    <xf numFmtId="0" fontId="38" fillId="0" borderId="2" xfId="4" applyFont="1" applyBorder="1" applyAlignment="1">
      <alignment horizontal="right"/>
    </xf>
    <xf numFmtId="1" fontId="40" fillId="0" borderId="2" xfId="0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2" xfId="4" applyFont="1" applyBorder="1" applyAlignment="1">
      <alignment horizontal="right"/>
    </xf>
    <xf numFmtId="167" fontId="40" fillId="0" borderId="28" xfId="4" applyNumberFormat="1" applyFont="1" applyBorder="1" applyAlignment="1">
      <alignment horizontal="center"/>
    </xf>
    <xf numFmtId="167" fontId="40" fillId="0" borderId="18" xfId="4" applyNumberFormat="1" applyFont="1" applyBorder="1" applyAlignment="1">
      <alignment horizontal="center"/>
    </xf>
    <xf numFmtId="0" fontId="40" fillId="0" borderId="19" xfId="4" applyFont="1" applyBorder="1" applyAlignment="1">
      <alignment horizontal="left"/>
    </xf>
    <xf numFmtId="0" fontId="40" fillId="0" borderId="20" xfId="4" applyFont="1" applyBorder="1" applyAlignment="1">
      <alignment horizontal="left"/>
    </xf>
    <xf numFmtId="0" fontId="40" fillId="0" borderId="21" xfId="4" applyFont="1" applyBorder="1" applyAlignment="1">
      <alignment horizontal="left"/>
    </xf>
    <xf numFmtId="0" fontId="40" fillId="0" borderId="22" xfId="4" applyFont="1" applyBorder="1" applyAlignment="1">
      <alignment horizontal="left"/>
    </xf>
    <xf numFmtId="0" fontId="40" fillId="0" borderId="23" xfId="4" applyFont="1" applyBorder="1" applyAlignment="1">
      <alignment horizontal="left"/>
    </xf>
    <xf numFmtId="0" fontId="40" fillId="0" borderId="24" xfId="4" applyFont="1" applyBorder="1" applyAlignment="1">
      <alignment horizontal="left"/>
    </xf>
    <xf numFmtId="0" fontId="38" fillId="0" borderId="47" xfId="4" applyFont="1" applyBorder="1" applyAlignment="1">
      <alignment horizontal="left" wrapText="1"/>
    </xf>
    <xf numFmtId="0" fontId="38" fillId="0" borderId="48" xfId="4" applyFont="1" applyBorder="1" applyAlignment="1">
      <alignment horizontal="left" wrapText="1"/>
    </xf>
    <xf numFmtId="0" fontId="38" fillId="0" borderId="54" xfId="4" applyFont="1" applyBorder="1" applyAlignment="1">
      <alignment horizontal="left" wrapText="1"/>
    </xf>
    <xf numFmtId="0" fontId="40" fillId="0" borderId="22" xfId="0" applyFont="1" applyBorder="1" applyAlignment="1">
      <alignment horizontal="left"/>
    </xf>
    <xf numFmtId="0" fontId="40" fillId="0" borderId="23" xfId="0" applyFont="1" applyBorder="1" applyAlignment="1">
      <alignment horizontal="left"/>
    </xf>
    <xf numFmtId="0" fontId="40" fillId="0" borderId="24" xfId="0" applyFont="1" applyBorder="1" applyAlignment="1">
      <alignment horizontal="left"/>
    </xf>
    <xf numFmtId="0" fontId="40" fillId="0" borderId="22" xfId="4" applyFont="1" applyBorder="1" applyAlignment="1">
      <alignment horizontal="left" wrapText="1"/>
    </xf>
    <xf numFmtId="0" fontId="40" fillId="0" borderId="23" xfId="4" applyFont="1" applyBorder="1" applyAlignment="1">
      <alignment horizontal="left" wrapText="1"/>
    </xf>
    <xf numFmtId="0" fontId="40" fillId="0" borderId="24" xfId="4" applyFont="1" applyBorder="1" applyAlignment="1">
      <alignment horizontal="left" wrapText="1"/>
    </xf>
    <xf numFmtId="0" fontId="40" fillId="0" borderId="16" xfId="4" applyFont="1" applyBorder="1" applyAlignment="1">
      <alignment horizontal="left"/>
    </xf>
    <xf numFmtId="0" fontId="40" fillId="0" borderId="17" xfId="4" applyFont="1" applyBorder="1" applyAlignment="1">
      <alignment horizontal="left"/>
    </xf>
    <xf numFmtId="0" fontId="40" fillId="0" borderId="18" xfId="4" applyFont="1" applyBorder="1" applyAlignment="1">
      <alignment horizontal="left"/>
    </xf>
    <xf numFmtId="0" fontId="38" fillId="11" borderId="55" xfId="2" applyFont="1" applyFill="1" applyBorder="1" applyAlignment="1">
      <alignment horizontal="center"/>
    </xf>
    <xf numFmtId="0" fontId="38" fillId="11" borderId="42" xfId="2" applyFont="1" applyFill="1" applyBorder="1" applyAlignment="1">
      <alignment horizontal="center"/>
    </xf>
    <xf numFmtId="0" fontId="43" fillId="4" borderId="8" xfId="2" applyFont="1" applyFill="1" applyBorder="1" applyAlignment="1">
      <alignment horizontal="center"/>
    </xf>
    <xf numFmtId="0" fontId="43" fillId="4" borderId="9" xfId="2" applyFont="1" applyFill="1" applyBorder="1" applyAlignment="1">
      <alignment horizontal="center"/>
    </xf>
    <xf numFmtId="0" fontId="43" fillId="4" borderId="10" xfId="2" applyFont="1" applyFill="1" applyBorder="1" applyAlignment="1">
      <alignment horizontal="center"/>
    </xf>
    <xf numFmtId="0" fontId="38" fillId="3" borderId="8" xfId="4" applyFont="1" applyFill="1" applyBorder="1" applyAlignment="1">
      <alignment horizontal="center"/>
    </xf>
    <xf numFmtId="0" fontId="38" fillId="3" borderId="9" xfId="4" applyFont="1" applyFill="1" applyBorder="1" applyAlignment="1">
      <alignment horizontal="center"/>
    </xf>
    <xf numFmtId="0" fontId="38" fillId="3" borderId="10" xfId="4" applyFont="1" applyFill="1" applyBorder="1" applyAlignment="1">
      <alignment horizontal="center"/>
    </xf>
    <xf numFmtId="0" fontId="40" fillId="2" borderId="5" xfId="2" applyFont="1" applyFill="1" applyBorder="1" applyAlignment="1">
      <alignment horizontal="left"/>
    </xf>
  </cellXfs>
  <cellStyles count="9">
    <cellStyle name="Millares" xfId="1" builtinId="3"/>
    <cellStyle name="Millares [0]" xfId="5" builtinId="6"/>
    <cellStyle name="Normal" xfId="0" builtinId="0"/>
    <cellStyle name="Normal 2" xfId="4" xr:uid="{00000000-0005-0000-0000-000003000000}"/>
    <cellStyle name="Normal 3 2" xfId="7" xr:uid="{B7518853-FFA0-4423-9DF7-3F4CC8F5A339}"/>
    <cellStyle name="Normal_CRITERIOS DE EVALUACION PT DE GB" xfId="2" xr:uid="{00000000-0005-0000-0000-000004000000}"/>
    <cellStyle name="Normal_CRITERIOS DE EVALUACION PT DE GB 2" xfId="6" xr:uid="{C30FEDB7-4250-4247-8E1E-5A2C46D74E7E}"/>
    <cellStyle name="Porcentaje" xfId="3" builtinId="5"/>
    <cellStyle name="Porcentaje 2 2" xfId="8" xr:uid="{84E6E400-47F1-48A7-BEFD-6F85D6C323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81641</xdr:rowOff>
    </xdr:from>
    <xdr:to>
      <xdr:col>1</xdr:col>
      <xdr:colOff>1170214</xdr:colOff>
      <xdr:row>4</xdr:row>
      <xdr:rowOff>90628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7A911FA-630F-48B6-BDDD-6E692650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81641"/>
          <a:ext cx="2068286" cy="934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18360</v>
          </cell>
          <cell r="J42">
            <v>63585505</v>
          </cell>
          <cell r="K42">
            <v>50</v>
          </cell>
          <cell r="L42">
            <v>367.2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102.06</v>
          </cell>
          <cell r="J86">
            <v>4412088.2621999998</v>
          </cell>
          <cell r="K86">
            <v>11340</v>
          </cell>
          <cell r="L86">
            <v>9.0000000000000011E-3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113.16</v>
          </cell>
          <cell r="J87">
            <v>199956.51</v>
          </cell>
          <cell r="K87">
            <v>12000</v>
          </cell>
          <cell r="L87">
            <v>9.4299999999999991E-3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 t="e">
            <v>#DIV/0!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28009</v>
          </cell>
          <cell r="J210">
            <v>29193952</v>
          </cell>
          <cell r="K210">
            <v>25000</v>
          </cell>
          <cell r="L210">
            <v>1.12036</v>
          </cell>
          <cell r="M210" t="str">
            <v>Gramos</v>
          </cell>
        </row>
        <row r="211">
          <cell r="A211" t="str">
            <v>1210394</v>
          </cell>
          <cell r="B211">
            <v>11327</v>
          </cell>
          <cell r="C211" t="str">
            <v>CHOCOLATE BLANCO BELCOLAD (PAQ:2.5 K)</v>
          </cell>
          <cell r="D211" t="str">
            <v>1210394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 t="e">
            <v>#N/A</v>
          </cell>
          <cell r="J211">
            <v>-250560</v>
          </cell>
          <cell r="K211">
            <v>2500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#DIV/0!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 t="e">
            <v>#DIV/0!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112.5</v>
          </cell>
          <cell r="J260">
            <v>128841.75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 t="e">
            <v>#N/A</v>
          </cell>
          <cell r="J282">
            <v>571200</v>
          </cell>
          <cell r="K282">
            <v>100</v>
          </cell>
          <cell r="L282" t="e">
            <v>#N/A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41883</v>
          </cell>
          <cell r="J291">
            <v>20101598</v>
          </cell>
          <cell r="K291">
            <v>50</v>
          </cell>
          <cell r="L291">
            <v>837.66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 t="e">
            <v>#N/A</v>
          </cell>
          <cell r="J330">
            <v>623693.4</v>
          </cell>
          <cell r="K330">
            <v>13600</v>
          </cell>
          <cell r="L330" t="e">
            <v>#N/A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170</v>
          </cell>
          <cell r="J590">
            <v>6504425.5999999996</v>
          </cell>
          <cell r="K590">
            <v>10000</v>
          </cell>
          <cell r="L590">
            <v>1.7000000000000001E-2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 t="e">
            <v>#N/A</v>
          </cell>
          <cell r="J592">
            <v>64249</v>
          </cell>
          <cell r="K592">
            <v>454</v>
          </cell>
          <cell r="L592" t="e">
            <v>#N/A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11000</v>
          </cell>
          <cell r="L594" t="e">
            <v>#DIV/0!</v>
          </cell>
          <cell r="M594" t="str">
            <v>Gramos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3785</v>
          </cell>
          <cell r="L595" t="e">
            <v>#N/A</v>
          </cell>
          <cell r="M595" t="str">
            <v>Mililitros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3030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</v>
          </cell>
          <cell r="L601" t="e">
            <v>#N/A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5000</v>
          </cell>
          <cell r="L602" t="e">
            <v>#N/A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13600</v>
          </cell>
          <cell r="L605" t="e">
            <v>#DIV/0!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454</v>
          </cell>
          <cell r="L606" t="e">
            <v>#DIV/0!</v>
          </cell>
          <cell r="M606" t="str">
            <v>Gramos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160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20400121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 t="e">
            <v>#N/A</v>
          </cell>
          <cell r="J632">
            <v>1462000</v>
          </cell>
          <cell r="K632">
            <v>1000</v>
          </cell>
          <cell r="L632" t="e">
            <v>#N/A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625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21708</v>
          </cell>
          <cell r="J647">
            <v>11750797</v>
          </cell>
          <cell r="K647">
            <v>50</v>
          </cell>
          <cell r="L647">
            <v>434.16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17361</v>
          </cell>
          <cell r="J648">
            <v>17157345</v>
          </cell>
          <cell r="K648">
            <v>100</v>
          </cell>
          <cell r="L648">
            <v>173.61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20447</v>
          </cell>
          <cell r="J649">
            <v>10305846</v>
          </cell>
          <cell r="K649">
            <v>200</v>
          </cell>
          <cell r="L649">
            <v>102.235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27560</v>
          </cell>
          <cell r="J651">
            <v>5598080</v>
          </cell>
          <cell r="K651">
            <v>100</v>
          </cell>
          <cell r="L651">
            <v>275.60000000000002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50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125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 t="e">
            <v>#DIV/0!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50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 t="e">
            <v>#N/A</v>
          </cell>
          <cell r="J706">
            <v>375030</v>
          </cell>
          <cell r="K706">
            <v>2268</v>
          </cell>
          <cell r="L706" t="e">
            <v>#N/A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1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1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500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1000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1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 t="e">
            <v>#N/A</v>
          </cell>
          <cell r="J733">
            <v>89150</v>
          </cell>
          <cell r="K733">
            <v>354</v>
          </cell>
          <cell r="L733" t="e">
            <v>#N/A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Mililitros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 t="e">
            <v>#N/A</v>
          </cell>
          <cell r="J758">
            <v>7795.36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354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1000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23000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25000</v>
          </cell>
          <cell r="L766" t="e">
            <v>#N/A</v>
          </cell>
          <cell r="M766"/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800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1000</v>
          </cell>
          <cell r="L770" t="e">
            <v>#DIV/0!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1000</v>
          </cell>
          <cell r="L771" t="e">
            <v>#DIV/0!</v>
          </cell>
          <cell r="M771" t="str">
            <v>Gramos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3000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/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4000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119000002</v>
          </cell>
          <cell r="E788" t="str">
            <v>ASEO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4295</v>
          </cell>
          <cell r="J788">
            <v>282909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B789">
            <v>5668</v>
          </cell>
          <cell r="C789" t="str">
            <v>AGUA PLANTA</v>
          </cell>
          <cell r="D789" t="str">
            <v>119000012</v>
          </cell>
          <cell r="E789" t="str">
            <v>MATERIAS PRIMAS PLANTA</v>
          </cell>
          <cell r="F789" t="str">
            <v>LITRO</v>
          </cell>
          <cell r="G789">
            <v>500</v>
          </cell>
          <cell r="H789" t="str">
            <v>15/06/2020</v>
          </cell>
          <cell r="I789">
            <v>100</v>
          </cell>
          <cell r="J789">
            <v>12423172.800000001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B790">
            <v>14850</v>
          </cell>
          <cell r="C790" t="str">
            <v>MANO OBRA</v>
          </cell>
          <cell r="D790" t="str">
            <v>119000026</v>
          </cell>
          <cell r="E790" t="str">
            <v>MANO OBRA</v>
          </cell>
          <cell r="F790" t="str">
            <v>Minuto</v>
          </cell>
          <cell r="G790">
            <v>500</v>
          </cell>
          <cell r="H790" t="str">
            <v>15/06/2020</v>
          </cell>
          <cell r="I790">
            <v>56</v>
          </cell>
          <cell r="J790">
            <v>51068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120000012</v>
          </cell>
          <cell r="E791" t="str">
            <v>EMPAQUES PLANTA</v>
          </cell>
          <cell r="F791" t="str">
            <v>UND</v>
          </cell>
          <cell r="G791">
            <v>500</v>
          </cell>
          <cell r="H791" t="str">
            <v>03/12/2019</v>
          </cell>
          <cell r="I791">
            <v>8990</v>
          </cell>
          <cell r="J791">
            <v>-12951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B792">
            <v>14824</v>
          </cell>
          <cell r="C792" t="str">
            <v>CLORO 5% MFS (UND:GL)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 t="e">
            <v>#N/A</v>
          </cell>
          <cell r="J792">
            <v>165121.5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B793">
            <v>14825</v>
          </cell>
          <cell r="C793" t="str">
            <v xml:space="preserve">TRIPLE SEC </v>
          </cell>
          <cell r="D793" t="str">
            <v>120000018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13/05/2020</v>
          </cell>
          <cell r="I793">
            <v>5600</v>
          </cell>
          <cell r="J793">
            <v>130093.7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B794">
            <v>14826</v>
          </cell>
          <cell r="C794" t="str">
            <v>MERMELADA DE NARANJA SMUCKER (UND:361 G)</v>
          </cell>
          <cell r="D794" t="str">
            <v>120000019</v>
          </cell>
          <cell r="E794" t="str">
            <v>MATERIAS PRIMAS PLANTA</v>
          </cell>
          <cell r="F794" t="str">
            <v>UND</v>
          </cell>
          <cell r="G794">
            <v>500</v>
          </cell>
          <cell r="H794" t="str">
            <v>05/06/2020</v>
          </cell>
          <cell r="I794" t="e">
            <v>#N/A</v>
          </cell>
          <cell r="J794">
            <v>126655.1</v>
          </cell>
          <cell r="K794">
            <v>361</v>
          </cell>
          <cell r="L794" t="e">
            <v>#N/A</v>
          </cell>
          <cell r="M794" t="str">
            <v>Gramos</v>
          </cell>
        </row>
        <row r="795">
          <cell r="A795" t="str">
            <v>512316</v>
          </cell>
          <cell r="B795">
            <v>15912</v>
          </cell>
          <cell r="C795" t="str">
            <v>CAFÉ INSTANTANEO (PAQ: 500 G)</v>
          </cell>
          <cell r="D795" t="str">
            <v>120000022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21/05/2020</v>
          </cell>
          <cell r="I795">
            <v>8555</v>
          </cell>
          <cell r="J795">
            <v>85170</v>
          </cell>
          <cell r="K795">
            <v>500</v>
          </cell>
          <cell r="L795">
            <v>17.11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L797" t="e">
            <v>#DIV/0!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Gramos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Gramos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100</v>
          </cell>
          <cell r="L816" t="e">
            <v>#DIV/0!</v>
          </cell>
          <cell r="M816" t="str">
            <v>Und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C818" t="str">
            <v>AGUA PLANTA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C819" t="str">
            <v>MANO OBRA</v>
          </cell>
          <cell r="E819" t="str">
            <v>MANO OBRA</v>
          </cell>
          <cell r="F819" t="str">
            <v>Minuto</v>
          </cell>
          <cell r="I819">
            <v>55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C820" t="str">
            <v>PABILO ROJO</v>
          </cell>
          <cell r="E820" t="str">
            <v>EMPAQUES PLANTA</v>
          </cell>
          <cell r="F820" t="str">
            <v>UND</v>
          </cell>
          <cell r="I820">
            <v>8990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C821" t="str">
            <v>CLORO 5% MFS (UND:GL)</v>
          </cell>
          <cell r="E821" t="str">
            <v>MATERIAS PRIMAS PLANTA</v>
          </cell>
          <cell r="F821" t="str">
            <v>UND</v>
          </cell>
          <cell r="I821">
            <v>1921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C822" t="str">
            <v xml:space="preserve">TRIPLE SEC 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C823" t="str">
            <v>QUEQUERA  9" BAJA (CAJA:70 UND)</v>
          </cell>
          <cell r="E823" t="str">
            <v>EMPAQUES PLANTA</v>
          </cell>
          <cell r="F823" t="str">
            <v>CAJA</v>
          </cell>
          <cell r="G823">
            <v>500</v>
          </cell>
          <cell r="I823">
            <v>20298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864.14328032000003</v>
          </cell>
          <cell r="H6">
            <v>0.86414328031999998</v>
          </cell>
          <cell r="I6">
            <v>3.0527142857142859</v>
          </cell>
          <cell r="J6">
            <v>3.0527142857142858E-3</v>
          </cell>
          <cell r="K6">
            <v>156.09527902902857</v>
          </cell>
          <cell r="L6">
            <v>0.15609527902902859</v>
          </cell>
          <cell r="M6">
            <v>1023.2912736347429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872.44769724387515</v>
          </cell>
          <cell r="H7">
            <v>0.87244769724387516</v>
          </cell>
          <cell r="I7">
            <v>3.0820508700000002</v>
          </cell>
          <cell r="J7">
            <v>3.0820508700000002E-3</v>
          </cell>
          <cell r="K7">
            <v>157.59535466049752</v>
          </cell>
          <cell r="L7">
            <v>0.15759535466049751</v>
          </cell>
          <cell r="M7">
            <v>1033.1251027743726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126.10755332587415</v>
          </cell>
          <cell r="H8">
            <v>126.10755332587415</v>
          </cell>
          <cell r="I8">
            <v>0.4623563564671429</v>
          </cell>
          <cell r="J8">
            <v>0.4623563564671429</v>
          </cell>
          <cell r="K8">
            <v>22.78258374282143</v>
          </cell>
          <cell r="L8">
            <v>22.78258374282143</v>
          </cell>
          <cell r="M8">
            <v>149.35249342516272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3332.7082701296458</v>
          </cell>
          <cell r="H19">
            <v>3.332708270129646</v>
          </cell>
          <cell r="I19">
            <v>27.916910554944998</v>
          </cell>
          <cell r="J19">
            <v>2.7916910554944999E-2</v>
          </cell>
          <cell r="K19">
            <v>604.91253252322633</v>
          </cell>
          <cell r="L19">
            <v>0.6049125325232263</v>
          </cell>
          <cell r="M19">
            <v>3965.537713207817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2564.6508015602835</v>
          </cell>
          <cell r="H22">
            <v>2.5646508015602834</v>
          </cell>
          <cell r="I22">
            <v>9.2376534954407283</v>
          </cell>
          <cell r="J22">
            <v>9.2376534954407286E-3</v>
          </cell>
          <cell r="K22">
            <v>463.29992191003032</v>
          </cell>
          <cell r="L22">
            <v>0.46329992191003033</v>
          </cell>
          <cell r="M22">
            <v>3037.1883769657543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0.57668800000000009</v>
          </cell>
          <cell r="J23">
            <v>5.7668800000000011E-4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 t="e">
            <v>#N/A</v>
          </cell>
          <cell r="H24" t="e">
            <v>#N/A</v>
          </cell>
          <cell r="I24">
            <v>8.1851451428571416</v>
          </cell>
          <cell r="J24">
            <v>8.1851451428571424E-3</v>
          </cell>
          <cell r="K24" t="e">
            <v>#N/A</v>
          </cell>
          <cell r="L24" t="e">
            <v>#N/A</v>
          </cell>
          <cell r="M24" t="e">
            <v>#N/A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4036.5767299578056</v>
          </cell>
          <cell r="H25">
            <v>4.0365767299578055</v>
          </cell>
          <cell r="I25">
            <v>16.606962025316456</v>
          </cell>
          <cell r="J25">
            <v>1.6606962025316457E-2</v>
          </cell>
          <cell r="K25">
            <v>729.57306455696198</v>
          </cell>
          <cell r="L25">
            <v>0.72957306455696203</v>
          </cell>
          <cell r="M25">
            <v>4782.7567565400841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32.8054191681736</v>
          </cell>
          <cell r="J26">
            <v>3.2805419168173602E-2</v>
          </cell>
          <cell r="K26">
            <v>732.48878684267618</v>
          </cell>
          <cell r="L26">
            <v>0.73248878684267615</v>
          </cell>
          <cell r="M26">
            <v>4801.8709359686554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1232.1200000000001</v>
          </cell>
          <cell r="H27">
            <v>1.2321200000000001</v>
          </cell>
          <cell r="I27">
            <v>7.5684571428571434</v>
          </cell>
          <cell r="J27">
            <v>7.5684571428571434E-3</v>
          </cell>
          <cell r="K27">
            <v>223.1439222857143</v>
          </cell>
          <cell r="L27">
            <v>0.22314392228571431</v>
          </cell>
          <cell r="M27">
            <v>1462.8323794285716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1875.402733173077</v>
          </cell>
          <cell r="H28">
            <v>1.8754027331730769</v>
          </cell>
          <cell r="I28">
            <v>2.7884615384615379E-2</v>
          </cell>
          <cell r="J28">
            <v>2.7884615384615379E-5</v>
          </cell>
          <cell r="K28">
            <v>337.57751120192307</v>
          </cell>
          <cell r="L28">
            <v>0.33757751120192309</v>
          </cell>
          <cell r="M28">
            <v>2213.0081289903846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1592.3250680738313</v>
          </cell>
          <cell r="H29">
            <v>1.5923250680738312</v>
          </cell>
          <cell r="I29">
            <v>7.4431822897142874</v>
          </cell>
          <cell r="J29">
            <v>7.4431822897142877E-3</v>
          </cell>
          <cell r="K29">
            <v>287.95828506543819</v>
          </cell>
          <cell r="L29">
            <v>0.28795828506543819</v>
          </cell>
          <cell r="M29">
            <v>1887.7265354289839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13.833182289714285</v>
          </cell>
          <cell r="J30">
            <v>1.3833182289714285E-2</v>
          </cell>
          <cell r="K30">
            <v>289.10848506543823</v>
          </cell>
          <cell r="L30">
            <v>0.28910848506543824</v>
          </cell>
          <cell r="M30">
            <v>1895.2667354289838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2863.9670389399498</v>
          </cell>
          <cell r="H31">
            <v>2.8639670389399496</v>
          </cell>
          <cell r="I31">
            <v>2.9821618449499545</v>
          </cell>
          <cell r="J31">
            <v>2.9821618449499547E-3</v>
          </cell>
          <cell r="K31">
            <v>516.050856141282</v>
          </cell>
          <cell r="L31">
            <v>0.51605085614128199</v>
          </cell>
          <cell r="M31">
            <v>3383.000056926182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330.31513790000002</v>
          </cell>
          <cell r="H32">
            <v>0.3303151379</v>
          </cell>
          <cell r="I32">
            <v>7.0111079999999992</v>
          </cell>
          <cell r="J32">
            <v>7.0111079999999994E-3</v>
          </cell>
          <cell r="K32">
            <v>60.718724261999995</v>
          </cell>
          <cell r="L32">
            <v>6.0718724261999993E-2</v>
          </cell>
          <cell r="M32">
            <v>398.04497016200003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1186.0130043323022</v>
          </cell>
          <cell r="H33">
            <v>1.1860130043323023</v>
          </cell>
          <cell r="I33">
            <v>0</v>
          </cell>
          <cell r="J33">
            <v>0</v>
          </cell>
          <cell r="K33">
            <v>213.48234077981439</v>
          </cell>
          <cell r="L33">
            <v>0.2134823407798144</v>
          </cell>
          <cell r="M33">
            <v>1399.4953451121166</v>
          </cell>
        </row>
        <row r="34">
          <cell r="A34" t="str">
            <v>901000020</v>
          </cell>
          <cell r="B34" t="str">
            <v>PREMEZCLA P/GALLETA FIGURA</v>
          </cell>
          <cell r="C34" t="str">
            <v xml:space="preserve">ESP-RE-PRES-020 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951.92384247258633</v>
          </cell>
          <cell r="H34">
            <v>0.95192384247258632</v>
          </cell>
          <cell r="I34">
            <v>1.9885999999999999</v>
          </cell>
          <cell r="J34">
            <v>1.9886000000000001E-3</v>
          </cell>
          <cell r="K34">
            <v>171.70423964506554</v>
          </cell>
          <cell r="L34">
            <v>0.17170423964506554</v>
          </cell>
          <cell r="M34">
            <v>1125.6166821176519</v>
          </cell>
        </row>
        <row r="35">
          <cell r="A35" t="str">
            <v>95613</v>
          </cell>
          <cell r="B35" t="str">
            <v>BASE PREMEZCLA P/PASTA ALFAJOR KILO</v>
          </cell>
          <cell r="C35" t="str">
            <v xml:space="preserve">ESP-RE-PRES-003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908.54584960000011</v>
          </cell>
          <cell r="H35">
            <v>0.90854584960000007</v>
          </cell>
          <cell r="I35">
            <v>3.7022857142857144</v>
          </cell>
          <cell r="J35">
            <v>3.7022857142857144E-3</v>
          </cell>
          <cell r="K35">
            <v>164.20466435657144</v>
          </cell>
          <cell r="L35">
            <v>0.16420466435657144</v>
          </cell>
          <cell r="M35">
            <v>1076.4527996708573</v>
          </cell>
        </row>
        <row r="36">
          <cell r="A36" t="str">
            <v>907000014</v>
          </cell>
          <cell r="B36" t="str">
            <v>BASE MERENGUE DESHIDRATADO (KILO)</v>
          </cell>
          <cell r="C36" t="str">
            <v>ESP-RE-POS-036</v>
          </cell>
          <cell r="D36" t="str">
            <v>08</v>
          </cell>
          <cell r="E36" t="str">
            <v>Kilo</v>
          </cell>
          <cell r="F36" t="str">
            <v>Gramo</v>
          </cell>
          <cell r="G36" t="e">
            <v>#N/A</v>
          </cell>
          <cell r="H36" t="e">
            <v>#N/A</v>
          </cell>
          <cell r="I36">
            <v>0</v>
          </cell>
          <cell r="J36">
            <v>0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905000026</v>
          </cell>
          <cell r="B37" t="str">
            <v>RELLENO P/PIE LIMON (KILO)</v>
          </cell>
          <cell r="C37" t="str">
            <v>ESP-RE-POS-029</v>
          </cell>
          <cell r="D37" t="str">
            <v>06</v>
          </cell>
          <cell r="E37" t="str">
            <v>Kilo</v>
          </cell>
          <cell r="F37" t="str">
            <v>Gramo</v>
          </cell>
          <cell r="G37">
            <v>1789.7819319999999</v>
          </cell>
          <cell r="H37">
            <v>1.7897819319999999</v>
          </cell>
          <cell r="I37">
            <v>0</v>
          </cell>
          <cell r="J37">
            <v>0</v>
          </cell>
          <cell r="K37">
            <v>322.16074775999999</v>
          </cell>
          <cell r="L37">
            <v>0.32216074775999998</v>
          </cell>
          <cell r="M37">
            <v>2111.9426797599999</v>
          </cell>
        </row>
        <row r="38">
          <cell r="A38" t="str">
            <v>902000085</v>
          </cell>
          <cell r="B38" t="str">
            <v>RELLENO DE LIMON SPOON KILO</v>
          </cell>
          <cell r="C38" t="str">
            <v>ESP-RE-POS-054</v>
          </cell>
          <cell r="D38" t="str">
            <v>02</v>
          </cell>
          <cell r="E38" t="str">
            <v>Kilo</v>
          </cell>
          <cell r="F38" t="str">
            <v>Gramo</v>
          </cell>
          <cell r="G38">
            <v>1796.7696766666666</v>
          </cell>
          <cell r="H38">
            <v>1.7967696766666665</v>
          </cell>
          <cell r="I38">
            <v>2.5266999999999999</v>
          </cell>
          <cell r="J38">
            <v>2.5266999999999998E-3</v>
          </cell>
          <cell r="K38">
            <v>323.87334779999998</v>
          </cell>
          <cell r="L38">
            <v>0.32387334779999999</v>
          </cell>
          <cell r="M38">
            <v>2123.1697244666666</v>
          </cell>
        </row>
        <row r="39">
          <cell r="A39" t="str">
            <v>903000082</v>
          </cell>
          <cell r="B39" t="str">
            <v>PASTA ALFAJOR Y CHILENA BUCCA KILO</v>
          </cell>
          <cell r="C39" t="str">
            <v>ESP-RE-PAPS-043</v>
          </cell>
          <cell r="D39" t="str">
            <v>03</v>
          </cell>
          <cell r="E39" t="str">
            <v>Kilo</v>
          </cell>
          <cell r="F39" t="str">
            <v>Gramo</v>
          </cell>
          <cell r="G39">
            <v>905.67621395756612</v>
          </cell>
          <cell r="H39">
            <v>0.90567621395756615</v>
          </cell>
          <cell r="I39">
            <v>3.6862744453574363</v>
          </cell>
          <cell r="J39">
            <v>3.6862744453574365E-3</v>
          </cell>
          <cell r="K39">
            <v>163.68524791252622</v>
          </cell>
          <cell r="L39">
            <v>0.16368524791252623</v>
          </cell>
          <cell r="M39">
            <v>1073.0477363154498</v>
          </cell>
        </row>
        <row r="40">
          <cell r="A40" t="str">
            <v>906000036</v>
          </cell>
          <cell r="B40" t="str">
            <v>PASTA GALLETA FIGURA KILO</v>
          </cell>
          <cell r="C40" t="str">
            <v>ESP-RE-PAPS-021</v>
          </cell>
          <cell r="D40" t="str">
            <v>02</v>
          </cell>
          <cell r="E40" t="str">
            <v>Kilo</v>
          </cell>
          <cell r="F40" t="str">
            <v>Gramo</v>
          </cell>
          <cell r="G40">
            <v>1677.6568960071461</v>
          </cell>
          <cell r="H40">
            <v>1.6776568960071461</v>
          </cell>
          <cell r="I40">
            <v>13.108924675039248</v>
          </cell>
          <cell r="J40">
            <v>1.3108924675039248E-2</v>
          </cell>
          <cell r="K40">
            <v>304.33784772279336</v>
          </cell>
          <cell r="L40">
            <v>0.30433784772279338</v>
          </cell>
          <cell r="M40">
            <v>1995.1036684049786</v>
          </cell>
        </row>
        <row r="41">
          <cell r="A41" t="str">
            <v>95832</v>
          </cell>
          <cell r="B41" t="str">
            <v>CORTE GALLETAS P/CAFE (UND)</v>
          </cell>
          <cell r="C41" t="str">
            <v>ESP-RE-PAPS-030</v>
          </cell>
          <cell r="D41" t="str">
            <v>05</v>
          </cell>
          <cell r="E41" t="str">
            <v>Und</v>
          </cell>
          <cell r="F41" t="str">
            <v>Und</v>
          </cell>
          <cell r="G41">
            <v>12.061747160938911</v>
          </cell>
          <cell r="H41">
            <v>12.061747160938911</v>
          </cell>
          <cell r="I41">
            <v>9.1762472725274741E-2</v>
          </cell>
          <cell r="J41">
            <v>9.1762472725274741E-2</v>
          </cell>
          <cell r="K41">
            <v>2.1876317340595532</v>
          </cell>
          <cell r="L41">
            <v>2.1876317340595532</v>
          </cell>
          <cell r="M41">
            <v>14.34114136772374</v>
          </cell>
        </row>
        <row r="42">
          <cell r="A42" t="str">
            <v>906000012</v>
          </cell>
          <cell r="B42" t="str">
            <v>CORTE GALLETA ALFAJOR MED (UND)</v>
          </cell>
          <cell r="C42" t="str">
            <v>ESP-RE-PAPS-016</v>
          </cell>
          <cell r="D42" t="str">
            <v>02</v>
          </cell>
          <cell r="E42" t="str">
            <v>Und</v>
          </cell>
          <cell r="F42" t="str">
            <v>Und</v>
          </cell>
          <cell r="G42">
            <v>14.55995666156214</v>
          </cell>
          <cell r="H42">
            <v>14.55995666156214</v>
          </cell>
          <cell r="I42">
            <v>6.4910504070639488E-2</v>
          </cell>
          <cell r="J42">
            <v>6.4910504070639488E-2</v>
          </cell>
          <cell r="K42">
            <v>2.6324760898138999</v>
          </cell>
          <cell r="L42">
            <v>2.6324760898138999</v>
          </cell>
          <cell r="M42">
            <v>17.257343255446678</v>
          </cell>
        </row>
        <row r="43">
          <cell r="A43" t="str">
            <v>907000002</v>
          </cell>
          <cell r="B43" t="str">
            <v>BASE GALLETA P/CHEESE CAKE (KILO)</v>
          </cell>
          <cell r="C43" t="str">
            <v>ESP-RE-POS-031</v>
          </cell>
          <cell r="D43" t="str">
            <v>08</v>
          </cell>
          <cell r="E43" t="str">
            <v>Kilo</v>
          </cell>
          <cell r="F43" t="str">
            <v>Gramo</v>
          </cell>
          <cell r="G43">
            <v>2161.8393251292782</v>
          </cell>
          <cell r="H43">
            <v>2.1618393251292782</v>
          </cell>
          <cell r="I43">
            <v>1.2093006606132826</v>
          </cell>
          <cell r="J43">
            <v>1.2093006606132826E-3</v>
          </cell>
          <cell r="K43">
            <v>389.34875264218044</v>
          </cell>
          <cell r="L43">
            <v>0.38934875264218044</v>
          </cell>
          <cell r="M43">
            <v>2552.3973784320719</v>
          </cell>
        </row>
        <row r="44">
          <cell r="A44" t="str">
            <v>901000081</v>
          </cell>
          <cell r="B44" t="str">
            <v>ADOBO PECHUGA PARRILLA KILO</v>
          </cell>
          <cell r="C44" t="str">
            <v>ESP-RE-COCS-052</v>
          </cell>
          <cell r="D44" t="str">
            <v>10</v>
          </cell>
          <cell r="E44" t="str">
            <v>Kilo</v>
          </cell>
          <cell r="F44" t="str">
            <v>Gramo</v>
          </cell>
          <cell r="G44">
            <v>3132.3571782995232</v>
          </cell>
          <cell r="H44">
            <v>3.132357178299523</v>
          </cell>
          <cell r="I44">
            <v>6.1751050748448328</v>
          </cell>
          <cell r="J44">
            <v>6.1751050748448328E-3</v>
          </cell>
          <cell r="K44">
            <v>564.93581100738618</v>
          </cell>
          <cell r="L44">
            <v>0.56493581100738621</v>
          </cell>
          <cell r="M44">
            <v>3703.4680943817543</v>
          </cell>
        </row>
        <row r="45">
          <cell r="A45" t="str">
            <v>95610</v>
          </cell>
          <cell r="B45" t="str">
            <v>BASE PREMEZCLA ZANAHORIA/PIÑA KILO</v>
          </cell>
          <cell r="C45" t="str">
            <v xml:space="preserve">ESP-RE-PRES-012 </v>
          </cell>
          <cell r="D45" t="str">
            <v>17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0</v>
          </cell>
          <cell r="J45">
            <v>0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905000028</v>
          </cell>
          <cell r="B46" t="str">
            <v>RELLENO QUESO P/TORTA ZANAHORIA KILO</v>
          </cell>
          <cell r="C46" t="str">
            <v xml:space="preserve">ESP-RE-POS-035 </v>
          </cell>
          <cell r="D46" t="str">
            <v>13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>
            <v>0</v>
          </cell>
          <cell r="J46">
            <v>0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96344</v>
          </cell>
          <cell r="B47" t="str">
            <v>CREMA DULCE LECHE KILO</v>
          </cell>
          <cell r="C47" t="str">
            <v xml:space="preserve">ESP-RE-DES-040 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2201.8293624489793</v>
          </cell>
          <cell r="H47">
            <v>2.2018293624489793</v>
          </cell>
          <cell r="I47">
            <v>8.5120000000000001E-2</v>
          </cell>
          <cell r="J47">
            <v>8.5119999999999998E-5</v>
          </cell>
          <cell r="K47">
            <v>396.34460684081631</v>
          </cell>
          <cell r="L47">
            <v>0.39634460684081629</v>
          </cell>
          <cell r="M47">
            <v>2598.2590892897956</v>
          </cell>
        </row>
        <row r="48">
          <cell r="A48" t="str">
            <v>910000011</v>
          </cell>
          <cell r="B48" t="str">
            <v>BORONA P/DECORAR KILO</v>
          </cell>
          <cell r="C48" t="str">
            <v xml:space="preserve">ESP-RE-DES-032 </v>
          </cell>
          <cell r="D48" t="str">
            <v>01</v>
          </cell>
          <cell r="E48" t="str">
            <v>Kilo</v>
          </cell>
          <cell r="F48" t="str">
            <v>Gramo</v>
          </cell>
          <cell r="G48">
            <v>1847.0900845098647</v>
          </cell>
          <cell r="H48">
            <v>1.8470900845098648</v>
          </cell>
          <cell r="I48">
            <v>40.56089606010751</v>
          </cell>
          <cell r="J48">
            <v>4.0560896060107508E-2</v>
          </cell>
          <cell r="K48">
            <v>339.77717650259501</v>
          </cell>
          <cell r="L48">
            <v>0.33977717650259504</v>
          </cell>
          <cell r="M48">
            <v>2227.428157072567</v>
          </cell>
        </row>
        <row r="49">
          <cell r="A49" t="str">
            <v>902000015</v>
          </cell>
          <cell r="B49" t="str">
            <v>BATIDO ZANAHORIA CON PIÑA (KILO)</v>
          </cell>
          <cell r="C49" t="str">
            <v>ESP-RE-BAS-038</v>
          </cell>
          <cell r="D49" t="str">
            <v>09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903000001</v>
          </cell>
          <cell r="B50" t="str">
            <v xml:space="preserve">ROSQUETE ZANAHORIA/PIÑA 450g </v>
          </cell>
          <cell r="C50" t="str">
            <v>ESP-RE-BAS-001</v>
          </cell>
          <cell r="D50" t="str">
            <v>09</v>
          </cell>
          <cell r="E50" t="str">
            <v>Und</v>
          </cell>
          <cell r="F50" t="str">
            <v>Und</v>
          </cell>
          <cell r="G50" t="e">
            <v>#N/A</v>
          </cell>
          <cell r="H50" t="e">
            <v>#N/A</v>
          </cell>
          <cell r="I50">
            <v>0.1903076391304348</v>
          </cell>
          <cell r="J50">
            <v>0.1903076391304348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907000233</v>
          </cell>
          <cell r="B51" t="str">
            <v>ROSQUETE MELOCOTON PERSONAL 180 g</v>
          </cell>
          <cell r="C51" t="str">
            <v xml:space="preserve">ESP-RE-BAS-130 </v>
          </cell>
          <cell r="D51" t="str">
            <v>01</v>
          </cell>
          <cell r="E51" t="str">
            <v>Und</v>
          </cell>
          <cell r="F51" t="str">
            <v>Und</v>
          </cell>
          <cell r="G51">
            <v>228.35622983700381</v>
          </cell>
          <cell r="H51">
            <v>228.35622983700381</v>
          </cell>
          <cell r="I51">
            <v>0.18629910000000002</v>
          </cell>
          <cell r="J51">
            <v>0.18629910000000002</v>
          </cell>
          <cell r="K51">
            <v>41.137655208660689</v>
          </cell>
          <cell r="L51">
            <v>41.137655208660689</v>
          </cell>
          <cell r="M51">
            <v>269.6801841456645</v>
          </cell>
        </row>
        <row r="52">
          <cell r="A52" t="str">
            <v>905000094</v>
          </cell>
          <cell r="B52" t="str">
            <v xml:space="preserve">MEDIA TORTA DE CHOCOLATE </v>
          </cell>
          <cell r="C52" t="str">
            <v>ESP-RE-DES-116</v>
          </cell>
          <cell r="D52" t="str">
            <v>02</v>
          </cell>
          <cell r="E52" t="str">
            <v>Und</v>
          </cell>
          <cell r="F52" t="str">
            <v>Und</v>
          </cell>
          <cell r="G52">
            <v>1137.8974332250955</v>
          </cell>
          <cell r="H52">
            <v>1137.8974332250955</v>
          </cell>
          <cell r="I52">
            <v>3.9377967648778278</v>
          </cell>
          <cell r="J52">
            <v>3.9377967648778278</v>
          </cell>
          <cell r="K52">
            <v>205.53034139819522</v>
          </cell>
          <cell r="L52">
            <v>205.53034139819522</v>
          </cell>
          <cell r="M52">
            <v>1347.3655713881685</v>
          </cell>
        </row>
        <row r="53">
          <cell r="A53" t="str">
            <v>905000095</v>
          </cell>
          <cell r="B53" t="str">
            <v xml:space="preserve">MEDIA TORTA DE MELOCOTON </v>
          </cell>
          <cell r="C53" t="str">
            <v>ESP-RE-DES-117</v>
          </cell>
          <cell r="D53" t="str">
            <v>03</v>
          </cell>
          <cell r="E53" t="str">
            <v>Und</v>
          </cell>
          <cell r="F53" t="str">
            <v>Und</v>
          </cell>
          <cell r="G53">
            <v>1165.285348596205</v>
          </cell>
          <cell r="H53">
            <v>1165.285348596205</v>
          </cell>
          <cell r="I53">
            <v>5.033799369984469</v>
          </cell>
          <cell r="J53">
            <v>5.033799369984469</v>
          </cell>
          <cell r="K53">
            <v>210.65744663391411</v>
          </cell>
          <cell r="L53">
            <v>210.65744663391411</v>
          </cell>
          <cell r="M53">
            <v>1380.9765946001037</v>
          </cell>
        </row>
        <row r="54">
          <cell r="A54" t="str">
            <v>901000033</v>
          </cell>
          <cell r="B54" t="str">
            <v>PREMEZCLA SUPER ESPONJA CARAMELO KILO</v>
          </cell>
          <cell r="C54" t="str">
            <v xml:space="preserve">ESP-RE-PRES-034 </v>
          </cell>
          <cell r="D54" t="str">
            <v>05</v>
          </cell>
          <cell r="E54" t="str">
            <v>Kilo</v>
          </cell>
          <cell r="F54" t="str">
            <v>Gramo</v>
          </cell>
          <cell r="G54">
            <v>7.8250000000000002</v>
          </cell>
          <cell r="H54">
            <v>7.8250000000000004E-3</v>
          </cell>
          <cell r="I54">
            <v>36.582167664670656</v>
          </cell>
          <cell r="J54">
            <v>3.6582167664670658E-2</v>
          </cell>
          <cell r="K54">
            <v>7.9932901796407183</v>
          </cell>
          <cell r="L54">
            <v>7.9932901796407191E-3</v>
          </cell>
          <cell r="M54">
            <v>52.400457844311376</v>
          </cell>
        </row>
        <row r="55">
          <cell r="A55" t="str">
            <v>907000001</v>
          </cell>
          <cell r="B55" t="str">
            <v>MEZCLA TRES LECHES PASTEURIZADA KILO</v>
          </cell>
          <cell r="C55" t="str">
            <v>ESP-RE-POS-072</v>
          </cell>
          <cell r="D55" t="str">
            <v>13</v>
          </cell>
          <cell r="E55" t="str">
            <v>Kilo</v>
          </cell>
          <cell r="F55" t="str">
            <v>Gramo</v>
          </cell>
          <cell r="G55">
            <v>1666.6491776035218</v>
          </cell>
          <cell r="H55">
            <v>1.6666491776035217</v>
          </cell>
          <cell r="I55">
            <v>0.59836222171428588</v>
          </cell>
          <cell r="J55">
            <v>5.9836222171428589E-4</v>
          </cell>
          <cell r="K55">
            <v>300.1045571685425</v>
          </cell>
          <cell r="L55">
            <v>0.30010455716854251</v>
          </cell>
          <cell r="M55">
            <v>1967.3520969937786</v>
          </cell>
        </row>
        <row r="56">
          <cell r="A56" t="str">
            <v>907000003</v>
          </cell>
          <cell r="B56" t="str">
            <v>CREMA BLANCA CON MANJAR KILO</v>
          </cell>
          <cell r="C56" t="str">
            <v>ESP-RE-DES-039</v>
          </cell>
          <cell r="D56" t="str">
            <v>06</v>
          </cell>
          <cell r="E56" t="str">
            <v>Kilo</v>
          </cell>
          <cell r="F56" t="str">
            <v>Gramo</v>
          </cell>
          <cell r="G56">
            <v>2175.9960904761901</v>
          </cell>
          <cell r="H56">
            <v>2.1759960904761901</v>
          </cell>
          <cell r="I56">
            <v>2.726E-2</v>
          </cell>
          <cell r="J56">
            <v>2.726E-5</v>
          </cell>
          <cell r="K56">
            <v>391.68420308571416</v>
          </cell>
          <cell r="L56">
            <v>0.39168420308571417</v>
          </cell>
          <cell r="M56">
            <v>2567.7075535619042</v>
          </cell>
        </row>
        <row r="57">
          <cell r="A57" t="str">
            <v>907000061</v>
          </cell>
          <cell r="B57" t="str">
            <v>BATIDO SUPER ESPONJA CARAMELO KILO</v>
          </cell>
          <cell r="C57" t="str">
            <v>ESP-RE-BAS-080</v>
          </cell>
          <cell r="D57" t="str">
            <v>05</v>
          </cell>
          <cell r="E57" t="str">
            <v>Kilo</v>
          </cell>
          <cell r="F57" t="str">
            <v>Gramo</v>
          </cell>
          <cell r="G57">
            <v>1524.8770477866603</v>
          </cell>
          <cell r="H57">
            <v>1.5248770477866604</v>
          </cell>
          <cell r="I57">
            <v>0.11130476977080322</v>
          </cell>
          <cell r="J57">
            <v>1.1130476977080323E-4</v>
          </cell>
          <cell r="K57">
            <v>274.4979034601576</v>
          </cell>
          <cell r="L57">
            <v>0.27449790346015762</v>
          </cell>
          <cell r="M57">
            <v>1799.4862560165889</v>
          </cell>
        </row>
        <row r="58">
          <cell r="A58" t="str">
            <v>907000052</v>
          </cell>
          <cell r="B58" t="str">
            <v xml:space="preserve">ROSQUETE ESPONJA CARAMELO 380G </v>
          </cell>
          <cell r="C58" t="str">
            <v>ESP-RE-BAS-105</v>
          </cell>
          <cell r="D58" t="str">
            <v>03</v>
          </cell>
          <cell r="E58" t="str">
            <v>Und</v>
          </cell>
          <cell r="F58" t="str">
            <v>Und</v>
          </cell>
          <cell r="G58">
            <v>594.31702215033408</v>
          </cell>
          <cell r="H58">
            <v>594.31702215033408</v>
          </cell>
          <cell r="I58">
            <v>0.28924104485204349</v>
          </cell>
          <cell r="J58">
            <v>0.28924104485204349</v>
          </cell>
          <cell r="K58">
            <v>107.0291273751335</v>
          </cell>
          <cell r="L58">
            <v>107.0291273751335</v>
          </cell>
          <cell r="M58">
            <v>701.6353905703196</v>
          </cell>
        </row>
        <row r="59">
          <cell r="A59" t="str">
            <v>95621</v>
          </cell>
          <cell r="B59" t="str">
            <v>COCCION ARROZ PRECOCIDO KILO</v>
          </cell>
          <cell r="C59" t="str">
            <v>ESP-RE-COCS-005</v>
          </cell>
          <cell r="D59" t="str">
            <v>06</v>
          </cell>
          <cell r="E59" t="str">
            <v>Kilo</v>
          </cell>
          <cell r="F59" t="str">
            <v>Gramo</v>
          </cell>
          <cell r="G59">
            <v>670.75058996808025</v>
          </cell>
          <cell r="H59">
            <v>0.67075058996808024</v>
          </cell>
          <cell r="I59">
            <v>11.97720930232558</v>
          </cell>
          <cell r="J59">
            <v>1.197720930232558E-2</v>
          </cell>
          <cell r="K59">
            <v>122.89100386867305</v>
          </cell>
          <cell r="L59">
            <v>0.12289100386867305</v>
          </cell>
          <cell r="M59">
            <v>805.61880313907886</v>
          </cell>
        </row>
        <row r="60">
          <cell r="A60" t="str">
            <v>908000024</v>
          </cell>
          <cell r="B60" t="str">
            <v>COCCION PALMITO PICADO (KILO)</v>
          </cell>
          <cell r="C60" t="str">
            <v>ESP-RE-COCS-040</v>
          </cell>
          <cell r="D60" t="str">
            <v>12</v>
          </cell>
          <cell r="E60" t="str">
            <v>Kilo</v>
          </cell>
          <cell r="F60" t="str">
            <v>Gramo</v>
          </cell>
          <cell r="G60">
            <v>2229.2376678921564</v>
          </cell>
          <cell r="H60">
            <v>2.2292376678921566</v>
          </cell>
          <cell r="I60">
            <v>57.145833333333336</v>
          </cell>
          <cell r="J60">
            <v>5.7145833333333333E-2</v>
          </cell>
          <cell r="K60">
            <v>411.54903022058818</v>
          </cell>
          <cell r="L60">
            <v>0.4115490302205882</v>
          </cell>
          <cell r="M60">
            <v>2697.932531446078</v>
          </cell>
        </row>
        <row r="61">
          <cell r="A61" t="str">
            <v>910000006</v>
          </cell>
          <cell r="B61" t="str">
            <v>MEZCLA SIROPE DULCE LECHE KILO</v>
          </cell>
          <cell r="C61" t="str">
            <v xml:space="preserve">ESP-RE-DES-026 </v>
          </cell>
          <cell r="D61" t="str">
            <v>03</v>
          </cell>
          <cell r="E61" t="str">
            <v>Kilo</v>
          </cell>
          <cell r="F61" t="str">
            <v>Gramo</v>
          </cell>
          <cell r="G61">
            <v>2361.5784008307373</v>
          </cell>
          <cell r="H61">
            <v>2.3615784008307372</v>
          </cell>
          <cell r="I61">
            <v>3.4900934579439253</v>
          </cell>
          <cell r="J61">
            <v>3.4900934579439255E-3</v>
          </cell>
          <cell r="K61">
            <v>425.71232897196262</v>
          </cell>
          <cell r="L61">
            <v>0.42571232897196259</v>
          </cell>
          <cell r="M61">
            <v>2790.780823260644</v>
          </cell>
        </row>
        <row r="62">
          <cell r="A62" t="str">
            <v>907000088</v>
          </cell>
          <cell r="B62" t="str">
            <v>ROSQUETE SUPER ESPONJA CARAMELO 220g</v>
          </cell>
          <cell r="C62" t="str">
            <v>ESP-RE-BAS-109</v>
          </cell>
          <cell r="D62" t="str">
            <v>02</v>
          </cell>
          <cell r="E62" t="str">
            <v>Und</v>
          </cell>
          <cell r="F62" t="str">
            <v>Und</v>
          </cell>
          <cell r="G62">
            <v>343.03251701537437</v>
          </cell>
          <cell r="H62">
            <v>343.03251701537437</v>
          </cell>
          <cell r="I62">
            <v>2.8205168851981419</v>
          </cell>
          <cell r="J62">
            <v>2.8205168851981419</v>
          </cell>
          <cell r="K62">
            <v>62.253546102103044</v>
          </cell>
          <cell r="L62">
            <v>62.253546102103044</v>
          </cell>
          <cell r="M62">
            <v>408.10658000267551</v>
          </cell>
        </row>
        <row r="63">
          <cell r="A63" t="str">
            <v>901000019</v>
          </cell>
          <cell r="B63" t="str">
            <v>PREMEZCLA P/BATIDO TAMALES KILO</v>
          </cell>
          <cell r="C63" t="str">
            <v xml:space="preserve">ESP-RE-PRES-019 </v>
          </cell>
          <cell r="D63" t="str">
            <v>10</v>
          </cell>
          <cell r="E63" t="str">
            <v>Kilo</v>
          </cell>
          <cell r="F63" t="str">
            <v>Gramo</v>
          </cell>
          <cell r="G63" t="e">
            <v>#N/A</v>
          </cell>
          <cell r="H63" t="e">
            <v>#N/A</v>
          </cell>
          <cell r="I63">
            <v>6.0650267298289666</v>
          </cell>
          <cell r="J63">
            <v>6.0650267298289666E-3</v>
          </cell>
          <cell r="K63" t="e">
            <v>#N/A</v>
          </cell>
          <cell r="L63" t="e">
            <v>#N/A</v>
          </cell>
          <cell r="M63" t="e">
            <v>#N/A</v>
          </cell>
        </row>
        <row r="64">
          <cell r="A64" t="str">
            <v>908000026</v>
          </cell>
          <cell r="B64" t="str">
            <v>LICUADO P/MASA TAMALES (KILO)</v>
          </cell>
          <cell r="C64" t="str">
            <v>ESP-RE-COCS-042</v>
          </cell>
          <cell r="D64" t="str">
            <v>07</v>
          </cell>
          <cell r="E64" t="str">
            <v>Kilo</v>
          </cell>
          <cell r="F64" t="str">
            <v>Gramo</v>
          </cell>
          <cell r="G64">
            <v>1209.1307947019868</v>
          </cell>
          <cell r="H64">
            <v>1.2091307947019869</v>
          </cell>
          <cell r="I64">
            <v>6.265279091769159</v>
          </cell>
          <cell r="J64">
            <v>6.2652790917691586E-3</v>
          </cell>
          <cell r="K64">
            <v>218.77129328287606</v>
          </cell>
          <cell r="L64">
            <v>0.21877129328287606</v>
          </cell>
          <cell r="M64">
            <v>1434.167367076632</v>
          </cell>
        </row>
        <row r="65">
          <cell r="A65" t="str">
            <v>908000027</v>
          </cell>
          <cell r="B65" t="str">
            <v>COCCION ZANAHORIA P/TAMALES (KILO)</v>
          </cell>
          <cell r="C65" t="str">
            <v xml:space="preserve">ESP-RE-COCS-043 </v>
          </cell>
          <cell r="D65" t="str">
            <v>05</v>
          </cell>
          <cell r="E65" t="str">
            <v>Kilo</v>
          </cell>
          <cell r="F65" t="str">
            <v>Gramo</v>
          </cell>
          <cell r="G65">
            <v>924.77359449999994</v>
          </cell>
          <cell r="H65">
            <v>0.92477359449999996</v>
          </cell>
          <cell r="I65">
            <v>22.229225867562217</v>
          </cell>
          <cell r="J65">
            <v>2.2229225867562218E-2</v>
          </cell>
          <cell r="K65">
            <v>170.46050766616119</v>
          </cell>
          <cell r="L65">
            <v>0.17046050766616119</v>
          </cell>
          <cell r="M65">
            <v>1117.4633280337234</v>
          </cell>
        </row>
        <row r="66">
          <cell r="A66" t="str">
            <v>908000025</v>
          </cell>
          <cell r="B66" t="str">
            <v>MASA P/TAMALES (KILO)</v>
          </cell>
          <cell r="C66" t="str">
            <v>ESP-RE-COCS-041</v>
          </cell>
          <cell r="D66" t="str">
            <v>15</v>
          </cell>
          <cell r="E66" t="str">
            <v>Kilo</v>
          </cell>
          <cell r="F66" t="str">
            <v>Gramo</v>
          </cell>
          <cell r="G66" t="e">
            <v>#N/A</v>
          </cell>
          <cell r="H66" t="e">
            <v>#N/A</v>
          </cell>
          <cell r="I66">
            <v>4.1705677345826038</v>
          </cell>
          <cell r="J66">
            <v>4.170567734582604E-3</v>
          </cell>
          <cell r="K66" t="e">
            <v>#N/A</v>
          </cell>
          <cell r="L66" t="e">
            <v>#N/A</v>
          </cell>
          <cell r="M66" t="e">
            <v>#N/A</v>
          </cell>
        </row>
        <row r="67">
          <cell r="A67" t="str">
            <v>90100132</v>
          </cell>
          <cell r="B67" t="str">
            <v xml:space="preserve">AZUCAR REFINADA (BOLSA:1500g) </v>
          </cell>
          <cell r="C67" t="str">
            <v>ESP-RE-PRES-108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439.64</v>
          </cell>
          <cell r="H67">
            <v>0.43963999999999998</v>
          </cell>
          <cell r="I67">
            <v>14.128</v>
          </cell>
          <cell r="J67">
            <v>1.4128E-2</v>
          </cell>
          <cell r="K67">
            <v>81.678239999999988</v>
          </cell>
          <cell r="L67">
            <v>8.1678239999999985E-2</v>
          </cell>
          <cell r="M67">
            <v>535.44623999999999</v>
          </cell>
        </row>
        <row r="68">
          <cell r="A68" t="str">
            <v>908000022</v>
          </cell>
          <cell r="B68" t="str">
            <v>MEZCLA PIPIAN (KILO)</v>
          </cell>
          <cell r="C68" t="str">
            <v>ESP-RE-COCS-035</v>
          </cell>
          <cell r="D68" t="str">
            <v>08</v>
          </cell>
          <cell r="E68" t="str">
            <v>Kilo</v>
          </cell>
          <cell r="F68" t="str">
            <v>Gramo</v>
          </cell>
          <cell r="G68">
            <v>2056.5356337055641</v>
          </cell>
          <cell r="H68">
            <v>2.0565356337055642</v>
          </cell>
          <cell r="I68">
            <v>5.6339777882352946</v>
          </cell>
          <cell r="J68">
            <v>5.6339777882352948E-3</v>
          </cell>
          <cell r="K68">
            <v>371.1905300688839</v>
          </cell>
          <cell r="L68">
            <v>0.37119053006888392</v>
          </cell>
          <cell r="M68">
            <v>2433.3601415626836</v>
          </cell>
        </row>
        <row r="69">
          <cell r="A69" t="str">
            <v>909000005</v>
          </cell>
          <cell r="B69" t="str">
            <v>PIPIAN EMPAQ (KILO)</v>
          </cell>
          <cell r="C69" t="str">
            <v>ESP-RE-EMPS-005</v>
          </cell>
          <cell r="D69" t="str">
            <v>03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12.631477788235294</v>
          </cell>
          <cell r="J69">
            <v>1.2631477788235295E-2</v>
          </cell>
          <cell r="K69">
            <v>372.45008006888389</v>
          </cell>
          <cell r="L69">
            <v>0.37245008006888392</v>
          </cell>
          <cell r="M69">
            <v>2441.6171915626833</v>
          </cell>
        </row>
        <row r="70">
          <cell r="A70" t="str">
            <v>908000010</v>
          </cell>
          <cell r="B70" t="str">
            <v>MEZCLA ARROZ P/TAMAL (KILO)</v>
          </cell>
          <cell r="C70" t="str">
            <v>ESP-RE-COCS-010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746.79229489334193</v>
          </cell>
          <cell r="H70">
            <v>0.74679229489334198</v>
          </cell>
          <cell r="I70">
            <v>5.3956228351648345</v>
          </cell>
          <cell r="J70">
            <v>5.395622835164835E-3</v>
          </cell>
          <cell r="K70">
            <v>135.39382519113121</v>
          </cell>
          <cell r="L70">
            <v>0.13539382519113122</v>
          </cell>
          <cell r="M70">
            <v>887.58174291963803</v>
          </cell>
        </row>
        <row r="71">
          <cell r="A71" t="str">
            <v>909000006</v>
          </cell>
          <cell r="B71" t="str">
            <v>ARROZ P/TAMALES EMPAQ  (KILO)</v>
          </cell>
          <cell r="C71" t="str">
            <v>ESP-RE-EMPS-006</v>
          </cell>
          <cell r="D71" t="str">
            <v>05</v>
          </cell>
          <cell r="E71" t="str">
            <v>Kilo</v>
          </cell>
          <cell r="F71" t="str">
            <v>Gramo</v>
          </cell>
          <cell r="G71">
            <v>595.22998336134447</v>
          </cell>
          <cell r="H71">
            <v>0.59522998336134447</v>
          </cell>
          <cell r="I71">
            <v>7.6145154285714289</v>
          </cell>
          <cell r="J71">
            <v>7.6145154285714289E-3</v>
          </cell>
          <cell r="K71">
            <v>108.51200978218485</v>
          </cell>
          <cell r="L71">
            <v>0.10851200978218485</v>
          </cell>
          <cell r="M71">
            <v>711.35650857210067</v>
          </cell>
        </row>
        <row r="72">
          <cell r="A72" t="str">
            <v>90100142</v>
          </cell>
          <cell r="B72" t="str">
            <v>EMPAQUE SAL KILO</v>
          </cell>
          <cell r="C72" t="str">
            <v>ESP-RE-PRES-101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376</v>
          </cell>
          <cell r="H72">
            <v>0.376</v>
          </cell>
          <cell r="I72">
            <v>5.6512000000000011</v>
          </cell>
          <cell r="J72">
            <v>5.6512000000000012E-3</v>
          </cell>
          <cell r="K72">
            <v>68.697215999999997</v>
          </cell>
          <cell r="L72">
            <v>6.8697215999999992E-2</v>
          </cell>
          <cell r="M72">
            <v>450.34841600000004</v>
          </cell>
        </row>
        <row r="73">
          <cell r="A73" t="str">
            <v>908000058</v>
          </cell>
          <cell r="B73" t="str">
            <v>ARROZ P/TAMAL S/PITTIE POIS (KILO)</v>
          </cell>
          <cell r="C73" t="str">
            <v>ESP-RE-COCS-085</v>
          </cell>
          <cell r="D73" t="str">
            <v>08</v>
          </cell>
          <cell r="E73" t="str">
            <v>Kilo</v>
          </cell>
          <cell r="F73" t="str">
            <v>Gramo</v>
          </cell>
          <cell r="G73">
            <v>595.22998336134447</v>
          </cell>
          <cell r="H73">
            <v>0.59522998336134447</v>
          </cell>
          <cell r="I73">
            <v>7.2658285714285731E-2</v>
          </cell>
          <cell r="J73">
            <v>7.2658285714285735E-5</v>
          </cell>
          <cell r="K73">
            <v>107.15447549647057</v>
          </cell>
          <cell r="L73">
            <v>0.10715447549647057</v>
          </cell>
          <cell r="M73">
            <v>702.45711714352933</v>
          </cell>
        </row>
        <row r="74">
          <cell r="A74" t="str">
            <v>908000031</v>
          </cell>
          <cell r="B74" t="str">
            <v>COCCION CARNE CERDO P/TAMAL (KILO)</v>
          </cell>
          <cell r="C74" t="str">
            <v>ESP-RE-COCS-047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3905.8351536015298</v>
          </cell>
          <cell r="H74">
            <v>3.9058351536015299</v>
          </cell>
          <cell r="I74">
            <v>30.852927499033282</v>
          </cell>
          <cell r="J74">
            <v>3.0852927499033282E-2</v>
          </cell>
          <cell r="K74">
            <v>708.60385459810129</v>
          </cell>
          <cell r="L74">
            <v>0.70860385459810127</v>
          </cell>
          <cell r="M74">
            <v>4645.291935698664</v>
          </cell>
        </row>
        <row r="75">
          <cell r="A75" t="str">
            <v>90100052</v>
          </cell>
          <cell r="B75" t="str">
            <v>CANE CERDO P/TAMAL EMPAQ KILO</v>
          </cell>
          <cell r="C75" t="str">
            <v>ESP-RE-EMPS-093</v>
          </cell>
          <cell r="D75" t="str">
            <v>02</v>
          </cell>
          <cell r="E75" t="str">
            <v>Kilo</v>
          </cell>
          <cell r="F75" t="str">
            <v>Gramo</v>
          </cell>
          <cell r="G75">
            <v>3905.8351536015298</v>
          </cell>
          <cell r="H75">
            <v>3.9058351536015299</v>
          </cell>
          <cell r="I75">
            <v>34.851498927604709</v>
          </cell>
          <cell r="J75">
            <v>3.485149892760471E-2</v>
          </cell>
          <cell r="K75">
            <v>709.32359745524411</v>
          </cell>
          <cell r="L75">
            <v>0.70932359745524409</v>
          </cell>
          <cell r="M75">
            <v>4650.0102499843788</v>
          </cell>
        </row>
        <row r="76">
          <cell r="A76" t="str">
            <v>95636</v>
          </cell>
          <cell r="B76" t="str">
            <v>ENSAMBLE TAMAL DE CERDO 230g</v>
          </cell>
          <cell r="C76" t="str">
            <v>ESP-RE-COCS-046</v>
          </cell>
          <cell r="D76" t="str">
            <v>15</v>
          </cell>
          <cell r="E76" t="str">
            <v>Und</v>
          </cell>
          <cell r="F76" t="str">
            <v>Und</v>
          </cell>
          <cell r="G76" t="e">
            <v>#N/A</v>
          </cell>
          <cell r="H76" t="e">
            <v>#N/A</v>
          </cell>
          <cell r="I76">
            <v>51.080582651226237</v>
          </cell>
          <cell r="J76">
            <v>51.080582651226237</v>
          </cell>
          <cell r="K76" t="e">
            <v>#N/A</v>
          </cell>
          <cell r="L76" t="e">
            <v>#N/A</v>
          </cell>
          <cell r="M76" t="e">
            <v>#N/A</v>
          </cell>
        </row>
        <row r="77">
          <cell r="A77" t="str">
            <v>908000028</v>
          </cell>
          <cell r="B77" t="str">
            <v>COCCION PAPA P/TAMAL (KILO)</v>
          </cell>
          <cell r="C77" t="str">
            <v>ESP-RE-COCS-044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1848.2608695652175</v>
          </cell>
          <cell r="H77">
            <v>1.8482608695652174</v>
          </cell>
          <cell r="I77">
            <v>0.33739130434782616</v>
          </cell>
          <cell r="J77">
            <v>3.3739130434782617E-4</v>
          </cell>
          <cell r="K77">
            <v>332.74768695652176</v>
          </cell>
          <cell r="L77">
            <v>0.33274768695652174</v>
          </cell>
          <cell r="M77">
            <v>2181.345947826087</v>
          </cell>
        </row>
        <row r="78">
          <cell r="A78" t="str">
            <v>901000189</v>
          </cell>
          <cell r="B78" t="str">
            <v>EMPAQUE PAPA TAMAL (KILO)</v>
          </cell>
          <cell r="C78" t="str">
            <v>ESP-RE-EMPS-126</v>
          </cell>
          <cell r="D78" t="str">
            <v>02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5.815480447204969</v>
          </cell>
          <cell r="J78">
            <v>5.8154804472049688E-3</v>
          </cell>
          <cell r="K78">
            <v>333.733743002236</v>
          </cell>
          <cell r="L78">
            <v>0.33373374300223602</v>
          </cell>
          <cell r="M78">
            <v>2187.8100930146584</v>
          </cell>
        </row>
        <row r="79">
          <cell r="A79" t="str">
            <v>908000016</v>
          </cell>
          <cell r="B79" t="str">
            <v>MASA P/TAMAL POLLO (KILO)</v>
          </cell>
          <cell r="C79" t="str">
            <v>ESP-RE-COCS-020</v>
          </cell>
          <cell r="D79" t="str">
            <v>12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5.3730012514655989</v>
          </cell>
          <cell r="J79">
            <v>5.3730012514655989E-3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90100054</v>
          </cell>
          <cell r="B80" t="str">
            <v>EMPAQUE POLLO P/TAMAL KILO</v>
          </cell>
          <cell r="C80" t="str">
            <v>ESP-RE-EMPS-156</v>
          </cell>
          <cell r="D80" t="str">
            <v>01</v>
          </cell>
          <cell r="E80" t="str">
            <v>Kilo</v>
          </cell>
          <cell r="F80" t="str">
            <v>Gramo</v>
          </cell>
          <cell r="G80">
            <v>4036.5767299578056</v>
          </cell>
          <cell r="H80">
            <v>4.0365767299578055</v>
          </cell>
          <cell r="I80">
            <v>21.225312025316455</v>
          </cell>
          <cell r="J80">
            <v>2.1225312025316457E-2</v>
          </cell>
          <cell r="K80">
            <v>730.40436755696192</v>
          </cell>
          <cell r="L80">
            <v>0.73040436755696192</v>
          </cell>
          <cell r="M80">
            <v>4788.2064095400838</v>
          </cell>
        </row>
        <row r="81">
          <cell r="A81" t="str">
            <v>95945</v>
          </cell>
          <cell r="B81" t="str">
            <v>ENSAMBLE TAMAL DE POLLO 280g</v>
          </cell>
          <cell r="C81" t="str">
            <v>ESP-RE-COCS-045</v>
          </cell>
          <cell r="D81" t="str">
            <v>12</v>
          </cell>
          <cell r="E81" t="str">
            <v>Und</v>
          </cell>
          <cell r="F81" t="str">
            <v>Und</v>
          </cell>
          <cell r="G81" t="e">
            <v>#N/A</v>
          </cell>
          <cell r="H81" t="e">
            <v>#N/A</v>
          </cell>
          <cell r="I81">
            <v>50.944341676539139</v>
          </cell>
          <cell r="J81">
            <v>50.944341676539139</v>
          </cell>
          <cell r="K81" t="e">
            <v>#N/A</v>
          </cell>
          <cell r="L81" t="e">
            <v>#N/A</v>
          </cell>
          <cell r="M81" t="e">
            <v>#N/A</v>
          </cell>
        </row>
        <row r="82">
          <cell r="A82" t="str">
            <v>908000044</v>
          </cell>
          <cell r="B82" t="str">
            <v>SOLUCION DE CLORO (litro)</v>
          </cell>
          <cell r="C82">
            <v>0</v>
          </cell>
          <cell r="D82">
            <v>0</v>
          </cell>
          <cell r="E82" t="str">
            <v>Kilo</v>
          </cell>
          <cell r="F82" t="str">
            <v>Gramo</v>
          </cell>
          <cell r="G82" t="e">
            <v>#N/A</v>
          </cell>
          <cell r="H82" t="e">
            <v>#N/A</v>
          </cell>
          <cell r="I82">
            <v>0</v>
          </cell>
          <cell r="J82">
            <v>0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95299</v>
          </cell>
          <cell r="B83" t="str">
            <v>COCCION FRIJOLES P/GALLO PINTO KILO</v>
          </cell>
          <cell r="C83" t="str">
            <v>ESP-RE-COCS-058</v>
          </cell>
          <cell r="D83" t="str">
            <v>05</v>
          </cell>
          <cell r="E83" t="str">
            <v>Kilo</v>
          </cell>
          <cell r="F83" t="str">
            <v>Gramo</v>
          </cell>
          <cell r="G83">
            <v>690.75428859737633</v>
          </cell>
          <cell r="H83">
            <v>0.69075428859737631</v>
          </cell>
          <cell r="I83">
            <v>4.9822401614530776</v>
          </cell>
          <cell r="J83">
            <v>4.9822401614530772E-3</v>
          </cell>
          <cell r="K83">
            <v>125.23257517658929</v>
          </cell>
          <cell r="L83">
            <v>0.12523257517658928</v>
          </cell>
          <cell r="M83">
            <v>820.96910393541873</v>
          </cell>
        </row>
        <row r="84">
          <cell r="A84" t="str">
            <v>908000004</v>
          </cell>
          <cell r="B84" t="str">
            <v>GALLO PINTO SPOON KILO</v>
          </cell>
          <cell r="C84" t="str">
            <v>ESP-RE-COCS-004</v>
          </cell>
          <cell r="D84" t="str">
            <v>14</v>
          </cell>
          <cell r="E84" t="str">
            <v>Kilo</v>
          </cell>
          <cell r="F84" t="str">
            <v>Gramo</v>
          </cell>
          <cell r="G84">
            <v>1326.9445350226827</v>
          </cell>
          <cell r="H84">
            <v>1.3269445350226827</v>
          </cell>
          <cell r="I84">
            <v>18.277741621970389</v>
          </cell>
          <cell r="J84">
            <v>1.8277741621970389E-2</v>
          </cell>
          <cell r="K84">
            <v>242.14000979603753</v>
          </cell>
          <cell r="L84">
            <v>0.24214000979603753</v>
          </cell>
          <cell r="M84">
            <v>1587.3622864406905</v>
          </cell>
        </row>
        <row r="85">
          <cell r="A85" t="str">
            <v>904000007</v>
          </cell>
          <cell r="B85" t="str">
            <v>SALSA P/PECHUGA RELLENA (KILO)</v>
          </cell>
          <cell r="C85" t="str">
            <v>ESP-RE-COCS-036</v>
          </cell>
          <cell r="D85" t="str">
            <v>10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0.26374999999999998</v>
          </cell>
          <cell r="J85">
            <v>2.6374999999999999E-4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901000165</v>
          </cell>
          <cell r="B86" t="str">
            <v>ADOBO PECHUGA RELLENA KILO</v>
          </cell>
          <cell r="C86" t="str">
            <v>ESP-RE-COCS-054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5966.0416666666661</v>
          </cell>
          <cell r="H86">
            <v>5.9660416666666665</v>
          </cell>
          <cell r="I86">
            <v>26.347272727272728</v>
          </cell>
          <cell r="J86">
            <v>2.6347272727272726E-2</v>
          </cell>
          <cell r="K86">
            <v>1078.630009090909</v>
          </cell>
          <cell r="L86">
            <v>1.0786300090909089</v>
          </cell>
          <cell r="M86">
            <v>7071.0189484848479</v>
          </cell>
        </row>
        <row r="87">
          <cell r="A87" t="str">
            <v>95364</v>
          </cell>
          <cell r="B87" t="str">
            <v>BASE PREM P/ROSQUETE TRES LECHES KILO</v>
          </cell>
          <cell r="C87" t="str">
            <v xml:space="preserve">ESP-RE-PRES-009 </v>
          </cell>
          <cell r="D87" t="str">
            <v>14</v>
          </cell>
          <cell r="E87" t="str">
            <v>Kilo</v>
          </cell>
          <cell r="F87" t="str">
            <v>Gramo</v>
          </cell>
          <cell r="G87">
            <v>631.13184308841858</v>
          </cell>
          <cell r="H87">
            <v>0.63113184308841863</v>
          </cell>
          <cell r="I87">
            <v>7.8277886497064575</v>
          </cell>
          <cell r="J87">
            <v>7.8277886497064575E-3</v>
          </cell>
          <cell r="K87">
            <v>115.0127337128625</v>
          </cell>
          <cell r="L87">
            <v>0.1150127337128625</v>
          </cell>
          <cell r="M87">
            <v>753.97236545098758</v>
          </cell>
        </row>
        <row r="88">
          <cell r="A88" t="str">
            <v>902000016</v>
          </cell>
          <cell r="B88" t="str">
            <v>BATIDO TRES LECHES SPOON KILO</v>
          </cell>
          <cell r="C88" t="str">
            <v>ESP-RE-BAS-043</v>
          </cell>
          <cell r="D88" t="str">
            <v>05</v>
          </cell>
          <cell r="E88" t="str">
            <v>Kilo</v>
          </cell>
          <cell r="F88" t="str">
            <v>Gramo</v>
          </cell>
          <cell r="G88">
            <v>948.38656582858721</v>
          </cell>
          <cell r="H88">
            <v>0.94838656582858716</v>
          </cell>
          <cell r="I88">
            <v>4.1217798594847777</v>
          </cell>
          <cell r="J88">
            <v>4.1217798594847775E-3</v>
          </cell>
          <cell r="K88">
            <v>171.45150222385297</v>
          </cell>
          <cell r="L88">
            <v>0.17145150222385297</v>
          </cell>
          <cell r="M88">
            <v>1123.959847911925</v>
          </cell>
        </row>
        <row r="89">
          <cell r="A89" t="str">
            <v>96292</v>
          </cell>
          <cell r="B89" t="str">
            <v>ROSQUETE TRES LECHES RED. (150g)</v>
          </cell>
          <cell r="C89" t="str">
            <v>ESP-RE-BAS-040</v>
          </cell>
          <cell r="D89" t="str">
            <v>04</v>
          </cell>
          <cell r="E89" t="str">
            <v>Und</v>
          </cell>
          <cell r="F89" t="str">
            <v>Und</v>
          </cell>
          <cell r="G89">
            <v>157.51098149020183</v>
          </cell>
          <cell r="H89">
            <v>157.51098149020183</v>
          </cell>
          <cell r="I89">
            <v>2.4619962690476189</v>
          </cell>
          <cell r="J89">
            <v>2.4619962690476189</v>
          </cell>
          <cell r="K89">
            <v>28.7951359966649</v>
          </cell>
          <cell r="L89">
            <v>28.7951359966649</v>
          </cell>
          <cell r="M89">
            <v>188.76811375591436</v>
          </cell>
        </row>
        <row r="90">
          <cell r="A90" t="str">
            <v>907000031</v>
          </cell>
          <cell r="B90" t="str">
            <v xml:space="preserve">Flan Caramelo Mini Redondo Spoon </v>
          </cell>
          <cell r="C90" t="str">
            <v>ESP-RE-POS-101</v>
          </cell>
          <cell r="D90" t="str">
            <v>05</v>
          </cell>
          <cell r="E90" t="str">
            <v>Und</v>
          </cell>
          <cell r="F90" t="str">
            <v>Und</v>
          </cell>
          <cell r="G90" t="e">
            <v>#N/A</v>
          </cell>
          <cell r="H90" t="e">
            <v>#N/A</v>
          </cell>
          <cell r="I90">
            <v>33.868000000000002</v>
          </cell>
          <cell r="J90">
            <v>33.868000000000002</v>
          </cell>
          <cell r="K90" t="e">
            <v>#N/A</v>
          </cell>
          <cell r="L90" t="e">
            <v>#N/A</v>
          </cell>
          <cell r="M90" t="e">
            <v>#N/A</v>
          </cell>
        </row>
        <row r="91">
          <cell r="A91" t="str">
            <v>907000012</v>
          </cell>
          <cell r="B91" t="str">
            <v>CARAMELO AZUCAR P/FLAN (KILO)</v>
          </cell>
          <cell r="C91" t="str">
            <v>ESP-RE-POS-105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767.96296296296327</v>
          </cell>
          <cell r="H91">
            <v>0.76796296296296329</v>
          </cell>
          <cell r="I91">
            <v>0</v>
          </cell>
          <cell r="J91">
            <v>0</v>
          </cell>
          <cell r="K91">
            <v>138.23333333333338</v>
          </cell>
          <cell r="L91">
            <v>0.13823333333333337</v>
          </cell>
          <cell r="M91">
            <v>906.19629629629662</v>
          </cell>
        </row>
        <row r="92">
          <cell r="A92" t="str">
            <v>90200029</v>
          </cell>
          <cell r="B92" t="str">
            <v>RELLENO CHEESECAKE KILO</v>
          </cell>
          <cell r="C92" t="str">
            <v>ESP-RE-POS-038</v>
          </cell>
          <cell r="D92" t="str">
            <v>04</v>
          </cell>
          <cell r="E92" t="str">
            <v>Kilo</v>
          </cell>
          <cell r="F92" t="str">
            <v>Gramo</v>
          </cell>
          <cell r="G92">
            <v>1940.1640707990157</v>
          </cell>
          <cell r="H92">
            <v>1.9401640707990158</v>
          </cell>
          <cell r="I92">
            <v>7.4358974358974348E-3</v>
          </cell>
          <cell r="J92">
            <v>7.4358974358974352E-6</v>
          </cell>
          <cell r="K92">
            <v>349.23087120536127</v>
          </cell>
          <cell r="L92">
            <v>0.34923087120536128</v>
          </cell>
          <cell r="M92">
            <v>2289.402377901813</v>
          </cell>
        </row>
        <row r="93">
          <cell r="A93" t="str">
            <v>908000012</v>
          </cell>
          <cell r="B93" t="str">
            <v>QUESO PARMESANO RALLADO KILO</v>
          </cell>
          <cell r="C93" t="str">
            <v>ESP-RE-COS-042</v>
          </cell>
          <cell r="D93">
            <v>0</v>
          </cell>
          <cell r="E93" t="str">
            <v>Kilo</v>
          </cell>
          <cell r="F93" t="str">
            <v>Gramo</v>
          </cell>
          <cell r="G93">
            <v>10763.6526908</v>
          </cell>
          <cell r="H93">
            <v>10.763652690799999</v>
          </cell>
          <cell r="I93">
            <v>8.1353726000650841</v>
          </cell>
          <cell r="J93">
            <v>8.1353726000650845E-3</v>
          </cell>
          <cell r="K93">
            <v>1938.9218514120116</v>
          </cell>
          <cell r="L93">
            <v>1.9389218514120117</v>
          </cell>
          <cell r="M93">
            <v>12710.709914812076</v>
          </cell>
        </row>
        <row r="94">
          <cell r="A94" t="str">
            <v>90800033</v>
          </cell>
          <cell r="B94" t="str">
            <v>CALDO POLLO C/CARCASA (KILO)</v>
          </cell>
          <cell r="C94" t="str">
            <v>ESP-RE-COCS-049</v>
          </cell>
          <cell r="D94" t="str">
            <v>03</v>
          </cell>
          <cell r="E94" t="str">
            <v>Kilo</v>
          </cell>
          <cell r="F94" t="str">
            <v>Gramo</v>
          </cell>
          <cell r="G94" t="e">
            <v>#N/A</v>
          </cell>
          <cell r="H94" t="e">
            <v>#N/A</v>
          </cell>
          <cell r="I94">
            <v>5.451063829787234</v>
          </cell>
          <cell r="J94">
            <v>5.4510638297872336E-3</v>
          </cell>
          <cell r="K94" t="e">
            <v>#N/A</v>
          </cell>
          <cell r="L94" t="e">
            <v>#N/A</v>
          </cell>
          <cell r="M94" t="e">
            <v>#N/A</v>
          </cell>
        </row>
        <row r="95">
          <cell r="A95" t="str">
            <v>909000010</v>
          </cell>
          <cell r="B95" t="str">
            <v>EMPAQ CALDO POLLO C/CARCASA KILO</v>
          </cell>
          <cell r="C95" t="str">
            <v xml:space="preserve">ESP-RE-EMPS-010 </v>
          </cell>
          <cell r="D95" t="str">
            <v>02</v>
          </cell>
          <cell r="E95" t="str">
            <v>Kilo</v>
          </cell>
          <cell r="F95" t="str">
            <v>Gramo</v>
          </cell>
          <cell r="G95" t="e">
            <v>#N/A</v>
          </cell>
          <cell r="H95" t="e">
            <v>#N/A</v>
          </cell>
          <cell r="I95">
            <v>13.059520972644375</v>
          </cell>
          <cell r="J95">
            <v>1.3059520972644375E-2</v>
          </cell>
          <cell r="K95" t="e">
            <v>#N/A</v>
          </cell>
          <cell r="L95" t="e">
            <v>#N/A</v>
          </cell>
          <cell r="M95" t="e">
            <v>#N/A</v>
          </cell>
        </row>
        <row r="96">
          <cell r="A96" t="str">
            <v>901000084</v>
          </cell>
          <cell r="B96" t="str">
            <v>COCCCION CREMA DE AYOTE KILO</v>
          </cell>
          <cell r="C96" t="str">
            <v>ESP-RE-COCS-208</v>
          </cell>
          <cell r="D96" t="str">
            <v>13</v>
          </cell>
          <cell r="E96" t="str">
            <v>Kilo</v>
          </cell>
          <cell r="F96" t="str">
            <v>Gramo</v>
          </cell>
          <cell r="G96" t="e">
            <v>#N/A</v>
          </cell>
          <cell r="H96" t="e">
            <v>#N/A</v>
          </cell>
          <cell r="I96">
            <v>4.1683297840175833</v>
          </cell>
          <cell r="J96">
            <v>4.1683297840175836E-3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904000006</v>
          </cell>
          <cell r="B97" t="str">
            <v>SALSA ROJA SPOON KILO</v>
          </cell>
          <cell r="C97" t="str">
            <v>ESP-RE-COCS-025</v>
          </cell>
          <cell r="D97" t="str">
            <v>11</v>
          </cell>
          <cell r="E97" t="str">
            <v>Kilo</v>
          </cell>
          <cell r="F97" t="str">
            <v>Gramo</v>
          </cell>
          <cell r="G97">
            <v>1230.4962302455524</v>
          </cell>
          <cell r="H97">
            <v>1.2304962302455524</v>
          </cell>
          <cell r="I97">
            <v>1.5550866141732282</v>
          </cell>
          <cell r="J97">
            <v>1.5550866141732283E-3</v>
          </cell>
          <cell r="K97">
            <v>221.7692370347506</v>
          </cell>
          <cell r="L97">
            <v>0.2217692370347506</v>
          </cell>
          <cell r="M97">
            <v>1453.8205538944762</v>
          </cell>
        </row>
        <row r="98">
          <cell r="A98" t="str">
            <v>909000004</v>
          </cell>
          <cell r="B98" t="str">
            <v>EMPAQUE SALSA ROJA PLANTA KILO</v>
          </cell>
          <cell r="C98" t="str">
            <v xml:space="preserve">ESP-RE-EMPS-004 </v>
          </cell>
          <cell r="D98" t="str">
            <v>05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10.331086614173229</v>
          </cell>
          <cell r="J98">
            <v>1.0331086614173229E-2</v>
          </cell>
          <cell r="K98">
            <v>223.3489170347506</v>
          </cell>
          <cell r="L98">
            <v>0.2233489170347506</v>
          </cell>
          <cell r="M98">
            <v>1464.1762338944764</v>
          </cell>
        </row>
        <row r="99">
          <cell r="A99" t="str">
            <v>905000013</v>
          </cell>
          <cell r="B99" t="str">
            <v>RELLENO CARNE P/LASAGNA KILO</v>
          </cell>
          <cell r="C99" t="str">
            <v>ESP-RE-COCS-075</v>
          </cell>
          <cell r="D99" t="str">
            <v>06</v>
          </cell>
          <cell r="E99" t="str">
            <v>Kilo</v>
          </cell>
          <cell r="F99" t="str">
            <v>Gramo</v>
          </cell>
          <cell r="G99">
            <v>2812.2716682573814</v>
          </cell>
          <cell r="H99">
            <v>2.8122716682573814</v>
          </cell>
          <cell r="I99">
            <v>7.9687093596059133E-2</v>
          </cell>
          <cell r="J99">
            <v>7.9687093596059137E-5</v>
          </cell>
          <cell r="K99">
            <v>506.22324396317595</v>
          </cell>
          <cell r="L99">
            <v>0.50622324396317597</v>
          </cell>
          <cell r="M99">
            <v>3318.5745993141536</v>
          </cell>
        </row>
        <row r="100">
          <cell r="A100" t="str">
            <v>901000200</v>
          </cell>
          <cell r="B100" t="str">
            <v>MAYONESA SPOON PLANTA KILO</v>
          </cell>
          <cell r="C100" t="str">
            <v>ESP-RE-COCS-064</v>
          </cell>
          <cell r="D100" t="str">
            <v>04</v>
          </cell>
          <cell r="E100" t="str">
            <v>Kilo</v>
          </cell>
          <cell r="F100" t="str">
            <v>Gramo</v>
          </cell>
          <cell r="G100">
            <v>1334.4017254674804</v>
          </cell>
          <cell r="H100">
            <v>1.3344017254674805</v>
          </cell>
          <cell r="I100">
            <v>1.542376898395722</v>
          </cell>
          <cell r="J100">
            <v>1.542376898395722E-3</v>
          </cell>
          <cell r="K100">
            <v>240.46993842585772</v>
          </cell>
          <cell r="L100">
            <v>0.24046993842585773</v>
          </cell>
          <cell r="M100">
            <v>1576.4140407917339</v>
          </cell>
        </row>
        <row r="101">
          <cell r="A101" t="str">
            <v>904000022</v>
          </cell>
          <cell r="B101" t="str">
            <v>ADEREZO CHIPOTLE KILO</v>
          </cell>
          <cell r="C101" t="str">
            <v>ESP-RE-COFS-014</v>
          </cell>
          <cell r="D101" t="str">
            <v>09</v>
          </cell>
          <cell r="E101" t="str">
            <v>Kilo</v>
          </cell>
          <cell r="F101" t="str">
            <v>Gramo</v>
          </cell>
          <cell r="G101">
            <v>1698.1339172953496</v>
          </cell>
          <cell r="H101">
            <v>1.6981339172953496</v>
          </cell>
          <cell r="I101">
            <v>1.4339261433542019</v>
          </cell>
          <cell r="J101">
            <v>1.4339261433542019E-3</v>
          </cell>
          <cell r="K101">
            <v>305.92221181896667</v>
          </cell>
          <cell r="L101">
            <v>0.30592221181896667</v>
          </cell>
          <cell r="M101">
            <v>2005.4900552576705</v>
          </cell>
        </row>
        <row r="102">
          <cell r="A102" t="str">
            <v>90100117</v>
          </cell>
          <cell r="B102" t="str">
            <v>RELLENO DE ESPINACA Y POLLO KILO</v>
          </cell>
          <cell r="C102">
            <v>0</v>
          </cell>
          <cell r="D102">
            <v>0</v>
          </cell>
          <cell r="E102" t="str">
            <v>Kilo</v>
          </cell>
          <cell r="F102" t="str">
            <v>Gramo</v>
          </cell>
          <cell r="G102" t="e">
            <v>#N/A</v>
          </cell>
          <cell r="H102" t="e">
            <v>#N/A</v>
          </cell>
          <cell r="I102">
            <v>31.33897016479424</v>
          </cell>
          <cell r="J102">
            <v>3.1338970164794241E-2</v>
          </cell>
          <cell r="K102" t="e">
            <v>#N/A</v>
          </cell>
          <cell r="L102" t="e">
            <v>#N/A</v>
          </cell>
          <cell r="M102" t="e">
            <v>#N/A</v>
          </cell>
        </row>
        <row r="103">
          <cell r="A103" t="str">
            <v>908000008</v>
          </cell>
          <cell r="B103" t="str">
            <v>COCCION ESPINACA SALTEADA KILO</v>
          </cell>
          <cell r="C103" t="str">
            <v>ESP-RE-COCS-008</v>
          </cell>
          <cell r="D103" t="str">
            <v>03</v>
          </cell>
          <cell r="E103" t="str">
            <v>Kilo</v>
          </cell>
          <cell r="F103" t="str">
            <v>Gramo</v>
          </cell>
          <cell r="G103">
            <v>4397.9077662337659</v>
          </cell>
          <cell r="H103">
            <v>4.3979077662337662</v>
          </cell>
          <cell r="I103">
            <v>64.122077922077921</v>
          </cell>
          <cell r="J103">
            <v>6.4122077922077927E-2</v>
          </cell>
          <cell r="K103">
            <v>803.16537194805176</v>
          </cell>
          <cell r="L103">
            <v>0.80316537194805171</v>
          </cell>
          <cell r="M103">
            <v>5265.1952161038953</v>
          </cell>
        </row>
        <row r="104">
          <cell r="A104" t="str">
            <v>95289</v>
          </cell>
          <cell r="B104" t="str">
            <v>COCCION ARROZ BLANCO KILO</v>
          </cell>
          <cell r="C104" t="str">
            <v>ESP-RE-COS-009</v>
          </cell>
          <cell r="D104" t="str">
            <v>15</v>
          </cell>
          <cell r="E104" t="str">
            <v>Kilo</v>
          </cell>
          <cell r="F104" t="str">
            <v>Gramo</v>
          </cell>
          <cell r="G104">
            <v>660.11384080707785</v>
          </cell>
          <cell r="H104">
            <v>0.6601138408070778</v>
          </cell>
          <cell r="I104">
            <v>25.120817189151108</v>
          </cell>
          <cell r="J104">
            <v>2.5120817189151108E-2</v>
          </cell>
          <cell r="K104">
            <v>123.34223843932121</v>
          </cell>
          <cell r="L104">
            <v>0.12334223843932121</v>
          </cell>
          <cell r="M104">
            <v>808.57689643555022</v>
          </cell>
        </row>
        <row r="105">
          <cell r="A105" t="str">
            <v>901000024</v>
          </cell>
          <cell r="B105" t="str">
            <v>PREMEZCLA P/PASTA HOJALDRE KILO</v>
          </cell>
          <cell r="C105" t="str">
            <v>ESP-RE-PRES-024</v>
          </cell>
          <cell r="D105" t="str">
            <v>06</v>
          </cell>
          <cell r="E105" t="str">
            <v>Kilo</v>
          </cell>
          <cell r="F105" t="str">
            <v>Gramo</v>
          </cell>
          <cell r="G105">
            <v>764.51979831268125</v>
          </cell>
          <cell r="H105">
            <v>0.76451979831268124</v>
          </cell>
          <cell r="I105">
            <v>3.9490038039998492</v>
          </cell>
          <cell r="J105">
            <v>3.9490038039998489E-3</v>
          </cell>
          <cell r="K105">
            <v>138.3243843810026</v>
          </cell>
          <cell r="L105">
            <v>0.13832438438100261</v>
          </cell>
          <cell r="M105">
            <v>906.79318649768368</v>
          </cell>
        </row>
        <row r="106">
          <cell r="A106" t="str">
            <v>906000032</v>
          </cell>
          <cell r="B106" t="str">
            <v>PASTA HOJALDRE KILO</v>
          </cell>
          <cell r="C106" t="str">
            <v>ESP-RE-PAPS-005</v>
          </cell>
          <cell r="D106" t="str">
            <v>04</v>
          </cell>
          <cell r="E106" t="str">
            <v>Kilo</v>
          </cell>
          <cell r="F106" t="str">
            <v>Gramo</v>
          </cell>
          <cell r="G106">
            <v>627.98697941176476</v>
          </cell>
          <cell r="H106">
            <v>0.62798697941176473</v>
          </cell>
          <cell r="I106">
            <v>3.1456022408963582</v>
          </cell>
          <cell r="J106">
            <v>3.1456022408963584E-3</v>
          </cell>
          <cell r="K106">
            <v>113.603864697479</v>
          </cell>
          <cell r="L106">
            <v>0.11360386469747899</v>
          </cell>
          <cell r="M106">
            <v>744.73644635014011</v>
          </cell>
        </row>
        <row r="107">
          <cell r="A107" t="str">
            <v>96277</v>
          </cell>
          <cell r="B107" t="str">
            <v>ARREGLADOS HOJALDRE GRANDE (UND)</v>
          </cell>
          <cell r="C107" t="str">
            <v>ESP-RE-PAPS-019</v>
          </cell>
          <cell r="D107" t="str">
            <v>07</v>
          </cell>
          <cell r="E107" t="str">
            <v>Und</v>
          </cell>
          <cell r="F107" t="str">
            <v>Und</v>
          </cell>
          <cell r="G107">
            <v>76.207466855203634</v>
          </cell>
          <cell r="H107">
            <v>76.207466855203634</v>
          </cell>
          <cell r="I107">
            <v>1.5937233354880413</v>
          </cell>
          <cell r="J107">
            <v>1.5937233354880413</v>
          </cell>
          <cell r="K107">
            <v>14.0042142343245</v>
          </cell>
          <cell r="L107">
            <v>14.0042142343245</v>
          </cell>
          <cell r="M107">
            <v>91.805404425016178</v>
          </cell>
        </row>
        <row r="108">
          <cell r="A108" t="str">
            <v>95615</v>
          </cell>
          <cell r="B108" t="str">
            <v>BASE PREMEZCLA PASTA FROLA KILO</v>
          </cell>
          <cell r="C108" t="str">
            <v>ESP-RE-PRES-025</v>
          </cell>
          <cell r="D108" t="str">
            <v>08</v>
          </cell>
          <cell r="E108" t="str">
            <v>Kilo</v>
          </cell>
          <cell r="F108" t="str">
            <v>Gramo</v>
          </cell>
          <cell r="G108">
            <v>882.34123995052573</v>
          </cell>
          <cell r="H108">
            <v>0.88234123995052571</v>
          </cell>
          <cell r="I108">
            <v>4.4447389345348531</v>
          </cell>
          <cell r="J108">
            <v>4.4447389345348533E-3</v>
          </cell>
          <cell r="K108">
            <v>159.62147619931091</v>
          </cell>
          <cell r="L108">
            <v>0.15962147619931091</v>
          </cell>
          <cell r="M108">
            <v>1046.4074550843716</v>
          </cell>
        </row>
        <row r="109">
          <cell r="A109" t="str">
            <v>908000056</v>
          </cell>
          <cell r="B109" t="str">
            <v>COCCION POLLO DESMEN MARMITA KILO</v>
          </cell>
          <cell r="C109" t="str">
            <v>ESP-RE-COCS-083</v>
          </cell>
          <cell r="D109" t="str">
            <v>17</v>
          </cell>
          <cell r="E109" t="str">
            <v>Kilo</v>
          </cell>
          <cell r="F109" t="str">
            <v>Gramo</v>
          </cell>
          <cell r="G109">
            <v>4392.3695208333329</v>
          </cell>
          <cell r="H109">
            <v>4.3923695208333333</v>
          </cell>
          <cell r="I109">
            <v>0.75</v>
          </cell>
          <cell r="J109">
            <v>7.5000000000000002E-4</v>
          </cell>
          <cell r="K109">
            <v>790.76151374999995</v>
          </cell>
          <cell r="L109">
            <v>0.79076151374999992</v>
          </cell>
          <cell r="M109">
            <v>5183.8810345833326</v>
          </cell>
        </row>
        <row r="110">
          <cell r="A110" t="str">
            <v>909000003</v>
          </cell>
          <cell r="B110" t="str">
            <v>RELLENO POLLO P/PASTEL KILO</v>
          </cell>
          <cell r="C110" t="str">
            <v>ESP-RE-COCS-031</v>
          </cell>
          <cell r="D110" t="str">
            <v>06</v>
          </cell>
          <cell r="E110" t="str">
            <v>Kilo</v>
          </cell>
          <cell r="F110" t="str">
            <v>Gramo</v>
          </cell>
          <cell r="G110" t="e">
            <v>#N/A</v>
          </cell>
          <cell r="H110" t="e">
            <v>#N/A</v>
          </cell>
          <cell r="I110">
            <v>5.62880488339247</v>
          </cell>
          <cell r="J110">
            <v>5.6288048833924697E-3</v>
          </cell>
          <cell r="K110" t="e">
            <v>#N/A</v>
          </cell>
          <cell r="L110" t="e">
            <v>#N/A</v>
          </cell>
          <cell r="M110" t="e">
            <v>#N/A</v>
          </cell>
        </row>
        <row r="111">
          <cell r="A111" t="str">
            <v>906000034</v>
          </cell>
          <cell r="B111" t="str">
            <v>PASTA FROLA KILO</v>
          </cell>
          <cell r="C111" t="str">
            <v>ESP-RE-PAPS-013</v>
          </cell>
          <cell r="D111" t="str">
            <v>03</v>
          </cell>
          <cell r="E111" t="str">
            <v>Kilo</v>
          </cell>
          <cell r="F111" t="str">
            <v>Gramo</v>
          </cell>
          <cell r="G111">
            <v>811.01298763202124</v>
          </cell>
          <cell r="H111">
            <v>0.81101298763202123</v>
          </cell>
          <cell r="I111">
            <v>3.6061026352288486</v>
          </cell>
          <cell r="J111">
            <v>3.6061026352288486E-3</v>
          </cell>
          <cell r="K111">
            <v>146.63143624810499</v>
          </cell>
          <cell r="L111">
            <v>0.14663143624810498</v>
          </cell>
          <cell r="M111">
            <v>961.25052651535498</v>
          </cell>
        </row>
        <row r="112">
          <cell r="A112" t="str">
            <v>905000011</v>
          </cell>
          <cell r="B112" t="str">
            <v>RELLENO POLLO LAPIZ KILO</v>
          </cell>
          <cell r="C112" t="str">
            <v xml:space="preserve">ESP-RE-COFS-058 </v>
          </cell>
          <cell r="D112" t="str">
            <v>10</v>
          </cell>
          <cell r="E112" t="str">
            <v>Kilo</v>
          </cell>
          <cell r="F112" t="str">
            <v>Gramo</v>
          </cell>
          <cell r="G112">
            <v>2891.2931043524918</v>
          </cell>
          <cell r="H112">
            <v>2.8912931043524916</v>
          </cell>
          <cell r="I112">
            <v>29.305404784220034</v>
          </cell>
          <cell r="J112">
            <v>2.9305404784220033E-2</v>
          </cell>
          <cell r="K112">
            <v>525.70773164460809</v>
          </cell>
          <cell r="L112">
            <v>0.52570773164460805</v>
          </cell>
          <cell r="M112">
            <v>3446.30624078132</v>
          </cell>
        </row>
        <row r="113">
          <cell r="A113" t="str">
            <v>908000015</v>
          </cell>
          <cell r="B113" t="str">
            <v>COCCION FRIJOLES TIERNOS P/CHIFRIJO</v>
          </cell>
          <cell r="C113" t="str">
            <v xml:space="preserve">ESP-RE-COCS-017 </v>
          </cell>
          <cell r="D113" t="str">
            <v>13</v>
          </cell>
          <cell r="E113" t="str">
            <v>Kilo</v>
          </cell>
          <cell r="F113" t="str">
            <v>Gramo</v>
          </cell>
          <cell r="G113">
            <v>2843.6173195823785</v>
          </cell>
          <cell r="H113">
            <v>2.8436173195823784</v>
          </cell>
          <cell r="I113">
            <v>25.648831168831165</v>
          </cell>
          <cell r="J113">
            <v>2.5648831168831165E-2</v>
          </cell>
          <cell r="K113">
            <v>516.46790713521773</v>
          </cell>
          <cell r="L113">
            <v>0.51646790713521773</v>
          </cell>
          <cell r="M113">
            <v>3385.7340578864278</v>
          </cell>
        </row>
        <row r="114">
          <cell r="A114" t="str">
            <v>902000017</v>
          </cell>
          <cell r="B114" t="str">
            <v>BATIDO COCADA KILO</v>
          </cell>
          <cell r="C114" t="str">
            <v>ESP-RE-BAS-044</v>
          </cell>
          <cell r="D114" t="str">
            <v>06</v>
          </cell>
          <cell r="E114" t="str">
            <v>Kilo</v>
          </cell>
          <cell r="F114" t="str">
            <v>Gramo</v>
          </cell>
          <cell r="G114" t="e">
            <v>#N/A</v>
          </cell>
          <cell r="H114" t="e">
            <v>#N/A</v>
          </cell>
          <cell r="I114">
            <v>0</v>
          </cell>
          <cell r="J114">
            <v>0</v>
          </cell>
          <cell r="K114" t="e">
            <v>#N/A</v>
          </cell>
          <cell r="L114" t="e">
            <v>#N/A</v>
          </cell>
          <cell r="M114" t="e">
            <v>#N/A</v>
          </cell>
        </row>
        <row r="115">
          <cell r="A115" t="str">
            <v>903000002</v>
          </cell>
          <cell r="B115" t="str">
            <v>PLANCHA P/COCADAS 4300g (UND)</v>
          </cell>
          <cell r="C115" t="str">
            <v>ESP-RE-BAS-002</v>
          </cell>
          <cell r="D115" t="str">
            <v>05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>
            <v>32</v>
          </cell>
          <cell r="J115">
            <v>32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905000006</v>
          </cell>
          <cell r="B116" t="str">
            <v>RELLENO POLLO P/EMPANADA KILO</v>
          </cell>
          <cell r="C116" t="str">
            <v>ESP-RE-COCS-029</v>
          </cell>
          <cell r="D116" t="str">
            <v>18</v>
          </cell>
          <cell r="E116" t="str">
            <v>Kilo</v>
          </cell>
          <cell r="F116" t="str">
            <v>Gramo</v>
          </cell>
          <cell r="G116">
            <v>2457.40219241879</v>
          </cell>
          <cell r="H116">
            <v>2.4574021924187899</v>
          </cell>
          <cell r="I116">
            <v>0.31463414634146342</v>
          </cell>
          <cell r="J116">
            <v>3.1463414634146341E-4</v>
          </cell>
          <cell r="K116">
            <v>442.38902878172371</v>
          </cell>
          <cell r="L116">
            <v>0.4423890287817237</v>
          </cell>
          <cell r="M116">
            <v>2900.1058553468556</v>
          </cell>
        </row>
        <row r="117">
          <cell r="A117" t="str">
            <v>909000001</v>
          </cell>
          <cell r="B117" t="str">
            <v>EMPAQ RELLENO POLLO EMPANADA KILO</v>
          </cell>
          <cell r="C117" t="str">
            <v>ESP-RE-EMPS-001</v>
          </cell>
          <cell r="D117" t="str">
            <v>06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5.0858581463414643</v>
          </cell>
          <cell r="J117">
            <v>5.0858581463414645E-3</v>
          </cell>
          <cell r="K117">
            <v>443.2478491017236</v>
          </cell>
          <cell r="L117">
            <v>0.4432478491017236</v>
          </cell>
          <cell r="M117">
            <v>2905.7358996668549</v>
          </cell>
        </row>
        <row r="118">
          <cell r="A118" t="str">
            <v>906000004</v>
          </cell>
          <cell r="B118" t="str">
            <v>EMPANADA POLLO HOJALDRE GDE</v>
          </cell>
          <cell r="C118" t="str">
            <v>ESP-RE-PAPS-006</v>
          </cell>
          <cell r="D118" t="str">
            <v>04</v>
          </cell>
          <cell r="E118" t="str">
            <v>Und</v>
          </cell>
          <cell r="F118" t="str">
            <v>Und</v>
          </cell>
          <cell r="G118">
            <v>167.15636996215449</v>
          </cell>
          <cell r="H118">
            <v>167.15636996215449</v>
          </cell>
          <cell r="I118">
            <v>1.7511840693018672</v>
          </cell>
          <cell r="J118">
            <v>1.7511840693018672</v>
          </cell>
          <cell r="K118">
            <v>30.403359725662142</v>
          </cell>
          <cell r="L118">
            <v>30.403359725662142</v>
          </cell>
          <cell r="M118">
            <v>199.3109137571185</v>
          </cell>
        </row>
        <row r="119">
          <cell r="A119" t="str">
            <v>903000180</v>
          </cell>
          <cell r="B119" t="str">
            <v>CIRCULOS CHILENA INDIVIDUAL 14 cm</v>
          </cell>
          <cell r="C119" t="str">
            <v>ESP-RE-PAPS-103</v>
          </cell>
          <cell r="D119" t="str">
            <v>02</v>
          </cell>
          <cell r="E119" t="str">
            <v>Und</v>
          </cell>
          <cell r="F119" t="str">
            <v>Und</v>
          </cell>
          <cell r="G119">
            <v>59.492654816258352</v>
          </cell>
          <cell r="H119">
            <v>59.492654816258352</v>
          </cell>
          <cell r="I119">
            <v>0.20547005800000004</v>
          </cell>
          <cell r="J119">
            <v>0.20547005800000004</v>
          </cell>
          <cell r="K119">
            <v>10.745662477366503</v>
          </cell>
          <cell r="L119">
            <v>10.745662477366503</v>
          </cell>
          <cell r="M119">
            <v>70.443787351624863</v>
          </cell>
        </row>
        <row r="120">
          <cell r="A120" t="str">
            <v>96197</v>
          </cell>
          <cell r="B120" t="str">
            <v>MEZCLA DE YEMA PARA PINTAR KILO</v>
          </cell>
          <cell r="C120">
            <v>0</v>
          </cell>
          <cell r="D120">
            <v>0</v>
          </cell>
          <cell r="E120" t="str">
            <v>Kilo</v>
          </cell>
          <cell r="F120" t="str">
            <v>Gramo</v>
          </cell>
          <cell r="G120" t="e">
            <v>#N/A</v>
          </cell>
          <cell r="H120" t="e">
            <v>#N/A</v>
          </cell>
          <cell r="I120">
            <v>0</v>
          </cell>
          <cell r="J120">
            <v>0</v>
          </cell>
          <cell r="K120" t="e">
            <v>#N/A</v>
          </cell>
          <cell r="L120" t="e">
            <v>#N/A</v>
          </cell>
          <cell r="M120" t="e">
            <v>#N/A</v>
          </cell>
        </row>
        <row r="121">
          <cell r="A121" t="str">
            <v>903000161</v>
          </cell>
          <cell r="B121" t="str">
            <v xml:space="preserve">RUEDA FROLA EMPANADA TRES QUESOS </v>
          </cell>
          <cell r="C121" t="str">
            <v>ESP-RE-PAPS-176</v>
          </cell>
          <cell r="D121" t="str">
            <v>01</v>
          </cell>
          <cell r="E121" t="str">
            <v>Und</v>
          </cell>
          <cell r="F121" t="str">
            <v>Und</v>
          </cell>
          <cell r="G121">
            <v>19.818056703168509</v>
          </cell>
          <cell r="H121">
            <v>19.818056703168509</v>
          </cell>
          <cell r="I121">
            <v>8.6546463245492367E-2</v>
          </cell>
          <cell r="J121">
            <v>8.6546463245492367E-2</v>
          </cell>
          <cell r="K121">
            <v>3.5828285699545201</v>
          </cell>
          <cell r="L121">
            <v>3.5828285699545201</v>
          </cell>
          <cell r="M121">
            <v>23.487431736368521</v>
          </cell>
        </row>
        <row r="122">
          <cell r="A122" t="str">
            <v>90100137</v>
          </cell>
          <cell r="B122" t="str">
            <v>EMPAQUE HARINA ESTANDAR (KILO)</v>
          </cell>
          <cell r="C122" t="str">
            <v>ESP-RE-PRES-109</v>
          </cell>
          <cell r="D122" t="str">
            <v>01</v>
          </cell>
          <cell r="E122" t="str">
            <v>Kilo</v>
          </cell>
          <cell r="F122" t="str">
            <v>Gramo</v>
          </cell>
          <cell r="G122">
            <v>471.66</v>
          </cell>
          <cell r="H122">
            <v>0.47166000000000002</v>
          </cell>
          <cell r="I122">
            <v>7.5684571428571434</v>
          </cell>
          <cell r="J122">
            <v>7.5684571428571434E-3</v>
          </cell>
          <cell r="K122">
            <v>86.261122285714293</v>
          </cell>
          <cell r="L122">
            <v>8.6261122285714295E-2</v>
          </cell>
          <cell r="M122">
            <v>565.48957942857146</v>
          </cell>
        </row>
        <row r="123">
          <cell r="A123" t="str">
            <v>905000012</v>
          </cell>
          <cell r="B123" t="str">
            <v>RELLENO TRES QUESOS KILO</v>
          </cell>
          <cell r="C123" t="str">
            <v>ESP-RE-COCS-068</v>
          </cell>
          <cell r="D123" t="str">
            <v>02</v>
          </cell>
          <cell r="E123" t="str">
            <v>Kilo</v>
          </cell>
          <cell r="F123" t="str">
            <v>Gramo</v>
          </cell>
          <cell r="G123">
            <v>4186.5066740121574</v>
          </cell>
          <cell r="H123">
            <v>4.1865066740121577</v>
          </cell>
          <cell r="I123">
            <v>8.0185641757240482</v>
          </cell>
          <cell r="J123">
            <v>8.0185641757240488E-3</v>
          </cell>
          <cell r="K123">
            <v>755.01454287381864</v>
          </cell>
          <cell r="L123">
            <v>0.75501454287381864</v>
          </cell>
          <cell r="M123">
            <v>4949.5397810617005</v>
          </cell>
        </row>
        <row r="124">
          <cell r="A124" t="str">
            <v>906000027</v>
          </cell>
          <cell r="B124" t="str">
            <v>EMPANADA TRES QUESOS (UND)</v>
          </cell>
          <cell r="C124" t="str">
            <v>ESP-RE-PAPS-036</v>
          </cell>
          <cell r="D124" t="str">
            <v>03</v>
          </cell>
          <cell r="E124" t="str">
            <v>Und</v>
          </cell>
          <cell r="F124" t="str">
            <v>Und</v>
          </cell>
          <cell r="G124">
            <v>96.244126499816872</v>
          </cell>
          <cell r="H124">
            <v>96.244126499816872</v>
          </cell>
          <cell r="I124">
            <v>0.2414178315656681</v>
          </cell>
          <cell r="J124">
            <v>0.2414178315656681</v>
          </cell>
          <cell r="K124">
            <v>17.367397979648857</v>
          </cell>
          <cell r="L124">
            <v>17.367397979648857</v>
          </cell>
          <cell r="M124">
            <v>113.8529423110314</v>
          </cell>
        </row>
        <row r="125">
          <cell r="A125" t="str">
            <v>907000005</v>
          </cell>
          <cell r="B125" t="str">
            <v>MEZCLA P/FLAN COCO SPOON KILO</v>
          </cell>
          <cell r="C125" t="str">
            <v>ESP-RE-POS-018</v>
          </cell>
          <cell r="D125" t="str">
            <v>04</v>
          </cell>
          <cell r="E125" t="str">
            <v>Kilo</v>
          </cell>
          <cell r="F125" t="str">
            <v>Gramo</v>
          </cell>
          <cell r="G125" t="e">
            <v>#N/A</v>
          </cell>
          <cell r="H125" t="e">
            <v>#N/A</v>
          </cell>
          <cell r="I125">
            <v>0</v>
          </cell>
          <cell r="J125">
            <v>0</v>
          </cell>
          <cell r="K125" t="e">
            <v>#N/A</v>
          </cell>
          <cell r="L125" t="e">
            <v>#N/A</v>
          </cell>
          <cell r="M125" t="e">
            <v>#N/A</v>
          </cell>
        </row>
        <row r="126">
          <cell r="A126" t="str">
            <v>908000060</v>
          </cell>
          <cell r="B126" t="str">
            <v>BASTONES QUESO TURRIALBA KILO</v>
          </cell>
          <cell r="C126">
            <v>0</v>
          </cell>
          <cell r="D126">
            <v>0</v>
          </cell>
          <cell r="E126" t="str">
            <v>Kilo</v>
          </cell>
          <cell r="F126" t="str">
            <v>Gramo</v>
          </cell>
          <cell r="G126">
            <v>3182.7906976744189</v>
          </cell>
          <cell r="H126">
            <v>3.1827906976744189</v>
          </cell>
          <cell r="I126">
            <v>1.3665116279069769</v>
          </cell>
          <cell r="J126">
            <v>1.3665116279069768E-3</v>
          </cell>
          <cell r="K126">
            <v>573.1482976744187</v>
          </cell>
          <cell r="L126">
            <v>0.57314829767441866</v>
          </cell>
          <cell r="M126">
            <v>3757.3055069767447</v>
          </cell>
        </row>
        <row r="127">
          <cell r="A127" t="str">
            <v>901000204</v>
          </cell>
          <cell r="B127" t="str">
            <v>TIQUEÑOS DE QUESO UND</v>
          </cell>
          <cell r="C127" t="str">
            <v>ESP-RE-COCS-214</v>
          </cell>
          <cell r="D127" t="str">
            <v>03</v>
          </cell>
          <cell r="E127" t="str">
            <v>Und</v>
          </cell>
          <cell r="F127" t="str">
            <v>Und</v>
          </cell>
          <cell r="G127">
            <v>55.504331965344278</v>
          </cell>
          <cell r="H127">
            <v>55.504331965344278</v>
          </cell>
          <cell r="I127">
            <v>1.0122308354866496E-2</v>
          </cell>
          <cell r="J127">
            <v>1.0122308354866496E-2</v>
          </cell>
          <cell r="K127">
            <v>9.9926017692658462</v>
          </cell>
          <cell r="L127">
            <v>9.9926017692658462</v>
          </cell>
          <cell r="M127">
            <v>65.50705604296499</v>
          </cell>
        </row>
        <row r="128">
          <cell r="A128" t="str">
            <v>901000112</v>
          </cell>
          <cell r="B128" t="str">
            <v>COCCION PICADILLO PLATANO CON CHORIZO KILO</v>
          </cell>
          <cell r="C128" t="str">
            <v>ESP-RE-COCS-141</v>
          </cell>
          <cell r="D128" t="str">
            <v>03</v>
          </cell>
          <cell r="E128" t="str">
            <v>Kilo</v>
          </cell>
          <cell r="F128" t="str">
            <v>Gramo</v>
          </cell>
          <cell r="G128">
            <v>1851.2152868207231</v>
          </cell>
          <cell r="H128">
            <v>1.8512152868207232</v>
          </cell>
          <cell r="I128">
            <v>0</v>
          </cell>
          <cell r="J128">
            <v>0</v>
          </cell>
          <cell r="K128">
            <v>333.21875162773017</v>
          </cell>
          <cell r="L128">
            <v>0.33321875162773018</v>
          </cell>
          <cell r="M128">
            <v>2184.4340384484531</v>
          </cell>
        </row>
        <row r="129">
          <cell r="A129" t="str">
            <v>905000007</v>
          </cell>
          <cell r="B129" t="str">
            <v>RELLENO PALMITO P/PASTEL (KILO)</v>
          </cell>
          <cell r="C129" t="str">
            <v>ESP-RE-COCS-030</v>
          </cell>
          <cell r="D129" t="str">
            <v>08</v>
          </cell>
          <cell r="E129" t="str">
            <v>Kilo</v>
          </cell>
          <cell r="F129" t="str">
            <v>Gramo</v>
          </cell>
          <cell r="G129">
            <v>1738.6705622585159</v>
          </cell>
          <cell r="H129">
            <v>1.7386705622585159</v>
          </cell>
          <cell r="I129">
            <v>15.485056330699075</v>
          </cell>
          <cell r="J129">
            <v>1.5485056330699075E-2</v>
          </cell>
          <cell r="K129">
            <v>315.74801134605872</v>
          </cell>
          <cell r="L129">
            <v>0.31574801134605873</v>
          </cell>
          <cell r="M129">
            <v>2069.9036299352738</v>
          </cell>
        </row>
        <row r="130">
          <cell r="A130" t="str">
            <v>903000128</v>
          </cell>
          <cell r="B130" t="str">
            <v>SOMBRERO PALMITO 65g UND</v>
          </cell>
          <cell r="C130" t="str">
            <v>ESP-RE-PAPS-146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78.498544232884683</v>
          </cell>
          <cell r="H130">
            <v>78.498544232884683</v>
          </cell>
          <cell r="I130">
            <v>1.0771822741528214</v>
          </cell>
          <cell r="J130">
            <v>1.0771822741528214</v>
          </cell>
          <cell r="K130">
            <v>14.32363077126675</v>
          </cell>
          <cell r="L130">
            <v>14.32363077126675</v>
          </cell>
          <cell r="M130">
            <v>93.899357278304251</v>
          </cell>
        </row>
        <row r="131">
          <cell r="A131" t="str">
            <v>903000026</v>
          </cell>
          <cell r="B131" t="str">
            <v>ROSQUETE TRES LECHES 430g</v>
          </cell>
          <cell r="C131" t="str">
            <v>ESP-RE-BAS-039</v>
          </cell>
          <cell r="D131" t="str">
            <v>15</v>
          </cell>
          <cell r="E131" t="str">
            <v>Und</v>
          </cell>
          <cell r="F131" t="str">
            <v>Und</v>
          </cell>
          <cell r="G131">
            <v>430.4016153794837</v>
          </cell>
          <cell r="H131">
            <v>430.4016153794837</v>
          </cell>
          <cell r="I131">
            <v>219.63802677142857</v>
          </cell>
          <cell r="J131">
            <v>219.63802677142857</v>
          </cell>
          <cell r="K131">
            <v>117.00713558716421</v>
          </cell>
          <cell r="L131">
            <v>117.00713558716421</v>
          </cell>
          <cell r="M131">
            <v>767.04677773807657</v>
          </cell>
        </row>
        <row r="132">
          <cell r="A132" t="str">
            <v>903000154</v>
          </cell>
          <cell r="B132" t="str">
            <v>RUEDA HOJALDRE EMPANADA POLLO PEQ</v>
          </cell>
          <cell r="C132" t="str">
            <v>ESP-RE-PAPS-173</v>
          </cell>
          <cell r="D132" t="str">
            <v>01</v>
          </cell>
          <cell r="E132" t="str">
            <v>Und</v>
          </cell>
          <cell r="F132" t="str">
            <v>Und</v>
          </cell>
          <cell r="G132">
            <v>16.053419485294118</v>
          </cell>
          <cell r="H132">
            <v>16.053419485294118</v>
          </cell>
          <cell r="I132">
            <v>7.8640056022408963E-2</v>
          </cell>
          <cell r="J132">
            <v>7.8640056022408963E-2</v>
          </cell>
          <cell r="K132">
            <v>2.9037707174369745</v>
          </cell>
          <cell r="L132">
            <v>2.9037707174369745</v>
          </cell>
          <cell r="M132">
            <v>19.035830258753499</v>
          </cell>
        </row>
        <row r="133">
          <cell r="A133" t="str">
            <v>906000005</v>
          </cell>
          <cell r="B133" t="str">
            <v>EMPANADA POLLO PEQUEÑA UND</v>
          </cell>
          <cell r="C133" t="str">
            <v>ESP-RE-PAPS-007</v>
          </cell>
          <cell r="D133" t="str">
            <v>05</v>
          </cell>
          <cell r="E133" t="str">
            <v>Und</v>
          </cell>
          <cell r="F133" t="str">
            <v>Und</v>
          </cell>
          <cell r="G133">
            <v>54.778559038242626</v>
          </cell>
          <cell r="H133">
            <v>54.778559038242626</v>
          </cell>
          <cell r="I133">
            <v>1.4062768996461026</v>
          </cell>
          <cell r="J133">
            <v>1.4062768996461026</v>
          </cell>
          <cell r="K133">
            <v>10.113270468819971</v>
          </cell>
          <cell r="L133">
            <v>10.113270468819971</v>
          </cell>
          <cell r="M133">
            <v>66.298106406708698</v>
          </cell>
        </row>
        <row r="134">
          <cell r="A134" t="str">
            <v>908000018</v>
          </cell>
          <cell r="B134" t="str">
            <v>COCCION SOPA AZTECA KILO</v>
          </cell>
          <cell r="C134" t="str">
            <v>ESP-RE-COCS-028</v>
          </cell>
          <cell r="D134" t="str">
            <v>17</v>
          </cell>
          <cell r="E134" t="str">
            <v>Kilo</v>
          </cell>
          <cell r="F134" t="str">
            <v>Gramo</v>
          </cell>
          <cell r="G134">
            <v>1061.5295089053998</v>
          </cell>
          <cell r="H134">
            <v>1.0615295089053998</v>
          </cell>
          <cell r="I134">
            <v>0</v>
          </cell>
          <cell r="J134">
            <v>0</v>
          </cell>
          <cell r="K134">
            <v>191.07531160297196</v>
          </cell>
          <cell r="L134">
            <v>0.19107531160297198</v>
          </cell>
          <cell r="M134">
            <v>1252.6048205083716</v>
          </cell>
        </row>
        <row r="135">
          <cell r="A135" t="str">
            <v>903000155</v>
          </cell>
          <cell r="B135" t="str">
            <v>CUADRO HOJALDRE ENCHILADA PAPA Y CARNE</v>
          </cell>
          <cell r="C135" t="str">
            <v>ESP-RE-PAPS-172</v>
          </cell>
          <cell r="D135" t="str">
            <v>01</v>
          </cell>
          <cell r="E135" t="str">
            <v>Und</v>
          </cell>
          <cell r="F135" t="str">
            <v>Und</v>
          </cell>
          <cell r="G135">
            <v>25.615399176470593</v>
          </cell>
          <cell r="H135">
            <v>25.615399176470593</v>
          </cell>
          <cell r="I135">
            <v>0.12582408963585434</v>
          </cell>
          <cell r="J135">
            <v>0.12582408963585434</v>
          </cell>
          <cell r="K135">
            <v>4.6334201878991603</v>
          </cell>
          <cell r="L135">
            <v>4.6334201878991603</v>
          </cell>
          <cell r="M135">
            <v>30.374643454005607</v>
          </cell>
        </row>
        <row r="136">
          <cell r="A136" t="str">
            <v>95460</v>
          </cell>
          <cell r="B136" t="str">
            <v>COCCION CARNE MECHADA KILO</v>
          </cell>
          <cell r="C136" t="str">
            <v>ESP-RE-COCS-057</v>
          </cell>
          <cell r="D136" t="str">
            <v>11</v>
          </cell>
          <cell r="E136" t="str">
            <v>Kilo</v>
          </cell>
          <cell r="F136" t="str">
            <v>Gramo</v>
          </cell>
          <cell r="G136">
            <v>6736.1386309523805</v>
          </cell>
          <cell r="H136">
            <v>6.7361386309523805</v>
          </cell>
          <cell r="I136">
            <v>14.144761904761904</v>
          </cell>
          <cell r="J136">
            <v>1.4144761904761903E-2</v>
          </cell>
          <cell r="K136">
            <v>1215.0510107142857</v>
          </cell>
          <cell r="L136">
            <v>1.2150510107142856</v>
          </cell>
          <cell r="M136">
            <v>7965.3344035714281</v>
          </cell>
        </row>
        <row r="137">
          <cell r="A137" t="str">
            <v>905000073</v>
          </cell>
          <cell r="B137" t="str">
            <v>RELLENO PAPA C/CARNE  ENCHILADA KILO</v>
          </cell>
          <cell r="C137" t="str">
            <v xml:space="preserve">ESP-RE-COCS-077 </v>
          </cell>
          <cell r="D137" t="str">
            <v>02</v>
          </cell>
          <cell r="E137" t="str">
            <v>Kilo</v>
          </cell>
          <cell r="F137" t="str">
            <v>Gramo</v>
          </cell>
          <cell r="G137">
            <v>2391.3247404528474</v>
          </cell>
          <cell r="H137">
            <v>2.3913247404528475</v>
          </cell>
          <cell r="I137">
            <v>2.3574603174603173</v>
          </cell>
          <cell r="J137">
            <v>2.3574603174603172E-3</v>
          </cell>
          <cell r="K137">
            <v>430.86279613865537</v>
          </cell>
          <cell r="L137">
            <v>0.43086279613865536</v>
          </cell>
          <cell r="M137">
            <v>2824.5449969089632</v>
          </cell>
        </row>
        <row r="138">
          <cell r="A138" t="str">
            <v>909000021</v>
          </cell>
          <cell r="B138" t="str">
            <v>EMPAQ RELL CARNE/PAPA ENCHILADA KILO</v>
          </cell>
          <cell r="C138" t="str">
            <v xml:space="preserve">ESP-RE-EMPS-016 </v>
          </cell>
          <cell r="D138" t="str">
            <v>01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8.734682539682538</v>
          </cell>
          <cell r="J138">
            <v>8.7346825396825388E-3</v>
          </cell>
          <cell r="K138">
            <v>432.01069613865536</v>
          </cell>
          <cell r="L138">
            <v>0.43201069613865534</v>
          </cell>
          <cell r="M138">
            <v>2832.0701191311855</v>
          </cell>
        </row>
        <row r="139">
          <cell r="A139" t="str">
            <v>903000127</v>
          </cell>
          <cell r="B139" t="str">
            <v>ENCHILADA DE CARNE CON PAPA UND</v>
          </cell>
          <cell r="C139" t="str">
            <v xml:space="preserve">ESP-RE-PAPS-144  </v>
          </cell>
          <cell r="D139" t="str">
            <v>03</v>
          </cell>
          <cell r="E139" t="str">
            <v>Und</v>
          </cell>
          <cell r="F139" t="str">
            <v>Und</v>
          </cell>
          <cell r="G139">
            <v>121.96172690793274</v>
          </cell>
          <cell r="H139">
            <v>121.96172690793274</v>
          </cell>
          <cell r="I139">
            <v>0.9896663762231559</v>
          </cell>
          <cell r="J139">
            <v>0.9896663762231559</v>
          </cell>
          <cell r="K139">
            <v>22.131250791148062</v>
          </cell>
          <cell r="L139">
            <v>22.131250791148062</v>
          </cell>
          <cell r="M139">
            <v>145.08264407530396</v>
          </cell>
        </row>
        <row r="140">
          <cell r="A140" t="str">
            <v>90100084</v>
          </cell>
          <cell r="B140" t="str">
            <v>COCCION PAPA PICADA KILO</v>
          </cell>
          <cell r="C140" t="str">
            <v>ESP-RE-COCS-138</v>
          </cell>
          <cell r="D140" t="str">
            <v>01</v>
          </cell>
          <cell r="E140" t="str">
            <v>Kilo</v>
          </cell>
          <cell r="F140" t="str">
            <v>Gramo</v>
          </cell>
          <cell r="G140">
            <v>1708.8583333333333</v>
          </cell>
          <cell r="H140">
            <v>1.7088583333333334</v>
          </cell>
          <cell r="I140">
            <v>2.1280000000000001</v>
          </cell>
          <cell r="J140">
            <v>2.1280000000000001E-3</v>
          </cell>
          <cell r="K140">
            <v>307.97753999999998</v>
          </cell>
          <cell r="L140">
            <v>0.30797753999999999</v>
          </cell>
          <cell r="M140">
            <v>2018.9638733333331</v>
          </cell>
        </row>
        <row r="141">
          <cell r="A141" t="str">
            <v>908000055</v>
          </cell>
          <cell r="B141" t="str">
            <v>PURE PAPA NATURAL PLANTA KILO</v>
          </cell>
          <cell r="C141" t="str">
            <v>ESP-RE-COCS-082</v>
          </cell>
          <cell r="D141" t="str">
            <v>04</v>
          </cell>
          <cell r="E141" t="str">
            <v>Kilo</v>
          </cell>
          <cell r="F141" t="str">
            <v>Gramo</v>
          </cell>
          <cell r="G141">
            <v>1524.2537651787704</v>
          </cell>
          <cell r="H141">
            <v>1.5242537651787704</v>
          </cell>
          <cell r="I141">
            <v>6.9123456790123461</v>
          </cell>
          <cell r="J141">
            <v>6.9123456790123458E-3</v>
          </cell>
          <cell r="K141">
            <v>275.60989995440087</v>
          </cell>
          <cell r="L141">
            <v>0.27560989995440088</v>
          </cell>
          <cell r="M141">
            <v>1806.7760108121836</v>
          </cell>
        </row>
        <row r="142">
          <cell r="A142" t="str">
            <v>906000008</v>
          </cell>
          <cell r="B142" t="str">
            <v>PASTEL DE PALMITO PERSONAL (UND)</v>
          </cell>
          <cell r="C142" t="str">
            <v>ESP-RE-PAPS-011</v>
          </cell>
          <cell r="D142" t="str">
            <v>07</v>
          </cell>
          <cell r="E142" t="str">
            <v>Und</v>
          </cell>
          <cell r="F142" t="str">
            <v>Und</v>
          </cell>
          <cell r="G142">
            <v>184.94934072821221</v>
          </cell>
          <cell r="H142">
            <v>184.94934072821221</v>
          </cell>
          <cell r="I142">
            <v>1.3815713816651758</v>
          </cell>
          <cell r="J142">
            <v>1.3815713816651758</v>
          </cell>
          <cell r="K142">
            <v>33.539564179777926</v>
          </cell>
          <cell r="L142">
            <v>33.539564179777926</v>
          </cell>
          <cell r="M142">
            <v>219.8704762896553</v>
          </cell>
        </row>
        <row r="143">
          <cell r="A143" t="str">
            <v>95369</v>
          </cell>
          <cell r="B143" t="str">
            <v>BASE PREMEZCLA QUEQUE SECO KILO</v>
          </cell>
          <cell r="C143" t="str">
            <v xml:space="preserve">ESP-RE-PRES-010 </v>
          </cell>
          <cell r="D143" t="str">
            <v>04</v>
          </cell>
          <cell r="E143" t="str">
            <v>Kilo</v>
          </cell>
          <cell r="F143" t="str">
            <v>Gramo</v>
          </cell>
          <cell r="G143">
            <v>1186.7601363636361</v>
          </cell>
          <cell r="H143">
            <v>1.1867601363636362</v>
          </cell>
          <cell r="I143">
            <v>14.268916712030483</v>
          </cell>
          <cell r="J143">
            <v>1.4268916712030483E-2</v>
          </cell>
          <cell r="K143">
            <v>216.18522955361996</v>
          </cell>
          <cell r="L143">
            <v>0.21618522955361996</v>
          </cell>
          <cell r="M143">
            <v>1417.2142826292866</v>
          </cell>
        </row>
        <row r="144">
          <cell r="A144" t="str">
            <v>95345</v>
          </cell>
          <cell r="B144" t="str">
            <v>ROSQUETE QQ SECO C/PASAS (750g)</v>
          </cell>
          <cell r="C144" t="str">
            <v>ESP-RE-BAS-010</v>
          </cell>
          <cell r="D144" t="str">
            <v>06</v>
          </cell>
          <cell r="E144" t="str">
            <v>Und</v>
          </cell>
          <cell r="F144" t="str">
            <v>Und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908000011</v>
          </cell>
          <cell r="B145" t="str">
            <v>ALMIBAR P/PLATANOS KILO</v>
          </cell>
          <cell r="C145" t="str">
            <v>ESP-RE-COCS-012</v>
          </cell>
          <cell r="D145" t="str">
            <v>03</v>
          </cell>
          <cell r="E145" t="str">
            <v>Kilo</v>
          </cell>
          <cell r="F145" t="str">
            <v>Gramo</v>
          </cell>
          <cell r="G145">
            <v>297.36336996337002</v>
          </cell>
          <cell r="H145">
            <v>0.29736336996337004</v>
          </cell>
          <cell r="I145">
            <v>0</v>
          </cell>
          <cell r="J145">
            <v>0</v>
          </cell>
          <cell r="K145">
            <v>53.525406593406601</v>
          </cell>
          <cell r="L145">
            <v>5.3525406593406599E-2</v>
          </cell>
          <cell r="M145">
            <v>350.88877655677663</v>
          </cell>
        </row>
        <row r="146">
          <cell r="A146" t="str">
            <v>908000023</v>
          </cell>
          <cell r="B146" t="str">
            <v>PLATANOS MADUROS FRITOS (KILO)</v>
          </cell>
          <cell r="C146" t="str">
            <v>ESP-RE-COCS-039</v>
          </cell>
          <cell r="D146" t="str">
            <v>10</v>
          </cell>
          <cell r="E146" t="str">
            <v>Kilo</v>
          </cell>
          <cell r="F146" t="str">
            <v>Gramo</v>
          </cell>
          <cell r="G146">
            <v>1449.1490526776913</v>
          </cell>
          <cell r="H146">
            <v>1.4491490526776913</v>
          </cell>
          <cell r="I146">
            <v>0</v>
          </cell>
          <cell r="J146">
            <v>0</v>
          </cell>
          <cell r="K146">
            <v>260.8468294819844</v>
          </cell>
          <cell r="L146">
            <v>0.2608468294819844</v>
          </cell>
          <cell r="M146">
            <v>1709.9958821596756</v>
          </cell>
        </row>
        <row r="147">
          <cell r="A147" t="str">
            <v>901000051</v>
          </cell>
          <cell r="B147" t="str">
            <v>PREMEZCLA PASTA PIÑA SPOON KILO</v>
          </cell>
          <cell r="C147" t="str">
            <v>ESP-RE-PRES-055</v>
          </cell>
          <cell r="D147" t="str">
            <v>01</v>
          </cell>
          <cell r="E147" t="str">
            <v>Kilo</v>
          </cell>
          <cell r="F147" t="str">
            <v>Gramo</v>
          </cell>
          <cell r="G147">
            <v>912.97919042189289</v>
          </cell>
          <cell r="H147">
            <v>0.91297919042189291</v>
          </cell>
          <cell r="I147">
            <v>5.2831622957050559</v>
          </cell>
          <cell r="J147">
            <v>5.283162295705056E-3</v>
          </cell>
          <cell r="K147">
            <v>165.28722348916764</v>
          </cell>
          <cell r="L147">
            <v>0.16528722348916763</v>
          </cell>
          <cell r="M147">
            <v>1083.5495762067656</v>
          </cell>
        </row>
        <row r="148">
          <cell r="A148" t="str">
            <v>906000039</v>
          </cell>
          <cell r="B148" t="str">
            <v>PASTA P/EMPANADA PIÑA KILO</v>
          </cell>
          <cell r="C148" t="str">
            <v>ESP-RE-PAPS-041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1200.2015700481538</v>
          </cell>
          <cell r="H148">
            <v>1.2002015700481539</v>
          </cell>
          <cell r="I148">
            <v>10.647894104882459</v>
          </cell>
          <cell r="J148">
            <v>1.0647894104882458E-2</v>
          </cell>
          <cell r="K148">
            <v>217.95290354754653</v>
          </cell>
          <cell r="L148">
            <v>0.21795290354754654</v>
          </cell>
          <cell r="M148">
            <v>1428.8023677005829</v>
          </cell>
        </row>
        <row r="149">
          <cell r="A149" t="str">
            <v>90100098</v>
          </cell>
          <cell r="B149" t="str">
            <v>RELLENO PARA TARTA DE  ALMENDRAS KILO</v>
          </cell>
          <cell r="C149" t="str">
            <v>ESP-RE-POS-168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1583.1658078089015</v>
          </cell>
          <cell r="H149">
            <v>1.5831658078089015</v>
          </cell>
          <cell r="I149">
            <v>3.4550925714285716</v>
          </cell>
          <cell r="J149">
            <v>3.4550925714285714E-3</v>
          </cell>
          <cell r="K149">
            <v>285.59176206845939</v>
          </cell>
          <cell r="L149">
            <v>0.28559176206845938</v>
          </cell>
          <cell r="M149">
            <v>1872.2126624487896</v>
          </cell>
        </row>
        <row r="150">
          <cell r="A150" t="str">
            <v>90100099</v>
          </cell>
          <cell r="B150" t="str">
            <v>PIE ALMENDRAS Y PECANAS PERS. UND</v>
          </cell>
          <cell r="C150" t="str">
            <v>ESP-RE-PAPS-169</v>
          </cell>
          <cell r="D150" t="str">
            <v>01</v>
          </cell>
          <cell r="E150" t="str">
            <v>Und</v>
          </cell>
          <cell r="F150" t="str">
            <v>Und</v>
          </cell>
          <cell r="G150">
            <v>193.32593582882532</v>
          </cell>
          <cell r="H150">
            <v>193.32593582882532</v>
          </cell>
          <cell r="I150">
            <v>0.94219531915009047</v>
          </cell>
          <cell r="J150">
            <v>0.94219531915009047</v>
          </cell>
          <cell r="K150">
            <v>34.968263606635574</v>
          </cell>
          <cell r="L150">
            <v>34.968263606635574</v>
          </cell>
          <cell r="M150">
            <v>229.23639475461101</v>
          </cell>
        </row>
        <row r="151">
          <cell r="A151" t="str">
            <v>95362</v>
          </cell>
          <cell r="B151" t="str">
            <v>BASE PREMEZCLA ARROLLADO SPOON KILO</v>
          </cell>
          <cell r="C151" t="str">
            <v xml:space="preserve">ESP-RE-PRES-008 </v>
          </cell>
          <cell r="D151" t="str">
            <v>08</v>
          </cell>
          <cell r="E151" t="str">
            <v>Kilo</v>
          </cell>
          <cell r="F151" t="str">
            <v>Gramo</v>
          </cell>
          <cell r="G151">
            <v>576.68437652811735</v>
          </cell>
          <cell r="H151">
            <v>0.57668437652811733</v>
          </cell>
          <cell r="I151">
            <v>17.277913610431948</v>
          </cell>
          <cell r="J151">
            <v>1.7277913610431947E-2</v>
          </cell>
          <cell r="K151">
            <v>106.91321222493887</v>
          </cell>
          <cell r="L151">
            <v>0.10691321222493888</v>
          </cell>
          <cell r="M151">
            <v>700.87550236348818</v>
          </cell>
        </row>
        <row r="152">
          <cell r="A152" t="str">
            <v>907000200</v>
          </cell>
          <cell r="B152" t="str">
            <v>BATIDO ROSQUETE ARROLLADO KILO</v>
          </cell>
          <cell r="C152" t="str">
            <v>ESP-RE-BAS-004</v>
          </cell>
          <cell r="D152" t="str">
            <v>08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7.0666666666666664</v>
          </cell>
          <cell r="J152">
            <v>7.0666666666666664E-3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903000003</v>
          </cell>
          <cell r="B153" t="str">
            <v>ROSQUETE P/ARROLLADO 1000g (UND)</v>
          </cell>
          <cell r="C153" t="str">
            <v>ESP-RE-BAS-110</v>
          </cell>
          <cell r="D153" t="str">
            <v>01</v>
          </cell>
          <cell r="E153" t="str">
            <v>Und</v>
          </cell>
          <cell r="F153" t="str">
            <v>Und</v>
          </cell>
          <cell r="G153" t="e">
            <v>#N/A</v>
          </cell>
          <cell r="H153" t="e">
            <v>#N/A</v>
          </cell>
          <cell r="I153">
            <v>92.81485415809523</v>
          </cell>
          <cell r="J153">
            <v>92.81485415809523</v>
          </cell>
          <cell r="K153" t="e">
            <v>#N/A</v>
          </cell>
          <cell r="L153" t="e">
            <v>#N/A</v>
          </cell>
          <cell r="M153" t="e">
            <v>#N/A</v>
          </cell>
        </row>
        <row r="154">
          <cell r="A154" t="str">
            <v>90100127</v>
          </cell>
          <cell r="B154" t="str">
            <v>SALSA DE AJI ( lasaña lomo) KILO</v>
          </cell>
          <cell r="C154" t="str">
            <v>ESP-RE-COCS-240</v>
          </cell>
          <cell r="D154" t="str">
            <v>01</v>
          </cell>
          <cell r="E154" t="str">
            <v>Kilo</v>
          </cell>
          <cell r="F154" t="str">
            <v>Gramo</v>
          </cell>
          <cell r="G154" t="e">
            <v>#N/A</v>
          </cell>
          <cell r="H154" t="e">
            <v>#N/A</v>
          </cell>
          <cell r="I154">
            <v>5.7258119658119657</v>
          </cell>
          <cell r="J154">
            <v>5.7258119658119659E-3</v>
          </cell>
          <cell r="K154" t="e">
            <v>#N/A</v>
          </cell>
          <cell r="L154" t="e">
            <v>#N/A</v>
          </cell>
          <cell r="M154" t="e">
            <v>#N/A</v>
          </cell>
        </row>
        <row r="155">
          <cell r="A155" t="str">
            <v>90100126</v>
          </cell>
          <cell r="B155" t="str">
            <v>RELLENO LOMO SALTEADO KILO</v>
          </cell>
          <cell r="C155" t="str">
            <v>ESP-RE-COCS-241</v>
          </cell>
          <cell r="D155" t="str">
            <v>02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24.654285714285713</v>
          </cell>
          <cell r="J155">
            <v>2.4654285714285712E-2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95361</v>
          </cell>
          <cell r="B156" t="str">
            <v>BASE PREMEZCLA P/BROWNIE CASERO KILO</v>
          </cell>
          <cell r="C156" t="str">
            <v xml:space="preserve">ESP-RE-PRES-031 </v>
          </cell>
          <cell r="D156" t="str">
            <v>04</v>
          </cell>
          <cell r="E156" t="str">
            <v>Kilo</v>
          </cell>
          <cell r="F156" t="str">
            <v>Gramo</v>
          </cell>
          <cell r="G156">
            <v>365.01847575057747</v>
          </cell>
          <cell r="H156">
            <v>0.36501847575057744</v>
          </cell>
          <cell r="I156">
            <v>12.579106805434751</v>
          </cell>
          <cell r="J156">
            <v>1.2579106805434752E-2</v>
          </cell>
          <cell r="K156">
            <v>67.967564860082206</v>
          </cell>
          <cell r="L156">
            <v>6.7967564860082208E-2</v>
          </cell>
          <cell r="M156">
            <v>445.56514741609442</v>
          </cell>
        </row>
        <row r="157">
          <cell r="A157" t="str">
            <v>902000014</v>
          </cell>
          <cell r="B157" t="str">
            <v>BATIDO BROWNIE CASERO KILO</v>
          </cell>
          <cell r="C157" t="str">
            <v>ESP-RE-BAS-036</v>
          </cell>
          <cell r="D157" t="str">
            <v>06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14.451714285714285</v>
          </cell>
          <cell r="J157">
            <v>1.4451714285714285E-2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903000025</v>
          </cell>
          <cell r="B158" t="str">
            <v>ROSQUETE BROWNIE CASERO 2000g</v>
          </cell>
          <cell r="C158" t="str">
            <v>ESP-RE-BAS-037</v>
          </cell>
          <cell r="D158" t="str">
            <v>04</v>
          </cell>
          <cell r="E158" t="str">
            <v>Und</v>
          </cell>
          <cell r="F158" t="str">
            <v>Und</v>
          </cell>
          <cell r="G158" t="e">
            <v>#N/A</v>
          </cell>
          <cell r="H158" t="e">
            <v>#N/A</v>
          </cell>
          <cell r="I158">
            <v>58.686285714285717</v>
          </cell>
          <cell r="J158">
            <v>58.686285714285717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901000025</v>
          </cell>
          <cell r="B159" t="str">
            <v>HUMUS GARBANZO KILO</v>
          </cell>
          <cell r="C159" t="str">
            <v>ESP-RE-COFS-057</v>
          </cell>
          <cell r="D159" t="str">
            <v>03</v>
          </cell>
          <cell r="E159" t="str">
            <v>Kilo</v>
          </cell>
          <cell r="F159" t="str">
            <v>Gramo</v>
          </cell>
          <cell r="G159">
            <v>1648.2287467331519</v>
          </cell>
          <cell r="H159">
            <v>1.6482287467331518</v>
          </cell>
          <cell r="I159">
            <v>10.4420793</v>
          </cell>
          <cell r="J159">
            <v>1.04420793E-2</v>
          </cell>
          <cell r="K159">
            <v>298.56074868596733</v>
          </cell>
          <cell r="L159">
            <v>0.29856074868596733</v>
          </cell>
          <cell r="M159">
            <v>1957.2315747191192</v>
          </cell>
        </row>
        <row r="160">
          <cell r="A160" t="str">
            <v>908000006</v>
          </cell>
          <cell r="B160" t="str">
            <v>COCCION FRIJOLES ARREGLADO P/CASADO KILO</v>
          </cell>
          <cell r="C160" t="str">
            <v>ESP-RE-COCS-006</v>
          </cell>
          <cell r="D160" t="str">
            <v>12</v>
          </cell>
          <cell r="E160" t="str">
            <v>Kilo</v>
          </cell>
          <cell r="F160" t="str">
            <v>Gramo</v>
          </cell>
          <cell r="G160">
            <v>1871.2411959405467</v>
          </cell>
          <cell r="H160">
            <v>1.8712411959405468</v>
          </cell>
          <cell r="I160">
            <v>38.694357366771158</v>
          </cell>
          <cell r="J160">
            <v>3.8694357366771161E-2</v>
          </cell>
          <cell r="K160">
            <v>343.78839959531717</v>
          </cell>
          <cell r="L160">
            <v>0.34378839959531715</v>
          </cell>
          <cell r="M160">
            <v>2253.7239529026351</v>
          </cell>
        </row>
        <row r="161">
          <cell r="A161" t="str">
            <v>904000021</v>
          </cell>
          <cell r="B161" t="str">
            <v>ADEREZO ALBAHACA KILO</v>
          </cell>
          <cell r="C161" t="str">
            <v>ESP-RE-COFS-013</v>
          </cell>
          <cell r="D161" t="str">
            <v>07</v>
          </cell>
          <cell r="E161" t="str">
            <v>Kilo</v>
          </cell>
          <cell r="F161" t="str">
            <v>Gramo</v>
          </cell>
          <cell r="G161">
            <v>1751.9241142691646</v>
          </cell>
          <cell r="H161">
            <v>1.7519241142691646</v>
          </cell>
          <cell r="I161">
            <v>16.855160311688312</v>
          </cell>
          <cell r="J161">
            <v>1.6855160311688312E-2</v>
          </cell>
          <cell r="K161">
            <v>318.38026942455349</v>
          </cell>
          <cell r="L161">
            <v>0.3183802694245535</v>
          </cell>
          <cell r="M161">
            <v>2087.1595440054061</v>
          </cell>
        </row>
        <row r="162">
          <cell r="A162" t="str">
            <v>909000009</v>
          </cell>
          <cell r="B162" t="str">
            <v>EMPAQUE MAYONESA SPOON KILO</v>
          </cell>
          <cell r="C162" t="str">
            <v xml:space="preserve">ESP-RE-EMPS-009 </v>
          </cell>
          <cell r="D162" t="str">
            <v>04</v>
          </cell>
          <cell r="E162" t="str">
            <v>Kilo</v>
          </cell>
          <cell r="F162" t="str">
            <v>Gramo</v>
          </cell>
          <cell r="G162">
            <v>1334.4017254674804</v>
          </cell>
          <cell r="H162">
            <v>1.3344017254674805</v>
          </cell>
          <cell r="I162">
            <v>20.635043565062389</v>
          </cell>
          <cell r="J162">
            <v>2.0635043565062388E-2</v>
          </cell>
          <cell r="K162">
            <v>243.90661842585772</v>
          </cell>
          <cell r="L162">
            <v>0.2439066184258577</v>
          </cell>
          <cell r="M162">
            <v>1598.9433874584006</v>
          </cell>
        </row>
        <row r="163">
          <cell r="A163" t="str">
            <v>90100142</v>
          </cell>
          <cell r="B163" t="str">
            <v>EMPAQUE SAL KILO</v>
          </cell>
          <cell r="C163" t="str">
            <v>ESP-RE-PRES-101</v>
          </cell>
          <cell r="D163" t="str">
            <v>01</v>
          </cell>
          <cell r="E163" t="str">
            <v>Kilo</v>
          </cell>
          <cell r="F163" t="str">
            <v>Gramo</v>
          </cell>
          <cell r="G163">
            <v>376</v>
          </cell>
          <cell r="H163">
            <v>0.376</v>
          </cell>
          <cell r="I163">
            <v>5.6512000000000011</v>
          </cell>
          <cell r="J163">
            <v>5.6512000000000012E-3</v>
          </cell>
          <cell r="K163">
            <v>68.697215999999997</v>
          </cell>
          <cell r="L163">
            <v>6.8697215999999992E-2</v>
          </cell>
          <cell r="M163">
            <v>450.34841600000004</v>
          </cell>
        </row>
        <row r="164">
          <cell r="A164" t="str">
            <v>901000090</v>
          </cell>
          <cell r="B164" t="str">
            <v>ADEREZO ROSADO KILO</v>
          </cell>
          <cell r="C164" t="str">
            <v>ESP-RE-COFS-025</v>
          </cell>
          <cell r="D164" t="str">
            <v>02</v>
          </cell>
          <cell r="E164" t="str">
            <v>Kilo</v>
          </cell>
          <cell r="F164" t="str">
            <v>Gramo</v>
          </cell>
          <cell r="G164">
            <v>912.2648968446407</v>
          </cell>
          <cell r="H164">
            <v>0.91226489684464074</v>
          </cell>
          <cell r="I164">
            <v>9.4045073118904234</v>
          </cell>
          <cell r="J164">
            <v>9.4045073118904227E-3</v>
          </cell>
          <cell r="K164">
            <v>165.90049274817559</v>
          </cell>
          <cell r="L164">
            <v>0.16590049274817559</v>
          </cell>
          <cell r="M164">
            <v>1087.5698969047066</v>
          </cell>
        </row>
        <row r="165">
          <cell r="A165" t="str">
            <v>903000177</v>
          </cell>
          <cell r="B165" t="str">
            <v>CORTE GALLETA ALFAJOR FLOR UND</v>
          </cell>
          <cell r="C165" t="str">
            <v xml:space="preserve">ESP-RE-PAPS-187 </v>
          </cell>
          <cell r="D165" t="str">
            <v>01</v>
          </cell>
          <cell r="E165" t="str">
            <v>und</v>
          </cell>
          <cell r="F165" t="str">
            <v>Und</v>
          </cell>
          <cell r="G165">
            <v>14.017127571491196</v>
          </cell>
          <cell r="H165">
            <v>14.017127571491196</v>
          </cell>
          <cell r="I165">
            <v>5.6610643267989202E-2</v>
          </cell>
          <cell r="J165">
            <v>5.6610643267989202E-2</v>
          </cell>
          <cell r="K165">
            <v>2.5332728786566534</v>
          </cell>
          <cell r="L165">
            <v>2.5332728786566534</v>
          </cell>
          <cell r="M165">
            <v>16.607011093415839</v>
          </cell>
        </row>
        <row r="166">
          <cell r="A166" t="str">
            <v>90100281</v>
          </cell>
          <cell r="B166" t="str">
            <v>COCCION CREMA DE GARBANZOS KILO</v>
          </cell>
          <cell r="C166" t="str">
            <v>ESP-RE-COCS-299</v>
          </cell>
          <cell r="D166" t="str">
            <v>03</v>
          </cell>
          <cell r="E166" t="str">
            <v>Kilo</v>
          </cell>
          <cell r="F166" t="str">
            <v>Gramo</v>
          </cell>
          <cell r="G166" t="e">
            <v>#N/A</v>
          </cell>
          <cell r="H166" t="e">
            <v>#N/A</v>
          </cell>
          <cell r="I166">
            <v>3.4538553191489361</v>
          </cell>
          <cell r="J166">
            <v>3.453855319148936E-3</v>
          </cell>
          <cell r="K166" t="e">
            <v>#N/A</v>
          </cell>
          <cell r="L166" t="e">
            <v>#N/A</v>
          </cell>
          <cell r="M166" t="e">
            <v>#N/A</v>
          </cell>
        </row>
        <row r="167">
          <cell r="A167" t="str">
            <v>901000182</v>
          </cell>
          <cell r="B167" t="str">
            <v>ADEREZO CULANTRO KILO</v>
          </cell>
          <cell r="C167" t="str">
            <v>ESP-RE-COFS-056</v>
          </cell>
          <cell r="D167" t="str">
            <v>01</v>
          </cell>
          <cell r="E167" t="str">
            <v>Kilo</v>
          </cell>
          <cell r="F167" t="str">
            <v>Gramo</v>
          </cell>
          <cell r="G167" t="e">
            <v>#N/A</v>
          </cell>
          <cell r="H167" t="e">
            <v>#N/A</v>
          </cell>
          <cell r="I167">
            <v>12.687077552673797</v>
          </cell>
          <cell r="J167">
            <v>1.2687077552673797E-2</v>
          </cell>
          <cell r="K167" t="e">
            <v>#N/A</v>
          </cell>
          <cell r="L167" t="e">
            <v>#N/A</v>
          </cell>
          <cell r="M167" t="e">
            <v>#N/A</v>
          </cell>
        </row>
        <row r="168">
          <cell r="A168" t="str">
            <v>908000020</v>
          </cell>
          <cell r="B168" t="str">
            <v>COCCION FRIJOLES MOLIDOS SPOON KILO</v>
          </cell>
          <cell r="C168" t="str">
            <v>ESP-RE-COCS-033</v>
          </cell>
          <cell r="D168" t="str">
            <v>11</v>
          </cell>
          <cell r="E168" t="str">
            <v>Kilo</v>
          </cell>
          <cell r="F168" t="str">
            <v>Gramo</v>
          </cell>
          <cell r="G168">
            <v>1146.0535814128564</v>
          </cell>
          <cell r="H168">
            <v>1.1460535814128563</v>
          </cell>
          <cell r="I168">
            <v>3.8523219617713358</v>
          </cell>
          <cell r="J168">
            <v>3.8523219617713359E-3</v>
          </cell>
          <cell r="K168">
            <v>206.983062607433</v>
          </cell>
          <cell r="L168">
            <v>0.20698306260743299</v>
          </cell>
          <cell r="M168">
            <v>1356.8889659820607</v>
          </cell>
        </row>
        <row r="169">
          <cell r="A169" t="str">
            <v>905000010</v>
          </cell>
          <cell r="B169" t="str">
            <v>COCCION RELL POLLO/AJONJO (KILO)</v>
          </cell>
          <cell r="C169">
            <v>0</v>
          </cell>
          <cell r="D169">
            <v>0</v>
          </cell>
          <cell r="E169" t="str">
            <v>Kilo</v>
          </cell>
          <cell r="F169" t="str">
            <v>Gramo</v>
          </cell>
          <cell r="G169">
            <v>3429.1226747278952</v>
          </cell>
          <cell r="H169">
            <v>3.4291226747278953</v>
          </cell>
          <cell r="I169">
            <v>2.1566113172207615</v>
          </cell>
          <cell r="J169">
            <v>2.1566113172207615E-3</v>
          </cell>
          <cell r="K169">
            <v>617.6302714881208</v>
          </cell>
          <cell r="L169">
            <v>0.61763027148812077</v>
          </cell>
          <cell r="M169">
            <v>4048.9095575332367</v>
          </cell>
        </row>
        <row r="170">
          <cell r="A170" t="str">
            <v>903000144</v>
          </cell>
          <cell r="B170" t="str">
            <v>RUEDA FROLA 14 CM</v>
          </cell>
          <cell r="C170" t="str">
            <v>ESP-RE-PAPS-163</v>
          </cell>
          <cell r="D170" t="str">
            <v>02</v>
          </cell>
          <cell r="E170" t="str">
            <v>Und</v>
          </cell>
          <cell r="F170" t="str">
            <v>Und</v>
          </cell>
          <cell r="G170">
            <v>55.292689833333327</v>
          </cell>
          <cell r="H170">
            <v>55.292689833333327</v>
          </cell>
          <cell r="I170">
            <v>0.23957142857142857</v>
          </cell>
          <cell r="J170">
            <v>0.23957142857142857</v>
          </cell>
          <cell r="K170">
            <v>9.9958070271428561</v>
          </cell>
          <cell r="L170">
            <v>9.9958070271428561</v>
          </cell>
          <cell r="M170">
            <v>65.52806828904761</v>
          </cell>
        </row>
        <row r="171">
          <cell r="A171" t="str">
            <v>909000019</v>
          </cell>
          <cell r="B171" t="str">
            <v>EMPAQ RELLENO /AJONJOLI KILO</v>
          </cell>
          <cell r="C171" t="str">
            <v xml:space="preserve">ESP-RE-EMPS-051 </v>
          </cell>
          <cell r="D171" t="str">
            <v>04</v>
          </cell>
          <cell r="E171" t="str">
            <v>Kilo</v>
          </cell>
          <cell r="F171" t="str">
            <v>Gramo</v>
          </cell>
          <cell r="G171">
            <v>3429.1226747278952</v>
          </cell>
          <cell r="H171">
            <v>3.4291226747278953</v>
          </cell>
          <cell r="I171">
            <v>6.9326113172207613</v>
          </cell>
          <cell r="J171">
            <v>6.9326113172207609E-3</v>
          </cell>
          <cell r="K171">
            <v>618.48995148812082</v>
          </cell>
          <cell r="L171">
            <v>0.6184899514881208</v>
          </cell>
          <cell r="M171">
            <v>4054.5452375332366</v>
          </cell>
        </row>
        <row r="172">
          <cell r="A172" t="str">
            <v>903000146</v>
          </cell>
          <cell r="B172" t="str">
            <v>EMPANADA POLLO Y HONGOS UND 130g</v>
          </cell>
          <cell r="C172" t="str">
            <v>ESP-RE-PAPS-164</v>
          </cell>
          <cell r="D172" t="str">
            <v>03</v>
          </cell>
          <cell r="E172" t="str">
            <v>Und</v>
          </cell>
          <cell r="F172" t="str">
            <v>Und</v>
          </cell>
          <cell r="G172" t="e">
            <v>#N/A</v>
          </cell>
          <cell r="H172" t="e">
            <v>#N/A</v>
          </cell>
          <cell r="I172">
            <v>2.3885244975241111</v>
          </cell>
          <cell r="J172">
            <v>2.3885244975241111</v>
          </cell>
          <cell r="K172" t="e">
            <v>#N/A</v>
          </cell>
          <cell r="L172" t="e">
            <v>#N/A</v>
          </cell>
          <cell r="M172" t="e">
            <v>#N/A</v>
          </cell>
        </row>
        <row r="173">
          <cell r="A173" t="str">
            <v>904000004</v>
          </cell>
          <cell r="B173" t="str">
            <v>SALSA TAMARINDO (KILO)</v>
          </cell>
          <cell r="C173" t="str">
            <v xml:space="preserve">ESP-RE-COCS-023 </v>
          </cell>
          <cell r="D173" t="str">
            <v>10</v>
          </cell>
          <cell r="E173" t="str">
            <v>Kilo</v>
          </cell>
          <cell r="F173" t="str">
            <v>Gramo</v>
          </cell>
          <cell r="G173">
            <v>803.64453915337049</v>
          </cell>
          <cell r="H173">
            <v>0.80364453915337053</v>
          </cell>
          <cell r="I173">
            <v>3.3775132275132278</v>
          </cell>
          <cell r="J173">
            <v>3.3775132275132278E-3</v>
          </cell>
          <cell r="K173">
            <v>145.26396942855905</v>
          </cell>
          <cell r="L173">
            <v>0.14526396942855904</v>
          </cell>
          <cell r="M173">
            <v>952.28602180944267</v>
          </cell>
        </row>
        <row r="174">
          <cell r="A174" t="str">
            <v>904000026</v>
          </cell>
          <cell r="B174" t="str">
            <v>ADEREZO VINAGRETA ALBAHACA (KILO)</v>
          </cell>
          <cell r="C174" t="str">
            <v>ESP-RE-COFS-019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3031.9489472678761</v>
          </cell>
          <cell r="H174">
            <v>3.031948947267876</v>
          </cell>
          <cell r="I174">
            <v>2.0223145400593467</v>
          </cell>
          <cell r="J174">
            <v>2.022314540059347E-3</v>
          </cell>
          <cell r="K174">
            <v>546.11482712542829</v>
          </cell>
          <cell r="L174">
            <v>0.54611482712542825</v>
          </cell>
          <cell r="M174">
            <v>3580.0860889333635</v>
          </cell>
        </row>
        <row r="175">
          <cell r="A175" t="str">
            <v>908000057</v>
          </cell>
          <cell r="B175" t="str">
            <v>CHAOMING FRITO (KILO)</v>
          </cell>
          <cell r="C175" t="str">
            <v>ESP-RE-COCS-084</v>
          </cell>
          <cell r="D175" t="str">
            <v>07</v>
          </cell>
          <cell r="E175" t="str">
            <v>Kilo</v>
          </cell>
          <cell r="F175" t="str">
            <v>Gramo</v>
          </cell>
          <cell r="G175">
            <v>4113.7815126050427</v>
          </cell>
          <cell r="H175">
            <v>4.1137815126050423</v>
          </cell>
          <cell r="I175">
            <v>0</v>
          </cell>
          <cell r="J175">
            <v>0</v>
          </cell>
          <cell r="K175">
            <v>740.48067226890771</v>
          </cell>
          <cell r="L175">
            <v>0.74048067226890768</v>
          </cell>
          <cell r="M175">
            <v>4854.2621848739509</v>
          </cell>
        </row>
        <row r="176">
          <cell r="A176" t="str">
            <v>906000116</v>
          </cell>
          <cell r="B176" t="str">
            <v>PREMEZCLA PASTA HOJALDRE DEBIL KILO</v>
          </cell>
          <cell r="C176" t="str">
            <v>ESP-RE-PRES-114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707.2122213786821</v>
          </cell>
          <cell r="H176">
            <v>0.70721222137868212</v>
          </cell>
          <cell r="I176">
            <v>4.5486096047893803</v>
          </cell>
          <cell r="J176">
            <v>4.5486096047893804E-3</v>
          </cell>
          <cell r="K176">
            <v>128.11694957702485</v>
          </cell>
          <cell r="L176">
            <v>0.12811694957702485</v>
          </cell>
          <cell r="M176">
            <v>839.87778056049638</v>
          </cell>
        </row>
        <row r="177">
          <cell r="A177" t="str">
            <v>906000117</v>
          </cell>
          <cell r="B177" t="str">
            <v>PASTA HOJALDRE DEBIL KILO</v>
          </cell>
          <cell r="C177" t="str">
            <v>ESP-RE-PAPS-184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564.45251367292235</v>
          </cell>
          <cell r="H177">
            <v>0.56445251367292237</v>
          </cell>
          <cell r="I177">
            <v>3.4407659900421304</v>
          </cell>
          <cell r="J177">
            <v>3.4407659900421305E-3</v>
          </cell>
          <cell r="K177">
            <v>102.2207903393336</v>
          </cell>
          <cell r="L177">
            <v>0.10222079033933361</v>
          </cell>
          <cell r="M177">
            <v>670.11407000229804</v>
          </cell>
        </row>
        <row r="178">
          <cell r="A178" t="str">
            <v>906000014</v>
          </cell>
          <cell r="B178" t="str">
            <v>LAMINADO PASTA HOJALDRE (KILO)</v>
          </cell>
          <cell r="C178" t="str">
            <v>ESP-RE-PAPS-018</v>
          </cell>
          <cell r="D178" t="str">
            <v>06</v>
          </cell>
          <cell r="E178" t="str">
            <v>Und</v>
          </cell>
          <cell r="F178" t="str">
            <v>Und</v>
          </cell>
          <cell r="G178">
            <v>678.76151217189295</v>
          </cell>
          <cell r="H178">
            <v>678.76151217189295</v>
          </cell>
          <cell r="I178">
            <v>33.189083391191119</v>
          </cell>
          <cell r="J178">
            <v>33.189083391191119</v>
          </cell>
          <cell r="K178">
            <v>128.15110720135513</v>
          </cell>
          <cell r="L178">
            <v>128.15110720135513</v>
          </cell>
          <cell r="M178">
            <v>840.10170276443921</v>
          </cell>
        </row>
        <row r="179">
          <cell r="A179" t="str">
            <v>903000179</v>
          </cell>
          <cell r="B179" t="str">
            <v>CORTE LAMINAS MIL HOJAS 57 g</v>
          </cell>
          <cell r="C179" t="str">
            <v>ESP-RE-POS-197</v>
          </cell>
          <cell r="D179" t="str">
            <v>01</v>
          </cell>
          <cell r="E179" t="str">
            <v>Und</v>
          </cell>
          <cell r="F179" t="str">
            <v>Und</v>
          </cell>
          <cell r="G179">
            <v>59.022740188860254</v>
          </cell>
          <cell r="H179">
            <v>59.022740188860254</v>
          </cell>
          <cell r="I179">
            <v>2.8860072514079231</v>
          </cell>
          <cell r="J179">
            <v>2.8860072514079231</v>
          </cell>
          <cell r="K179">
            <v>11.143574539248272</v>
          </cell>
          <cell r="L179">
            <v>11.143574539248272</v>
          </cell>
          <cell r="M179">
            <v>73.052321979516449</v>
          </cell>
        </row>
        <row r="180">
          <cell r="A180" t="str">
            <v>904000014</v>
          </cell>
          <cell r="B180" t="str">
            <v>ADEREZO GRILL (KILO)</v>
          </cell>
          <cell r="C180" t="str">
            <v>ESP-RE-COFS-001</v>
          </cell>
          <cell r="D180" t="str">
            <v>11</v>
          </cell>
          <cell r="E180" t="str">
            <v>Kilo</v>
          </cell>
          <cell r="F180" t="str">
            <v>Gramo</v>
          </cell>
          <cell r="G180" t="e">
            <v>#N/A</v>
          </cell>
          <cell r="H180" t="e">
            <v>#N/A</v>
          </cell>
          <cell r="I180">
            <v>10.697192969504911</v>
          </cell>
          <cell r="J180">
            <v>1.0697192969504912E-2</v>
          </cell>
          <cell r="K180" t="e">
            <v>#N/A</v>
          </cell>
          <cell r="L180" t="e">
            <v>#N/A</v>
          </cell>
          <cell r="M180" t="e">
            <v>#N/A</v>
          </cell>
        </row>
        <row r="181">
          <cell r="A181" t="str">
            <v>90100295</v>
          </cell>
          <cell r="B181" t="str">
            <v>ARROZ AMARILLO SPOON KILO</v>
          </cell>
          <cell r="C181" t="str">
            <v>ESP-RE-COCS-309</v>
          </cell>
          <cell r="D181" t="str">
            <v>01</v>
          </cell>
          <cell r="E181" t="str">
            <v>Kilo</v>
          </cell>
          <cell r="F181" t="str">
            <v>Gramo</v>
          </cell>
          <cell r="G181">
            <v>529.29188413169152</v>
          </cell>
          <cell r="H181">
            <v>0.52929188413169148</v>
          </cell>
          <cell r="I181">
            <v>2.0930370370370373E-2</v>
          </cell>
          <cell r="J181">
            <v>2.0930370370370374E-5</v>
          </cell>
          <cell r="K181">
            <v>95.276306610371137</v>
          </cell>
          <cell r="L181">
            <v>9.5276306610371134E-2</v>
          </cell>
          <cell r="M181">
            <v>624.58912111243308</v>
          </cell>
        </row>
        <row r="182">
          <cell r="A182" t="str">
            <v>90100296</v>
          </cell>
          <cell r="B182" t="str">
            <v>PECHUGA DESMENUZADA A MANO KILO</v>
          </cell>
          <cell r="C182" t="str">
            <v xml:space="preserve">ESP-RE-COCS-308 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4103.8530087904355</v>
          </cell>
          <cell r="H182">
            <v>4.1038530087904359</v>
          </cell>
          <cell r="I182">
            <v>45.517078059071729</v>
          </cell>
          <cell r="J182">
            <v>4.5517078059071729E-2</v>
          </cell>
          <cell r="K182">
            <v>746.88661563291123</v>
          </cell>
          <cell r="L182">
            <v>0.74688661563291125</v>
          </cell>
          <cell r="M182">
            <v>4896.2567024824184</v>
          </cell>
        </row>
        <row r="183">
          <cell r="A183" t="str">
            <v>90100297</v>
          </cell>
          <cell r="B183" t="str">
            <v>ARROZ CON POLLO SPOON KILO</v>
          </cell>
          <cell r="C183" t="str">
            <v>ESP-RE-COCS-210</v>
          </cell>
          <cell r="D183" t="str">
            <v>04</v>
          </cell>
          <cell r="E183" t="str">
            <v>Kilo</v>
          </cell>
          <cell r="F183" t="str">
            <v>Gramo</v>
          </cell>
          <cell r="G183">
            <v>1913.9330287784085</v>
          </cell>
          <cell r="H183">
            <v>1.9139330287784084</v>
          </cell>
          <cell r="I183">
            <v>13.623265310451794</v>
          </cell>
          <cell r="J183">
            <v>1.3623265310451793E-2</v>
          </cell>
          <cell r="K183">
            <v>346.96013293599486</v>
          </cell>
          <cell r="L183">
            <v>0.34696013293599487</v>
          </cell>
          <cell r="M183">
            <v>2274.5164270248551</v>
          </cell>
        </row>
        <row r="184">
          <cell r="A184" t="str">
            <v>903000159</v>
          </cell>
          <cell r="B184" t="str">
            <v>CORTE COSTILLAS PASTA HOJALDRE UND</v>
          </cell>
          <cell r="C184" t="str">
            <v>ESP-RE-PAPS-174</v>
          </cell>
          <cell r="D184" t="str">
            <v>01</v>
          </cell>
          <cell r="E184" t="str">
            <v>Und</v>
          </cell>
          <cell r="F184" t="str">
            <v>Und</v>
          </cell>
          <cell r="G184">
            <v>19.134396882352945</v>
          </cell>
          <cell r="H184">
            <v>19.134396882352945</v>
          </cell>
          <cell r="I184">
            <v>9.4368067226890756E-2</v>
          </cell>
          <cell r="J184">
            <v>9.4368067226890756E-2</v>
          </cell>
          <cell r="K184">
            <v>3.4611776909243703</v>
          </cell>
          <cell r="L184">
            <v>3.4611776909243703</v>
          </cell>
          <cell r="M184">
            <v>22.689942640504206</v>
          </cell>
        </row>
        <row r="185">
          <cell r="A185" t="str">
            <v>903000160</v>
          </cell>
          <cell r="B185" t="str">
            <v>COSTILLAS  HOJALDRE SIN RELLENO UND</v>
          </cell>
          <cell r="C185" t="str">
            <v>ESP-RE-PAPS-014</v>
          </cell>
          <cell r="D185" t="str">
            <v>05</v>
          </cell>
          <cell r="E185" t="str">
            <v>Und</v>
          </cell>
          <cell r="F185" t="str">
            <v>Und</v>
          </cell>
          <cell r="G185">
            <v>20.333523350473751</v>
          </cell>
          <cell r="H185">
            <v>20.333523350473751</v>
          </cell>
          <cell r="I185">
            <v>0.10510862660189076</v>
          </cell>
          <cell r="J185">
            <v>0.10510862660189076</v>
          </cell>
          <cell r="K185">
            <v>3.6789537558736152</v>
          </cell>
          <cell r="L185">
            <v>3.6789537558736152</v>
          </cell>
          <cell r="M185">
            <v>24.117585732949255</v>
          </cell>
        </row>
        <row r="186">
          <cell r="A186" t="str">
            <v>907000217</v>
          </cell>
          <cell r="B186" t="str">
            <v>RELLENO DE CHOCOMENTA KILO</v>
          </cell>
          <cell r="C186" t="str">
            <v>ESP-RE-POS-195</v>
          </cell>
          <cell r="D186" t="str">
            <v>01</v>
          </cell>
          <cell r="E186" t="str">
            <v>Kilo</v>
          </cell>
          <cell r="F186" t="str">
            <v>Gramo</v>
          </cell>
          <cell r="G186">
            <v>3316.0496144444446</v>
          </cell>
          <cell r="H186">
            <v>3.3160496144444447</v>
          </cell>
          <cell r="I186">
            <v>0</v>
          </cell>
          <cell r="J186">
            <v>0</v>
          </cell>
          <cell r="K186">
            <v>596.88893059999998</v>
          </cell>
          <cell r="L186">
            <v>0.59688893060000003</v>
          </cell>
          <cell r="M186">
            <v>3912.9385450444447</v>
          </cell>
        </row>
        <row r="187">
          <cell r="A187" t="str">
            <v>908000045</v>
          </cell>
          <cell r="B187" t="str">
            <v>GANACHE CHOCOLATE BLANCO (KILO)</v>
          </cell>
          <cell r="C187" t="str">
            <v>ESP-RE-COCS-067</v>
          </cell>
          <cell r="D187" t="str">
            <v>04</v>
          </cell>
          <cell r="E187" t="str">
            <v>Kilo</v>
          </cell>
          <cell r="F187" t="str">
            <v>Gramo</v>
          </cell>
          <cell r="G187">
            <v>2812.5260091552227</v>
          </cell>
          <cell r="H187">
            <v>2.8125260091552229</v>
          </cell>
          <cell r="I187">
            <v>0</v>
          </cell>
          <cell r="J187">
            <v>0</v>
          </cell>
          <cell r="K187">
            <v>506.25468164794006</v>
          </cell>
          <cell r="L187">
            <v>0.50625468164794007</v>
          </cell>
          <cell r="M187">
            <v>3318.7806908031625</v>
          </cell>
        </row>
        <row r="188">
          <cell r="A188" t="str">
            <v>907000219</v>
          </cell>
          <cell r="B188" t="str">
            <v>ROSQUETE BROWNIE MENTA UND</v>
          </cell>
          <cell r="C188" t="str">
            <v>ESP-RE-BAS-123</v>
          </cell>
          <cell r="D188" t="str">
            <v>01</v>
          </cell>
          <cell r="E188" t="str">
            <v>Und</v>
          </cell>
          <cell r="F188" t="str">
            <v>Und</v>
          </cell>
          <cell r="G188" t="e">
            <v>#N/A</v>
          </cell>
          <cell r="H188" t="e">
            <v>#N/A</v>
          </cell>
          <cell r="I188">
            <v>57.337428571428568</v>
          </cell>
          <cell r="J188">
            <v>57.337428571428568</v>
          </cell>
          <cell r="K188" t="e">
            <v>#N/A</v>
          </cell>
          <cell r="L188" t="e">
            <v>#N/A</v>
          </cell>
          <cell r="M188" t="e">
            <v>#N/A</v>
          </cell>
        </row>
        <row r="189">
          <cell r="A189" t="str">
            <v>907000220</v>
          </cell>
          <cell r="B189" t="str">
            <v>ENSAMBLE BROWNIE CHOCOMENTA PLANCHA</v>
          </cell>
          <cell r="C189" t="str">
            <v>ESP-RE-POS-194</v>
          </cell>
          <cell r="D189" t="str">
            <v>01</v>
          </cell>
          <cell r="E189" t="str">
            <v>Und</v>
          </cell>
          <cell r="F189" t="str">
            <v>Und</v>
          </cell>
          <cell r="G189" t="e">
            <v>#N/A</v>
          </cell>
          <cell r="H189" t="e">
            <v>#N/A</v>
          </cell>
          <cell r="I189">
            <v>57.337428571428568</v>
          </cell>
          <cell r="J189">
            <v>57.337428571428568</v>
          </cell>
          <cell r="K189" t="e">
            <v>#N/A</v>
          </cell>
          <cell r="L189" t="e">
            <v>#N/A</v>
          </cell>
          <cell r="M189" t="e">
            <v>#N/A</v>
          </cell>
        </row>
        <row r="190">
          <cell r="A190" t="str">
            <v>907000223</v>
          </cell>
          <cell r="B190" t="str">
            <v xml:space="preserve">PREMEZCLA BROWNIE BLONDIE PECANA </v>
          </cell>
          <cell r="C190" t="str">
            <v xml:space="preserve">ESP-RE-PRES-116  </v>
          </cell>
          <cell r="D190" t="str">
            <v>01</v>
          </cell>
          <cell r="E190" t="str">
            <v>Kilo</v>
          </cell>
          <cell r="F190" t="str">
            <v>Gramo</v>
          </cell>
          <cell r="G190" t="e">
            <v>#N/A</v>
          </cell>
          <cell r="H190" t="e">
            <v>#N/A</v>
          </cell>
          <cell r="I190">
            <v>8.239114213503429</v>
          </cell>
          <cell r="J190">
            <v>8.239114213503429E-3</v>
          </cell>
          <cell r="K190" t="e">
            <v>#N/A</v>
          </cell>
          <cell r="L190" t="e">
            <v>#N/A</v>
          </cell>
          <cell r="M190" t="e">
            <v>#N/A</v>
          </cell>
        </row>
        <row r="191">
          <cell r="A191" t="str">
            <v>907000221</v>
          </cell>
          <cell r="B191" t="str">
            <v xml:space="preserve">BATIDO DE BROWNIE BLONDIE </v>
          </cell>
          <cell r="C191" t="str">
            <v>ESP-RE-BAS-125</v>
          </cell>
          <cell r="D191" t="str">
            <v>01</v>
          </cell>
          <cell r="E191" t="str">
            <v>Kilo</v>
          </cell>
          <cell r="F191" t="str">
            <v>Gramo</v>
          </cell>
          <cell r="G191" t="e">
            <v>#N/A</v>
          </cell>
          <cell r="H191" t="e">
            <v>#N/A</v>
          </cell>
          <cell r="I191">
            <v>5.433238095238095</v>
          </cell>
          <cell r="J191">
            <v>5.4332380952380951E-3</v>
          </cell>
          <cell r="K191" t="e">
            <v>#N/A</v>
          </cell>
          <cell r="L191" t="e">
            <v>#N/A</v>
          </cell>
          <cell r="M191" t="e">
            <v>#N/A</v>
          </cell>
        </row>
        <row r="192">
          <cell r="A192" t="str">
            <v>907000222</v>
          </cell>
          <cell r="B192" t="str">
            <v>PLANCHA BROWNIE BLONDIE</v>
          </cell>
          <cell r="C192" t="str">
            <v>ESP-RE-BAS-124</v>
          </cell>
          <cell r="D192" t="str">
            <v>01</v>
          </cell>
          <cell r="E192" t="str">
            <v>Und</v>
          </cell>
          <cell r="F192" t="str">
            <v>Und</v>
          </cell>
          <cell r="G192" t="e">
            <v>#N/A</v>
          </cell>
          <cell r="H192" t="e">
            <v>#N/A</v>
          </cell>
          <cell r="I192">
            <v>58.517269841269844</v>
          </cell>
          <cell r="J192">
            <v>58.517269841269844</v>
          </cell>
          <cell r="K192" t="e">
            <v>#N/A</v>
          </cell>
          <cell r="L192" t="e">
            <v>#N/A</v>
          </cell>
          <cell r="M192" t="e">
            <v>#N/A</v>
          </cell>
        </row>
        <row r="193">
          <cell r="A193" t="str">
            <v>908000050</v>
          </cell>
          <cell r="B193" t="str">
            <v>QUESO PARMESANO LAMINADO (KILO)</v>
          </cell>
          <cell r="C193">
            <v>0</v>
          </cell>
          <cell r="D193">
            <v>0</v>
          </cell>
          <cell r="E193" t="str">
            <v>Kilo</v>
          </cell>
          <cell r="F193" t="str">
            <v>Gramo</v>
          </cell>
          <cell r="G193">
            <v>10976.918536655012</v>
          </cell>
          <cell r="H193">
            <v>10.976918536655011</v>
          </cell>
          <cell r="I193">
            <v>3.9039627039627041</v>
          </cell>
          <cell r="J193">
            <v>3.9039627039627041E-3</v>
          </cell>
          <cell r="K193">
            <v>1976.5480498846152</v>
          </cell>
          <cell r="L193">
            <v>1.9765480498846153</v>
          </cell>
          <cell r="M193">
            <v>12957.370549243589</v>
          </cell>
        </row>
        <row r="194">
          <cell r="A194" t="str">
            <v>95374</v>
          </cell>
          <cell r="B194" t="str">
            <v>BASE PREMEZ PALITOS QUESO SPOON KILO</v>
          </cell>
          <cell r="C194" t="str">
            <v xml:space="preserve">ESP-RE-PRES-038 </v>
          </cell>
          <cell r="D194" t="str">
            <v>06</v>
          </cell>
          <cell r="E194" t="str">
            <v>Kilo</v>
          </cell>
          <cell r="F194" t="str">
            <v>Gramo</v>
          </cell>
          <cell r="G194">
            <v>641.08695483870963</v>
          </cell>
          <cell r="H194">
            <v>0.64108695483870959</v>
          </cell>
          <cell r="I194">
            <v>6.2967741935483872</v>
          </cell>
          <cell r="J194">
            <v>6.2967741935483872E-3</v>
          </cell>
          <cell r="K194">
            <v>116.52907122580643</v>
          </cell>
          <cell r="L194">
            <v>0.11652907122580643</v>
          </cell>
          <cell r="M194">
            <v>763.91280025806441</v>
          </cell>
        </row>
        <row r="195">
          <cell r="A195" t="str">
            <v>906000033</v>
          </cell>
          <cell r="B195" t="str">
            <v>PASTA P/PALITOS DE QUESO (KILO)</v>
          </cell>
          <cell r="C195" t="str">
            <v>ESP-RE-PAPS-008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4038.0936682724018</v>
          </cell>
          <cell r="H195">
            <v>4.0380936682724018</v>
          </cell>
          <cell r="I195">
            <v>3.9039999999999999</v>
          </cell>
          <cell r="J195">
            <v>3.9039999999999999E-3</v>
          </cell>
          <cell r="K195">
            <v>727.55958028903228</v>
          </cell>
          <cell r="L195">
            <v>0.72755958028903234</v>
          </cell>
          <cell r="M195">
            <v>4769.5572485614339</v>
          </cell>
        </row>
        <row r="196">
          <cell r="A196" t="str">
            <v>904000017</v>
          </cell>
          <cell r="B196" t="str">
            <v>ADEREZO ALCAPARRAS/ANCHOAS (KILO)</v>
          </cell>
          <cell r="C196" t="str">
            <v>ESP-RE-COFS-004</v>
          </cell>
          <cell r="D196" t="str">
            <v>08</v>
          </cell>
          <cell r="E196" t="str">
            <v>Kilo</v>
          </cell>
          <cell r="F196" t="str">
            <v>Gramo</v>
          </cell>
          <cell r="G196">
            <v>2975.1309180918556</v>
          </cell>
          <cell r="H196">
            <v>2.9751309180918555</v>
          </cell>
          <cell r="I196">
            <v>0.60572609692513368</v>
          </cell>
          <cell r="J196">
            <v>6.0572609692513373E-4</v>
          </cell>
          <cell r="K196">
            <v>535.63259595398051</v>
          </cell>
          <cell r="L196">
            <v>0.53563259595398049</v>
          </cell>
          <cell r="M196">
            <v>3511.3692401427611</v>
          </cell>
        </row>
        <row r="197">
          <cell r="A197" t="str">
            <v>90100279</v>
          </cell>
          <cell r="B197" t="str">
            <v>SALSA DE CULANTRO KILO</v>
          </cell>
          <cell r="C197" t="str">
            <v xml:space="preserve">ESP-RE-COFF-081 </v>
          </cell>
          <cell r="D197" t="str">
            <v>01</v>
          </cell>
          <cell r="E197" t="str">
            <v>Kilo</v>
          </cell>
          <cell r="F197" t="str">
            <v>Gramo</v>
          </cell>
          <cell r="G197">
            <v>1004.1685921300856</v>
          </cell>
          <cell r="H197">
            <v>1.0041685921300856</v>
          </cell>
          <cell r="I197">
            <v>1.2397966857142857</v>
          </cell>
          <cell r="J197">
            <v>1.2397966857142857E-3</v>
          </cell>
          <cell r="K197">
            <v>180.97350998684396</v>
          </cell>
          <cell r="L197">
            <v>0.18097350998684397</v>
          </cell>
          <cell r="M197">
            <v>1186.3818988026437</v>
          </cell>
        </row>
        <row r="198">
          <cell r="A198" t="str">
            <v>95376</v>
          </cell>
          <cell r="B198" t="str">
            <v>PREMEZCLA CANASTA/TARTALETA KILO</v>
          </cell>
          <cell r="C198" t="str">
            <v xml:space="preserve">ESP-RE-PRES-023 </v>
          </cell>
          <cell r="D198" t="str">
            <v>06</v>
          </cell>
          <cell r="E198" t="str">
            <v>Kilo</v>
          </cell>
          <cell r="F198" t="str">
            <v>Gramo</v>
          </cell>
          <cell r="G198">
            <v>819.33004881295778</v>
          </cell>
          <cell r="H198">
            <v>0.81933004881295779</v>
          </cell>
          <cell r="I198">
            <v>13.287936578373678</v>
          </cell>
          <cell r="J198">
            <v>1.3287936578373677E-2</v>
          </cell>
          <cell r="K198">
            <v>149.87123737043964</v>
          </cell>
          <cell r="L198">
            <v>0.14987123737043964</v>
          </cell>
          <cell r="M198">
            <v>982.48922276177109</v>
          </cell>
        </row>
        <row r="199">
          <cell r="A199" t="str">
            <v>906000037</v>
          </cell>
          <cell r="B199" t="str">
            <v>PASTA P/CANASTA Y TARTALETAS (KILO)</v>
          </cell>
          <cell r="C199" t="str">
            <v>ESP-RE-PAPS-028</v>
          </cell>
          <cell r="D199" t="str">
            <v>06</v>
          </cell>
          <cell r="E199" t="str">
            <v>Kilo</v>
          </cell>
          <cell r="F199" t="str">
            <v>Gramo</v>
          </cell>
          <cell r="G199" t="e">
            <v>#N/A</v>
          </cell>
          <cell r="H199" t="e">
            <v>#N/A</v>
          </cell>
          <cell r="I199">
            <v>10.030880230880232</v>
          </cell>
          <cell r="J199">
            <v>1.0030880230880232E-2</v>
          </cell>
          <cell r="K199" t="e">
            <v>#N/A</v>
          </cell>
          <cell r="L199" t="e">
            <v>#N/A</v>
          </cell>
          <cell r="M199" t="e">
            <v>#N/A</v>
          </cell>
        </row>
        <row r="200">
          <cell r="A200" t="str">
            <v>906000020</v>
          </cell>
          <cell r="B200" t="str">
            <v>CORTE CANASTA (UND)</v>
          </cell>
          <cell r="C200" t="str">
            <v>ESP-RE-PAPS-026</v>
          </cell>
          <cell r="D200" t="str">
            <v>02</v>
          </cell>
          <cell r="E200" t="str">
            <v>Und</v>
          </cell>
          <cell r="F200" t="str">
            <v>Und</v>
          </cell>
          <cell r="G200" t="e">
            <v>#N/A</v>
          </cell>
          <cell r="H200" t="e">
            <v>#N/A</v>
          </cell>
          <cell r="I200">
            <v>0.18055584415584419</v>
          </cell>
          <cell r="J200">
            <v>0.18055584415584419</v>
          </cell>
          <cell r="K200" t="e">
            <v>#N/A</v>
          </cell>
          <cell r="L200" t="e">
            <v>#N/A</v>
          </cell>
          <cell r="M200" t="e">
            <v>#N/A</v>
          </cell>
        </row>
        <row r="201">
          <cell r="A201" t="str">
            <v>90100090</v>
          </cell>
          <cell r="B201" t="str">
            <v>RELLENO DE PIÑA PARA EMPANADA KILO</v>
          </cell>
          <cell r="C201">
            <v>0</v>
          </cell>
          <cell r="D201">
            <v>0</v>
          </cell>
          <cell r="E201" t="str">
            <v>Kilo</v>
          </cell>
          <cell r="F201" t="str">
            <v>Gramo</v>
          </cell>
          <cell r="G201" t="e">
            <v>#N/A</v>
          </cell>
          <cell r="H201" t="e">
            <v>#N/A</v>
          </cell>
          <cell r="I201">
            <v>17.044706705539362</v>
          </cell>
          <cell r="J201">
            <v>1.7044706705539363E-2</v>
          </cell>
          <cell r="K201" t="e">
            <v>#N/A</v>
          </cell>
          <cell r="L201" t="e">
            <v>#N/A</v>
          </cell>
          <cell r="M201" t="e">
            <v>#N/A</v>
          </cell>
        </row>
        <row r="202">
          <cell r="A202" t="str">
            <v>903000142</v>
          </cell>
          <cell r="B202" t="str">
            <v>EMPANADA PIÑA PASTA FROLA UND</v>
          </cell>
          <cell r="C202">
            <v>0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1.5198763361544341</v>
          </cell>
          <cell r="J202">
            <v>1.5198763361544341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90100280</v>
          </cell>
          <cell r="B203" t="str">
            <v>SALSA POMODORO KILO</v>
          </cell>
          <cell r="C203" t="str">
            <v xml:space="preserve">ESP-RE-COCS-295 </v>
          </cell>
          <cell r="D203" t="str">
            <v>01</v>
          </cell>
          <cell r="E203" t="str">
            <v>Kilo</v>
          </cell>
          <cell r="F203" t="str">
            <v>Gramo</v>
          </cell>
          <cell r="G203">
            <v>1469.1530060438579</v>
          </cell>
          <cell r="H203">
            <v>1.4691530060438578</v>
          </cell>
          <cell r="I203">
            <v>0</v>
          </cell>
          <cell r="J203">
            <v>0</v>
          </cell>
          <cell r="K203">
            <v>264.44754108789442</v>
          </cell>
          <cell r="L203">
            <v>0.26444754108789442</v>
          </cell>
          <cell r="M203">
            <v>1733.6005471317524</v>
          </cell>
        </row>
        <row r="204">
          <cell r="A204" t="str">
            <v>90100115</v>
          </cell>
          <cell r="B204" t="str">
            <v>SALSA NARANJA KILO</v>
          </cell>
          <cell r="C204" t="str">
            <v>ESP-RE-COCS-233</v>
          </cell>
          <cell r="D204" t="str">
            <v>03</v>
          </cell>
          <cell r="E204" t="str">
            <v>Kilo</v>
          </cell>
          <cell r="F204" t="str">
            <v>Gramo</v>
          </cell>
          <cell r="G204">
            <v>1597.6206328920348</v>
          </cell>
          <cell r="H204">
            <v>1.5976206328920348</v>
          </cell>
          <cell r="I204">
            <v>3.9201590857142863</v>
          </cell>
          <cell r="J204">
            <v>3.9201590857142867E-3</v>
          </cell>
          <cell r="K204">
            <v>288.27734255599484</v>
          </cell>
          <cell r="L204">
            <v>0.28827734255599485</v>
          </cell>
          <cell r="M204">
            <v>1889.8181345337439</v>
          </cell>
        </row>
        <row r="205">
          <cell r="A205" t="str">
            <v>904000003</v>
          </cell>
          <cell r="B205" t="str">
            <v>SALSA LIMON/ALCAPARRAS (KILO)</v>
          </cell>
          <cell r="C205" t="str">
            <v>ESP-RE-COCS-021</v>
          </cell>
          <cell r="D205" t="str">
            <v>06</v>
          </cell>
          <cell r="E205" t="str">
            <v>Kilo</v>
          </cell>
          <cell r="F205" t="str">
            <v>Gramo</v>
          </cell>
          <cell r="G205" t="e">
            <v>#N/A</v>
          </cell>
          <cell r="H205" t="e">
            <v>#N/A</v>
          </cell>
          <cell r="I205">
            <v>7.0306436666666663</v>
          </cell>
          <cell r="J205">
            <v>7.0306436666666659E-3</v>
          </cell>
          <cell r="K205" t="e">
            <v>#N/A</v>
          </cell>
          <cell r="L205" t="e">
            <v>#N/A</v>
          </cell>
          <cell r="M205" t="e">
            <v>#N/A</v>
          </cell>
        </row>
        <row r="206">
          <cell r="A206" t="str">
            <v>90100120</v>
          </cell>
          <cell r="B206" t="str">
            <v>SALSA MONGOLIAN KILO</v>
          </cell>
          <cell r="C206" t="str">
            <v>ESP-RE-COCS-238</v>
          </cell>
          <cell r="D206" t="str">
            <v>02</v>
          </cell>
          <cell r="E206" t="str">
            <v>Kilo</v>
          </cell>
          <cell r="F206" t="str">
            <v>Gramo</v>
          </cell>
          <cell r="G206" t="e">
            <v>#N/A</v>
          </cell>
          <cell r="H206" t="e">
            <v>#N/A</v>
          </cell>
          <cell r="I206">
            <v>0</v>
          </cell>
          <cell r="J206">
            <v>0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904000009</v>
          </cell>
          <cell r="B207" t="str">
            <v>SALSA P/ARREGLADO (KILO)</v>
          </cell>
          <cell r="C207" t="str">
            <v>ESP-RE-COFS-059</v>
          </cell>
          <cell r="D207" t="str">
            <v>06</v>
          </cell>
          <cell r="E207" t="str">
            <v>Kilo</v>
          </cell>
          <cell r="F207" t="str">
            <v>Gramo</v>
          </cell>
          <cell r="G207">
            <v>1875.397432828519</v>
          </cell>
          <cell r="H207">
            <v>1.875397432828519</v>
          </cell>
          <cell r="I207">
            <v>30.152380952380952</v>
          </cell>
          <cell r="J207">
            <v>3.0152380952380951E-2</v>
          </cell>
          <cell r="K207">
            <v>342.99896648056199</v>
          </cell>
          <cell r="L207">
            <v>0.342998966480562</v>
          </cell>
          <cell r="M207">
            <v>2248.5487802614621</v>
          </cell>
        </row>
        <row r="208">
          <cell r="A208" t="str">
            <v>904000020</v>
          </cell>
          <cell r="B208" t="str">
            <v>ADEREZO ACEITE AJO Y PEREJIL (KILO)</v>
          </cell>
          <cell r="C208" t="str">
            <v>ESP-RE-COFS-012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2959.2391611299117</v>
          </cell>
          <cell r="H208">
            <v>2.9592391611299118</v>
          </cell>
          <cell r="I208">
            <v>19.603242160000001</v>
          </cell>
          <cell r="J208">
            <v>1.9603242159999999E-2</v>
          </cell>
          <cell r="K208">
            <v>536.19163259218408</v>
          </cell>
          <cell r="L208">
            <v>0.53619163259218405</v>
          </cell>
          <cell r="M208">
            <v>3515.0340358820958</v>
          </cell>
        </row>
        <row r="209">
          <cell r="A209" t="str">
            <v>904000009</v>
          </cell>
          <cell r="B209" t="str">
            <v>SALSA P/ARREGLADO (KILO)</v>
          </cell>
          <cell r="C209" t="str">
            <v>ESP-RE-COFS-059</v>
          </cell>
          <cell r="D209" t="str">
            <v>06</v>
          </cell>
          <cell r="E209" t="str">
            <v>Kilo</v>
          </cell>
          <cell r="F209" t="str">
            <v>Gramo</v>
          </cell>
          <cell r="G209">
            <v>1875.397432828519</v>
          </cell>
          <cell r="H209">
            <v>1.875397432828519</v>
          </cell>
          <cell r="I209">
            <v>30.152380952380952</v>
          </cell>
          <cell r="J209">
            <v>3.0152380952380951E-2</v>
          </cell>
          <cell r="K209">
            <v>342.99896648056199</v>
          </cell>
          <cell r="L209">
            <v>0.342998966480562</v>
          </cell>
          <cell r="M209">
            <v>2248.5487802614621</v>
          </cell>
        </row>
        <row r="210">
          <cell r="A210" t="str">
            <v>906000003</v>
          </cell>
          <cell r="B210" t="str">
            <v>CORTE GALLETA CHILENA PEQUEÑA (UND)</v>
          </cell>
          <cell r="C210" t="str">
            <v>ESP-RE-PAPS-004</v>
          </cell>
          <cell r="D210" t="str">
            <v>02</v>
          </cell>
          <cell r="E210" t="str">
            <v>und</v>
          </cell>
          <cell r="F210" t="str">
            <v>Und</v>
          </cell>
          <cell r="G210">
            <v>97.316846696826275</v>
          </cell>
          <cell r="H210">
            <v>97.316846696826275</v>
          </cell>
          <cell r="I210">
            <v>0.33902559570000002</v>
          </cell>
          <cell r="J210">
            <v>0.33902559570000002</v>
          </cell>
          <cell r="K210">
            <v>17.578057012654728</v>
          </cell>
          <cell r="L210">
            <v>17.578057012654728</v>
          </cell>
          <cell r="M210">
            <v>115.23392930518099</v>
          </cell>
        </row>
        <row r="211">
          <cell r="A211" t="str">
            <v>903000101</v>
          </cell>
          <cell r="B211" t="str">
            <v>TAPA ALFAJOR PEQUEÑO (UND)</v>
          </cell>
          <cell r="C211" t="str">
            <v>ESP-RE-PAPS-110</v>
          </cell>
          <cell r="D211" t="str">
            <v>01</v>
          </cell>
          <cell r="E211" t="str">
            <v>Und</v>
          </cell>
          <cell r="F211" t="str">
            <v>Und</v>
          </cell>
          <cell r="G211">
            <v>8.914778910116647</v>
          </cell>
          <cell r="H211">
            <v>8.914778910116647</v>
          </cell>
          <cell r="I211">
            <v>3.5370680987596353E-2</v>
          </cell>
          <cell r="J211">
            <v>3.5370680987596353E-2</v>
          </cell>
          <cell r="K211">
            <v>1.6110269263987635</v>
          </cell>
          <cell r="L211">
            <v>1.6110269263987635</v>
          </cell>
          <cell r="M211">
            <v>10.561176517503005</v>
          </cell>
        </row>
        <row r="212">
          <cell r="A212" t="str">
            <v>904000024</v>
          </cell>
          <cell r="B212" t="str">
            <v>ADEREZO PESTO/ALBAHACA (KILO)</v>
          </cell>
          <cell r="C212" t="str">
            <v>ESP-RE-COFS-017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2909.3325075641374</v>
          </cell>
          <cell r="H212">
            <v>2.9093325075641374</v>
          </cell>
          <cell r="I212">
            <v>2.1135839245037422</v>
          </cell>
          <cell r="J212">
            <v>2.1135839245037423E-3</v>
          </cell>
          <cell r="K212">
            <v>524.06029646795537</v>
          </cell>
          <cell r="L212">
            <v>0.52406029646795538</v>
          </cell>
          <cell r="M212">
            <v>3435.5063879565969</v>
          </cell>
        </row>
        <row r="213">
          <cell r="A213" t="str">
            <v>90100112</v>
          </cell>
          <cell r="B213" t="str">
            <v>SOPA ORIENTAL KILO</v>
          </cell>
          <cell r="C213" t="str">
            <v>ESP-RE-COCS-230</v>
          </cell>
          <cell r="D213" t="str">
            <v>01</v>
          </cell>
          <cell r="E213" t="str">
            <v>Kilo</v>
          </cell>
          <cell r="F213" t="str">
            <v>Gramo</v>
          </cell>
          <cell r="G213" t="e">
            <v>#N/A</v>
          </cell>
          <cell r="H213" t="e">
            <v>#N/A</v>
          </cell>
          <cell r="I213">
            <v>13.532409861533264</v>
          </cell>
          <cell r="J213">
            <v>1.3532409861533264E-2</v>
          </cell>
          <cell r="K213" t="e">
            <v>#N/A</v>
          </cell>
          <cell r="L213" t="e">
            <v>#N/A</v>
          </cell>
          <cell r="M213" t="e">
            <v>#N/A</v>
          </cell>
        </row>
        <row r="214">
          <cell r="A214" t="str">
            <v>903000175</v>
          </cell>
          <cell r="B214" t="str">
            <v>PREMEZCLA ALFAJOR CHOCO KILO</v>
          </cell>
          <cell r="C214">
            <v>0</v>
          </cell>
          <cell r="D214">
            <v>0</v>
          </cell>
          <cell r="E214" t="str">
            <v>Kilo</v>
          </cell>
          <cell r="F214" t="str">
            <v>Gramo</v>
          </cell>
          <cell r="G214">
            <v>894.78922204641356</v>
          </cell>
          <cell r="H214">
            <v>0.89478922204641353</v>
          </cell>
          <cell r="I214">
            <v>5.2667269439421336</v>
          </cell>
          <cell r="J214">
            <v>5.2667269439421339E-3</v>
          </cell>
          <cell r="K214">
            <v>162.01007081826401</v>
          </cell>
          <cell r="L214">
            <v>0.16201007081826402</v>
          </cell>
          <cell r="M214">
            <v>1062.0660198086198</v>
          </cell>
        </row>
        <row r="215">
          <cell r="A215" t="str">
            <v>907000224</v>
          </cell>
          <cell r="B215" t="str">
            <v>BATIDO ALFAJOR DE CHOCOLATE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887.07149478260874</v>
          </cell>
          <cell r="H215">
            <v>0.88707149478260872</v>
          </cell>
          <cell r="I215">
            <v>5.2099378881987581</v>
          </cell>
          <cell r="J215">
            <v>5.209937888198758E-3</v>
          </cell>
          <cell r="K215">
            <v>160.61065788074535</v>
          </cell>
          <cell r="L215">
            <v>0.16061065788074536</v>
          </cell>
          <cell r="M215">
            <v>1052.8920905515529</v>
          </cell>
        </row>
        <row r="216">
          <cell r="A216" t="str">
            <v>903000176</v>
          </cell>
          <cell r="B216" t="str">
            <v>CORTE ALFAJOR FLOR CHOCOLATE UND</v>
          </cell>
          <cell r="C216">
            <v>0</v>
          </cell>
          <cell r="D216">
            <v>0</v>
          </cell>
          <cell r="E216" t="str">
            <v>Und</v>
          </cell>
          <cell r="F216" t="str">
            <v>Und</v>
          </cell>
          <cell r="G216">
            <v>13.73141224130435</v>
          </cell>
          <cell r="H216">
            <v>13.73141224130435</v>
          </cell>
          <cell r="I216">
            <v>8.0009760425909501E-2</v>
          </cell>
          <cell r="J216">
            <v>8.0009760425909501E-2</v>
          </cell>
          <cell r="K216">
            <v>2.4860559603114467</v>
          </cell>
          <cell r="L216">
            <v>2.4860559603114467</v>
          </cell>
          <cell r="M216">
            <v>16.297477962041704</v>
          </cell>
        </row>
        <row r="217">
          <cell r="A217" t="str">
            <v>908000049</v>
          </cell>
          <cell r="B217" t="str">
            <v>COCCION PALMITO P/ENSALADA (KILO)</v>
          </cell>
          <cell r="C217" t="str">
            <v>ESP-RE-COCS-072</v>
          </cell>
          <cell r="D217" t="str">
            <v>01</v>
          </cell>
          <cell r="E217" t="str">
            <v>Kilo</v>
          </cell>
          <cell r="F217" t="str">
            <v>Gramo</v>
          </cell>
          <cell r="G217">
            <v>2369.0549766769868</v>
          </cell>
          <cell r="H217">
            <v>2.3690549766769866</v>
          </cell>
          <cell r="I217">
            <v>57.747368421052634</v>
          </cell>
          <cell r="J217">
            <v>5.7747368421052638E-2</v>
          </cell>
          <cell r="K217">
            <v>436.82442211764709</v>
          </cell>
          <cell r="L217">
            <v>0.4368244221176471</v>
          </cell>
          <cell r="M217">
            <v>2863.6267672156864</v>
          </cell>
        </row>
        <row r="218">
          <cell r="A218" t="str">
            <v>90100111</v>
          </cell>
          <cell r="B218" t="str">
            <v>FIDEO ORIENTAl KILO</v>
          </cell>
          <cell r="C218" t="str">
            <v>ESP-RE-COCS-231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2223.2541812525146</v>
          </cell>
          <cell r="H218">
            <v>2.2232541812525146</v>
          </cell>
          <cell r="I218">
            <v>1.4186666666666667</v>
          </cell>
          <cell r="J218">
            <v>1.4186666666666668E-3</v>
          </cell>
          <cell r="K218">
            <v>400.4411126254526</v>
          </cell>
          <cell r="L218">
            <v>0.40044111262545262</v>
          </cell>
          <cell r="M218">
            <v>2625.1139605446338</v>
          </cell>
        </row>
        <row r="219">
          <cell r="A219" t="str">
            <v>905000069</v>
          </cell>
          <cell r="B219" t="str">
            <v xml:space="preserve">RELLENO MOUSSE DE BAILEYS </v>
          </cell>
          <cell r="C219" t="str">
            <v>ESP-RE-POS-144</v>
          </cell>
          <cell r="D219" t="str">
            <v>03</v>
          </cell>
          <cell r="E219" t="str">
            <v>Kilo</v>
          </cell>
          <cell r="F219" t="str">
            <v>Gramo</v>
          </cell>
          <cell r="G219">
            <v>4821.2242066666668</v>
          </cell>
          <cell r="H219">
            <v>4.8212242066666668</v>
          </cell>
          <cell r="I219">
            <v>0</v>
          </cell>
          <cell r="J219">
            <v>0</v>
          </cell>
          <cell r="K219">
            <v>867.82035719999999</v>
          </cell>
          <cell r="L219">
            <v>0.86782035719999995</v>
          </cell>
          <cell r="M219">
            <v>5689.044563866667</v>
          </cell>
        </row>
        <row r="220">
          <cell r="A220" t="str">
            <v>908000048</v>
          </cell>
          <cell r="B220" t="str">
            <v>GANACHE BAILEYS (KILO)</v>
          </cell>
          <cell r="C220" t="str">
            <v>ESP-RE-COCS-071</v>
          </cell>
          <cell r="D220" t="str">
            <v>02</v>
          </cell>
          <cell r="E220" t="str">
            <v>Kilo</v>
          </cell>
          <cell r="F220" t="str">
            <v>Gramo</v>
          </cell>
          <cell r="G220">
            <v>5114.035317460316</v>
          </cell>
          <cell r="H220">
            <v>5.1140353174603161</v>
          </cell>
          <cell r="I220">
            <v>15.674285714285713</v>
          </cell>
          <cell r="J220">
            <v>1.5674285714285714E-2</v>
          </cell>
          <cell r="K220">
            <v>923.34772857142821</v>
          </cell>
          <cell r="L220">
            <v>0.92334772857142822</v>
          </cell>
          <cell r="M220">
            <v>6053.0573317460294</v>
          </cell>
        </row>
        <row r="221">
          <cell r="A221" t="str">
            <v>908000059</v>
          </cell>
          <cell r="B221" t="str">
            <v>COCCION QUINUA BLANCA (KILO)</v>
          </cell>
          <cell r="C221" t="str">
            <v>ESP-RE-COCS-086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158.62866666666667</v>
          </cell>
          <cell r="H221">
            <v>0.15862866666666667</v>
          </cell>
          <cell r="I221">
            <v>18.286666666666669</v>
          </cell>
          <cell r="J221">
            <v>1.828666666666667E-2</v>
          </cell>
          <cell r="K221">
            <v>31.844760000000001</v>
          </cell>
          <cell r="L221">
            <v>3.184476E-2</v>
          </cell>
          <cell r="M221">
            <v>208.76009333333334</v>
          </cell>
        </row>
        <row r="222">
          <cell r="A222" t="str">
            <v>901000022</v>
          </cell>
          <cell r="B222" t="str">
            <v>PREMEZCLA BATIDO SOUFFLE KILO</v>
          </cell>
          <cell r="C222" t="str">
            <v xml:space="preserve">ESP-RE-PRES-022 </v>
          </cell>
          <cell r="D222" t="str">
            <v>01</v>
          </cell>
          <cell r="E222" t="str">
            <v>Kilo</v>
          </cell>
          <cell r="F222" t="str">
            <v>Gramo</v>
          </cell>
          <cell r="G222">
            <v>1870.4677991382166</v>
          </cell>
          <cell r="H222">
            <v>1.8704677991382166</v>
          </cell>
          <cell r="I222">
            <v>2.0218760357971495</v>
          </cell>
          <cell r="J222">
            <v>2.0218760357971497E-3</v>
          </cell>
          <cell r="K222">
            <v>337.04814153132247</v>
          </cell>
          <cell r="L222">
            <v>0.33704814153132245</v>
          </cell>
          <cell r="M222">
            <v>2209.5378167053359</v>
          </cell>
        </row>
        <row r="223">
          <cell r="A223" t="str">
            <v>902000018</v>
          </cell>
          <cell r="B223" t="str">
            <v>BATIDO SOUFFLE (KILO)</v>
          </cell>
          <cell r="C223" t="str">
            <v>ESP-RE-BAS-049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1649.942214626391</v>
          </cell>
          <cell r="H223">
            <v>1.6499422146263909</v>
          </cell>
          <cell r="I223">
            <v>1.0990990990990992</v>
          </cell>
          <cell r="J223">
            <v>1.0990990990990992E-3</v>
          </cell>
          <cell r="K223">
            <v>297.18743647058818</v>
          </cell>
          <cell r="L223">
            <v>0.29718743647058821</v>
          </cell>
          <cell r="M223">
            <v>1948.2287501960782</v>
          </cell>
        </row>
        <row r="224">
          <cell r="A224" t="str">
            <v>907000073</v>
          </cell>
          <cell r="B224" t="str">
            <v>ROSQUETE TRES LECHES SOUFLE (40G) KFC</v>
          </cell>
          <cell r="C224" t="str">
            <v>ESP-RE-BAF-045</v>
          </cell>
          <cell r="D224" t="str">
            <v>05</v>
          </cell>
          <cell r="E224" t="str">
            <v>Und</v>
          </cell>
          <cell r="F224" t="str">
            <v>Und</v>
          </cell>
          <cell r="G224">
            <v>76.153169339098881</v>
          </cell>
          <cell r="H224">
            <v>76.153169339098881</v>
          </cell>
          <cell r="I224">
            <v>1.1883233168247767</v>
          </cell>
          <cell r="J224">
            <v>1.1883233168247767</v>
          </cell>
          <cell r="K224">
            <v>13.921468678066258</v>
          </cell>
          <cell r="L224">
            <v>13.921468678066258</v>
          </cell>
          <cell r="M224">
            <v>91.262961333989921</v>
          </cell>
        </row>
        <row r="225">
          <cell r="A225" t="str">
            <v>902000048</v>
          </cell>
          <cell r="B225" t="str">
            <v>TRES LECHES KFC (UND)</v>
          </cell>
          <cell r="C225" t="str">
            <v>ESP-RE-POF-059</v>
          </cell>
          <cell r="D225" t="str">
            <v>03</v>
          </cell>
          <cell r="E225" t="str">
            <v>Und</v>
          </cell>
          <cell r="F225" t="str">
            <v>Und</v>
          </cell>
          <cell r="G225">
            <v>309.67296033669504</v>
          </cell>
          <cell r="H225">
            <v>309.67296033669504</v>
          </cell>
          <cell r="I225">
            <v>43.500741586055547</v>
          </cell>
          <cell r="J225">
            <v>43.500741586055547</v>
          </cell>
          <cell r="K225">
            <v>63.571266346095101</v>
          </cell>
          <cell r="L225">
            <v>63.571266346095101</v>
          </cell>
          <cell r="M225">
            <v>416.7449682688457</v>
          </cell>
        </row>
        <row r="226">
          <cell r="A226" t="str">
            <v>906000112</v>
          </cell>
          <cell r="B226" t="str">
            <v>BASE PREMEZCLA CHOCOLATE BUCCA (KILO)</v>
          </cell>
          <cell r="C226" t="str">
            <v>ESP-RE-PRES-026</v>
          </cell>
          <cell r="D226" t="str">
            <v>03</v>
          </cell>
          <cell r="E226" t="str">
            <v>Kilo</v>
          </cell>
          <cell r="F226" t="str">
            <v>Gramo</v>
          </cell>
          <cell r="G226">
            <v>25491.79</v>
          </cell>
          <cell r="H226">
            <v>25.491790000000002</v>
          </cell>
          <cell r="I226">
            <v>128</v>
          </cell>
          <cell r="J226">
            <v>0.128</v>
          </cell>
          <cell r="K226">
            <v>4611.5622000000003</v>
          </cell>
          <cell r="L226">
            <v>4.6115622000000007</v>
          </cell>
          <cell r="M226">
            <v>30231.352200000001</v>
          </cell>
        </row>
        <row r="227">
          <cell r="A227" t="str">
            <v>902000002</v>
          </cell>
          <cell r="B227" t="str">
            <v>BATIDO CHOCOLATE BUCCA (KILO)</v>
          </cell>
          <cell r="C227" t="str">
            <v>ESP-RE-BAF-006</v>
          </cell>
          <cell r="D227" t="str">
            <v>05</v>
          </cell>
          <cell r="E227" t="str">
            <v>Kilo</v>
          </cell>
          <cell r="F227" t="str">
            <v>Gramo</v>
          </cell>
          <cell r="G227">
            <v>1205.8903152134035</v>
          </cell>
          <cell r="H227">
            <v>1.2058903152134035</v>
          </cell>
          <cell r="I227">
            <v>6.6528066528066532E-2</v>
          </cell>
          <cell r="J227">
            <v>6.6528066528066527E-5</v>
          </cell>
          <cell r="K227">
            <v>217.07223179038766</v>
          </cell>
          <cell r="L227">
            <v>0.21707223179038765</v>
          </cell>
          <cell r="M227">
            <v>1423.0290750703191</v>
          </cell>
        </row>
        <row r="228">
          <cell r="A228" t="str">
            <v>904000002</v>
          </cell>
          <cell r="B228" t="str">
            <v>SALSA FRESA KILO</v>
          </cell>
          <cell r="C228" t="str">
            <v>ESP-RE-DES-108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3332.7082701296458</v>
          </cell>
          <cell r="H228">
            <v>3.332708270129646</v>
          </cell>
          <cell r="I228">
            <v>27.916910554944998</v>
          </cell>
          <cell r="J228">
            <v>2.7916910554944999E-2</v>
          </cell>
          <cell r="K228">
            <v>604.91253252322633</v>
          </cell>
          <cell r="L228">
            <v>0.6049125325232263</v>
          </cell>
          <cell r="M228">
            <v>3965.537713207817</v>
          </cell>
        </row>
        <row r="229">
          <cell r="A229" t="str">
            <v>903000039</v>
          </cell>
          <cell r="B229" t="str">
            <v>ROSQUETE CHOCOLATE BUCCA 425g</v>
          </cell>
          <cell r="C229" t="str">
            <v>ESP-RE-BAF-001</v>
          </cell>
          <cell r="D229" t="str">
            <v>05</v>
          </cell>
          <cell r="E229" t="str">
            <v>UND</v>
          </cell>
          <cell r="F229" t="str">
            <v>Und</v>
          </cell>
          <cell r="G229">
            <v>532.99735927824781</v>
          </cell>
          <cell r="H229">
            <v>532.99735927824781</v>
          </cell>
          <cell r="I229">
            <v>5.0864834613899612</v>
          </cell>
          <cell r="J229">
            <v>5.0864834613899612</v>
          </cell>
          <cell r="K229">
            <v>96.85509169313481</v>
          </cell>
          <cell r="L229">
            <v>96.85509169313481</v>
          </cell>
          <cell r="M229">
            <v>634.93893443277261</v>
          </cell>
        </row>
        <row r="230">
          <cell r="A230" t="str">
            <v>910000007</v>
          </cell>
          <cell r="B230" t="str">
            <v>MEZCLA TRES LECHES C/BAILEYS LITRO</v>
          </cell>
          <cell r="C230" t="str">
            <v xml:space="preserve">ESP-RE-DES-027 </v>
          </cell>
          <cell r="D230" t="str">
            <v>01</v>
          </cell>
          <cell r="E230" t="str">
            <v>Kilo</v>
          </cell>
          <cell r="F230" t="str">
            <v>Gramo</v>
          </cell>
          <cell r="G230">
            <v>8706.0947017792441</v>
          </cell>
          <cell r="H230">
            <v>8.7060947017792447</v>
          </cell>
          <cell r="I230">
            <v>3.4582064812698414</v>
          </cell>
          <cell r="J230">
            <v>3.4582064812698414E-3</v>
          </cell>
          <cell r="K230">
            <v>1567.7195234868923</v>
          </cell>
          <cell r="L230">
            <v>1.5677195234868924</v>
          </cell>
          <cell r="M230">
            <v>10277.272431747406</v>
          </cell>
        </row>
        <row r="231">
          <cell r="A231" t="str">
            <v>905000031</v>
          </cell>
          <cell r="B231" t="str">
            <v>RELLENO CREMA MOKA C/BAILEYS (KILO)</v>
          </cell>
          <cell r="C231" t="str">
            <v>ESP-RE-POS-039</v>
          </cell>
          <cell r="D231" t="str">
            <v>02</v>
          </cell>
          <cell r="E231" t="str">
            <v>Kilo</v>
          </cell>
          <cell r="F231" t="str">
            <v>Gramo</v>
          </cell>
          <cell r="G231">
            <v>4329.4891243851862</v>
          </cell>
          <cell r="H231">
            <v>4.3294891243851863</v>
          </cell>
          <cell r="I231">
            <v>0.46210825629629632</v>
          </cell>
          <cell r="J231">
            <v>4.6210825629629633E-4</v>
          </cell>
          <cell r="K231">
            <v>779.39122187546684</v>
          </cell>
          <cell r="L231">
            <v>0.77939122187546683</v>
          </cell>
          <cell r="M231">
            <v>5109.3424545169491</v>
          </cell>
        </row>
        <row r="232">
          <cell r="A232" t="str">
            <v>910000012</v>
          </cell>
          <cell r="B232" t="str">
            <v>SEMILLAS PECANA TOSTADA (KILO)</v>
          </cell>
          <cell r="C232" t="str">
            <v xml:space="preserve">ESP-RE-DES-034 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17.708220000000001</v>
          </cell>
          <cell r="H232">
            <v>1.770822E-2</v>
          </cell>
          <cell r="I232">
            <v>34.287500000000001</v>
          </cell>
          <cell r="J232">
            <v>3.4287499999999999E-2</v>
          </cell>
          <cell r="K232">
            <v>9.3592296000000008</v>
          </cell>
          <cell r="L232">
            <v>9.3592296000000012E-3</v>
          </cell>
          <cell r="M232">
            <v>61.354949600000005</v>
          </cell>
        </row>
        <row r="233">
          <cell r="A233" t="str">
            <v>907000015</v>
          </cell>
          <cell r="B233" t="str">
            <v>MEZCLA CHOCOLATE BLANCO C/PECANA (KILO)</v>
          </cell>
          <cell r="C233" t="str">
            <v>ESP-RE-POS-040</v>
          </cell>
          <cell r="D233" t="str">
            <v>01</v>
          </cell>
          <cell r="E233" t="str">
            <v>Kilo</v>
          </cell>
          <cell r="F233" t="str">
            <v>Gramo</v>
          </cell>
          <cell r="G233">
            <v>2222.1345345999998</v>
          </cell>
          <cell r="H233">
            <v>2.2221345345999999</v>
          </cell>
          <cell r="I233">
            <v>38.743625000000002</v>
          </cell>
          <cell r="J233">
            <v>3.8743625000000004E-2</v>
          </cell>
          <cell r="K233">
            <v>406.95806872799994</v>
          </cell>
          <cell r="L233">
            <v>0.40695806872799994</v>
          </cell>
          <cell r="M233">
            <v>2667.8362283279998</v>
          </cell>
        </row>
        <row r="234">
          <cell r="A234" t="str">
            <v>908000032</v>
          </cell>
          <cell r="B234" t="str">
            <v>GANACHE CHOCOLATE OSCURO (KILO)</v>
          </cell>
          <cell r="C234" t="str">
            <v>ESP-RE-COCS-048</v>
          </cell>
          <cell r="D234" t="str">
            <v>09</v>
          </cell>
          <cell r="E234" t="str">
            <v>Kilo</v>
          </cell>
          <cell r="F234" t="str">
            <v>Gramo</v>
          </cell>
          <cell r="G234">
            <v>3539.4594594594591</v>
          </cell>
          <cell r="H234">
            <v>3.5394594594594593</v>
          </cell>
          <cell r="I234">
            <v>1.4250614250614248E-2</v>
          </cell>
          <cell r="J234">
            <v>1.4250614250614247E-5</v>
          </cell>
          <cell r="K234">
            <v>637.10526781326769</v>
          </cell>
          <cell r="L234">
            <v>0.63710526781326771</v>
          </cell>
          <cell r="M234">
            <v>4176.5789778869776</v>
          </cell>
        </row>
        <row r="235">
          <cell r="A235" t="str">
            <v>903000028</v>
          </cell>
          <cell r="B235" t="str">
            <v>ROSQUETE TRES LECHES 750g</v>
          </cell>
          <cell r="C235">
            <v>0</v>
          </cell>
          <cell r="D235">
            <v>0</v>
          </cell>
          <cell r="E235" t="str">
            <v>Und</v>
          </cell>
          <cell r="F235" t="str">
            <v>Und</v>
          </cell>
          <cell r="G235">
            <v>747.19121282013668</v>
          </cell>
          <cell r="H235">
            <v>747.19121282013668</v>
          </cell>
          <cell r="I235">
            <v>8.0445803371428575</v>
          </cell>
          <cell r="J235">
            <v>8.0445803371428575</v>
          </cell>
          <cell r="K235">
            <v>135.94244276831031</v>
          </cell>
          <cell r="L235">
            <v>135.94244276831031</v>
          </cell>
          <cell r="M235">
            <v>891.17823592558989</v>
          </cell>
        </row>
        <row r="236">
          <cell r="A236" t="str">
            <v>910000019</v>
          </cell>
          <cell r="B236" t="str">
            <v>CREMA BLANCA C/GALLETA CHOCO (KILO)</v>
          </cell>
          <cell r="C236" t="str">
            <v xml:space="preserve">ESP-RE-DES-043 </v>
          </cell>
          <cell r="D236" t="str">
            <v>02</v>
          </cell>
          <cell r="E236" t="str">
            <v>Kilo</v>
          </cell>
          <cell r="F236" t="str">
            <v>Gramo</v>
          </cell>
          <cell r="G236">
            <v>1871.9433726851848</v>
          </cell>
          <cell r="H236">
            <v>1.8719433726851848</v>
          </cell>
          <cell r="I236">
            <v>9.8518518518518519E-2</v>
          </cell>
          <cell r="J236">
            <v>9.8518518518518521E-5</v>
          </cell>
          <cell r="K236">
            <v>336.96754041666662</v>
          </cell>
          <cell r="L236">
            <v>0.3369675404166666</v>
          </cell>
          <cell r="M236">
            <v>2209.0094316203699</v>
          </cell>
        </row>
        <row r="237">
          <cell r="A237" t="str">
            <v>96199</v>
          </cell>
          <cell r="B237" t="str">
            <v>COBERTURA CHOCOLATE LECHE RALLADO 4700g</v>
          </cell>
          <cell r="C237" t="str">
            <v xml:space="preserve">ESP-RE-DES-029 </v>
          </cell>
          <cell r="D237" t="str">
            <v>01</v>
          </cell>
          <cell r="E237" t="str">
            <v>Kilo</v>
          </cell>
          <cell r="F237" t="str">
            <v>Gramo</v>
          </cell>
          <cell r="G237">
            <v>4753.1914893617013</v>
          </cell>
          <cell r="H237">
            <v>4.7531914893617015</v>
          </cell>
          <cell r="I237">
            <v>0.12340425531914893</v>
          </cell>
          <cell r="J237">
            <v>1.2340425531914893E-4</v>
          </cell>
          <cell r="K237">
            <v>855.59668085106352</v>
          </cell>
          <cell r="L237">
            <v>0.85559668085106355</v>
          </cell>
          <cell r="M237">
            <v>5608.9115744680839</v>
          </cell>
        </row>
        <row r="238">
          <cell r="A238" t="str">
            <v>907000230</v>
          </cell>
          <cell r="B238" t="str">
            <v>ROSQUETE PILLSBURY 460 g</v>
          </cell>
          <cell r="C238" t="str">
            <v>ESP-RE-BAS-127</v>
          </cell>
          <cell r="D238" t="str">
            <v>01</v>
          </cell>
          <cell r="E238" t="str">
            <v>Und</v>
          </cell>
          <cell r="F238" t="str">
            <v>Und</v>
          </cell>
          <cell r="G238">
            <v>698.27992406388944</v>
          </cell>
          <cell r="H238">
            <v>698.27992406388944</v>
          </cell>
          <cell r="I238">
            <v>4.7844706084006559</v>
          </cell>
          <cell r="J238">
            <v>4.7844706084006559</v>
          </cell>
          <cell r="K238">
            <v>126.5515910410122</v>
          </cell>
          <cell r="L238">
            <v>126.5515910410122</v>
          </cell>
          <cell r="M238">
            <v>829.61598571330228</v>
          </cell>
        </row>
        <row r="239">
          <cell r="A239" t="str">
            <v>903000033</v>
          </cell>
          <cell r="B239" t="str">
            <v>ROSQUETE CHOCOLATE PILLSBURY 70g</v>
          </cell>
          <cell r="C239" t="str">
            <v>ESP-RE-BAS-050</v>
          </cell>
          <cell r="D239" t="str">
            <v>04</v>
          </cell>
          <cell r="E239" t="str">
            <v>Und</v>
          </cell>
          <cell r="F239" t="str">
            <v>Und</v>
          </cell>
          <cell r="G239">
            <v>106.26710252997221</v>
          </cell>
          <cell r="H239">
            <v>106.26710252997221</v>
          </cell>
          <cell r="I239">
            <v>1.5024040028610839</v>
          </cell>
          <cell r="J239">
            <v>1.5024040028610839</v>
          </cell>
          <cell r="K239">
            <v>19.398511175909992</v>
          </cell>
          <cell r="L239">
            <v>19.398511175909992</v>
          </cell>
          <cell r="M239">
            <v>127.16801770874328</v>
          </cell>
        </row>
        <row r="240">
          <cell r="A240" t="str">
            <v>906000096</v>
          </cell>
          <cell r="B240" t="str">
            <v>BASE PREMEZCLA VAINILLA PURATOS KILO</v>
          </cell>
          <cell r="C240" t="str">
            <v>ESP-RE-PRES-073</v>
          </cell>
          <cell r="D240" t="str">
            <v>13</v>
          </cell>
          <cell r="E240" t="str">
            <v>Kilo</v>
          </cell>
          <cell r="F240" t="str">
            <v>Gramo</v>
          </cell>
          <cell r="G240">
            <v>7.8250000000000002</v>
          </cell>
          <cell r="H240">
            <v>7.8250000000000004E-3</v>
          </cell>
          <cell r="I240">
            <v>62.538922155688617</v>
          </cell>
          <cell r="J240">
            <v>6.2538922155688612E-2</v>
          </cell>
          <cell r="K240">
            <v>12.66550598802395</v>
          </cell>
          <cell r="L240">
            <v>1.266550598802395E-2</v>
          </cell>
          <cell r="M240">
            <v>83.029428143712565</v>
          </cell>
        </row>
        <row r="241">
          <cell r="A241" t="str">
            <v>907000109</v>
          </cell>
          <cell r="B241" t="str">
            <v>BATIDO VAINILLA PURATOS BUCCA KILO</v>
          </cell>
          <cell r="C241" t="str">
            <v>ESP-RE-BAF-005</v>
          </cell>
          <cell r="D241" t="str">
            <v>04</v>
          </cell>
          <cell r="E241" t="str">
            <v>Kilo</v>
          </cell>
          <cell r="F241" t="str">
            <v>Gramo</v>
          </cell>
          <cell r="G241">
            <v>999.45525621758384</v>
          </cell>
          <cell r="H241">
            <v>0.9994552562175838</v>
          </cell>
          <cell r="I241">
            <v>0.18021968965295213</v>
          </cell>
          <cell r="J241">
            <v>1.8021968965295211E-4</v>
          </cell>
          <cell r="K241">
            <v>179.93438566330261</v>
          </cell>
          <cell r="L241">
            <v>0.17993438566330261</v>
          </cell>
          <cell r="M241">
            <v>1179.5698615705394</v>
          </cell>
        </row>
        <row r="242">
          <cell r="A242" t="str">
            <v>903000040</v>
          </cell>
          <cell r="B242" t="str">
            <v>ROSQUETE VAINILLA PURATOS BUCCA 350g</v>
          </cell>
          <cell r="C242" t="str">
            <v xml:space="preserve">ESP-RE-BAF-002 </v>
          </cell>
          <cell r="D242" t="str">
            <v>06</v>
          </cell>
          <cell r="E242" t="str">
            <v>Und</v>
          </cell>
          <cell r="F242" t="str">
            <v>Und</v>
          </cell>
          <cell r="G242">
            <v>358.03679908622723</v>
          </cell>
          <cell r="H242">
            <v>358.03679908622723</v>
          </cell>
          <cell r="I242">
            <v>4.0402951302202048</v>
          </cell>
          <cell r="J242">
            <v>4.0402951302202048</v>
          </cell>
          <cell r="K242">
            <v>65.173876958960534</v>
          </cell>
          <cell r="L242">
            <v>65.173876958960534</v>
          </cell>
          <cell r="M242">
            <v>427.25097117540798</v>
          </cell>
        </row>
        <row r="243">
          <cell r="A243" t="str">
            <v>907000028</v>
          </cell>
          <cell r="B243" t="str">
            <v>MEZCLA TRES  LECHES C/DULCE LECHE KILO</v>
          </cell>
          <cell r="C243" t="str">
            <v>ESP-RE-POS-071</v>
          </cell>
          <cell r="D243" t="str">
            <v>01</v>
          </cell>
          <cell r="E243" t="str">
            <v>Kilo</v>
          </cell>
          <cell r="F243" t="str">
            <v>Gramo</v>
          </cell>
          <cell r="G243">
            <v>1745.9342598431697</v>
          </cell>
          <cell r="H243">
            <v>1.7459342598431697</v>
          </cell>
          <cell r="I243">
            <v>1.7517259995428573</v>
          </cell>
          <cell r="J243">
            <v>1.7517259995428573E-3</v>
          </cell>
          <cell r="K243">
            <v>314.58347745168828</v>
          </cell>
          <cell r="L243">
            <v>0.3145834774516883</v>
          </cell>
          <cell r="M243">
            <v>2062.2694632944008</v>
          </cell>
        </row>
        <row r="244">
          <cell r="A244" t="str">
            <v>906000074</v>
          </cell>
          <cell r="B244" t="str">
            <v xml:space="preserve">CORTE GALLETA TRES LECHES CHILENA </v>
          </cell>
          <cell r="C244" t="str">
            <v xml:space="preserve">ESP-RE-POS-124 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1018.1464626836023</v>
          </cell>
          <cell r="H244">
            <v>1.0181464626836023</v>
          </cell>
          <cell r="I244">
            <v>3.5967533652900001</v>
          </cell>
          <cell r="J244">
            <v>3.5967533652899999E-3</v>
          </cell>
          <cell r="K244">
            <v>183.91377888880061</v>
          </cell>
          <cell r="L244">
            <v>0.18391377888880062</v>
          </cell>
          <cell r="M244">
            <v>1205.6569949376931</v>
          </cell>
        </row>
        <row r="245">
          <cell r="A245" t="str">
            <v>903000134</v>
          </cell>
          <cell r="B245" t="str">
            <v>CHILENA P/TRES LECHES (UND)</v>
          </cell>
          <cell r="C245" t="str">
            <v>ESP-RE-POS-051</v>
          </cell>
          <cell r="D245" t="str">
            <v>02</v>
          </cell>
          <cell r="E245" t="str">
            <v>Und</v>
          </cell>
          <cell r="F245" t="str">
            <v>Und</v>
          </cell>
          <cell r="G245">
            <v>557.33282769396953</v>
          </cell>
          <cell r="H245">
            <v>557.33282769396953</v>
          </cell>
          <cell r="I245">
            <v>1.0790260095869999</v>
          </cell>
          <cell r="J245">
            <v>1.0790260095869999</v>
          </cell>
          <cell r="K245">
            <v>100.51413366664016</v>
          </cell>
          <cell r="L245">
            <v>100.51413366664016</v>
          </cell>
          <cell r="M245">
            <v>658.92598737019671</v>
          </cell>
        </row>
        <row r="246">
          <cell r="A246" t="str">
            <v>901000005</v>
          </cell>
          <cell r="B246" t="str">
            <v>PREMEZCLA P/BATIDO CHOCO PASTELERO KILO</v>
          </cell>
          <cell r="C246" t="str">
            <v>ESP-RE-PRES-005</v>
          </cell>
          <cell r="D246" t="str">
            <v>03</v>
          </cell>
          <cell r="E246" t="str">
            <v>Kilo</v>
          </cell>
          <cell r="F246" t="str">
            <v>Gramo</v>
          </cell>
          <cell r="G246">
            <v>1057.318443627451</v>
          </cell>
          <cell r="H246">
            <v>1.057318443627451</v>
          </cell>
          <cell r="I246">
            <v>6.3061377245508989</v>
          </cell>
          <cell r="J246">
            <v>6.3061377245508992E-3</v>
          </cell>
          <cell r="K246">
            <v>191.4524246433603</v>
          </cell>
          <cell r="L246">
            <v>0.19145242464336029</v>
          </cell>
          <cell r="M246">
            <v>1255.077005995362</v>
          </cell>
        </row>
        <row r="247">
          <cell r="A247" t="str">
            <v>902000003</v>
          </cell>
          <cell r="B247" t="str">
            <v>BATIDO CHOCOLATE PASTELERO REAL (KILO)</v>
          </cell>
          <cell r="C247" t="str">
            <v>ESP-RE-BAF-008</v>
          </cell>
          <cell r="D247" t="str">
            <v>07</v>
          </cell>
          <cell r="E247" t="str">
            <v>Kilo</v>
          </cell>
          <cell r="F247" t="str">
            <v>Gramo</v>
          </cell>
          <cell r="G247" t="e">
            <v>#N/A</v>
          </cell>
          <cell r="H247" t="e">
            <v>#N/A</v>
          </cell>
          <cell r="I247">
            <v>0.57017267404249672</v>
          </cell>
          <cell r="J247">
            <v>5.7017267404249671E-4</v>
          </cell>
          <cell r="K247" t="e">
            <v>#N/A</v>
          </cell>
          <cell r="L247" t="e">
            <v>#N/A</v>
          </cell>
          <cell r="M247" t="e">
            <v>#N/A</v>
          </cell>
        </row>
        <row r="248">
          <cell r="A248" t="str">
            <v>903000052</v>
          </cell>
          <cell r="B248" t="str">
            <v>ROSQUETE CHOCOLATE PURATOS 400g</v>
          </cell>
          <cell r="C248" t="str">
            <v>ESP-RE-BAF-018</v>
          </cell>
          <cell r="D248" t="str">
            <v>05</v>
          </cell>
          <cell r="E248" t="str">
            <v>Und</v>
          </cell>
          <cell r="F248" t="str">
            <v>Und</v>
          </cell>
          <cell r="G248">
            <v>465.28805282625916</v>
          </cell>
          <cell r="H248">
            <v>465.28805282625916</v>
          </cell>
          <cell r="I248">
            <v>5.0211537743488694</v>
          </cell>
          <cell r="J248">
            <v>5.0211537743488694</v>
          </cell>
          <cell r="K248">
            <v>84.655657188109444</v>
          </cell>
          <cell r="L248">
            <v>84.655657188109444</v>
          </cell>
          <cell r="M248">
            <v>554.96486378871748</v>
          </cell>
        </row>
        <row r="249">
          <cell r="A249" t="str">
            <v>910000002</v>
          </cell>
          <cell r="B249" t="str">
            <v>MEZCLA ALMIBAR C/CAFE (KILO)</v>
          </cell>
          <cell r="C249" t="str">
            <v>ESP-RE-DES-022</v>
          </cell>
          <cell r="D249" t="str">
            <v>01</v>
          </cell>
          <cell r="E249" t="str">
            <v>Kilo</v>
          </cell>
          <cell r="F249" t="str">
            <v>Gramo</v>
          </cell>
          <cell r="G249">
            <v>468.99021940495868</v>
          </cell>
          <cell r="H249">
            <v>0.46899021940495866</v>
          </cell>
          <cell r="I249">
            <v>9.7693633057851237</v>
          </cell>
          <cell r="J249">
            <v>9.7693633057851243E-3</v>
          </cell>
          <cell r="K249">
            <v>86.176724887933887</v>
          </cell>
          <cell r="L249">
            <v>8.6176724887933889E-2</v>
          </cell>
          <cell r="M249">
            <v>564.93630759867767</v>
          </cell>
        </row>
        <row r="250">
          <cell r="A250" t="str">
            <v>901000156</v>
          </cell>
          <cell r="B250" t="str">
            <v>CREMA CHANTILLY TOP CREAM CHOCOLATE</v>
          </cell>
          <cell r="C250" t="str">
            <v xml:space="preserve">ESP-RE-DES-047 </v>
          </cell>
          <cell r="D250" t="str">
            <v>03</v>
          </cell>
          <cell r="E250" t="str">
            <v>Kilo</v>
          </cell>
          <cell r="F250" t="str">
            <v>Gramo</v>
          </cell>
          <cell r="G250">
            <v>2639.8721574115998</v>
          </cell>
          <cell r="H250">
            <v>2.6398721574115998</v>
          </cell>
          <cell r="I250">
            <v>2.3875190384061249E-2</v>
          </cell>
          <cell r="J250">
            <v>2.3875190384061249E-5</v>
          </cell>
          <cell r="K250">
            <v>475.18128586835707</v>
          </cell>
          <cell r="L250">
            <v>0.47518128586835706</v>
          </cell>
          <cell r="M250">
            <v>3115.0773184703407</v>
          </cell>
        </row>
        <row r="251">
          <cell r="A251" t="str">
            <v>910000003</v>
          </cell>
          <cell r="B251" t="str">
            <v>MEZCLA TRES LECHES C/AGUA (KILO)</v>
          </cell>
          <cell r="C251" t="str">
            <v xml:space="preserve">ESP-RE-DES-023 </v>
          </cell>
          <cell r="D251" t="str">
            <v>01</v>
          </cell>
          <cell r="E251" t="str">
            <v>Kilo</v>
          </cell>
          <cell r="F251" t="str">
            <v>Gramo</v>
          </cell>
          <cell r="G251">
            <v>1227.1462143224653</v>
          </cell>
          <cell r="H251">
            <v>1.2271462143224654</v>
          </cell>
          <cell r="I251">
            <v>3.4518535552</v>
          </cell>
          <cell r="J251">
            <v>3.4518535552000001E-3</v>
          </cell>
          <cell r="K251">
            <v>221.50765221797974</v>
          </cell>
          <cell r="L251">
            <v>0.22150765221797974</v>
          </cell>
          <cell r="M251">
            <v>1452.105720095645</v>
          </cell>
        </row>
        <row r="252">
          <cell r="A252" t="str">
            <v>902000033</v>
          </cell>
          <cell r="B252" t="str">
            <v>RELLENO QUESO/ MANT/LIMON KILO</v>
          </cell>
          <cell r="C252" t="str">
            <v>ESP-RE-POS-107</v>
          </cell>
          <cell r="D252" t="str">
            <v>03</v>
          </cell>
          <cell r="E252" t="str">
            <v>Kilo</v>
          </cell>
          <cell r="F252" t="str">
            <v>Gramo</v>
          </cell>
          <cell r="G252">
            <v>2422.650843697761</v>
          </cell>
          <cell r="H252">
            <v>2.422650843697761</v>
          </cell>
          <cell r="I252">
            <v>2.3980769230769225E-3</v>
          </cell>
          <cell r="J252">
            <v>2.3980769230769227E-6</v>
          </cell>
          <cell r="K252">
            <v>436.07758351944307</v>
          </cell>
          <cell r="L252">
            <v>0.43607758351944309</v>
          </cell>
          <cell r="M252">
            <v>2858.730825294127</v>
          </cell>
        </row>
        <row r="253">
          <cell r="A253" t="str">
            <v>911000005</v>
          </cell>
          <cell r="B253" t="str">
            <v>GALLETA VAINILLA BAÑO CHOCO BLANCO KILO</v>
          </cell>
          <cell r="C253" t="str">
            <v>ESP-RE-POS-156</v>
          </cell>
          <cell r="D253" t="str">
            <v>01</v>
          </cell>
          <cell r="E253" t="str">
            <v>Kilo</v>
          </cell>
          <cell r="F253" t="str">
            <v>Gramo</v>
          </cell>
          <cell r="G253">
            <v>3235.5777777777776</v>
          </cell>
          <cell r="H253">
            <v>3.2355777777777774</v>
          </cell>
          <cell r="I253">
            <v>0</v>
          </cell>
          <cell r="J253">
            <v>0</v>
          </cell>
          <cell r="K253">
            <v>582.40399999999988</v>
          </cell>
          <cell r="L253">
            <v>0.58240399999999992</v>
          </cell>
          <cell r="M253">
            <v>3817.9817777777776</v>
          </cell>
        </row>
        <row r="254">
          <cell r="A254" t="str">
            <v>910000018</v>
          </cell>
          <cell r="B254" t="str">
            <v>CREMA BEIDGE (KILO)</v>
          </cell>
          <cell r="C254" t="str">
            <v xml:space="preserve">ESP-RE-DES-042 </v>
          </cell>
          <cell r="D254" t="str">
            <v>03</v>
          </cell>
          <cell r="E254" t="str">
            <v>Kilo</v>
          </cell>
          <cell r="F254" t="str">
            <v>Gramo</v>
          </cell>
          <cell r="G254">
            <v>3812.765276627219</v>
          </cell>
          <cell r="H254">
            <v>3.8127652766272191</v>
          </cell>
          <cell r="I254">
            <v>5.5769230769230758E-2</v>
          </cell>
          <cell r="J254">
            <v>5.5769230769230759E-5</v>
          </cell>
          <cell r="K254">
            <v>686.30778825443792</v>
          </cell>
          <cell r="L254">
            <v>0.68630778825443794</v>
          </cell>
          <cell r="M254">
            <v>4499.1288341124264</v>
          </cell>
        </row>
        <row r="255">
          <cell r="A255" t="str">
            <v>910000031</v>
          </cell>
          <cell r="B255" t="str">
            <v>CREMA LIQUIDA CHOCO P/MARMOLEAR KILO</v>
          </cell>
          <cell r="C255" t="str">
            <v>ESP-RE-DES-100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2346.6666666666665</v>
          </cell>
          <cell r="H255">
            <v>2.3466666666666667</v>
          </cell>
          <cell r="I255">
            <v>50</v>
          </cell>
          <cell r="J255">
            <v>0.05</v>
          </cell>
          <cell r="K255">
            <v>431.4</v>
          </cell>
          <cell r="L255">
            <v>0.43139999999999995</v>
          </cell>
          <cell r="M255">
            <v>2828.0666666666666</v>
          </cell>
        </row>
        <row r="256">
          <cell r="A256" t="str">
            <v>905000024</v>
          </cell>
          <cell r="B256" t="str">
            <v xml:space="preserve">RELLENO TOPPING FRESA P/CHEESE CAKE </v>
          </cell>
          <cell r="C256" t="str">
            <v>ESP-RE-POS-027</v>
          </cell>
          <cell r="D256" t="str">
            <v>06</v>
          </cell>
          <cell r="E256" t="str">
            <v>Kilo</v>
          </cell>
          <cell r="F256" t="str">
            <v>Gramo</v>
          </cell>
          <cell r="G256" t="e">
            <v>#N/A</v>
          </cell>
          <cell r="H256" t="e">
            <v>#N/A</v>
          </cell>
          <cell r="I256">
            <v>0</v>
          </cell>
          <cell r="J256">
            <v>0</v>
          </cell>
          <cell r="K256" t="e">
            <v>#N/A</v>
          </cell>
          <cell r="L256" t="e">
            <v>#N/A</v>
          </cell>
          <cell r="M256" t="e">
            <v>#N/A</v>
          </cell>
        </row>
        <row r="257">
          <cell r="A257" t="str">
            <v>905000099</v>
          </cell>
          <cell r="B257" t="str">
            <v>ALMENDRA TRITURADA KILO</v>
          </cell>
          <cell r="C257" t="str">
            <v>ESP-RE-DES-132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9.9263008999999993</v>
          </cell>
          <cell r="H257">
            <v>9.9263008999999989E-3</v>
          </cell>
          <cell r="I257">
            <v>0</v>
          </cell>
          <cell r="J257">
            <v>0</v>
          </cell>
          <cell r="K257">
            <v>1.7867341619999999</v>
          </cell>
          <cell r="L257">
            <v>1.7867341619999999E-3</v>
          </cell>
          <cell r="M257">
            <v>11.713035061999999</v>
          </cell>
        </row>
        <row r="258">
          <cell r="A258" t="str">
            <v>905000098</v>
          </cell>
          <cell r="B258" t="str">
            <v>PECANA TRITURADA KILO</v>
          </cell>
          <cell r="C258" t="str">
            <v xml:space="preserve">ESP-RE-DES-133  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17.89471</v>
          </cell>
          <cell r="H258">
            <v>1.7894710000000001E-2</v>
          </cell>
          <cell r="I258">
            <v>0</v>
          </cell>
          <cell r="J258">
            <v>0</v>
          </cell>
          <cell r="K258">
            <v>3.2210478</v>
          </cell>
          <cell r="L258">
            <v>3.2210478000000002E-3</v>
          </cell>
          <cell r="M258">
            <v>21.115757800000001</v>
          </cell>
        </row>
        <row r="259">
          <cell r="A259" t="str">
            <v>910000001</v>
          </cell>
          <cell r="B259" t="str">
            <v>MEZCLA CREMA CHOCOLATE C/AGUA (KILO)</v>
          </cell>
          <cell r="C259" t="str">
            <v xml:space="preserve">ESP-RE-DES-021 </v>
          </cell>
          <cell r="D259" t="str">
            <v>02</v>
          </cell>
          <cell r="E259" t="str">
            <v>Kilo</v>
          </cell>
          <cell r="F259" t="str">
            <v>Gramo</v>
          </cell>
          <cell r="G259">
            <v>1572.8363636363633</v>
          </cell>
          <cell r="H259">
            <v>1.5728363636363634</v>
          </cell>
          <cell r="I259">
            <v>0</v>
          </cell>
          <cell r="J259">
            <v>0</v>
          </cell>
          <cell r="K259">
            <v>283.11054545454539</v>
          </cell>
          <cell r="L259">
            <v>0.28311054545454539</v>
          </cell>
          <cell r="M259">
            <v>1855.9469090909088</v>
          </cell>
        </row>
        <row r="260">
          <cell r="A260" t="str">
            <v>902000093</v>
          </cell>
          <cell r="B260" t="str">
            <v>PIÑA PICADA KILO</v>
          </cell>
          <cell r="C260" t="str">
            <v>ESP-RE-POS-203</v>
          </cell>
          <cell r="D260" t="str">
            <v>01</v>
          </cell>
          <cell r="E260" t="str">
            <v>Kilo</v>
          </cell>
          <cell r="F260" t="str">
            <v>Gramo</v>
          </cell>
          <cell r="G260">
            <v>2067.0359062500002</v>
          </cell>
          <cell r="H260">
            <v>2.0670359062500001</v>
          </cell>
          <cell r="I260">
            <v>0</v>
          </cell>
          <cell r="J260">
            <v>0</v>
          </cell>
          <cell r="K260">
            <v>372.06646312500004</v>
          </cell>
          <cell r="L260">
            <v>0.37206646312500002</v>
          </cell>
          <cell r="M260">
            <v>2439.1023693750003</v>
          </cell>
        </row>
        <row r="261">
          <cell r="A261" t="str">
            <v>902000094</v>
          </cell>
          <cell r="B261" t="str">
            <v>PROCESADO CHOCOLATE BLANCO KILO</v>
          </cell>
          <cell r="C261" t="str">
            <v>ESP-RE-POS-204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3739.4799054373516</v>
          </cell>
          <cell r="H261">
            <v>3.7394799054373515</v>
          </cell>
          <cell r="I261">
            <v>0.45276595744680853</v>
          </cell>
          <cell r="J261">
            <v>4.5276595744680851E-4</v>
          </cell>
          <cell r="K261">
            <v>673.18788085106371</v>
          </cell>
          <cell r="L261">
            <v>0.67318788085106374</v>
          </cell>
          <cell r="M261">
            <v>4413.1205522458622</v>
          </cell>
        </row>
        <row r="262">
          <cell r="A262" t="str">
            <v>910000010</v>
          </cell>
          <cell r="B262" t="str">
            <v>COCO TOSTADO (KILO)</v>
          </cell>
          <cell r="C262" t="str">
            <v xml:space="preserve">ESP-RE-DES-031 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4.6391400000000003</v>
          </cell>
          <cell r="H262">
            <v>4.6391399999999999E-3</v>
          </cell>
          <cell r="I262">
            <v>0</v>
          </cell>
          <cell r="J262">
            <v>0</v>
          </cell>
          <cell r="K262">
            <v>0.83504520000000004</v>
          </cell>
          <cell r="L262">
            <v>8.3504520000000004E-4</v>
          </cell>
          <cell r="M262">
            <v>5.4741852</v>
          </cell>
        </row>
        <row r="263">
          <cell r="A263" t="str">
            <v>902000092</v>
          </cell>
          <cell r="B263" t="str">
            <v>MOUSSE DE COCO KILO</v>
          </cell>
          <cell r="C263" t="str">
            <v>ESP-RE-POS-202</v>
          </cell>
          <cell r="D263" t="str">
            <v>02</v>
          </cell>
          <cell r="E263" t="str">
            <v>Kilo</v>
          </cell>
          <cell r="F263" t="str">
            <v>Gramo</v>
          </cell>
          <cell r="G263">
            <v>1708.6364542060608</v>
          </cell>
          <cell r="H263">
            <v>1.7086364542060608</v>
          </cell>
          <cell r="I263">
            <v>0</v>
          </cell>
          <cell r="J263">
            <v>0</v>
          </cell>
          <cell r="K263">
            <v>307.55456175709094</v>
          </cell>
          <cell r="L263">
            <v>0.30755456175709095</v>
          </cell>
          <cell r="M263">
            <v>2016.1910159631516</v>
          </cell>
        </row>
        <row r="264">
          <cell r="A264" t="str">
            <v>90100291</v>
          </cell>
          <cell r="B264" t="str">
            <v>TOPPING DE PIÑA KILO</v>
          </cell>
          <cell r="C264" t="str">
            <v>ESP-RE-COCS-307</v>
          </cell>
          <cell r="D264" t="str">
            <v>01</v>
          </cell>
          <cell r="E264" t="str">
            <v>Kilo</v>
          </cell>
          <cell r="F264" t="str">
            <v>Gramo</v>
          </cell>
          <cell r="G264">
            <v>1021.78137</v>
          </cell>
          <cell r="H264">
            <v>1.02178137</v>
          </cell>
          <cell r="I264">
            <v>4.2287497142857147</v>
          </cell>
          <cell r="J264">
            <v>4.2287497142857143E-3</v>
          </cell>
          <cell r="K264">
            <v>184.68182154857143</v>
          </cell>
          <cell r="L264">
            <v>0.18468182154857143</v>
          </cell>
          <cell r="M264">
            <v>1210.6919412628572</v>
          </cell>
        </row>
        <row r="265">
          <cell r="A265" t="str">
            <v>906000121</v>
          </cell>
          <cell r="B265" t="str">
            <v>PREMEZCLA TURRON DE COCO</v>
          </cell>
          <cell r="C265" t="str">
            <v>ESP-RE-PRES-119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509.71164095831966</v>
          </cell>
          <cell r="H265">
            <v>0.50971164095831967</v>
          </cell>
          <cell r="I265">
            <v>10.476862487692811</v>
          </cell>
          <cell r="J265">
            <v>1.0476862487692811E-2</v>
          </cell>
          <cell r="K265">
            <v>93.633930620282229</v>
          </cell>
          <cell r="L265">
            <v>9.3633930620282232E-2</v>
          </cell>
          <cell r="M265">
            <v>613.82243406629459</v>
          </cell>
        </row>
        <row r="266">
          <cell r="A266" t="str">
            <v>907000077</v>
          </cell>
          <cell r="B266" t="str">
            <v>BATIDO TURRON DE COCO KILO</v>
          </cell>
          <cell r="C266">
            <v>0</v>
          </cell>
          <cell r="D266">
            <v>0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6.139038461538461</v>
          </cell>
          <cell r="J266">
            <v>6.1390384615384614E-3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907000111</v>
          </cell>
          <cell r="B267" t="str">
            <v>ROSQUETE TURRON DE COCO 400 g</v>
          </cell>
          <cell r="C267">
            <v>0</v>
          </cell>
          <cell r="D267">
            <v>0</v>
          </cell>
          <cell r="E267" t="str">
            <v>Und</v>
          </cell>
          <cell r="F267" t="str">
            <v>Und</v>
          </cell>
          <cell r="G267" t="e">
            <v>#N/A</v>
          </cell>
          <cell r="H267" t="e">
            <v>#N/A</v>
          </cell>
          <cell r="I267">
            <v>17.21246872857143</v>
          </cell>
          <cell r="J267">
            <v>17.21246872857143</v>
          </cell>
          <cell r="K267" t="e">
            <v>#N/A</v>
          </cell>
          <cell r="L267" t="e">
            <v>#N/A</v>
          </cell>
          <cell r="M267" t="e">
            <v>#N/A</v>
          </cell>
        </row>
        <row r="268">
          <cell r="A268" t="str">
            <v>906000115</v>
          </cell>
          <cell r="B268" t="str">
            <v>PREMEZCLA BATIDO CHOCOLATE PURATOS KILO</v>
          </cell>
          <cell r="C268" t="str">
            <v>ESP-RE-PRES-110</v>
          </cell>
          <cell r="D268" t="str">
            <v>01</v>
          </cell>
          <cell r="E268" t="str">
            <v>Kilo</v>
          </cell>
          <cell r="F268" t="str">
            <v>Gramo</v>
          </cell>
          <cell r="G268">
            <v>7.8250000000000002</v>
          </cell>
          <cell r="H268">
            <v>7.8250000000000004E-3</v>
          </cell>
          <cell r="I268">
            <v>79.08323353293413</v>
          </cell>
          <cell r="J268">
            <v>7.908323353293413E-2</v>
          </cell>
          <cell r="K268">
            <v>15.643482035928143</v>
          </cell>
          <cell r="L268">
            <v>1.5643482035928143E-2</v>
          </cell>
          <cell r="M268">
            <v>102.55171556886228</v>
          </cell>
        </row>
        <row r="269">
          <cell r="A269" t="str">
            <v>907000212</v>
          </cell>
          <cell r="B269" t="str">
            <v xml:space="preserve">BATIDO QQ CHOCOLATE PURATOS </v>
          </cell>
          <cell r="C269" t="str">
            <v>ESP-RE-BAF-068</v>
          </cell>
          <cell r="D269" t="str">
            <v>02</v>
          </cell>
          <cell r="E269" t="str">
            <v>Kilo</v>
          </cell>
          <cell r="F269" t="str">
            <v>Gramo</v>
          </cell>
          <cell r="G269">
            <v>1117.8879267027862</v>
          </cell>
          <cell r="H269">
            <v>1.1178879267027861</v>
          </cell>
          <cell r="I269">
            <v>0.22060059880239519</v>
          </cell>
          <cell r="J269">
            <v>2.206005988023952E-4</v>
          </cell>
          <cell r="K269">
            <v>201.25953491428592</v>
          </cell>
          <cell r="L269">
            <v>0.20125953491428591</v>
          </cell>
          <cell r="M269">
            <v>1319.3680622158745</v>
          </cell>
        </row>
        <row r="270">
          <cell r="A270" t="str">
            <v>903000052</v>
          </cell>
          <cell r="B270" t="str">
            <v>ROSQUETE CHOCOLATE PURATOS 400g</v>
          </cell>
          <cell r="C270" t="str">
            <v>ESP-RE-BAF-018</v>
          </cell>
          <cell r="D270" t="str">
            <v>05</v>
          </cell>
          <cell r="E270" t="str">
            <v>Und</v>
          </cell>
          <cell r="F270" t="str">
            <v>Und</v>
          </cell>
          <cell r="G270">
            <v>465.28805282625916</v>
          </cell>
          <cell r="H270">
            <v>465.28805282625916</v>
          </cell>
          <cell r="I270">
            <v>5.0211537743488694</v>
          </cell>
          <cell r="J270">
            <v>5.0211537743488694</v>
          </cell>
          <cell r="K270">
            <v>84.655657188109444</v>
          </cell>
          <cell r="L270">
            <v>84.655657188109444</v>
          </cell>
          <cell r="M270">
            <v>554.96486378871748</v>
          </cell>
        </row>
        <row r="271">
          <cell r="A271" t="str">
            <v>910000023</v>
          </cell>
          <cell r="B271" t="str">
            <v>CREMA TOP BASE CHOCOLATE (KILO)</v>
          </cell>
          <cell r="C271" t="str">
            <v xml:space="preserve">ESP-RE-DES-047 </v>
          </cell>
          <cell r="D271" t="str">
            <v>03</v>
          </cell>
          <cell r="E271" t="str">
            <v>Kilo</v>
          </cell>
          <cell r="F271" t="str">
            <v>Gramo</v>
          </cell>
          <cell r="G271">
            <v>2639.8721574115998</v>
          </cell>
          <cell r="H271">
            <v>2.6398721574115998</v>
          </cell>
          <cell r="I271">
            <v>2.3875190384061249E-2</v>
          </cell>
          <cell r="J271">
            <v>2.3875190384061249E-5</v>
          </cell>
          <cell r="K271">
            <v>475.18128586835707</v>
          </cell>
          <cell r="L271">
            <v>0.47518128586835706</v>
          </cell>
          <cell r="M271">
            <v>3115.0773184703407</v>
          </cell>
        </row>
        <row r="272">
          <cell r="A272" t="str">
            <v>903000051</v>
          </cell>
          <cell r="B272" t="str">
            <v>ROSQUETE VAINILLA PURATOS 400g</v>
          </cell>
          <cell r="C272" t="str">
            <v>ESP-RE-BAF-017</v>
          </cell>
          <cell r="D272" t="str">
            <v>02</v>
          </cell>
          <cell r="E272" t="str">
            <v>Und</v>
          </cell>
          <cell r="F272" t="str">
            <v>Und</v>
          </cell>
          <cell r="G272">
            <v>417.81974211429815</v>
          </cell>
          <cell r="H272">
            <v>417.81974211429815</v>
          </cell>
          <cell r="I272">
            <v>5.031816807120733</v>
          </cell>
          <cell r="J272">
            <v>5.031816807120733</v>
          </cell>
          <cell r="K272">
            <v>76.113280605855394</v>
          </cell>
          <cell r="L272">
            <v>76.113280605855394</v>
          </cell>
          <cell r="M272">
            <v>498.96483952727425</v>
          </cell>
        </row>
        <row r="273">
          <cell r="A273" t="str">
            <v>907000022</v>
          </cell>
          <cell r="B273" t="str">
            <v>SEMILLAS ALMENDRAS TOSTADAS (KILO)</v>
          </cell>
          <cell r="C273" t="str">
            <v xml:space="preserve">ESP-RE-DES-035 </v>
          </cell>
          <cell r="D273">
            <v>0</v>
          </cell>
          <cell r="E273" t="str">
            <v>Kilo</v>
          </cell>
          <cell r="F273" t="str">
            <v>Gramo</v>
          </cell>
          <cell r="G273">
            <v>9.6000000000000014</v>
          </cell>
          <cell r="H273">
            <v>9.6000000000000009E-3</v>
          </cell>
          <cell r="I273">
            <v>16.559999999999999</v>
          </cell>
          <cell r="J273">
            <v>1.6559999999999998E-2</v>
          </cell>
          <cell r="K273">
            <v>4.7088000000000001</v>
          </cell>
          <cell r="L273">
            <v>4.7088E-3</v>
          </cell>
          <cell r="M273">
            <v>30.8688</v>
          </cell>
        </row>
        <row r="274">
          <cell r="A274" t="str">
            <v>905000058</v>
          </cell>
          <cell r="B274" t="str">
            <v>CREMA LIMON BUCCA KILO</v>
          </cell>
          <cell r="C274" t="str">
            <v>ESP-RE-FIF-37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1939.0229254807693</v>
          </cell>
          <cell r="H274">
            <v>1.9390229254807694</v>
          </cell>
          <cell r="I274">
            <v>0.10230769230769231</v>
          </cell>
          <cell r="J274">
            <v>1.023076923076923E-4</v>
          </cell>
          <cell r="K274">
            <v>349.04254197115387</v>
          </cell>
          <cell r="L274">
            <v>0.34904254197115386</v>
          </cell>
          <cell r="M274">
            <v>2288.1677751442307</v>
          </cell>
        </row>
        <row r="275">
          <cell r="A275" t="str">
            <v>903000062</v>
          </cell>
          <cell r="B275" t="str">
            <v>ROSQUETE VAINILLA P.REAL 650g</v>
          </cell>
          <cell r="C275" t="str">
            <v xml:space="preserve">ESP-RE-BAF-035 </v>
          </cell>
          <cell r="D275" t="str">
            <v>02</v>
          </cell>
          <cell r="E275" t="str">
            <v>Und</v>
          </cell>
          <cell r="F275" t="str">
            <v>Und</v>
          </cell>
          <cell r="G275">
            <v>678.61926502538324</v>
          </cell>
          <cell r="H275">
            <v>678.61926502538324</v>
          </cell>
          <cell r="I275">
            <v>27.840802689219387</v>
          </cell>
          <cell r="J275">
            <v>27.840802689219387</v>
          </cell>
          <cell r="K275">
            <v>127.16281218862846</v>
          </cell>
          <cell r="L275">
            <v>127.16281218862846</v>
          </cell>
          <cell r="M275">
            <v>833.62287990323102</v>
          </cell>
        </row>
        <row r="276">
          <cell r="A276" t="str">
            <v>905000061</v>
          </cell>
          <cell r="B276" t="str">
            <v>CREMA CHANTILLY FUCSIA KILO</v>
          </cell>
          <cell r="C276" t="str">
            <v>ESP-RE-DES-082</v>
          </cell>
          <cell r="D276" t="str">
            <v>03</v>
          </cell>
          <cell r="E276" t="str">
            <v>Kilo</v>
          </cell>
          <cell r="F276" t="str">
            <v>Gramo</v>
          </cell>
          <cell r="G276">
            <v>2093.0492785714282</v>
          </cell>
          <cell r="H276">
            <v>2.0930492785714283</v>
          </cell>
          <cell r="I276">
            <v>0</v>
          </cell>
          <cell r="J276">
            <v>0</v>
          </cell>
          <cell r="K276">
            <v>376.74887014285707</v>
          </cell>
          <cell r="L276">
            <v>0.37674887014285707</v>
          </cell>
          <cell r="M276">
            <v>2469.7981487142852</v>
          </cell>
        </row>
        <row r="277">
          <cell r="A277" t="str">
            <v>906000093</v>
          </cell>
          <cell r="B277" t="str">
            <v>BASE PREMEZCLA SUPER ESPONJA KILO</v>
          </cell>
          <cell r="C277" t="str">
            <v xml:space="preserve">ESP-RE-PRES-034 </v>
          </cell>
          <cell r="D277" t="str">
            <v>05</v>
          </cell>
          <cell r="E277" t="str">
            <v>Kilo</v>
          </cell>
          <cell r="F277" t="str">
            <v>Gramo</v>
          </cell>
          <cell r="G277">
            <v>7.8250000000000002</v>
          </cell>
          <cell r="H277">
            <v>7.8250000000000004E-3</v>
          </cell>
          <cell r="I277">
            <v>36.582167664670656</v>
          </cell>
          <cell r="J277">
            <v>3.6582167664670658E-2</v>
          </cell>
          <cell r="K277">
            <v>7.9932901796407183</v>
          </cell>
          <cell r="L277">
            <v>7.9932901796407191E-3</v>
          </cell>
          <cell r="M277">
            <v>52.400457844311376</v>
          </cell>
        </row>
        <row r="278">
          <cell r="A278" t="str">
            <v>902000001</v>
          </cell>
          <cell r="B278" t="str">
            <v>BATIDO SUPER ESPONJA KILO</v>
          </cell>
          <cell r="C278" t="str">
            <v>ESP-RE-BAS-080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1524.8770477866603</v>
          </cell>
          <cell r="H278">
            <v>1.5248770477866604</v>
          </cell>
          <cell r="I278">
            <v>0.11130476977080322</v>
          </cell>
          <cell r="J278">
            <v>1.1130476977080323E-4</v>
          </cell>
          <cell r="K278">
            <v>274.4979034601576</v>
          </cell>
          <cell r="L278">
            <v>0.27449790346015762</v>
          </cell>
          <cell r="M278">
            <v>1799.4862560165889</v>
          </cell>
        </row>
        <row r="279">
          <cell r="A279" t="str">
            <v>907000237</v>
          </cell>
          <cell r="B279" t="str">
            <v>ROSQUETE SUPER ESPONJA 380G</v>
          </cell>
          <cell r="C279" t="str">
            <v>ESP-RE-BAS-105</v>
          </cell>
          <cell r="D279" t="str">
            <v>03</v>
          </cell>
          <cell r="E279" t="str">
            <v>Und</v>
          </cell>
          <cell r="F279" t="str">
            <v>Und</v>
          </cell>
          <cell r="G279">
            <v>594.31702215033408</v>
          </cell>
          <cell r="H279">
            <v>594.31702215033408</v>
          </cell>
          <cell r="I279">
            <v>4.9705349976953173</v>
          </cell>
          <cell r="J279">
            <v>4.9705349976953173</v>
          </cell>
          <cell r="K279">
            <v>107.87176028664528</v>
          </cell>
          <cell r="L279">
            <v>107.87176028664528</v>
          </cell>
          <cell r="M279">
            <v>707.15931743467468</v>
          </cell>
        </row>
        <row r="280">
          <cell r="A280" t="str">
            <v>905000064</v>
          </cell>
          <cell r="B280" t="str">
            <v>CREMA CHANTILLY VERDE OSCURO KILO</v>
          </cell>
          <cell r="C280" t="str">
            <v>ESP-RE-DES-079</v>
          </cell>
          <cell r="D280" t="str">
            <v>02</v>
          </cell>
          <cell r="E280" t="str">
            <v>Kilo</v>
          </cell>
          <cell r="F280" t="str">
            <v>Gramo</v>
          </cell>
          <cell r="G280">
            <v>2088.451749529042</v>
          </cell>
          <cell r="H280">
            <v>2.088451749529042</v>
          </cell>
          <cell r="I280">
            <v>0</v>
          </cell>
          <cell r="J280">
            <v>0</v>
          </cell>
          <cell r="K280">
            <v>375.92131491522753</v>
          </cell>
          <cell r="L280">
            <v>0.37592131491522751</v>
          </cell>
          <cell r="M280">
            <v>2464.3730644442694</v>
          </cell>
        </row>
        <row r="281">
          <cell r="A281" t="str">
            <v>905000062</v>
          </cell>
          <cell r="B281" t="str">
            <v>CREMA CHANTILLY AZUL ELECTRICO KILO</v>
          </cell>
          <cell r="C281" t="str">
            <v>ESP-RE-DES-083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2106.4737275510201</v>
          </cell>
          <cell r="H281">
            <v>2.1064737275510201</v>
          </cell>
          <cell r="I281">
            <v>0</v>
          </cell>
          <cell r="J281">
            <v>0</v>
          </cell>
          <cell r="K281">
            <v>379.1652709591836</v>
          </cell>
          <cell r="L281">
            <v>0.37916527095918362</v>
          </cell>
          <cell r="M281">
            <v>2485.6389985102037</v>
          </cell>
        </row>
        <row r="282">
          <cell r="A282" t="str">
            <v>907000020</v>
          </cell>
          <cell r="B282" t="str">
            <v>MEZCLA FLAN CARAMELO SPOON (KILO)</v>
          </cell>
          <cell r="C282" t="str">
            <v xml:space="preserve">ESP-RE-POS-063 </v>
          </cell>
          <cell r="D282" t="str">
            <v>07</v>
          </cell>
          <cell r="E282" t="str">
            <v>Kilo</v>
          </cell>
          <cell r="F282" t="str">
            <v>Gramo</v>
          </cell>
          <cell r="G282">
            <v>1895.6035409803922</v>
          </cell>
          <cell r="H282">
            <v>1.8956035409803922</v>
          </cell>
          <cell r="I282">
            <v>0</v>
          </cell>
          <cell r="J282">
            <v>0</v>
          </cell>
          <cell r="K282">
            <v>341.20863737647056</v>
          </cell>
          <cell r="L282">
            <v>0.34120863737647056</v>
          </cell>
          <cell r="M282">
            <v>2236.8121783568627</v>
          </cell>
        </row>
        <row r="283">
          <cell r="A283" t="str">
            <v>907000030</v>
          </cell>
          <cell r="B283" t="str">
            <v>FLAN CARAMELO BUCCA UND</v>
          </cell>
          <cell r="C283" t="str">
            <v xml:space="preserve">ESP-RE-POS-068  </v>
          </cell>
          <cell r="D283" t="str">
            <v>01</v>
          </cell>
          <cell r="E283" t="str">
            <v>Und</v>
          </cell>
          <cell r="F283" t="str">
            <v>Und</v>
          </cell>
          <cell r="G283">
            <v>2947.0803114705886</v>
          </cell>
          <cell r="H283">
            <v>2947.0803114705886</v>
          </cell>
          <cell r="I283">
            <v>264.07400000000001</v>
          </cell>
          <cell r="J283">
            <v>264.07400000000001</v>
          </cell>
          <cell r="K283">
            <v>578.00777606470592</v>
          </cell>
          <cell r="L283">
            <v>578.00777606470592</v>
          </cell>
          <cell r="M283">
            <v>3789.1620875352946</v>
          </cell>
        </row>
        <row r="284">
          <cell r="A284" t="str">
            <v>910000009</v>
          </cell>
          <cell r="B284" t="str">
            <v>CHOCOLATE LECHE RALLADO (KILO)</v>
          </cell>
          <cell r="C284" t="str">
            <v xml:space="preserve">ESP-RE-DES-029 </v>
          </cell>
          <cell r="D284" t="str">
            <v>01</v>
          </cell>
          <cell r="E284" t="str">
            <v>Kilo</v>
          </cell>
          <cell r="F284" t="str">
            <v>Gramo</v>
          </cell>
          <cell r="G284">
            <v>4753.6442553191482</v>
          </cell>
          <cell r="H284">
            <v>4.7536442553191485</v>
          </cell>
          <cell r="I284">
            <v>7.5987841945288759</v>
          </cell>
          <cell r="J284">
            <v>7.5987841945288756E-3</v>
          </cell>
          <cell r="K284">
            <v>857.02374711246182</v>
          </cell>
          <cell r="L284">
            <v>0.85702374711246176</v>
          </cell>
          <cell r="M284">
            <v>5618.266786626139</v>
          </cell>
        </row>
        <row r="285">
          <cell r="A285" t="str">
            <v>903000133</v>
          </cell>
          <cell r="B285" t="str">
            <v>ROSQUETE CHOCOLATE PASTELERO REAL 650g</v>
          </cell>
          <cell r="C285" t="str">
            <v xml:space="preserve">ESP-RE-BAF-041 </v>
          </cell>
          <cell r="D285" t="str">
            <v>03</v>
          </cell>
          <cell r="E285" t="str">
            <v>Und</v>
          </cell>
          <cell r="F285" t="str">
            <v>Und</v>
          </cell>
          <cell r="G285">
            <v>749.58537155648878</v>
          </cell>
          <cell r="H285">
            <v>749.58537155648878</v>
          </cell>
          <cell r="I285">
            <v>13.93209514404295</v>
          </cell>
          <cell r="J285">
            <v>13.93209514404295</v>
          </cell>
          <cell r="K285">
            <v>137.43314400609572</v>
          </cell>
          <cell r="L285">
            <v>137.43314400609572</v>
          </cell>
          <cell r="M285">
            <v>900.95061070662746</v>
          </cell>
        </row>
        <row r="286">
          <cell r="A286" t="str">
            <v>907000026</v>
          </cell>
          <cell r="B286" t="str">
            <v>MEZCLA TRES LECHES Y KOLITA (LITRO)</v>
          </cell>
          <cell r="C286" t="str">
            <v>ESP-RE-DES-107</v>
          </cell>
          <cell r="D286" t="str">
            <v>03</v>
          </cell>
          <cell r="E286" t="str">
            <v>Kilo</v>
          </cell>
          <cell r="F286" t="str">
            <v>Gramo</v>
          </cell>
          <cell r="G286">
            <v>1403.1267052848862</v>
          </cell>
          <cell r="H286">
            <v>1.4031267052848861</v>
          </cell>
          <cell r="I286">
            <v>5.1399965120000006</v>
          </cell>
          <cell r="J286">
            <v>5.1399965120000005E-3</v>
          </cell>
          <cell r="K286">
            <v>253.48800632343949</v>
          </cell>
          <cell r="L286">
            <v>0.25348800632343949</v>
          </cell>
          <cell r="M286">
            <v>1661.7547081203256</v>
          </cell>
        </row>
        <row r="287">
          <cell r="A287" t="str">
            <v>910000030</v>
          </cell>
          <cell r="B287" t="str">
            <v>CREMA BLANCA C/SIROPE KOLITA KILO</v>
          </cell>
          <cell r="C287" t="str">
            <v xml:space="preserve">ESP-RE-DES-056 </v>
          </cell>
          <cell r="D287" t="str">
            <v>02</v>
          </cell>
          <cell r="E287" t="str">
            <v>Kilo</v>
          </cell>
          <cell r="F287" t="str">
            <v>Gramo</v>
          </cell>
          <cell r="G287">
            <v>1911.374784950179</v>
          </cell>
          <cell r="H287">
            <v>1.911374784950179</v>
          </cell>
          <cell r="I287">
            <v>2.7884615384615379E-2</v>
          </cell>
          <cell r="J287">
            <v>2.7884615384615379E-5</v>
          </cell>
          <cell r="K287">
            <v>344.05248052180144</v>
          </cell>
          <cell r="L287">
            <v>0.34405248052180143</v>
          </cell>
          <cell r="M287">
            <v>2255.4551500873649</v>
          </cell>
        </row>
        <row r="288">
          <cell r="A288" t="str">
            <v>905000045</v>
          </cell>
          <cell r="B288" t="str">
            <v>RELLENO LECHE CONDENSADA BUCCA KILO</v>
          </cell>
          <cell r="C288" t="str">
            <v>ESP-RE-POS-074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1997.2687037037035</v>
          </cell>
          <cell r="H288">
            <v>1.9972687037037036</v>
          </cell>
          <cell r="I288">
            <v>0</v>
          </cell>
          <cell r="J288">
            <v>0</v>
          </cell>
          <cell r="K288">
            <v>359.50836666666663</v>
          </cell>
          <cell r="L288">
            <v>0.35950836666666663</v>
          </cell>
          <cell r="M288">
            <v>2356.77707037037</v>
          </cell>
        </row>
        <row r="289">
          <cell r="A289" t="str">
            <v>902000095</v>
          </cell>
          <cell r="B289" t="str">
            <v>MEZCLA DE TRES LECHES ECONOMICA KILO</v>
          </cell>
          <cell r="C289" t="str">
            <v>ESP-RE-POF-161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1360.6472252544154</v>
          </cell>
          <cell r="H289">
            <v>1.3606472252544153</v>
          </cell>
          <cell r="I289">
            <v>0.5211723682539684</v>
          </cell>
          <cell r="J289">
            <v>5.2117236825396842E-4</v>
          </cell>
          <cell r="K289">
            <v>245.01031157208047</v>
          </cell>
          <cell r="L289">
            <v>0.24501031157208047</v>
          </cell>
          <cell r="M289">
            <v>1606.1787091947499</v>
          </cell>
        </row>
        <row r="290">
          <cell r="A290" t="str">
            <v>90100288</v>
          </cell>
          <cell r="B290" t="str">
            <v>RELLENO MELOCOTON BUCCA PLANTA</v>
          </cell>
          <cell r="C290" t="str">
            <v>ESP-RE-COCS-306</v>
          </cell>
          <cell r="D290" t="str">
            <v>03</v>
          </cell>
          <cell r="E290" t="str">
            <v>Kilo</v>
          </cell>
          <cell r="F290" t="str">
            <v>Gramo</v>
          </cell>
          <cell r="G290">
            <v>1107.8456548076924</v>
          </cell>
          <cell r="H290">
            <v>1.1078456548076925</v>
          </cell>
          <cell r="I290">
            <v>0</v>
          </cell>
          <cell r="J290">
            <v>0</v>
          </cell>
          <cell r="K290">
            <v>199.41221786538463</v>
          </cell>
          <cell r="L290">
            <v>0.19941221786538463</v>
          </cell>
          <cell r="M290">
            <v>1307.2578726730771</v>
          </cell>
        </row>
        <row r="291">
          <cell r="A291" t="str">
            <v>90100289</v>
          </cell>
          <cell r="B291" t="str">
            <v>EMPAQUE RELLENO MELOCOTON BUCCA KILO</v>
          </cell>
          <cell r="C291" t="str">
            <v>ESP-RE-EMPF-177</v>
          </cell>
          <cell r="D291" t="str">
            <v>01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3.1949999999999998</v>
          </cell>
          <cell r="J291">
            <v>3.1949999999999999E-3</v>
          </cell>
          <cell r="K291">
            <v>199.98731786538463</v>
          </cell>
          <cell r="L291">
            <v>0.19998731786538462</v>
          </cell>
          <cell r="M291">
            <v>1311.0279726730769</v>
          </cell>
        </row>
        <row r="292">
          <cell r="A292" t="str">
            <v>903000029</v>
          </cell>
          <cell r="B292" t="str">
            <v>ROSQUETE TRES LECHES 230g</v>
          </cell>
          <cell r="C292" t="str">
            <v>ESP-RE-BAS-042</v>
          </cell>
          <cell r="D292" t="str">
            <v>04</v>
          </cell>
          <cell r="E292" t="str">
            <v>UND</v>
          </cell>
          <cell r="F292" t="str">
            <v>Und</v>
          </cell>
          <cell r="G292">
            <v>227.57080872868772</v>
          </cell>
          <cell r="H292">
            <v>227.57080872868772</v>
          </cell>
          <cell r="I292">
            <v>7.1362826194139197</v>
          </cell>
          <cell r="J292">
            <v>7.1362826194139197</v>
          </cell>
          <cell r="K292">
            <v>42.247276442658297</v>
          </cell>
          <cell r="L292">
            <v>42.247276442658297</v>
          </cell>
          <cell r="M292">
            <v>276.95436779075993</v>
          </cell>
        </row>
        <row r="293">
          <cell r="A293" t="str">
            <v>907000211</v>
          </cell>
          <cell r="B293" t="str">
            <v>ROSQUETE MELO FROM SCRATCH 300 G</v>
          </cell>
          <cell r="C293" t="str">
            <v xml:space="preserve">ESP-RE-BAS-126 </v>
          </cell>
          <cell r="D293" t="str">
            <v>01</v>
          </cell>
          <cell r="E293" t="str">
            <v>Und</v>
          </cell>
          <cell r="F293" t="str">
            <v>Und</v>
          </cell>
          <cell r="G293">
            <v>367.930466934712</v>
          </cell>
          <cell r="H293">
            <v>367.930466934712</v>
          </cell>
          <cell r="I293">
            <v>4.8457582757763973</v>
          </cell>
          <cell r="J293">
            <v>4.8457582757763973</v>
          </cell>
          <cell r="K293">
            <v>67.099720537887904</v>
          </cell>
          <cell r="L293">
            <v>67.099720537887904</v>
          </cell>
          <cell r="M293">
            <v>439.8759457483763</v>
          </cell>
        </row>
        <row r="294">
          <cell r="A294" t="str">
            <v>903000048</v>
          </cell>
          <cell r="B294" t="str">
            <v>ROSQUETE VAINILLA PASTELERO REAL 1800g</v>
          </cell>
          <cell r="C294" t="str">
            <v>ESP-RE-BAF-014</v>
          </cell>
          <cell r="D294" t="str">
            <v>05</v>
          </cell>
          <cell r="E294" t="str">
            <v>Und</v>
          </cell>
          <cell r="F294" t="str">
            <v>Und</v>
          </cell>
          <cell r="G294">
            <v>1884.7508369673906</v>
          </cell>
          <cell r="H294">
            <v>1884.7508369673906</v>
          </cell>
          <cell r="I294">
            <v>13.821448779897347</v>
          </cell>
          <cell r="J294">
            <v>13.821448779897347</v>
          </cell>
          <cell r="K294">
            <v>341.7430114345118</v>
          </cell>
          <cell r="L294">
            <v>341.7430114345118</v>
          </cell>
          <cell r="M294">
            <v>2240.3152971817999</v>
          </cell>
        </row>
        <row r="295">
          <cell r="A295" t="str">
            <v>903000172</v>
          </cell>
          <cell r="B295" t="str">
            <v xml:space="preserve">GALLETA CHILENA 17 CM </v>
          </cell>
          <cell r="C295" t="str">
            <v>ESP-RE-PAPS-181</v>
          </cell>
          <cell r="D295" t="str">
            <v>01</v>
          </cell>
          <cell r="E295" t="str">
            <v>Und</v>
          </cell>
          <cell r="F295" t="str">
            <v>Und</v>
          </cell>
          <cell r="G295">
            <v>81.350252751948759</v>
          </cell>
          <cell r="H295">
            <v>81.350252751948759</v>
          </cell>
          <cell r="I295">
            <v>0.27738457830000002</v>
          </cell>
          <cell r="J295">
            <v>0.27738457830000002</v>
          </cell>
          <cell r="K295">
            <v>14.692974719444777</v>
          </cell>
          <cell r="L295">
            <v>14.692974719444777</v>
          </cell>
          <cell r="M295">
            <v>96.320612049693537</v>
          </cell>
        </row>
        <row r="296">
          <cell r="A296" t="str">
            <v>910000005</v>
          </cell>
          <cell r="B296" t="str">
            <v>MEZCLA DULCE LECHE C/AGUA</v>
          </cell>
          <cell r="C296" t="str">
            <v>ESP-RE-DES-025</v>
          </cell>
          <cell r="D296" t="str">
            <v>01</v>
          </cell>
          <cell r="E296" t="str">
            <v>Kilo</v>
          </cell>
          <cell r="F296" t="str">
            <v>Gramo</v>
          </cell>
          <cell r="G296">
            <v>1785.5263333333332</v>
          </cell>
          <cell r="H296">
            <v>1.7855263333333333</v>
          </cell>
          <cell r="I296">
            <v>1.8771333333333331</v>
          </cell>
          <cell r="J296">
            <v>1.8771333333333332E-3</v>
          </cell>
          <cell r="K296">
            <v>321.73262399999999</v>
          </cell>
          <cell r="L296">
            <v>0.32173262399999997</v>
          </cell>
          <cell r="M296">
            <v>2109.1360906666669</v>
          </cell>
        </row>
        <row r="297">
          <cell r="A297" t="str">
            <v>907000226</v>
          </cell>
          <cell r="B297" t="str">
            <v>ROSQUETE CHOCOLATE BUCCA 800 g</v>
          </cell>
          <cell r="C297" t="str">
            <v xml:space="preserve">ESP-RE-BAF-086 </v>
          </cell>
          <cell r="D297" t="str">
            <v>02</v>
          </cell>
          <cell r="E297" t="str">
            <v>Und</v>
          </cell>
          <cell r="F297" t="str">
            <v>Und</v>
          </cell>
          <cell r="G297">
            <v>988.19211969831554</v>
          </cell>
          <cell r="H297">
            <v>988.19211969831554</v>
          </cell>
          <cell r="I297">
            <v>14.396438226190476</v>
          </cell>
          <cell r="J297">
            <v>14.396438226190476</v>
          </cell>
          <cell r="K297">
            <v>180.46594042641109</v>
          </cell>
          <cell r="L297">
            <v>180.46594042641109</v>
          </cell>
          <cell r="M297">
            <v>1183.0544983509171</v>
          </cell>
        </row>
        <row r="298">
          <cell r="A298" t="str">
            <v>90100195</v>
          </cell>
          <cell r="B298" t="str">
            <v>ROSQUETE TRES LECHES WALMART 300 g</v>
          </cell>
          <cell r="C298" t="str">
            <v>ESP-RE-BAF-069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315.02196298040366</v>
          </cell>
          <cell r="H298">
            <v>315.02196298040366</v>
          </cell>
          <cell r="I298">
            <v>214.97104015714285</v>
          </cell>
          <cell r="J298">
            <v>214.97104015714285</v>
          </cell>
          <cell r="K298">
            <v>95.398740564758384</v>
          </cell>
          <cell r="L298">
            <v>95.398740564758384</v>
          </cell>
          <cell r="M298">
            <v>625.39174370230489</v>
          </cell>
        </row>
        <row r="299">
          <cell r="A299" t="str">
            <v>907000117</v>
          </cell>
          <cell r="B299" t="str">
            <v>ROSQUETE CHOCOLATE BUCCA 280 g</v>
          </cell>
          <cell r="C299" t="str">
            <v>ESP-RE-BAF-016</v>
          </cell>
          <cell r="D299" t="str">
            <v>05</v>
          </cell>
          <cell r="E299" t="str">
            <v>Und</v>
          </cell>
          <cell r="F299" t="str">
            <v>Und</v>
          </cell>
          <cell r="G299">
            <v>346.10629783755019</v>
          </cell>
          <cell r="H299">
            <v>346.10629783755019</v>
          </cell>
          <cell r="I299">
            <v>2.7523336539264829</v>
          </cell>
          <cell r="J299">
            <v>2.7523336539264829</v>
          </cell>
          <cell r="K299">
            <v>62.794553668465795</v>
          </cell>
          <cell r="L299">
            <v>62.794553668465795</v>
          </cell>
          <cell r="M299">
            <v>411.6531851599425</v>
          </cell>
        </row>
        <row r="300">
          <cell r="A300" t="str">
            <v>909000039</v>
          </cell>
          <cell r="B300" t="str">
            <v>ENSAMBLE FLAN CARAMEL RECT BUC 1200G</v>
          </cell>
          <cell r="C300" t="str">
            <v>ESP-RE-POF-095</v>
          </cell>
          <cell r="D300" t="str">
            <v>01</v>
          </cell>
          <cell r="E300" t="str">
            <v>Und</v>
          </cell>
          <cell r="F300" t="str">
            <v>Und</v>
          </cell>
          <cell r="G300">
            <v>2730.6412536688458</v>
          </cell>
          <cell r="H300">
            <v>2730.6412536688458</v>
          </cell>
          <cell r="I300">
            <v>0</v>
          </cell>
          <cell r="J300">
            <v>0</v>
          </cell>
          <cell r="K300">
            <v>491.51542566039222</v>
          </cell>
          <cell r="L300">
            <v>491.51542566039222</v>
          </cell>
          <cell r="M300">
            <v>3222.1566793292382</v>
          </cell>
        </row>
        <row r="301">
          <cell r="A301" t="str">
            <v>90100284</v>
          </cell>
          <cell r="B301" t="str">
            <v>RELLENO DE FRESA ESPESA PLANTA KILO</v>
          </cell>
          <cell r="C301" t="str">
            <v xml:space="preserve">ESP-RE-COCS-302 </v>
          </cell>
          <cell r="D301" t="str">
            <v>02</v>
          </cell>
          <cell r="E301" t="str">
            <v>Kilo</v>
          </cell>
          <cell r="F301" t="str">
            <v>Gramo</v>
          </cell>
          <cell r="G301">
            <v>1586.9835367311234</v>
          </cell>
          <cell r="H301">
            <v>1.5869835367311234</v>
          </cell>
          <cell r="I301">
            <v>5.9657314774988599</v>
          </cell>
          <cell r="J301">
            <v>5.9657314774988601E-3</v>
          </cell>
          <cell r="K301">
            <v>286.73086827755202</v>
          </cell>
          <cell r="L301">
            <v>0.28673086827755201</v>
          </cell>
          <cell r="M301">
            <v>1879.6801364861742</v>
          </cell>
        </row>
        <row r="302">
          <cell r="A302" t="str">
            <v>20100115</v>
          </cell>
          <cell r="B302" t="str">
            <v>EMPAQ RELLENO DE FRESA ESPESA KILO</v>
          </cell>
          <cell r="C302" t="str">
            <v>ESP-RE-EMPS-195</v>
          </cell>
          <cell r="D302" t="str">
            <v>01</v>
          </cell>
          <cell r="E302" t="str">
            <v>Kilo</v>
          </cell>
          <cell r="F302" t="str">
            <v>Gramo</v>
          </cell>
          <cell r="G302">
            <v>1586.9835367311234</v>
          </cell>
          <cell r="H302">
            <v>1.5869835367311234</v>
          </cell>
          <cell r="I302">
            <v>13.264588620356001</v>
          </cell>
          <cell r="J302">
            <v>1.3264588620356002E-2</v>
          </cell>
          <cell r="K302">
            <v>288.04466256326629</v>
          </cell>
          <cell r="L302">
            <v>0.28804466256326627</v>
          </cell>
          <cell r="M302">
            <v>1888.2927879147458</v>
          </cell>
        </row>
        <row r="303">
          <cell r="A303" t="str">
            <v>907000027</v>
          </cell>
          <cell r="B303" t="str">
            <v>CARAMELO CROCANTE KILO</v>
          </cell>
          <cell r="C303" t="str">
            <v>ESP-RE-POS-100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760.28333333333364</v>
          </cell>
          <cell r="H303">
            <v>0.76028333333333364</v>
          </cell>
          <cell r="I303">
            <v>12</v>
          </cell>
          <cell r="J303">
            <v>1.2E-2</v>
          </cell>
          <cell r="K303">
            <v>139.01100000000005</v>
          </cell>
          <cell r="L303">
            <v>0.13901100000000005</v>
          </cell>
          <cell r="M303">
            <v>911.29433333333373</v>
          </cell>
        </row>
        <row r="304">
          <cell r="A304" t="str">
            <v>907000025</v>
          </cell>
          <cell r="B304" t="str">
            <v>CARAMELO C/CHOCOLATE BLANCO KILO</v>
          </cell>
          <cell r="C304" t="str">
            <v>ESP-RE-POS-099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2137.6972222222221</v>
          </cell>
          <cell r="H304">
            <v>2.1376972222222221</v>
          </cell>
          <cell r="I304" t="e">
            <v>#N/A</v>
          </cell>
          <cell r="J304" t="e">
            <v>#N/A</v>
          </cell>
          <cell r="K304" t="e">
            <v>#N/A</v>
          </cell>
          <cell r="L304" t="e">
            <v>#N/A</v>
          </cell>
          <cell r="M304" t="e">
            <v>#N/A</v>
          </cell>
        </row>
        <row r="305">
          <cell r="A305" t="str">
            <v>905000100</v>
          </cell>
          <cell r="B305" t="str">
            <v>CREMA CHANTILLY LILA KILO</v>
          </cell>
          <cell r="C305">
            <v>0</v>
          </cell>
          <cell r="D305">
            <v>0</v>
          </cell>
          <cell r="E305" t="str">
            <v>Kilo</v>
          </cell>
          <cell r="F305" t="str">
            <v>Gramo</v>
          </cell>
          <cell r="G305">
            <v>1999.6630882026627</v>
          </cell>
          <cell r="H305">
            <v>1.9996630882026627</v>
          </cell>
          <cell r="I305">
            <v>0.10230769230769231</v>
          </cell>
          <cell r="J305">
            <v>1.023076923076923E-4</v>
          </cell>
          <cell r="K305">
            <v>359.95777126109465</v>
          </cell>
          <cell r="L305">
            <v>0.35995777126109463</v>
          </cell>
          <cell r="M305">
            <v>2359.7231671560648</v>
          </cell>
        </row>
        <row r="306">
          <cell r="A306" t="str">
            <v>905000101</v>
          </cell>
          <cell r="B306" t="str">
            <v>CREMA CHANTILLY MORADO BARNIE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2017.4145674926037</v>
          </cell>
          <cell r="H306">
            <v>2.0174145674926036</v>
          </cell>
          <cell r="I306">
            <v>0.10230769230769231</v>
          </cell>
          <cell r="J306">
            <v>1.023076923076923E-4</v>
          </cell>
          <cell r="K306">
            <v>363.15303753328402</v>
          </cell>
          <cell r="L306">
            <v>0.36315303753328404</v>
          </cell>
          <cell r="M306">
            <v>2380.6699127181955</v>
          </cell>
        </row>
        <row r="307">
          <cell r="A307" t="str">
            <v>911000002</v>
          </cell>
          <cell r="B307" t="str">
            <v>TEMPERADO CHOCOLATE BLANCO (KILO)</v>
          </cell>
          <cell r="C307" t="str">
            <v xml:space="preserve">ESP-RE-FIS-004 </v>
          </cell>
          <cell r="D307" t="str">
            <v>02</v>
          </cell>
          <cell r="E307" t="str">
            <v>Kilo</v>
          </cell>
          <cell r="F307" t="str">
            <v>Gramo</v>
          </cell>
          <cell r="G307" t="e">
            <v>#N/A</v>
          </cell>
          <cell r="H307" t="e">
            <v>#N/A</v>
          </cell>
          <cell r="I307">
            <v>3.61</v>
          </cell>
          <cell r="J307">
            <v>3.6099999999999999E-3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904000034</v>
          </cell>
          <cell r="B308" t="str">
            <v xml:space="preserve">ALFAJOR C/ DULCE LECHE STB UND </v>
          </cell>
          <cell r="C308" t="str">
            <v xml:space="preserve">ESP-RE-FIS-014 </v>
          </cell>
          <cell r="D308" t="str">
            <v>04</v>
          </cell>
          <cell r="E308" t="str">
            <v>Und</v>
          </cell>
          <cell r="F308" t="str">
            <v>Und</v>
          </cell>
          <cell r="G308" t="e">
            <v>#N/A</v>
          </cell>
          <cell r="H308" t="e">
            <v>#N/A</v>
          </cell>
          <cell r="I308">
            <v>0.22831198744716519</v>
          </cell>
          <cell r="J308">
            <v>0.22831198744716519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910000017</v>
          </cell>
          <cell r="B309" t="str">
            <v>CREMA BLANCA C/CAFE (KILO)</v>
          </cell>
          <cell r="C309" t="str">
            <v>ESP-RE-DES-129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1958.6111627906973</v>
          </cell>
          <cell r="H309">
            <v>1.9586111627906972</v>
          </cell>
          <cell r="I309">
            <v>0.10203788060417167</v>
          </cell>
          <cell r="J309">
            <v>1.0203788060417167E-4</v>
          </cell>
          <cell r="K309">
            <v>352.56837612083427</v>
          </cell>
          <cell r="L309">
            <v>0.35256837612083425</v>
          </cell>
          <cell r="M309">
            <v>2311.2815767921356</v>
          </cell>
        </row>
        <row r="310">
          <cell r="A310" t="str">
            <v>910000004</v>
          </cell>
          <cell r="B310" t="str">
            <v>MEZCLA LICOR CAFE C/ALMIBAR (KILO)</v>
          </cell>
          <cell r="C310" t="str">
            <v>ESP-RE-DES-128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4180.7610017049992</v>
          </cell>
          <cell r="H310">
            <v>4.1807610017049992</v>
          </cell>
          <cell r="I310">
            <v>8.0475165999999998</v>
          </cell>
          <cell r="J310">
            <v>8.0475166000000004E-3</v>
          </cell>
          <cell r="K310">
            <v>753.98553329489982</v>
          </cell>
          <cell r="L310">
            <v>0.75398553329489981</v>
          </cell>
          <cell r="M310">
            <v>4942.7940515998989</v>
          </cell>
        </row>
        <row r="311">
          <cell r="A311" t="str">
            <v>90100030</v>
          </cell>
          <cell r="B311" t="str">
            <v>COCCION CARNE MECHADA FAS KILO</v>
          </cell>
          <cell r="C311" t="str">
            <v xml:space="preserve">ESP-RE-COCS-162 </v>
          </cell>
          <cell r="D311" t="str">
            <v>01</v>
          </cell>
          <cell r="E311" t="str">
            <v>Kilo</v>
          </cell>
          <cell r="F311" t="str">
            <v>Gramo</v>
          </cell>
          <cell r="G311" t="e">
            <v>#N/A</v>
          </cell>
          <cell r="H311" t="e">
            <v>#N/A</v>
          </cell>
          <cell r="I311">
            <v>3.2909935272744768</v>
          </cell>
          <cell r="J311">
            <v>3.290993527274477E-3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90100015</v>
          </cell>
          <cell r="B312" t="str">
            <v>RELLENO POLLO BUCCA P/PASTEL KILO</v>
          </cell>
          <cell r="C312" t="str">
            <v>ESP-RE-COCS-169</v>
          </cell>
          <cell r="D312" t="str">
            <v>02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8.0785692928773436</v>
          </cell>
          <cell r="J312">
            <v>8.0785692928773429E-3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905000038</v>
          </cell>
          <cell r="B313" t="str">
            <v>RELLENO PECANA STB (KILO)</v>
          </cell>
          <cell r="C313" t="str">
            <v>ESP-RE-POS-056</v>
          </cell>
          <cell r="D313" t="str">
            <v>05</v>
          </cell>
          <cell r="E313" t="str">
            <v>Kilo</v>
          </cell>
          <cell r="F313" t="str">
            <v>Gramo</v>
          </cell>
          <cell r="G313">
            <v>1694.3513808447208</v>
          </cell>
          <cell r="H313">
            <v>1.6943513808447208</v>
          </cell>
          <cell r="I313">
            <v>3.4346356154537285</v>
          </cell>
          <cell r="J313">
            <v>3.4346356154537285E-3</v>
          </cell>
          <cell r="K313">
            <v>305.60148296283143</v>
          </cell>
          <cell r="L313">
            <v>0.30560148296283141</v>
          </cell>
          <cell r="M313">
            <v>2003.3874994230059</v>
          </cell>
        </row>
        <row r="314">
          <cell r="A314" t="str">
            <v>907000019</v>
          </cell>
          <cell r="B314" t="str">
            <v>BASE GALLETA P/BARRA PECANA STB KILO</v>
          </cell>
          <cell r="C314" t="str">
            <v xml:space="preserve">ESP-RE-POS-055 </v>
          </cell>
          <cell r="D314" t="str">
            <v>02</v>
          </cell>
          <cell r="E314" t="str">
            <v>Kilo</v>
          </cell>
          <cell r="F314" t="str">
            <v>Gramo</v>
          </cell>
          <cell r="G314">
            <v>2349.4092006711408</v>
          </cell>
          <cell r="H314">
            <v>2.3494092006711407</v>
          </cell>
          <cell r="I314">
            <v>40.736495499999997</v>
          </cell>
          <cell r="J314">
            <v>4.0736495499999997E-2</v>
          </cell>
          <cell r="K314">
            <v>430.22622531080526</v>
          </cell>
          <cell r="L314">
            <v>0.43022622531080529</v>
          </cell>
          <cell r="M314">
            <v>2820.3719214819457</v>
          </cell>
        </row>
        <row r="315">
          <cell r="A315" t="str">
            <v>902000099</v>
          </cell>
          <cell r="B315" t="str">
            <v>PLANCHA P/BARRA PECANAS STB UND</v>
          </cell>
          <cell r="C315" t="str">
            <v xml:space="preserve">ESP-RE-POS-057 </v>
          </cell>
          <cell r="D315" t="str">
            <v>05</v>
          </cell>
          <cell r="E315" t="str">
            <v>Und</v>
          </cell>
          <cell r="F315" t="str">
            <v>Und</v>
          </cell>
          <cell r="G315">
            <v>2265.2677573273386</v>
          </cell>
          <cell r="H315">
            <v>2265.2677573273386</v>
          </cell>
          <cell r="I315">
            <v>18.973613980053909</v>
          </cell>
          <cell r="J315">
            <v>18.973613980053909</v>
          </cell>
          <cell r="K315">
            <v>411.1634468353306</v>
          </cell>
          <cell r="L315">
            <v>411.1634468353306</v>
          </cell>
          <cell r="M315">
            <v>2695.4048181427229</v>
          </cell>
        </row>
        <row r="316">
          <cell r="A316" t="str">
            <v>907000008</v>
          </cell>
          <cell r="B316" t="str">
            <v>MEZCLA P/CUATRO LECHES (KILO)</v>
          </cell>
          <cell r="C316" t="str">
            <v>ESP-RE-POS-021</v>
          </cell>
          <cell r="D316" t="str">
            <v>02</v>
          </cell>
          <cell r="E316" t="str">
            <v>Kilo</v>
          </cell>
          <cell r="F316" t="str">
            <v>Gramo</v>
          </cell>
          <cell r="G316">
            <v>1480.4822099935559</v>
          </cell>
          <cell r="H316">
            <v>1.480482209993556</v>
          </cell>
          <cell r="I316">
            <v>8.8886066612174144</v>
          </cell>
          <cell r="J316">
            <v>8.8886066612174144E-3</v>
          </cell>
          <cell r="K316">
            <v>268.08674699785917</v>
          </cell>
          <cell r="L316">
            <v>0.26808674699785917</v>
          </cell>
          <cell r="M316">
            <v>1757.4575636526324</v>
          </cell>
        </row>
        <row r="317">
          <cell r="A317" t="str">
            <v>903000045</v>
          </cell>
          <cell r="B317" t="str">
            <v>ROSQUETE CHOCOLATE PASTELERO REAL 1800g</v>
          </cell>
          <cell r="C317" t="str">
            <v>ESP-RE-BAF-010</v>
          </cell>
          <cell r="D317" t="str">
            <v>05</v>
          </cell>
          <cell r="E317" t="str">
            <v>Und</v>
          </cell>
          <cell r="F317" t="str">
            <v>Und</v>
          </cell>
          <cell r="G317">
            <v>2048.6088801505834</v>
          </cell>
          <cell r="H317">
            <v>2048.6088801505834</v>
          </cell>
          <cell r="I317">
            <v>27.45985484613222</v>
          </cell>
          <cell r="J317">
            <v>27.45985484613222</v>
          </cell>
          <cell r="K317">
            <v>373.69237229940882</v>
          </cell>
          <cell r="L317">
            <v>373.69237229940882</v>
          </cell>
          <cell r="M317">
            <v>2449.7611072961245</v>
          </cell>
        </row>
        <row r="318">
          <cell r="A318" t="str">
            <v>903000058</v>
          </cell>
          <cell r="B318" t="str">
            <v>MUFFIN NARANJA 90g UND</v>
          </cell>
          <cell r="C318" t="str">
            <v xml:space="preserve">ESP-RE-BAF-026 </v>
          </cell>
          <cell r="D318" t="str">
            <v>07</v>
          </cell>
          <cell r="E318" t="str">
            <v>Und</v>
          </cell>
          <cell r="F318" t="str">
            <v>Und</v>
          </cell>
          <cell r="G318" t="e">
            <v>#N/A</v>
          </cell>
          <cell r="H318" t="e">
            <v>#N/A</v>
          </cell>
          <cell r="I318">
            <v>7.391531301034294</v>
          </cell>
          <cell r="J318">
            <v>7.391531301034294</v>
          </cell>
          <cell r="K318" t="e">
            <v>#N/A</v>
          </cell>
          <cell r="L318" t="e">
            <v>#N/A</v>
          </cell>
          <cell r="M318" t="e">
            <v>#N/A</v>
          </cell>
        </row>
        <row r="319">
          <cell r="A319" t="str">
            <v>907000204</v>
          </cell>
          <cell r="B319" t="str">
            <v>PLANCHA CHOCOLATE PASTELERO REAL 1300g</v>
          </cell>
          <cell r="C319" t="str">
            <v>ESP-RE-BAF-067</v>
          </cell>
          <cell r="D319" t="str">
            <v>02</v>
          </cell>
          <cell r="E319" t="str">
            <v>Und</v>
          </cell>
          <cell r="F319" t="str">
            <v>Und</v>
          </cell>
          <cell r="G319">
            <v>1491.4711388547039</v>
          </cell>
          <cell r="H319">
            <v>1491.4711388547039</v>
          </cell>
          <cell r="I319">
            <v>16.166730011238602</v>
          </cell>
          <cell r="J319">
            <v>16.166730011238602</v>
          </cell>
          <cell r="K319">
            <v>271.37481639586963</v>
          </cell>
          <cell r="L319">
            <v>271.37481639586963</v>
          </cell>
          <cell r="M319">
            <v>1779.0126852618121</v>
          </cell>
        </row>
        <row r="320">
          <cell r="A320" t="str">
            <v>906000118</v>
          </cell>
          <cell r="B320" t="str">
            <v xml:space="preserve">PREMEZCLA BATIDO SUPER ESPONJA KALUA </v>
          </cell>
          <cell r="C320" t="str">
            <v>ESP-RE-PRES-118</v>
          </cell>
          <cell r="D320" t="str">
            <v>03</v>
          </cell>
          <cell r="E320" t="str">
            <v>Kilo</v>
          </cell>
          <cell r="F320" t="str">
            <v>Gramo</v>
          </cell>
          <cell r="G320">
            <v>1940.9139784946237</v>
          </cell>
          <cell r="H320">
            <v>1.9409139784946237</v>
          </cell>
          <cell r="I320">
            <v>14.919636456733231</v>
          </cell>
          <cell r="J320">
            <v>1.4919636456733231E-2</v>
          </cell>
          <cell r="K320">
            <v>352.05005069124428</v>
          </cell>
          <cell r="L320">
            <v>0.35205005069124429</v>
          </cell>
          <cell r="M320">
            <v>2307.8836656426015</v>
          </cell>
        </row>
        <row r="321">
          <cell r="A321" t="str">
            <v>902000062</v>
          </cell>
          <cell r="B321" t="str">
            <v>MEZCLA FLAN COCO BUCCA KILO</v>
          </cell>
          <cell r="C321" t="str">
            <v>ESP-RE-POF-091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1160.4519913930706</v>
          </cell>
          <cell r="H321">
            <v>1.1604519913930706</v>
          </cell>
          <cell r="I321">
            <v>1.4375859649122806</v>
          </cell>
          <cell r="J321">
            <v>1.4375859649122806E-3</v>
          </cell>
          <cell r="K321">
            <v>209.14012392443692</v>
          </cell>
          <cell r="L321">
            <v>0.20914012392443693</v>
          </cell>
          <cell r="M321">
            <v>1371.0297012824199</v>
          </cell>
        </row>
        <row r="322">
          <cell r="A322" t="str">
            <v>907000029</v>
          </cell>
          <cell r="B322" t="str">
            <v>FLAN COCO BUCCA UND</v>
          </cell>
          <cell r="C322" t="str">
            <v>ESP-RE-POS-067</v>
          </cell>
          <cell r="D322" t="str">
            <v>06</v>
          </cell>
          <cell r="E322" t="str">
            <v>Und</v>
          </cell>
          <cell r="F322" t="str">
            <v>Und</v>
          </cell>
          <cell r="G322">
            <v>1686.069824987336</v>
          </cell>
          <cell r="H322">
            <v>1686.069824987336</v>
          </cell>
          <cell r="I322">
            <v>2.0126203508771927</v>
          </cell>
          <cell r="J322">
            <v>2.0126203508771927</v>
          </cell>
          <cell r="K322">
            <v>303.85484016087833</v>
          </cell>
          <cell r="L322">
            <v>303.85484016087833</v>
          </cell>
          <cell r="M322">
            <v>1991.9372854990916</v>
          </cell>
        </row>
        <row r="323">
          <cell r="A323" t="str">
            <v>904000045</v>
          </cell>
          <cell r="B323" t="str">
            <v>SALSA ROJA ECONOMICA IND</v>
          </cell>
          <cell r="C323" t="str">
            <v>ESP-RE-COCS-063</v>
          </cell>
          <cell r="D323" t="str">
            <v>03</v>
          </cell>
          <cell r="E323" t="str">
            <v>Kilo</v>
          </cell>
          <cell r="F323" t="str">
            <v>Gramo</v>
          </cell>
          <cell r="G323" t="e">
            <v>#N/A</v>
          </cell>
          <cell r="H323" t="e">
            <v>#N/A</v>
          </cell>
          <cell r="I323">
            <v>0.17013942857142858</v>
          </cell>
          <cell r="J323">
            <v>1.7013942857142857E-4</v>
          </cell>
          <cell r="K323" t="e">
            <v>#N/A</v>
          </cell>
          <cell r="L323" t="e">
            <v>#N/A</v>
          </cell>
          <cell r="M323" t="e">
            <v>#N/A</v>
          </cell>
        </row>
        <row r="324">
          <cell r="A324" t="str">
            <v>302000073</v>
          </cell>
          <cell r="B324" t="str">
            <v>EMP SALSA ROJA ECONOMICA 3000G FAS</v>
          </cell>
          <cell r="C324" t="str">
            <v>ESP-RE-EMPF-015</v>
          </cell>
          <cell r="D324" t="str">
            <v>01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4.3875394285714284</v>
          </cell>
          <cell r="J324">
            <v>4.3875394285714285E-3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901000001</v>
          </cell>
          <cell r="B325" t="str">
            <v>RELLENO CARNE P/LASAÑA BUCCA KILO</v>
          </cell>
          <cell r="C325" t="str">
            <v>ESP-RE-COCS-172</v>
          </cell>
          <cell r="D325" t="str">
            <v>02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3.135088152380952</v>
          </cell>
          <cell r="J325">
            <v>3.1350881523809519E-3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905000078</v>
          </cell>
          <cell r="B326" t="str">
            <v>CREMA LIQUIDA ROJA P/MARMOLEAR (KILO)</v>
          </cell>
          <cell r="C326" t="str">
            <v>ESP-RE-DES-098</v>
          </cell>
          <cell r="D326" t="str">
            <v>01</v>
          </cell>
          <cell r="E326" t="str">
            <v>Kilo</v>
          </cell>
          <cell r="F326" t="str">
            <v>Gramo</v>
          </cell>
          <cell r="G326">
            <v>1975.5029585798816</v>
          </cell>
          <cell r="H326">
            <v>1.9755029585798816</v>
          </cell>
          <cell r="I326">
            <v>15.384615384615387</v>
          </cell>
          <cell r="J326">
            <v>1.5384615384615387E-2</v>
          </cell>
          <cell r="K326">
            <v>358.35976331360945</v>
          </cell>
          <cell r="L326">
            <v>0.35835976331360947</v>
          </cell>
          <cell r="M326">
            <v>2349.2473372781064</v>
          </cell>
        </row>
        <row r="327">
          <cell r="A327" t="str">
            <v>907000033</v>
          </cell>
          <cell r="B327" t="str">
            <v>PIE LIMON P/PORCIONAR 1100G</v>
          </cell>
          <cell r="C327" t="str">
            <v>ESP-RE-POS-064</v>
          </cell>
          <cell r="D327" t="str">
            <v>01</v>
          </cell>
          <cell r="E327" t="str">
            <v>Und</v>
          </cell>
          <cell r="F327" t="str">
            <v>Und</v>
          </cell>
          <cell r="G327">
            <v>2126.7325022724899</v>
          </cell>
          <cell r="H327">
            <v>2126.7325022724899</v>
          </cell>
          <cell r="I327">
            <v>0.24534570904573341</v>
          </cell>
          <cell r="J327">
            <v>0.24534570904573341</v>
          </cell>
          <cell r="K327">
            <v>382.85601263667638</v>
          </cell>
          <cell r="L327">
            <v>382.85601263667638</v>
          </cell>
          <cell r="M327">
            <v>2509.8338606182119</v>
          </cell>
        </row>
        <row r="328">
          <cell r="A328" t="str">
            <v>907000010</v>
          </cell>
          <cell r="B328" t="str">
            <v>MEZCLA P/CUATRO LECHES CHOCOLATE (KILO)</v>
          </cell>
          <cell r="C328" t="str">
            <v>ESP-RE-POS-023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2223.0524896004658</v>
          </cell>
          <cell r="H328">
            <v>2.223052489600466</v>
          </cell>
          <cell r="I328">
            <v>15.039097569340143</v>
          </cell>
          <cell r="J328">
            <v>1.5039097569340142E-2</v>
          </cell>
          <cell r="K328">
            <v>402.85648569056508</v>
          </cell>
          <cell r="L328">
            <v>0.40285648569056509</v>
          </cell>
          <cell r="M328">
            <v>2640.9480728603712</v>
          </cell>
        </row>
        <row r="329">
          <cell r="A329" t="str">
            <v>905000003</v>
          </cell>
          <cell r="B329" t="str">
            <v>RELLENO POLLO P/CREPA (KILO)</v>
          </cell>
          <cell r="C329" t="str">
            <v>ESP-RE-COCS-059</v>
          </cell>
          <cell r="D329" t="str">
            <v>09</v>
          </cell>
          <cell r="E329" t="str">
            <v>Kilo</v>
          </cell>
          <cell r="F329" t="str">
            <v>Gramo</v>
          </cell>
          <cell r="G329">
            <v>3064.3852603616847</v>
          </cell>
          <cell r="H329">
            <v>3.0643852603616848</v>
          </cell>
          <cell r="I329">
            <v>18.514549943043477</v>
          </cell>
          <cell r="J329">
            <v>1.8514549943043478E-2</v>
          </cell>
          <cell r="K329">
            <v>554.92196585485112</v>
          </cell>
          <cell r="L329">
            <v>0.5549219658548511</v>
          </cell>
          <cell r="M329">
            <v>3637.8217761595797</v>
          </cell>
        </row>
        <row r="330">
          <cell r="A330" t="str">
            <v>906000089</v>
          </cell>
          <cell r="B330" t="str">
            <v>PREMEZCLA BATIDO  VAINILLA BUCCA</v>
          </cell>
          <cell r="C330" t="str">
            <v>ESP-RE-PRES-073</v>
          </cell>
          <cell r="D330" t="str">
            <v>13</v>
          </cell>
          <cell r="E330" t="str">
            <v>Kilo</v>
          </cell>
          <cell r="F330" t="str">
            <v>Gramo</v>
          </cell>
          <cell r="G330">
            <v>811.42293346774204</v>
          </cell>
          <cell r="H330">
            <v>0.81142293346774208</v>
          </cell>
          <cell r="I330">
            <v>7.3911290322580649</v>
          </cell>
          <cell r="J330">
            <v>7.3911290322580649E-3</v>
          </cell>
          <cell r="K330">
            <v>147.38653125000002</v>
          </cell>
          <cell r="L330">
            <v>0.14738653125000001</v>
          </cell>
          <cell r="M330">
            <v>966.20059375000005</v>
          </cell>
        </row>
        <row r="331">
          <cell r="A331" t="str">
            <v>907000114</v>
          </cell>
          <cell r="B331" t="str">
            <v xml:space="preserve">BATIDO VAINILLA PURATOS SACO ROSADO </v>
          </cell>
          <cell r="C331" t="str">
            <v>ESP-RE-BAF-005</v>
          </cell>
          <cell r="D331" t="str">
            <v>05</v>
          </cell>
          <cell r="E331" t="str">
            <v>Kilo</v>
          </cell>
          <cell r="F331" t="str">
            <v>Gramo</v>
          </cell>
          <cell r="G331">
            <v>918.63911545524559</v>
          </cell>
          <cell r="H331">
            <v>0.91863911545524557</v>
          </cell>
          <cell r="I331">
            <v>0.59069486404833838</v>
          </cell>
          <cell r="J331">
            <v>5.9069486404833842E-4</v>
          </cell>
          <cell r="K331">
            <v>165.46136585747291</v>
          </cell>
          <cell r="L331">
            <v>0.16546136585747293</v>
          </cell>
          <cell r="M331">
            <v>1084.6911761767669</v>
          </cell>
        </row>
        <row r="332">
          <cell r="A332" t="str">
            <v>903000043</v>
          </cell>
          <cell r="B332" t="str">
            <v>ROSQUETE VAINILLA PURATOS BUCCA 200g</v>
          </cell>
          <cell r="C332" t="str">
            <v>ESP-RE-BAF-007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190.83885527902652</v>
          </cell>
          <cell r="H332">
            <v>190.83885527902652</v>
          </cell>
          <cell r="I332">
            <v>2.9418587211981566</v>
          </cell>
          <cell r="J332">
            <v>2.9418587211981566</v>
          </cell>
          <cell r="K332">
            <v>34.880528520040436</v>
          </cell>
          <cell r="L332">
            <v>34.880528520040436</v>
          </cell>
          <cell r="M332">
            <v>228.66124252026509</v>
          </cell>
        </row>
        <row r="333">
          <cell r="A333" t="str">
            <v>90100143</v>
          </cell>
          <cell r="B333" t="str">
            <v>ROSQUETE VAINILLA PASTELERO REAL 1400g</v>
          </cell>
          <cell r="C333" t="str">
            <v>ESP-RE-BAF-079</v>
          </cell>
          <cell r="D333" t="str">
            <v>01</v>
          </cell>
          <cell r="E333" t="str">
            <v>Und</v>
          </cell>
          <cell r="F333" t="str">
            <v>Und</v>
          </cell>
          <cell r="G333">
            <v>1442.6753961162353</v>
          </cell>
          <cell r="H333">
            <v>1442.6753961162353</v>
          </cell>
          <cell r="I333">
            <v>15.508077391264223</v>
          </cell>
          <cell r="J333">
            <v>15.508077391264223</v>
          </cell>
          <cell r="K333">
            <v>262.47302523134988</v>
          </cell>
          <cell r="L333">
            <v>262.47302523134988</v>
          </cell>
          <cell r="M333">
            <v>1720.6564987388492</v>
          </cell>
        </row>
        <row r="334">
          <cell r="A334" t="str">
            <v>906000023</v>
          </cell>
          <cell r="B334" t="str">
            <v>CORTE GALLETAS MANTEQUILLA (UND)</v>
          </cell>
          <cell r="C334" t="str">
            <v>ESP-RE-PAPS-030</v>
          </cell>
          <cell r="D334" t="str">
            <v>04</v>
          </cell>
          <cell r="E334" t="str">
            <v>Und</v>
          </cell>
          <cell r="F334" t="str">
            <v>Und</v>
          </cell>
          <cell r="G334">
            <v>12.065953872050022</v>
          </cell>
          <cell r="H334">
            <v>12.065953872050022</v>
          </cell>
          <cell r="I334">
            <v>0.10596089832527475</v>
          </cell>
          <cell r="J334">
            <v>0.10596089832527475</v>
          </cell>
          <cell r="K334">
            <v>2.1909446586675534</v>
          </cell>
          <cell r="L334">
            <v>2.1909446586675534</v>
          </cell>
          <cell r="M334">
            <v>14.36285942904285</v>
          </cell>
        </row>
        <row r="335">
          <cell r="A335" t="str">
            <v>901000110</v>
          </cell>
          <cell r="B335" t="str">
            <v>RELLENO DE POLLO Y CEBOLLA KILO STB</v>
          </cell>
          <cell r="C335" t="str">
            <v>ESP-RE-COFF-064</v>
          </cell>
          <cell r="D335" t="str">
            <v>01</v>
          </cell>
          <cell r="E335" t="str">
            <v>Kilo</v>
          </cell>
          <cell r="F335" t="str">
            <v>Gramo</v>
          </cell>
          <cell r="G335">
            <v>3935.6252600089265</v>
          </cell>
          <cell r="H335">
            <v>3.9356252600089263</v>
          </cell>
          <cell r="I335">
            <v>47.66693209939308</v>
          </cell>
          <cell r="J335">
            <v>4.7666932099393079E-2</v>
          </cell>
          <cell r="K335">
            <v>716.99259457949756</v>
          </cell>
          <cell r="L335">
            <v>0.7169925945794976</v>
          </cell>
          <cell r="M335">
            <v>4700.2847866878174</v>
          </cell>
        </row>
        <row r="336">
          <cell r="A336" t="str">
            <v>90100091</v>
          </cell>
          <cell r="B336" t="str">
            <v>CEBOLLA CARAMELIZADA BLANCA KILO</v>
          </cell>
          <cell r="C336" t="str">
            <v xml:space="preserve">ESP-RE-COCS-220 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3395.1515647058827</v>
          </cell>
          <cell r="H336">
            <v>3.3951515647058828</v>
          </cell>
          <cell r="I336">
            <v>3.6559451428571434</v>
          </cell>
          <cell r="J336">
            <v>3.6559451428571435E-3</v>
          </cell>
          <cell r="K336">
            <v>611.78535177277308</v>
          </cell>
          <cell r="L336">
            <v>0.61178535177277305</v>
          </cell>
          <cell r="M336">
            <v>4010.5928616215128</v>
          </cell>
        </row>
        <row r="337">
          <cell r="A337" t="str">
            <v>903000162</v>
          </cell>
          <cell r="B337" t="str">
            <v xml:space="preserve">RUEDA FROLA EMPANADA POLLO Y CEBOLLA </v>
          </cell>
          <cell r="C337" t="str">
            <v>ESP-RE-PAPS-175</v>
          </cell>
          <cell r="D337" t="str">
            <v>01</v>
          </cell>
          <cell r="E337" t="str">
            <v>Und</v>
          </cell>
          <cell r="F337" t="str">
            <v>Und</v>
          </cell>
          <cell r="G337">
            <v>36.888477223440951</v>
          </cell>
          <cell r="H337">
            <v>36.888477223440951</v>
          </cell>
          <cell r="I337">
            <v>0.16227461858529818</v>
          </cell>
          <cell r="J337">
            <v>0.16227461858529818</v>
          </cell>
          <cell r="K337">
            <v>6.6691353315647248</v>
          </cell>
          <cell r="L337">
            <v>6.6691353315647248</v>
          </cell>
          <cell r="M337">
            <v>43.719887173590976</v>
          </cell>
        </row>
        <row r="338">
          <cell r="A338" t="str">
            <v>903000100</v>
          </cell>
          <cell r="B338" t="str">
            <v>EMPANADA POLLO Y CEBOLLA (85G)</v>
          </cell>
          <cell r="C338" t="str">
            <v>ESP-RE-PAPS-161</v>
          </cell>
          <cell r="D338" t="str">
            <v>03</v>
          </cell>
          <cell r="E338" t="str">
            <v>Und</v>
          </cell>
          <cell r="F338" t="str">
            <v>Und</v>
          </cell>
          <cell r="G338">
            <v>196.30439462603513</v>
          </cell>
          <cell r="H338">
            <v>196.30439462603513</v>
          </cell>
          <cell r="I338">
            <v>2.6097858589895924</v>
          </cell>
          <cell r="J338">
            <v>2.6097858589895924</v>
          </cell>
          <cell r="K338">
            <v>35.804552487304449</v>
          </cell>
          <cell r="L338">
            <v>35.804552487304449</v>
          </cell>
          <cell r="M338">
            <v>234.71873297232918</v>
          </cell>
        </row>
        <row r="339">
          <cell r="A339" t="str">
            <v>905000004</v>
          </cell>
          <cell r="B339" t="str">
            <v>RELLENO FRIO CARNE PERUANO (KILO)</v>
          </cell>
          <cell r="C339" t="str">
            <v xml:space="preserve">ESP-RE-COFS-045 </v>
          </cell>
          <cell r="D339" t="str">
            <v>01</v>
          </cell>
          <cell r="E339" t="str">
            <v>Kilo</v>
          </cell>
          <cell r="F339" t="str">
            <v>Gramo</v>
          </cell>
          <cell r="G339">
            <v>2689.6542243772333</v>
          </cell>
          <cell r="H339">
            <v>2.6896542243772332</v>
          </cell>
          <cell r="I339">
            <v>13.230149674876847</v>
          </cell>
          <cell r="J339">
            <v>1.3230149674876847E-2</v>
          </cell>
          <cell r="K339">
            <v>486.5191873293798</v>
          </cell>
          <cell r="L339">
            <v>0.48651918732937982</v>
          </cell>
          <cell r="M339">
            <v>3189.4035613814899</v>
          </cell>
        </row>
        <row r="340">
          <cell r="A340" t="str">
            <v>906000011</v>
          </cell>
          <cell r="B340" t="str">
            <v>CORTE OREJITAS DULCES (KILO)</v>
          </cell>
          <cell r="C340" t="str">
            <v>ESP-RE-PAPS-015</v>
          </cell>
          <cell r="D340" t="str">
            <v>07</v>
          </cell>
          <cell r="E340" t="str">
            <v>Kilo</v>
          </cell>
          <cell r="F340" t="str">
            <v>Gramo</v>
          </cell>
          <cell r="G340">
            <v>587.21104495378154</v>
          </cell>
          <cell r="H340">
            <v>0.58721104495378151</v>
          </cell>
          <cell r="I340">
            <v>12.583447294437777</v>
          </cell>
          <cell r="J340">
            <v>1.2583447294437777E-2</v>
          </cell>
          <cell r="K340">
            <v>107.96300860467947</v>
          </cell>
          <cell r="L340">
            <v>0.10796300860467947</v>
          </cell>
          <cell r="M340">
            <v>707.75750085289872</v>
          </cell>
        </row>
        <row r="341">
          <cell r="A341" t="str">
            <v>906000041</v>
          </cell>
          <cell r="B341" t="str">
            <v>CORTE GALLETA MEDIA LUNA (UND)</v>
          </cell>
          <cell r="C341" t="str">
            <v>ESP-RE-PAPS-042</v>
          </cell>
          <cell r="D341">
            <v>0</v>
          </cell>
          <cell r="E341" t="str">
            <v>Und</v>
          </cell>
          <cell r="F341" t="str">
            <v>Und</v>
          </cell>
          <cell r="G341">
            <v>6.9639751756503463</v>
          </cell>
          <cell r="H341">
            <v>6.9639751756503463</v>
          </cell>
          <cell r="I341">
            <v>0.25552795010840007</v>
          </cell>
          <cell r="J341">
            <v>0.25552795010840007</v>
          </cell>
          <cell r="K341">
            <v>1.2995105626365742</v>
          </cell>
          <cell r="L341">
            <v>1.2995105626365742</v>
          </cell>
          <cell r="M341">
            <v>8.5190136883953205</v>
          </cell>
        </row>
        <row r="342">
          <cell r="A342" t="str">
            <v>904000030</v>
          </cell>
          <cell r="B342" t="str">
            <v>GALLETA 1/2 LUNA BAÑADO CHOCO LECHE UND</v>
          </cell>
          <cell r="C342" t="str">
            <v xml:space="preserve">ESP-RE-FIS-007 </v>
          </cell>
          <cell r="D342" t="str">
            <v>04</v>
          </cell>
          <cell r="E342" t="str">
            <v>Und</v>
          </cell>
          <cell r="F342" t="str">
            <v>Und</v>
          </cell>
          <cell r="G342" t="e">
            <v>#N/A</v>
          </cell>
          <cell r="H342" t="e">
            <v>#N/A</v>
          </cell>
          <cell r="I342" t="e">
            <v>#N/A</v>
          </cell>
          <cell r="J342" t="e">
            <v>#N/A</v>
          </cell>
          <cell r="K342" t="e">
            <v>#N/A</v>
          </cell>
          <cell r="L342" t="e">
            <v>#N/A</v>
          </cell>
          <cell r="M342" t="e">
            <v>#N/A</v>
          </cell>
        </row>
        <row r="343">
          <cell r="A343" t="str">
            <v>901000021</v>
          </cell>
          <cell r="B343" t="str">
            <v>PREMEZCLA P/GALLETAS MEDIA LUNA KILO</v>
          </cell>
          <cell r="C343" t="str">
            <v xml:space="preserve">ESP-RE-PRES-021 </v>
          </cell>
          <cell r="D343" t="str">
            <v>06</v>
          </cell>
          <cell r="E343" t="str">
            <v>Kilo</v>
          </cell>
          <cell r="F343" t="str">
            <v>Gramo</v>
          </cell>
          <cell r="G343">
            <v>1043.8294203133332</v>
          </cell>
          <cell r="H343">
            <v>1.0438294203133331</v>
          </cell>
          <cell r="I343">
            <v>33.578024633873987</v>
          </cell>
          <cell r="J343">
            <v>3.3578024633873986E-2</v>
          </cell>
          <cell r="K343">
            <v>193.9333400904973</v>
          </cell>
          <cell r="L343">
            <v>0.19393334009049729</v>
          </cell>
          <cell r="M343">
            <v>1271.3407850377046</v>
          </cell>
        </row>
        <row r="344">
          <cell r="A344" t="str">
            <v>906000031</v>
          </cell>
          <cell r="B344" t="str">
            <v>PASTA P/GALLETAS MEDIA LUNA (KILO)</v>
          </cell>
          <cell r="C344" t="str">
            <v>ESP-RE-PAPS-002</v>
          </cell>
          <cell r="D344" t="str">
            <v>03</v>
          </cell>
          <cell r="E344" t="str">
            <v>Kilo</v>
          </cell>
          <cell r="F344" t="str">
            <v>Gramo</v>
          </cell>
          <cell r="G344">
            <v>1148.0849292750577</v>
          </cell>
          <cell r="H344">
            <v>1.1480849292750577</v>
          </cell>
          <cell r="I344">
            <v>42.386166160923828</v>
          </cell>
          <cell r="J344">
            <v>4.2386166160923826E-2</v>
          </cell>
          <cell r="K344">
            <v>214.28479717847665</v>
          </cell>
          <cell r="L344">
            <v>0.21428479717847665</v>
          </cell>
          <cell r="M344">
            <v>1404.7558926144579</v>
          </cell>
        </row>
        <row r="345">
          <cell r="A345" t="str">
            <v>901000145</v>
          </cell>
          <cell r="B345" t="str">
            <v>POLLO MECHADO FAS (KILO)</v>
          </cell>
          <cell r="C345" t="str">
            <v>ESP-RE-COCS-171</v>
          </cell>
          <cell r="D345" t="str">
            <v>01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2.9174395764195298</v>
          </cell>
          <cell r="J345">
            <v>2.9174395764195297E-3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90100034</v>
          </cell>
          <cell r="B346" t="str">
            <v>SALSA PARA COSTILLA KILO</v>
          </cell>
          <cell r="C346" t="str">
            <v xml:space="preserve">ESP-RE-COCS-166 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482.02385992647066</v>
          </cell>
          <cell r="H346">
            <v>0.48202385992647068</v>
          </cell>
          <cell r="I346">
            <v>0.1693065142857143</v>
          </cell>
          <cell r="J346">
            <v>1.6930651428571431E-4</v>
          </cell>
          <cell r="K346">
            <v>86.794769959336151</v>
          </cell>
          <cell r="L346">
            <v>8.6794769959336146E-2</v>
          </cell>
          <cell r="M346">
            <v>568.98793640009251</v>
          </cell>
        </row>
        <row r="347">
          <cell r="A347" t="str">
            <v>904000048</v>
          </cell>
          <cell r="B347" t="str">
            <v>SALSA PARA POLLO CON PAPAS FAS</v>
          </cell>
          <cell r="C347" t="str">
            <v>ESP-RE-COCS-060</v>
          </cell>
          <cell r="D347" t="str">
            <v>02</v>
          </cell>
          <cell r="E347" t="str">
            <v>Kilo</v>
          </cell>
          <cell r="F347" t="str">
            <v>Gramo</v>
          </cell>
          <cell r="G347">
            <v>650.95486868106627</v>
          </cell>
          <cell r="H347">
            <v>0.65095486868106622</v>
          </cell>
          <cell r="I347">
            <v>0.69072485714285725</v>
          </cell>
          <cell r="J347">
            <v>6.9072485714285722E-4</v>
          </cell>
          <cell r="K347">
            <v>117.29620683687764</v>
          </cell>
          <cell r="L347">
            <v>0.11729620683687765</v>
          </cell>
          <cell r="M347">
            <v>768.94180037508681</v>
          </cell>
        </row>
        <row r="348">
          <cell r="A348" t="str">
            <v>906000086</v>
          </cell>
          <cell r="B348" t="str">
            <v>EMPANADA COCO Y PIÑA UND</v>
          </cell>
          <cell r="C348" t="str">
            <v>ESP-RE-PAPS-107</v>
          </cell>
          <cell r="D348">
            <v>0</v>
          </cell>
          <cell r="E348" t="str">
            <v>Und</v>
          </cell>
          <cell r="F348" t="str">
            <v>Und</v>
          </cell>
          <cell r="G348" t="e">
            <v>#N/A</v>
          </cell>
          <cell r="H348" t="e">
            <v>#N/A</v>
          </cell>
          <cell r="I348" t="e">
            <v>#N/A</v>
          </cell>
          <cell r="J348" t="e">
            <v>#N/A</v>
          </cell>
          <cell r="K348" t="e">
            <v>#N/A</v>
          </cell>
          <cell r="L348" t="e">
            <v>#N/A</v>
          </cell>
          <cell r="M348" t="e">
            <v>#N/A</v>
          </cell>
        </row>
        <row r="349">
          <cell r="A349" t="str">
            <v>906000078</v>
          </cell>
          <cell r="B349" t="str">
            <v>CORTE GALLETA ALFAJOR GDE 25G UND</v>
          </cell>
          <cell r="C349" t="str">
            <v>ESP-RE-PAPS-073</v>
          </cell>
          <cell r="D349">
            <v>0</v>
          </cell>
          <cell r="E349" t="str">
            <v>Und</v>
          </cell>
          <cell r="F349" t="str">
            <v>Und</v>
          </cell>
          <cell r="G349">
            <v>23.786509386523932</v>
          </cell>
          <cell r="H349">
            <v>23.786509386523932</v>
          </cell>
          <cell r="I349">
            <v>0.10152099372358259</v>
          </cell>
          <cell r="J349">
            <v>0.10152099372358259</v>
          </cell>
          <cell r="K349">
            <v>4.299845468444552</v>
          </cell>
          <cell r="L349">
            <v>4.299845468444552</v>
          </cell>
          <cell r="M349">
            <v>28.187875848692066</v>
          </cell>
        </row>
        <row r="350">
          <cell r="A350" t="str">
            <v>904000049</v>
          </cell>
          <cell r="B350" t="str">
            <v>PROCESADO CHOCOLATE LECHE (KILO)</v>
          </cell>
          <cell r="C350" t="str">
            <v>ESP-RE-POS-209</v>
          </cell>
          <cell r="D350" t="str">
            <v>01</v>
          </cell>
          <cell r="E350" t="str">
            <v>Kilo</v>
          </cell>
          <cell r="F350" t="str">
            <v>Gramo</v>
          </cell>
          <cell r="G350">
            <v>4753.1924399999998</v>
          </cell>
          <cell r="H350">
            <v>4.7531924399999994</v>
          </cell>
          <cell r="I350">
            <v>0.45113600000000004</v>
          </cell>
          <cell r="J350">
            <v>4.5113600000000004E-4</v>
          </cell>
          <cell r="K350">
            <v>855.65584367999986</v>
          </cell>
          <cell r="L350">
            <v>0.85565584367999992</v>
          </cell>
          <cell r="M350">
            <v>5609.2994196799991</v>
          </cell>
        </row>
        <row r="351">
          <cell r="A351" t="str">
            <v>907000245</v>
          </cell>
          <cell r="B351" t="str">
            <v>ROSQUETE MELOCOTON 320G (UND)</v>
          </cell>
          <cell r="C351">
            <v>0</v>
          </cell>
          <cell r="D351">
            <v>0</v>
          </cell>
          <cell r="E351" t="str">
            <v>Und</v>
          </cell>
          <cell r="F351" t="str">
            <v>Und</v>
          </cell>
          <cell r="G351">
            <v>405.32575077720981</v>
          </cell>
          <cell r="H351">
            <v>405.32575077720981</v>
          </cell>
          <cell r="I351">
            <v>5.3763644337662342</v>
          </cell>
          <cell r="J351">
            <v>5.3763644337662342</v>
          </cell>
          <cell r="K351">
            <v>73.926380737975691</v>
          </cell>
          <cell r="L351">
            <v>73.926380737975691</v>
          </cell>
          <cell r="M351">
            <v>484.62849594895175</v>
          </cell>
        </row>
        <row r="352">
          <cell r="A352" t="str">
            <v>96270</v>
          </cell>
          <cell r="B352" t="str">
            <v>ROSQUETE MELOCOTON PURATOS (360g)</v>
          </cell>
          <cell r="C352" t="str">
            <v>ESP-RE-BAS-013</v>
          </cell>
          <cell r="D352" t="str">
            <v>06</v>
          </cell>
          <cell r="E352" t="str">
            <v>Und</v>
          </cell>
          <cell r="F352" t="str">
            <v>Und</v>
          </cell>
          <cell r="G352">
            <v>439.78335345472965</v>
          </cell>
          <cell r="H352">
            <v>439.78335345472965</v>
          </cell>
          <cell r="I352">
            <v>4.8654427561576359</v>
          </cell>
          <cell r="J352">
            <v>4.8654427561576359</v>
          </cell>
          <cell r="K352">
            <v>80.036783317959703</v>
          </cell>
          <cell r="L352">
            <v>80.036783317959703</v>
          </cell>
          <cell r="M352">
            <v>524.68557952884703</v>
          </cell>
        </row>
        <row r="353">
          <cell r="A353" t="str">
            <v>908000051</v>
          </cell>
          <cell r="B353" t="str">
            <v>COCCION PICADILLO PAPA C/CHORIZO (KILO)</v>
          </cell>
          <cell r="C353" t="str">
            <v>ESP-RE-COCS-122</v>
          </cell>
          <cell r="D353" t="str">
            <v>02</v>
          </cell>
          <cell r="E353" t="str">
            <v>Kilo</v>
          </cell>
          <cell r="F353" t="str">
            <v>Gramo</v>
          </cell>
          <cell r="G353">
            <v>2110.8708005423405</v>
          </cell>
          <cell r="H353">
            <v>2.1108708005423407</v>
          </cell>
          <cell r="I353">
            <v>4.1206666666666683E-2</v>
          </cell>
          <cell r="J353">
            <v>4.120666666666668E-5</v>
          </cell>
          <cell r="K353">
            <v>379.96416129762127</v>
          </cell>
          <cell r="L353">
            <v>0.37996416129762128</v>
          </cell>
          <cell r="M353">
            <v>2490.8761685066283</v>
          </cell>
        </row>
        <row r="354">
          <cell r="A354" t="str">
            <v>901000142</v>
          </cell>
          <cell r="B354" t="str">
            <v>SALSA BLANCA DE HONGOS PARA LOMO FAS</v>
          </cell>
          <cell r="C354" t="str">
            <v xml:space="preserve">ESP-RE-COCS-167 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1508.1582846113199</v>
          </cell>
          <cell r="H354">
            <v>1.50815828461132</v>
          </cell>
          <cell r="I354">
            <v>1.1302400000000002E-2</v>
          </cell>
          <cell r="J354">
            <v>1.1302400000000002E-5</v>
          </cell>
          <cell r="K354">
            <v>271.47052566203757</v>
          </cell>
          <cell r="L354">
            <v>0.27147052566203755</v>
          </cell>
          <cell r="M354">
            <v>1779.6401126733574</v>
          </cell>
        </row>
        <row r="355">
          <cell r="A355" t="str">
            <v>901000147</v>
          </cell>
          <cell r="B355" t="str">
            <v>ARROZ CANTONES FAS KILO</v>
          </cell>
          <cell r="C355" t="str">
            <v xml:space="preserve">ESP-RE-COCS-174 </v>
          </cell>
          <cell r="D355" t="str">
            <v>05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17.961384290243043</v>
          </cell>
          <cell r="J355">
            <v>1.7961384290243042E-2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20400102</v>
          </cell>
          <cell r="B356" t="str">
            <v>OLLA DE CARNE FAS</v>
          </cell>
          <cell r="C356" t="str">
            <v xml:space="preserve">ESP-RE-COCS-176 </v>
          </cell>
          <cell r="D356" t="str">
            <v>03</v>
          </cell>
          <cell r="E356" t="str">
            <v>Kilo</v>
          </cell>
          <cell r="F356" t="str">
            <v>Gramo</v>
          </cell>
          <cell r="G356">
            <v>1719.5539475</v>
          </cell>
          <cell r="H356">
            <v>1.7195539475000001</v>
          </cell>
          <cell r="I356">
            <v>1.9779200000000004E-2</v>
          </cell>
          <cell r="J356">
            <v>1.9779200000000005E-5</v>
          </cell>
          <cell r="K356">
            <v>309.52327080599997</v>
          </cell>
          <cell r="L356">
            <v>0.30952327080599995</v>
          </cell>
          <cell r="M356">
            <v>2029.096997506</v>
          </cell>
        </row>
        <row r="357">
          <cell r="A357" t="str">
            <v>90100304</v>
          </cell>
          <cell r="B357" t="str">
            <v>COCCION COSTILLA CERDO (KILO)</v>
          </cell>
          <cell r="C357" t="str">
            <v xml:space="preserve">ESP-RE-COCS-133 </v>
          </cell>
          <cell r="D357" t="str">
            <v>01</v>
          </cell>
          <cell r="E357" t="str">
            <v>Kilo</v>
          </cell>
          <cell r="F357" t="str">
            <v>Gramo</v>
          </cell>
          <cell r="G357">
            <v>6450.7698823529408</v>
          </cell>
          <cell r="H357">
            <v>6.4507698823529411</v>
          </cell>
          <cell r="I357">
            <v>4.520960000000001E-2</v>
          </cell>
          <cell r="J357">
            <v>4.5209600000000008E-5</v>
          </cell>
          <cell r="K357">
            <v>1161.1467165515294</v>
          </cell>
          <cell r="L357">
            <v>1.1611467165515295</v>
          </cell>
          <cell r="M357">
            <v>7611.9618085044704</v>
          </cell>
        </row>
        <row r="358">
          <cell r="A358" t="str">
            <v>906000124</v>
          </cell>
          <cell r="B358" t="str">
            <v>PREMEZCLA BROWNIE DAWN (KILO)</v>
          </cell>
          <cell r="C358" t="str">
            <v xml:space="preserve">ESP-RE-PRES-090 </v>
          </cell>
          <cell r="D358" t="str">
            <v>03</v>
          </cell>
          <cell r="E358" t="str">
            <v>Kilo</v>
          </cell>
          <cell r="F358" t="str">
            <v>Gramo</v>
          </cell>
          <cell r="G358">
            <v>25491.79</v>
          </cell>
          <cell r="H358">
            <v>25.491790000000002</v>
          </cell>
          <cell r="I358">
            <v>59.257600000000004</v>
          </cell>
          <cell r="J358">
            <v>5.9257600000000001E-2</v>
          </cell>
          <cell r="K358">
            <v>4599.1885680000005</v>
          </cell>
          <cell r="L358">
            <v>4.5991885680000006</v>
          </cell>
          <cell r="M358">
            <v>30150.236168000003</v>
          </cell>
        </row>
        <row r="359">
          <cell r="A359" t="str">
            <v>907000202</v>
          </cell>
          <cell r="B359" t="str">
            <v>BATIDO BROWNIE DAWN KILO</v>
          </cell>
          <cell r="C359" t="str">
            <v xml:space="preserve">ESP-RE-BAF-028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2079.5331062499999</v>
          </cell>
          <cell r="H359">
            <v>2.07953310625</v>
          </cell>
          <cell r="I359">
            <v>0.111108</v>
          </cell>
          <cell r="J359">
            <v>1.1110799999999999E-4</v>
          </cell>
          <cell r="K359">
            <v>374.335958565</v>
          </cell>
          <cell r="L359">
            <v>0.37433595856500002</v>
          </cell>
          <cell r="M359">
            <v>2453.9801728150001</v>
          </cell>
        </row>
        <row r="360">
          <cell r="A360" t="str">
            <v>906000050</v>
          </cell>
          <cell r="B360" t="str">
            <v>CORTE CANASTA RED AUTOMERCADO</v>
          </cell>
          <cell r="C360" t="str">
            <v>ESP-RE-PAPS-052</v>
          </cell>
          <cell r="D360" t="str">
            <v>04</v>
          </cell>
          <cell r="E360" t="str">
            <v>Und</v>
          </cell>
          <cell r="F360" t="str">
            <v>Und</v>
          </cell>
          <cell r="G360" t="e">
            <v>#N/A</v>
          </cell>
          <cell r="H360" t="e">
            <v>#N/A</v>
          </cell>
          <cell r="I360">
            <v>0.4536967128427129</v>
          </cell>
          <cell r="J360">
            <v>0.4536967128427129</v>
          </cell>
          <cell r="K360" t="e">
            <v>#N/A</v>
          </cell>
          <cell r="L360" t="e">
            <v>#N/A</v>
          </cell>
          <cell r="M360" t="e">
            <v>#N/A</v>
          </cell>
        </row>
        <row r="361">
          <cell r="A361" t="str">
            <v>910000008</v>
          </cell>
          <cell r="B361" t="str">
            <v>CHOCOLATE BLANCO RALLADO (KILO)</v>
          </cell>
          <cell r="C361">
            <v>0</v>
          </cell>
          <cell r="D361">
            <v>0</v>
          </cell>
          <cell r="E361" t="str">
            <v>Kilo</v>
          </cell>
          <cell r="F361" t="str">
            <v>Gramo</v>
          </cell>
          <cell r="G361">
            <v>3739.4799054373516</v>
          </cell>
          <cell r="H361">
            <v>3.7394799054373515</v>
          </cell>
          <cell r="I361">
            <v>0.12340425531914893</v>
          </cell>
          <cell r="J361">
            <v>1.2340425531914893E-4</v>
          </cell>
          <cell r="K361">
            <v>673.12859574468075</v>
          </cell>
          <cell r="L361">
            <v>0.67312859574468076</v>
          </cell>
          <cell r="M361">
            <v>4412.7319054373511</v>
          </cell>
        </row>
        <row r="362">
          <cell r="A362" t="str">
            <v>910000008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 t="str">
            <v>Und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904000018</v>
          </cell>
          <cell r="B363" t="str">
            <v/>
          </cell>
          <cell r="C363" t="str">
            <v/>
          </cell>
          <cell r="D363" t="str">
            <v/>
          </cell>
          <cell r="E363" t="str">
            <v>Kilo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/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>
        <row r="2">
          <cell r="A2" t="str">
            <v>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FB62-2644-4437-BF03-62691C240A6B}">
  <sheetPr>
    <pageSetUpPr fitToPage="1"/>
  </sheetPr>
  <dimension ref="A1:M56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20.7109375" bestFit="1" customWidth="1"/>
    <col min="3" max="3" width="68.85546875" customWidth="1"/>
    <col min="4" max="4" width="21.140625" bestFit="1" customWidth="1"/>
    <col min="5" max="5" width="19.7109375" bestFit="1" customWidth="1"/>
    <col min="7" max="7" width="23" customWidth="1"/>
    <col min="8" max="8" width="19" customWidth="1"/>
    <col min="9" max="9" width="20.42578125" bestFit="1" customWidth="1"/>
  </cols>
  <sheetData>
    <row r="1" spans="1:9" ht="15.75" x14ac:dyDescent="0.25">
      <c r="A1" s="129"/>
      <c r="B1" s="130"/>
      <c r="C1" s="135" t="s">
        <v>23</v>
      </c>
      <c r="D1" s="135"/>
      <c r="E1" s="135"/>
      <c r="F1" s="135"/>
      <c r="G1" s="135"/>
      <c r="H1" s="1" t="s">
        <v>0</v>
      </c>
      <c r="I1" s="9" t="s">
        <v>117</v>
      </c>
    </row>
    <row r="2" spans="1:9" ht="16.5" thickBot="1" x14ac:dyDescent="0.3">
      <c r="A2" s="131"/>
      <c r="B2" s="132"/>
      <c r="C2" s="136" t="s">
        <v>1</v>
      </c>
      <c r="D2" s="136"/>
      <c r="E2" s="136"/>
      <c r="F2" s="136"/>
      <c r="G2" s="136"/>
      <c r="H2" s="2" t="s">
        <v>2</v>
      </c>
      <c r="I2" s="8" t="s">
        <v>33</v>
      </c>
    </row>
    <row r="3" spans="1:9" ht="26.25" thickBot="1" x14ac:dyDescent="0.4">
      <c r="A3" s="131"/>
      <c r="B3" s="132"/>
      <c r="C3" s="288" t="s">
        <v>101</v>
      </c>
      <c r="D3" s="289"/>
      <c r="E3" s="289"/>
      <c r="F3" s="289"/>
      <c r="G3" s="290"/>
      <c r="H3" s="137" t="s">
        <v>3</v>
      </c>
      <c r="I3" s="120">
        <v>45610</v>
      </c>
    </row>
    <row r="4" spans="1:9" ht="13.5" x14ac:dyDescent="0.25">
      <c r="A4" s="131"/>
      <c r="B4" s="132"/>
      <c r="C4" s="3" t="s">
        <v>4</v>
      </c>
      <c r="D4" s="123" t="s">
        <v>24</v>
      </c>
      <c r="E4" s="124"/>
      <c r="F4" s="124"/>
      <c r="G4" s="125"/>
      <c r="H4" s="138"/>
      <c r="I4" s="121"/>
    </row>
    <row r="5" spans="1:9" ht="14.25" thickBot="1" x14ac:dyDescent="0.3">
      <c r="A5" s="133"/>
      <c r="B5" s="134"/>
      <c r="C5" s="4" t="s">
        <v>5</v>
      </c>
      <c r="D5" s="126" t="s">
        <v>102</v>
      </c>
      <c r="E5" s="127"/>
      <c r="F5" s="127"/>
      <c r="G5" s="128"/>
      <c r="H5" s="139"/>
      <c r="I5" s="122"/>
    </row>
    <row r="6" spans="1:9" ht="18.75" thickBot="1" x14ac:dyDescent="0.3">
      <c r="A6" s="111" t="s">
        <v>103</v>
      </c>
      <c r="B6" s="111"/>
      <c r="C6" s="111"/>
      <c r="D6" s="112" t="s">
        <v>104</v>
      </c>
      <c r="E6" s="112"/>
      <c r="F6" s="112"/>
      <c r="G6" s="113" t="s">
        <v>105</v>
      </c>
      <c r="H6" s="113"/>
      <c r="I6" s="108" t="s">
        <v>106</v>
      </c>
    </row>
    <row r="7" spans="1:9" x14ac:dyDescent="0.2">
      <c r="A7" s="114" t="s">
        <v>6</v>
      </c>
      <c r="B7" s="116" t="s">
        <v>107</v>
      </c>
      <c r="C7" s="118" t="s">
        <v>7</v>
      </c>
      <c r="D7" s="118" t="s">
        <v>8</v>
      </c>
      <c r="E7" s="118" t="s">
        <v>9</v>
      </c>
      <c r="F7" s="118"/>
      <c r="G7" s="118" t="s">
        <v>10</v>
      </c>
      <c r="H7" s="118"/>
      <c r="I7" s="7" t="s">
        <v>11</v>
      </c>
    </row>
    <row r="8" spans="1:9" ht="26.25" thickBot="1" x14ac:dyDescent="0.25">
      <c r="A8" s="115"/>
      <c r="B8" s="117"/>
      <c r="C8" s="119"/>
      <c r="D8" s="119"/>
      <c r="E8" s="12" t="s">
        <v>12</v>
      </c>
      <c r="F8" s="11" t="s">
        <v>13</v>
      </c>
      <c r="G8" s="12" t="s">
        <v>12</v>
      </c>
      <c r="H8" s="11" t="s">
        <v>13</v>
      </c>
      <c r="I8" s="10" t="s">
        <v>14</v>
      </c>
    </row>
    <row r="9" spans="1:9" ht="20.25" x14ac:dyDescent="0.3">
      <c r="A9" s="171"/>
      <c r="B9" s="172"/>
      <c r="C9" s="173" t="s">
        <v>108</v>
      </c>
      <c r="D9" s="174"/>
      <c r="E9" s="175"/>
      <c r="F9" s="176"/>
      <c r="G9" s="175"/>
      <c r="H9" s="176"/>
      <c r="I9" s="177"/>
    </row>
    <row r="10" spans="1:9" ht="20.25" x14ac:dyDescent="0.3">
      <c r="A10" s="178">
        <v>901000025</v>
      </c>
      <c r="B10" s="178" t="s">
        <v>97</v>
      </c>
      <c r="C10" s="179" t="s">
        <v>30</v>
      </c>
      <c r="D10" s="180" t="s">
        <v>109</v>
      </c>
      <c r="E10" s="181">
        <v>100</v>
      </c>
      <c r="F10" s="182" t="s">
        <v>36</v>
      </c>
      <c r="G10" s="183"/>
      <c r="H10" s="184" t="s">
        <v>110</v>
      </c>
      <c r="I10" s="177"/>
    </row>
    <row r="11" spans="1:9" ht="20.25" x14ac:dyDescent="0.3">
      <c r="A11" s="185"/>
      <c r="B11" s="186"/>
      <c r="C11" s="187"/>
      <c r="D11" s="188"/>
      <c r="E11" s="188"/>
      <c r="F11" s="188"/>
      <c r="G11" s="189"/>
      <c r="H11" s="190"/>
      <c r="I11" s="177"/>
    </row>
    <row r="12" spans="1:9" ht="20.25" x14ac:dyDescent="0.3">
      <c r="A12" s="185"/>
      <c r="B12" s="186"/>
      <c r="C12" s="187"/>
      <c r="D12" s="188"/>
      <c r="E12" s="188"/>
      <c r="F12" s="188"/>
      <c r="G12" s="189"/>
      <c r="H12" s="190"/>
      <c r="I12" s="177"/>
    </row>
    <row r="13" spans="1:9" ht="20.25" x14ac:dyDescent="0.3">
      <c r="A13" s="185"/>
      <c r="B13" s="186"/>
      <c r="C13" s="187"/>
      <c r="D13" s="188"/>
      <c r="E13" s="188"/>
      <c r="F13" s="188"/>
      <c r="G13" s="189"/>
      <c r="H13" s="190"/>
      <c r="I13" s="177"/>
    </row>
    <row r="14" spans="1:9" ht="20.25" x14ac:dyDescent="0.3">
      <c r="A14" s="185"/>
      <c r="B14" s="186"/>
      <c r="C14" s="191"/>
      <c r="D14" s="188"/>
      <c r="E14" s="188"/>
      <c r="F14" s="188"/>
      <c r="G14" s="189"/>
      <c r="H14" s="190"/>
      <c r="I14" s="177"/>
    </row>
    <row r="15" spans="1:9" ht="20.25" x14ac:dyDescent="0.3">
      <c r="A15" s="185"/>
      <c r="B15" s="186"/>
      <c r="C15" s="187"/>
      <c r="D15" s="188"/>
      <c r="E15" s="188"/>
      <c r="F15" s="188"/>
      <c r="G15" s="189"/>
      <c r="H15" s="190"/>
      <c r="I15" s="177"/>
    </row>
    <row r="16" spans="1:9" ht="20.25" x14ac:dyDescent="0.3">
      <c r="A16" s="185"/>
      <c r="B16" s="186"/>
      <c r="C16" s="187"/>
      <c r="D16" s="188"/>
      <c r="E16" s="188"/>
      <c r="F16" s="188"/>
      <c r="G16" s="189"/>
      <c r="H16" s="190"/>
      <c r="I16" s="177"/>
    </row>
    <row r="17" spans="1:9" ht="20.25" x14ac:dyDescent="0.3">
      <c r="A17" s="188"/>
      <c r="B17" s="192"/>
      <c r="C17" s="193"/>
      <c r="D17" s="188"/>
      <c r="E17" s="181"/>
      <c r="F17" s="188"/>
      <c r="G17" s="189"/>
      <c r="H17" s="190"/>
      <c r="I17" s="177"/>
    </row>
    <row r="18" spans="1:9" ht="20.25" x14ac:dyDescent="0.3">
      <c r="A18" s="188"/>
      <c r="B18" s="192"/>
      <c r="C18" s="193"/>
      <c r="D18" s="188"/>
      <c r="E18" s="181"/>
      <c r="F18" s="188"/>
      <c r="G18" s="189"/>
      <c r="H18" s="190"/>
      <c r="I18" s="177"/>
    </row>
    <row r="19" spans="1:9" ht="20.25" x14ac:dyDescent="0.3">
      <c r="A19" s="186"/>
      <c r="B19" s="186"/>
      <c r="C19" s="187"/>
      <c r="D19" s="185"/>
      <c r="E19" s="185"/>
      <c r="F19" s="194"/>
      <c r="G19" s="189"/>
      <c r="H19" s="176"/>
      <c r="I19" s="177"/>
    </row>
    <row r="20" spans="1:9" ht="20.25" x14ac:dyDescent="0.3">
      <c r="A20" s="186"/>
      <c r="B20" s="186"/>
      <c r="C20" s="187"/>
      <c r="D20" s="185"/>
      <c r="E20" s="185"/>
      <c r="F20" s="194"/>
      <c r="G20" s="189"/>
      <c r="H20" s="176"/>
      <c r="I20" s="177"/>
    </row>
    <row r="21" spans="1:9" ht="20.25" x14ac:dyDescent="0.3">
      <c r="A21" s="195"/>
      <c r="B21" s="186"/>
      <c r="C21" s="196"/>
      <c r="D21" s="197"/>
      <c r="E21" s="185"/>
      <c r="F21" s="194"/>
      <c r="G21" s="189"/>
      <c r="H21" s="176"/>
      <c r="I21" s="177"/>
    </row>
    <row r="22" spans="1:9" ht="20.25" x14ac:dyDescent="0.3">
      <c r="A22" s="195"/>
      <c r="B22" s="186"/>
      <c r="C22" s="196"/>
      <c r="D22" s="197"/>
      <c r="E22" s="185"/>
      <c r="F22" s="194"/>
      <c r="G22" s="175"/>
      <c r="H22" s="176"/>
      <c r="I22" s="177"/>
    </row>
    <row r="23" spans="1:9" ht="20.25" x14ac:dyDescent="0.3">
      <c r="A23" s="186"/>
      <c r="B23" s="186"/>
      <c r="C23" s="198"/>
      <c r="D23" s="181"/>
      <c r="E23" s="181"/>
      <c r="F23" s="182"/>
      <c r="G23" s="175"/>
      <c r="H23" s="176"/>
      <c r="I23" s="177"/>
    </row>
    <row r="24" spans="1:9" ht="20.25" x14ac:dyDescent="0.3">
      <c r="A24" s="199"/>
      <c r="B24" s="200"/>
      <c r="C24" s="201" t="s">
        <v>111</v>
      </c>
      <c r="D24" s="188"/>
      <c r="E24" s="202"/>
      <c r="F24" s="182"/>
      <c r="G24" s="175"/>
      <c r="H24" s="176"/>
      <c r="I24" s="177"/>
    </row>
    <row r="25" spans="1:9" ht="20.25" x14ac:dyDescent="0.3">
      <c r="A25" s="203"/>
      <c r="B25" s="188"/>
      <c r="C25" s="204"/>
      <c r="D25" s="205"/>
      <c r="E25" s="181"/>
      <c r="F25" s="182"/>
      <c r="G25" s="175"/>
      <c r="H25" s="176"/>
      <c r="I25" s="177"/>
    </row>
    <row r="26" spans="1:9" ht="20.25" x14ac:dyDescent="0.3">
      <c r="A26" s="186"/>
      <c r="B26" s="186"/>
      <c r="C26" s="198"/>
      <c r="D26" s="205"/>
      <c r="E26" s="181"/>
      <c r="F26" s="182"/>
      <c r="G26" s="175"/>
      <c r="H26" s="176"/>
      <c r="I26" s="177"/>
    </row>
    <row r="27" spans="1:9" ht="20.25" x14ac:dyDescent="0.3">
      <c r="A27" s="206"/>
      <c r="B27" s="206"/>
      <c r="C27" s="204"/>
      <c r="D27" s="205"/>
      <c r="E27" s="181"/>
      <c r="F27" s="182"/>
      <c r="G27" s="175"/>
      <c r="H27" s="176"/>
      <c r="I27" s="177"/>
    </row>
    <row r="28" spans="1:9" ht="20.25" x14ac:dyDescent="0.3">
      <c r="A28" s="186"/>
      <c r="B28" s="186"/>
      <c r="C28" s="198"/>
      <c r="D28" s="181"/>
      <c r="E28" s="188"/>
      <c r="F28" s="182"/>
      <c r="G28" s="175"/>
      <c r="H28" s="176"/>
      <c r="I28" s="177"/>
    </row>
    <row r="29" spans="1:9" ht="20.25" x14ac:dyDescent="0.3">
      <c r="A29" s="186"/>
      <c r="B29" s="186"/>
      <c r="C29" s="198"/>
      <c r="D29" s="197"/>
      <c r="E29" s="207"/>
      <c r="F29" s="208"/>
      <c r="G29" s="175"/>
      <c r="H29" s="176"/>
      <c r="I29" s="177"/>
    </row>
    <row r="30" spans="1:9" ht="20.25" x14ac:dyDescent="0.3">
      <c r="A30" s="209"/>
      <c r="B30" s="210"/>
      <c r="C30" s="211" t="s">
        <v>106</v>
      </c>
      <c r="D30" s="212"/>
      <c r="E30" s="175"/>
      <c r="F30" s="176"/>
      <c r="G30" s="175"/>
      <c r="H30" s="176"/>
      <c r="I30" s="177"/>
    </row>
    <row r="31" spans="1:9" ht="20.25" x14ac:dyDescent="0.3">
      <c r="A31" s="213" t="s">
        <v>31</v>
      </c>
      <c r="B31" s="213" t="s">
        <v>98</v>
      </c>
      <c r="C31" s="179" t="s">
        <v>39</v>
      </c>
      <c r="D31" s="180" t="s">
        <v>112</v>
      </c>
      <c r="E31" s="181">
        <v>1</v>
      </c>
      <c r="F31" s="182" t="s">
        <v>35</v>
      </c>
      <c r="G31" s="214"/>
      <c r="H31" s="215" t="s">
        <v>42</v>
      </c>
      <c r="I31" s="177"/>
    </row>
    <row r="32" spans="1:9" ht="20.25" x14ac:dyDescent="0.3">
      <c r="A32" s="213" t="s">
        <v>37</v>
      </c>
      <c r="B32" s="213" t="s">
        <v>99</v>
      </c>
      <c r="C32" s="179" t="s">
        <v>40</v>
      </c>
      <c r="D32" s="180" t="s">
        <v>113</v>
      </c>
      <c r="E32" s="181">
        <v>1</v>
      </c>
      <c r="F32" s="182" t="s">
        <v>35</v>
      </c>
      <c r="G32" s="214"/>
      <c r="H32" s="215" t="s">
        <v>43</v>
      </c>
      <c r="I32" s="177"/>
    </row>
    <row r="33" spans="1:13" ht="20.25" x14ac:dyDescent="0.3">
      <c r="A33" s="213" t="s">
        <v>38</v>
      </c>
      <c r="B33" s="213" t="s">
        <v>100</v>
      </c>
      <c r="C33" s="179" t="s">
        <v>41</v>
      </c>
      <c r="D33" s="216" t="s">
        <v>114</v>
      </c>
      <c r="E33" s="217">
        <v>1</v>
      </c>
      <c r="F33" s="182" t="s">
        <v>35</v>
      </c>
      <c r="G33" s="214"/>
      <c r="H33" s="215" t="s">
        <v>44</v>
      </c>
      <c r="I33" s="177"/>
    </row>
    <row r="34" spans="1:13" ht="20.25" x14ac:dyDescent="0.3">
      <c r="A34" s="218"/>
      <c r="B34" s="219"/>
      <c r="C34" s="220"/>
      <c r="D34" s="221"/>
      <c r="E34" s="222"/>
      <c r="F34" s="222"/>
      <c r="G34" s="175"/>
      <c r="H34" s="176"/>
      <c r="I34" s="177"/>
    </row>
    <row r="35" spans="1:13" ht="20.25" x14ac:dyDescent="0.3">
      <c r="A35" s="218"/>
      <c r="B35" s="219"/>
      <c r="C35" s="220"/>
      <c r="D35" s="223"/>
      <c r="E35" s="224"/>
      <c r="F35" s="225"/>
      <c r="G35" s="175"/>
      <c r="H35" s="176"/>
      <c r="I35" s="177"/>
    </row>
    <row r="36" spans="1:13" ht="20.25" x14ac:dyDescent="0.3">
      <c r="A36" s="226"/>
      <c r="B36" s="227"/>
      <c r="C36" s="228"/>
      <c r="D36" s="188"/>
      <c r="E36" s="181"/>
      <c r="F36" s="182"/>
      <c r="G36" s="229"/>
      <c r="H36" s="188"/>
      <c r="I36" s="177"/>
    </row>
    <row r="37" spans="1:13" ht="20.25" x14ac:dyDescent="0.3">
      <c r="A37" s="199"/>
      <c r="B37" s="200"/>
      <c r="C37" s="179"/>
      <c r="D37" s="188"/>
      <c r="E37" s="181"/>
      <c r="F37" s="182"/>
      <c r="G37" s="181"/>
      <c r="H37" s="188"/>
      <c r="I37" s="177"/>
    </row>
    <row r="38" spans="1:13" ht="20.25" x14ac:dyDescent="0.3">
      <c r="A38" s="199"/>
      <c r="B38" s="200"/>
      <c r="C38" s="179"/>
      <c r="D38" s="188"/>
      <c r="E38" s="181"/>
      <c r="F38" s="182"/>
      <c r="G38" s="181"/>
      <c r="H38" s="182"/>
      <c r="I38" s="177"/>
    </row>
    <row r="39" spans="1:13" ht="20.25" x14ac:dyDescent="0.3">
      <c r="A39" s="199"/>
      <c r="B39" s="200"/>
      <c r="C39" s="179"/>
      <c r="D39" s="188"/>
      <c r="E39" s="188"/>
      <c r="F39" s="182"/>
      <c r="G39" s="188"/>
      <c r="H39" s="188"/>
      <c r="I39" s="177"/>
    </row>
    <row r="40" spans="1:13" ht="21" thickBot="1" x14ac:dyDescent="0.35">
      <c r="A40" s="230"/>
      <c r="B40" s="231"/>
      <c r="C40" s="232"/>
      <c r="D40" s="232"/>
      <c r="E40" s="233"/>
      <c r="F40" s="234"/>
      <c r="G40" s="232"/>
      <c r="H40" s="232"/>
      <c r="I40" s="235"/>
      <c r="J40" s="109"/>
      <c r="K40" s="109"/>
      <c r="L40" s="6"/>
      <c r="M40" s="109"/>
    </row>
    <row r="41" spans="1:13" ht="21" thickBot="1" x14ac:dyDescent="0.35">
      <c r="A41" s="236"/>
      <c r="B41" s="237"/>
      <c r="C41" s="238"/>
      <c r="D41" s="239" t="s">
        <v>12</v>
      </c>
      <c r="E41" s="240" t="s">
        <v>115</v>
      </c>
      <c r="F41" s="241"/>
      <c r="G41" s="238"/>
      <c r="H41" s="238"/>
      <c r="I41" s="242"/>
      <c r="J41" s="109"/>
      <c r="K41" s="109"/>
      <c r="L41" s="6"/>
      <c r="M41" s="109"/>
    </row>
    <row r="42" spans="1:13" ht="20.25" x14ac:dyDescent="0.3">
      <c r="A42" s="243" t="s">
        <v>15</v>
      </c>
      <c r="B42" s="244"/>
      <c r="C42" s="245"/>
      <c r="D42" s="246">
        <v>100</v>
      </c>
      <c r="E42" s="247" t="s">
        <v>27</v>
      </c>
      <c r="F42" s="248" t="s">
        <v>25</v>
      </c>
      <c r="G42" s="248"/>
      <c r="H42" s="249"/>
      <c r="I42" s="250"/>
      <c r="J42" s="109"/>
      <c r="K42" s="109"/>
      <c r="L42" s="6"/>
      <c r="M42" s="109"/>
    </row>
    <row r="43" spans="1:13" ht="20.25" x14ac:dyDescent="0.3">
      <c r="A43" s="251" t="s">
        <v>16</v>
      </c>
      <c r="B43" s="252"/>
      <c r="C43" s="253"/>
      <c r="D43" s="254">
        <v>1</v>
      </c>
      <c r="E43" s="186" t="s">
        <v>29</v>
      </c>
      <c r="F43" s="255" t="s">
        <v>17</v>
      </c>
      <c r="G43" s="255"/>
      <c r="H43" s="256"/>
      <c r="I43" s="257"/>
      <c r="J43" s="109"/>
      <c r="K43" s="109"/>
      <c r="L43" s="6"/>
      <c r="M43" s="109"/>
    </row>
    <row r="44" spans="1:13" ht="20.25" x14ac:dyDescent="0.3">
      <c r="A44" s="251" t="s">
        <v>18</v>
      </c>
      <c r="B44" s="252"/>
      <c r="C44" s="253"/>
      <c r="D44" s="186">
        <v>1</v>
      </c>
      <c r="E44" s="186" t="s">
        <v>28</v>
      </c>
      <c r="F44" s="255" t="s">
        <v>26</v>
      </c>
      <c r="G44" s="255"/>
      <c r="H44" s="256"/>
      <c r="I44" s="257"/>
      <c r="J44" s="109"/>
      <c r="K44" s="109"/>
      <c r="L44" s="6"/>
      <c r="M44" s="109"/>
    </row>
    <row r="45" spans="1:13" ht="20.25" x14ac:dyDescent="0.3">
      <c r="A45" s="251" t="s">
        <v>19</v>
      </c>
      <c r="B45" s="252"/>
      <c r="C45" s="253"/>
      <c r="D45" s="185">
        <v>100</v>
      </c>
      <c r="E45" s="186" t="s">
        <v>27</v>
      </c>
      <c r="F45" s="258" t="s">
        <v>20</v>
      </c>
      <c r="G45" s="259"/>
      <c r="H45" s="256"/>
      <c r="I45" s="257"/>
      <c r="J45" s="109"/>
      <c r="K45" s="109"/>
      <c r="L45" s="6"/>
      <c r="M45" s="110"/>
    </row>
    <row r="46" spans="1:13" ht="21" thickBot="1" x14ac:dyDescent="0.35">
      <c r="A46" s="260" t="s">
        <v>21</v>
      </c>
      <c r="B46" s="261"/>
      <c r="C46" s="262"/>
      <c r="D46" s="263">
        <v>0</v>
      </c>
      <c r="E46" s="264" t="s">
        <v>27</v>
      </c>
      <c r="F46" s="265"/>
      <c r="G46" s="265"/>
      <c r="H46" s="266"/>
      <c r="I46" s="267"/>
      <c r="J46" s="5"/>
      <c r="K46" s="5"/>
      <c r="L46" s="6"/>
      <c r="M46" s="5"/>
    </row>
    <row r="47" spans="1:13" ht="21" thickBot="1" x14ac:dyDescent="0.35">
      <c r="A47" s="291" t="s">
        <v>22</v>
      </c>
      <c r="B47" s="292"/>
      <c r="C47" s="292"/>
      <c r="D47" s="292"/>
      <c r="E47" s="292"/>
      <c r="F47" s="292"/>
      <c r="G47" s="292"/>
      <c r="H47" s="292"/>
      <c r="I47" s="293"/>
      <c r="J47" s="109"/>
      <c r="K47" s="109"/>
      <c r="L47" s="109"/>
      <c r="M47" s="109"/>
    </row>
    <row r="48" spans="1:13" ht="20.25" x14ac:dyDescent="0.3">
      <c r="A48" s="268" t="s">
        <v>34</v>
      </c>
      <c r="B48" s="269"/>
      <c r="C48" s="269"/>
      <c r="D48" s="269"/>
      <c r="E48" s="269"/>
      <c r="F48" s="269"/>
      <c r="G48" s="269"/>
      <c r="H48" s="269"/>
      <c r="I48" s="270"/>
      <c r="J48" s="109"/>
      <c r="K48" s="109"/>
      <c r="L48" s="109"/>
      <c r="M48" s="109"/>
    </row>
    <row r="49" spans="1:13" ht="20.25" x14ac:dyDescent="0.3">
      <c r="A49" s="271" t="s">
        <v>32</v>
      </c>
      <c r="B49" s="272"/>
      <c r="C49" s="272"/>
      <c r="D49" s="272"/>
      <c r="E49" s="272"/>
      <c r="F49" s="272"/>
      <c r="G49" s="272"/>
      <c r="H49" s="272"/>
      <c r="I49" s="273"/>
      <c r="J49" s="109"/>
      <c r="K49" s="109"/>
      <c r="L49" s="109"/>
      <c r="M49" s="109"/>
    </row>
    <row r="50" spans="1:13" ht="20.25" x14ac:dyDescent="0.3">
      <c r="A50" s="274"/>
      <c r="B50" s="275"/>
      <c r="C50" s="275"/>
      <c r="D50" s="275"/>
      <c r="E50" s="275"/>
      <c r="F50" s="275"/>
      <c r="G50" s="275"/>
      <c r="H50" s="275"/>
      <c r="I50" s="276"/>
      <c r="J50" s="109"/>
      <c r="K50" s="109"/>
      <c r="L50" s="109"/>
      <c r="M50" s="109"/>
    </row>
    <row r="51" spans="1:13" ht="18" customHeight="1" x14ac:dyDescent="0.3">
      <c r="A51" s="277"/>
      <c r="B51" s="278"/>
      <c r="C51" s="278"/>
      <c r="D51" s="278"/>
      <c r="E51" s="278"/>
      <c r="F51" s="278"/>
      <c r="G51" s="278"/>
      <c r="H51" s="278"/>
      <c r="I51" s="279"/>
      <c r="J51" s="109"/>
      <c r="K51" s="109"/>
      <c r="L51" s="109"/>
      <c r="M51" s="109"/>
    </row>
    <row r="52" spans="1:13" ht="20.25" x14ac:dyDescent="0.3">
      <c r="A52" s="280"/>
      <c r="B52" s="281"/>
      <c r="C52" s="281"/>
      <c r="D52" s="281"/>
      <c r="E52" s="281"/>
      <c r="F52" s="281"/>
      <c r="G52" s="281"/>
      <c r="H52" s="281"/>
      <c r="I52" s="282"/>
      <c r="J52" s="109"/>
      <c r="K52" s="109"/>
      <c r="L52" s="109"/>
      <c r="M52" s="109"/>
    </row>
    <row r="53" spans="1:13" ht="21" thickBot="1" x14ac:dyDescent="0.35">
      <c r="A53" s="283"/>
      <c r="B53" s="284"/>
      <c r="C53" s="284"/>
      <c r="D53" s="284"/>
      <c r="E53" s="284"/>
      <c r="F53" s="284"/>
      <c r="G53" s="284"/>
      <c r="H53" s="284"/>
      <c r="I53" s="285"/>
      <c r="J53" s="109"/>
      <c r="K53" s="109"/>
      <c r="L53" s="109"/>
      <c r="M53" s="109"/>
    </row>
    <row r="54" spans="1:13" ht="20.25" x14ac:dyDescent="0.3">
      <c r="A54" s="286" t="s">
        <v>116</v>
      </c>
      <c r="B54" s="287"/>
      <c r="C54" s="287"/>
      <c r="D54" s="287"/>
      <c r="E54" s="287"/>
      <c r="F54" s="287"/>
      <c r="G54" s="287"/>
      <c r="H54" s="287"/>
      <c r="I54" s="287"/>
      <c r="J54" s="109"/>
      <c r="K54" s="109"/>
      <c r="L54" s="109"/>
      <c r="M54" s="109"/>
    </row>
    <row r="55" spans="1:13" ht="20.25" x14ac:dyDescent="0.3">
      <c r="A55" s="294"/>
      <c r="B55" s="294"/>
      <c r="C55" s="294"/>
      <c r="D55" s="294"/>
      <c r="E55" s="294"/>
      <c r="F55" s="294"/>
      <c r="G55" s="294"/>
      <c r="H55" s="294"/>
      <c r="I55" s="294"/>
      <c r="J55" s="109"/>
      <c r="K55" s="109"/>
      <c r="L55" s="109"/>
      <c r="M55" s="109"/>
    </row>
    <row r="56" spans="1:13" ht="20.25" x14ac:dyDescent="0.3">
      <c r="A56" s="294"/>
      <c r="B56" s="294"/>
      <c r="C56" s="294"/>
      <c r="D56" s="294"/>
      <c r="E56" s="294"/>
      <c r="F56" s="294"/>
      <c r="G56" s="294"/>
      <c r="H56" s="294"/>
      <c r="I56" s="294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3:I53"/>
    <mergeCell ref="A54:I54"/>
    <mergeCell ref="A55:I55"/>
    <mergeCell ref="A56:I56"/>
    <mergeCell ref="A50:I50"/>
    <mergeCell ref="A51:I51"/>
    <mergeCell ref="A52:I52"/>
  </mergeCell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7996-BF1B-4DD8-8BC8-7E90E46D249F}">
  <dimension ref="A1:Q91"/>
  <sheetViews>
    <sheetView topLeftCell="A33" workbookViewId="0">
      <selection activeCell="G59" sqref="G59"/>
    </sheetView>
  </sheetViews>
  <sheetFormatPr baseColWidth="10" defaultColWidth="8.42578125" defaultRowHeight="12.75" x14ac:dyDescent="0.2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9.7109375" style="17" bestFit="1" customWidth="1"/>
    <col min="6" max="6" width="9.5703125" style="17" bestFit="1" customWidth="1"/>
    <col min="7" max="7" width="9.5703125" style="97" bestFit="1" customWidth="1"/>
    <col min="8" max="8" width="10.42578125" style="98" bestFit="1" customWidth="1"/>
    <col min="9" max="9" width="4.5703125" style="98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256" width="8.42578125" style="17"/>
    <col min="257" max="257" width="10" style="17" bestFit="1" customWidth="1"/>
    <col min="258" max="258" width="44.28515625" style="17" bestFit="1" customWidth="1"/>
    <col min="259" max="259" width="10.42578125" style="17" bestFit="1" customWidth="1"/>
    <col min="260" max="260" width="10.42578125" style="17" customWidth="1"/>
    <col min="261" max="261" width="9.7109375" style="17" bestFit="1" customWidth="1"/>
    <col min="262" max="263" width="9.5703125" style="17" bestFit="1" customWidth="1"/>
    <col min="264" max="264" width="10.42578125" style="17" bestFit="1" customWidth="1"/>
    <col min="265" max="265" width="4.5703125" style="17" customWidth="1"/>
    <col min="266" max="266" width="1.85546875" style="17" customWidth="1"/>
    <col min="267" max="267" width="7" style="17" bestFit="1" customWidth="1"/>
    <col min="268" max="268" width="6.28515625" style="17" customWidth="1"/>
    <col min="269" max="269" width="20.42578125" style="17" customWidth="1"/>
    <col min="270" max="270" width="6.42578125" style="17" bestFit="1" customWidth="1"/>
    <col min="271" max="272" width="8.42578125" style="17"/>
    <col min="273" max="273" width="3.28515625" style="17" customWidth="1"/>
    <col min="274" max="512" width="8.42578125" style="17"/>
    <col min="513" max="513" width="10" style="17" bestFit="1" customWidth="1"/>
    <col min="514" max="514" width="44.28515625" style="17" bestFit="1" customWidth="1"/>
    <col min="515" max="515" width="10.42578125" style="17" bestFit="1" customWidth="1"/>
    <col min="516" max="516" width="10.42578125" style="17" customWidth="1"/>
    <col min="517" max="517" width="9.7109375" style="17" bestFit="1" customWidth="1"/>
    <col min="518" max="519" width="9.5703125" style="17" bestFit="1" customWidth="1"/>
    <col min="520" max="520" width="10.42578125" style="17" bestFit="1" customWidth="1"/>
    <col min="521" max="521" width="4.5703125" style="17" customWidth="1"/>
    <col min="522" max="522" width="1.85546875" style="17" customWidth="1"/>
    <col min="523" max="523" width="7" style="17" bestFit="1" customWidth="1"/>
    <col min="524" max="524" width="6.28515625" style="17" customWidth="1"/>
    <col min="525" max="525" width="20.42578125" style="17" customWidth="1"/>
    <col min="526" max="526" width="6.42578125" style="17" bestFit="1" customWidth="1"/>
    <col min="527" max="528" width="8.42578125" style="17"/>
    <col min="529" max="529" width="3.28515625" style="17" customWidth="1"/>
    <col min="530" max="768" width="8.42578125" style="17"/>
    <col min="769" max="769" width="10" style="17" bestFit="1" customWidth="1"/>
    <col min="770" max="770" width="44.28515625" style="17" bestFit="1" customWidth="1"/>
    <col min="771" max="771" width="10.42578125" style="17" bestFit="1" customWidth="1"/>
    <col min="772" max="772" width="10.42578125" style="17" customWidth="1"/>
    <col min="773" max="773" width="9.7109375" style="17" bestFit="1" customWidth="1"/>
    <col min="774" max="775" width="9.5703125" style="17" bestFit="1" customWidth="1"/>
    <col min="776" max="776" width="10.42578125" style="17" bestFit="1" customWidth="1"/>
    <col min="777" max="777" width="4.5703125" style="17" customWidth="1"/>
    <col min="778" max="778" width="1.85546875" style="17" customWidth="1"/>
    <col min="779" max="779" width="7" style="17" bestFit="1" customWidth="1"/>
    <col min="780" max="780" width="6.28515625" style="17" customWidth="1"/>
    <col min="781" max="781" width="20.42578125" style="17" customWidth="1"/>
    <col min="782" max="782" width="6.42578125" style="17" bestFit="1" customWidth="1"/>
    <col min="783" max="784" width="8.42578125" style="17"/>
    <col min="785" max="785" width="3.28515625" style="17" customWidth="1"/>
    <col min="786" max="1024" width="8.42578125" style="17"/>
    <col min="1025" max="1025" width="10" style="17" bestFit="1" customWidth="1"/>
    <col min="1026" max="1026" width="44.28515625" style="17" bestFit="1" customWidth="1"/>
    <col min="1027" max="1027" width="10.42578125" style="17" bestFit="1" customWidth="1"/>
    <col min="1028" max="1028" width="10.42578125" style="17" customWidth="1"/>
    <col min="1029" max="1029" width="9.7109375" style="17" bestFit="1" customWidth="1"/>
    <col min="1030" max="1031" width="9.5703125" style="17" bestFit="1" customWidth="1"/>
    <col min="1032" max="1032" width="10.42578125" style="17" bestFit="1" customWidth="1"/>
    <col min="1033" max="1033" width="4.5703125" style="17" customWidth="1"/>
    <col min="1034" max="1034" width="1.85546875" style="17" customWidth="1"/>
    <col min="1035" max="1035" width="7" style="17" bestFit="1" customWidth="1"/>
    <col min="1036" max="1036" width="6.28515625" style="17" customWidth="1"/>
    <col min="1037" max="1037" width="20.42578125" style="17" customWidth="1"/>
    <col min="1038" max="1038" width="6.42578125" style="17" bestFit="1" customWidth="1"/>
    <col min="1039" max="1040" width="8.42578125" style="17"/>
    <col min="1041" max="1041" width="3.28515625" style="17" customWidth="1"/>
    <col min="1042" max="1280" width="8.42578125" style="17"/>
    <col min="1281" max="1281" width="10" style="17" bestFit="1" customWidth="1"/>
    <col min="1282" max="1282" width="44.28515625" style="17" bestFit="1" customWidth="1"/>
    <col min="1283" max="1283" width="10.42578125" style="17" bestFit="1" customWidth="1"/>
    <col min="1284" max="1284" width="10.42578125" style="17" customWidth="1"/>
    <col min="1285" max="1285" width="9.7109375" style="17" bestFit="1" customWidth="1"/>
    <col min="1286" max="1287" width="9.5703125" style="17" bestFit="1" customWidth="1"/>
    <col min="1288" max="1288" width="10.42578125" style="17" bestFit="1" customWidth="1"/>
    <col min="1289" max="1289" width="4.5703125" style="17" customWidth="1"/>
    <col min="1290" max="1290" width="1.85546875" style="17" customWidth="1"/>
    <col min="1291" max="1291" width="7" style="17" bestFit="1" customWidth="1"/>
    <col min="1292" max="1292" width="6.28515625" style="17" customWidth="1"/>
    <col min="1293" max="1293" width="20.42578125" style="17" customWidth="1"/>
    <col min="1294" max="1294" width="6.42578125" style="17" bestFit="1" customWidth="1"/>
    <col min="1295" max="1296" width="8.42578125" style="17"/>
    <col min="1297" max="1297" width="3.28515625" style="17" customWidth="1"/>
    <col min="1298" max="1536" width="8.42578125" style="17"/>
    <col min="1537" max="1537" width="10" style="17" bestFit="1" customWidth="1"/>
    <col min="1538" max="1538" width="44.28515625" style="17" bestFit="1" customWidth="1"/>
    <col min="1539" max="1539" width="10.42578125" style="17" bestFit="1" customWidth="1"/>
    <col min="1540" max="1540" width="10.42578125" style="17" customWidth="1"/>
    <col min="1541" max="1541" width="9.7109375" style="17" bestFit="1" customWidth="1"/>
    <col min="1542" max="1543" width="9.5703125" style="17" bestFit="1" customWidth="1"/>
    <col min="1544" max="1544" width="10.42578125" style="17" bestFit="1" customWidth="1"/>
    <col min="1545" max="1545" width="4.5703125" style="17" customWidth="1"/>
    <col min="1546" max="1546" width="1.85546875" style="17" customWidth="1"/>
    <col min="1547" max="1547" width="7" style="17" bestFit="1" customWidth="1"/>
    <col min="1548" max="1548" width="6.28515625" style="17" customWidth="1"/>
    <col min="1549" max="1549" width="20.42578125" style="17" customWidth="1"/>
    <col min="1550" max="1550" width="6.42578125" style="17" bestFit="1" customWidth="1"/>
    <col min="1551" max="1552" width="8.42578125" style="17"/>
    <col min="1553" max="1553" width="3.28515625" style="17" customWidth="1"/>
    <col min="1554" max="1792" width="8.42578125" style="17"/>
    <col min="1793" max="1793" width="10" style="17" bestFit="1" customWidth="1"/>
    <col min="1794" max="1794" width="44.28515625" style="17" bestFit="1" customWidth="1"/>
    <col min="1795" max="1795" width="10.42578125" style="17" bestFit="1" customWidth="1"/>
    <col min="1796" max="1796" width="10.42578125" style="17" customWidth="1"/>
    <col min="1797" max="1797" width="9.7109375" style="17" bestFit="1" customWidth="1"/>
    <col min="1798" max="1799" width="9.5703125" style="17" bestFit="1" customWidth="1"/>
    <col min="1800" max="1800" width="10.42578125" style="17" bestFit="1" customWidth="1"/>
    <col min="1801" max="1801" width="4.5703125" style="17" customWidth="1"/>
    <col min="1802" max="1802" width="1.85546875" style="17" customWidth="1"/>
    <col min="1803" max="1803" width="7" style="17" bestFit="1" customWidth="1"/>
    <col min="1804" max="1804" width="6.28515625" style="17" customWidth="1"/>
    <col min="1805" max="1805" width="20.42578125" style="17" customWidth="1"/>
    <col min="1806" max="1806" width="6.42578125" style="17" bestFit="1" customWidth="1"/>
    <col min="1807" max="1808" width="8.42578125" style="17"/>
    <col min="1809" max="1809" width="3.28515625" style="17" customWidth="1"/>
    <col min="1810" max="2048" width="8.42578125" style="17"/>
    <col min="2049" max="2049" width="10" style="17" bestFit="1" customWidth="1"/>
    <col min="2050" max="2050" width="44.28515625" style="17" bestFit="1" customWidth="1"/>
    <col min="2051" max="2051" width="10.42578125" style="17" bestFit="1" customWidth="1"/>
    <col min="2052" max="2052" width="10.42578125" style="17" customWidth="1"/>
    <col min="2053" max="2053" width="9.7109375" style="17" bestFit="1" customWidth="1"/>
    <col min="2054" max="2055" width="9.5703125" style="17" bestFit="1" customWidth="1"/>
    <col min="2056" max="2056" width="10.42578125" style="17" bestFit="1" customWidth="1"/>
    <col min="2057" max="2057" width="4.5703125" style="17" customWidth="1"/>
    <col min="2058" max="2058" width="1.85546875" style="17" customWidth="1"/>
    <col min="2059" max="2059" width="7" style="17" bestFit="1" customWidth="1"/>
    <col min="2060" max="2060" width="6.28515625" style="17" customWidth="1"/>
    <col min="2061" max="2061" width="20.42578125" style="17" customWidth="1"/>
    <col min="2062" max="2062" width="6.42578125" style="17" bestFit="1" customWidth="1"/>
    <col min="2063" max="2064" width="8.42578125" style="17"/>
    <col min="2065" max="2065" width="3.28515625" style="17" customWidth="1"/>
    <col min="2066" max="2304" width="8.42578125" style="17"/>
    <col min="2305" max="2305" width="10" style="17" bestFit="1" customWidth="1"/>
    <col min="2306" max="2306" width="44.28515625" style="17" bestFit="1" customWidth="1"/>
    <col min="2307" max="2307" width="10.42578125" style="17" bestFit="1" customWidth="1"/>
    <col min="2308" max="2308" width="10.42578125" style="17" customWidth="1"/>
    <col min="2309" max="2309" width="9.7109375" style="17" bestFit="1" customWidth="1"/>
    <col min="2310" max="2311" width="9.5703125" style="17" bestFit="1" customWidth="1"/>
    <col min="2312" max="2312" width="10.42578125" style="17" bestFit="1" customWidth="1"/>
    <col min="2313" max="2313" width="4.5703125" style="17" customWidth="1"/>
    <col min="2314" max="2314" width="1.85546875" style="17" customWidth="1"/>
    <col min="2315" max="2315" width="7" style="17" bestFit="1" customWidth="1"/>
    <col min="2316" max="2316" width="6.28515625" style="17" customWidth="1"/>
    <col min="2317" max="2317" width="20.42578125" style="17" customWidth="1"/>
    <col min="2318" max="2318" width="6.42578125" style="17" bestFit="1" customWidth="1"/>
    <col min="2319" max="2320" width="8.42578125" style="17"/>
    <col min="2321" max="2321" width="3.28515625" style="17" customWidth="1"/>
    <col min="2322" max="2560" width="8.42578125" style="17"/>
    <col min="2561" max="2561" width="10" style="17" bestFit="1" customWidth="1"/>
    <col min="2562" max="2562" width="44.28515625" style="17" bestFit="1" customWidth="1"/>
    <col min="2563" max="2563" width="10.42578125" style="17" bestFit="1" customWidth="1"/>
    <col min="2564" max="2564" width="10.42578125" style="17" customWidth="1"/>
    <col min="2565" max="2565" width="9.7109375" style="17" bestFit="1" customWidth="1"/>
    <col min="2566" max="2567" width="9.5703125" style="17" bestFit="1" customWidth="1"/>
    <col min="2568" max="2568" width="10.42578125" style="17" bestFit="1" customWidth="1"/>
    <col min="2569" max="2569" width="4.5703125" style="17" customWidth="1"/>
    <col min="2570" max="2570" width="1.85546875" style="17" customWidth="1"/>
    <col min="2571" max="2571" width="7" style="17" bestFit="1" customWidth="1"/>
    <col min="2572" max="2572" width="6.28515625" style="17" customWidth="1"/>
    <col min="2573" max="2573" width="20.42578125" style="17" customWidth="1"/>
    <col min="2574" max="2574" width="6.42578125" style="17" bestFit="1" customWidth="1"/>
    <col min="2575" max="2576" width="8.42578125" style="17"/>
    <col min="2577" max="2577" width="3.28515625" style="17" customWidth="1"/>
    <col min="2578" max="2816" width="8.42578125" style="17"/>
    <col min="2817" max="2817" width="10" style="17" bestFit="1" customWidth="1"/>
    <col min="2818" max="2818" width="44.28515625" style="17" bestFit="1" customWidth="1"/>
    <col min="2819" max="2819" width="10.42578125" style="17" bestFit="1" customWidth="1"/>
    <col min="2820" max="2820" width="10.42578125" style="17" customWidth="1"/>
    <col min="2821" max="2821" width="9.7109375" style="17" bestFit="1" customWidth="1"/>
    <col min="2822" max="2823" width="9.5703125" style="17" bestFit="1" customWidth="1"/>
    <col min="2824" max="2824" width="10.42578125" style="17" bestFit="1" customWidth="1"/>
    <col min="2825" max="2825" width="4.5703125" style="17" customWidth="1"/>
    <col min="2826" max="2826" width="1.85546875" style="17" customWidth="1"/>
    <col min="2827" max="2827" width="7" style="17" bestFit="1" customWidth="1"/>
    <col min="2828" max="2828" width="6.28515625" style="17" customWidth="1"/>
    <col min="2829" max="2829" width="20.42578125" style="17" customWidth="1"/>
    <col min="2830" max="2830" width="6.42578125" style="17" bestFit="1" customWidth="1"/>
    <col min="2831" max="2832" width="8.42578125" style="17"/>
    <col min="2833" max="2833" width="3.28515625" style="17" customWidth="1"/>
    <col min="2834" max="3072" width="8.42578125" style="17"/>
    <col min="3073" max="3073" width="10" style="17" bestFit="1" customWidth="1"/>
    <col min="3074" max="3074" width="44.28515625" style="17" bestFit="1" customWidth="1"/>
    <col min="3075" max="3075" width="10.42578125" style="17" bestFit="1" customWidth="1"/>
    <col min="3076" max="3076" width="10.42578125" style="17" customWidth="1"/>
    <col min="3077" max="3077" width="9.7109375" style="17" bestFit="1" customWidth="1"/>
    <col min="3078" max="3079" width="9.5703125" style="17" bestFit="1" customWidth="1"/>
    <col min="3080" max="3080" width="10.42578125" style="17" bestFit="1" customWidth="1"/>
    <col min="3081" max="3081" width="4.5703125" style="17" customWidth="1"/>
    <col min="3082" max="3082" width="1.85546875" style="17" customWidth="1"/>
    <col min="3083" max="3083" width="7" style="17" bestFit="1" customWidth="1"/>
    <col min="3084" max="3084" width="6.28515625" style="17" customWidth="1"/>
    <col min="3085" max="3085" width="20.42578125" style="17" customWidth="1"/>
    <col min="3086" max="3086" width="6.42578125" style="17" bestFit="1" customWidth="1"/>
    <col min="3087" max="3088" width="8.42578125" style="17"/>
    <col min="3089" max="3089" width="3.28515625" style="17" customWidth="1"/>
    <col min="3090" max="3328" width="8.42578125" style="17"/>
    <col min="3329" max="3329" width="10" style="17" bestFit="1" customWidth="1"/>
    <col min="3330" max="3330" width="44.28515625" style="17" bestFit="1" customWidth="1"/>
    <col min="3331" max="3331" width="10.42578125" style="17" bestFit="1" customWidth="1"/>
    <col min="3332" max="3332" width="10.42578125" style="17" customWidth="1"/>
    <col min="3333" max="3333" width="9.7109375" style="17" bestFit="1" customWidth="1"/>
    <col min="3334" max="3335" width="9.5703125" style="17" bestFit="1" customWidth="1"/>
    <col min="3336" max="3336" width="10.42578125" style="17" bestFit="1" customWidth="1"/>
    <col min="3337" max="3337" width="4.5703125" style="17" customWidth="1"/>
    <col min="3338" max="3338" width="1.85546875" style="17" customWidth="1"/>
    <col min="3339" max="3339" width="7" style="17" bestFit="1" customWidth="1"/>
    <col min="3340" max="3340" width="6.28515625" style="17" customWidth="1"/>
    <col min="3341" max="3341" width="20.42578125" style="17" customWidth="1"/>
    <col min="3342" max="3342" width="6.42578125" style="17" bestFit="1" customWidth="1"/>
    <col min="3343" max="3344" width="8.42578125" style="17"/>
    <col min="3345" max="3345" width="3.28515625" style="17" customWidth="1"/>
    <col min="3346" max="3584" width="8.42578125" style="17"/>
    <col min="3585" max="3585" width="10" style="17" bestFit="1" customWidth="1"/>
    <col min="3586" max="3586" width="44.28515625" style="17" bestFit="1" customWidth="1"/>
    <col min="3587" max="3587" width="10.42578125" style="17" bestFit="1" customWidth="1"/>
    <col min="3588" max="3588" width="10.42578125" style="17" customWidth="1"/>
    <col min="3589" max="3589" width="9.7109375" style="17" bestFit="1" customWidth="1"/>
    <col min="3590" max="3591" width="9.5703125" style="17" bestFit="1" customWidth="1"/>
    <col min="3592" max="3592" width="10.42578125" style="17" bestFit="1" customWidth="1"/>
    <col min="3593" max="3593" width="4.5703125" style="17" customWidth="1"/>
    <col min="3594" max="3594" width="1.85546875" style="17" customWidth="1"/>
    <col min="3595" max="3595" width="7" style="17" bestFit="1" customWidth="1"/>
    <col min="3596" max="3596" width="6.28515625" style="17" customWidth="1"/>
    <col min="3597" max="3597" width="20.42578125" style="17" customWidth="1"/>
    <col min="3598" max="3598" width="6.42578125" style="17" bestFit="1" customWidth="1"/>
    <col min="3599" max="3600" width="8.42578125" style="17"/>
    <col min="3601" max="3601" width="3.28515625" style="17" customWidth="1"/>
    <col min="3602" max="3840" width="8.42578125" style="17"/>
    <col min="3841" max="3841" width="10" style="17" bestFit="1" customWidth="1"/>
    <col min="3842" max="3842" width="44.28515625" style="17" bestFit="1" customWidth="1"/>
    <col min="3843" max="3843" width="10.42578125" style="17" bestFit="1" customWidth="1"/>
    <col min="3844" max="3844" width="10.42578125" style="17" customWidth="1"/>
    <col min="3845" max="3845" width="9.7109375" style="17" bestFit="1" customWidth="1"/>
    <col min="3846" max="3847" width="9.5703125" style="17" bestFit="1" customWidth="1"/>
    <col min="3848" max="3848" width="10.42578125" style="17" bestFit="1" customWidth="1"/>
    <col min="3849" max="3849" width="4.5703125" style="17" customWidth="1"/>
    <col min="3850" max="3850" width="1.85546875" style="17" customWidth="1"/>
    <col min="3851" max="3851" width="7" style="17" bestFit="1" customWidth="1"/>
    <col min="3852" max="3852" width="6.28515625" style="17" customWidth="1"/>
    <col min="3853" max="3853" width="20.42578125" style="17" customWidth="1"/>
    <col min="3854" max="3854" width="6.42578125" style="17" bestFit="1" customWidth="1"/>
    <col min="3855" max="3856" width="8.42578125" style="17"/>
    <col min="3857" max="3857" width="3.28515625" style="17" customWidth="1"/>
    <col min="3858" max="4096" width="8.42578125" style="17"/>
    <col min="4097" max="4097" width="10" style="17" bestFit="1" customWidth="1"/>
    <col min="4098" max="4098" width="44.28515625" style="17" bestFit="1" customWidth="1"/>
    <col min="4099" max="4099" width="10.42578125" style="17" bestFit="1" customWidth="1"/>
    <col min="4100" max="4100" width="10.42578125" style="17" customWidth="1"/>
    <col min="4101" max="4101" width="9.7109375" style="17" bestFit="1" customWidth="1"/>
    <col min="4102" max="4103" width="9.5703125" style="17" bestFit="1" customWidth="1"/>
    <col min="4104" max="4104" width="10.42578125" style="17" bestFit="1" customWidth="1"/>
    <col min="4105" max="4105" width="4.5703125" style="17" customWidth="1"/>
    <col min="4106" max="4106" width="1.85546875" style="17" customWidth="1"/>
    <col min="4107" max="4107" width="7" style="17" bestFit="1" customWidth="1"/>
    <col min="4108" max="4108" width="6.28515625" style="17" customWidth="1"/>
    <col min="4109" max="4109" width="20.42578125" style="17" customWidth="1"/>
    <col min="4110" max="4110" width="6.42578125" style="17" bestFit="1" customWidth="1"/>
    <col min="4111" max="4112" width="8.42578125" style="17"/>
    <col min="4113" max="4113" width="3.28515625" style="17" customWidth="1"/>
    <col min="4114" max="4352" width="8.42578125" style="17"/>
    <col min="4353" max="4353" width="10" style="17" bestFit="1" customWidth="1"/>
    <col min="4354" max="4354" width="44.28515625" style="17" bestFit="1" customWidth="1"/>
    <col min="4355" max="4355" width="10.42578125" style="17" bestFit="1" customWidth="1"/>
    <col min="4356" max="4356" width="10.42578125" style="17" customWidth="1"/>
    <col min="4357" max="4357" width="9.7109375" style="17" bestFit="1" customWidth="1"/>
    <col min="4358" max="4359" width="9.5703125" style="17" bestFit="1" customWidth="1"/>
    <col min="4360" max="4360" width="10.42578125" style="17" bestFit="1" customWidth="1"/>
    <col min="4361" max="4361" width="4.5703125" style="17" customWidth="1"/>
    <col min="4362" max="4362" width="1.85546875" style="17" customWidth="1"/>
    <col min="4363" max="4363" width="7" style="17" bestFit="1" customWidth="1"/>
    <col min="4364" max="4364" width="6.28515625" style="17" customWidth="1"/>
    <col min="4365" max="4365" width="20.42578125" style="17" customWidth="1"/>
    <col min="4366" max="4366" width="6.42578125" style="17" bestFit="1" customWidth="1"/>
    <col min="4367" max="4368" width="8.42578125" style="17"/>
    <col min="4369" max="4369" width="3.28515625" style="17" customWidth="1"/>
    <col min="4370" max="4608" width="8.42578125" style="17"/>
    <col min="4609" max="4609" width="10" style="17" bestFit="1" customWidth="1"/>
    <col min="4610" max="4610" width="44.28515625" style="17" bestFit="1" customWidth="1"/>
    <col min="4611" max="4611" width="10.42578125" style="17" bestFit="1" customWidth="1"/>
    <col min="4612" max="4612" width="10.42578125" style="17" customWidth="1"/>
    <col min="4613" max="4613" width="9.7109375" style="17" bestFit="1" customWidth="1"/>
    <col min="4614" max="4615" width="9.5703125" style="17" bestFit="1" customWidth="1"/>
    <col min="4616" max="4616" width="10.42578125" style="17" bestFit="1" customWidth="1"/>
    <col min="4617" max="4617" width="4.5703125" style="17" customWidth="1"/>
    <col min="4618" max="4618" width="1.85546875" style="17" customWidth="1"/>
    <col min="4619" max="4619" width="7" style="17" bestFit="1" customWidth="1"/>
    <col min="4620" max="4620" width="6.28515625" style="17" customWidth="1"/>
    <col min="4621" max="4621" width="20.42578125" style="17" customWidth="1"/>
    <col min="4622" max="4622" width="6.42578125" style="17" bestFit="1" customWidth="1"/>
    <col min="4623" max="4624" width="8.42578125" style="17"/>
    <col min="4625" max="4625" width="3.28515625" style="17" customWidth="1"/>
    <col min="4626" max="4864" width="8.42578125" style="17"/>
    <col min="4865" max="4865" width="10" style="17" bestFit="1" customWidth="1"/>
    <col min="4866" max="4866" width="44.28515625" style="17" bestFit="1" customWidth="1"/>
    <col min="4867" max="4867" width="10.42578125" style="17" bestFit="1" customWidth="1"/>
    <col min="4868" max="4868" width="10.42578125" style="17" customWidth="1"/>
    <col min="4869" max="4869" width="9.7109375" style="17" bestFit="1" customWidth="1"/>
    <col min="4870" max="4871" width="9.5703125" style="17" bestFit="1" customWidth="1"/>
    <col min="4872" max="4872" width="10.42578125" style="17" bestFit="1" customWidth="1"/>
    <col min="4873" max="4873" width="4.5703125" style="17" customWidth="1"/>
    <col min="4874" max="4874" width="1.85546875" style="17" customWidth="1"/>
    <col min="4875" max="4875" width="7" style="17" bestFit="1" customWidth="1"/>
    <col min="4876" max="4876" width="6.28515625" style="17" customWidth="1"/>
    <col min="4877" max="4877" width="20.42578125" style="17" customWidth="1"/>
    <col min="4878" max="4878" width="6.42578125" style="17" bestFit="1" customWidth="1"/>
    <col min="4879" max="4880" width="8.42578125" style="17"/>
    <col min="4881" max="4881" width="3.28515625" style="17" customWidth="1"/>
    <col min="4882" max="5120" width="8.42578125" style="17"/>
    <col min="5121" max="5121" width="10" style="17" bestFit="1" customWidth="1"/>
    <col min="5122" max="5122" width="44.28515625" style="17" bestFit="1" customWidth="1"/>
    <col min="5123" max="5123" width="10.42578125" style="17" bestFit="1" customWidth="1"/>
    <col min="5124" max="5124" width="10.42578125" style="17" customWidth="1"/>
    <col min="5125" max="5125" width="9.7109375" style="17" bestFit="1" customWidth="1"/>
    <col min="5126" max="5127" width="9.5703125" style="17" bestFit="1" customWidth="1"/>
    <col min="5128" max="5128" width="10.42578125" style="17" bestFit="1" customWidth="1"/>
    <col min="5129" max="5129" width="4.5703125" style="17" customWidth="1"/>
    <col min="5130" max="5130" width="1.85546875" style="17" customWidth="1"/>
    <col min="5131" max="5131" width="7" style="17" bestFit="1" customWidth="1"/>
    <col min="5132" max="5132" width="6.28515625" style="17" customWidth="1"/>
    <col min="5133" max="5133" width="20.42578125" style="17" customWidth="1"/>
    <col min="5134" max="5134" width="6.42578125" style="17" bestFit="1" customWidth="1"/>
    <col min="5135" max="5136" width="8.42578125" style="17"/>
    <col min="5137" max="5137" width="3.28515625" style="17" customWidth="1"/>
    <col min="5138" max="5376" width="8.42578125" style="17"/>
    <col min="5377" max="5377" width="10" style="17" bestFit="1" customWidth="1"/>
    <col min="5378" max="5378" width="44.28515625" style="17" bestFit="1" customWidth="1"/>
    <col min="5379" max="5379" width="10.42578125" style="17" bestFit="1" customWidth="1"/>
    <col min="5380" max="5380" width="10.42578125" style="17" customWidth="1"/>
    <col min="5381" max="5381" width="9.7109375" style="17" bestFit="1" customWidth="1"/>
    <col min="5382" max="5383" width="9.5703125" style="17" bestFit="1" customWidth="1"/>
    <col min="5384" max="5384" width="10.42578125" style="17" bestFit="1" customWidth="1"/>
    <col min="5385" max="5385" width="4.5703125" style="17" customWidth="1"/>
    <col min="5386" max="5386" width="1.85546875" style="17" customWidth="1"/>
    <col min="5387" max="5387" width="7" style="17" bestFit="1" customWidth="1"/>
    <col min="5388" max="5388" width="6.28515625" style="17" customWidth="1"/>
    <col min="5389" max="5389" width="20.42578125" style="17" customWidth="1"/>
    <col min="5390" max="5390" width="6.42578125" style="17" bestFit="1" customWidth="1"/>
    <col min="5391" max="5392" width="8.42578125" style="17"/>
    <col min="5393" max="5393" width="3.28515625" style="17" customWidth="1"/>
    <col min="5394" max="5632" width="8.42578125" style="17"/>
    <col min="5633" max="5633" width="10" style="17" bestFit="1" customWidth="1"/>
    <col min="5634" max="5634" width="44.28515625" style="17" bestFit="1" customWidth="1"/>
    <col min="5635" max="5635" width="10.42578125" style="17" bestFit="1" customWidth="1"/>
    <col min="5636" max="5636" width="10.42578125" style="17" customWidth="1"/>
    <col min="5637" max="5637" width="9.7109375" style="17" bestFit="1" customWidth="1"/>
    <col min="5638" max="5639" width="9.5703125" style="17" bestFit="1" customWidth="1"/>
    <col min="5640" max="5640" width="10.42578125" style="17" bestFit="1" customWidth="1"/>
    <col min="5641" max="5641" width="4.5703125" style="17" customWidth="1"/>
    <col min="5642" max="5642" width="1.85546875" style="17" customWidth="1"/>
    <col min="5643" max="5643" width="7" style="17" bestFit="1" customWidth="1"/>
    <col min="5644" max="5644" width="6.28515625" style="17" customWidth="1"/>
    <col min="5645" max="5645" width="20.42578125" style="17" customWidth="1"/>
    <col min="5646" max="5646" width="6.42578125" style="17" bestFit="1" customWidth="1"/>
    <col min="5647" max="5648" width="8.42578125" style="17"/>
    <col min="5649" max="5649" width="3.28515625" style="17" customWidth="1"/>
    <col min="5650" max="5888" width="8.42578125" style="17"/>
    <col min="5889" max="5889" width="10" style="17" bestFit="1" customWidth="1"/>
    <col min="5890" max="5890" width="44.28515625" style="17" bestFit="1" customWidth="1"/>
    <col min="5891" max="5891" width="10.42578125" style="17" bestFit="1" customWidth="1"/>
    <col min="5892" max="5892" width="10.42578125" style="17" customWidth="1"/>
    <col min="5893" max="5893" width="9.7109375" style="17" bestFit="1" customWidth="1"/>
    <col min="5894" max="5895" width="9.5703125" style="17" bestFit="1" customWidth="1"/>
    <col min="5896" max="5896" width="10.42578125" style="17" bestFit="1" customWidth="1"/>
    <col min="5897" max="5897" width="4.5703125" style="17" customWidth="1"/>
    <col min="5898" max="5898" width="1.85546875" style="17" customWidth="1"/>
    <col min="5899" max="5899" width="7" style="17" bestFit="1" customWidth="1"/>
    <col min="5900" max="5900" width="6.28515625" style="17" customWidth="1"/>
    <col min="5901" max="5901" width="20.42578125" style="17" customWidth="1"/>
    <col min="5902" max="5902" width="6.42578125" style="17" bestFit="1" customWidth="1"/>
    <col min="5903" max="5904" width="8.42578125" style="17"/>
    <col min="5905" max="5905" width="3.28515625" style="17" customWidth="1"/>
    <col min="5906" max="6144" width="8.42578125" style="17"/>
    <col min="6145" max="6145" width="10" style="17" bestFit="1" customWidth="1"/>
    <col min="6146" max="6146" width="44.28515625" style="17" bestFit="1" customWidth="1"/>
    <col min="6147" max="6147" width="10.42578125" style="17" bestFit="1" customWidth="1"/>
    <col min="6148" max="6148" width="10.42578125" style="17" customWidth="1"/>
    <col min="6149" max="6149" width="9.7109375" style="17" bestFit="1" customWidth="1"/>
    <col min="6150" max="6151" width="9.5703125" style="17" bestFit="1" customWidth="1"/>
    <col min="6152" max="6152" width="10.42578125" style="17" bestFit="1" customWidth="1"/>
    <col min="6153" max="6153" width="4.5703125" style="17" customWidth="1"/>
    <col min="6154" max="6154" width="1.85546875" style="17" customWidth="1"/>
    <col min="6155" max="6155" width="7" style="17" bestFit="1" customWidth="1"/>
    <col min="6156" max="6156" width="6.28515625" style="17" customWidth="1"/>
    <col min="6157" max="6157" width="20.42578125" style="17" customWidth="1"/>
    <col min="6158" max="6158" width="6.42578125" style="17" bestFit="1" customWidth="1"/>
    <col min="6159" max="6160" width="8.42578125" style="17"/>
    <col min="6161" max="6161" width="3.28515625" style="17" customWidth="1"/>
    <col min="6162" max="6400" width="8.42578125" style="17"/>
    <col min="6401" max="6401" width="10" style="17" bestFit="1" customWidth="1"/>
    <col min="6402" max="6402" width="44.28515625" style="17" bestFit="1" customWidth="1"/>
    <col min="6403" max="6403" width="10.42578125" style="17" bestFit="1" customWidth="1"/>
    <col min="6404" max="6404" width="10.42578125" style="17" customWidth="1"/>
    <col min="6405" max="6405" width="9.7109375" style="17" bestFit="1" customWidth="1"/>
    <col min="6406" max="6407" width="9.5703125" style="17" bestFit="1" customWidth="1"/>
    <col min="6408" max="6408" width="10.42578125" style="17" bestFit="1" customWidth="1"/>
    <col min="6409" max="6409" width="4.5703125" style="17" customWidth="1"/>
    <col min="6410" max="6410" width="1.85546875" style="17" customWidth="1"/>
    <col min="6411" max="6411" width="7" style="17" bestFit="1" customWidth="1"/>
    <col min="6412" max="6412" width="6.28515625" style="17" customWidth="1"/>
    <col min="6413" max="6413" width="20.42578125" style="17" customWidth="1"/>
    <col min="6414" max="6414" width="6.42578125" style="17" bestFit="1" customWidth="1"/>
    <col min="6415" max="6416" width="8.42578125" style="17"/>
    <col min="6417" max="6417" width="3.28515625" style="17" customWidth="1"/>
    <col min="6418" max="6656" width="8.42578125" style="17"/>
    <col min="6657" max="6657" width="10" style="17" bestFit="1" customWidth="1"/>
    <col min="6658" max="6658" width="44.28515625" style="17" bestFit="1" customWidth="1"/>
    <col min="6659" max="6659" width="10.42578125" style="17" bestFit="1" customWidth="1"/>
    <col min="6660" max="6660" width="10.42578125" style="17" customWidth="1"/>
    <col min="6661" max="6661" width="9.7109375" style="17" bestFit="1" customWidth="1"/>
    <col min="6662" max="6663" width="9.5703125" style="17" bestFit="1" customWidth="1"/>
    <col min="6664" max="6664" width="10.42578125" style="17" bestFit="1" customWidth="1"/>
    <col min="6665" max="6665" width="4.5703125" style="17" customWidth="1"/>
    <col min="6666" max="6666" width="1.85546875" style="17" customWidth="1"/>
    <col min="6667" max="6667" width="7" style="17" bestFit="1" customWidth="1"/>
    <col min="6668" max="6668" width="6.28515625" style="17" customWidth="1"/>
    <col min="6669" max="6669" width="20.42578125" style="17" customWidth="1"/>
    <col min="6670" max="6670" width="6.42578125" style="17" bestFit="1" customWidth="1"/>
    <col min="6671" max="6672" width="8.42578125" style="17"/>
    <col min="6673" max="6673" width="3.28515625" style="17" customWidth="1"/>
    <col min="6674" max="6912" width="8.42578125" style="17"/>
    <col min="6913" max="6913" width="10" style="17" bestFit="1" customWidth="1"/>
    <col min="6914" max="6914" width="44.28515625" style="17" bestFit="1" customWidth="1"/>
    <col min="6915" max="6915" width="10.42578125" style="17" bestFit="1" customWidth="1"/>
    <col min="6916" max="6916" width="10.42578125" style="17" customWidth="1"/>
    <col min="6917" max="6917" width="9.7109375" style="17" bestFit="1" customWidth="1"/>
    <col min="6918" max="6919" width="9.5703125" style="17" bestFit="1" customWidth="1"/>
    <col min="6920" max="6920" width="10.42578125" style="17" bestFit="1" customWidth="1"/>
    <col min="6921" max="6921" width="4.5703125" style="17" customWidth="1"/>
    <col min="6922" max="6922" width="1.85546875" style="17" customWidth="1"/>
    <col min="6923" max="6923" width="7" style="17" bestFit="1" customWidth="1"/>
    <col min="6924" max="6924" width="6.28515625" style="17" customWidth="1"/>
    <col min="6925" max="6925" width="20.42578125" style="17" customWidth="1"/>
    <col min="6926" max="6926" width="6.42578125" style="17" bestFit="1" customWidth="1"/>
    <col min="6927" max="6928" width="8.42578125" style="17"/>
    <col min="6929" max="6929" width="3.28515625" style="17" customWidth="1"/>
    <col min="6930" max="7168" width="8.42578125" style="17"/>
    <col min="7169" max="7169" width="10" style="17" bestFit="1" customWidth="1"/>
    <col min="7170" max="7170" width="44.28515625" style="17" bestFit="1" customWidth="1"/>
    <col min="7171" max="7171" width="10.42578125" style="17" bestFit="1" customWidth="1"/>
    <col min="7172" max="7172" width="10.42578125" style="17" customWidth="1"/>
    <col min="7173" max="7173" width="9.7109375" style="17" bestFit="1" customWidth="1"/>
    <col min="7174" max="7175" width="9.5703125" style="17" bestFit="1" customWidth="1"/>
    <col min="7176" max="7176" width="10.42578125" style="17" bestFit="1" customWidth="1"/>
    <col min="7177" max="7177" width="4.5703125" style="17" customWidth="1"/>
    <col min="7178" max="7178" width="1.85546875" style="17" customWidth="1"/>
    <col min="7179" max="7179" width="7" style="17" bestFit="1" customWidth="1"/>
    <col min="7180" max="7180" width="6.28515625" style="17" customWidth="1"/>
    <col min="7181" max="7181" width="20.42578125" style="17" customWidth="1"/>
    <col min="7182" max="7182" width="6.42578125" style="17" bestFit="1" customWidth="1"/>
    <col min="7183" max="7184" width="8.42578125" style="17"/>
    <col min="7185" max="7185" width="3.28515625" style="17" customWidth="1"/>
    <col min="7186" max="7424" width="8.42578125" style="17"/>
    <col min="7425" max="7425" width="10" style="17" bestFit="1" customWidth="1"/>
    <col min="7426" max="7426" width="44.28515625" style="17" bestFit="1" customWidth="1"/>
    <col min="7427" max="7427" width="10.42578125" style="17" bestFit="1" customWidth="1"/>
    <col min="7428" max="7428" width="10.42578125" style="17" customWidth="1"/>
    <col min="7429" max="7429" width="9.7109375" style="17" bestFit="1" customWidth="1"/>
    <col min="7430" max="7431" width="9.5703125" style="17" bestFit="1" customWidth="1"/>
    <col min="7432" max="7432" width="10.42578125" style="17" bestFit="1" customWidth="1"/>
    <col min="7433" max="7433" width="4.5703125" style="17" customWidth="1"/>
    <col min="7434" max="7434" width="1.85546875" style="17" customWidth="1"/>
    <col min="7435" max="7435" width="7" style="17" bestFit="1" customWidth="1"/>
    <col min="7436" max="7436" width="6.28515625" style="17" customWidth="1"/>
    <col min="7437" max="7437" width="20.42578125" style="17" customWidth="1"/>
    <col min="7438" max="7438" width="6.42578125" style="17" bestFit="1" customWidth="1"/>
    <col min="7439" max="7440" width="8.42578125" style="17"/>
    <col min="7441" max="7441" width="3.28515625" style="17" customWidth="1"/>
    <col min="7442" max="7680" width="8.42578125" style="17"/>
    <col min="7681" max="7681" width="10" style="17" bestFit="1" customWidth="1"/>
    <col min="7682" max="7682" width="44.28515625" style="17" bestFit="1" customWidth="1"/>
    <col min="7683" max="7683" width="10.42578125" style="17" bestFit="1" customWidth="1"/>
    <col min="7684" max="7684" width="10.42578125" style="17" customWidth="1"/>
    <col min="7685" max="7685" width="9.7109375" style="17" bestFit="1" customWidth="1"/>
    <col min="7686" max="7687" width="9.5703125" style="17" bestFit="1" customWidth="1"/>
    <col min="7688" max="7688" width="10.42578125" style="17" bestFit="1" customWidth="1"/>
    <col min="7689" max="7689" width="4.5703125" style="17" customWidth="1"/>
    <col min="7690" max="7690" width="1.85546875" style="17" customWidth="1"/>
    <col min="7691" max="7691" width="7" style="17" bestFit="1" customWidth="1"/>
    <col min="7692" max="7692" width="6.28515625" style="17" customWidth="1"/>
    <col min="7693" max="7693" width="20.42578125" style="17" customWidth="1"/>
    <col min="7694" max="7694" width="6.42578125" style="17" bestFit="1" customWidth="1"/>
    <col min="7695" max="7696" width="8.42578125" style="17"/>
    <col min="7697" max="7697" width="3.28515625" style="17" customWidth="1"/>
    <col min="7698" max="7936" width="8.42578125" style="17"/>
    <col min="7937" max="7937" width="10" style="17" bestFit="1" customWidth="1"/>
    <col min="7938" max="7938" width="44.28515625" style="17" bestFit="1" customWidth="1"/>
    <col min="7939" max="7939" width="10.42578125" style="17" bestFit="1" customWidth="1"/>
    <col min="7940" max="7940" width="10.42578125" style="17" customWidth="1"/>
    <col min="7941" max="7941" width="9.7109375" style="17" bestFit="1" customWidth="1"/>
    <col min="7942" max="7943" width="9.5703125" style="17" bestFit="1" customWidth="1"/>
    <col min="7944" max="7944" width="10.42578125" style="17" bestFit="1" customWidth="1"/>
    <col min="7945" max="7945" width="4.5703125" style="17" customWidth="1"/>
    <col min="7946" max="7946" width="1.85546875" style="17" customWidth="1"/>
    <col min="7947" max="7947" width="7" style="17" bestFit="1" customWidth="1"/>
    <col min="7948" max="7948" width="6.28515625" style="17" customWidth="1"/>
    <col min="7949" max="7949" width="20.42578125" style="17" customWidth="1"/>
    <col min="7950" max="7950" width="6.42578125" style="17" bestFit="1" customWidth="1"/>
    <col min="7951" max="7952" width="8.42578125" style="17"/>
    <col min="7953" max="7953" width="3.28515625" style="17" customWidth="1"/>
    <col min="7954" max="8192" width="8.42578125" style="17"/>
    <col min="8193" max="8193" width="10" style="17" bestFit="1" customWidth="1"/>
    <col min="8194" max="8194" width="44.28515625" style="17" bestFit="1" customWidth="1"/>
    <col min="8195" max="8195" width="10.42578125" style="17" bestFit="1" customWidth="1"/>
    <col min="8196" max="8196" width="10.42578125" style="17" customWidth="1"/>
    <col min="8197" max="8197" width="9.7109375" style="17" bestFit="1" customWidth="1"/>
    <col min="8198" max="8199" width="9.5703125" style="17" bestFit="1" customWidth="1"/>
    <col min="8200" max="8200" width="10.42578125" style="17" bestFit="1" customWidth="1"/>
    <col min="8201" max="8201" width="4.5703125" style="17" customWidth="1"/>
    <col min="8202" max="8202" width="1.85546875" style="17" customWidth="1"/>
    <col min="8203" max="8203" width="7" style="17" bestFit="1" customWidth="1"/>
    <col min="8204" max="8204" width="6.28515625" style="17" customWidth="1"/>
    <col min="8205" max="8205" width="20.42578125" style="17" customWidth="1"/>
    <col min="8206" max="8206" width="6.42578125" style="17" bestFit="1" customWidth="1"/>
    <col min="8207" max="8208" width="8.42578125" style="17"/>
    <col min="8209" max="8209" width="3.28515625" style="17" customWidth="1"/>
    <col min="8210" max="8448" width="8.42578125" style="17"/>
    <col min="8449" max="8449" width="10" style="17" bestFit="1" customWidth="1"/>
    <col min="8450" max="8450" width="44.28515625" style="17" bestFit="1" customWidth="1"/>
    <col min="8451" max="8451" width="10.42578125" style="17" bestFit="1" customWidth="1"/>
    <col min="8452" max="8452" width="10.42578125" style="17" customWidth="1"/>
    <col min="8453" max="8453" width="9.7109375" style="17" bestFit="1" customWidth="1"/>
    <col min="8454" max="8455" width="9.5703125" style="17" bestFit="1" customWidth="1"/>
    <col min="8456" max="8456" width="10.42578125" style="17" bestFit="1" customWidth="1"/>
    <col min="8457" max="8457" width="4.5703125" style="17" customWidth="1"/>
    <col min="8458" max="8458" width="1.85546875" style="17" customWidth="1"/>
    <col min="8459" max="8459" width="7" style="17" bestFit="1" customWidth="1"/>
    <col min="8460" max="8460" width="6.28515625" style="17" customWidth="1"/>
    <col min="8461" max="8461" width="20.42578125" style="17" customWidth="1"/>
    <col min="8462" max="8462" width="6.42578125" style="17" bestFit="1" customWidth="1"/>
    <col min="8463" max="8464" width="8.42578125" style="17"/>
    <col min="8465" max="8465" width="3.28515625" style="17" customWidth="1"/>
    <col min="8466" max="8704" width="8.42578125" style="17"/>
    <col min="8705" max="8705" width="10" style="17" bestFit="1" customWidth="1"/>
    <col min="8706" max="8706" width="44.28515625" style="17" bestFit="1" customWidth="1"/>
    <col min="8707" max="8707" width="10.42578125" style="17" bestFit="1" customWidth="1"/>
    <col min="8708" max="8708" width="10.42578125" style="17" customWidth="1"/>
    <col min="8709" max="8709" width="9.7109375" style="17" bestFit="1" customWidth="1"/>
    <col min="8710" max="8711" width="9.5703125" style="17" bestFit="1" customWidth="1"/>
    <col min="8712" max="8712" width="10.42578125" style="17" bestFit="1" customWidth="1"/>
    <col min="8713" max="8713" width="4.5703125" style="17" customWidth="1"/>
    <col min="8714" max="8714" width="1.85546875" style="17" customWidth="1"/>
    <col min="8715" max="8715" width="7" style="17" bestFit="1" customWidth="1"/>
    <col min="8716" max="8716" width="6.28515625" style="17" customWidth="1"/>
    <col min="8717" max="8717" width="20.42578125" style="17" customWidth="1"/>
    <col min="8718" max="8718" width="6.42578125" style="17" bestFit="1" customWidth="1"/>
    <col min="8719" max="8720" width="8.42578125" style="17"/>
    <col min="8721" max="8721" width="3.28515625" style="17" customWidth="1"/>
    <col min="8722" max="8960" width="8.42578125" style="17"/>
    <col min="8961" max="8961" width="10" style="17" bestFit="1" customWidth="1"/>
    <col min="8962" max="8962" width="44.28515625" style="17" bestFit="1" customWidth="1"/>
    <col min="8963" max="8963" width="10.42578125" style="17" bestFit="1" customWidth="1"/>
    <col min="8964" max="8964" width="10.42578125" style="17" customWidth="1"/>
    <col min="8965" max="8965" width="9.7109375" style="17" bestFit="1" customWidth="1"/>
    <col min="8966" max="8967" width="9.5703125" style="17" bestFit="1" customWidth="1"/>
    <col min="8968" max="8968" width="10.42578125" style="17" bestFit="1" customWidth="1"/>
    <col min="8969" max="8969" width="4.5703125" style="17" customWidth="1"/>
    <col min="8970" max="8970" width="1.85546875" style="17" customWidth="1"/>
    <col min="8971" max="8971" width="7" style="17" bestFit="1" customWidth="1"/>
    <col min="8972" max="8972" width="6.28515625" style="17" customWidth="1"/>
    <col min="8973" max="8973" width="20.42578125" style="17" customWidth="1"/>
    <col min="8974" max="8974" width="6.42578125" style="17" bestFit="1" customWidth="1"/>
    <col min="8975" max="8976" width="8.42578125" style="17"/>
    <col min="8977" max="8977" width="3.28515625" style="17" customWidth="1"/>
    <col min="8978" max="9216" width="8.42578125" style="17"/>
    <col min="9217" max="9217" width="10" style="17" bestFit="1" customWidth="1"/>
    <col min="9218" max="9218" width="44.28515625" style="17" bestFit="1" customWidth="1"/>
    <col min="9219" max="9219" width="10.42578125" style="17" bestFit="1" customWidth="1"/>
    <col min="9220" max="9220" width="10.42578125" style="17" customWidth="1"/>
    <col min="9221" max="9221" width="9.7109375" style="17" bestFit="1" customWidth="1"/>
    <col min="9222" max="9223" width="9.5703125" style="17" bestFit="1" customWidth="1"/>
    <col min="9224" max="9224" width="10.42578125" style="17" bestFit="1" customWidth="1"/>
    <col min="9225" max="9225" width="4.5703125" style="17" customWidth="1"/>
    <col min="9226" max="9226" width="1.85546875" style="17" customWidth="1"/>
    <col min="9227" max="9227" width="7" style="17" bestFit="1" customWidth="1"/>
    <col min="9228" max="9228" width="6.28515625" style="17" customWidth="1"/>
    <col min="9229" max="9229" width="20.42578125" style="17" customWidth="1"/>
    <col min="9230" max="9230" width="6.42578125" style="17" bestFit="1" customWidth="1"/>
    <col min="9231" max="9232" width="8.42578125" style="17"/>
    <col min="9233" max="9233" width="3.28515625" style="17" customWidth="1"/>
    <col min="9234" max="9472" width="8.42578125" style="17"/>
    <col min="9473" max="9473" width="10" style="17" bestFit="1" customWidth="1"/>
    <col min="9474" max="9474" width="44.28515625" style="17" bestFit="1" customWidth="1"/>
    <col min="9475" max="9475" width="10.42578125" style="17" bestFit="1" customWidth="1"/>
    <col min="9476" max="9476" width="10.42578125" style="17" customWidth="1"/>
    <col min="9477" max="9477" width="9.7109375" style="17" bestFit="1" customWidth="1"/>
    <col min="9478" max="9479" width="9.5703125" style="17" bestFit="1" customWidth="1"/>
    <col min="9480" max="9480" width="10.42578125" style="17" bestFit="1" customWidth="1"/>
    <col min="9481" max="9481" width="4.5703125" style="17" customWidth="1"/>
    <col min="9482" max="9482" width="1.85546875" style="17" customWidth="1"/>
    <col min="9483" max="9483" width="7" style="17" bestFit="1" customWidth="1"/>
    <col min="9484" max="9484" width="6.28515625" style="17" customWidth="1"/>
    <col min="9485" max="9485" width="20.42578125" style="17" customWidth="1"/>
    <col min="9486" max="9486" width="6.42578125" style="17" bestFit="1" customWidth="1"/>
    <col min="9487" max="9488" width="8.42578125" style="17"/>
    <col min="9489" max="9489" width="3.28515625" style="17" customWidth="1"/>
    <col min="9490" max="9728" width="8.42578125" style="17"/>
    <col min="9729" max="9729" width="10" style="17" bestFit="1" customWidth="1"/>
    <col min="9730" max="9730" width="44.28515625" style="17" bestFit="1" customWidth="1"/>
    <col min="9731" max="9731" width="10.42578125" style="17" bestFit="1" customWidth="1"/>
    <col min="9732" max="9732" width="10.42578125" style="17" customWidth="1"/>
    <col min="9733" max="9733" width="9.7109375" style="17" bestFit="1" customWidth="1"/>
    <col min="9734" max="9735" width="9.5703125" style="17" bestFit="1" customWidth="1"/>
    <col min="9736" max="9736" width="10.42578125" style="17" bestFit="1" customWidth="1"/>
    <col min="9737" max="9737" width="4.5703125" style="17" customWidth="1"/>
    <col min="9738" max="9738" width="1.85546875" style="17" customWidth="1"/>
    <col min="9739" max="9739" width="7" style="17" bestFit="1" customWidth="1"/>
    <col min="9740" max="9740" width="6.28515625" style="17" customWidth="1"/>
    <col min="9741" max="9741" width="20.42578125" style="17" customWidth="1"/>
    <col min="9742" max="9742" width="6.42578125" style="17" bestFit="1" customWidth="1"/>
    <col min="9743" max="9744" width="8.42578125" style="17"/>
    <col min="9745" max="9745" width="3.28515625" style="17" customWidth="1"/>
    <col min="9746" max="9984" width="8.42578125" style="17"/>
    <col min="9985" max="9985" width="10" style="17" bestFit="1" customWidth="1"/>
    <col min="9986" max="9986" width="44.28515625" style="17" bestFit="1" customWidth="1"/>
    <col min="9987" max="9987" width="10.42578125" style="17" bestFit="1" customWidth="1"/>
    <col min="9988" max="9988" width="10.42578125" style="17" customWidth="1"/>
    <col min="9989" max="9989" width="9.7109375" style="17" bestFit="1" customWidth="1"/>
    <col min="9990" max="9991" width="9.5703125" style="17" bestFit="1" customWidth="1"/>
    <col min="9992" max="9992" width="10.42578125" style="17" bestFit="1" customWidth="1"/>
    <col min="9993" max="9993" width="4.5703125" style="17" customWidth="1"/>
    <col min="9994" max="9994" width="1.85546875" style="17" customWidth="1"/>
    <col min="9995" max="9995" width="7" style="17" bestFit="1" customWidth="1"/>
    <col min="9996" max="9996" width="6.28515625" style="17" customWidth="1"/>
    <col min="9997" max="9997" width="20.42578125" style="17" customWidth="1"/>
    <col min="9998" max="9998" width="6.42578125" style="17" bestFit="1" customWidth="1"/>
    <col min="9999" max="10000" width="8.42578125" style="17"/>
    <col min="10001" max="10001" width="3.28515625" style="17" customWidth="1"/>
    <col min="10002" max="10240" width="8.42578125" style="17"/>
    <col min="10241" max="10241" width="10" style="17" bestFit="1" customWidth="1"/>
    <col min="10242" max="10242" width="44.28515625" style="17" bestFit="1" customWidth="1"/>
    <col min="10243" max="10243" width="10.42578125" style="17" bestFit="1" customWidth="1"/>
    <col min="10244" max="10244" width="10.42578125" style="17" customWidth="1"/>
    <col min="10245" max="10245" width="9.7109375" style="17" bestFit="1" customWidth="1"/>
    <col min="10246" max="10247" width="9.5703125" style="17" bestFit="1" customWidth="1"/>
    <col min="10248" max="10248" width="10.42578125" style="17" bestFit="1" customWidth="1"/>
    <col min="10249" max="10249" width="4.5703125" style="17" customWidth="1"/>
    <col min="10250" max="10250" width="1.85546875" style="17" customWidth="1"/>
    <col min="10251" max="10251" width="7" style="17" bestFit="1" customWidth="1"/>
    <col min="10252" max="10252" width="6.28515625" style="17" customWidth="1"/>
    <col min="10253" max="10253" width="20.42578125" style="17" customWidth="1"/>
    <col min="10254" max="10254" width="6.42578125" style="17" bestFit="1" customWidth="1"/>
    <col min="10255" max="10256" width="8.42578125" style="17"/>
    <col min="10257" max="10257" width="3.28515625" style="17" customWidth="1"/>
    <col min="10258" max="10496" width="8.42578125" style="17"/>
    <col min="10497" max="10497" width="10" style="17" bestFit="1" customWidth="1"/>
    <col min="10498" max="10498" width="44.28515625" style="17" bestFit="1" customWidth="1"/>
    <col min="10499" max="10499" width="10.42578125" style="17" bestFit="1" customWidth="1"/>
    <col min="10500" max="10500" width="10.42578125" style="17" customWidth="1"/>
    <col min="10501" max="10501" width="9.7109375" style="17" bestFit="1" customWidth="1"/>
    <col min="10502" max="10503" width="9.5703125" style="17" bestFit="1" customWidth="1"/>
    <col min="10504" max="10504" width="10.42578125" style="17" bestFit="1" customWidth="1"/>
    <col min="10505" max="10505" width="4.5703125" style="17" customWidth="1"/>
    <col min="10506" max="10506" width="1.85546875" style="17" customWidth="1"/>
    <col min="10507" max="10507" width="7" style="17" bestFit="1" customWidth="1"/>
    <col min="10508" max="10508" width="6.28515625" style="17" customWidth="1"/>
    <col min="10509" max="10509" width="20.42578125" style="17" customWidth="1"/>
    <col min="10510" max="10510" width="6.42578125" style="17" bestFit="1" customWidth="1"/>
    <col min="10511" max="10512" width="8.42578125" style="17"/>
    <col min="10513" max="10513" width="3.28515625" style="17" customWidth="1"/>
    <col min="10514" max="10752" width="8.42578125" style="17"/>
    <col min="10753" max="10753" width="10" style="17" bestFit="1" customWidth="1"/>
    <col min="10754" max="10754" width="44.28515625" style="17" bestFit="1" customWidth="1"/>
    <col min="10755" max="10755" width="10.42578125" style="17" bestFit="1" customWidth="1"/>
    <col min="10756" max="10756" width="10.42578125" style="17" customWidth="1"/>
    <col min="10757" max="10757" width="9.7109375" style="17" bestFit="1" customWidth="1"/>
    <col min="10758" max="10759" width="9.5703125" style="17" bestFit="1" customWidth="1"/>
    <col min="10760" max="10760" width="10.42578125" style="17" bestFit="1" customWidth="1"/>
    <col min="10761" max="10761" width="4.5703125" style="17" customWidth="1"/>
    <col min="10762" max="10762" width="1.85546875" style="17" customWidth="1"/>
    <col min="10763" max="10763" width="7" style="17" bestFit="1" customWidth="1"/>
    <col min="10764" max="10764" width="6.28515625" style="17" customWidth="1"/>
    <col min="10765" max="10765" width="20.42578125" style="17" customWidth="1"/>
    <col min="10766" max="10766" width="6.42578125" style="17" bestFit="1" customWidth="1"/>
    <col min="10767" max="10768" width="8.42578125" style="17"/>
    <col min="10769" max="10769" width="3.28515625" style="17" customWidth="1"/>
    <col min="10770" max="11008" width="8.42578125" style="17"/>
    <col min="11009" max="11009" width="10" style="17" bestFit="1" customWidth="1"/>
    <col min="11010" max="11010" width="44.28515625" style="17" bestFit="1" customWidth="1"/>
    <col min="11011" max="11011" width="10.42578125" style="17" bestFit="1" customWidth="1"/>
    <col min="11012" max="11012" width="10.42578125" style="17" customWidth="1"/>
    <col min="11013" max="11013" width="9.7109375" style="17" bestFit="1" customWidth="1"/>
    <col min="11014" max="11015" width="9.5703125" style="17" bestFit="1" customWidth="1"/>
    <col min="11016" max="11016" width="10.42578125" style="17" bestFit="1" customWidth="1"/>
    <col min="11017" max="11017" width="4.5703125" style="17" customWidth="1"/>
    <col min="11018" max="11018" width="1.85546875" style="17" customWidth="1"/>
    <col min="11019" max="11019" width="7" style="17" bestFit="1" customWidth="1"/>
    <col min="11020" max="11020" width="6.28515625" style="17" customWidth="1"/>
    <col min="11021" max="11021" width="20.42578125" style="17" customWidth="1"/>
    <col min="11022" max="11022" width="6.42578125" style="17" bestFit="1" customWidth="1"/>
    <col min="11023" max="11024" width="8.42578125" style="17"/>
    <col min="11025" max="11025" width="3.28515625" style="17" customWidth="1"/>
    <col min="11026" max="11264" width="8.42578125" style="17"/>
    <col min="11265" max="11265" width="10" style="17" bestFit="1" customWidth="1"/>
    <col min="11266" max="11266" width="44.28515625" style="17" bestFit="1" customWidth="1"/>
    <col min="11267" max="11267" width="10.42578125" style="17" bestFit="1" customWidth="1"/>
    <col min="11268" max="11268" width="10.42578125" style="17" customWidth="1"/>
    <col min="11269" max="11269" width="9.7109375" style="17" bestFit="1" customWidth="1"/>
    <col min="11270" max="11271" width="9.5703125" style="17" bestFit="1" customWidth="1"/>
    <col min="11272" max="11272" width="10.42578125" style="17" bestFit="1" customWidth="1"/>
    <col min="11273" max="11273" width="4.5703125" style="17" customWidth="1"/>
    <col min="11274" max="11274" width="1.85546875" style="17" customWidth="1"/>
    <col min="11275" max="11275" width="7" style="17" bestFit="1" customWidth="1"/>
    <col min="11276" max="11276" width="6.28515625" style="17" customWidth="1"/>
    <col min="11277" max="11277" width="20.42578125" style="17" customWidth="1"/>
    <col min="11278" max="11278" width="6.42578125" style="17" bestFit="1" customWidth="1"/>
    <col min="11279" max="11280" width="8.42578125" style="17"/>
    <col min="11281" max="11281" width="3.28515625" style="17" customWidth="1"/>
    <col min="11282" max="11520" width="8.42578125" style="17"/>
    <col min="11521" max="11521" width="10" style="17" bestFit="1" customWidth="1"/>
    <col min="11522" max="11522" width="44.28515625" style="17" bestFit="1" customWidth="1"/>
    <col min="11523" max="11523" width="10.42578125" style="17" bestFit="1" customWidth="1"/>
    <col min="11524" max="11524" width="10.42578125" style="17" customWidth="1"/>
    <col min="11525" max="11525" width="9.7109375" style="17" bestFit="1" customWidth="1"/>
    <col min="11526" max="11527" width="9.5703125" style="17" bestFit="1" customWidth="1"/>
    <col min="11528" max="11528" width="10.42578125" style="17" bestFit="1" customWidth="1"/>
    <col min="11529" max="11529" width="4.5703125" style="17" customWidth="1"/>
    <col min="11530" max="11530" width="1.85546875" style="17" customWidth="1"/>
    <col min="11531" max="11531" width="7" style="17" bestFit="1" customWidth="1"/>
    <col min="11532" max="11532" width="6.28515625" style="17" customWidth="1"/>
    <col min="11533" max="11533" width="20.42578125" style="17" customWidth="1"/>
    <col min="11534" max="11534" width="6.42578125" style="17" bestFit="1" customWidth="1"/>
    <col min="11535" max="11536" width="8.42578125" style="17"/>
    <col min="11537" max="11537" width="3.28515625" style="17" customWidth="1"/>
    <col min="11538" max="11776" width="8.42578125" style="17"/>
    <col min="11777" max="11777" width="10" style="17" bestFit="1" customWidth="1"/>
    <col min="11778" max="11778" width="44.28515625" style="17" bestFit="1" customWidth="1"/>
    <col min="11779" max="11779" width="10.42578125" style="17" bestFit="1" customWidth="1"/>
    <col min="11780" max="11780" width="10.42578125" style="17" customWidth="1"/>
    <col min="11781" max="11781" width="9.7109375" style="17" bestFit="1" customWidth="1"/>
    <col min="11782" max="11783" width="9.5703125" style="17" bestFit="1" customWidth="1"/>
    <col min="11784" max="11784" width="10.42578125" style="17" bestFit="1" customWidth="1"/>
    <col min="11785" max="11785" width="4.5703125" style="17" customWidth="1"/>
    <col min="11786" max="11786" width="1.85546875" style="17" customWidth="1"/>
    <col min="11787" max="11787" width="7" style="17" bestFit="1" customWidth="1"/>
    <col min="11788" max="11788" width="6.28515625" style="17" customWidth="1"/>
    <col min="11789" max="11789" width="20.42578125" style="17" customWidth="1"/>
    <col min="11790" max="11790" width="6.42578125" style="17" bestFit="1" customWidth="1"/>
    <col min="11791" max="11792" width="8.42578125" style="17"/>
    <col min="11793" max="11793" width="3.28515625" style="17" customWidth="1"/>
    <col min="11794" max="12032" width="8.42578125" style="17"/>
    <col min="12033" max="12033" width="10" style="17" bestFit="1" customWidth="1"/>
    <col min="12034" max="12034" width="44.28515625" style="17" bestFit="1" customWidth="1"/>
    <col min="12035" max="12035" width="10.42578125" style="17" bestFit="1" customWidth="1"/>
    <col min="12036" max="12036" width="10.42578125" style="17" customWidth="1"/>
    <col min="12037" max="12037" width="9.7109375" style="17" bestFit="1" customWidth="1"/>
    <col min="12038" max="12039" width="9.5703125" style="17" bestFit="1" customWidth="1"/>
    <col min="12040" max="12040" width="10.42578125" style="17" bestFit="1" customWidth="1"/>
    <col min="12041" max="12041" width="4.5703125" style="17" customWidth="1"/>
    <col min="12042" max="12042" width="1.85546875" style="17" customWidth="1"/>
    <col min="12043" max="12043" width="7" style="17" bestFit="1" customWidth="1"/>
    <col min="12044" max="12044" width="6.28515625" style="17" customWidth="1"/>
    <col min="12045" max="12045" width="20.42578125" style="17" customWidth="1"/>
    <col min="12046" max="12046" width="6.42578125" style="17" bestFit="1" customWidth="1"/>
    <col min="12047" max="12048" width="8.42578125" style="17"/>
    <col min="12049" max="12049" width="3.28515625" style="17" customWidth="1"/>
    <col min="12050" max="12288" width="8.42578125" style="17"/>
    <col min="12289" max="12289" width="10" style="17" bestFit="1" customWidth="1"/>
    <col min="12290" max="12290" width="44.28515625" style="17" bestFit="1" customWidth="1"/>
    <col min="12291" max="12291" width="10.42578125" style="17" bestFit="1" customWidth="1"/>
    <col min="12292" max="12292" width="10.42578125" style="17" customWidth="1"/>
    <col min="12293" max="12293" width="9.7109375" style="17" bestFit="1" customWidth="1"/>
    <col min="12294" max="12295" width="9.5703125" style="17" bestFit="1" customWidth="1"/>
    <col min="12296" max="12296" width="10.42578125" style="17" bestFit="1" customWidth="1"/>
    <col min="12297" max="12297" width="4.5703125" style="17" customWidth="1"/>
    <col min="12298" max="12298" width="1.85546875" style="17" customWidth="1"/>
    <col min="12299" max="12299" width="7" style="17" bestFit="1" customWidth="1"/>
    <col min="12300" max="12300" width="6.28515625" style="17" customWidth="1"/>
    <col min="12301" max="12301" width="20.42578125" style="17" customWidth="1"/>
    <col min="12302" max="12302" width="6.42578125" style="17" bestFit="1" customWidth="1"/>
    <col min="12303" max="12304" width="8.42578125" style="17"/>
    <col min="12305" max="12305" width="3.28515625" style="17" customWidth="1"/>
    <col min="12306" max="12544" width="8.42578125" style="17"/>
    <col min="12545" max="12545" width="10" style="17" bestFit="1" customWidth="1"/>
    <col min="12546" max="12546" width="44.28515625" style="17" bestFit="1" customWidth="1"/>
    <col min="12547" max="12547" width="10.42578125" style="17" bestFit="1" customWidth="1"/>
    <col min="12548" max="12548" width="10.42578125" style="17" customWidth="1"/>
    <col min="12549" max="12549" width="9.7109375" style="17" bestFit="1" customWidth="1"/>
    <col min="12550" max="12551" width="9.5703125" style="17" bestFit="1" customWidth="1"/>
    <col min="12552" max="12552" width="10.42578125" style="17" bestFit="1" customWidth="1"/>
    <col min="12553" max="12553" width="4.5703125" style="17" customWidth="1"/>
    <col min="12554" max="12554" width="1.85546875" style="17" customWidth="1"/>
    <col min="12555" max="12555" width="7" style="17" bestFit="1" customWidth="1"/>
    <col min="12556" max="12556" width="6.28515625" style="17" customWidth="1"/>
    <col min="12557" max="12557" width="20.42578125" style="17" customWidth="1"/>
    <col min="12558" max="12558" width="6.42578125" style="17" bestFit="1" customWidth="1"/>
    <col min="12559" max="12560" width="8.42578125" style="17"/>
    <col min="12561" max="12561" width="3.28515625" style="17" customWidth="1"/>
    <col min="12562" max="12800" width="8.42578125" style="17"/>
    <col min="12801" max="12801" width="10" style="17" bestFit="1" customWidth="1"/>
    <col min="12802" max="12802" width="44.28515625" style="17" bestFit="1" customWidth="1"/>
    <col min="12803" max="12803" width="10.42578125" style="17" bestFit="1" customWidth="1"/>
    <col min="12804" max="12804" width="10.42578125" style="17" customWidth="1"/>
    <col min="12805" max="12805" width="9.7109375" style="17" bestFit="1" customWidth="1"/>
    <col min="12806" max="12807" width="9.5703125" style="17" bestFit="1" customWidth="1"/>
    <col min="12808" max="12808" width="10.42578125" style="17" bestFit="1" customWidth="1"/>
    <col min="12809" max="12809" width="4.5703125" style="17" customWidth="1"/>
    <col min="12810" max="12810" width="1.85546875" style="17" customWidth="1"/>
    <col min="12811" max="12811" width="7" style="17" bestFit="1" customWidth="1"/>
    <col min="12812" max="12812" width="6.28515625" style="17" customWidth="1"/>
    <col min="12813" max="12813" width="20.42578125" style="17" customWidth="1"/>
    <col min="12814" max="12814" width="6.42578125" style="17" bestFit="1" customWidth="1"/>
    <col min="12815" max="12816" width="8.42578125" style="17"/>
    <col min="12817" max="12817" width="3.28515625" style="17" customWidth="1"/>
    <col min="12818" max="13056" width="8.42578125" style="17"/>
    <col min="13057" max="13057" width="10" style="17" bestFit="1" customWidth="1"/>
    <col min="13058" max="13058" width="44.28515625" style="17" bestFit="1" customWidth="1"/>
    <col min="13059" max="13059" width="10.42578125" style="17" bestFit="1" customWidth="1"/>
    <col min="13060" max="13060" width="10.42578125" style="17" customWidth="1"/>
    <col min="13061" max="13061" width="9.7109375" style="17" bestFit="1" customWidth="1"/>
    <col min="13062" max="13063" width="9.5703125" style="17" bestFit="1" customWidth="1"/>
    <col min="13064" max="13064" width="10.42578125" style="17" bestFit="1" customWidth="1"/>
    <col min="13065" max="13065" width="4.5703125" style="17" customWidth="1"/>
    <col min="13066" max="13066" width="1.85546875" style="17" customWidth="1"/>
    <col min="13067" max="13067" width="7" style="17" bestFit="1" customWidth="1"/>
    <col min="13068" max="13068" width="6.28515625" style="17" customWidth="1"/>
    <col min="13069" max="13069" width="20.42578125" style="17" customWidth="1"/>
    <col min="13070" max="13070" width="6.42578125" style="17" bestFit="1" customWidth="1"/>
    <col min="13071" max="13072" width="8.42578125" style="17"/>
    <col min="13073" max="13073" width="3.28515625" style="17" customWidth="1"/>
    <col min="13074" max="13312" width="8.42578125" style="17"/>
    <col min="13313" max="13313" width="10" style="17" bestFit="1" customWidth="1"/>
    <col min="13314" max="13314" width="44.28515625" style="17" bestFit="1" customWidth="1"/>
    <col min="13315" max="13315" width="10.42578125" style="17" bestFit="1" customWidth="1"/>
    <col min="13316" max="13316" width="10.42578125" style="17" customWidth="1"/>
    <col min="13317" max="13317" width="9.7109375" style="17" bestFit="1" customWidth="1"/>
    <col min="13318" max="13319" width="9.5703125" style="17" bestFit="1" customWidth="1"/>
    <col min="13320" max="13320" width="10.42578125" style="17" bestFit="1" customWidth="1"/>
    <col min="13321" max="13321" width="4.5703125" style="17" customWidth="1"/>
    <col min="13322" max="13322" width="1.85546875" style="17" customWidth="1"/>
    <col min="13323" max="13323" width="7" style="17" bestFit="1" customWidth="1"/>
    <col min="13324" max="13324" width="6.28515625" style="17" customWidth="1"/>
    <col min="13325" max="13325" width="20.42578125" style="17" customWidth="1"/>
    <col min="13326" max="13326" width="6.42578125" style="17" bestFit="1" customWidth="1"/>
    <col min="13327" max="13328" width="8.42578125" style="17"/>
    <col min="13329" max="13329" width="3.28515625" style="17" customWidth="1"/>
    <col min="13330" max="13568" width="8.42578125" style="17"/>
    <col min="13569" max="13569" width="10" style="17" bestFit="1" customWidth="1"/>
    <col min="13570" max="13570" width="44.28515625" style="17" bestFit="1" customWidth="1"/>
    <col min="13571" max="13571" width="10.42578125" style="17" bestFit="1" customWidth="1"/>
    <col min="13572" max="13572" width="10.42578125" style="17" customWidth="1"/>
    <col min="13573" max="13573" width="9.7109375" style="17" bestFit="1" customWidth="1"/>
    <col min="13574" max="13575" width="9.5703125" style="17" bestFit="1" customWidth="1"/>
    <col min="13576" max="13576" width="10.42578125" style="17" bestFit="1" customWidth="1"/>
    <col min="13577" max="13577" width="4.5703125" style="17" customWidth="1"/>
    <col min="13578" max="13578" width="1.85546875" style="17" customWidth="1"/>
    <col min="13579" max="13579" width="7" style="17" bestFit="1" customWidth="1"/>
    <col min="13580" max="13580" width="6.28515625" style="17" customWidth="1"/>
    <col min="13581" max="13581" width="20.42578125" style="17" customWidth="1"/>
    <col min="13582" max="13582" width="6.42578125" style="17" bestFit="1" customWidth="1"/>
    <col min="13583" max="13584" width="8.42578125" style="17"/>
    <col min="13585" max="13585" width="3.28515625" style="17" customWidth="1"/>
    <col min="13586" max="13824" width="8.42578125" style="17"/>
    <col min="13825" max="13825" width="10" style="17" bestFit="1" customWidth="1"/>
    <col min="13826" max="13826" width="44.28515625" style="17" bestFit="1" customWidth="1"/>
    <col min="13827" max="13827" width="10.42578125" style="17" bestFit="1" customWidth="1"/>
    <col min="13828" max="13828" width="10.42578125" style="17" customWidth="1"/>
    <col min="13829" max="13829" width="9.7109375" style="17" bestFit="1" customWidth="1"/>
    <col min="13830" max="13831" width="9.5703125" style="17" bestFit="1" customWidth="1"/>
    <col min="13832" max="13832" width="10.42578125" style="17" bestFit="1" customWidth="1"/>
    <col min="13833" max="13833" width="4.5703125" style="17" customWidth="1"/>
    <col min="13834" max="13834" width="1.85546875" style="17" customWidth="1"/>
    <col min="13835" max="13835" width="7" style="17" bestFit="1" customWidth="1"/>
    <col min="13836" max="13836" width="6.28515625" style="17" customWidth="1"/>
    <col min="13837" max="13837" width="20.42578125" style="17" customWidth="1"/>
    <col min="13838" max="13838" width="6.42578125" style="17" bestFit="1" customWidth="1"/>
    <col min="13839" max="13840" width="8.42578125" style="17"/>
    <col min="13841" max="13841" width="3.28515625" style="17" customWidth="1"/>
    <col min="13842" max="14080" width="8.42578125" style="17"/>
    <col min="14081" max="14081" width="10" style="17" bestFit="1" customWidth="1"/>
    <col min="14082" max="14082" width="44.28515625" style="17" bestFit="1" customWidth="1"/>
    <col min="14083" max="14083" width="10.42578125" style="17" bestFit="1" customWidth="1"/>
    <col min="14084" max="14084" width="10.42578125" style="17" customWidth="1"/>
    <col min="14085" max="14085" width="9.7109375" style="17" bestFit="1" customWidth="1"/>
    <col min="14086" max="14087" width="9.5703125" style="17" bestFit="1" customWidth="1"/>
    <col min="14088" max="14088" width="10.42578125" style="17" bestFit="1" customWidth="1"/>
    <col min="14089" max="14089" width="4.5703125" style="17" customWidth="1"/>
    <col min="14090" max="14090" width="1.85546875" style="17" customWidth="1"/>
    <col min="14091" max="14091" width="7" style="17" bestFit="1" customWidth="1"/>
    <col min="14092" max="14092" width="6.28515625" style="17" customWidth="1"/>
    <col min="14093" max="14093" width="20.42578125" style="17" customWidth="1"/>
    <col min="14094" max="14094" width="6.42578125" style="17" bestFit="1" customWidth="1"/>
    <col min="14095" max="14096" width="8.42578125" style="17"/>
    <col min="14097" max="14097" width="3.28515625" style="17" customWidth="1"/>
    <col min="14098" max="14336" width="8.42578125" style="17"/>
    <col min="14337" max="14337" width="10" style="17" bestFit="1" customWidth="1"/>
    <col min="14338" max="14338" width="44.28515625" style="17" bestFit="1" customWidth="1"/>
    <col min="14339" max="14339" width="10.42578125" style="17" bestFit="1" customWidth="1"/>
    <col min="14340" max="14340" width="10.42578125" style="17" customWidth="1"/>
    <col min="14341" max="14341" width="9.7109375" style="17" bestFit="1" customWidth="1"/>
    <col min="14342" max="14343" width="9.5703125" style="17" bestFit="1" customWidth="1"/>
    <col min="14344" max="14344" width="10.42578125" style="17" bestFit="1" customWidth="1"/>
    <col min="14345" max="14345" width="4.5703125" style="17" customWidth="1"/>
    <col min="14346" max="14346" width="1.85546875" style="17" customWidth="1"/>
    <col min="14347" max="14347" width="7" style="17" bestFit="1" customWidth="1"/>
    <col min="14348" max="14348" width="6.28515625" style="17" customWidth="1"/>
    <col min="14349" max="14349" width="20.42578125" style="17" customWidth="1"/>
    <col min="14350" max="14350" width="6.42578125" style="17" bestFit="1" customWidth="1"/>
    <col min="14351" max="14352" width="8.42578125" style="17"/>
    <col min="14353" max="14353" width="3.28515625" style="17" customWidth="1"/>
    <col min="14354" max="14592" width="8.42578125" style="17"/>
    <col min="14593" max="14593" width="10" style="17" bestFit="1" customWidth="1"/>
    <col min="14594" max="14594" width="44.28515625" style="17" bestFit="1" customWidth="1"/>
    <col min="14595" max="14595" width="10.42578125" style="17" bestFit="1" customWidth="1"/>
    <col min="14596" max="14596" width="10.42578125" style="17" customWidth="1"/>
    <col min="14597" max="14597" width="9.7109375" style="17" bestFit="1" customWidth="1"/>
    <col min="14598" max="14599" width="9.5703125" style="17" bestFit="1" customWidth="1"/>
    <col min="14600" max="14600" width="10.42578125" style="17" bestFit="1" customWidth="1"/>
    <col min="14601" max="14601" width="4.5703125" style="17" customWidth="1"/>
    <col min="14602" max="14602" width="1.85546875" style="17" customWidth="1"/>
    <col min="14603" max="14603" width="7" style="17" bestFit="1" customWidth="1"/>
    <col min="14604" max="14604" width="6.28515625" style="17" customWidth="1"/>
    <col min="14605" max="14605" width="20.42578125" style="17" customWidth="1"/>
    <col min="14606" max="14606" width="6.42578125" style="17" bestFit="1" customWidth="1"/>
    <col min="14607" max="14608" width="8.42578125" style="17"/>
    <col min="14609" max="14609" width="3.28515625" style="17" customWidth="1"/>
    <col min="14610" max="14848" width="8.42578125" style="17"/>
    <col min="14849" max="14849" width="10" style="17" bestFit="1" customWidth="1"/>
    <col min="14850" max="14850" width="44.28515625" style="17" bestFit="1" customWidth="1"/>
    <col min="14851" max="14851" width="10.42578125" style="17" bestFit="1" customWidth="1"/>
    <col min="14852" max="14852" width="10.42578125" style="17" customWidth="1"/>
    <col min="14853" max="14853" width="9.7109375" style="17" bestFit="1" customWidth="1"/>
    <col min="14854" max="14855" width="9.5703125" style="17" bestFit="1" customWidth="1"/>
    <col min="14856" max="14856" width="10.42578125" style="17" bestFit="1" customWidth="1"/>
    <col min="14857" max="14857" width="4.5703125" style="17" customWidth="1"/>
    <col min="14858" max="14858" width="1.85546875" style="17" customWidth="1"/>
    <col min="14859" max="14859" width="7" style="17" bestFit="1" customWidth="1"/>
    <col min="14860" max="14860" width="6.28515625" style="17" customWidth="1"/>
    <col min="14861" max="14861" width="20.42578125" style="17" customWidth="1"/>
    <col min="14862" max="14862" width="6.42578125" style="17" bestFit="1" customWidth="1"/>
    <col min="14863" max="14864" width="8.42578125" style="17"/>
    <col min="14865" max="14865" width="3.28515625" style="17" customWidth="1"/>
    <col min="14866" max="15104" width="8.42578125" style="17"/>
    <col min="15105" max="15105" width="10" style="17" bestFit="1" customWidth="1"/>
    <col min="15106" max="15106" width="44.28515625" style="17" bestFit="1" customWidth="1"/>
    <col min="15107" max="15107" width="10.42578125" style="17" bestFit="1" customWidth="1"/>
    <col min="15108" max="15108" width="10.42578125" style="17" customWidth="1"/>
    <col min="15109" max="15109" width="9.7109375" style="17" bestFit="1" customWidth="1"/>
    <col min="15110" max="15111" width="9.5703125" style="17" bestFit="1" customWidth="1"/>
    <col min="15112" max="15112" width="10.42578125" style="17" bestFit="1" customWidth="1"/>
    <col min="15113" max="15113" width="4.5703125" style="17" customWidth="1"/>
    <col min="15114" max="15114" width="1.85546875" style="17" customWidth="1"/>
    <col min="15115" max="15115" width="7" style="17" bestFit="1" customWidth="1"/>
    <col min="15116" max="15116" width="6.28515625" style="17" customWidth="1"/>
    <col min="15117" max="15117" width="20.42578125" style="17" customWidth="1"/>
    <col min="15118" max="15118" width="6.42578125" style="17" bestFit="1" customWidth="1"/>
    <col min="15119" max="15120" width="8.42578125" style="17"/>
    <col min="15121" max="15121" width="3.28515625" style="17" customWidth="1"/>
    <col min="15122" max="15360" width="8.42578125" style="17"/>
    <col min="15361" max="15361" width="10" style="17" bestFit="1" customWidth="1"/>
    <col min="15362" max="15362" width="44.28515625" style="17" bestFit="1" customWidth="1"/>
    <col min="15363" max="15363" width="10.42578125" style="17" bestFit="1" customWidth="1"/>
    <col min="15364" max="15364" width="10.42578125" style="17" customWidth="1"/>
    <col min="15365" max="15365" width="9.7109375" style="17" bestFit="1" customWidth="1"/>
    <col min="15366" max="15367" width="9.5703125" style="17" bestFit="1" customWidth="1"/>
    <col min="15368" max="15368" width="10.42578125" style="17" bestFit="1" customWidth="1"/>
    <col min="15369" max="15369" width="4.5703125" style="17" customWidth="1"/>
    <col min="15370" max="15370" width="1.85546875" style="17" customWidth="1"/>
    <col min="15371" max="15371" width="7" style="17" bestFit="1" customWidth="1"/>
    <col min="15372" max="15372" width="6.28515625" style="17" customWidth="1"/>
    <col min="15373" max="15373" width="20.42578125" style="17" customWidth="1"/>
    <col min="15374" max="15374" width="6.42578125" style="17" bestFit="1" customWidth="1"/>
    <col min="15375" max="15376" width="8.42578125" style="17"/>
    <col min="15377" max="15377" width="3.28515625" style="17" customWidth="1"/>
    <col min="15378" max="15616" width="8.42578125" style="17"/>
    <col min="15617" max="15617" width="10" style="17" bestFit="1" customWidth="1"/>
    <col min="15618" max="15618" width="44.28515625" style="17" bestFit="1" customWidth="1"/>
    <col min="15619" max="15619" width="10.42578125" style="17" bestFit="1" customWidth="1"/>
    <col min="15620" max="15620" width="10.42578125" style="17" customWidth="1"/>
    <col min="15621" max="15621" width="9.7109375" style="17" bestFit="1" customWidth="1"/>
    <col min="15622" max="15623" width="9.5703125" style="17" bestFit="1" customWidth="1"/>
    <col min="15624" max="15624" width="10.42578125" style="17" bestFit="1" customWidth="1"/>
    <col min="15625" max="15625" width="4.5703125" style="17" customWidth="1"/>
    <col min="15626" max="15626" width="1.85546875" style="17" customWidth="1"/>
    <col min="15627" max="15627" width="7" style="17" bestFit="1" customWidth="1"/>
    <col min="15628" max="15628" width="6.28515625" style="17" customWidth="1"/>
    <col min="15629" max="15629" width="20.42578125" style="17" customWidth="1"/>
    <col min="15630" max="15630" width="6.42578125" style="17" bestFit="1" customWidth="1"/>
    <col min="15631" max="15632" width="8.42578125" style="17"/>
    <col min="15633" max="15633" width="3.28515625" style="17" customWidth="1"/>
    <col min="15634" max="15872" width="8.42578125" style="17"/>
    <col min="15873" max="15873" width="10" style="17" bestFit="1" customWidth="1"/>
    <col min="15874" max="15874" width="44.28515625" style="17" bestFit="1" customWidth="1"/>
    <col min="15875" max="15875" width="10.42578125" style="17" bestFit="1" customWidth="1"/>
    <col min="15876" max="15876" width="10.42578125" style="17" customWidth="1"/>
    <col min="15877" max="15877" width="9.7109375" style="17" bestFit="1" customWidth="1"/>
    <col min="15878" max="15879" width="9.5703125" style="17" bestFit="1" customWidth="1"/>
    <col min="15880" max="15880" width="10.42578125" style="17" bestFit="1" customWidth="1"/>
    <col min="15881" max="15881" width="4.5703125" style="17" customWidth="1"/>
    <col min="15882" max="15882" width="1.85546875" style="17" customWidth="1"/>
    <col min="15883" max="15883" width="7" style="17" bestFit="1" customWidth="1"/>
    <col min="15884" max="15884" width="6.28515625" style="17" customWidth="1"/>
    <col min="15885" max="15885" width="20.42578125" style="17" customWidth="1"/>
    <col min="15886" max="15886" width="6.42578125" style="17" bestFit="1" customWidth="1"/>
    <col min="15887" max="15888" width="8.42578125" style="17"/>
    <col min="15889" max="15889" width="3.28515625" style="17" customWidth="1"/>
    <col min="15890" max="16128" width="8.42578125" style="17"/>
    <col min="16129" max="16129" width="10" style="17" bestFit="1" customWidth="1"/>
    <col min="16130" max="16130" width="44.28515625" style="17" bestFit="1" customWidth="1"/>
    <col min="16131" max="16131" width="10.42578125" style="17" bestFit="1" customWidth="1"/>
    <col min="16132" max="16132" width="10.42578125" style="17" customWidth="1"/>
    <col min="16133" max="16133" width="9.7109375" style="17" bestFit="1" customWidth="1"/>
    <col min="16134" max="16135" width="9.5703125" style="17" bestFit="1" customWidth="1"/>
    <col min="16136" max="16136" width="10.42578125" style="17" bestFit="1" customWidth="1"/>
    <col min="16137" max="16137" width="4.5703125" style="17" customWidth="1"/>
    <col min="16138" max="16138" width="1.85546875" style="17" customWidth="1"/>
    <col min="16139" max="16139" width="7" style="17" bestFit="1" customWidth="1"/>
    <col min="16140" max="16140" width="6.28515625" style="17" customWidth="1"/>
    <col min="16141" max="16141" width="20.42578125" style="17" customWidth="1"/>
    <col min="16142" max="16142" width="6.42578125" style="17" bestFit="1" customWidth="1"/>
    <col min="16143" max="16144" width="8.42578125" style="17"/>
    <col min="16145" max="16145" width="3.28515625" style="17" customWidth="1"/>
    <col min="16146" max="16384" width="8.42578125" style="17"/>
  </cols>
  <sheetData>
    <row r="1" spans="1:10" ht="27.75" customHeight="1" x14ac:dyDescent="0.2">
      <c r="A1" s="13"/>
      <c r="B1" s="13"/>
      <c r="C1" s="13"/>
      <c r="D1" s="13"/>
      <c r="E1" s="14" t="s">
        <v>45</v>
      </c>
      <c r="F1" s="15" t="s">
        <v>46</v>
      </c>
      <c r="G1" s="15" t="s">
        <v>47</v>
      </c>
      <c r="H1" s="15" t="s">
        <v>48</v>
      </c>
      <c r="I1" s="37"/>
    </row>
    <row r="2" spans="1:10" ht="30.75" customHeight="1" x14ac:dyDescent="0.2">
      <c r="A2" s="13"/>
      <c r="B2" s="13"/>
      <c r="C2" s="13"/>
      <c r="D2" s="13"/>
      <c r="E2" s="18">
        <f>IFERROR(O62,"")</f>
        <v>338.3140796410529</v>
      </c>
      <c r="F2" s="18">
        <f>IFERROR(H53,"")</f>
        <v>164.82287467331517</v>
      </c>
      <c r="G2" s="18">
        <f>IFERROR(H54,"")</f>
        <v>6.3722079300000001</v>
      </c>
      <c r="H2" s="18">
        <f>IFERROR(H56,"")</f>
        <v>84.856074868596735</v>
      </c>
      <c r="I2" s="19"/>
    </row>
    <row r="3" spans="1:10" ht="15" customHeight="1" x14ac:dyDescent="0.2">
      <c r="A3" s="13"/>
      <c r="B3" s="13"/>
      <c r="C3" s="13"/>
      <c r="D3" s="13"/>
      <c r="E3" s="13"/>
      <c r="F3" s="20"/>
      <c r="G3" s="20"/>
      <c r="H3" s="20"/>
      <c r="I3" s="20"/>
    </row>
    <row r="4" spans="1:10" ht="24.75" customHeight="1" thickBot="1" x14ac:dyDescent="0.25">
      <c r="A4" s="142"/>
      <c r="B4" s="142"/>
      <c r="C4" s="142"/>
      <c r="D4" s="142"/>
      <c r="E4" s="142"/>
      <c r="F4" s="142"/>
      <c r="G4" s="142"/>
      <c r="H4" s="142"/>
      <c r="I4" s="21"/>
    </row>
    <row r="5" spans="1:10" ht="19.5" customHeight="1" thickBot="1" x14ac:dyDescent="0.25">
      <c r="A5" s="143" t="s">
        <v>49</v>
      </c>
      <c r="B5" s="144"/>
      <c r="C5" s="144"/>
      <c r="D5" s="144"/>
      <c r="E5" s="144"/>
      <c r="F5" s="144"/>
      <c r="G5" s="144"/>
      <c r="H5" s="145"/>
      <c r="I5" s="22"/>
    </row>
    <row r="6" spans="1:10" ht="19.5" thickBot="1" x14ac:dyDescent="0.25">
      <c r="A6" s="22"/>
      <c r="B6" s="22"/>
      <c r="C6" s="22"/>
      <c r="D6" s="22"/>
      <c r="E6" s="22"/>
      <c r="F6" s="146" t="s">
        <v>50</v>
      </c>
      <c r="G6" s="146"/>
      <c r="H6" s="23">
        <f ca="1">TODAY()</f>
        <v>45919</v>
      </c>
      <c r="I6" s="23"/>
    </row>
    <row r="7" spans="1:10" ht="26.25" hidden="1" thickBot="1" x14ac:dyDescent="0.25">
      <c r="A7" s="24" t="s">
        <v>51</v>
      </c>
      <c r="B7" s="25" t="s">
        <v>52</v>
      </c>
      <c r="C7" s="25" t="s">
        <v>51</v>
      </c>
      <c r="D7" s="26" t="s">
        <v>53</v>
      </c>
      <c r="E7" s="26" t="s">
        <v>54</v>
      </c>
      <c r="F7" s="26" t="s">
        <v>55</v>
      </c>
      <c r="G7" s="26" t="s">
        <v>56</v>
      </c>
      <c r="H7" s="27" t="s">
        <v>57</v>
      </c>
      <c r="I7" s="28"/>
    </row>
    <row r="8" spans="1:10" ht="13.5" hidden="1" x14ac:dyDescent="0.25">
      <c r="A8" s="29"/>
      <c r="B8" s="17" t="str">
        <f>IFERROR(VLOOKUP(H8,'[1]Consolidado MP Planta'!$A$2:$M$823,3,0),"")</f>
        <v/>
      </c>
      <c r="C8" s="30">
        <f>+A8</f>
        <v>0</v>
      </c>
      <c r="D8" s="31" t="str">
        <f>IFERROR(VLOOKUP(H8,'[1]Consolidado MP Planta'!$A$2:$M$823,13,0),"")</f>
        <v/>
      </c>
      <c r="E8" s="31" t="str">
        <f>IFERROR(VLOOKUP(H8,'[1]Consolidado MP Planta'!$A$2:$M$823,12,0),"")</f>
        <v/>
      </c>
      <c r="F8" s="31" t="str">
        <f>IFERROR(C8*E8,"")</f>
        <v/>
      </c>
      <c r="G8" s="32" t="str">
        <f t="shared" ref="G8:G14" si="0">IFERROR(F8/$F$66,"")</f>
        <v/>
      </c>
      <c r="H8" s="33"/>
      <c r="I8" s="33"/>
      <c r="J8" s="34"/>
    </row>
    <row r="9" spans="1:10" ht="13.5" hidden="1" x14ac:dyDescent="0.25">
      <c r="A9" s="29"/>
      <c r="B9" s="17" t="str">
        <f>IFERROR(VLOOKUP(H9,'[1]Consolidado MP Planta'!$A$2:$M$823,3,0),"")</f>
        <v/>
      </c>
      <c r="C9" s="30">
        <f t="shared" ref="C9:C14" si="1">+A9</f>
        <v>0</v>
      </c>
      <c r="D9" s="31" t="str">
        <f>IFERROR(VLOOKUP(H9,'[1]Consolidado MP Planta'!$A$2:$M$823,13,0),"")</f>
        <v/>
      </c>
      <c r="E9" s="31" t="str">
        <f>IFERROR(VLOOKUP(H9,'[1]Consolidado MP Planta'!$A$2:$M$823,12,0),"")</f>
        <v/>
      </c>
      <c r="F9" s="31" t="str">
        <f t="shared" ref="F9:F14" si="2">IFERROR(C9*E9,"")</f>
        <v/>
      </c>
      <c r="G9" s="32" t="str">
        <f t="shared" si="0"/>
        <v/>
      </c>
      <c r="H9" s="33"/>
      <c r="I9" s="33"/>
      <c r="J9" s="34"/>
    </row>
    <row r="10" spans="1:10" ht="13.5" hidden="1" x14ac:dyDescent="0.25">
      <c r="A10" s="29"/>
      <c r="B10" s="17" t="str">
        <f>IFERROR(VLOOKUP(H10,'[1]Consolidado MP Planta'!$A$2:$M$823,3,0),"")</f>
        <v/>
      </c>
      <c r="C10" s="30">
        <f t="shared" si="1"/>
        <v>0</v>
      </c>
      <c r="D10" s="31" t="str">
        <f>IFERROR(VLOOKUP(H10,'[1]Consolidado MP Planta'!$A$2:$M$823,13,0),"")</f>
        <v/>
      </c>
      <c r="E10" s="31" t="str">
        <f>IFERROR(VLOOKUP(H10,'[1]Consolidado MP Planta'!$A$2:$M$823,12,0),"")</f>
        <v/>
      </c>
      <c r="F10" s="31" t="str">
        <f t="shared" si="2"/>
        <v/>
      </c>
      <c r="G10" s="32" t="str">
        <f t="shared" si="0"/>
        <v/>
      </c>
      <c r="H10" s="33"/>
      <c r="I10" s="33"/>
      <c r="J10" s="34"/>
    </row>
    <row r="11" spans="1:10" ht="13.5" hidden="1" x14ac:dyDescent="0.25">
      <c r="A11" s="29"/>
      <c r="B11" s="17" t="str">
        <f>IFERROR(VLOOKUP(H11,'[1]Consolidado MP Planta'!$A$2:$M$823,3,0),"")</f>
        <v/>
      </c>
      <c r="C11" s="30">
        <f t="shared" si="1"/>
        <v>0</v>
      </c>
      <c r="D11" s="31" t="str">
        <f>IFERROR(VLOOKUP(H11,'[1]Consolidado MP Planta'!$A$2:$M$823,13,0),"")</f>
        <v/>
      </c>
      <c r="E11" s="31" t="str">
        <f>IFERROR(VLOOKUP(H11,'[1]Consolidado MP Planta'!$A$2:$M$823,12,0),"")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 x14ac:dyDescent="0.25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 x14ac:dyDescent="0.25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 x14ac:dyDescent="0.25">
      <c r="A14" s="29"/>
      <c r="B14" s="17" t="str">
        <f>IFERROR(VLOOKUP(H14,'[1]Consolidado MP Planta'!$A$2:$M$823,3,0),"")</f>
        <v/>
      </c>
      <c r="C14" s="30">
        <f t="shared" si="1"/>
        <v>0</v>
      </c>
      <c r="D14" s="31" t="str">
        <f>IFERROR(VLOOKUP(H14,'[1]Consolidado MP Planta'!$A$2:$M$823,13,0),"")</f>
        <v/>
      </c>
      <c r="E14" s="31" t="str">
        <f>IFERROR(VLOOKUP(H14,'[1]Consolidado MP Planta'!$A$2:$M$823,12,0),"")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hidden="1" thickBot="1" x14ac:dyDescent="0.3">
      <c r="A15" s="29"/>
      <c r="B15" s="17" t="str">
        <f>IFERROR(VLOOKUP(H15,'[2]ARTICULOS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51</v>
      </c>
      <c r="B16" s="25" t="s">
        <v>58</v>
      </c>
      <c r="C16" s="25" t="s">
        <v>51</v>
      </c>
      <c r="D16" s="26" t="s">
        <v>53</v>
      </c>
      <c r="E16" s="26" t="s">
        <v>54</v>
      </c>
      <c r="F16" s="26" t="s">
        <v>55</v>
      </c>
      <c r="G16" s="26" t="s">
        <v>56</v>
      </c>
      <c r="H16" s="27" t="s">
        <v>57</v>
      </c>
      <c r="I16" s="28"/>
      <c r="J16" s="34"/>
    </row>
    <row r="17" spans="1:12" ht="13.5" x14ac:dyDescent="0.25">
      <c r="A17" s="29">
        <v>100</v>
      </c>
      <c r="B17" s="17" t="str">
        <f>IFERROR(VLOOKUP(H17,[1]SEMIELABORADOS!$A$2:$M$6000,2,0),"")</f>
        <v>HUMUS GARBANZO KILO</v>
      </c>
      <c r="C17" s="30">
        <f>+A17</f>
        <v>100</v>
      </c>
      <c r="D17" s="30" t="str">
        <f>IFERROR(VLOOKUP(H17,[1]SEMIELABORADOS!$A$2:$M$6000,6,0),"")</f>
        <v>Gramo</v>
      </c>
      <c r="E17" s="31">
        <f>IFERROR(VLOOKUP(H17,[1]SEMIELABORADOS!$A$2:$H$65536,8,0),"")</f>
        <v>1.6482287467331518</v>
      </c>
      <c r="F17" s="31">
        <f>IFERROR(E17*C17,"")</f>
        <v>164.82287467331517</v>
      </c>
      <c r="G17" s="32">
        <f t="shared" ref="G17:G24" si="3">IFERROR(F17/$F$66,"")</f>
        <v>0.71820893530021124</v>
      </c>
      <c r="H17" s="33" t="s">
        <v>94</v>
      </c>
      <c r="I17" s="33"/>
      <c r="J17" s="34"/>
    </row>
    <row r="18" spans="1:12" ht="13.5" hidden="1" x14ac:dyDescent="0.25">
      <c r="A18" s="29"/>
      <c r="B18" s="17" t="str">
        <f>IFERROR(VLOOKUP(H18,[1]SEMIELABORADOS!$A$2:$M$6000,2,0),"")</f>
        <v/>
      </c>
      <c r="C18" s="30">
        <f t="shared" ref="C18:C24" si="4">+A18</f>
        <v>0</v>
      </c>
      <c r="D18" s="30" t="str">
        <f>IFERROR(VLOOKUP(H18,[1]SEMIELABORADOS!$A$2:$M$6000,6,0),"")</f>
        <v/>
      </c>
      <c r="E18" s="31" t="str">
        <f>IFERROR(VLOOKUP(H18,[1]SEMIELABORADOS!$A$2:$H$65536,8,0),"")</f>
        <v/>
      </c>
      <c r="F18" s="31" t="str">
        <f t="shared" ref="F18:F24" si="5">IFERROR(E18*C18,"")</f>
        <v/>
      </c>
      <c r="G18" s="32" t="str">
        <f t="shared" si="3"/>
        <v/>
      </c>
      <c r="H18" s="33"/>
      <c r="I18" s="33"/>
      <c r="J18" s="34"/>
    </row>
    <row r="19" spans="1:12" ht="13.5" hidden="1" x14ac:dyDescent="0.25">
      <c r="A19" s="29"/>
      <c r="B19" s="17" t="str">
        <f>IFERROR(VLOOKUP(H19,[1]SEMIELABORADOS!$A$2:$M$6000,2,0),"")</f>
        <v/>
      </c>
      <c r="C19" s="30">
        <f>+A19</f>
        <v>0</v>
      </c>
      <c r="D19" s="30" t="str">
        <f>IFERROR(VLOOKUP(H19,[1]SEMIELABORADOS!$A$2:$M$6000,6,0),"")</f>
        <v/>
      </c>
      <c r="E19" s="31" t="str">
        <f>IFERROR(VLOOKUP(H19,[1]SEMIELABORADOS!$A$2:$H$65536,8,0),"")</f>
        <v/>
      </c>
      <c r="F19" s="31" t="str">
        <f>IFERROR(E19*C19,"")</f>
        <v/>
      </c>
      <c r="G19" s="32" t="str">
        <f t="shared" si="3"/>
        <v/>
      </c>
      <c r="H19" s="33"/>
      <c r="I19" s="33"/>
      <c r="J19" s="34"/>
    </row>
    <row r="20" spans="1:12" ht="13.5" hidden="1" x14ac:dyDescent="0.25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3"/>
        <v/>
      </c>
      <c r="H20" s="33"/>
      <c r="I20" s="33"/>
      <c r="J20" s="34"/>
    </row>
    <row r="21" spans="1:12" ht="13.5" hidden="1" x14ac:dyDescent="0.25">
      <c r="A21" s="29"/>
      <c r="B21" s="17" t="str">
        <f>IFERROR(VLOOKUP(H21,[1]SEMIELABORADOS!$A$2:$M$6000,2,0),"")</f>
        <v/>
      </c>
      <c r="C21" s="30">
        <f>+A21</f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>IFERROR(E21*C21,"")</f>
        <v/>
      </c>
      <c r="G21" s="32" t="str">
        <f t="shared" si="3"/>
        <v/>
      </c>
      <c r="H21" s="33"/>
      <c r="I21" s="33"/>
      <c r="J21" s="34"/>
    </row>
    <row r="22" spans="1:12" ht="13.5" hidden="1" x14ac:dyDescent="0.25">
      <c r="A22" s="29"/>
      <c r="B22" s="17" t="str">
        <f>IFERROR(VLOOKUP(H22,[1]SEMIELABORADOS!$A$2:$M$6000,2,0),"")</f>
        <v/>
      </c>
      <c r="C22" s="30">
        <f t="shared" si="4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3"/>
        <v/>
      </c>
      <c r="H22" s="33"/>
      <c r="I22" s="33"/>
      <c r="J22" s="34"/>
    </row>
    <row r="23" spans="1:12" ht="13.5" hidden="1" x14ac:dyDescent="0.25">
      <c r="A23" s="29"/>
      <c r="B23" s="17" t="str">
        <f>IFERROR(VLOOKUP(H23,[1]SEMIELABORADOS!$A$2:$M$6000,2,0),"")</f>
        <v/>
      </c>
      <c r="C23" s="30">
        <f t="shared" si="4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3"/>
        <v/>
      </c>
      <c r="H23" s="33"/>
      <c r="I23" s="33"/>
      <c r="J23" s="34"/>
    </row>
    <row r="24" spans="1:12" ht="13.5" hidden="1" x14ac:dyDescent="0.25">
      <c r="A24" s="29"/>
      <c r="B24" s="17" t="str">
        <f>IFERROR(VLOOKUP(H24,[1]SEMIELABORADOS!$A$2:$M$6000,2,0),"")</f>
        <v/>
      </c>
      <c r="C24" s="30">
        <f t="shared" si="4"/>
        <v>0</v>
      </c>
      <c r="D24" s="30" t="str">
        <f>IFERROR(VLOOKUP(H24,[1]SEMIELABORADOS!$A$2:$M$6000,6,0),"")</f>
        <v/>
      </c>
      <c r="E24" s="31" t="str">
        <f>IFERROR(VLOOKUP(H24,[1]SEMIELABORADOS!$A$2:$H$65536,8,0),"")</f>
        <v/>
      </c>
      <c r="F24" s="31" t="str">
        <f t="shared" si="5"/>
        <v/>
      </c>
      <c r="G24" s="32" t="str">
        <f t="shared" si="3"/>
        <v/>
      </c>
      <c r="H24" s="33"/>
      <c r="I24" s="33"/>
      <c r="J24" s="34"/>
    </row>
    <row r="25" spans="1:12" ht="14.25" thickBot="1" x14ac:dyDescent="0.3">
      <c r="A25" s="29"/>
      <c r="C25" s="30"/>
      <c r="D25" s="30"/>
      <c r="E25" s="31"/>
      <c r="F25" s="31"/>
      <c r="G25" s="32"/>
      <c r="H25" s="33"/>
      <c r="I25" s="33"/>
      <c r="J25" s="34"/>
    </row>
    <row r="26" spans="1:12" ht="26.25" thickBot="1" x14ac:dyDescent="0.25">
      <c r="A26" s="24" t="s">
        <v>51</v>
      </c>
      <c r="B26" s="25" t="s">
        <v>59</v>
      </c>
      <c r="C26" s="25" t="s">
        <v>51</v>
      </c>
      <c r="D26" s="26" t="s">
        <v>53</v>
      </c>
      <c r="E26" s="26" t="s">
        <v>54</v>
      </c>
      <c r="F26" s="26" t="s">
        <v>55</v>
      </c>
      <c r="G26" s="26" t="s">
        <v>56</v>
      </c>
      <c r="H26" s="27" t="s">
        <v>57</v>
      </c>
      <c r="I26" s="28"/>
    </row>
    <row r="27" spans="1:12" ht="13.5" x14ac:dyDescent="0.25">
      <c r="A27" s="29">
        <v>1</v>
      </c>
      <c r="B27" s="35" t="str">
        <f>IFERROR(VLOOKUP(H27,'[1]Consolidado MP Planta'!$A$2:$M$823,3,0),"")</f>
        <v>BOLSA 5x8 TRANSPARENTE KILO</v>
      </c>
      <c r="C27" s="30">
        <f t="shared" ref="C27:C32" si="6">+A27</f>
        <v>1</v>
      </c>
      <c r="D27" s="31" t="str">
        <f>IFERROR(VLOOKUP(H27,'[1]Consolidado MP Planta'!$A$2:$M$823,13,0),"")</f>
        <v>Gramos</v>
      </c>
      <c r="E27" s="31">
        <f>IFERROR(VLOOKUP(H27,'[1]Consolidado MP Planta'!$A$2:$M$823,12,0),"")</f>
        <v>3</v>
      </c>
      <c r="F27" s="31">
        <f t="shared" ref="F27:F32" si="7">IFERROR(C27*E27,"")</f>
        <v>3</v>
      </c>
      <c r="G27" s="32">
        <f t="shared" ref="G27:G32" si="8">IFERROR(F27/$F$66,"")</f>
        <v>1.3072377303036252E-2</v>
      </c>
      <c r="H27" s="36" t="s">
        <v>31</v>
      </c>
      <c r="I27" s="36"/>
      <c r="J27" s="34"/>
      <c r="K27" s="140"/>
      <c r="L27" s="140"/>
    </row>
    <row r="28" spans="1:12" ht="13.5" x14ac:dyDescent="0.25">
      <c r="A28" s="29">
        <v>1</v>
      </c>
      <c r="B28" s="35" t="str">
        <f>IFERROR(VLOOKUP(H28,'[1]Consolidado MP Planta'!$A$2:$M$823,3,0),"")</f>
        <v>ETIQUETA BLANCA 2 5/8X1 15/16 (UND)</v>
      </c>
      <c r="C28" s="30">
        <f t="shared" si="6"/>
        <v>1</v>
      </c>
      <c r="D28" s="31" t="str">
        <f>IFERROR(VLOOKUP(H28,'[1]Consolidado MP Planta'!$A$2:$M$823,13,0),"")</f>
        <v>Und</v>
      </c>
      <c r="E28" s="31">
        <f>IFERROR(VLOOKUP(H28,'[1]Consolidado MP Planta'!$A$2:$M$823,12,0),"")</f>
        <v>2.1280000000000001</v>
      </c>
      <c r="F28" s="31">
        <f t="shared" si="7"/>
        <v>2.1280000000000001</v>
      </c>
      <c r="G28" s="32">
        <f t="shared" si="8"/>
        <v>9.2726729669537142E-3</v>
      </c>
      <c r="H28" s="36" t="s">
        <v>37</v>
      </c>
      <c r="I28" s="36"/>
      <c r="J28" s="34"/>
      <c r="K28" s="140"/>
      <c r="L28" s="140"/>
    </row>
    <row r="29" spans="1:12" ht="13.5" x14ac:dyDescent="0.25">
      <c r="A29" s="29">
        <v>1</v>
      </c>
      <c r="B29" s="35" t="str">
        <f>IFERROR(VLOOKUP(H29,'[1]Consolidado MP Planta'!$A$2:$M$823,3,0),"")</f>
        <v>ETIQ.FECHA VENCIMIENTO AMARILLO (ROLLO)</v>
      </c>
      <c r="C29" s="30">
        <f t="shared" si="6"/>
        <v>1</v>
      </c>
      <c r="D29" s="31" t="str">
        <f>IFERROR(VLOOKUP(H29,'[1]Consolidado MP Planta'!$A$2:$M$823,13,0),"")</f>
        <v>Und</v>
      </c>
      <c r="E29" s="31">
        <f>IFERROR(VLOOKUP(H29,'[1]Consolidado MP Planta'!$A$2:$M$823,12,0),"")</f>
        <v>0.2</v>
      </c>
      <c r="F29" s="31">
        <f t="shared" si="7"/>
        <v>0.2</v>
      </c>
      <c r="G29" s="32">
        <f t="shared" si="8"/>
        <v>8.7149182020241679E-4</v>
      </c>
      <c r="H29" s="36" t="s">
        <v>38</v>
      </c>
      <c r="I29" s="36"/>
      <c r="J29" s="34"/>
      <c r="K29" s="140"/>
      <c r="L29" s="140"/>
    </row>
    <row r="30" spans="1:12" ht="13.5" hidden="1" x14ac:dyDescent="0.25">
      <c r="A30" s="29"/>
      <c r="B30" s="35" t="str">
        <f>IFERROR(VLOOKUP(H30,'[1]Consolidado MP Planta'!$A$2:$M$823,3,0),"")</f>
        <v/>
      </c>
      <c r="C30" s="30">
        <f t="shared" si="6"/>
        <v>0</v>
      </c>
      <c r="D30" s="31" t="str">
        <f>IFERROR(VLOOKUP(H30,'[1]Consolidado MP Planta'!$A$2:$M$823,13,0),"")</f>
        <v/>
      </c>
      <c r="E30" s="31" t="str">
        <f>IFERROR(VLOOKUP(H30,'[1]Consolidado MP Planta'!$A$2:$M$823,12,0),"")</f>
        <v/>
      </c>
      <c r="F30" s="31" t="str">
        <f t="shared" si="7"/>
        <v/>
      </c>
      <c r="G30" s="32" t="str">
        <f t="shared" si="8"/>
        <v/>
      </c>
      <c r="H30" s="36"/>
      <c r="I30" s="36"/>
      <c r="J30" s="34"/>
      <c r="K30" s="140"/>
      <c r="L30" s="140"/>
    </row>
    <row r="31" spans="1:12" ht="13.5" hidden="1" x14ac:dyDescent="0.25">
      <c r="A31" s="29"/>
      <c r="B31" s="35" t="str">
        <f>IFERROR(VLOOKUP(H31,'[1]Consolidado MP Planta'!$A$2:$M$823,3,0),"")</f>
        <v/>
      </c>
      <c r="C31" s="30">
        <f t="shared" si="6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7"/>
        <v/>
      </c>
      <c r="G31" s="32" t="str">
        <f t="shared" si="8"/>
        <v/>
      </c>
      <c r="H31" s="36"/>
      <c r="I31" s="36"/>
      <c r="J31" s="34"/>
      <c r="K31" s="38"/>
      <c r="L31" s="39"/>
    </row>
    <row r="32" spans="1:12" ht="13.5" hidden="1" x14ac:dyDescent="0.25">
      <c r="A32" s="29"/>
      <c r="B32" s="35" t="str">
        <f>IFERROR(VLOOKUP(H32,'[1]Consolidado MP Planta'!$A$2:$M$823,3,0),"")</f>
        <v/>
      </c>
      <c r="C32" s="30">
        <f t="shared" si="6"/>
        <v>0</v>
      </c>
      <c r="D32" s="31" t="str">
        <f>IFERROR(VLOOKUP(H32,'[1]Consolidado MP Planta'!$A$2:$M$823,13,0),"")</f>
        <v/>
      </c>
      <c r="E32" s="31" t="str">
        <f>IFERROR(VLOOKUP(H32,'[1]Consolidado MP Planta'!$A$2:$M$823,12,0),"")</f>
        <v/>
      </c>
      <c r="F32" s="31" t="str">
        <f t="shared" si="7"/>
        <v/>
      </c>
      <c r="G32" s="32" t="str">
        <f t="shared" si="8"/>
        <v/>
      </c>
      <c r="H32" s="36"/>
      <c r="I32" s="36"/>
      <c r="J32" s="34"/>
    </row>
    <row r="33" spans="1:10" ht="14.25" thickBot="1" x14ac:dyDescent="0.3">
      <c r="A33" s="29"/>
      <c r="B33" s="35"/>
      <c r="C33" s="30"/>
      <c r="D33" s="31"/>
      <c r="E33" s="31"/>
      <c r="F33" s="31"/>
      <c r="G33" s="32"/>
      <c r="H33" s="36"/>
      <c r="I33" s="36"/>
      <c r="J33" s="34"/>
    </row>
    <row r="34" spans="1:10" ht="26.25" thickBot="1" x14ac:dyDescent="0.25">
      <c r="A34" s="24" t="s">
        <v>51</v>
      </c>
      <c r="B34" s="25" t="s">
        <v>96</v>
      </c>
      <c r="C34" s="25" t="s">
        <v>51</v>
      </c>
      <c r="D34" s="26" t="s">
        <v>53</v>
      </c>
      <c r="E34" s="26" t="s">
        <v>54</v>
      </c>
      <c r="F34" s="26" t="s">
        <v>55</v>
      </c>
      <c r="G34" s="26" t="s">
        <v>56</v>
      </c>
      <c r="H34" s="27" t="s">
        <v>57</v>
      </c>
      <c r="I34" s="36"/>
      <c r="J34" s="34"/>
    </row>
    <row r="35" spans="1:10" ht="13.5" x14ac:dyDescent="0.25">
      <c r="A35" s="29">
        <f>+A17</f>
        <v>100</v>
      </c>
      <c r="B35" s="35" t="str">
        <f>IFERROR(VLOOKUP(H35,[1]SEMIELABORADOS!$A$2:$M$6000,2,0),"")</f>
        <v>HUMUS GARBANZO KILO</v>
      </c>
      <c r="C35" s="30">
        <f>+A35</f>
        <v>100</v>
      </c>
      <c r="D35" s="31" t="str">
        <f>IFERROR(VLOOKUP(H35,[1]SEMIELABORADOS!$A$2:$M$6000,6,0),"")</f>
        <v>Gramo</v>
      </c>
      <c r="E35" s="31">
        <f>IFERROR(VLOOKUP(H35,[1]SEMIELABORADOS!$A$2:$M$65536,10,0),"")</f>
        <v>1.04420793E-2</v>
      </c>
      <c r="F35" s="31">
        <f>IFERROR(E35*C35,"")</f>
        <v>1.04420793</v>
      </c>
      <c r="G35" s="32">
        <f t="shared" ref="G35:G41" si="9">IFERROR(F35/$F$66,"")</f>
        <v>4.5500933479274887E-3</v>
      </c>
      <c r="H35" s="36" t="s">
        <v>94</v>
      </c>
      <c r="I35" s="36"/>
      <c r="J35" s="34"/>
    </row>
    <row r="36" spans="1:10" ht="13.5" hidden="1" x14ac:dyDescent="0.25">
      <c r="A36" s="29">
        <f t="shared" ref="A36:A41" si="10">+A18</f>
        <v>0</v>
      </c>
      <c r="B36" s="35" t="str">
        <f>IFERROR(VLOOKUP(H36,[1]SEMIELABORADOS!$A$2:$M$6000,2,0),"")</f>
        <v/>
      </c>
      <c r="C36" s="30">
        <f t="shared" ref="C36:C41" si="11">+A36</f>
        <v>0</v>
      </c>
      <c r="D36" s="31" t="str">
        <f>IFERROR(VLOOKUP(H36,[1]SEMIELABORADOS!$A$2:$M$6000,6,0),"")</f>
        <v/>
      </c>
      <c r="E36" s="31" t="str">
        <f>IFERROR(VLOOKUP(H36,[1]SEMIELABORADOS!$A$2:$M$65536,10,0),"")</f>
        <v/>
      </c>
      <c r="F36" s="31" t="str">
        <f t="shared" ref="F36:F41" si="12">IFERROR(E36*C36,"")</f>
        <v/>
      </c>
      <c r="G36" s="32" t="str">
        <f t="shared" si="9"/>
        <v/>
      </c>
      <c r="H36" s="36"/>
      <c r="I36" s="36"/>
      <c r="J36" s="34"/>
    </row>
    <row r="37" spans="1:10" ht="13.5" hidden="1" x14ac:dyDescent="0.25">
      <c r="A37" s="29">
        <f t="shared" si="10"/>
        <v>0</v>
      </c>
      <c r="B37" s="35" t="str">
        <f>IFERROR(VLOOKUP(H37,[1]SEMIELABORADOS!$A$2:$M$6000,2,0),"")</f>
        <v/>
      </c>
      <c r="C37" s="30">
        <f t="shared" si="11"/>
        <v>0</v>
      </c>
      <c r="D37" s="31" t="str">
        <f>IFERROR(VLOOKUP(H37,[1]SEMIELABORADOS!$A$2:$M$6000,6,0),"")</f>
        <v/>
      </c>
      <c r="E37" s="31" t="str">
        <f>IFERROR(VLOOKUP(H37,[1]SEMIELABORADOS!$A$2:$M$65536,10,0),"")</f>
        <v/>
      </c>
      <c r="F37" s="31" t="str">
        <f t="shared" si="12"/>
        <v/>
      </c>
      <c r="G37" s="32" t="str">
        <f t="shared" si="9"/>
        <v/>
      </c>
      <c r="H37" s="36"/>
      <c r="I37" s="36"/>
      <c r="J37" s="34"/>
    </row>
    <row r="38" spans="1:10" ht="13.5" hidden="1" x14ac:dyDescent="0.25">
      <c r="A38" s="29">
        <f t="shared" si="10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9"/>
        <v/>
      </c>
      <c r="H38" s="36"/>
      <c r="I38" s="36"/>
      <c r="J38" s="34"/>
    </row>
    <row r="39" spans="1:10" ht="13.5" hidden="1" x14ac:dyDescent="0.25">
      <c r="A39" s="29">
        <f t="shared" si="10"/>
        <v>0</v>
      </c>
      <c r="B39" s="35" t="str">
        <f>IFERROR(VLOOKUP(H39,[1]SEMIELABORADOS!$A$2:$M$6000,2,0),"")</f>
        <v/>
      </c>
      <c r="C39" s="30">
        <f>+A39</f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>IFERROR(E39*C39,"")</f>
        <v/>
      </c>
      <c r="G39" s="32" t="str">
        <f t="shared" si="9"/>
        <v/>
      </c>
      <c r="H39" s="36"/>
      <c r="I39" s="36"/>
      <c r="J39" s="34"/>
    </row>
    <row r="40" spans="1:10" ht="13.5" hidden="1" x14ac:dyDescent="0.25">
      <c r="A40" s="29">
        <f t="shared" si="10"/>
        <v>0</v>
      </c>
      <c r="B40" s="35" t="str">
        <f>IFERROR(VLOOKUP(H40,[1]SEMIELABORADOS!$A$2:$M$6000,2,0),"")</f>
        <v/>
      </c>
      <c r="C40" s="30">
        <f t="shared" si="11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2"/>
        <v/>
      </c>
      <c r="G40" s="32" t="str">
        <f t="shared" si="9"/>
        <v/>
      </c>
      <c r="H40" s="36"/>
      <c r="I40" s="36"/>
      <c r="J40" s="34"/>
    </row>
    <row r="41" spans="1:10" ht="13.5" hidden="1" x14ac:dyDescent="0.25">
      <c r="A41" s="29">
        <f t="shared" si="10"/>
        <v>0</v>
      </c>
      <c r="B41" s="35" t="str">
        <f>IFERROR(VLOOKUP(H41,[1]SEMIELABORADOS!$A$2:$M$6000,2,0),"")</f>
        <v/>
      </c>
      <c r="C41" s="30">
        <f t="shared" si="11"/>
        <v>0</v>
      </c>
      <c r="D41" s="31" t="str">
        <f>IFERROR(VLOOKUP(H41,[1]SEMIELABORADOS!$A$2:$M$6000,6,0),"")</f>
        <v/>
      </c>
      <c r="E41" s="31" t="str">
        <f>IFERROR(VLOOKUP(H41,[1]SEMIELABORADOS!$A$2:$M$65536,10,0),"")</f>
        <v/>
      </c>
      <c r="F41" s="31" t="str">
        <f t="shared" si="12"/>
        <v/>
      </c>
      <c r="G41" s="32" t="str">
        <f t="shared" si="9"/>
        <v/>
      </c>
      <c r="H41" s="36"/>
      <c r="I41" s="36"/>
      <c r="J41" s="34"/>
    </row>
    <row r="42" spans="1:10" ht="14.25" thickBot="1" x14ac:dyDescent="0.3">
      <c r="A42" s="29"/>
      <c r="B42" s="35"/>
      <c r="C42" s="30"/>
      <c r="D42" s="31"/>
      <c r="E42" s="31"/>
      <c r="F42" s="31"/>
      <c r="G42" s="32"/>
      <c r="H42" s="36"/>
      <c r="I42" s="36"/>
      <c r="J42" s="34"/>
    </row>
    <row r="43" spans="1:10" ht="26.25" thickBot="1" x14ac:dyDescent="0.25">
      <c r="A43" s="24" t="s">
        <v>51</v>
      </c>
      <c r="B43" s="25" t="s">
        <v>60</v>
      </c>
      <c r="C43" s="25" t="s">
        <v>51</v>
      </c>
      <c r="D43" s="26" t="s">
        <v>53</v>
      </c>
      <c r="E43" s="26" t="s">
        <v>54</v>
      </c>
      <c r="F43" s="26" t="s">
        <v>55</v>
      </c>
      <c r="G43" s="26" t="s">
        <v>56</v>
      </c>
      <c r="H43" s="27" t="s">
        <v>57</v>
      </c>
      <c r="I43" s="28"/>
      <c r="J43" s="34"/>
    </row>
    <row r="44" spans="1:10" ht="13.5" x14ac:dyDescent="0.25">
      <c r="A44" s="29">
        <f>+A35</f>
        <v>100</v>
      </c>
      <c r="B44" s="35" t="str">
        <f>IFERROR(VLOOKUP(H44,[1]SEMIELABORADOS!$A$2:$M$6000,2,0),"")</f>
        <v>HUMUS GARBANZO KILO</v>
      </c>
      <c r="C44" s="30">
        <f>+A44</f>
        <v>100</v>
      </c>
      <c r="D44" s="31" t="str">
        <f>IFERROR(VLOOKUP(H44,[1]SEMIELABORADOS!$A$2:$M$6000,6,0),"")</f>
        <v>Gramo</v>
      </c>
      <c r="E44" s="31">
        <f>IFERROR(VLOOKUP(H44,[1]SEMIELABORADOS!$A$2:$M$65536,12,0),"")</f>
        <v>0.29856074868596733</v>
      </c>
      <c r="F44" s="31">
        <f>IFERROR(E44*C44,"")</f>
        <v>29.856074868596732</v>
      </c>
      <c r="G44" s="32">
        <f>IFERROR(F44/$F$66,"")</f>
        <v>0.13009662515666498</v>
      </c>
      <c r="H44" s="36" t="s">
        <v>94</v>
      </c>
      <c r="I44" s="28"/>
      <c r="J44" s="34"/>
    </row>
    <row r="45" spans="1:10" ht="13.5" hidden="1" x14ac:dyDescent="0.25">
      <c r="A45" s="29">
        <f t="shared" ref="A45:A50" si="13">+A36</f>
        <v>0</v>
      </c>
      <c r="B45" s="35" t="str">
        <f>IFERROR(VLOOKUP(H45,[1]SEMIELABORADOS!$A$2:$M$6000,2,0),"")</f>
        <v/>
      </c>
      <c r="C45" s="30">
        <f t="shared" ref="C45:C50" si="14">+A45</f>
        <v>0</v>
      </c>
      <c r="D45" s="31" t="str">
        <f>IFERROR(VLOOKUP(H45,[1]SEMIELABORADOS!$A$2:$M$6000,6,0),"")</f>
        <v/>
      </c>
      <c r="E45" s="31" t="str">
        <f>IFERROR(VLOOKUP(H45,[1]SEMIELABORADOS!$A$2:$M$65536,12,0),"")</f>
        <v/>
      </c>
      <c r="F45" s="31" t="str">
        <f t="shared" ref="F45:F50" si="15">IFERROR(E45*C45,"")</f>
        <v/>
      </c>
      <c r="G45" s="32" t="str">
        <f t="shared" ref="G45:G50" si="16">IFERROR(F45/$F$66,"")</f>
        <v/>
      </c>
      <c r="H45" s="36"/>
      <c r="I45" s="28"/>
      <c r="J45" s="34"/>
    </row>
    <row r="46" spans="1:10" ht="13.5" hidden="1" x14ac:dyDescent="0.25">
      <c r="A46" s="29">
        <f t="shared" si="13"/>
        <v>0</v>
      </c>
      <c r="B46" s="35" t="str">
        <f>IFERROR(VLOOKUP(H46,[1]SEMIELABORADOS!$A$2:$M$6000,2,0),"")</f>
        <v/>
      </c>
      <c r="C46" s="30">
        <f t="shared" si="14"/>
        <v>0</v>
      </c>
      <c r="D46" s="31" t="str">
        <f>IFERROR(VLOOKUP(H46,[1]SEMIELABORADOS!$A$2:$M$6000,6,0),"")</f>
        <v/>
      </c>
      <c r="E46" s="31" t="str">
        <f>IFERROR(VLOOKUP(H46,[1]SEMIELABORADOS!$A$2:$M$65536,12,0),"")</f>
        <v/>
      </c>
      <c r="F46" s="31" t="str">
        <f t="shared" si="15"/>
        <v/>
      </c>
      <c r="G46" s="32" t="str">
        <f t="shared" si="16"/>
        <v/>
      </c>
      <c r="H46" s="36"/>
      <c r="I46" s="28"/>
      <c r="J46" s="34"/>
    </row>
    <row r="47" spans="1:10" ht="13.5" hidden="1" x14ac:dyDescent="0.25">
      <c r="A47" s="29">
        <f t="shared" si="13"/>
        <v>0</v>
      </c>
      <c r="B47" s="35" t="str">
        <f>IFERROR(VLOOKUP(H47,[1]SEMIELABORADOS!$A$2:$M$6000,2,0),"")</f>
        <v/>
      </c>
      <c r="C47" s="30">
        <f t="shared" si="14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5"/>
        <v/>
      </c>
      <c r="G47" s="32" t="str">
        <f t="shared" si="16"/>
        <v/>
      </c>
      <c r="H47" s="36"/>
      <c r="I47" s="28"/>
      <c r="J47" s="34"/>
    </row>
    <row r="48" spans="1:10" ht="13.5" hidden="1" x14ac:dyDescent="0.25">
      <c r="A48" s="29">
        <f t="shared" si="13"/>
        <v>0</v>
      </c>
      <c r="B48" s="35" t="str">
        <f>IFERROR(VLOOKUP(H48,[1]SEMIELABORADOS!$A$2:$M$6000,2,0),"")</f>
        <v/>
      </c>
      <c r="C48" s="30">
        <f t="shared" si="14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5"/>
        <v/>
      </c>
      <c r="G48" s="32" t="str">
        <f t="shared" si="16"/>
        <v/>
      </c>
      <c r="H48" s="36"/>
      <c r="I48" s="28"/>
      <c r="J48" s="34"/>
    </row>
    <row r="49" spans="1:17" ht="13.5" hidden="1" x14ac:dyDescent="0.25">
      <c r="A49" s="29">
        <f t="shared" si="13"/>
        <v>0</v>
      </c>
      <c r="B49" s="35" t="str">
        <f>IFERROR(VLOOKUP(H49,[1]SEMIELABORADOS!$A$2:$M$6000,2,0),"")</f>
        <v/>
      </c>
      <c r="C49" s="30">
        <f t="shared" si="14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5"/>
        <v/>
      </c>
      <c r="G49" s="32" t="str">
        <f t="shared" si="16"/>
        <v/>
      </c>
      <c r="H49" s="36"/>
      <c r="I49" s="28"/>
      <c r="J49" s="34"/>
    </row>
    <row r="50" spans="1:17" ht="13.5" hidden="1" x14ac:dyDescent="0.25">
      <c r="A50" s="29">
        <f t="shared" si="13"/>
        <v>0</v>
      </c>
      <c r="B50" s="35" t="str">
        <f>IFERROR(VLOOKUP(H50,[1]SEMIELABORADOS!$A$2:$M$6000,2,0),"")</f>
        <v/>
      </c>
      <c r="C50" s="30">
        <f t="shared" si="14"/>
        <v>0</v>
      </c>
      <c r="D50" s="31" t="str">
        <f>IFERROR(VLOOKUP(H50,[1]SEMIELABORADOS!$A$2:$M$6000,6,0),"")</f>
        <v/>
      </c>
      <c r="E50" s="31" t="str">
        <f>IFERROR(VLOOKUP(H50,[1]SEMIELABORADOS!$A$2:$M$65536,12,0),"")</f>
        <v/>
      </c>
      <c r="F50" s="31" t="str">
        <f t="shared" si="15"/>
        <v/>
      </c>
      <c r="G50" s="32" t="str">
        <f t="shared" si="16"/>
        <v/>
      </c>
      <c r="H50" s="35"/>
      <c r="I50" s="28"/>
      <c r="J50" s="34"/>
    </row>
    <row r="51" spans="1:17" ht="13.5" x14ac:dyDescent="0.25">
      <c r="A51" s="29">
        <v>1</v>
      </c>
      <c r="B51" s="35" t="s">
        <v>61</v>
      </c>
      <c r="C51" s="30">
        <f>+A51</f>
        <v>1</v>
      </c>
      <c r="D51" s="30" t="s">
        <v>62</v>
      </c>
      <c r="E51" s="31">
        <f>+F65</f>
        <v>55</v>
      </c>
      <c r="F51" s="31">
        <f>IFERROR(C51*E51,"")</f>
        <v>55</v>
      </c>
      <c r="G51" s="32">
        <f>IFERROR(F51/$F$66,"")</f>
        <v>0.23966025055566462</v>
      </c>
      <c r="H51" s="40"/>
      <c r="I51" s="40"/>
      <c r="J51" s="34"/>
    </row>
    <row r="52" spans="1:17" ht="14.25" thickBot="1" x14ac:dyDescent="0.3">
      <c r="A52" s="29"/>
      <c r="B52" s="35"/>
      <c r="C52" s="30"/>
      <c r="D52" s="30"/>
      <c r="E52" s="31"/>
      <c r="F52" s="31"/>
      <c r="G52" s="32"/>
      <c r="H52" s="40"/>
      <c r="I52" s="40"/>
      <c r="J52" s="34"/>
    </row>
    <row r="53" spans="1:17" ht="13.5" thickBot="1" x14ac:dyDescent="0.25">
      <c r="A53" s="41"/>
      <c r="B53" s="141" t="s">
        <v>63</v>
      </c>
      <c r="C53" s="141"/>
      <c r="D53" s="141"/>
      <c r="E53" s="141"/>
      <c r="F53" s="42">
        <f>SUM(F8:F14,F17:F24)</f>
        <v>164.82287467331517</v>
      </c>
      <c r="G53" s="32">
        <f>+F53/$F$66</f>
        <v>0.71820893530021124</v>
      </c>
      <c r="H53" s="43">
        <f>+F53/$D$60</f>
        <v>164.82287467331517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1"/>
      <c r="B54" s="141" t="s">
        <v>64</v>
      </c>
      <c r="C54" s="141"/>
      <c r="D54" s="141"/>
      <c r="E54" s="141"/>
      <c r="F54" s="42">
        <f>SUM(F27:F32,F35:F41)</f>
        <v>6.3722079300000001</v>
      </c>
      <c r="G54" s="32">
        <f>+F54/$F$66</f>
        <v>2.7766635438119872E-2</v>
      </c>
      <c r="H54" s="43">
        <f>+F54/$D$60</f>
        <v>6.3722079300000001</v>
      </c>
      <c r="I54" s="43"/>
      <c r="J54" s="47"/>
      <c r="K54" s="147" t="s">
        <v>65</v>
      </c>
      <c r="L54" s="148"/>
      <c r="M54" s="148"/>
      <c r="N54" s="148"/>
      <c r="O54" s="48">
        <f>+F55</f>
        <v>171.19508260331517</v>
      </c>
      <c r="P54" s="48"/>
      <c r="Q54" s="49"/>
    </row>
    <row r="55" spans="1:17" x14ac:dyDescent="0.2">
      <c r="A55" s="41"/>
      <c r="B55" s="141" t="s">
        <v>66</v>
      </c>
      <c r="C55" s="141"/>
      <c r="D55" s="141"/>
      <c r="E55" s="141"/>
      <c r="F55" s="42">
        <f>+F53+F54</f>
        <v>171.19508260331517</v>
      </c>
      <c r="G55" s="32">
        <f>+F55/$F$66</f>
        <v>0.74597557073833121</v>
      </c>
      <c r="H55" s="43">
        <f>+F55/$D$60</f>
        <v>171.19508260331517</v>
      </c>
      <c r="I55" s="43"/>
      <c r="J55" s="50"/>
      <c r="K55" s="51"/>
      <c r="L55" s="149" t="s">
        <v>67</v>
      </c>
      <c r="M55" s="149"/>
      <c r="N55" s="149"/>
      <c r="O55" s="48">
        <f>+F56</f>
        <v>84.856074868596735</v>
      </c>
      <c r="P55" s="48"/>
      <c r="Q55" s="49"/>
    </row>
    <row r="56" spans="1:17" ht="13.5" thickBot="1" x14ac:dyDescent="0.25">
      <c r="A56" s="41"/>
      <c r="B56" s="52"/>
      <c r="C56" s="141" t="s">
        <v>68</v>
      </c>
      <c r="D56" s="141"/>
      <c r="E56" s="141"/>
      <c r="F56" s="42">
        <f>SUM(F44:F51)</f>
        <v>84.856074868596735</v>
      </c>
      <c r="G56" s="32">
        <f>+F56/$F$66</f>
        <v>0.36975687571232962</v>
      </c>
      <c r="H56" s="43">
        <f>+F56/$D$60</f>
        <v>84.856074868596735</v>
      </c>
      <c r="I56" s="43"/>
      <c r="J56" s="50"/>
      <c r="K56" s="51"/>
      <c r="L56" s="51"/>
      <c r="M56" s="51" t="s">
        <v>69</v>
      </c>
      <c r="N56" s="53">
        <v>0.01</v>
      </c>
      <c r="O56" s="48">
        <f>O54*N56</f>
        <v>1.7119508260331517</v>
      </c>
      <c r="P56" s="48"/>
      <c r="Q56" s="49"/>
    </row>
    <row r="57" spans="1:17" ht="13.5" thickBot="1" x14ac:dyDescent="0.25">
      <c r="A57" s="41"/>
      <c r="B57" s="76"/>
      <c r="C57" s="76"/>
      <c r="D57" s="76"/>
      <c r="E57" s="76"/>
      <c r="F57" s="54"/>
      <c r="G57" s="32"/>
      <c r="H57" s="55"/>
      <c r="I57" s="43"/>
      <c r="J57" s="50"/>
      <c r="K57" s="56"/>
      <c r="M57" s="57" t="s">
        <v>70</v>
      </c>
      <c r="N57" s="58"/>
      <c r="O57" s="59">
        <f>SUM(O54:O56)</f>
        <v>257.76310829794505</v>
      </c>
      <c r="P57" s="60"/>
      <c r="Q57" s="49"/>
    </row>
    <row r="58" spans="1:17" x14ac:dyDescent="0.2">
      <c r="B58" s="150" t="s">
        <v>71</v>
      </c>
      <c r="C58" s="150"/>
      <c r="D58" s="61">
        <v>100</v>
      </c>
      <c r="E58" s="62"/>
      <c r="G58" s="32"/>
      <c r="H58" s="55"/>
      <c r="I58" s="63"/>
      <c r="J58" s="50"/>
      <c r="K58" s="56"/>
      <c r="L58" s="51"/>
      <c r="M58" s="51" t="s">
        <v>72</v>
      </c>
      <c r="N58" s="64">
        <v>0.25</v>
      </c>
      <c r="O58" s="48">
        <f>+O57*N58</f>
        <v>64.440777074486263</v>
      </c>
      <c r="P58" s="48"/>
      <c r="Q58" s="49"/>
    </row>
    <row r="59" spans="1:17" x14ac:dyDescent="0.2">
      <c r="B59" s="150" t="s">
        <v>73</v>
      </c>
      <c r="C59" s="150"/>
      <c r="D59" s="65">
        <v>100</v>
      </c>
      <c r="E59" s="62"/>
      <c r="G59" s="32"/>
      <c r="H59" s="55"/>
      <c r="I59" s="63"/>
      <c r="J59" s="50"/>
      <c r="K59" s="56"/>
      <c r="L59" s="51"/>
      <c r="M59" s="149" t="s">
        <v>70</v>
      </c>
      <c r="N59" s="149"/>
      <c r="O59" s="48">
        <f>SUM(O57:O58)</f>
        <v>322.20388537243133</v>
      </c>
      <c r="P59" s="48"/>
      <c r="Q59" s="49"/>
    </row>
    <row r="60" spans="1:17" ht="13.5" thickBot="1" x14ac:dyDescent="0.25">
      <c r="B60" s="151" t="s">
        <v>74</v>
      </c>
      <c r="C60" s="151"/>
      <c r="D60" s="61">
        <f>+D58/D59</f>
        <v>1</v>
      </c>
      <c r="E60" s="62"/>
      <c r="F60" s="66"/>
      <c r="G60" s="32"/>
      <c r="H60" s="55"/>
      <c r="I60" s="63"/>
      <c r="J60" s="50"/>
      <c r="K60" s="56"/>
      <c r="L60" s="149" t="s">
        <v>75</v>
      </c>
      <c r="M60" s="149"/>
      <c r="N60" s="64">
        <v>0.05</v>
      </c>
      <c r="O60" s="48">
        <f>+O59*N60</f>
        <v>16.110194268621566</v>
      </c>
      <c r="P60" s="48"/>
      <c r="Q60" s="49"/>
    </row>
    <row r="61" spans="1:17" ht="13.5" thickBot="1" x14ac:dyDescent="0.25">
      <c r="B61" s="151" t="s">
        <v>76</v>
      </c>
      <c r="C61" s="151"/>
      <c r="D61" s="67" t="s">
        <v>95</v>
      </c>
      <c r="E61" s="62"/>
      <c r="F61" s="66"/>
      <c r="G61" s="32"/>
      <c r="H61" s="55"/>
      <c r="I61" s="63"/>
      <c r="J61" s="50"/>
      <c r="K61" s="152" t="s">
        <v>77</v>
      </c>
      <c r="L61" s="153"/>
      <c r="M61" s="153"/>
      <c r="N61" s="154"/>
      <c r="O61" s="59">
        <f>SUM(O59:O60)</f>
        <v>338.3140796410529</v>
      </c>
      <c r="P61" s="68" t="s">
        <v>78</v>
      </c>
      <c r="Q61" s="49"/>
    </row>
    <row r="62" spans="1:17" ht="13.5" thickBot="1" x14ac:dyDescent="0.25">
      <c r="C62" s="41" t="s">
        <v>79</v>
      </c>
      <c r="D62" s="69"/>
      <c r="E62" s="37" t="s">
        <v>80</v>
      </c>
      <c r="F62" s="70" t="s">
        <v>81</v>
      </c>
      <c r="G62" s="32"/>
      <c r="H62" s="55"/>
      <c r="I62" s="63"/>
      <c r="J62" s="71"/>
      <c r="K62" s="72"/>
      <c r="L62" s="160" t="s">
        <v>82</v>
      </c>
      <c r="M62" s="160"/>
      <c r="N62" s="160"/>
      <c r="O62" s="73">
        <f>+O61/D60</f>
        <v>338.3140796410529</v>
      </c>
      <c r="P62" s="74">
        <f>+O62/D59</f>
        <v>3.3831407964105291</v>
      </c>
      <c r="Q62" s="75"/>
    </row>
    <row r="63" spans="1:17" ht="13.5" thickBot="1" x14ac:dyDescent="0.25">
      <c r="B63" s="161" t="s">
        <v>66</v>
      </c>
      <c r="C63" s="161"/>
      <c r="D63" s="161"/>
      <c r="E63" s="77">
        <f>+F63/F63</f>
        <v>1</v>
      </c>
      <c r="F63" s="78">
        <f>SUM(F55)</f>
        <v>171.19508260331517</v>
      </c>
      <c r="G63" s="32">
        <f>+F63/$F$66</f>
        <v>0.74597557073833121</v>
      </c>
      <c r="H63" s="55"/>
      <c r="I63" s="63"/>
      <c r="K63" s="162"/>
      <c r="L63" s="163"/>
      <c r="M63" s="163"/>
      <c r="N63" s="163"/>
      <c r="O63" s="79"/>
      <c r="P63" s="80"/>
    </row>
    <row r="64" spans="1:17" ht="13.5" thickBot="1" x14ac:dyDescent="0.25">
      <c r="B64" s="164" t="s">
        <v>83</v>
      </c>
      <c r="C64" s="164"/>
      <c r="D64" s="164"/>
      <c r="E64" s="81">
        <v>0.02</v>
      </c>
      <c r="F64" s="78">
        <f>+F53*E64</f>
        <v>3.2964574934663036</v>
      </c>
      <c r="G64" s="32">
        <f>+F64/$F$66</f>
        <v>1.4364178706004226E-2</v>
      </c>
      <c r="H64" s="43"/>
      <c r="I64" s="63"/>
      <c r="J64" s="82"/>
      <c r="O64" s="83"/>
      <c r="P64" s="52"/>
    </row>
    <row r="65" spans="2:10" ht="13.5" thickBot="1" x14ac:dyDescent="0.25">
      <c r="B65" s="165" t="s">
        <v>84</v>
      </c>
      <c r="C65" s="166"/>
      <c r="D65" s="84">
        <v>1</v>
      </c>
      <c r="E65" s="85">
        <v>55</v>
      </c>
      <c r="F65" s="78">
        <f>+E65*D65</f>
        <v>55</v>
      </c>
      <c r="G65" s="32">
        <f>+F65/$F$66</f>
        <v>0.23966025055566462</v>
      </c>
      <c r="H65" s="43"/>
      <c r="I65" s="43"/>
      <c r="J65" s="34"/>
    </row>
    <row r="66" spans="2:10" ht="13.5" thickBot="1" x14ac:dyDescent="0.25">
      <c r="B66" s="167" t="s">
        <v>85</v>
      </c>
      <c r="C66" s="168"/>
      <c r="D66" s="168"/>
      <c r="E66" s="169"/>
      <c r="F66" s="54">
        <f>SUM(F63:F65)</f>
        <v>229.49154009678148</v>
      </c>
      <c r="G66" s="32">
        <f>+F66/$F$66</f>
        <v>1</v>
      </c>
      <c r="H66" s="170"/>
      <c r="I66" s="43"/>
      <c r="J66" s="34"/>
    </row>
    <row r="67" spans="2:10" x14ac:dyDescent="0.2">
      <c r="C67" s="86"/>
      <c r="D67" s="86"/>
      <c r="E67" s="87"/>
      <c r="F67" s="78"/>
      <c r="G67" s="32"/>
      <c r="H67" s="170"/>
      <c r="I67" s="88"/>
      <c r="J67" s="17"/>
    </row>
    <row r="68" spans="2:10" ht="13.5" thickBot="1" x14ac:dyDescent="0.25">
      <c r="B68" s="158" t="s">
        <v>86</v>
      </c>
      <c r="C68" s="158"/>
      <c r="D68" s="158"/>
      <c r="E68" s="158"/>
      <c r="F68" s="158"/>
      <c r="G68" s="32"/>
      <c r="H68" s="89"/>
      <c r="I68" s="88"/>
      <c r="J68" s="17"/>
    </row>
    <row r="69" spans="2:10" ht="13.5" thickBot="1" x14ac:dyDescent="0.25">
      <c r="B69" s="90" t="s">
        <v>87</v>
      </c>
      <c r="C69" s="91">
        <f>+F53</f>
        <v>164.82287467331517</v>
      </c>
      <c r="D69" s="91">
        <f>+D58</f>
        <v>100</v>
      </c>
      <c r="E69" s="92">
        <f>+C69/D69</f>
        <v>1.6482287467331518</v>
      </c>
      <c r="F69" s="32"/>
      <c r="G69" s="89"/>
      <c r="H69" s="34"/>
      <c r="I69" s="89"/>
      <c r="J69" s="17"/>
    </row>
    <row r="70" spans="2:10" x14ac:dyDescent="0.2">
      <c r="B70" s="93"/>
      <c r="C70" s="94"/>
      <c r="D70" s="95"/>
      <c r="E70" s="78"/>
      <c r="F70" s="32"/>
      <c r="G70" s="89"/>
      <c r="H70" s="34"/>
      <c r="I70" s="34"/>
      <c r="J70" s="17"/>
    </row>
    <row r="71" spans="2:10" x14ac:dyDescent="0.2">
      <c r="B71" s="90" t="s">
        <v>88</v>
      </c>
      <c r="C71" s="91">
        <f>SUM(F63:F64)</f>
        <v>174.49154009678148</v>
      </c>
      <c r="D71" s="91">
        <f>+D58</f>
        <v>100</v>
      </c>
      <c r="E71" s="96">
        <f>+C71/D71</f>
        <v>1.7449154009678147</v>
      </c>
      <c r="F71" s="32"/>
      <c r="G71" s="89"/>
      <c r="H71" s="34"/>
      <c r="I71" s="34"/>
      <c r="J71" s="17"/>
    </row>
    <row r="72" spans="2:10" x14ac:dyDescent="0.2">
      <c r="B72" s="90"/>
      <c r="C72" s="91"/>
      <c r="D72" s="91"/>
      <c r="E72" s="96"/>
      <c r="F72" s="32"/>
      <c r="G72" s="89"/>
      <c r="H72" s="34"/>
      <c r="I72" s="34"/>
      <c r="J72" s="17"/>
    </row>
    <row r="73" spans="2:10" ht="13.5" thickBot="1" x14ac:dyDescent="0.25">
      <c r="B73" s="90" t="s">
        <v>89</v>
      </c>
      <c r="C73" s="91">
        <f>+F65</f>
        <v>55</v>
      </c>
      <c r="D73" s="91">
        <f>+D58</f>
        <v>100</v>
      </c>
      <c r="E73" s="96">
        <f>+C73/D73</f>
        <v>0.55000000000000004</v>
      </c>
      <c r="F73" s="32"/>
      <c r="G73" s="89"/>
      <c r="H73" s="34"/>
      <c r="I73" s="34"/>
      <c r="J73" s="17"/>
    </row>
    <row r="74" spans="2:10" ht="13.5" thickBot="1" x14ac:dyDescent="0.25">
      <c r="B74" s="90" t="s">
        <v>90</v>
      </c>
      <c r="C74" s="91">
        <f>+F56</f>
        <v>84.856074868596735</v>
      </c>
      <c r="D74" s="91">
        <f>+D73</f>
        <v>100</v>
      </c>
      <c r="E74" s="92">
        <f>+C74/D74</f>
        <v>0.84856074868596731</v>
      </c>
      <c r="F74" s="32"/>
      <c r="G74" s="89"/>
      <c r="H74" s="34"/>
      <c r="I74" s="34"/>
      <c r="J74" s="17"/>
    </row>
    <row r="75" spans="2:10" ht="13.5" thickBot="1" x14ac:dyDescent="0.25">
      <c r="B75" s="76"/>
      <c r="C75" s="54"/>
      <c r="D75" s="54"/>
      <c r="E75" s="96"/>
      <c r="F75" s="32"/>
      <c r="G75" s="89"/>
      <c r="H75" s="34"/>
      <c r="I75" s="34"/>
      <c r="J75" s="17"/>
    </row>
    <row r="76" spans="2:10" ht="13.5" thickBot="1" x14ac:dyDescent="0.25">
      <c r="B76" s="90" t="s">
        <v>91</v>
      </c>
      <c r="C76" s="91">
        <f>+F54</f>
        <v>6.3722079300000001</v>
      </c>
      <c r="D76" s="91">
        <f>+D74</f>
        <v>100</v>
      </c>
      <c r="E76" s="92">
        <f>+C76/D76</f>
        <v>6.3722079299999998E-2</v>
      </c>
      <c r="F76" s="32"/>
      <c r="G76" s="89"/>
      <c r="H76" s="34"/>
      <c r="I76" s="34"/>
      <c r="J76" s="34"/>
    </row>
    <row r="77" spans="2:10" ht="13.5" thickBot="1" x14ac:dyDescent="0.25">
      <c r="B77" s="76"/>
      <c r="C77" s="54"/>
      <c r="D77" s="54"/>
      <c r="E77" s="96"/>
      <c r="F77" s="32"/>
      <c r="G77" s="89"/>
      <c r="H77" s="34"/>
      <c r="I77" s="34"/>
    </row>
    <row r="78" spans="2:10" ht="13.5" thickBot="1" x14ac:dyDescent="0.25">
      <c r="B78" s="155" t="s">
        <v>92</v>
      </c>
      <c r="C78" s="156"/>
      <c r="D78" s="157"/>
      <c r="E78" s="92">
        <f>+E69+E74</f>
        <v>2.4967894954191192</v>
      </c>
      <c r="G78" s="32"/>
      <c r="H78" s="89"/>
      <c r="I78" s="34"/>
      <c r="J78" s="96"/>
    </row>
    <row r="79" spans="2:10" x14ac:dyDescent="0.2">
      <c r="I79" s="89"/>
      <c r="J79" s="17"/>
    </row>
    <row r="80" spans="2:10" ht="13.5" thickBot="1" x14ac:dyDescent="0.25">
      <c r="B80" s="158" t="s">
        <v>93</v>
      </c>
      <c r="C80" s="158"/>
      <c r="D80" s="158"/>
      <c r="E80" s="158"/>
      <c r="F80" s="158"/>
      <c r="G80" s="32"/>
      <c r="H80" s="89"/>
      <c r="J80" s="17"/>
    </row>
    <row r="81" spans="1:10" ht="13.5" thickBot="1" x14ac:dyDescent="0.25">
      <c r="B81" s="90" t="s">
        <v>87</v>
      </c>
      <c r="C81" s="91">
        <f>+C69</f>
        <v>164.82287467331517</v>
      </c>
      <c r="D81" s="91">
        <f>+D60</f>
        <v>1</v>
      </c>
      <c r="E81" s="92">
        <f>+C81/D81</f>
        <v>164.82287467331517</v>
      </c>
      <c r="F81" s="32"/>
      <c r="G81" s="89"/>
      <c r="H81" s="34"/>
      <c r="I81" s="89"/>
      <c r="J81" s="17"/>
    </row>
    <row r="82" spans="1:10" x14ac:dyDescent="0.2">
      <c r="B82" s="93"/>
      <c r="C82" s="94"/>
      <c r="D82" s="95"/>
      <c r="E82" s="78"/>
      <c r="F82" s="32"/>
      <c r="G82" s="89"/>
      <c r="H82" s="34"/>
      <c r="I82" s="34"/>
      <c r="J82" s="17"/>
    </row>
    <row r="83" spans="1:10" x14ac:dyDescent="0.2">
      <c r="B83" s="90" t="s">
        <v>88</v>
      </c>
      <c r="C83" s="91">
        <f>+C71</f>
        <v>174.49154009678148</v>
      </c>
      <c r="D83" s="91">
        <f>+D60</f>
        <v>1</v>
      </c>
      <c r="E83" s="96">
        <f>+C83/D83</f>
        <v>174.49154009678148</v>
      </c>
      <c r="F83" s="32"/>
      <c r="G83" s="89"/>
      <c r="H83" s="34"/>
      <c r="I83" s="34"/>
      <c r="J83" s="17"/>
    </row>
    <row r="84" spans="1:10" x14ac:dyDescent="0.2">
      <c r="B84" s="90"/>
      <c r="C84" s="91"/>
      <c r="D84" s="91"/>
      <c r="E84" s="96"/>
      <c r="F84" s="32"/>
      <c r="G84" s="89"/>
      <c r="H84" s="34"/>
      <c r="I84" s="34"/>
      <c r="J84" s="17"/>
    </row>
    <row r="85" spans="1:10" ht="13.5" thickBot="1" x14ac:dyDescent="0.25">
      <c r="B85" s="90" t="s">
        <v>90</v>
      </c>
      <c r="C85" s="91">
        <f>+C73</f>
        <v>55</v>
      </c>
      <c r="D85" s="91">
        <f>+D60</f>
        <v>1</v>
      </c>
      <c r="E85" s="96">
        <f>+C85/D85</f>
        <v>55</v>
      </c>
      <c r="F85" s="99"/>
      <c r="G85" s="98"/>
      <c r="H85" s="16"/>
      <c r="I85" s="34"/>
    </row>
    <row r="86" spans="1:10" ht="13.5" thickBot="1" x14ac:dyDescent="0.25">
      <c r="B86" s="90" t="s">
        <v>90</v>
      </c>
      <c r="C86" s="91">
        <f>+C74</f>
        <v>84.856074868596735</v>
      </c>
      <c r="D86" s="91">
        <f>+D85</f>
        <v>1</v>
      </c>
      <c r="E86" s="92">
        <f>+C86/D86</f>
        <v>84.856074868596735</v>
      </c>
      <c r="F86" s="97"/>
      <c r="G86" s="98"/>
      <c r="H86" s="16"/>
      <c r="I86" s="16"/>
    </row>
    <row r="87" spans="1:10" x14ac:dyDescent="0.2">
      <c r="I87" s="16"/>
    </row>
    <row r="88" spans="1:10" x14ac:dyDescent="0.2">
      <c r="A88" s="159"/>
      <c r="B88" s="159"/>
      <c r="C88" s="100"/>
      <c r="D88" s="100"/>
      <c r="E88" s="101"/>
      <c r="G88" s="102"/>
    </row>
    <row r="89" spans="1:10" x14ac:dyDescent="0.2">
      <c r="A89" s="35"/>
      <c r="B89" s="103"/>
      <c r="C89" s="104"/>
      <c r="D89" s="104"/>
      <c r="E89" s="105"/>
      <c r="G89" s="102"/>
    </row>
    <row r="90" spans="1:10" x14ac:dyDescent="0.2">
      <c r="A90" s="35"/>
      <c r="B90" s="103"/>
      <c r="C90" s="106"/>
      <c r="D90" s="106"/>
      <c r="E90" s="35"/>
      <c r="G90" s="102"/>
    </row>
    <row r="91" spans="1:10" x14ac:dyDescent="0.2">
      <c r="A91" s="35"/>
      <c r="B91" s="103"/>
      <c r="C91" s="107"/>
      <c r="D91" s="107"/>
      <c r="E91" s="35"/>
      <c r="G91" s="102"/>
    </row>
  </sheetData>
  <mergeCells count="31"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8:F68"/>
    <mergeCell ref="M59:N59"/>
    <mergeCell ref="B60:C60"/>
    <mergeCell ref="L60:M60"/>
    <mergeCell ref="B61:C61"/>
    <mergeCell ref="K61:N61"/>
    <mergeCell ref="B59:C59"/>
    <mergeCell ref="K54:N54"/>
    <mergeCell ref="B55:E55"/>
    <mergeCell ref="L55:N55"/>
    <mergeCell ref="C56:E56"/>
    <mergeCell ref="B58:C58"/>
    <mergeCell ref="B54:E54"/>
    <mergeCell ref="K28:L28"/>
    <mergeCell ref="K29:L29"/>
    <mergeCell ref="K30:L30"/>
    <mergeCell ref="B53:E53"/>
    <mergeCell ref="A4:H4"/>
    <mergeCell ref="A5:H5"/>
    <mergeCell ref="F6:G6"/>
    <mergeCell ref="K27:L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1ECE3-20F1-40D4-A51A-A892255CED7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14AB5B8-1045-4CB6-A046-644CF8EE7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148691-D366-4F87-A8A6-289C7987C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COSTEO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2025-09-19T21:54:01Z</cp:lastPrinted>
  <dcterms:created xsi:type="dcterms:W3CDTF">2012-05-10T22:32:20Z</dcterms:created>
  <dcterms:modified xsi:type="dcterms:W3CDTF">2025-09-19T21:54:41Z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8560000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
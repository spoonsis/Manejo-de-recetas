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41DEF494-3882-45BA-87B3-0E2EF6DACF4D}" xr6:coauthVersionLast="47" xr6:coauthVersionMax="47" xr10:uidLastSave="{B28DF14C-47A3-4A2B-963D-37055CD827AE}"/>
  <bookViews>
    <workbookView xWindow="-120" yWindow="-120" windowWidth="29040" windowHeight="15840" xr2:uid="{042ED167-05A8-4A89-8BEE-0C5248816081}"/>
  </bookViews>
  <sheets>
    <sheet name="Hoja1" sheetId="19" r:id="rId1"/>
    <sheet name="PRECIO" sheetId="18" state="hidden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8" l="1"/>
  <c r="D6" i="18"/>
  <c r="F18" i="18"/>
  <c r="F9" i="18"/>
  <c r="F12" i="18"/>
  <c r="F6" i="18"/>
  <c r="F11" i="18"/>
  <c r="F13" i="18"/>
  <c r="F15" i="18"/>
  <c r="F17" i="18"/>
  <c r="F19" i="18"/>
  <c r="F20" i="18"/>
  <c r="F21" i="18"/>
  <c r="F22" i="18"/>
  <c r="F23" i="18"/>
  <c r="G19" i="18"/>
  <c r="G16" i="18"/>
  <c r="F27" i="18"/>
  <c r="G23" i="18"/>
  <c r="G18" i="18"/>
  <c r="G6" i="18"/>
  <c r="G9" i="18"/>
  <c r="G12" i="18"/>
  <c r="G11" i="18"/>
  <c r="G13" i="18"/>
  <c r="G15" i="18"/>
  <c r="G17" i="18"/>
  <c r="G21" i="18"/>
  <c r="G20" i="18"/>
  <c r="G22" i="18"/>
  <c r="F28" i="18"/>
  <c r="F29" i="18"/>
  <c r="F30" i="18"/>
  <c r="F31" i="18"/>
  <c r="F34" i="18"/>
  <c r="F35" i="18"/>
  <c r="F32" i="18"/>
  <c r="G29" i="18"/>
  <c r="H29" i="18"/>
</calcChain>
</file>

<file path=xl/sharedStrings.xml><?xml version="1.0" encoding="utf-8"?>
<sst xmlns="http://schemas.openxmlformats.org/spreadsheetml/2006/main" count="169" uniqueCount="127">
  <si>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</si>
  <si>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</si>
  <si>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</si>
  <si>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</si>
  <si>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</si>
  <si>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</si>
  <si>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</si>
  <si>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</si>
  <si>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</si>
  <si>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</si>
  <si>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</si>
  <si>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</si>
  <si>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</si>
  <si>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</si>
  <si>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</si>
  <si>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</si>
  <si>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</si>
  <si>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Aprobado</t>
  </si>
  <si>
    <t>Descripción del ingrediente</t>
  </si>
  <si>
    <t>Medida alternativa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</si>
  <si>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</si>
  <si>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</si>
  <si>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</si>
  <si>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</si>
  <si>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</si>
  <si>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</si>
  <si>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</si>
  <si>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PROCEDIMIENTO DE PREPARACION DE LA  RECETA</t>
  </si>
  <si>
    <t>min</t>
  </si>
  <si>
    <t>FAS</t>
  </si>
  <si>
    <t>AREA QUE PRODUCE:</t>
  </si>
  <si>
    <t xml:space="preserve">AREA QUE EMPACA: </t>
  </si>
  <si>
    <t>NESTLÉ</t>
  </si>
  <si>
    <t>EMPAQUE</t>
  </si>
  <si>
    <t>ud</t>
  </si>
  <si>
    <t>ETIQ. GENERICA PEQUEÑA V-274 (UND)</t>
  </si>
  <si>
    <t>ETIQ.FECHA VENCIMIENTO BLANCO (ROLLO)</t>
  </si>
  <si>
    <t>ETIQUETA BLANCA 2 5/8X1 15/16 (UND)</t>
  </si>
  <si>
    <t>1</t>
  </si>
  <si>
    <t xml:space="preserve">ETIQUETA SELLO DE SEGURIDAD (ROLLO:1000 U) </t>
  </si>
  <si>
    <t>ETIQUETA BLANCA R-153 (UND)</t>
  </si>
  <si>
    <r>
      <rPr>
        <b/>
        <sz val="10"/>
        <rFont val="Century Gothic"/>
        <family val="2"/>
      </rPr>
      <t>2.-</t>
    </r>
    <r>
      <rPr>
        <sz val="10"/>
        <rFont val="Century Gothic"/>
        <family val="2"/>
      </rPr>
      <t xml:space="preserve"> Con la boquilla pequeña #17 hacer líneas en todo el costado, de manera que se cubran todas la paredes hasta llegar al borde</t>
    </r>
  </si>
  <si>
    <t>Fecha:</t>
  </si>
  <si>
    <t>DESCRIPCION MAT.PRIMA</t>
  </si>
  <si>
    <t xml:space="preserve">TOTAL MATERIA PRIMA + EMPAQUE </t>
  </si>
  <si>
    <t>MODI PLANTA</t>
  </si>
  <si>
    <t>COSTO PLANTA</t>
  </si>
  <si>
    <t>% MK</t>
  </si>
  <si>
    <t>TRANSFERENCIA</t>
  </si>
  <si>
    <t>PRECIO DE VENTA PLANTA A LOCAL</t>
  </si>
  <si>
    <t>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</si>
  <si>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</si>
  <si>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</si>
  <si>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</si>
  <si>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</si>
  <si>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</si>
  <si>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</si>
  <si>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</si>
  <si>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</si>
  <si>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</si>
  <si>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</si>
  <si>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</si>
  <si>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</si>
  <si>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</si>
  <si>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</si>
  <si>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</si>
  <si>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</si>
  <si>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</si>
  <si>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</si>
  <si>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</si>
  <si>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</si>
  <si>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</si>
  <si>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</si>
  <si>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</si>
  <si>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</si>
  <si>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</si>
  <si>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1950699</t>
  </si>
  <si>
    <t>BASE PARA ROSQUETE (UND)</t>
  </si>
  <si>
    <t>MINI CAKE MELOCOTON</t>
  </si>
  <si>
    <t>2</t>
  </si>
  <si>
    <r>
      <rPr>
        <b/>
        <sz val="10"/>
        <rFont val="Century Gothic"/>
        <family val="2"/>
      </rPr>
      <t xml:space="preserve">4.- </t>
    </r>
    <r>
      <rPr>
        <sz val="10"/>
        <rFont val="Century Gothic"/>
        <family val="2"/>
      </rPr>
      <t>Tapar y etiquetar. Colocar los sellos de seguridad en lados opuestos, sobre uno de los sellos de seguridad pegar la cinta generica. La fecha de vencimiento,  y en el lado inferior etiqueta de ingredientes.</t>
    </r>
  </si>
  <si>
    <t>11400066</t>
  </si>
  <si>
    <t>MANJAR LECHE CONDENSADA (PAQ: 6 K)</t>
  </si>
  <si>
    <t>MEZCLA TRES LECHES C/BAILEYS LITRO</t>
  </si>
  <si>
    <t>RELLENO CREMA MOKA C/BAILEYS (KILO)</t>
  </si>
  <si>
    <t>MEZCLA CHOCOLATE BLANCO C/PECANA (KILO)</t>
  </si>
  <si>
    <t>CREMA DULCE LECHE KILO</t>
  </si>
  <si>
    <t>GANACHE CHOCOLATE OSCURO (KILO)</t>
  </si>
  <si>
    <t>GANACHE BAILEYS (KILO)</t>
  </si>
  <si>
    <t>907000316</t>
  </si>
  <si>
    <t>ROSQUETE MINICAKE VAINILLA DAWN 35G</t>
  </si>
  <si>
    <r>
      <rPr>
        <b/>
        <sz val="10"/>
        <rFont val="Century Gothic"/>
        <family val="2"/>
      </rPr>
      <t xml:space="preserve">3.- </t>
    </r>
    <r>
      <rPr>
        <sz val="10"/>
        <rFont val="Century Gothic"/>
        <family val="2"/>
      </rPr>
      <t>Hacer colocho con la crema dulce y en el centro colocar el ganache de baileys, y con el ganache de chocolate hacer un punto.</t>
    </r>
  </si>
  <si>
    <t>51400047</t>
  </si>
  <si>
    <t>QUEQUERA MINI CAKE (CAJA 100 UND)</t>
  </si>
  <si>
    <t xml:space="preserve">M Y L </t>
  </si>
  <si>
    <r>
      <rPr>
        <b/>
        <sz val="10"/>
        <rFont val="Century Gothic"/>
        <family val="2"/>
      </rPr>
      <t xml:space="preserve">1.- </t>
    </r>
    <r>
      <rPr>
        <sz val="10"/>
        <rFont val="Century Gothic"/>
        <family val="2"/>
      </rPr>
      <t>Cortar el mini cake por la mitad (eliminado la punta para nivelar), humeder los rosquetes con mezcla de leche y rellenar con manjar, relleno moka y chocopecana. Hacer un circulo de manjar sobre la base para inmobilizar el quequito. Pegar el mini cake en la base.</t>
    </r>
  </si>
  <si>
    <t>MP10007</t>
  </si>
  <si>
    <t>SE00288</t>
  </si>
  <si>
    <t>SE00084</t>
  </si>
  <si>
    <t>SE00085</t>
  </si>
  <si>
    <t>SE00086</t>
  </si>
  <si>
    <t>SE00032</t>
  </si>
  <si>
    <t>SE00001</t>
  </si>
  <si>
    <t>SE00087</t>
  </si>
  <si>
    <t>EM10288</t>
  </si>
  <si>
    <t>EM10119</t>
  </si>
  <si>
    <t>EM10004</t>
  </si>
  <si>
    <t>EM10011</t>
  </si>
  <si>
    <t>EM10135</t>
  </si>
  <si>
    <t>EM10035</t>
  </si>
  <si>
    <t>EM10124</t>
  </si>
  <si>
    <t>30300220(PTI00155) Mini Cake Baileys</t>
  </si>
  <si>
    <t>01</t>
  </si>
  <si>
    <t>Javier Tong, Chef</t>
  </si>
  <si>
    <t>Esteban Cartin, Gte Manufactura</t>
  </si>
  <si>
    <t>Figuras</t>
  </si>
  <si>
    <t># Código Netsuite</t>
  </si>
  <si>
    <t>Ensamble</t>
  </si>
  <si>
    <t>1 CUCHARADA</t>
  </si>
  <si>
    <t>2 CUCHARADA</t>
  </si>
  <si>
    <t>Decoración</t>
  </si>
  <si>
    <t/>
  </si>
  <si>
    <t>BOQUILLA 17</t>
  </si>
  <si>
    <t>Empaque</t>
  </si>
  <si>
    <t>ETIPLAST</t>
  </si>
  <si>
    <t>CONTROL DE CAMBIOS</t>
  </si>
  <si>
    <t>ESP-RE-FIS-009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</si>
</sst>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[$-409]d\-mmm\-yy;@"/>
    <numFmt numFmtId="167" formatCode="0.0%"/>
    <numFmt numFmtId="168" formatCode="0.0"/>
    <numFmt numFmtId="169" formatCode="0.0000"/>
  </numFmts>
  <fonts count="49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color indexed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9"/>
      <name val="Times New Roman"/>
      <family val="1"/>
    </font>
    <font>
      <sz val="9"/>
      <color indexed="1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sz val="9"/>
      <color indexed="12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b/>
      <sz val="8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9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000000"/>
      <name val="Calibri"/>
      <family val="2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indexed="8"/>
      <name val="MS Sans Serif"/>
      <family val="2"/>
    </font>
    <font>
      <b/>
      <sz val="12"/>
      <color indexed="8"/>
      <name val="Times New Roman"/>
      <family val="1"/>
    </font>
    <font>
      <sz val="11"/>
      <name val="Century Gothic"/>
      <family val="2"/>
    </font>
    <font>
      <sz val="10.5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5" fillId="0" borderId="0"/>
  </cellStyleXfs>
  <cellXfs count="262">
    <xf numFmtId="0" fontId="0" fillId="0" borderId="0" xfId="0"/>
    <xf numFmtId="0" fontId="10" fillId="2" borderId="3" xfId="57" applyFont="1" applyFill="1" applyBorder="1" applyAlignment="1">
      <alignment horizontal="right"/>
    </xf>
    <xf numFmtId="0" fontId="8" fillId="2" borderId="4" xfId="57" applyFont="1" applyFill="1" applyBorder="1" applyAlignment="1">
      <alignment horizontal="center"/>
    </xf>
    <xf numFmtId="0" fontId="10" fillId="2" borderId="2" xfId="57" applyFont="1" applyFill="1" applyBorder="1" applyAlignment="1">
      <alignment horizontal="right"/>
    </xf>
    <xf numFmtId="49" fontId="8" fillId="2" borderId="5" xfId="57" applyNumberFormat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 wrapText="1"/>
    </xf>
    <xf numFmtId="16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10" fontId="20" fillId="0" borderId="0" xfId="66" applyNumberFormat="1" applyFont="1" applyFill="1" applyAlignment="1">
      <alignment vertical="center"/>
    </xf>
    <xf numFmtId="10" fontId="26" fillId="0" borderId="0" xfId="66" applyNumberFormat="1" applyFont="1" applyFill="1" applyBorder="1"/>
    <xf numFmtId="10" fontId="20" fillId="0" borderId="0" xfId="66" applyNumberFormat="1" applyFont="1" applyFill="1"/>
    <xf numFmtId="10" fontId="24" fillId="0" borderId="0" xfId="66" applyNumberFormat="1" applyFont="1" applyFill="1" applyAlignment="1">
      <alignment horizontal="right"/>
    </xf>
    <xf numFmtId="10" fontId="22" fillId="0" borderId="0" xfId="66" applyNumberFormat="1" applyFont="1" applyFill="1" applyAlignment="1">
      <alignment horizontal="right"/>
    </xf>
    <xf numFmtId="10" fontId="26" fillId="0" borderId="0" xfId="66" applyNumberFormat="1" applyFont="1" applyFill="1"/>
    <xf numFmtId="10" fontId="30" fillId="0" borderId="0" xfId="66" applyNumberFormat="1" applyFont="1" applyFill="1"/>
    <xf numFmtId="0" fontId="17" fillId="5" borderId="2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 wrapText="1"/>
    </xf>
    <xf numFmtId="0" fontId="20" fillId="0" borderId="0" xfId="0" applyFont="1"/>
    <xf numFmtId="10" fontId="19" fillId="0" borderId="0" xfId="66" applyNumberFormat="1" applyFont="1" applyFill="1" applyAlignment="1">
      <alignment horizontal="right"/>
    </xf>
    <xf numFmtId="0" fontId="19" fillId="4" borderId="9" xfId="0" applyFont="1" applyFill="1" applyBorder="1"/>
    <xf numFmtId="0" fontId="25" fillId="0" borderId="0" xfId="0" applyFont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10" fontId="26" fillId="0" borderId="0" xfId="66" applyNumberFormat="1" applyFont="1" applyFill="1" applyAlignment="1">
      <alignment horizontal="right"/>
    </xf>
    <xf numFmtId="9" fontId="20" fillId="0" borderId="0" xfId="66" applyFont="1" applyFill="1" applyAlignment="1">
      <alignment vertical="center"/>
    </xf>
    <xf numFmtId="9" fontId="20" fillId="0" borderId="0" xfId="66" applyFont="1" applyAlignment="1">
      <alignment horizontal="right"/>
    </xf>
    <xf numFmtId="9" fontId="25" fillId="0" borderId="0" xfId="66" applyFont="1" applyFill="1"/>
    <xf numFmtId="10" fontId="20" fillId="0" borderId="0" xfId="66" applyNumberFormat="1" applyFont="1" applyFill="1" applyBorder="1" applyAlignment="1">
      <alignment horizontal="right"/>
    </xf>
    <xf numFmtId="9" fontId="25" fillId="0" borderId="0" xfId="66" applyFont="1" applyFill="1" applyAlignment="1">
      <alignment horizontal="center"/>
    </xf>
    <xf numFmtId="0" fontId="20" fillId="0" borderId="0" xfId="66" applyNumberFormat="1" applyFont="1" applyFill="1" applyAlignment="1">
      <alignment vertical="center"/>
    </xf>
    <xf numFmtId="166" fontId="35" fillId="0" borderId="0" xfId="0" applyNumberFormat="1" applyFont="1" applyAlignment="1">
      <alignment horizontal="center" vertical="center" wrapText="1"/>
    </xf>
    <xf numFmtId="43" fontId="19" fillId="0" borderId="0" xfId="1" applyFont="1" applyFill="1" applyBorder="1" applyAlignment="1">
      <alignment horizontal="right"/>
    </xf>
    <xf numFmtId="0" fontId="21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43" fontId="20" fillId="5" borderId="22" xfId="1" applyFont="1" applyFill="1" applyBorder="1" applyAlignment="1">
      <alignment horizontal="right"/>
    </xf>
    <xf numFmtId="43" fontId="20" fillId="0" borderId="0" xfId="1" applyFont="1" applyFill="1" applyBorder="1" applyAlignment="1">
      <alignment horizontal="right"/>
    </xf>
    <xf numFmtId="0" fontId="16" fillId="0" borderId="0" xfId="0" applyFont="1"/>
    <xf numFmtId="0" fontId="34" fillId="0" borderId="24" xfId="0" applyFont="1" applyBorder="1" applyAlignment="1">
      <alignment horizontal="center" vertical="center" wrapText="1"/>
    </xf>
    <xf numFmtId="43" fontId="20" fillId="0" borderId="0" xfId="1" applyFont="1"/>
    <xf numFmtId="4" fontId="20" fillId="0" borderId="0" xfId="1" applyNumberFormat="1" applyFont="1" applyAlignment="1">
      <alignment horizontal="right"/>
    </xf>
    <xf numFmtId="49" fontId="20" fillId="0" borderId="0" xfId="2" applyNumberFormat="1" applyFont="1" applyAlignment="1">
      <alignment horizontal="center"/>
    </xf>
    <xf numFmtId="0" fontId="19" fillId="0" borderId="0" xfId="0" applyFont="1"/>
    <xf numFmtId="43" fontId="27" fillId="0" borderId="0" xfId="1" applyFont="1" applyFill="1" applyBorder="1" applyAlignment="1">
      <alignment horizontal="center"/>
    </xf>
    <xf numFmtId="0" fontId="27" fillId="0" borderId="0" xfId="0" applyFont="1"/>
    <xf numFmtId="4" fontId="27" fillId="0" borderId="0" xfId="2" applyNumberFormat="1" applyFont="1" applyFill="1" applyBorder="1"/>
    <xf numFmtId="4" fontId="27" fillId="0" borderId="0" xfId="2" applyNumberFormat="1" applyFont="1" applyFill="1" applyBorder="1" applyAlignment="1">
      <alignment horizontal="right"/>
    </xf>
    <xf numFmtId="49" fontId="27" fillId="0" borderId="0" xfId="2" applyNumberFormat="1" applyFont="1" applyFill="1" applyBorder="1" applyAlignment="1">
      <alignment horizontal="center"/>
    </xf>
    <xf numFmtId="43" fontId="19" fillId="0" borderId="25" xfId="1" applyFont="1" applyFill="1" applyBorder="1" applyAlignment="1">
      <alignment horizontal="right"/>
    </xf>
    <xf numFmtId="9" fontId="25" fillId="0" borderId="0" xfId="1" applyNumberFormat="1" applyFont="1" applyFill="1" applyBorder="1"/>
    <xf numFmtId="4" fontId="25" fillId="0" borderId="0" xfId="1" applyNumberFormat="1" applyFont="1" applyFill="1" applyBorder="1" applyAlignment="1">
      <alignment horizontal="right"/>
    </xf>
    <xf numFmtId="167" fontId="24" fillId="0" borderId="0" xfId="1" applyNumberFormat="1" applyFont="1" applyFill="1"/>
    <xf numFmtId="2" fontId="25" fillId="0" borderId="0" xfId="0" applyNumberFormat="1" applyFont="1" applyAlignment="1">
      <alignment horizontal="center"/>
    </xf>
    <xf numFmtId="0" fontId="32" fillId="0" borderId="0" xfId="0" applyFont="1" applyAlignment="1">
      <alignment horizontal="right"/>
    </xf>
    <xf numFmtId="0" fontId="19" fillId="0" borderId="20" xfId="0" applyFont="1" applyBorder="1" applyAlignment="1">
      <alignment horizontal="right"/>
    </xf>
    <xf numFmtId="43" fontId="20" fillId="6" borderId="0" xfId="1" applyFont="1" applyFill="1" applyBorder="1" applyAlignment="1">
      <alignment horizontal="right"/>
    </xf>
    <xf numFmtId="2" fontId="29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0" fontId="23" fillId="7" borderId="0" xfId="66" applyNumberFormat="1" applyFont="1" applyFill="1" applyAlignment="1">
      <alignment horizontal="right"/>
    </xf>
    <xf numFmtId="43" fontId="19" fillId="7" borderId="0" xfId="1" applyFont="1" applyFill="1" applyBorder="1" applyAlignment="1">
      <alignment horizontal="right"/>
    </xf>
    <xf numFmtId="0" fontId="0" fillId="0" borderId="0" xfId="0" applyAlignment="1">
      <alignment horizontal="center"/>
    </xf>
    <xf numFmtId="49" fontId="7" fillId="0" borderId="18" xfId="0" applyNumberFormat="1" applyFont="1" applyBorder="1" applyAlignment="1">
      <alignment horizontal="center" vertical="center"/>
    </xf>
    <xf numFmtId="0" fontId="8" fillId="2" borderId="1" xfId="57" applyFont="1" applyFill="1" applyBorder="1" applyAlignment="1">
      <alignment horizontal="right"/>
    </xf>
    <xf numFmtId="0" fontId="8" fillId="2" borderId="2" xfId="57" applyFont="1" applyFill="1" applyBorder="1" applyAlignment="1">
      <alignment horizontal="right"/>
    </xf>
    <xf numFmtId="14" fontId="39" fillId="2" borderId="0" xfId="58" applyNumberFormat="1" applyFont="1" applyFill="1" applyAlignment="1">
      <alignment horizontal="center" vertical="center" wrapText="1"/>
    </xf>
    <xf numFmtId="0" fontId="10" fillId="3" borderId="4" xfId="51" applyFont="1" applyFill="1" applyBorder="1" applyAlignment="1">
      <alignment horizontal="center" vertical="center" wrapText="1"/>
    </xf>
    <xf numFmtId="1" fontId="10" fillId="3" borderId="12" xfId="51" applyNumberFormat="1" applyFont="1" applyFill="1" applyBorder="1" applyAlignment="1">
      <alignment horizontal="center"/>
    </xf>
    <xf numFmtId="1" fontId="10" fillId="3" borderId="12" xfId="51" applyNumberFormat="1" applyFont="1" applyFill="1" applyBorder="1" applyAlignment="1">
      <alignment horizontal="center" wrapText="1"/>
    </xf>
    <xf numFmtId="0" fontId="10" fillId="3" borderId="16" xfId="51" applyFont="1" applyFill="1" applyBorder="1" applyAlignment="1">
      <alignment horizontal="center"/>
    </xf>
    <xf numFmtId="0" fontId="43" fillId="0" borderId="7" xfId="51" applyFont="1" applyBorder="1" applyAlignment="1">
      <alignment horizontal="center" vertical="center"/>
    </xf>
    <xf numFmtId="0" fontId="43" fillId="0" borderId="18" xfId="51" applyFont="1" applyBorder="1" applyAlignment="1">
      <alignment horizontal="center" vertical="center"/>
    </xf>
    <xf numFmtId="0" fontId="44" fillId="0" borderId="2" xfId="51" applyFont="1" applyBorder="1" applyAlignment="1">
      <alignment vertical="center"/>
    </xf>
    <xf numFmtId="0" fontId="43" fillId="0" borderId="2" xfId="51" applyFont="1" applyBorder="1" applyAlignment="1">
      <alignment horizontal="center" vertical="center"/>
    </xf>
    <xf numFmtId="1" fontId="43" fillId="0" borderId="2" xfId="51" applyNumberFormat="1" applyFont="1" applyBorder="1" applyAlignment="1">
      <alignment horizontal="center"/>
    </xf>
    <xf numFmtId="1" fontId="43" fillId="0" borderId="2" xfId="51" applyNumberFormat="1" applyFont="1" applyBorder="1" applyAlignment="1">
      <alignment horizontal="center" wrapText="1"/>
    </xf>
    <xf numFmtId="0" fontId="7" fillId="0" borderId="5" xfId="51" applyFont="1" applyBorder="1" applyAlignment="1">
      <alignment horizontal="center"/>
    </xf>
    <xf numFmtId="49" fontId="5" fillId="0" borderId="2" xfId="51" applyNumberFormat="1" applyFont="1" applyBorder="1" applyAlignment="1">
      <alignment vertical="center"/>
    </xf>
    <xf numFmtId="1" fontId="8" fillId="0" borderId="1" xfId="5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0" fillId="0" borderId="2" xfId="0" applyFont="1" applyBorder="1"/>
    <xf numFmtId="49" fontId="7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0" fillId="0" borderId="2" xfId="56" applyFont="1" applyBorder="1" applyAlignment="1">
      <alignment horizontal="center"/>
    </xf>
    <xf numFmtId="169" fontId="3" fillId="0" borderId="1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7" fillId="6" borderId="2" xfId="0" applyFont="1" applyFill="1" applyBorder="1" applyAlignment="1">
      <alignment horizontal="center"/>
    </xf>
    <xf numFmtId="1" fontId="7" fillId="6" borderId="2" xfId="0" applyNumberFormat="1" applyFont="1" applyFill="1" applyBorder="1" applyAlignment="1">
      <alignment horizontal="center"/>
    </xf>
    <xf numFmtId="1" fontId="7" fillId="6" borderId="2" xfId="0" applyNumberFormat="1" applyFont="1" applyFill="1" applyBorder="1" applyAlignment="1">
      <alignment horizontal="center" wrapText="1"/>
    </xf>
    <xf numFmtId="0" fontId="36" fillId="6" borderId="2" xfId="68" applyFont="1" applyFill="1" applyBorder="1" applyAlignment="1">
      <alignment horizontal="center" vertical="center"/>
    </xf>
    <xf numFmtId="0" fontId="6" fillId="6" borderId="2" xfId="0" applyFont="1" applyFill="1" applyBorder="1"/>
    <xf numFmtId="2" fontId="0" fillId="0" borderId="2" xfId="0" applyNumberFormat="1" applyBorder="1" applyAlignment="1">
      <alignment horizontal="center"/>
    </xf>
    <xf numFmtId="0" fontId="0" fillId="6" borderId="2" xfId="0" applyFill="1" applyBorder="1"/>
    <xf numFmtId="16" fontId="3" fillId="0" borderId="2" xfId="51" applyNumberFormat="1" applyBorder="1" applyAlignment="1">
      <alignment horizontal="center"/>
    </xf>
    <xf numFmtId="1" fontId="3" fillId="0" borderId="0" xfId="51" applyNumberFormat="1" applyAlignment="1">
      <alignment horizontal="center"/>
    </xf>
    <xf numFmtId="1" fontId="3" fillId="0" borderId="0" xfId="51" applyNumberFormat="1" applyAlignment="1">
      <alignment horizontal="center" wrapText="1"/>
    </xf>
    <xf numFmtId="2" fontId="8" fillId="0" borderId="1" xfId="51" applyNumberFormat="1" applyFont="1" applyBorder="1" applyAlignment="1">
      <alignment horizontal="center"/>
    </xf>
    <xf numFmtId="1" fontId="7" fillId="0" borderId="2" xfId="51" applyNumberFormat="1" applyFont="1" applyBorder="1" applyAlignment="1">
      <alignment horizontal="center"/>
    </xf>
    <xf numFmtId="1" fontId="7" fillId="0" borderId="2" xfId="51" applyNumberFormat="1" applyFont="1" applyBorder="1" applyAlignment="1">
      <alignment horizontal="center" wrapText="1"/>
    </xf>
    <xf numFmtId="0" fontId="3" fillId="0" borderId="1" xfId="51" applyBorder="1" applyAlignment="1">
      <alignment horizontal="center"/>
    </xf>
    <xf numFmtId="49" fontId="7" fillId="0" borderId="7" xfId="51" applyNumberFormat="1" applyFont="1" applyBorder="1" applyAlignment="1">
      <alignment horizontal="center"/>
    </xf>
    <xf numFmtId="49" fontId="7" fillId="0" borderId="18" xfId="51" applyNumberFormat="1" applyFont="1" applyBorder="1" applyAlignment="1">
      <alignment horizontal="center"/>
    </xf>
    <xf numFmtId="0" fontId="34" fillId="6" borderId="2" xfId="51" applyFont="1" applyFill="1" applyBorder="1" applyAlignment="1">
      <alignment horizontal="left"/>
    </xf>
    <xf numFmtId="0" fontId="7" fillId="0" borderId="2" xfId="51" applyFont="1" applyBorder="1" applyAlignment="1">
      <alignment horizontal="center"/>
    </xf>
    <xf numFmtId="168" fontId="7" fillId="0" borderId="2" xfId="51" applyNumberFormat="1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1" fontId="7" fillId="0" borderId="2" xfId="53" applyNumberFormat="1" applyFont="1" applyBorder="1" applyAlignment="1">
      <alignment horizontal="center"/>
    </xf>
    <xf numFmtId="1" fontId="7" fillId="0" borderId="2" xfId="53" applyNumberFormat="1" applyFont="1" applyBorder="1" applyAlignment="1">
      <alignment horizontal="center" wrapText="1"/>
    </xf>
    <xf numFmtId="49" fontId="43" fillId="0" borderId="19" xfId="51" applyNumberFormat="1" applyFont="1" applyBorder="1" applyAlignment="1">
      <alignment horizontal="center"/>
    </xf>
    <xf numFmtId="49" fontId="43" fillId="0" borderId="40" xfId="51" applyNumberFormat="1" applyFont="1" applyBorder="1" applyAlignment="1">
      <alignment horizontal="center"/>
    </xf>
    <xf numFmtId="0" fontId="46" fillId="6" borderId="2" xfId="51" applyFont="1" applyFill="1" applyBorder="1" applyAlignment="1">
      <alignment vertical="center"/>
    </xf>
    <xf numFmtId="0" fontId="43" fillId="0" borderId="18" xfId="51" applyFont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38" fillId="6" borderId="21" xfId="0" applyFont="1" applyFill="1" applyBorder="1" applyAlignment="1">
      <alignment horizontal="center"/>
    </xf>
    <xf numFmtId="0" fontId="0" fillId="6" borderId="23" xfId="0" applyFill="1" applyBorder="1" applyAlignment="1">
      <alignment horizontal="left"/>
    </xf>
    <xf numFmtId="2" fontId="7" fillId="0" borderId="2" xfId="51" applyNumberFormat="1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12" fontId="7" fillId="0" borderId="2" xfId="51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2" xfId="0" applyFont="1" applyBorder="1"/>
    <xf numFmtId="0" fontId="8" fillId="2" borderId="2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8" fillId="0" borderId="2" xfId="0" applyFont="1" applyBorder="1"/>
    <xf numFmtId="0" fontId="47" fillId="0" borderId="2" xfId="0" applyFont="1" applyBorder="1"/>
    <xf numFmtId="0" fontId="8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49" fontId="5" fillId="0" borderId="2" xfId="51" applyNumberFormat="1" applyFont="1" applyBorder="1"/>
    <xf numFmtId="0" fontId="4" fillId="0" borderId="2" xfId="51" applyFont="1" applyBorder="1" applyAlignment="1">
      <alignment horizontal="center"/>
    </xf>
    <xf numFmtId="49" fontId="12" fillId="2" borderId="45" xfId="51" applyNumberFormat="1" applyFont="1" applyFill="1" applyBorder="1" applyAlignment="1">
      <alignment horizontal="center" vertical="center"/>
    </xf>
    <xf numFmtId="49" fontId="12" fillId="2" borderId="0" xfId="51" applyNumberFormat="1" applyFont="1" applyFill="1" applyAlignment="1">
      <alignment horizontal="center" vertical="center"/>
    </xf>
    <xf numFmtId="0" fontId="8" fillId="2" borderId="0" xfId="51" applyFont="1" applyFill="1"/>
    <xf numFmtId="1" fontId="8" fillId="2" borderId="0" xfId="51" applyNumberFormat="1" applyFont="1" applyFill="1" applyAlignment="1">
      <alignment horizontal="center"/>
    </xf>
    <xf numFmtId="165" fontId="8" fillId="2" borderId="0" xfId="51" applyNumberFormat="1" applyFont="1" applyFill="1" applyAlignment="1">
      <alignment horizontal="center" wrapText="1"/>
    </xf>
    <xf numFmtId="0" fontId="8" fillId="2" borderId="23" xfId="51" applyFont="1" applyFill="1" applyBorder="1" applyAlignment="1">
      <alignment horizontal="center"/>
    </xf>
    <xf numFmtId="0" fontId="8" fillId="3" borderId="8" xfId="51" applyFont="1" applyFill="1" applyBorder="1" applyAlignment="1">
      <alignment horizontal="center"/>
    </xf>
    <xf numFmtId="0" fontId="8" fillId="3" borderId="9" xfId="51" applyFont="1" applyFill="1" applyBorder="1" applyAlignment="1">
      <alignment horizontal="center"/>
    </xf>
    <xf numFmtId="0" fontId="8" fillId="3" borderId="9" xfId="51" applyFont="1" applyFill="1" applyBorder="1"/>
    <xf numFmtId="0" fontId="10" fillId="3" borderId="9" xfId="51" applyFont="1" applyFill="1" applyBorder="1" applyAlignment="1">
      <alignment horizontal="center"/>
    </xf>
    <xf numFmtId="1" fontId="10" fillId="3" borderId="9" xfId="51" applyNumberFormat="1" applyFont="1" applyFill="1" applyBorder="1" applyAlignment="1">
      <alignment horizontal="center"/>
    </xf>
    <xf numFmtId="165" fontId="8" fillId="3" borderId="9" xfId="51" applyNumberFormat="1" applyFont="1" applyFill="1" applyBorder="1" applyAlignment="1">
      <alignment horizontal="center" wrapText="1"/>
    </xf>
    <xf numFmtId="0" fontId="8" fillId="3" borderId="10" xfId="5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8" fillId="2" borderId="29" xfId="57" applyNumberFormat="1" applyFont="1" applyFill="1" applyBorder="1" applyAlignment="1">
      <alignment horizontal="center" vertical="center" wrapText="1"/>
    </xf>
    <xf numFmtId="14" fontId="8" fillId="2" borderId="30" xfId="57" applyNumberFormat="1" applyFont="1" applyFill="1" applyBorder="1" applyAlignment="1">
      <alignment horizontal="center" vertical="center" wrapText="1"/>
    </xf>
    <xf numFmtId="14" fontId="8" fillId="2" borderId="14" xfId="57" applyNumberFormat="1" applyFont="1" applyFill="1" applyBorder="1" applyAlignment="1">
      <alignment horizontal="center" vertical="center" wrapText="1"/>
    </xf>
    <xf numFmtId="0" fontId="8" fillId="2" borderId="35" xfId="57" applyFont="1" applyFill="1" applyBorder="1" applyAlignment="1">
      <alignment horizontal="left"/>
    </xf>
    <xf numFmtId="0" fontId="8" fillId="2" borderId="36" xfId="57" applyFont="1" applyFill="1" applyBorder="1" applyAlignment="1">
      <alignment horizontal="left"/>
    </xf>
    <xf numFmtId="0" fontId="8" fillId="2" borderId="37" xfId="57" applyFont="1" applyFill="1" applyBorder="1" applyAlignment="1">
      <alignment horizontal="left"/>
    </xf>
    <xf numFmtId="0" fontId="8" fillId="2" borderId="17" xfId="57" applyFont="1" applyFill="1" applyBorder="1" applyAlignment="1">
      <alignment horizontal="left"/>
    </xf>
    <xf numFmtId="0" fontId="8" fillId="2" borderId="40" xfId="57" applyFont="1" applyFill="1" applyBorder="1" applyAlignment="1">
      <alignment horizontal="left"/>
    </xf>
    <xf numFmtId="0" fontId="8" fillId="2" borderId="18" xfId="57" applyFont="1" applyFill="1" applyBorder="1" applyAlignment="1">
      <alignment horizontal="left"/>
    </xf>
    <xf numFmtId="0" fontId="8" fillId="2" borderId="43" xfId="57" applyFont="1" applyFill="1" applyBorder="1" applyAlignment="1">
      <alignment horizontal="center"/>
    </xf>
    <xf numFmtId="0" fontId="8" fillId="2" borderId="44" xfId="57" applyFont="1" applyFill="1" applyBorder="1" applyAlignment="1">
      <alignment horizontal="center"/>
    </xf>
    <xf numFmtId="0" fontId="8" fillId="2" borderId="45" xfId="57" applyFont="1" applyFill="1" applyBorder="1" applyAlignment="1">
      <alignment horizontal="center"/>
    </xf>
    <xf numFmtId="0" fontId="8" fillId="2" borderId="0" xfId="57" applyFont="1" applyFill="1" applyAlignment="1">
      <alignment horizontal="center"/>
    </xf>
    <xf numFmtId="0" fontId="8" fillId="2" borderId="13" xfId="57" applyFont="1" applyFill="1" applyBorder="1" applyAlignment="1">
      <alignment horizontal="center"/>
    </xf>
    <xf numFmtId="0" fontId="8" fillId="2" borderId="24" xfId="57" applyFont="1" applyFill="1" applyBorder="1" applyAlignment="1">
      <alignment horizontal="center"/>
    </xf>
    <xf numFmtId="0" fontId="9" fillId="2" borderId="3" xfId="57" applyFont="1" applyFill="1" applyBorder="1" applyAlignment="1">
      <alignment horizontal="center"/>
    </xf>
    <xf numFmtId="0" fontId="9" fillId="2" borderId="38" xfId="57" applyFont="1" applyFill="1" applyBorder="1" applyAlignment="1">
      <alignment horizontal="center"/>
    </xf>
    <xf numFmtId="0" fontId="11" fillId="5" borderId="8" xfId="57" applyFont="1" applyFill="1" applyBorder="1" applyAlignment="1">
      <alignment horizontal="center" vertical="center" wrapText="1"/>
    </xf>
    <xf numFmtId="0" fontId="11" fillId="5" borderId="9" xfId="57" applyFont="1" applyFill="1" applyBorder="1" applyAlignment="1">
      <alignment horizontal="center" vertical="center" wrapText="1"/>
    </xf>
    <xf numFmtId="0" fontId="11" fillId="5" borderId="10" xfId="57" applyFont="1" applyFill="1" applyBorder="1" applyAlignment="1">
      <alignment horizontal="center" vertical="center" wrapText="1"/>
    </xf>
    <xf numFmtId="0" fontId="10" fillId="2" borderId="26" xfId="57" applyFont="1" applyFill="1" applyBorder="1" applyAlignment="1">
      <alignment horizontal="right" vertical="top" wrapText="1"/>
    </xf>
    <xf numFmtId="0" fontId="10" fillId="2" borderId="27" xfId="57" applyFont="1" applyFill="1" applyBorder="1" applyAlignment="1">
      <alignment horizontal="right" vertical="top" wrapText="1"/>
    </xf>
    <xf numFmtId="0" fontId="10" fillId="2" borderId="28" xfId="57" applyFont="1" applyFill="1" applyBorder="1" applyAlignment="1">
      <alignment horizontal="right" vertical="top" wrapText="1"/>
    </xf>
    <xf numFmtId="0" fontId="42" fillId="2" borderId="0" xfId="58" applyFont="1" applyFill="1" applyAlignment="1">
      <alignment horizontal="right"/>
    </xf>
    <xf numFmtId="0" fontId="39" fillId="2" borderId="20" xfId="58" applyFont="1" applyFill="1" applyBorder="1" applyAlignment="1">
      <alignment horizontal="center"/>
    </xf>
    <xf numFmtId="0" fontId="42" fillId="2" borderId="0" xfId="58" applyFont="1" applyFill="1"/>
    <xf numFmtId="0" fontId="10" fillId="3" borderId="33" xfId="51" applyFont="1" applyFill="1" applyBorder="1" applyAlignment="1">
      <alignment horizontal="center" vertical="center"/>
    </xf>
    <xf numFmtId="0" fontId="10" fillId="3" borderId="34" xfId="51" applyFont="1" applyFill="1" applyBorder="1" applyAlignment="1">
      <alignment horizontal="center" vertical="center"/>
    </xf>
    <xf numFmtId="0" fontId="10" fillId="3" borderId="33" xfId="51" applyFont="1" applyFill="1" applyBorder="1" applyAlignment="1">
      <alignment horizontal="center" vertical="center" wrapText="1"/>
    </xf>
    <xf numFmtId="0" fontId="10" fillId="3" borderId="34" xfId="51" applyFont="1" applyFill="1" applyBorder="1" applyAlignment="1">
      <alignment horizontal="center" vertical="center" wrapText="1"/>
    </xf>
    <xf numFmtId="0" fontId="10" fillId="3" borderId="3" xfId="51" applyFont="1" applyFill="1" applyBorder="1" applyAlignment="1">
      <alignment horizontal="center" vertical="center"/>
    </xf>
    <xf numFmtId="0" fontId="10" fillId="3" borderId="12" xfId="51" applyFont="1" applyFill="1" applyBorder="1" applyAlignment="1">
      <alignment horizontal="center" vertical="center"/>
    </xf>
    <xf numFmtId="0" fontId="10" fillId="0" borderId="13" xfId="51" applyFont="1" applyBorder="1" applyAlignment="1">
      <alignment horizontal="right"/>
    </xf>
    <xf numFmtId="0" fontId="10" fillId="0" borderId="24" xfId="51" applyFont="1" applyBorder="1" applyAlignment="1">
      <alignment horizontal="right"/>
    </xf>
    <xf numFmtId="0" fontId="10" fillId="0" borderId="6" xfId="51" applyFont="1" applyBorder="1" applyAlignment="1">
      <alignment horizontal="right"/>
    </xf>
    <xf numFmtId="165" fontId="8" fillId="0" borderId="1" xfId="51" applyNumberFormat="1" applyFont="1" applyBorder="1" applyAlignment="1">
      <alignment horizontal="right"/>
    </xf>
    <xf numFmtId="0" fontId="8" fillId="2" borderId="11" xfId="51" applyFont="1" applyFill="1" applyBorder="1" applyAlignment="1">
      <alignment horizontal="center"/>
    </xf>
    <xf numFmtId="0" fontId="8" fillId="2" borderId="39" xfId="51" applyFont="1" applyFill="1" applyBorder="1" applyAlignment="1">
      <alignment horizontal="center"/>
    </xf>
    <xf numFmtId="0" fontId="10" fillId="0" borderId="19" xfId="51" applyFont="1" applyBorder="1" applyAlignment="1">
      <alignment horizontal="right"/>
    </xf>
    <xf numFmtId="0" fontId="10" fillId="0" borderId="40" xfId="51" applyFont="1" applyBorder="1" applyAlignment="1">
      <alignment horizontal="right"/>
    </xf>
    <xf numFmtId="0" fontId="10" fillId="0" borderId="18" xfId="51" applyFont="1" applyBorder="1" applyAlignment="1">
      <alignment horizontal="right"/>
    </xf>
    <xf numFmtId="0" fontId="8" fillId="0" borderId="2" xfId="51" applyFont="1" applyBorder="1" applyAlignment="1">
      <alignment horizontal="right"/>
    </xf>
    <xf numFmtId="165" fontId="8" fillId="0" borderId="17" xfId="51" applyNumberFormat="1" applyFont="1" applyBorder="1" applyAlignment="1">
      <alignment horizontal="center"/>
    </xf>
    <xf numFmtId="165" fontId="8" fillId="0" borderId="41" xfId="51" applyNumberFormat="1" applyFont="1" applyBorder="1" applyAlignment="1">
      <alignment horizontal="center"/>
    </xf>
    <xf numFmtId="0" fontId="8" fillId="0" borderId="42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165" fontId="8" fillId="0" borderId="17" xfId="51" applyNumberFormat="1" applyFont="1" applyBorder="1" applyAlignment="1">
      <alignment horizontal="right" wrapText="1"/>
    </xf>
    <xf numFmtId="165" fontId="8" fillId="0" borderId="18" xfId="51" applyNumberFormat="1" applyFont="1" applyBorder="1" applyAlignment="1">
      <alignment horizontal="right" wrapText="1"/>
    </xf>
    <xf numFmtId="0" fontId="10" fillId="0" borderId="34" xfId="51" applyFont="1" applyBorder="1" applyAlignment="1">
      <alignment horizontal="right"/>
    </xf>
    <xf numFmtId="0" fontId="10" fillId="0" borderId="15" xfId="51" applyFont="1" applyBorder="1" applyAlignment="1">
      <alignment horizontal="right"/>
    </xf>
    <xf numFmtId="0" fontId="10" fillId="0" borderId="12" xfId="51" applyFont="1" applyBorder="1" applyAlignment="1">
      <alignment horizontal="right"/>
    </xf>
    <xf numFmtId="0" fontId="8" fillId="0" borderId="12" xfId="51" applyFont="1" applyBorder="1" applyAlignment="1">
      <alignment horizontal="right"/>
    </xf>
    <xf numFmtId="165" fontId="8" fillId="0" borderId="31" xfId="51" applyNumberFormat="1" applyFont="1" applyBorder="1" applyAlignment="1">
      <alignment horizontal="center"/>
    </xf>
    <xf numFmtId="165" fontId="8" fillId="0" borderId="50" xfId="51" applyNumberFormat="1" applyFont="1" applyBorder="1" applyAlignment="1">
      <alignment horizontal="center"/>
    </xf>
    <xf numFmtId="0" fontId="10" fillId="3" borderId="8" xfId="51" applyFont="1" applyFill="1" applyBorder="1" applyAlignment="1">
      <alignment horizontal="left"/>
    </xf>
    <xf numFmtId="0" fontId="10" fillId="3" borderId="9" xfId="51" applyFont="1" applyFill="1" applyBorder="1" applyAlignment="1">
      <alignment horizontal="left"/>
    </xf>
    <xf numFmtId="0" fontId="10" fillId="3" borderId="10" xfId="51" applyFont="1" applyFill="1" applyBorder="1" applyAlignment="1">
      <alignment horizontal="left"/>
    </xf>
    <xf numFmtId="0" fontId="8" fillId="2" borderId="53" xfId="57" applyFont="1" applyFill="1" applyBorder="1" applyAlignment="1">
      <alignment horizontal="left"/>
    </xf>
    <xf numFmtId="0" fontId="8" fillId="2" borderId="0" xfId="57" applyFont="1" applyFill="1" applyAlignment="1">
      <alignment horizontal="left"/>
    </xf>
    <xf numFmtId="0" fontId="8" fillId="0" borderId="42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8" fillId="0" borderId="14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40" xfId="0" applyFont="1" applyBorder="1" applyAlignment="1">
      <alignment horizontal="left" wrapText="1"/>
    </xf>
    <xf numFmtId="0" fontId="8" fillId="0" borderId="41" xfId="0" applyFont="1" applyBorder="1" applyAlignment="1">
      <alignment horizontal="left" wrapText="1"/>
    </xf>
    <xf numFmtId="0" fontId="48" fillId="0" borderId="51" xfId="0" applyFont="1" applyBorder="1" applyAlignment="1">
      <alignment horizontal="left" wrapText="1"/>
    </xf>
    <xf numFmtId="0" fontId="48" fillId="0" borderId="32" xfId="0" applyFont="1" applyBorder="1" applyAlignment="1">
      <alignment horizontal="left" wrapText="1"/>
    </xf>
    <xf numFmtId="0" fontId="48" fillId="0" borderId="50" xfId="0" applyFont="1" applyBorder="1" applyAlignment="1">
      <alignment horizontal="left" wrapText="1"/>
    </xf>
    <xf numFmtId="0" fontId="8" fillId="0" borderId="19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8" fillId="0" borderId="41" xfId="0" applyFont="1" applyBorder="1" applyAlignment="1">
      <alignment horizontal="left"/>
    </xf>
    <xf numFmtId="0" fontId="8" fillId="0" borderId="51" xfId="51" applyFont="1" applyBorder="1" applyAlignment="1">
      <alignment horizontal="left"/>
    </xf>
    <xf numFmtId="0" fontId="8" fillId="0" borderId="32" xfId="51" applyFont="1" applyBorder="1" applyAlignment="1">
      <alignment horizontal="left"/>
    </xf>
    <xf numFmtId="0" fontId="8" fillId="0" borderId="50" xfId="51" applyFont="1" applyBorder="1" applyAlignment="1">
      <alignment horizontal="left"/>
    </xf>
    <xf numFmtId="0" fontId="10" fillId="8" borderId="52" xfId="57" applyFont="1" applyFill="1" applyBorder="1" applyAlignment="1">
      <alignment horizontal="center"/>
    </xf>
    <xf numFmtId="0" fontId="10" fillId="8" borderId="44" xfId="57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0" fontId="33" fillId="0" borderId="8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46" xfId="0" applyFont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right" vertical="center" wrapText="1"/>
    </xf>
    <xf numFmtId="0" fontId="31" fillId="0" borderId="0" xfId="0" applyFont="1" applyAlignment="1">
      <alignment horizontal="right"/>
    </xf>
    <xf numFmtId="0" fontId="31" fillId="0" borderId="23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23" xfId="0" applyFont="1" applyBorder="1" applyAlignment="1">
      <alignment horizontal="right"/>
    </xf>
    <xf numFmtId="0" fontId="19" fillId="4" borderId="8" xfId="0" applyFont="1" applyFill="1" applyBorder="1" applyAlignment="1">
      <alignment horizontal="center"/>
    </xf>
    <xf numFmtId="0" fontId="19" fillId="4" borderId="9" xfId="0" applyFont="1" applyFill="1" applyBorder="1" applyAlignment="1">
      <alignment horizontal="center"/>
    </xf>
    <xf numFmtId="0" fontId="28" fillId="0" borderId="44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4" fillId="0" borderId="20" xfId="0" applyFont="1" applyBorder="1" applyAlignment="1">
      <alignment horizontal="right"/>
    </xf>
    <xf numFmtId="0" fontId="34" fillId="4" borderId="8" xfId="0" applyFont="1" applyFill="1" applyBorder="1" applyAlignment="1">
      <alignment horizontal="right"/>
    </xf>
    <xf numFmtId="0" fontId="34" fillId="4" borderId="9" xfId="0" applyFont="1" applyFill="1" applyBorder="1" applyAlignment="1">
      <alignment horizontal="right"/>
    </xf>
    <xf numFmtId="0" fontId="41" fillId="0" borderId="0" xfId="0" applyFont="1" applyAlignment="1">
      <alignment horizontal="right"/>
    </xf>
    <xf numFmtId="0" fontId="28" fillId="7" borderId="0" xfId="0" applyFont="1" applyFill="1" applyAlignment="1">
      <alignment horizontal="right"/>
    </xf>
    <xf numFmtId="0" fontId="28" fillId="0" borderId="20" xfId="0" applyFont="1" applyBorder="1" applyAlignment="1">
      <alignment horizontal="right"/>
    </xf>
  </cellXfs>
  <cellStyles count="69">
    <cellStyle name="Millares" xfId="1" builtinId="3"/>
    <cellStyle name="Millares [0]" xfId="2" builtinId="6"/>
    <cellStyle name="Millares [0] 2" xfId="3" xr:uid="{D3DD2B83-988C-416F-8104-BFC44D367101}"/>
    <cellStyle name="Millares [0] 2 2" xfId="4" xr:uid="{986E0D43-A6D4-4EF8-89B2-B19D56B36843}"/>
    <cellStyle name="Millares [0] 2 2 2" xfId="5" xr:uid="{796FDC06-CAFD-4EDD-AC03-FB5465EA617A}"/>
    <cellStyle name="Millares [0] 2 2 2 2" xfId="6" xr:uid="{5902AA59-17E0-4E67-9E21-A2FAD86DF50C}"/>
    <cellStyle name="Millares [0] 2 2 2 2 2" xfId="7" xr:uid="{2C068F1A-89FD-4336-9F84-8BAD3E0901E5}"/>
    <cellStyle name="Millares [0] 2 2 2 3" xfId="8" xr:uid="{29B3724C-D8D6-42E5-B294-14AA1C74F27E}"/>
    <cellStyle name="Millares [0] 2 2 3" xfId="9" xr:uid="{9ED05C55-A072-4B09-8CD5-BE1BCEB29692}"/>
    <cellStyle name="Millares [0] 2 2 3 2" xfId="10" xr:uid="{B6819AAE-AC50-4CC2-9285-8C0BD8995F29}"/>
    <cellStyle name="Millares [0] 2 2 4" xfId="11" xr:uid="{690D9C9C-51C3-4AD4-8F1F-5BE2706CBE58}"/>
    <cellStyle name="Millares [0] 2 3" xfId="12" xr:uid="{BBEFE6F7-FD0E-43B7-A872-406F1B8D3DF0}"/>
    <cellStyle name="Millares [0] 2 3 2" xfId="13" xr:uid="{6A42D44B-6F05-4D7F-895D-AF5A3ACE5FE6}"/>
    <cellStyle name="Millares [0] 2 4" xfId="14" xr:uid="{A25D0095-8678-4A13-B019-04421A7A7E31}"/>
    <cellStyle name="Millares [0] 3" xfId="15" xr:uid="{EDF89D8A-D32E-4F9A-8B2F-B2D5BFFBF966}"/>
    <cellStyle name="Millares [0] 3 2" xfId="16" xr:uid="{ED14E0EC-2426-428F-8ED6-744F65910E51}"/>
    <cellStyle name="Millares [0] 3 2 2" xfId="17" xr:uid="{91315C67-FE05-4B38-BABE-047F9EFB138A}"/>
    <cellStyle name="Millares [0] 3 2 3 2" xfId="18" xr:uid="{03F8A9FC-9BFA-4D28-8D12-3B835B8452B4}"/>
    <cellStyle name="Millares [0] 3 2 3 2 2" xfId="19" xr:uid="{2699B1C1-CA27-469B-B4C6-54EDBB24E283}"/>
    <cellStyle name="Millares [0] 3 2 3 2 2 2" xfId="20" xr:uid="{0292B3CE-8175-44D6-B681-F70B9223818D}"/>
    <cellStyle name="Millares [0] 3 2 3 2 3" xfId="21" xr:uid="{B7375D02-C0D9-44F6-BB76-401894959DEA}"/>
    <cellStyle name="Millares [0] 3 3" xfId="22" xr:uid="{EC26F170-F076-42D4-9F93-1BD4D48A53BB}"/>
    <cellStyle name="Millares [0] 4" xfId="23" xr:uid="{85E11E11-6135-43C0-8B5A-47F56C5330B0}"/>
    <cellStyle name="Millares [0] 4 2" xfId="24" xr:uid="{58D92C29-3368-4440-B8B4-2CE06A52C87A}"/>
    <cellStyle name="Millares [0] 5" xfId="25" xr:uid="{5F6CAACA-364B-48DD-94EF-BE7B1FFB300D}"/>
    <cellStyle name="Millares [0] 5 2" xfId="26" xr:uid="{E0CA059A-D361-4ED1-B0B7-1C1B47E8F420}"/>
    <cellStyle name="Millares [0] 6" xfId="27" xr:uid="{10E0ABFF-3C94-4C27-977A-79C0004163AE}"/>
    <cellStyle name="Millares 2" xfId="28" xr:uid="{E2D46CF9-2FF0-4AF8-8739-D56BC02B33A4}"/>
    <cellStyle name="Millares 2 2" xfId="29" xr:uid="{5D77AB46-352D-44F4-BE74-B9285100DC93}"/>
    <cellStyle name="Millares 2 2 2" xfId="30" xr:uid="{DB0E9FBC-6CC5-4ABD-856F-FAF4952576D3}"/>
    <cellStyle name="Millares 2 2 2 2" xfId="31" xr:uid="{1DE501C5-F91F-48E7-96BA-5C528ABC62A4}"/>
    <cellStyle name="Millares 2 2 3" xfId="32" xr:uid="{F16F170C-A184-4DB1-BEAC-706991AE5C71}"/>
    <cellStyle name="Millares 2 3" xfId="33" xr:uid="{71BA163A-79D0-46DF-87F3-8660C38D2D61}"/>
    <cellStyle name="Millares 2 3 2" xfId="34" xr:uid="{8CA31AF8-E591-4962-808A-F155B465B034}"/>
    <cellStyle name="Millares 2 4" xfId="35" xr:uid="{81FD5F64-D3A3-418A-9DC3-E68998C81758}"/>
    <cellStyle name="Millares 3" xfId="36" xr:uid="{31F89FDA-2171-40AF-B553-8EE24D96FB3D}"/>
    <cellStyle name="Millares 3 2" xfId="37" xr:uid="{565E6E20-9454-4904-8747-6D124A7C4EC5}"/>
    <cellStyle name="Millares 3 2 2" xfId="38" xr:uid="{4946A797-55B2-4A41-9826-4F4E45665BB8}"/>
    <cellStyle name="Millares 3 2 2 2" xfId="39" xr:uid="{C90B80BB-79B5-4045-A14B-108BFD890A71}"/>
    <cellStyle name="Millares 3 2 3" xfId="40" xr:uid="{A6E80875-27CC-4634-85E4-48E3151A1F86}"/>
    <cellStyle name="Millares 3 3" xfId="41" xr:uid="{E7388746-BD21-450F-AA87-75F2C1358351}"/>
    <cellStyle name="Millares 4" xfId="42" xr:uid="{C9311292-6691-4463-A09A-8DFF7783FF2C}"/>
    <cellStyle name="Millares 4 2" xfId="43" xr:uid="{05298240-9996-4B7A-92BE-7F7EC9C7B9A1}"/>
    <cellStyle name="Millares 5" xfId="44" xr:uid="{0A185F57-C00D-43E7-84F5-DD8ED601449B}"/>
    <cellStyle name="Millares 5 2" xfId="45" xr:uid="{B6234D3D-19D3-43EA-88FE-D69CCF356593}"/>
    <cellStyle name="Millares 6" xfId="46" xr:uid="{1F394C45-086B-4207-996A-03A9766F6BDA}"/>
    <cellStyle name="Millares 6 2" xfId="47" xr:uid="{37E8C164-A288-4B91-9B64-EE3A95FDEDE4}"/>
    <cellStyle name="Millares 7" xfId="48" xr:uid="{060F45F9-C83A-471C-9B22-DEB7B2372EE0}"/>
    <cellStyle name="Millares 7 2" xfId="49" xr:uid="{B4958506-5541-4303-937A-C6167A9F711F}"/>
    <cellStyle name="Millares 8" xfId="50" xr:uid="{8C621FF9-C876-4D61-AF72-6291184CD093}"/>
    <cellStyle name="Normal" xfId="0" builtinId="0"/>
    <cellStyle name="Normal 2" xfId="51" xr:uid="{ED43CB18-B502-4410-A22F-3FBF35ADFD4F}"/>
    <cellStyle name="Normal 3" xfId="52" xr:uid="{17755D70-5F6D-4873-8456-DF68EB253EAF}"/>
    <cellStyle name="Normal 3 2" xfId="53" xr:uid="{2A402B33-37BF-4770-B0CA-8B55B6CF097A}"/>
    <cellStyle name="Normal 4" xfId="54" xr:uid="{5577453B-5370-41E9-83AE-5452587FF540}"/>
    <cellStyle name="Normal 4 2" xfId="55" xr:uid="{C43AC0FD-5CB8-4E6B-92DF-9626C2E6668A}"/>
    <cellStyle name="Normal 5" xfId="56" xr:uid="{BE12C84E-1F2A-4E74-A7F7-C28F58F76F04}"/>
    <cellStyle name="Normal_CRITERIOS DE EVALUACION PT DE GB" xfId="57" xr:uid="{60BDC6F4-6C18-4437-A997-F417A913850F}"/>
    <cellStyle name="Normal_CRITERIOS DE EVALUACION PT DE GB 2" xfId="58" xr:uid="{E0436EBC-16F4-4F76-8AB2-4A9E6787811E}"/>
    <cellStyle name="Normal_Torta Mini Chocofresa" xfId="68" xr:uid="{043D7CB7-F589-463F-84A2-1A0689F83B83}"/>
    <cellStyle name="Porcentaje 2" xfId="59" xr:uid="{A249ED73-B2DB-4F54-9F76-5BDA123013AA}"/>
    <cellStyle name="Porcentaje 2 2" xfId="60" xr:uid="{72172C29-ED12-4033-9375-0B57184EDD96}"/>
    <cellStyle name="Porcentaje 3" xfId="61" xr:uid="{71D74347-D28B-45F4-8321-4087DB5A7680}"/>
    <cellStyle name="Porcentaje 3 2" xfId="62" xr:uid="{0B553826-3E7B-4E46-BB2B-01D9CDEE9EBF}"/>
    <cellStyle name="Porcentaje 3 3" xfId="63" xr:uid="{9F43E770-EA87-4B1A-B05C-5A2170C6D5CF}"/>
    <cellStyle name="Porcentaje 4" xfId="64" xr:uid="{D411A593-75D5-4934-8657-702A1BBC0344}"/>
    <cellStyle name="Porcentaje 4 2" xfId="65" xr:uid="{6C31AD59-A44E-4E33-AE6D-8CE0ED533F18}"/>
    <cellStyle name="Porcentaje 5" xfId="66" xr:uid="{22F82E02-439B-43D3-A80C-93EAAE7C5211}"/>
    <cellStyle name="Porcentaje 5 2" xfId="67" xr:uid="{8680DEC5-4C1C-48B2-A792-5750783D59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A607-767C-4325-A6A9-FDD118F77FA2}">
  <dimension ref="A1:I61"/>
  <sheetViews>
    <sheetView tabSelected="1" view="pageBreakPreview" zoomScale="60" zoomScaleNormal="70" workbookViewId="0">
      <selection activeCell="T24" sqref="T2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171"/>
      <c r="B1" s="172"/>
      <c r="C1" s="177" t="s">
        <v>13</v>
      </c>
      <c r="D1" s="177"/>
      <c r="E1" s="177"/>
      <c r="F1" s="177"/>
      <c r="G1" s="177"/>
      <c r="H1" s="1" t="s">
        <v>14</v>
      </c>
      <c r="I1" s="2" t="s">
        <v>126</v>
      </c>
    </row>
    <row r="2" spans="1:9" ht="16.5" thickBot="1" x14ac:dyDescent="0.3">
      <c r="A2" s="173"/>
      <c r="B2" s="174"/>
      <c r="C2" s="178" t="s">
        <v>0</v>
      </c>
      <c r="D2" s="178"/>
      <c r="E2" s="178"/>
      <c r="F2" s="178"/>
      <c r="G2" s="178"/>
      <c r="H2" s="3" t="s">
        <v>15</v>
      </c>
      <c r="I2" s="4" t="s">
        <v>112</v>
      </c>
    </row>
    <row r="3" spans="1:9" ht="15.95" customHeight="1" thickBot="1" x14ac:dyDescent="0.25">
      <c r="A3" s="173"/>
      <c r="B3" s="174"/>
      <c r="C3" s="179" t="s">
        <v>111</v>
      </c>
      <c r="D3" s="180"/>
      <c r="E3" s="180"/>
      <c r="F3" s="180"/>
      <c r="G3" s="181"/>
      <c r="H3" s="182" t="s">
        <v>16</v>
      </c>
      <c r="I3" s="162">
        <v>45609</v>
      </c>
    </row>
    <row r="4" spans="1:9" ht="13.5" x14ac:dyDescent="0.25">
      <c r="A4" s="173"/>
      <c r="B4" s="174"/>
      <c r="C4" s="70" t="s">
        <v>1</v>
      </c>
      <c r="D4" s="165" t="s">
        <v>113</v>
      </c>
      <c r="E4" s="166"/>
      <c r="F4" s="166"/>
      <c r="G4" s="167"/>
      <c r="H4" s="183"/>
      <c r="I4" s="163"/>
    </row>
    <row r="5" spans="1:9" ht="14.25" thickBot="1" x14ac:dyDescent="0.3">
      <c r="A5" s="175"/>
      <c r="B5" s="176"/>
      <c r="C5" s="71" t="s">
        <v>17</v>
      </c>
      <c r="D5" s="168" t="s">
        <v>114</v>
      </c>
      <c r="E5" s="169"/>
      <c r="F5" s="169"/>
      <c r="G5" s="170"/>
      <c r="H5" s="184"/>
      <c r="I5" s="164"/>
    </row>
    <row r="6" spans="1:9" ht="18.75" thickBot="1" x14ac:dyDescent="0.3">
      <c r="A6" s="185" t="s">
        <v>30</v>
      </c>
      <c r="B6" s="185"/>
      <c r="C6" s="185"/>
      <c r="D6" s="186" t="s">
        <v>115</v>
      </c>
      <c r="E6" s="186"/>
      <c r="F6" s="186"/>
      <c r="G6" s="187" t="s">
        <v>31</v>
      </c>
      <c r="H6" s="187"/>
      <c r="I6" s="72" t="s">
        <v>115</v>
      </c>
    </row>
    <row r="7" spans="1:9" x14ac:dyDescent="0.2">
      <c r="A7" s="188" t="s">
        <v>2</v>
      </c>
      <c r="B7" s="190" t="s">
        <v>116</v>
      </c>
      <c r="C7" s="192" t="s">
        <v>18</v>
      </c>
      <c r="D7" s="192" t="s">
        <v>3</v>
      </c>
      <c r="E7" s="192" t="s">
        <v>4</v>
      </c>
      <c r="F7" s="192"/>
      <c r="G7" s="192" t="s">
        <v>19</v>
      </c>
      <c r="H7" s="192"/>
      <c r="I7" s="73" t="s">
        <v>5</v>
      </c>
    </row>
    <row r="8" spans="1:9" ht="26.25" thickBot="1" x14ac:dyDescent="0.25">
      <c r="A8" s="189"/>
      <c r="B8" s="191"/>
      <c r="C8" s="193"/>
      <c r="D8" s="193"/>
      <c r="E8" s="74" t="s">
        <v>6</v>
      </c>
      <c r="F8" s="75" t="s">
        <v>7</v>
      </c>
      <c r="G8" s="74" t="s">
        <v>6</v>
      </c>
      <c r="H8" s="75" t="s">
        <v>7</v>
      </c>
      <c r="I8" s="76" t="s">
        <v>8</v>
      </c>
    </row>
    <row r="9" spans="1:9" ht="15" x14ac:dyDescent="0.25">
      <c r="A9" s="77"/>
      <c r="B9" s="78"/>
      <c r="C9" s="79" t="s">
        <v>117</v>
      </c>
      <c r="D9" s="80"/>
      <c r="E9" s="81"/>
      <c r="F9" s="82"/>
      <c r="G9" s="81"/>
      <c r="H9" s="82"/>
      <c r="I9" s="83"/>
    </row>
    <row r="10" spans="1:9" ht="15.95" customHeight="1" x14ac:dyDescent="0.25">
      <c r="A10" s="12" t="s">
        <v>81</v>
      </c>
      <c r="B10" s="69" t="s">
        <v>96</v>
      </c>
      <c r="C10" s="11" t="s">
        <v>82</v>
      </c>
      <c r="D10" s="8" t="s">
        <v>32</v>
      </c>
      <c r="E10" s="8">
        <v>5</v>
      </c>
      <c r="F10" s="10" t="s">
        <v>12</v>
      </c>
      <c r="G10" s="5"/>
      <c r="H10" s="9"/>
      <c r="I10" s="83"/>
    </row>
    <row r="11" spans="1:9" ht="15" x14ac:dyDescent="0.25">
      <c r="A11" s="12" t="s">
        <v>89</v>
      </c>
      <c r="B11" s="69" t="s">
        <v>97</v>
      </c>
      <c r="C11" s="84" t="s">
        <v>90</v>
      </c>
      <c r="D11" s="8" t="s">
        <v>29</v>
      </c>
      <c r="E11" s="8">
        <v>32</v>
      </c>
      <c r="F11" s="10" t="s">
        <v>12</v>
      </c>
      <c r="G11" s="5"/>
      <c r="H11" s="85"/>
      <c r="I11" s="83"/>
    </row>
    <row r="12" spans="1:9" ht="15" x14ac:dyDescent="0.25">
      <c r="A12" s="86">
        <v>910000007</v>
      </c>
      <c r="B12" s="87" t="s">
        <v>98</v>
      </c>
      <c r="C12" s="88" t="s">
        <v>83</v>
      </c>
      <c r="D12" s="8" t="s">
        <v>29</v>
      </c>
      <c r="E12" s="9">
        <v>16</v>
      </c>
      <c r="F12" s="89" t="s">
        <v>12</v>
      </c>
      <c r="G12" s="90"/>
      <c r="H12" s="91"/>
      <c r="I12" s="83"/>
    </row>
    <row r="13" spans="1:9" ht="15" x14ac:dyDescent="0.25">
      <c r="A13" s="12" t="s">
        <v>81</v>
      </c>
      <c r="B13" s="69" t="s">
        <v>96</v>
      </c>
      <c r="C13" s="11" t="s">
        <v>82</v>
      </c>
      <c r="D13" s="8" t="s">
        <v>29</v>
      </c>
      <c r="E13" s="9">
        <v>10</v>
      </c>
      <c r="F13" s="89" t="s">
        <v>12</v>
      </c>
      <c r="G13" s="90"/>
      <c r="H13" s="91"/>
      <c r="I13" s="83"/>
    </row>
    <row r="14" spans="1:9" ht="15" x14ac:dyDescent="0.25">
      <c r="A14" s="86">
        <v>905000031</v>
      </c>
      <c r="B14" s="87" t="s">
        <v>99</v>
      </c>
      <c r="C14" s="88" t="s">
        <v>84</v>
      </c>
      <c r="D14" s="8" t="s">
        <v>29</v>
      </c>
      <c r="E14" s="9">
        <v>10</v>
      </c>
      <c r="F14" s="89" t="s">
        <v>12</v>
      </c>
      <c r="G14" s="90"/>
      <c r="H14" s="91" t="s">
        <v>118</v>
      </c>
      <c r="I14" s="83"/>
    </row>
    <row r="15" spans="1:9" ht="15" x14ac:dyDescent="0.25">
      <c r="A15" s="86">
        <v>907000015</v>
      </c>
      <c r="B15" s="87" t="s">
        <v>100</v>
      </c>
      <c r="C15" s="88" t="s">
        <v>85</v>
      </c>
      <c r="D15" s="8"/>
      <c r="E15" s="9">
        <v>6</v>
      </c>
      <c r="F15" s="89" t="s">
        <v>12</v>
      </c>
      <c r="G15" s="92"/>
      <c r="H15" s="91" t="s">
        <v>119</v>
      </c>
      <c r="I15" s="83"/>
    </row>
    <row r="16" spans="1:9" ht="15" x14ac:dyDescent="0.25">
      <c r="A16" s="93"/>
      <c r="B16" s="93"/>
      <c r="C16" s="94"/>
      <c r="D16" s="95"/>
      <c r="E16" s="96"/>
      <c r="F16" s="97"/>
      <c r="G16" s="92"/>
      <c r="H16" s="91"/>
      <c r="I16" s="83"/>
    </row>
    <row r="17" spans="1:9" ht="15" x14ac:dyDescent="0.25">
      <c r="A17" s="98"/>
      <c r="B17" s="98"/>
      <c r="C17" s="99"/>
      <c r="D17" s="95"/>
      <c r="E17" s="96"/>
      <c r="F17" s="97"/>
      <c r="G17" s="92"/>
      <c r="H17" s="91"/>
      <c r="I17" s="83"/>
    </row>
    <row r="18" spans="1:9" ht="15" x14ac:dyDescent="0.25">
      <c r="A18" s="100"/>
      <c r="B18" s="93"/>
      <c r="C18" s="101"/>
      <c r="D18" s="95"/>
      <c r="E18" s="96"/>
      <c r="F18" s="97"/>
      <c r="G18" s="92"/>
      <c r="H18" s="91"/>
      <c r="I18" s="83"/>
    </row>
    <row r="19" spans="1:9" ht="15" x14ac:dyDescent="0.25">
      <c r="A19" s="93"/>
      <c r="B19" s="93"/>
      <c r="C19" s="94"/>
      <c r="D19" s="95"/>
      <c r="E19" s="96"/>
      <c r="F19" s="97"/>
      <c r="G19" s="92"/>
      <c r="H19" s="91"/>
      <c r="I19" s="83"/>
    </row>
    <row r="20" spans="1:9" ht="15" x14ac:dyDescent="0.25">
      <c r="A20" s="68"/>
      <c r="B20" s="68"/>
      <c r="D20" s="95"/>
      <c r="E20" s="96"/>
      <c r="F20" s="97"/>
      <c r="G20" s="92"/>
      <c r="H20" s="91"/>
      <c r="I20" s="83"/>
    </row>
    <row r="21" spans="1:9" ht="15" x14ac:dyDescent="0.25">
      <c r="A21" s="93"/>
      <c r="B21" s="93"/>
      <c r="C21" s="94"/>
      <c r="D21" s="102"/>
      <c r="E21" s="103"/>
      <c r="F21" s="104"/>
      <c r="G21" s="105"/>
      <c r="H21" s="91"/>
      <c r="I21" s="83"/>
    </row>
    <row r="22" spans="1:9" ht="15" x14ac:dyDescent="0.25">
      <c r="A22" s="93"/>
      <c r="B22" s="93"/>
      <c r="C22" s="101"/>
      <c r="D22" s="106"/>
      <c r="E22" s="106"/>
      <c r="F22" s="107"/>
      <c r="G22" s="81"/>
      <c r="H22" s="108"/>
      <c r="I22" s="83"/>
    </row>
    <row r="23" spans="1:9" ht="15.75" x14ac:dyDescent="0.25">
      <c r="A23" s="109"/>
      <c r="B23" s="110"/>
      <c r="C23" s="111" t="s">
        <v>120</v>
      </c>
      <c r="D23" s="112" t="s">
        <v>121</v>
      </c>
      <c r="E23" s="113"/>
      <c r="F23" s="107"/>
      <c r="G23" s="81"/>
      <c r="H23" s="108"/>
      <c r="I23" s="83"/>
    </row>
    <row r="24" spans="1:9" ht="15" x14ac:dyDescent="0.25">
      <c r="A24" s="86">
        <v>96344</v>
      </c>
      <c r="B24" s="87" t="s">
        <v>101</v>
      </c>
      <c r="C24" s="88" t="s">
        <v>86</v>
      </c>
      <c r="D24" s="8" t="s">
        <v>29</v>
      </c>
      <c r="E24" s="9">
        <v>30</v>
      </c>
      <c r="F24" s="89" t="s">
        <v>12</v>
      </c>
      <c r="G24" s="105"/>
      <c r="H24" s="105" t="s">
        <v>122</v>
      </c>
      <c r="I24" s="83"/>
    </row>
    <row r="25" spans="1:9" ht="15" x14ac:dyDescent="0.25">
      <c r="A25" s="86">
        <v>908000032</v>
      </c>
      <c r="B25" s="87" t="s">
        <v>102</v>
      </c>
      <c r="C25" s="88" t="s">
        <v>87</v>
      </c>
      <c r="D25" s="8" t="s">
        <v>29</v>
      </c>
      <c r="E25" s="9">
        <v>5</v>
      </c>
      <c r="F25" s="89" t="s">
        <v>12</v>
      </c>
      <c r="G25" s="5"/>
      <c r="H25" s="9"/>
      <c r="I25" s="83"/>
    </row>
    <row r="26" spans="1:9" ht="15" x14ac:dyDescent="0.25">
      <c r="A26" s="86">
        <v>908000048</v>
      </c>
      <c r="B26" s="87" t="s">
        <v>103</v>
      </c>
      <c r="C26" s="88" t="s">
        <v>88</v>
      </c>
      <c r="D26" s="5"/>
      <c r="E26" s="9">
        <v>10</v>
      </c>
      <c r="F26" s="6" t="s">
        <v>12</v>
      </c>
      <c r="G26" s="105"/>
      <c r="H26" s="105"/>
      <c r="I26" s="83"/>
    </row>
    <row r="27" spans="1:9" ht="15.75" x14ac:dyDescent="0.25">
      <c r="A27" s="93"/>
      <c r="B27" s="68"/>
      <c r="D27" s="96"/>
      <c r="E27" s="114"/>
      <c r="F27" s="115"/>
      <c r="G27" s="81"/>
      <c r="H27" s="108"/>
      <c r="I27" s="83"/>
    </row>
    <row r="28" spans="1:9" ht="15" x14ac:dyDescent="0.25">
      <c r="A28" s="93"/>
      <c r="B28" s="93"/>
      <c r="C28" s="101"/>
      <c r="D28" s="7" t="s">
        <v>121</v>
      </c>
      <c r="E28" s="116"/>
      <c r="F28" s="117"/>
      <c r="G28" s="81"/>
      <c r="H28" s="108"/>
      <c r="I28" s="83"/>
    </row>
    <row r="29" spans="1:9" ht="15.75" x14ac:dyDescent="0.25">
      <c r="A29" s="118"/>
      <c r="B29" s="119"/>
      <c r="C29" s="120" t="s">
        <v>123</v>
      </c>
      <c r="D29" s="121" t="s">
        <v>121</v>
      </c>
      <c r="E29" s="81"/>
      <c r="F29" s="82"/>
      <c r="G29" s="81"/>
      <c r="H29" s="108"/>
      <c r="I29" s="83"/>
    </row>
    <row r="30" spans="1:9" ht="15" x14ac:dyDescent="0.25">
      <c r="A30" s="122" t="s">
        <v>92</v>
      </c>
      <c r="B30" s="123" t="s">
        <v>104</v>
      </c>
      <c r="C30" s="124" t="s">
        <v>93</v>
      </c>
      <c r="D30" s="9" t="s">
        <v>94</v>
      </c>
      <c r="E30" s="96">
        <v>1</v>
      </c>
      <c r="F30" s="97" t="s">
        <v>34</v>
      </c>
      <c r="G30" s="92"/>
      <c r="H30" s="108"/>
      <c r="I30" s="83"/>
    </row>
    <row r="31" spans="1:9" ht="15" x14ac:dyDescent="0.25">
      <c r="A31" s="125">
        <v>702077</v>
      </c>
      <c r="B31" s="93" t="s">
        <v>105</v>
      </c>
      <c r="C31" s="126" t="s">
        <v>35</v>
      </c>
      <c r="D31" s="95" t="s">
        <v>124</v>
      </c>
      <c r="E31" s="96">
        <v>1</v>
      </c>
      <c r="F31" s="97" t="s">
        <v>34</v>
      </c>
      <c r="G31" s="127"/>
      <c r="H31" s="108"/>
      <c r="I31" s="83"/>
    </row>
    <row r="32" spans="1:9" ht="15" x14ac:dyDescent="0.25">
      <c r="A32" s="128">
        <v>702007</v>
      </c>
      <c r="B32" s="93" t="s">
        <v>106</v>
      </c>
      <c r="C32" s="101" t="s">
        <v>36</v>
      </c>
      <c r="D32" s="95" t="s">
        <v>124</v>
      </c>
      <c r="E32" s="96">
        <v>1</v>
      </c>
      <c r="F32" s="97" t="s">
        <v>34</v>
      </c>
      <c r="G32" s="81"/>
      <c r="H32" s="108"/>
      <c r="I32" s="83"/>
    </row>
    <row r="33" spans="1:9" ht="15" x14ac:dyDescent="0.25">
      <c r="A33" s="128">
        <v>702123</v>
      </c>
      <c r="B33" s="93" t="s">
        <v>107</v>
      </c>
      <c r="C33" s="101" t="s">
        <v>37</v>
      </c>
      <c r="D33" s="95"/>
      <c r="E33" s="96" t="s">
        <v>38</v>
      </c>
      <c r="F33" s="97" t="s">
        <v>34</v>
      </c>
      <c r="G33" s="81"/>
      <c r="H33" s="108"/>
      <c r="I33" s="83"/>
    </row>
    <row r="34" spans="1:9" ht="15" x14ac:dyDescent="0.25">
      <c r="A34" s="128">
        <v>702174</v>
      </c>
      <c r="B34" s="93" t="s">
        <v>108</v>
      </c>
      <c r="C34" s="101" t="s">
        <v>39</v>
      </c>
      <c r="D34" s="95"/>
      <c r="E34" s="96" t="s">
        <v>79</v>
      </c>
      <c r="F34" s="97" t="s">
        <v>34</v>
      </c>
      <c r="G34" s="81"/>
      <c r="H34" s="108"/>
      <c r="I34" s="83"/>
    </row>
    <row r="35" spans="1:9" ht="15.75" x14ac:dyDescent="0.25">
      <c r="A35" s="128" t="s">
        <v>76</v>
      </c>
      <c r="B35" s="128" t="s">
        <v>109</v>
      </c>
      <c r="C35" s="101" t="s">
        <v>77</v>
      </c>
      <c r="D35" s="95"/>
      <c r="E35" s="129">
        <v>0.1</v>
      </c>
      <c r="F35" s="97" t="s">
        <v>34</v>
      </c>
      <c r="G35" s="130"/>
      <c r="H35" s="108"/>
      <c r="I35" s="83"/>
    </row>
    <row r="36" spans="1:9" ht="15.75" thickBot="1" x14ac:dyDescent="0.3">
      <c r="A36" s="131">
        <v>701096</v>
      </c>
      <c r="B36" s="93" t="s">
        <v>110</v>
      </c>
      <c r="C36" s="132" t="s">
        <v>40</v>
      </c>
      <c r="D36" s="133"/>
      <c r="E36" s="134">
        <v>1</v>
      </c>
      <c r="F36" s="134" t="s">
        <v>34</v>
      </c>
      <c r="G36" s="106"/>
      <c r="H36" s="108"/>
      <c r="I36" s="83"/>
    </row>
    <row r="37" spans="1:9" ht="16.5" x14ac:dyDescent="0.3">
      <c r="A37" s="135"/>
      <c r="B37" s="93"/>
      <c r="C37" s="136"/>
      <c r="D37" s="137"/>
      <c r="E37" s="138"/>
      <c r="F37" s="138"/>
      <c r="G37" s="106"/>
      <c r="H37" s="108"/>
      <c r="I37" s="83"/>
    </row>
    <row r="38" spans="1:9" ht="15.75" x14ac:dyDescent="0.25">
      <c r="A38" s="93"/>
      <c r="B38" s="68"/>
      <c r="C38" s="94"/>
      <c r="D38" s="139"/>
      <c r="E38" s="140"/>
      <c r="F38" s="6"/>
      <c r="G38" s="106"/>
      <c r="H38" s="112"/>
      <c r="I38" s="83"/>
    </row>
    <row r="39" spans="1:9" ht="15.75" x14ac:dyDescent="0.25">
      <c r="A39" s="109"/>
      <c r="B39" s="110"/>
      <c r="C39" s="141"/>
      <c r="D39" s="112"/>
      <c r="E39" s="112"/>
      <c r="F39" s="107"/>
      <c r="G39" s="142"/>
      <c r="H39" s="142"/>
      <c r="I39" s="83"/>
    </row>
    <row r="40" spans="1:9" ht="14.25" thickBot="1" x14ac:dyDescent="0.3">
      <c r="A40" s="143"/>
      <c r="B40" s="144"/>
      <c r="C40" s="145"/>
      <c r="D40" s="145"/>
      <c r="E40" s="146"/>
      <c r="F40" s="147"/>
      <c r="G40" s="145"/>
      <c r="H40" s="145"/>
      <c r="I40" s="148"/>
    </row>
    <row r="41" spans="1:9" ht="14.25" thickBot="1" x14ac:dyDescent="0.3">
      <c r="A41" s="149"/>
      <c r="B41" s="150"/>
      <c r="C41" s="151"/>
      <c r="D41" s="152" t="s">
        <v>6</v>
      </c>
      <c r="E41" s="153" t="s">
        <v>20</v>
      </c>
      <c r="F41" s="154"/>
      <c r="G41" s="151"/>
      <c r="H41" s="151"/>
      <c r="I41" s="155"/>
    </row>
    <row r="42" spans="1:9" ht="13.5" x14ac:dyDescent="0.25">
      <c r="A42" s="194" t="s">
        <v>10</v>
      </c>
      <c r="B42" s="195"/>
      <c r="C42" s="196"/>
      <c r="D42" s="156">
        <v>115</v>
      </c>
      <c r="E42" s="157" t="s">
        <v>12</v>
      </c>
      <c r="F42" s="197" t="s">
        <v>21</v>
      </c>
      <c r="G42" s="197"/>
      <c r="H42" s="198"/>
      <c r="I42" s="199"/>
    </row>
    <row r="43" spans="1:9" ht="13.5" x14ac:dyDescent="0.25">
      <c r="A43" s="200" t="s">
        <v>9</v>
      </c>
      <c r="B43" s="201"/>
      <c r="C43" s="202"/>
      <c r="D43" s="158">
        <v>3</v>
      </c>
      <c r="E43" s="159" t="s">
        <v>28</v>
      </c>
      <c r="F43" s="203" t="s">
        <v>22</v>
      </c>
      <c r="G43" s="203"/>
      <c r="H43" s="204"/>
      <c r="I43" s="205"/>
    </row>
    <row r="44" spans="1:9" ht="13.5" x14ac:dyDescent="0.25">
      <c r="A44" s="200" t="s">
        <v>23</v>
      </c>
      <c r="B44" s="201"/>
      <c r="C44" s="202"/>
      <c r="D44" s="159">
        <v>1</v>
      </c>
      <c r="E44" s="159" t="s">
        <v>34</v>
      </c>
      <c r="F44" s="203" t="s">
        <v>24</v>
      </c>
      <c r="G44" s="203"/>
      <c r="H44" s="204"/>
      <c r="I44" s="205"/>
    </row>
    <row r="45" spans="1:9" ht="13.5" x14ac:dyDescent="0.25">
      <c r="A45" s="200" t="s">
        <v>25</v>
      </c>
      <c r="B45" s="201"/>
      <c r="C45" s="202"/>
      <c r="D45" s="159">
        <v>115</v>
      </c>
      <c r="E45" s="159" t="s">
        <v>12</v>
      </c>
      <c r="F45" s="210" t="s">
        <v>26</v>
      </c>
      <c r="G45" s="211"/>
      <c r="H45" s="204"/>
      <c r="I45" s="205"/>
    </row>
    <row r="46" spans="1:9" ht="14.25" thickBot="1" x14ac:dyDescent="0.3">
      <c r="A46" s="212" t="s">
        <v>11</v>
      </c>
      <c r="B46" s="213"/>
      <c r="C46" s="214"/>
      <c r="D46" s="160">
        <v>9</v>
      </c>
      <c r="E46" s="161" t="s">
        <v>12</v>
      </c>
      <c r="F46" s="215"/>
      <c r="G46" s="215"/>
      <c r="H46" s="216"/>
      <c r="I46" s="217"/>
    </row>
    <row r="47" spans="1:9" ht="13.5" thickBot="1" x14ac:dyDescent="0.25">
      <c r="A47" s="218" t="s">
        <v>27</v>
      </c>
      <c r="B47" s="219"/>
      <c r="C47" s="219"/>
      <c r="D47" s="219"/>
      <c r="E47" s="219"/>
      <c r="F47" s="219"/>
      <c r="G47" s="219"/>
      <c r="H47" s="219"/>
      <c r="I47" s="220"/>
    </row>
    <row r="48" spans="1:9" ht="13.5" x14ac:dyDescent="0.25">
      <c r="A48" s="206" t="s">
        <v>95</v>
      </c>
      <c r="B48" s="207"/>
      <c r="C48" s="208"/>
      <c r="D48" s="208"/>
      <c r="E48" s="208"/>
      <c r="F48" s="208"/>
      <c r="G48" s="208"/>
      <c r="H48" s="208"/>
      <c r="I48" s="209"/>
    </row>
    <row r="49" spans="1:9" ht="14.45" customHeight="1" x14ac:dyDescent="0.25">
      <c r="A49" s="206" t="s">
        <v>41</v>
      </c>
      <c r="B49" s="207"/>
      <c r="C49" s="208"/>
      <c r="D49" s="208"/>
      <c r="E49" s="208"/>
      <c r="F49" s="208"/>
      <c r="G49" s="208"/>
      <c r="H49" s="208"/>
      <c r="I49" s="209"/>
    </row>
    <row r="50" spans="1:9" ht="14.45" customHeight="1" x14ac:dyDescent="0.25">
      <c r="A50" s="223" t="s">
        <v>91</v>
      </c>
      <c r="B50" s="224"/>
      <c r="C50" s="225"/>
      <c r="D50" s="225"/>
      <c r="E50" s="225"/>
      <c r="F50" s="225"/>
      <c r="G50" s="225"/>
      <c r="H50" s="225"/>
      <c r="I50" s="226"/>
    </row>
    <row r="51" spans="1:9" ht="15" customHeight="1" x14ac:dyDescent="0.25">
      <c r="A51" s="227" t="s">
        <v>80</v>
      </c>
      <c r="B51" s="228"/>
      <c r="C51" s="228"/>
      <c r="D51" s="228"/>
      <c r="E51" s="228"/>
      <c r="F51" s="228"/>
      <c r="G51" s="228"/>
      <c r="H51" s="228"/>
      <c r="I51" s="229"/>
    </row>
    <row r="52" spans="1:9" ht="14.45" customHeight="1" thickBot="1" x14ac:dyDescent="0.35">
      <c r="A52" s="230"/>
      <c r="B52" s="231"/>
      <c r="C52" s="231"/>
      <c r="D52" s="231"/>
      <c r="E52" s="231"/>
      <c r="F52" s="231"/>
      <c r="G52" s="231"/>
      <c r="H52" s="231"/>
      <c r="I52" s="232"/>
    </row>
    <row r="53" spans="1:9" ht="13.5" x14ac:dyDescent="0.25">
      <c r="A53" s="227"/>
      <c r="B53" s="228"/>
      <c r="C53" s="228"/>
      <c r="D53" s="228"/>
      <c r="E53" s="228"/>
      <c r="F53" s="228"/>
      <c r="G53" s="228"/>
      <c r="H53" s="228"/>
      <c r="I53" s="229"/>
    </row>
    <row r="54" spans="1:9" ht="13.5" x14ac:dyDescent="0.25">
      <c r="A54" s="233"/>
      <c r="B54" s="234"/>
      <c r="C54" s="234"/>
      <c r="D54" s="234"/>
      <c r="E54" s="234"/>
      <c r="F54" s="234"/>
      <c r="G54" s="234"/>
      <c r="H54" s="234"/>
      <c r="I54" s="235"/>
    </row>
    <row r="55" spans="1:9" ht="13.5" x14ac:dyDescent="0.25">
      <c r="A55" s="233"/>
      <c r="B55" s="234"/>
      <c r="C55" s="234"/>
      <c r="D55" s="234"/>
      <c r="E55" s="234"/>
      <c r="F55" s="234"/>
      <c r="G55" s="234"/>
      <c r="H55" s="234"/>
      <c r="I55" s="235"/>
    </row>
    <row r="56" spans="1:9" ht="18" customHeight="1" x14ac:dyDescent="0.25">
      <c r="A56" s="233"/>
      <c r="B56" s="234"/>
      <c r="C56" s="234"/>
      <c r="D56" s="234"/>
      <c r="E56" s="234"/>
      <c r="F56" s="234"/>
      <c r="G56" s="234"/>
      <c r="H56" s="234"/>
      <c r="I56" s="235"/>
    </row>
    <row r="57" spans="1:9" ht="13.5" x14ac:dyDescent="0.25">
      <c r="A57" s="233"/>
      <c r="B57" s="234"/>
      <c r="C57" s="234"/>
      <c r="D57" s="234"/>
      <c r="E57" s="234"/>
      <c r="F57" s="234"/>
      <c r="G57" s="234"/>
      <c r="H57" s="234"/>
      <c r="I57" s="235"/>
    </row>
    <row r="58" spans="1:9" ht="14.25" thickBot="1" x14ac:dyDescent="0.3">
      <c r="A58" s="236"/>
      <c r="B58" s="237"/>
      <c r="C58" s="237"/>
      <c r="D58" s="237"/>
      <c r="E58" s="237"/>
      <c r="F58" s="237"/>
      <c r="G58" s="237"/>
      <c r="H58" s="237"/>
      <c r="I58" s="238"/>
    </row>
    <row r="59" spans="1:9" x14ac:dyDescent="0.2">
      <c r="A59" s="239" t="s">
        <v>125</v>
      </c>
      <c r="B59" s="240"/>
      <c r="C59" s="240"/>
      <c r="D59" s="240"/>
      <c r="E59" s="240"/>
      <c r="F59" s="240"/>
      <c r="G59" s="240"/>
      <c r="H59" s="240"/>
      <c r="I59" s="240"/>
    </row>
    <row r="60" spans="1:9" ht="13.5" x14ac:dyDescent="0.25">
      <c r="A60" s="221"/>
      <c r="B60" s="222"/>
      <c r="C60" s="222"/>
      <c r="D60" s="222"/>
      <c r="E60" s="222"/>
      <c r="F60" s="222"/>
      <c r="G60" s="222"/>
      <c r="H60" s="222"/>
      <c r="I60" s="222"/>
    </row>
    <row r="61" spans="1:9" ht="13.5" x14ac:dyDescent="0.25">
      <c r="A61" s="221"/>
      <c r="B61" s="222"/>
      <c r="C61" s="222"/>
      <c r="D61" s="222"/>
      <c r="E61" s="222"/>
      <c r="F61" s="222"/>
      <c r="G61" s="222"/>
      <c r="H61" s="222"/>
      <c r="I61" s="222"/>
    </row>
  </sheetData>
  <mergeCells count="47">
    <mergeCell ref="A61:I61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7620-E939-485B-8D7B-B53C98AD8239}">
  <dimension ref="A1:AK43"/>
  <sheetViews>
    <sheetView topLeftCell="A4" workbookViewId="0">
      <selection activeCell="E6" sqref="E6"/>
    </sheetView>
  </sheetViews>
  <sheetFormatPr baseColWidth="10" defaultColWidth="8.42578125" defaultRowHeight="11.25" x14ac:dyDescent="0.2"/>
  <cols>
    <col min="1" max="1" width="7.5703125" style="41" customWidth="1"/>
    <col min="2" max="2" width="7.85546875" style="41" bestFit="1" customWidth="1"/>
    <col min="3" max="3" width="39.28515625" style="41" customWidth="1"/>
    <col min="4" max="4" width="10" style="41" bestFit="1" customWidth="1"/>
    <col min="5" max="5" width="9.42578125" style="41" bestFit="1" customWidth="1"/>
    <col min="6" max="6" width="11.7109375" style="64" customWidth="1"/>
    <col min="7" max="7" width="8.7109375" style="20" bestFit="1" customWidth="1"/>
    <col min="8" max="8" width="10.28515625" style="65" bestFit="1" customWidth="1"/>
    <col min="9" max="16384" width="8.42578125" style="41"/>
  </cols>
  <sheetData>
    <row r="1" spans="2:8" ht="36" customHeight="1" thickBot="1" x14ac:dyDescent="0.35">
      <c r="B1" s="242"/>
      <c r="C1" s="243"/>
      <c r="D1" s="243"/>
      <c r="E1" s="243"/>
      <c r="F1" s="243"/>
      <c r="G1" s="243"/>
      <c r="H1" s="244"/>
    </row>
    <row r="2" spans="2:8" ht="19.5" customHeight="1" thickBot="1" x14ac:dyDescent="0.25">
      <c r="B2" s="245" t="s">
        <v>51</v>
      </c>
      <c r="C2" s="245"/>
      <c r="D2" s="245"/>
      <c r="E2" s="245"/>
      <c r="F2" s="245"/>
      <c r="G2" s="245"/>
      <c r="H2" s="245"/>
    </row>
    <row r="3" spans="2:8" ht="19.5" customHeight="1" thickTop="1" x14ac:dyDescent="0.2">
      <c r="B3" s="246" t="s">
        <v>52</v>
      </c>
      <c r="C3" s="246"/>
      <c r="D3" s="246"/>
      <c r="E3" s="246"/>
      <c r="F3" s="246"/>
      <c r="G3" s="246"/>
      <c r="H3" s="246"/>
    </row>
    <row r="4" spans="2:8" ht="19.5" customHeight="1" x14ac:dyDescent="0.2">
      <c r="B4" s="42"/>
      <c r="C4" s="42"/>
      <c r="D4" s="42"/>
      <c r="E4" s="42"/>
      <c r="F4" s="247" t="s">
        <v>42</v>
      </c>
      <c r="G4" s="247"/>
      <c r="H4" s="35"/>
    </row>
    <row r="5" spans="2:8" ht="30" customHeight="1" x14ac:dyDescent="0.2">
      <c r="B5" s="21" t="s">
        <v>50</v>
      </c>
      <c r="C5" s="21" t="s">
        <v>43</v>
      </c>
      <c r="D5" s="21" t="s">
        <v>50</v>
      </c>
      <c r="E5" s="22" t="s">
        <v>53</v>
      </c>
      <c r="F5" s="22" t="s">
        <v>54</v>
      </c>
      <c r="G5" s="22" t="s">
        <v>55</v>
      </c>
      <c r="H5" s="22" t="s">
        <v>56</v>
      </c>
    </row>
    <row r="6" spans="2:8" s="23" customFormat="1" ht="20.100000000000001" customHeight="1" x14ac:dyDescent="0.2">
      <c r="B6" s="13">
        <v>1</v>
      </c>
      <c r="C6" s="23" t="s">
        <v>78</v>
      </c>
      <c r="D6" s="43">
        <f>+B6</f>
        <v>1</v>
      </c>
      <c r="E6" s="43">
        <v>212.78908097602314</v>
      </c>
      <c r="F6" s="44">
        <f>+D6*E6</f>
        <v>212.78908097602314</v>
      </c>
      <c r="G6" s="30">
        <f>+F6/$F$23</f>
        <v>0.32060352774718037</v>
      </c>
      <c r="H6" s="45" t="s">
        <v>57</v>
      </c>
    </row>
    <row r="7" spans="2:8" s="23" customFormat="1" ht="20.100000000000001" customHeight="1" x14ac:dyDescent="0.2">
      <c r="B7" s="13"/>
      <c r="D7" s="43"/>
      <c r="E7" s="43"/>
      <c r="F7" s="44"/>
      <c r="G7" s="30"/>
      <c r="H7" s="45"/>
    </row>
    <row r="8" spans="2:8" ht="30" customHeight="1" x14ac:dyDescent="0.2">
      <c r="B8" s="21" t="s">
        <v>50</v>
      </c>
      <c r="C8" s="21" t="s">
        <v>33</v>
      </c>
      <c r="D8" s="21" t="s">
        <v>50</v>
      </c>
      <c r="E8" s="22" t="s">
        <v>53</v>
      </c>
      <c r="F8" s="22" t="s">
        <v>54</v>
      </c>
      <c r="G8" s="22" t="s">
        <v>55</v>
      </c>
      <c r="H8" s="22" t="s">
        <v>56</v>
      </c>
    </row>
    <row r="9" spans="2:8" s="23" customFormat="1" ht="20.100000000000001" customHeight="1" x14ac:dyDescent="0.2">
      <c r="B9" s="13">
        <v>1</v>
      </c>
      <c r="C9" s="23" t="s">
        <v>58</v>
      </c>
      <c r="D9" s="43">
        <f>+B9</f>
        <v>1</v>
      </c>
      <c r="E9" s="43">
        <v>132.12829867394777</v>
      </c>
      <c r="F9" s="44">
        <f>+D9*E9</f>
        <v>132.12829867394777</v>
      </c>
      <c r="G9" s="30">
        <f>+F9/$F$23</f>
        <v>0.19907411825738333</v>
      </c>
      <c r="H9" s="45" t="s">
        <v>59</v>
      </c>
    </row>
    <row r="10" spans="2:8" s="46" customFormat="1" ht="17.25" customHeight="1" x14ac:dyDescent="0.2">
      <c r="B10" s="47"/>
      <c r="C10" s="48"/>
      <c r="D10" s="49"/>
      <c r="E10" s="49"/>
      <c r="F10" s="50"/>
      <c r="G10" s="31"/>
      <c r="H10" s="51"/>
    </row>
    <row r="11" spans="2:8" s="46" customFormat="1" ht="12" x14ac:dyDescent="0.2">
      <c r="B11" s="13"/>
      <c r="C11" s="241" t="s">
        <v>60</v>
      </c>
      <c r="D11" s="241"/>
      <c r="E11" s="43"/>
      <c r="F11" s="36">
        <f>SUM(F6)</f>
        <v>212.78908097602314</v>
      </c>
      <c r="G11" s="29">
        <f>+F11/$F$23</f>
        <v>0.32060352774718037</v>
      </c>
      <c r="H11" s="45"/>
    </row>
    <row r="12" spans="2:8" s="46" customFormat="1" ht="12.75" thickBot="1" x14ac:dyDescent="0.25">
      <c r="B12" s="13"/>
      <c r="C12" s="241" t="s">
        <v>61</v>
      </c>
      <c r="D12" s="241"/>
      <c r="E12" s="43"/>
      <c r="F12" s="52">
        <f>SUM(F9)</f>
        <v>132.12829867394777</v>
      </c>
      <c r="G12" s="29">
        <f>+F12/$F$23</f>
        <v>0.19907411825738333</v>
      </c>
      <c r="H12" s="45"/>
    </row>
    <row r="13" spans="2:8" s="46" customFormat="1" ht="12.75" thickTop="1" x14ac:dyDescent="0.2">
      <c r="B13" s="13"/>
      <c r="C13" s="248" t="s">
        <v>44</v>
      </c>
      <c r="D13" s="248"/>
      <c r="E13" s="248"/>
      <c r="F13" s="40">
        <f>SUM(F11:F12)</f>
        <v>344.91737964997094</v>
      </c>
      <c r="G13" s="29">
        <f>+F13/$F$23</f>
        <v>0.51967764600456379</v>
      </c>
      <c r="H13" s="45"/>
    </row>
    <row r="14" spans="2:8" s="46" customFormat="1" ht="12" x14ac:dyDescent="0.2">
      <c r="C14" s="38"/>
      <c r="D14" s="38"/>
      <c r="E14" s="53"/>
      <c r="F14" s="54"/>
      <c r="G14" s="29"/>
    </row>
    <row r="15" spans="2:8" s="46" customFormat="1" ht="12" x14ac:dyDescent="0.2">
      <c r="B15" s="241" t="s">
        <v>44</v>
      </c>
      <c r="C15" s="241"/>
      <c r="D15" s="241"/>
      <c r="E15" s="24" t="s">
        <v>62</v>
      </c>
      <c r="F15" s="36">
        <f>+F13</f>
        <v>344.91737964997094</v>
      </c>
      <c r="G15" s="29">
        <f t="shared" ref="G15:G23" si="0">+F15/$F$23</f>
        <v>0.51967764600456379</v>
      </c>
      <c r="H15" s="26"/>
    </row>
    <row r="16" spans="2:8" s="46" customFormat="1" ht="12.75" customHeight="1" thickBot="1" x14ac:dyDescent="0.25">
      <c r="B16" s="37"/>
      <c r="C16" s="241" t="s">
        <v>45</v>
      </c>
      <c r="D16" s="241"/>
      <c r="E16" s="32"/>
      <c r="F16" s="36">
        <v>173.10337913581344</v>
      </c>
      <c r="G16" s="29">
        <f t="shared" si="0"/>
        <v>0.26081015887348497</v>
      </c>
      <c r="H16" s="26"/>
    </row>
    <row r="17" spans="1:37" s="46" customFormat="1" ht="12.75" hidden="1" customHeight="1" x14ac:dyDescent="0.2">
      <c r="B17" s="37"/>
      <c r="C17" s="241" t="s">
        <v>63</v>
      </c>
      <c r="D17" s="241"/>
      <c r="E17" s="55">
        <v>0</v>
      </c>
      <c r="F17" s="36">
        <f>+(F15+F16)*E17</f>
        <v>0</v>
      </c>
      <c r="G17" s="29">
        <f t="shared" si="0"/>
        <v>0</v>
      </c>
      <c r="H17" s="26"/>
    </row>
    <row r="18" spans="1:37" s="46" customFormat="1" ht="12.75" hidden="1" thickBot="1" x14ac:dyDescent="0.25">
      <c r="B18" s="37"/>
      <c r="C18" s="241" t="s">
        <v>64</v>
      </c>
      <c r="D18" s="241"/>
      <c r="E18" s="55">
        <v>0</v>
      </c>
      <c r="F18" s="36">
        <f>+F16*E18</f>
        <v>0</v>
      </c>
      <c r="G18" s="29">
        <f t="shared" si="0"/>
        <v>0</v>
      </c>
      <c r="H18" s="26"/>
    </row>
    <row r="19" spans="1:37" s="46" customFormat="1" ht="12.75" thickBot="1" x14ac:dyDescent="0.25">
      <c r="B19" s="38"/>
      <c r="C19" s="250"/>
      <c r="D19" s="250"/>
      <c r="E19" s="251"/>
      <c r="F19" s="39">
        <f>SUM(F15:F18)</f>
        <v>518.02075878578444</v>
      </c>
      <c r="G19" s="34">
        <f>+F19/$F$21</f>
        <v>0.8</v>
      </c>
      <c r="H19" s="26"/>
    </row>
    <row r="20" spans="1:37" s="46" customFormat="1" ht="12" x14ac:dyDescent="0.2">
      <c r="B20" s="38"/>
      <c r="C20" s="241" t="s">
        <v>47</v>
      </c>
      <c r="D20" s="241"/>
      <c r="E20" s="17">
        <v>0.25</v>
      </c>
      <c r="F20" s="36">
        <f>+F19*E20</f>
        <v>129.50518969644611</v>
      </c>
      <c r="G20" s="29">
        <f t="shared" si="0"/>
        <v>0.1951219512195122</v>
      </c>
      <c r="H20" s="26"/>
    </row>
    <row r="21" spans="1:37" s="46" customFormat="1" ht="12" x14ac:dyDescent="0.2">
      <c r="B21" s="38"/>
      <c r="C21" s="241" t="s">
        <v>46</v>
      </c>
      <c r="D21" s="241"/>
      <c r="E21" s="241"/>
      <c r="F21" s="36">
        <f>SUM(F19:F20)</f>
        <v>647.52594848223055</v>
      </c>
      <c r="G21" s="29">
        <f t="shared" si="0"/>
        <v>0.97560975609756095</v>
      </c>
      <c r="H21" s="26"/>
    </row>
    <row r="22" spans="1:37" s="46" customFormat="1" ht="12.75" thickBot="1" x14ac:dyDescent="0.25">
      <c r="B22" s="38"/>
      <c r="C22" s="241" t="s">
        <v>48</v>
      </c>
      <c r="D22" s="241"/>
      <c r="E22" s="17">
        <v>2.5000000000000001E-2</v>
      </c>
      <c r="F22" s="36">
        <f>+F21*E22</f>
        <v>16.188148712055764</v>
      </c>
      <c r="G22" s="29">
        <f t="shared" si="0"/>
        <v>2.4390243902439025E-2</v>
      </c>
      <c r="H22" s="26"/>
    </row>
    <row r="23" spans="1:37" s="46" customFormat="1" ht="12.75" thickBot="1" x14ac:dyDescent="0.25">
      <c r="B23" s="38"/>
      <c r="C23" s="248" t="s">
        <v>49</v>
      </c>
      <c r="D23" s="248"/>
      <c r="E23" s="249"/>
      <c r="F23" s="39">
        <f>SUM(F21:F22)</f>
        <v>663.7140971942863</v>
      </c>
      <c r="G23" s="29">
        <f t="shared" si="0"/>
        <v>1</v>
      </c>
      <c r="H23" s="56"/>
    </row>
    <row r="24" spans="1:37" s="46" customFormat="1" ht="12.75" thickBot="1" x14ac:dyDescent="0.25">
      <c r="B24" s="38"/>
      <c r="C24" s="57"/>
      <c r="D24" s="57"/>
      <c r="E24" s="57"/>
      <c r="F24" s="40"/>
      <c r="G24" s="16"/>
      <c r="H24" s="56"/>
    </row>
    <row r="25" spans="1:37" s="25" customFormat="1" ht="19.5" customHeight="1" thickBot="1" x14ac:dyDescent="0.25">
      <c r="A25" s="252"/>
      <c r="B25" s="253"/>
      <c r="C25" s="253"/>
      <c r="D25" s="253"/>
      <c r="E25" s="253"/>
      <c r="F25" s="253"/>
      <c r="G25" s="253"/>
      <c r="H25" s="253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</row>
    <row r="26" spans="1:37" s="46" customFormat="1" ht="19.5" customHeight="1" thickBot="1" x14ac:dyDescent="0.25">
      <c r="F26" s="58"/>
      <c r="G26" s="15"/>
      <c r="H26" s="26"/>
    </row>
    <row r="27" spans="1:37" s="46" customFormat="1" ht="13.5" customHeight="1" thickBot="1" x14ac:dyDescent="0.25">
      <c r="B27" s="38"/>
      <c r="C27" s="248" t="s">
        <v>49</v>
      </c>
      <c r="D27" s="248"/>
      <c r="E27" s="249"/>
      <c r="F27" s="39">
        <f>+F23</f>
        <v>663.7140971942863</v>
      </c>
      <c r="H27" s="26"/>
    </row>
    <row r="28" spans="1:37" s="46" customFormat="1" ht="13.5" customHeight="1" x14ac:dyDescent="0.2">
      <c r="B28" s="38"/>
      <c r="C28" s="255" t="s">
        <v>65</v>
      </c>
      <c r="D28" s="255" t="s">
        <v>66</v>
      </c>
      <c r="E28" s="17">
        <v>0.1</v>
      </c>
      <c r="F28" s="59">
        <f>+F27*E28</f>
        <v>66.371409719428627</v>
      </c>
      <c r="G28" s="14" t="s">
        <v>67</v>
      </c>
      <c r="H28" s="26" t="s">
        <v>68</v>
      </c>
    </row>
    <row r="29" spans="1:37" s="46" customFormat="1" ht="13.5" customHeight="1" x14ac:dyDescent="0.2">
      <c r="B29" s="38"/>
      <c r="C29" s="259" t="s">
        <v>69</v>
      </c>
      <c r="D29" s="259"/>
      <c r="E29" s="259"/>
      <c r="F29" s="59">
        <f>SUM(F27:F28)</f>
        <v>730.08550691371488</v>
      </c>
      <c r="G29" s="14">
        <f>+F29/$F$31</f>
        <v>0.79999999999999993</v>
      </c>
      <c r="H29" s="33">
        <f>1-(F29/F31)</f>
        <v>0.20000000000000007</v>
      </c>
    </row>
    <row r="30" spans="1:37" s="46" customFormat="1" ht="12" x14ac:dyDescent="0.2">
      <c r="B30" s="48"/>
      <c r="C30" s="255" t="s">
        <v>70</v>
      </c>
      <c r="D30" s="255"/>
      <c r="E30" s="17">
        <v>0.25</v>
      </c>
      <c r="F30" s="36">
        <f>+F29*E30</f>
        <v>182.52137672842872</v>
      </c>
      <c r="G30" s="16"/>
      <c r="H30" s="60"/>
    </row>
    <row r="31" spans="1:37" s="46" customFormat="1" ht="12.75" thickBot="1" x14ac:dyDescent="0.25">
      <c r="B31" s="48"/>
      <c r="C31" s="260" t="s">
        <v>71</v>
      </c>
      <c r="D31" s="260"/>
      <c r="E31" s="66"/>
      <c r="F31" s="67">
        <f>SUM(F29:F30)</f>
        <v>912.60688364214366</v>
      </c>
      <c r="G31" s="16"/>
      <c r="H31" s="56"/>
    </row>
    <row r="32" spans="1:37" s="46" customFormat="1" ht="12.75" thickBot="1" x14ac:dyDescent="0.25">
      <c r="B32" s="48"/>
      <c r="C32" s="261" t="s">
        <v>72</v>
      </c>
      <c r="D32" s="261"/>
      <c r="E32" s="18">
        <v>0.13</v>
      </c>
      <c r="F32" s="27">
        <f>+F31*(1+E32)</f>
        <v>1031.2457785156223</v>
      </c>
      <c r="G32" s="16"/>
      <c r="H32" s="56"/>
    </row>
    <row r="33" spans="1:37" s="46" customFormat="1" ht="12.75" thickBot="1" x14ac:dyDescent="0.25">
      <c r="A33" s="252"/>
      <c r="B33" s="253"/>
      <c r="C33" s="253"/>
      <c r="D33" s="253"/>
      <c r="E33" s="253"/>
      <c r="F33" s="253"/>
      <c r="G33" s="253"/>
      <c r="H33" s="253"/>
    </row>
    <row r="34" spans="1:37" s="46" customFormat="1" ht="12" x14ac:dyDescent="0.2">
      <c r="B34" s="48"/>
      <c r="C34" s="254" t="s">
        <v>73</v>
      </c>
      <c r="D34" s="254"/>
      <c r="E34" s="28">
        <v>0.65</v>
      </c>
      <c r="F34" s="61">
        <f>+F31/0.65</f>
        <v>1404.0105902186824</v>
      </c>
      <c r="G34" s="16"/>
      <c r="H34" s="56"/>
    </row>
    <row r="35" spans="1:37" s="46" customFormat="1" ht="12" x14ac:dyDescent="0.2">
      <c r="B35" s="48"/>
      <c r="C35" s="255" t="s">
        <v>74</v>
      </c>
      <c r="D35" s="255"/>
      <c r="E35" s="28">
        <v>0.13</v>
      </c>
      <c r="F35" s="61">
        <f>+F34*1.13</f>
        <v>1586.531966947111</v>
      </c>
      <c r="G35" s="16"/>
      <c r="H35" s="56"/>
    </row>
    <row r="36" spans="1:37" s="46" customFormat="1" ht="12.75" thickBot="1" x14ac:dyDescent="0.25">
      <c r="C36" s="256"/>
      <c r="D36" s="256"/>
      <c r="F36" s="62"/>
      <c r="G36" s="19"/>
      <c r="H36" s="26"/>
    </row>
    <row r="37" spans="1:37" s="25" customFormat="1" ht="19.5" customHeight="1" thickBot="1" x14ac:dyDescent="0.3">
      <c r="A37" s="257" t="s">
        <v>75</v>
      </c>
      <c r="B37" s="258"/>
      <c r="C37" s="258"/>
      <c r="D37" s="258"/>
      <c r="E37" s="258"/>
      <c r="F37" s="258"/>
      <c r="G37" s="258"/>
      <c r="H37" s="258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</row>
    <row r="38" spans="1:37" s="46" customFormat="1" ht="12" x14ac:dyDescent="0.2">
      <c r="F38" s="63"/>
      <c r="G38" s="19"/>
      <c r="H38" s="26"/>
    </row>
    <row r="43" spans="1:37" ht="12" x14ac:dyDescent="0.2">
      <c r="H43" s="50"/>
    </row>
  </sheetData>
  <mergeCells count="28"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E09675-DAD5-4147-BBA7-552BB929C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1D4BF6-712F-4E0E-B345-B50DA5FB0E7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74DA214-AF4F-4A9F-AFF7-2900926F52C5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FEFC084-1A6E-4A63-84F2-BD6EE813AF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Miguel Coto Consultor</cp:lastModifiedBy>
  <cp:lastPrinted>2025-03-29T18:12:02Z</cp:lastPrinted>
  <dcterms:created xsi:type="dcterms:W3CDTF">2011-03-11T22:59:33Z</dcterms:created>
  <dcterms:modified xsi:type="dcterms:W3CDTF">2025-03-29T18:12:03Z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902600.000000000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
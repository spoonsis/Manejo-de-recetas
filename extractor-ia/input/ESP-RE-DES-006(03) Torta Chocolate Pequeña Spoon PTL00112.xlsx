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5" documentId="8_{B3F48EAD-7FA1-45CC-A033-F1363C590457}" xr6:coauthVersionLast="47" xr6:coauthVersionMax="47" xr10:uidLastSave="{27E6049A-6818-4D09-BC05-950DDFFD3E70}"/>
  <bookViews>
    <workbookView xWindow="-108" yWindow="-108" windowWidth="23256" windowHeight="12456" xr2:uid="{00000000-000D-0000-FFFF-FFFF00000000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" i="2" l="1"/>
  <c r="H39" i="2"/>
</calcChain>
</file>

<file path=xl/sharedStrings.xml><?xml version="1.0" encoding="utf-8"?>
<sst xmlns="http://schemas.openxmlformats.org/spreadsheetml/2006/main" count="133" uniqueCount="98">
  <si>
    <t>ESPECIFICACION DE RECETA</t>
  </si>
  <si>
    <t>Esteban Cartin, Gte Manufactura</t>
  </si>
  <si>
    <t>AREA QUE PRODUCE:</t>
  </si>
  <si>
    <t>Decoracion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</si>
  <si>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</si>
  <si>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</si>
  <si>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</si>
  <si>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</si>
  <si>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</si>
  <si>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</si>
  <si>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</si>
  <si>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</si>
  <si>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</si>
  <si>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FAS</t>
  </si>
  <si>
    <t>g</t>
  </si>
  <si>
    <t>Ensamble</t>
  </si>
  <si>
    <t>Decoración</t>
  </si>
  <si>
    <t>ud</t>
  </si>
  <si>
    <t>Empaque</t>
  </si>
  <si>
    <t>ETIQUETA IMP. SPOON MEDIANA V-273</t>
  </si>
  <si>
    <t>CINTA ADHESIVA TRANSPARENT 2*100 M (UND)</t>
  </si>
  <si>
    <t>MAYCA</t>
  </si>
  <si>
    <t>dm</t>
  </si>
  <si>
    <t>ETIPLAST</t>
  </si>
  <si>
    <t>ETIQUETA BLANCA R-153 (UND)</t>
  </si>
  <si>
    <t>CEMUSA</t>
  </si>
  <si>
    <t>ETIQUETA BLANCA 2 5/8X1 15/16 (UND)</t>
  </si>
  <si>
    <t>Unidad</t>
  </si>
  <si>
    <t>TIEMPO TOTAL DE PREPARACION</t>
  </si>
  <si>
    <t>PESO TOTAL OBTENIDO</t>
  </si>
  <si>
    <t>MERMA</t>
  </si>
  <si>
    <t>PROCEDIMIENTO DE PREPARACION DE LA  RECETA</t>
  </si>
  <si>
    <t>CONTROL DE CAMBIOS</t>
  </si>
  <si>
    <t>4.- Colocar la torta dentro del domo, nombre del producto y codigo de barras, fecha juliana y fecha de vencimiento, el local coloca en punto de venta etiqueta Spoon</t>
  </si>
  <si>
    <t>CÓDIGO:</t>
  </si>
  <si>
    <t>REVISIÓN:</t>
  </si>
  <si>
    <t>FECHA DE APROBACIÓN:</t>
  </si>
  <si>
    <t>EMPAQUE FUDGE DE CHOCOLATE SPOON</t>
  </si>
  <si>
    <t>STICK DORADO (CAJA:100 UND)</t>
  </si>
  <si>
    <t>Tiempo de Horneo:</t>
  </si>
  <si>
    <t>Minutos</t>
  </si>
  <si>
    <t>Horno:</t>
  </si>
  <si>
    <t>CANTIDAD DE PORCIONES OBTENIDAS</t>
  </si>
  <si>
    <t>Torta</t>
  </si>
  <si>
    <t>Temperatura de Horneo:</t>
  </si>
  <si>
    <t>PESO DE CADA PORCIÓN</t>
  </si>
  <si>
    <t>Otros</t>
  </si>
  <si>
    <t>1950808</t>
  </si>
  <si>
    <t>RAPIBOX</t>
  </si>
  <si>
    <t>0,5</t>
  </si>
  <si>
    <t>SE00040</t>
  </si>
  <si>
    <t>SE00337</t>
  </si>
  <si>
    <t>MP10011</t>
  </si>
  <si>
    <t>EM10024</t>
  </si>
  <si>
    <t>EM10248</t>
  </si>
  <si>
    <t>EM10124</t>
  </si>
  <si>
    <t>EM10025</t>
  </si>
  <si>
    <t>EM10011</t>
  </si>
  <si>
    <t>0702069</t>
  </si>
  <si>
    <t>EM10002</t>
  </si>
  <si>
    <t>SERVICIOS DE PASTELERIA S.A.</t>
  </si>
  <si>
    <t>Elaborado</t>
  </si>
  <si>
    <t>Javier Tong, Chef</t>
  </si>
  <si>
    <t>Aprobado</t>
  </si>
  <si>
    <t># Código Netsuite</t>
  </si>
  <si>
    <t>Medida alternativa</t>
  </si>
  <si>
    <t>1 1/2 UND</t>
  </si>
  <si>
    <t>1/3 TAZA</t>
  </si>
  <si>
    <t>CHOCOLATE SOLUTIONS</t>
  </si>
  <si>
    <t>LITOGRAFIA CR</t>
  </si>
  <si>
    <t>ETIQ.BLANCA 1 1/4 * 3/4</t>
  </si>
  <si>
    <t xml:space="preserve">ORLA CARTON  8" DORADA </t>
  </si>
  <si>
    <t>ESP-RE-DES-006</t>
  </si>
  <si>
    <t xml:space="preserve"> ROSQUETE CHOCOLATE DAWN 280g</t>
  </si>
  <si>
    <t>MP10007</t>
  </si>
  <si>
    <t xml:space="preserve">MANJAR DE LECHE CONDENSADA </t>
  </si>
  <si>
    <t>NESTLÉ</t>
  </si>
  <si>
    <t>1/4 TAZA</t>
  </si>
  <si>
    <t>CONEXU</t>
  </si>
  <si>
    <t>COLOCHO BOQUILLA 61</t>
  </si>
  <si>
    <t>SE00001</t>
  </si>
  <si>
    <t>GANACHE CHOCOLATE OSCURO (KILO)</t>
  </si>
  <si>
    <t>1/8 TAZA</t>
  </si>
  <si>
    <t>SE00392</t>
  </si>
  <si>
    <t>CHOCOLATE RALLADO OSCURO</t>
  </si>
  <si>
    <t>1 CUCHARADITA</t>
  </si>
  <si>
    <t>EM10021</t>
  </si>
  <si>
    <t>QUEQUERA BASE CON DOMO 9 ALTA (CAJA: 50)</t>
  </si>
  <si>
    <t>UD</t>
  </si>
  <si>
    <t>1.- Partir el rosquete por la  mitad,se utilizaran  1 1/2 unidades. Rellenar cada capa  con 1/3 taza de manjar y 1/4 taza de fudge</t>
  </si>
  <si>
    <t>2.-  Encremar la torta con el relleno de fudge de chocolate, pasar el peine por los costados</t>
  </si>
  <si>
    <t>3.- Agregar el ganache en el centro con ayuda de una espatula Y realizar un colocho de manjar acorde a la fotografia, agregar el chocolate rallado ( 1 cucharadita ).  Decorar con 1/2  stick dorado.</t>
  </si>
  <si>
    <t xml:space="preserve">2, Se actualiza datos receta, peso merma y procedimiento. </t>
  </si>
  <si>
    <t>SE00386</t>
  </si>
  <si>
    <t>TRASVASADO DE LECHE CONDENSADA COCINADA</t>
  </si>
  <si>
    <t xml:space="preserve">3, Se actualiza dato de relleno </t>
  </si>
  <si>
    <t>03</t>
  </si>
  <si>
    <t>Torta Chocolate Pequeña Spoon PTL00112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</si>
</sst>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0.0"/>
    <numFmt numFmtId="167" formatCode="0.000"/>
    <numFmt numFmtId="168" formatCode="_(* #,##0.000_);_(* \(#,##0.00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9"/>
      <color theme="1"/>
      <name val="Calibri"/>
      <family val="2"/>
    </font>
    <font>
      <b/>
      <sz val="12"/>
      <name val="Century Gothic"/>
      <family val="2"/>
    </font>
    <font>
      <b/>
      <sz val="14"/>
      <name val="Arial"/>
      <family val="2"/>
    </font>
    <font>
      <b/>
      <sz val="12"/>
      <color rgb="FFFF0000"/>
      <name val="Arial"/>
      <family val="2"/>
    </font>
    <font>
      <b/>
      <i/>
      <sz val="18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rgb="FF000000"/>
      <name val="Arial"/>
      <family val="2"/>
    </font>
    <font>
      <sz val="16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13">
    <xf numFmtId="0" fontId="0" fillId="0" borderId="0"/>
    <xf numFmtId="0" fontId="2" fillId="0" borderId="0"/>
    <xf numFmtId="0" fontId="3" fillId="0" borderId="0"/>
    <xf numFmtId="0" fontId="3" fillId="0" borderId="0"/>
    <xf numFmtId="0" fontId="6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9" fillId="0" borderId="0"/>
    <xf numFmtId="0" fontId="3" fillId="0" borderId="0"/>
    <xf numFmtId="0" fontId="8" fillId="0" borderId="0">
      <alignment vertical="top"/>
    </xf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89">
    <xf numFmtId="0" fontId="0" fillId="0" borderId="0" xfId="0"/>
    <xf numFmtId="0" fontId="5" fillId="2" borderId="2" xfId="1" applyFont="1" applyFill="1" applyBorder="1" applyAlignment="1">
      <alignment horizontal="right"/>
    </xf>
    <xf numFmtId="0" fontId="5" fillId="2" borderId="5" xfId="1" applyFont="1" applyFill="1" applyBorder="1" applyAlignment="1">
      <alignment horizontal="right"/>
    </xf>
    <xf numFmtId="0" fontId="4" fillId="2" borderId="3" xfId="1" applyFont="1" applyFill="1" applyBorder="1" applyAlignment="1">
      <alignment horizontal="center"/>
    </xf>
    <xf numFmtId="49" fontId="4" fillId="2" borderId="6" xfId="1" applyNumberFormat="1" applyFont="1" applyFill="1" applyBorder="1" applyAlignment="1">
      <alignment horizontal="center"/>
    </xf>
    <xf numFmtId="0" fontId="4" fillId="2" borderId="14" xfId="1" applyFont="1" applyFill="1" applyBorder="1" applyAlignment="1">
      <alignment horizontal="right"/>
    </xf>
    <xf numFmtId="0" fontId="4" fillId="2" borderId="5" xfId="1" applyFont="1" applyFill="1" applyBorder="1" applyAlignment="1">
      <alignment horizontal="right"/>
    </xf>
    <xf numFmtId="0" fontId="5" fillId="4" borderId="3" xfId="2" applyFont="1" applyFill="1" applyBorder="1" applyAlignment="1">
      <alignment horizontal="center" vertical="center" wrapText="1"/>
    </xf>
    <xf numFmtId="1" fontId="5" fillId="4" borderId="12" xfId="2" applyNumberFormat="1" applyFont="1" applyFill="1" applyBorder="1" applyAlignment="1">
      <alignment horizontal="center"/>
    </xf>
    <xf numFmtId="1" fontId="5" fillId="4" borderId="12" xfId="2" applyNumberFormat="1" applyFont="1" applyFill="1" applyBorder="1" applyAlignment="1">
      <alignment horizontal="center" wrapText="1"/>
    </xf>
    <xf numFmtId="0" fontId="5" fillId="4" borderId="13" xfId="2" applyFont="1" applyFill="1" applyBorder="1" applyAlignment="1">
      <alignment horizontal="center"/>
    </xf>
    <xf numFmtId="14" fontId="12" fillId="2" borderId="0" xfId="1" applyNumberFormat="1" applyFont="1" applyFill="1" applyAlignment="1">
      <alignment horizontal="center" vertical="center" wrapText="1"/>
    </xf>
    <xf numFmtId="0" fontId="14" fillId="0" borderId="18" xfId="2" applyFont="1" applyBorder="1" applyAlignment="1">
      <alignment horizontal="center" vertical="center"/>
    </xf>
    <xf numFmtId="0" fontId="14" fillId="0" borderId="4" xfId="2" applyFont="1" applyBorder="1" applyAlignment="1">
      <alignment horizontal="center" vertical="center"/>
    </xf>
    <xf numFmtId="0" fontId="15" fillId="0" borderId="5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1" fontId="14" fillId="0" borderId="5" xfId="2" applyNumberFormat="1" applyFont="1" applyBorder="1" applyAlignment="1">
      <alignment horizontal="center"/>
    </xf>
    <xf numFmtId="1" fontId="14" fillId="0" borderId="5" xfId="2" applyNumberFormat="1" applyFont="1" applyBorder="1" applyAlignment="1">
      <alignment horizontal="center" wrapText="1"/>
    </xf>
    <xf numFmtId="0" fontId="16" fillId="0" borderId="6" xfId="2" applyFont="1" applyBorder="1" applyAlignment="1">
      <alignment horizontal="center"/>
    </xf>
    <xf numFmtId="0" fontId="17" fillId="5" borderId="18" xfId="0" applyFont="1" applyFill="1" applyBorder="1" applyAlignment="1">
      <alignment horizontal="center"/>
    </xf>
    <xf numFmtId="0" fontId="17" fillId="5" borderId="5" xfId="0" applyFont="1" applyFill="1" applyBorder="1" applyAlignment="1">
      <alignment horizontal="center"/>
    </xf>
    <xf numFmtId="0" fontId="17" fillId="5" borderId="14" xfId="0" applyFont="1" applyFill="1" applyBorder="1"/>
    <xf numFmtId="0" fontId="16" fillId="5" borderId="4" xfId="0" applyFont="1" applyFill="1" applyBorder="1" applyAlignment="1">
      <alignment horizontal="center"/>
    </xf>
    <xf numFmtId="1" fontId="16" fillId="5" borderId="5" xfId="0" applyNumberFormat="1" applyFont="1" applyFill="1" applyBorder="1" applyAlignment="1">
      <alignment horizontal="center"/>
    </xf>
    <xf numFmtId="1" fontId="16" fillId="5" borderId="5" xfId="0" applyNumberFormat="1" applyFont="1" applyFill="1" applyBorder="1" applyAlignment="1">
      <alignment horizontal="center" wrapText="1"/>
    </xf>
    <xf numFmtId="0" fontId="16" fillId="0" borderId="14" xfId="0" applyFont="1" applyBorder="1" applyAlignment="1">
      <alignment horizontal="center" wrapText="1"/>
    </xf>
    <xf numFmtId="12" fontId="16" fillId="0" borderId="14" xfId="0" applyNumberFormat="1" applyFont="1" applyBorder="1" applyAlignment="1">
      <alignment horizontal="center"/>
    </xf>
    <xf numFmtId="0" fontId="17" fillId="5" borderId="4" xfId="0" applyFont="1" applyFill="1" applyBorder="1" applyAlignment="1">
      <alignment horizontal="center"/>
    </xf>
    <xf numFmtId="0" fontId="17" fillId="5" borderId="5" xfId="0" applyFont="1" applyFill="1" applyBorder="1"/>
    <xf numFmtId="1" fontId="16" fillId="5" borderId="14" xfId="0" applyNumberFormat="1" applyFont="1" applyFill="1" applyBorder="1" applyAlignment="1">
      <alignment horizontal="center"/>
    </xf>
    <xf numFmtId="1" fontId="16" fillId="5" borderId="14" xfId="0" applyNumberFormat="1" applyFont="1" applyFill="1" applyBorder="1" applyAlignment="1">
      <alignment horizontal="center" wrapText="1"/>
    </xf>
    <xf numFmtId="0" fontId="16" fillId="0" borderId="5" xfId="0" applyFont="1" applyBorder="1" applyAlignment="1">
      <alignment horizontal="center"/>
    </xf>
    <xf numFmtId="0" fontId="16" fillId="0" borderId="18" xfId="27" applyFont="1" applyBorder="1" applyAlignment="1">
      <alignment horizontal="center"/>
    </xf>
    <xf numFmtId="0" fontId="16" fillId="0" borderId="4" xfId="27" applyFont="1" applyBorder="1" applyAlignment="1">
      <alignment horizontal="center"/>
    </xf>
    <xf numFmtId="0" fontId="16" fillId="0" borderId="5" xfId="27" applyFont="1" applyBorder="1"/>
    <xf numFmtId="16" fontId="16" fillId="0" borderId="5" xfId="27" applyNumberFormat="1" applyFont="1" applyBorder="1" applyAlignment="1">
      <alignment horizontal="center"/>
    </xf>
    <xf numFmtId="1" fontId="16" fillId="0" borderId="5" xfId="27" applyNumberFormat="1" applyFont="1" applyBorder="1" applyAlignment="1">
      <alignment horizontal="center"/>
    </xf>
    <xf numFmtId="1" fontId="16" fillId="0" borderId="5" xfId="27" applyNumberFormat="1" applyFont="1" applyBorder="1" applyAlignment="1">
      <alignment horizontal="center" wrapText="1"/>
    </xf>
    <xf numFmtId="0" fontId="17" fillId="0" borderId="0" xfId="0" applyFont="1"/>
    <xf numFmtId="0" fontId="18" fillId="0" borderId="5" xfId="0" applyFont="1" applyBorder="1" applyAlignment="1">
      <alignment horizontal="center"/>
    </xf>
    <xf numFmtId="0" fontId="18" fillId="0" borderId="5" xfId="0" applyFont="1" applyBorder="1" applyAlignment="1">
      <alignment horizontal="center" vertical="center"/>
    </xf>
    <xf numFmtId="0" fontId="18" fillId="6" borderId="5" xfId="0" applyFont="1" applyFill="1" applyBorder="1"/>
    <xf numFmtId="0" fontId="16" fillId="0" borderId="5" xfId="0" applyFont="1" applyBorder="1" applyAlignment="1">
      <alignment horizontal="center" wrapText="1"/>
    </xf>
    <xf numFmtId="0" fontId="18" fillId="6" borderId="0" xfId="0" applyFont="1" applyFill="1" applyAlignment="1">
      <alignment horizontal="center"/>
    </xf>
    <xf numFmtId="0" fontId="18" fillId="6" borderId="0" xfId="0" applyFont="1" applyFill="1"/>
    <xf numFmtId="0" fontId="14" fillId="6" borderId="5" xfId="0" applyFont="1" applyFill="1" applyBorder="1" applyAlignment="1">
      <alignment horizontal="left"/>
    </xf>
    <xf numFmtId="0" fontId="16" fillId="0" borderId="14" xfId="0" applyFont="1" applyBorder="1" applyAlignment="1">
      <alignment horizontal="center"/>
    </xf>
    <xf numFmtId="0" fontId="18" fillId="6" borderId="5" xfId="0" applyFont="1" applyFill="1" applyBorder="1" applyAlignment="1">
      <alignment horizontal="left" vertical="center"/>
    </xf>
    <xf numFmtId="0" fontId="17" fillId="0" borderId="5" xfId="0" applyFont="1" applyBorder="1" applyAlignment="1">
      <alignment horizontal="center"/>
    </xf>
    <xf numFmtId="0" fontId="17" fillId="0" borderId="5" xfId="0" applyFont="1" applyBorder="1"/>
    <xf numFmtId="16" fontId="16" fillId="0" borderId="4" xfId="0" applyNumberFormat="1" applyFont="1" applyBorder="1" applyAlignment="1">
      <alignment horizontal="center"/>
    </xf>
    <xf numFmtId="1" fontId="16" fillId="0" borderId="5" xfId="0" applyNumberFormat="1" applyFont="1" applyBorder="1" applyAlignment="1">
      <alignment horizontal="center"/>
    </xf>
    <xf numFmtId="1" fontId="16" fillId="0" borderId="5" xfId="0" applyNumberFormat="1" applyFont="1" applyBorder="1" applyAlignment="1">
      <alignment horizontal="center" wrapText="1"/>
    </xf>
    <xf numFmtId="49" fontId="16" fillId="0" borderId="18" xfId="2" applyNumberFormat="1" applyFont="1" applyBorder="1" applyAlignment="1">
      <alignment horizontal="center"/>
    </xf>
    <xf numFmtId="49" fontId="16" fillId="0" borderId="4" xfId="2" applyNumberFormat="1" applyFont="1" applyBorder="1" applyAlignment="1">
      <alignment horizontal="center"/>
    </xf>
    <xf numFmtId="0" fontId="14" fillId="5" borderId="5" xfId="2" applyFont="1" applyFill="1" applyBorder="1" applyAlignment="1">
      <alignment horizontal="left"/>
    </xf>
    <xf numFmtId="0" fontId="16" fillId="0" borderId="5" xfId="2" applyFont="1" applyBorder="1" applyAlignment="1">
      <alignment horizontal="center"/>
    </xf>
    <xf numFmtId="166" fontId="16" fillId="0" borderId="5" xfId="2" applyNumberFormat="1" applyFont="1" applyBorder="1" applyAlignment="1">
      <alignment horizontal="center"/>
    </xf>
    <xf numFmtId="1" fontId="16" fillId="0" borderId="5" xfId="2" applyNumberFormat="1" applyFont="1" applyBorder="1" applyAlignment="1">
      <alignment horizontal="center" wrapText="1"/>
    </xf>
    <xf numFmtId="0" fontId="17" fillId="5" borderId="35" xfId="0" applyFont="1" applyFill="1" applyBorder="1" applyAlignment="1">
      <alignment horizontal="center"/>
    </xf>
    <xf numFmtId="1" fontId="16" fillId="5" borderId="5" xfId="2" applyNumberFormat="1" applyFont="1" applyFill="1" applyBorder="1" applyAlignment="1">
      <alignment horizontal="center"/>
    </xf>
    <xf numFmtId="1" fontId="16" fillId="5" borderId="5" xfId="2" applyNumberFormat="1" applyFont="1" applyFill="1" applyBorder="1" applyAlignment="1">
      <alignment horizontal="center" wrapText="1"/>
    </xf>
    <xf numFmtId="0" fontId="17" fillId="0" borderId="0" xfId="0" applyFont="1" applyAlignment="1">
      <alignment horizontal="center"/>
    </xf>
    <xf numFmtId="16" fontId="16" fillId="5" borderId="5" xfId="0" applyNumberFormat="1" applyFont="1" applyFill="1" applyBorder="1" applyAlignment="1">
      <alignment horizontal="center"/>
    </xf>
    <xf numFmtId="0" fontId="16" fillId="2" borderId="5" xfId="0" applyFont="1" applyFill="1" applyBorder="1" applyAlignment="1">
      <alignment horizontal="center"/>
    </xf>
    <xf numFmtId="1" fontId="16" fillId="0" borderId="14" xfId="0" applyNumberFormat="1" applyFont="1" applyBorder="1" applyAlignment="1">
      <alignment horizontal="center" wrapText="1"/>
    </xf>
    <xf numFmtId="16" fontId="16" fillId="0" borderId="5" xfId="0" applyNumberFormat="1" applyFont="1" applyBorder="1" applyAlignment="1">
      <alignment horizontal="center"/>
    </xf>
    <xf numFmtId="1" fontId="16" fillId="0" borderId="14" xfId="0" applyNumberFormat="1" applyFont="1" applyBorder="1" applyAlignment="1">
      <alignment horizontal="center"/>
    </xf>
    <xf numFmtId="49" fontId="14" fillId="0" borderId="25" xfId="2" applyNumberFormat="1" applyFont="1" applyBorder="1" applyAlignment="1">
      <alignment horizontal="center"/>
    </xf>
    <xf numFmtId="49" fontId="14" fillId="0" borderId="16" xfId="2" applyNumberFormat="1" applyFont="1" applyBorder="1" applyAlignment="1">
      <alignment horizontal="center"/>
    </xf>
    <xf numFmtId="0" fontId="15" fillId="5" borderId="5" xfId="2" applyFont="1" applyFill="1" applyBorder="1" applyAlignment="1">
      <alignment vertical="center"/>
    </xf>
    <xf numFmtId="0" fontId="14" fillId="0" borderId="4" xfId="2" applyFont="1" applyBorder="1" applyAlignment="1">
      <alignment horizontal="center"/>
    </xf>
    <xf numFmtId="166" fontId="14" fillId="0" borderId="5" xfId="2" applyNumberFormat="1" applyFont="1" applyBorder="1" applyAlignment="1">
      <alignment horizontal="center"/>
    </xf>
    <xf numFmtId="49" fontId="16" fillId="0" borderId="5" xfId="2" applyNumberFormat="1" applyFont="1" applyBorder="1"/>
    <xf numFmtId="49" fontId="16" fillId="0" borderId="5" xfId="2" applyNumberFormat="1" applyFont="1" applyBorder="1" applyAlignment="1">
      <alignment horizontal="center"/>
    </xf>
    <xf numFmtId="1" fontId="16" fillId="0" borderId="5" xfId="2" applyNumberFormat="1" applyFont="1" applyBorder="1" applyAlignment="1">
      <alignment horizontal="center"/>
    </xf>
    <xf numFmtId="168" fontId="14" fillId="5" borderId="5" xfId="112" applyNumberFormat="1" applyFont="1" applyFill="1" applyBorder="1" applyAlignment="1">
      <alignment horizontal="center"/>
    </xf>
    <xf numFmtId="16" fontId="16" fillId="0" borderId="5" xfId="2" applyNumberFormat="1" applyFont="1" applyBorder="1" applyAlignment="1">
      <alignment horizontal="center"/>
    </xf>
    <xf numFmtId="1" fontId="16" fillId="0" borderId="14" xfId="2" applyNumberFormat="1" applyFont="1" applyBorder="1" applyAlignment="1">
      <alignment horizontal="center"/>
    </xf>
    <xf numFmtId="0" fontId="16" fillId="0" borderId="14" xfId="2" applyFont="1" applyBorder="1" applyAlignment="1">
      <alignment horizontal="center"/>
    </xf>
    <xf numFmtId="0" fontId="16" fillId="0" borderId="5" xfId="0" applyFont="1" applyBorder="1" applyAlignment="1">
      <alignment horizontal="center" vertical="center"/>
    </xf>
    <xf numFmtId="0" fontId="16" fillId="0" borderId="5" xfId="0" applyFont="1" applyBorder="1" applyAlignment="1">
      <alignment horizontal="left" vertical="center"/>
    </xf>
    <xf numFmtId="0" fontId="16" fillId="0" borderId="29" xfId="0" applyFont="1" applyBorder="1" applyAlignment="1">
      <alignment horizontal="center"/>
    </xf>
    <xf numFmtId="1" fontId="16" fillId="0" borderId="5" xfId="0" applyNumberFormat="1" applyFont="1" applyBorder="1" applyAlignment="1">
      <alignment horizontal="left" vertical="center"/>
    </xf>
    <xf numFmtId="12" fontId="16" fillId="0" borderId="5" xfId="2" applyNumberFormat="1" applyFont="1" applyBorder="1" applyAlignment="1">
      <alignment horizontal="center"/>
    </xf>
    <xf numFmtId="0" fontId="16" fillId="5" borderId="18" xfId="0" applyFont="1" applyFill="1" applyBorder="1" applyAlignment="1">
      <alignment horizontal="center"/>
    </xf>
    <xf numFmtId="0" fontId="18" fillId="5" borderId="0" xfId="0" applyFont="1" applyFill="1" applyAlignment="1">
      <alignment horizontal="center"/>
    </xf>
    <xf numFmtId="1" fontId="16" fillId="5" borderId="5" xfId="0" applyNumberFormat="1" applyFont="1" applyFill="1" applyBorder="1"/>
    <xf numFmtId="0" fontId="16" fillId="5" borderId="5" xfId="0" applyFont="1" applyFill="1" applyBorder="1" applyAlignment="1">
      <alignment horizontal="center"/>
    </xf>
    <xf numFmtId="0" fontId="16" fillId="5" borderId="5" xfId="0" applyFont="1" applyFill="1" applyBorder="1" applyAlignment="1">
      <alignment horizontal="center" wrapText="1"/>
    </xf>
    <xf numFmtId="0" fontId="16" fillId="5" borderId="5" xfId="0" applyFont="1" applyFill="1" applyBorder="1"/>
    <xf numFmtId="49" fontId="19" fillId="2" borderId="31" xfId="2" applyNumberFormat="1" applyFont="1" applyFill="1" applyBorder="1" applyAlignment="1">
      <alignment horizontal="center" vertical="center"/>
    </xf>
    <xf numFmtId="49" fontId="19" fillId="2" borderId="0" xfId="2" applyNumberFormat="1" applyFont="1" applyFill="1" applyAlignment="1">
      <alignment horizontal="center" vertical="center"/>
    </xf>
    <xf numFmtId="0" fontId="16" fillId="2" borderId="0" xfId="2" applyFont="1" applyFill="1"/>
    <xf numFmtId="1" fontId="16" fillId="2" borderId="0" xfId="2" applyNumberFormat="1" applyFont="1" applyFill="1" applyAlignment="1">
      <alignment horizontal="center"/>
    </xf>
    <xf numFmtId="167" fontId="16" fillId="2" borderId="0" xfId="2" applyNumberFormat="1" applyFont="1" applyFill="1" applyAlignment="1">
      <alignment horizontal="center" wrapText="1"/>
    </xf>
    <xf numFmtId="0" fontId="16" fillId="2" borderId="27" xfId="2" applyFont="1" applyFill="1" applyBorder="1" applyAlignment="1">
      <alignment horizontal="center"/>
    </xf>
    <xf numFmtId="0" fontId="16" fillId="4" borderId="19" xfId="2" applyFont="1" applyFill="1" applyBorder="1" applyAlignment="1">
      <alignment horizontal="center"/>
    </xf>
    <xf numFmtId="0" fontId="16" fillId="4" borderId="20" xfId="2" applyFont="1" applyFill="1" applyBorder="1" applyAlignment="1">
      <alignment horizontal="center"/>
    </xf>
    <xf numFmtId="0" fontId="16" fillId="4" borderId="20" xfId="2" applyFont="1" applyFill="1" applyBorder="1"/>
    <xf numFmtId="0" fontId="14" fillId="4" borderId="20" xfId="2" applyFont="1" applyFill="1" applyBorder="1" applyAlignment="1">
      <alignment horizontal="center"/>
    </xf>
    <xf numFmtId="1" fontId="14" fillId="4" borderId="20" xfId="2" applyNumberFormat="1" applyFont="1" applyFill="1" applyBorder="1" applyAlignment="1">
      <alignment horizontal="center"/>
    </xf>
    <xf numFmtId="167" fontId="16" fillId="4" borderId="20" xfId="2" applyNumberFormat="1" applyFont="1" applyFill="1" applyBorder="1" applyAlignment="1">
      <alignment horizontal="center" wrapText="1"/>
    </xf>
    <xf numFmtId="0" fontId="16" fillId="4" borderId="21" xfId="2" applyFont="1" applyFill="1" applyBorder="1" applyAlignment="1">
      <alignment horizontal="center"/>
    </xf>
    <xf numFmtId="0" fontId="16" fillId="0" borderId="36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1" fontId="16" fillId="0" borderId="12" xfId="0" applyNumberFormat="1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2" borderId="5" xfId="1" applyFont="1" applyFill="1" applyBorder="1" applyAlignment="1">
      <alignment horizontal="left"/>
    </xf>
    <xf numFmtId="0" fontId="14" fillId="0" borderId="25" xfId="0" applyFont="1" applyBorder="1" applyAlignment="1">
      <alignment horizontal="left"/>
    </xf>
    <xf numFmtId="0" fontId="14" fillId="0" borderId="16" xfId="0" applyFont="1" applyBorder="1" applyAlignment="1">
      <alignment horizontal="left"/>
    </xf>
    <xf numFmtId="0" fontId="14" fillId="0" borderId="17" xfId="0" applyFont="1" applyBorder="1" applyAlignment="1">
      <alignment horizontal="left"/>
    </xf>
    <xf numFmtId="0" fontId="14" fillId="7" borderId="44" xfId="1" applyFont="1" applyFill="1" applyBorder="1" applyAlignment="1">
      <alignment horizontal="center"/>
    </xf>
    <xf numFmtId="0" fontId="14" fillId="7" borderId="28" xfId="1" applyFont="1" applyFill="1" applyBorder="1" applyAlignment="1">
      <alignment horizontal="center"/>
    </xf>
    <xf numFmtId="0" fontId="16" fillId="2" borderId="15" xfId="1" applyFont="1" applyFill="1" applyBorder="1" applyAlignment="1">
      <alignment horizontal="left"/>
    </xf>
    <xf numFmtId="0" fontId="16" fillId="2" borderId="16" xfId="1" applyFont="1" applyFill="1" applyBorder="1" applyAlignment="1">
      <alignment horizontal="left"/>
    </xf>
    <xf numFmtId="0" fontId="16" fillId="2" borderId="4" xfId="1" applyFont="1" applyFill="1" applyBorder="1" applyAlignment="1">
      <alignment horizontal="left"/>
    </xf>
    <xf numFmtId="0" fontId="16" fillId="0" borderId="25" xfId="0" applyFont="1" applyBorder="1" applyAlignment="1">
      <alignment horizontal="left" wrapText="1"/>
    </xf>
    <xf numFmtId="0" fontId="16" fillId="0" borderId="16" xfId="0" applyFont="1" applyBorder="1" applyAlignment="1">
      <alignment horizontal="left" wrapText="1"/>
    </xf>
    <xf numFmtId="0" fontId="16" fillId="0" borderId="17" xfId="0" applyFont="1" applyBorder="1" applyAlignment="1">
      <alignment horizontal="left" wrapText="1"/>
    </xf>
    <xf numFmtId="0" fontId="16" fillId="0" borderId="26" xfId="0" applyFont="1" applyBorder="1" applyAlignment="1">
      <alignment horizontal="left" wrapText="1"/>
    </xf>
    <xf numFmtId="0" fontId="16" fillId="0" borderId="7" xfId="0" applyFont="1" applyBorder="1" applyAlignment="1">
      <alignment horizontal="left" wrapText="1"/>
    </xf>
    <xf numFmtId="0" fontId="16" fillId="0" borderId="9" xfId="0" applyFont="1" applyBorder="1" applyAlignment="1">
      <alignment horizontal="left" wrapText="1"/>
    </xf>
    <xf numFmtId="0" fontId="16" fillId="0" borderId="4" xfId="0" applyFont="1" applyBorder="1" applyAlignment="1">
      <alignment horizontal="left" wrapText="1"/>
    </xf>
    <xf numFmtId="0" fontId="16" fillId="0" borderId="26" xfId="0" applyFont="1" applyBorder="1" applyAlignment="1">
      <alignment horizontal="left"/>
    </xf>
    <xf numFmtId="0" fontId="16" fillId="0" borderId="7" xfId="0" applyFont="1" applyBorder="1" applyAlignment="1">
      <alignment horizontal="left"/>
    </xf>
    <xf numFmtId="0" fontId="16" fillId="0" borderId="9" xfId="0" applyFont="1" applyBorder="1" applyAlignment="1">
      <alignment horizontal="left"/>
    </xf>
    <xf numFmtId="0" fontId="16" fillId="0" borderId="25" xfId="0" applyFont="1" applyBorder="1" applyAlignment="1">
      <alignment horizontal="left"/>
    </xf>
    <xf numFmtId="0" fontId="16" fillId="0" borderId="16" xfId="0" applyFont="1" applyBorder="1" applyAlignment="1">
      <alignment horizontal="left"/>
    </xf>
    <xf numFmtId="0" fontId="16" fillId="0" borderId="17" xfId="0" applyFont="1" applyBorder="1" applyAlignment="1">
      <alignment horizontal="left"/>
    </xf>
    <xf numFmtId="0" fontId="14" fillId="0" borderId="25" xfId="2" applyFont="1" applyBorder="1" applyAlignment="1">
      <alignment horizontal="right"/>
    </xf>
    <xf numFmtId="0" fontId="14" fillId="0" borderId="16" xfId="2" applyFont="1" applyBorder="1" applyAlignment="1">
      <alignment horizontal="right"/>
    </xf>
    <xf numFmtId="0" fontId="14" fillId="0" borderId="4" xfId="2" applyFont="1" applyBorder="1" applyAlignment="1">
      <alignment horizontal="right"/>
    </xf>
    <xf numFmtId="0" fontId="16" fillId="0" borderId="5" xfId="2" applyFont="1" applyBorder="1" applyAlignment="1">
      <alignment horizontal="right"/>
    </xf>
    <xf numFmtId="167" fontId="16" fillId="0" borderId="15" xfId="2" applyNumberFormat="1" applyFont="1" applyBorder="1" applyAlignment="1">
      <alignment horizontal="center"/>
    </xf>
    <xf numFmtId="167" fontId="16" fillId="0" borderId="17" xfId="2" applyNumberFormat="1" applyFont="1" applyBorder="1" applyAlignment="1">
      <alignment horizontal="center"/>
    </xf>
    <xf numFmtId="167" fontId="16" fillId="0" borderId="15" xfId="2" applyNumberFormat="1" applyFont="1" applyBorder="1" applyAlignment="1">
      <alignment horizontal="right" wrapText="1"/>
    </xf>
    <xf numFmtId="167" fontId="16" fillId="0" borderId="4" xfId="2" applyNumberFormat="1" applyFont="1" applyBorder="1" applyAlignment="1">
      <alignment horizontal="right" wrapText="1"/>
    </xf>
    <xf numFmtId="167" fontId="16" fillId="0" borderId="15" xfId="0" applyNumberFormat="1" applyFont="1" applyBorder="1" applyAlignment="1">
      <alignment horizontal="center" wrapText="1"/>
    </xf>
    <xf numFmtId="167" fontId="16" fillId="0" borderId="17" xfId="0" applyNumberFormat="1" applyFont="1" applyBorder="1" applyAlignment="1">
      <alignment horizontal="center" wrapText="1"/>
    </xf>
    <xf numFmtId="0" fontId="14" fillId="0" borderId="11" xfId="2" applyFont="1" applyBorder="1" applyAlignment="1">
      <alignment horizontal="right"/>
    </xf>
    <xf numFmtId="0" fontId="14" fillId="0" borderId="34" xfId="2" applyFont="1" applyBorder="1" applyAlignment="1">
      <alignment horizontal="right"/>
    </xf>
    <xf numFmtId="0" fontId="14" fillId="0" borderId="12" xfId="2" applyFont="1" applyBorder="1" applyAlignment="1">
      <alignment horizontal="right"/>
    </xf>
    <xf numFmtId="0" fontId="16" fillId="0" borderId="12" xfId="2" applyFont="1" applyBorder="1" applyAlignment="1">
      <alignment horizontal="right"/>
    </xf>
    <xf numFmtId="0" fontId="14" fillId="4" borderId="19" xfId="2" applyFont="1" applyFill="1" applyBorder="1" applyAlignment="1">
      <alignment horizontal="center"/>
    </xf>
    <xf numFmtId="0" fontId="14" fillId="4" borderId="20" xfId="2" applyFont="1" applyFill="1" applyBorder="1" applyAlignment="1">
      <alignment horizontal="center"/>
    </xf>
    <xf numFmtId="0" fontId="14" fillId="4" borderId="21" xfId="2" applyFont="1" applyFill="1" applyBorder="1" applyAlignment="1">
      <alignment horizontal="center"/>
    </xf>
    <xf numFmtId="0" fontId="16" fillId="0" borderId="22" xfId="0" applyFont="1" applyBorder="1" applyAlignment="1">
      <alignment horizontal="left"/>
    </xf>
    <xf numFmtId="0" fontId="16" fillId="0" borderId="23" xfId="0" applyFont="1" applyBorder="1" applyAlignment="1">
      <alignment horizontal="left"/>
    </xf>
    <xf numFmtId="0" fontId="16" fillId="0" borderId="24" xfId="0" applyFont="1" applyBorder="1" applyAlignment="1">
      <alignment horizontal="left"/>
    </xf>
    <xf numFmtId="0" fontId="14" fillId="0" borderId="22" xfId="2" applyFont="1" applyBorder="1" applyAlignment="1">
      <alignment horizontal="right"/>
    </xf>
    <xf numFmtId="0" fontId="14" fillId="0" borderId="23" xfId="2" applyFont="1" applyBorder="1" applyAlignment="1">
      <alignment horizontal="right"/>
    </xf>
    <xf numFmtId="0" fontId="14" fillId="0" borderId="35" xfId="2" applyFont="1" applyBorder="1" applyAlignment="1">
      <alignment horizontal="right"/>
    </xf>
    <xf numFmtId="167" fontId="16" fillId="0" borderId="14" xfId="2" applyNumberFormat="1" applyFont="1" applyBorder="1" applyAlignment="1">
      <alignment horizontal="right"/>
    </xf>
    <xf numFmtId="0" fontId="16" fillId="2" borderId="36" xfId="2" applyFont="1" applyFill="1" applyBorder="1" applyAlignment="1">
      <alignment horizontal="center"/>
    </xf>
    <xf numFmtId="0" fontId="16" fillId="2" borderId="24" xfId="2" applyFont="1" applyFill="1" applyBorder="1" applyAlignment="1">
      <alignment horizontal="center"/>
    </xf>
    <xf numFmtId="0" fontId="11" fillId="2" borderId="0" xfId="1" applyFont="1" applyFill="1" applyAlignment="1">
      <alignment horizontal="right"/>
    </xf>
    <xf numFmtId="0" fontId="12" fillId="2" borderId="8" xfId="1" applyFont="1" applyFill="1" applyBorder="1" applyAlignment="1">
      <alignment horizontal="center"/>
    </xf>
    <xf numFmtId="0" fontId="11" fillId="2" borderId="0" xfId="1" applyFont="1" applyFill="1"/>
    <xf numFmtId="0" fontId="5" fillId="4" borderId="10" xfId="2" applyFont="1" applyFill="1" applyBorder="1" applyAlignment="1">
      <alignment horizontal="center" vertical="center"/>
    </xf>
    <xf numFmtId="0" fontId="5" fillId="4" borderId="11" xfId="2" applyFont="1" applyFill="1" applyBorder="1" applyAlignment="1">
      <alignment horizontal="center" vertical="center"/>
    </xf>
    <xf numFmtId="0" fontId="5" fillId="4" borderId="10" xfId="2" applyFont="1" applyFill="1" applyBorder="1" applyAlignment="1">
      <alignment horizontal="center" vertical="center" wrapText="1"/>
    </xf>
    <xf numFmtId="0" fontId="5" fillId="4" borderId="11" xfId="2" applyFont="1" applyFill="1" applyBorder="1" applyAlignment="1">
      <alignment horizontal="center" vertical="center" wrapText="1"/>
    </xf>
    <xf numFmtId="0" fontId="5" fillId="4" borderId="2" xfId="2" applyFont="1" applyFill="1" applyBorder="1" applyAlignment="1">
      <alignment horizontal="center" vertical="center"/>
    </xf>
    <xf numFmtId="0" fontId="5" fillId="4" borderId="12" xfId="2" applyFont="1" applyFill="1" applyBorder="1" applyAlignment="1">
      <alignment horizontal="center" vertical="center"/>
    </xf>
    <xf numFmtId="14" fontId="4" fillId="2" borderId="30" xfId="1" applyNumberFormat="1" applyFont="1" applyFill="1" applyBorder="1" applyAlignment="1">
      <alignment horizontal="center" vertical="center" wrapText="1"/>
    </xf>
    <xf numFmtId="14" fontId="4" fillId="2" borderId="42" xfId="1" applyNumberFormat="1" applyFont="1" applyFill="1" applyBorder="1" applyAlignment="1">
      <alignment horizontal="center" vertical="center" wrapText="1"/>
    </xf>
    <xf numFmtId="14" fontId="4" fillId="2" borderId="43" xfId="1" applyNumberFormat="1" applyFont="1" applyFill="1" applyBorder="1" applyAlignment="1">
      <alignment horizontal="center" vertical="center" wrapText="1"/>
    </xf>
    <xf numFmtId="0" fontId="4" fillId="2" borderId="40" xfId="1" applyFont="1" applyFill="1" applyBorder="1" applyAlignment="1">
      <alignment horizontal="left"/>
    </xf>
    <xf numFmtId="0" fontId="4" fillId="2" borderId="41" xfId="1" applyFont="1" applyFill="1" applyBorder="1" applyAlignment="1">
      <alignment horizontal="left"/>
    </xf>
    <xf numFmtId="0" fontId="4" fillId="2" borderId="1" xfId="1" applyFont="1" applyFill="1" applyBorder="1" applyAlignment="1">
      <alignment horizontal="left"/>
    </xf>
    <xf numFmtId="0" fontId="4" fillId="2" borderId="15" xfId="1" applyFont="1" applyFill="1" applyBorder="1" applyAlignment="1">
      <alignment horizontal="left"/>
    </xf>
    <xf numFmtId="0" fontId="4" fillId="2" borderId="16" xfId="1" applyFont="1" applyFill="1" applyBorder="1" applyAlignment="1">
      <alignment horizontal="left"/>
    </xf>
    <xf numFmtId="0" fontId="4" fillId="2" borderId="4" xfId="1" applyFont="1" applyFill="1" applyBorder="1" applyAlignment="1">
      <alignment horizontal="left"/>
    </xf>
    <xf numFmtId="0" fontId="4" fillId="2" borderId="32" xfId="1" applyFont="1" applyFill="1" applyBorder="1" applyAlignment="1">
      <alignment horizontal="center"/>
    </xf>
    <xf numFmtId="0" fontId="4" fillId="2" borderId="28" xfId="1" applyFont="1" applyFill="1" applyBorder="1" applyAlignment="1">
      <alignment horizontal="center"/>
    </xf>
    <xf numFmtId="0" fontId="4" fillId="2" borderId="31" xfId="1" applyFont="1" applyFill="1" applyBorder="1" applyAlignment="1">
      <alignment horizontal="center"/>
    </xf>
    <xf numFmtId="0" fontId="4" fillId="2" borderId="0" xfId="1" applyFont="1" applyFill="1" applyAlignment="1">
      <alignment horizontal="center"/>
    </xf>
    <xf numFmtId="0" fontId="4" fillId="2" borderId="22" xfId="1" applyFont="1" applyFill="1" applyBorder="1" applyAlignment="1">
      <alignment horizontal="center"/>
    </xf>
    <xf numFmtId="0" fontId="4" fillId="2" borderId="23" xfId="1" applyFont="1" applyFill="1" applyBorder="1" applyAlignment="1">
      <alignment horizontal="center"/>
    </xf>
    <xf numFmtId="0" fontId="10" fillId="2" borderId="2" xfId="1" applyFont="1" applyFill="1" applyBorder="1" applyAlignment="1">
      <alignment horizontal="center"/>
    </xf>
    <xf numFmtId="0" fontId="10" fillId="2" borderId="33" xfId="1" applyFont="1" applyFill="1" applyBorder="1" applyAlignment="1">
      <alignment horizontal="center"/>
    </xf>
    <xf numFmtId="0" fontId="10" fillId="2" borderId="7" xfId="1" applyFont="1" applyFill="1" applyBorder="1" applyAlignment="1">
      <alignment horizontal="center"/>
    </xf>
    <xf numFmtId="0" fontId="10" fillId="2" borderId="34" xfId="1" applyFont="1" applyFill="1" applyBorder="1" applyAlignment="1">
      <alignment horizontal="center"/>
    </xf>
    <xf numFmtId="0" fontId="13" fillId="3" borderId="16" xfId="1" applyFont="1" applyFill="1" applyBorder="1" applyAlignment="1">
      <alignment horizontal="center" vertical="center" wrapText="1"/>
    </xf>
    <xf numFmtId="0" fontId="13" fillId="3" borderId="4" xfId="1" applyFont="1" applyFill="1" applyBorder="1" applyAlignment="1">
      <alignment horizontal="center" vertical="center" wrapText="1"/>
    </xf>
    <xf numFmtId="0" fontId="5" fillId="2" borderId="39" xfId="1" applyFont="1" applyFill="1" applyBorder="1" applyAlignment="1">
      <alignment horizontal="right" vertical="top" wrapText="1"/>
    </xf>
    <xf numFmtId="0" fontId="5" fillId="2" borderId="37" xfId="1" applyFont="1" applyFill="1" applyBorder="1" applyAlignment="1">
      <alignment horizontal="right" vertical="top" wrapText="1"/>
    </xf>
    <xf numFmtId="0" fontId="5" fillId="2" borderId="38" xfId="1" applyFont="1" applyFill="1" applyBorder="1" applyAlignment="1">
      <alignment horizontal="right" vertical="top" wrapText="1"/>
    </xf>
  </cellXfs>
  <cellStyles count="113">
    <cellStyle name="Millares" xfId="112" builtinId="3"/>
    <cellStyle name="Millares [0] 2" xfId="5" xr:uid="{B85EA2A8-6D82-4132-9F47-29CF88271E2F}"/>
    <cellStyle name="Millares [0] 2 2" xfId="6" xr:uid="{3E4B28AE-FC84-4D52-934C-258531D2B0D4}"/>
    <cellStyle name="Millares [0] 2 2 2" xfId="7" xr:uid="{8CD066A6-07BA-46C0-A276-A68BBD05C066}"/>
    <cellStyle name="Millares [0] 2 2 2 2" xfId="20" xr:uid="{9B847803-5AC6-4B37-ADE8-8CBC82BF34E1}"/>
    <cellStyle name="Millares [0] 2 2 2 2 2" xfId="37" xr:uid="{2E48F9F9-FABE-405A-8A2B-D9E4AFCBB61F}"/>
    <cellStyle name="Millares [0] 2 2 2 2 3" xfId="36" xr:uid="{0A3FFFAC-3700-4BDC-BDB3-BF5FD46B2BFB}"/>
    <cellStyle name="Millares [0] 2 2 2 3" xfId="38" xr:uid="{83204166-4B14-4462-B50F-7A181D634213}"/>
    <cellStyle name="Millares [0] 2 2 2 4" xfId="35" xr:uid="{15CC6017-199B-4AC9-B723-D1E9084F6261}"/>
    <cellStyle name="Millares [0] 2 2 3" xfId="19" xr:uid="{ADE1C131-B3DF-4E7A-9C26-CDCE9EB144AF}"/>
    <cellStyle name="Millares [0] 2 2 3 2" xfId="40" xr:uid="{89731811-CD62-4AFE-A0B5-1F14012FEAD3}"/>
    <cellStyle name="Millares [0] 2 2 3 3" xfId="39" xr:uid="{70C3D326-3975-45A8-A8B5-00C258772F4C}"/>
    <cellStyle name="Millares [0] 2 2 4" xfId="41" xr:uid="{9944F881-5137-4D9E-8AC4-4C1DAD26630C}"/>
    <cellStyle name="Millares [0] 2 2 5" xfId="34" xr:uid="{6D64E321-E996-4F47-8A22-D8411B52DED6}"/>
    <cellStyle name="Millares [0] 2 3" xfId="8" xr:uid="{69912131-EA83-4FC5-AEEC-1EF077B92152}"/>
    <cellStyle name="Millares [0] 2 3 2" xfId="21" xr:uid="{BCD3807E-1416-4B77-BC6B-E173B13205C6}"/>
    <cellStyle name="Millares [0] 2 3 2 2" xfId="43" xr:uid="{140EB498-04F6-4ECC-AB83-F507B4E231B4}"/>
    <cellStyle name="Millares [0] 2 3 3" xfId="42" xr:uid="{B98B4594-8E9F-486E-A705-C67BC84CC5A2}"/>
    <cellStyle name="Millares [0] 2 4" xfId="26" xr:uid="{E118DE53-2854-4ADF-848D-83E411A3A158}"/>
    <cellStyle name="Millares [0] 2 4 2" xfId="44" xr:uid="{213EC056-91FB-4FCD-BB6C-D821DDFDEA85}"/>
    <cellStyle name="Millares [0] 2 5" xfId="18" xr:uid="{C10CDFB8-B4BF-4723-B590-AE0F7998C619}"/>
    <cellStyle name="Millares [0] 2 6" xfId="30" xr:uid="{E3F2C199-FC4B-4560-B85A-8222E3E358EE}"/>
    <cellStyle name="Millares [0] 2 7" xfId="33" xr:uid="{36B2171E-0EA2-4457-BC10-B9451350C423}"/>
    <cellStyle name="Millares [0] 3" xfId="16" xr:uid="{9748F9D1-8B6F-4EE4-AEB8-2FE235423081}"/>
    <cellStyle name="Millares [0] 3 2" xfId="46" xr:uid="{4DA80187-99BC-4D91-9CBB-FF6682A7C480}"/>
    <cellStyle name="Millares [0] 3 2 2" xfId="47" xr:uid="{C92801DD-93D6-4BF5-8DF6-EE44EB944AED}"/>
    <cellStyle name="Millares [0] 3 2 3" xfId="48" xr:uid="{2240E315-42A1-4544-95B9-E40705D86424}"/>
    <cellStyle name="Millares [0] 3 2 3 2" xfId="49" xr:uid="{31A4C863-4D1D-4990-9A3D-0EB3B17F1934}"/>
    <cellStyle name="Millares [0] 3 2 3 2 2" xfId="50" xr:uid="{E8C8FFE7-05F7-46E6-A2EC-B22F53DC3AA2}"/>
    <cellStyle name="Millares [0] 3 2 3 2 2 2" xfId="51" xr:uid="{C22A825E-B2F0-42BF-A260-B83F2BD1162E}"/>
    <cellStyle name="Millares [0] 3 2 3 2 3" xfId="52" xr:uid="{7C896D9F-0F41-440E-9752-7D66C3958F1D}"/>
    <cellStyle name="Millares [0] 3 3" xfId="53" xr:uid="{55CCE6E9-2930-4EEB-B0C5-5018CCD07AF1}"/>
    <cellStyle name="Millares [0] 3 3 2" xfId="54" xr:uid="{FF85EAE6-0DD3-4F1E-9252-630741128B6D}"/>
    <cellStyle name="Millares [0] 3 4" xfId="45" xr:uid="{04960835-892D-4F72-A6E1-FCAEBAB8A49C}"/>
    <cellStyle name="Millares [0] 4" xfId="29" xr:uid="{B1B841B6-EDAB-402B-B2F7-32775ED75543}"/>
    <cellStyle name="Millares [0] 4 2" xfId="56" xr:uid="{AE0921A7-3430-4B5E-B6C4-347B25577AA3}"/>
    <cellStyle name="Millares [0] 4 3" xfId="55" xr:uid="{67F58CA3-A2B0-49D6-A5EC-A9E5A86A0CB8}"/>
    <cellStyle name="Millares [0] 5" xfId="57" xr:uid="{B453C8D7-F16C-42DB-9C8C-D98E8C810BFB}"/>
    <cellStyle name="Millares 10" xfId="58" xr:uid="{16547AE2-3E9C-4993-8D2D-14C02F0554F6}"/>
    <cellStyle name="Millares 11" xfId="59" xr:uid="{1FDEC9E0-F7F1-4FDF-AC4E-E92E2A299061}"/>
    <cellStyle name="Millares 12" xfId="60" xr:uid="{3616D455-D93B-441A-8AE2-4C9948AB1253}"/>
    <cellStyle name="Millares 13" xfId="61" xr:uid="{11DCCA60-856E-44F0-81A1-C3B755E91AF9}"/>
    <cellStyle name="Millares 14" xfId="62" xr:uid="{78E1CB5C-876D-4F16-A999-746123188CAC}"/>
    <cellStyle name="Millares 15" xfId="63" xr:uid="{C571C23D-4FA4-430F-BCC1-8DD97CBEF8B7}"/>
    <cellStyle name="Millares 16" xfId="64" xr:uid="{B8C2C931-50A7-46B3-820D-7498464A16C2}"/>
    <cellStyle name="Millares 17" xfId="65" xr:uid="{B0F13160-11FD-4941-B7D2-66714CD5AE34}"/>
    <cellStyle name="Millares 18" xfId="66" xr:uid="{F8C3D26F-CA1A-4DBF-A8C1-7E6EB81893C2}"/>
    <cellStyle name="Millares 19" xfId="67" xr:uid="{19E2AB56-1D09-4856-8EB8-9A6AFCF40DE4}"/>
    <cellStyle name="Millares 2" xfId="9" xr:uid="{B84EA416-8284-47CC-AB75-D1A34D20C40E}"/>
    <cellStyle name="Millares 2 2" xfId="10" xr:uid="{C41AD38F-2BE1-4951-AD69-B5F9F5425CBF}"/>
    <cellStyle name="Millares 2 2 2" xfId="23" xr:uid="{9B9E0A75-3963-460C-8289-096B4768B259}"/>
    <cellStyle name="Millares 2 2 2 2" xfId="71" xr:uid="{6163865F-325A-46ED-AF24-0B603EAC8DF5}"/>
    <cellStyle name="Millares 2 2 2 3" xfId="70" xr:uid="{243649C7-EDEE-4EFF-B59D-A72165BE173E}"/>
    <cellStyle name="Millares 2 2 3" xfId="72" xr:uid="{BC537BED-175A-43D4-BB95-E9AE30D5B321}"/>
    <cellStyle name="Millares 2 2 4" xfId="69" xr:uid="{820901BC-176B-4286-8BCD-83B2EF064863}"/>
    <cellStyle name="Millares 2 3" xfId="22" xr:uid="{DA93973E-76EB-4152-90D7-689B2F406D06}"/>
    <cellStyle name="Millares 2 3 2" xfId="74" xr:uid="{220C7F95-9DF5-40B1-9E9B-055FF9A029C6}"/>
    <cellStyle name="Millares 2 3 3" xfId="73" xr:uid="{7FC46D06-EABE-4463-85D1-63EE02640562}"/>
    <cellStyle name="Millares 2 4" xfId="75" xr:uid="{1C75D04B-F59E-400B-8D04-2FCAE89AF6A1}"/>
    <cellStyle name="Millares 2 5" xfId="68" xr:uid="{ECD2133C-2EA2-4E03-B4DB-576D5EAE90C6}"/>
    <cellStyle name="Millares 20" xfId="76" xr:uid="{E80A6AE0-C27F-4FB1-AFB7-B038999FF838}"/>
    <cellStyle name="Millares 21" xfId="77" xr:uid="{D65C9344-974F-4C21-8754-170B5E570F16}"/>
    <cellStyle name="Millares 22" xfId="78" xr:uid="{DC70BD7B-4E10-4418-A2A1-BA001818A2A4}"/>
    <cellStyle name="Millares 23" xfId="79" xr:uid="{0E820FAF-F75E-4E35-AC2B-EF2AE758D7E8}"/>
    <cellStyle name="Millares 24" xfId="80" xr:uid="{A47C8114-EF29-4814-B76E-EC41ECD93973}"/>
    <cellStyle name="Millares 25" xfId="81" xr:uid="{2D297A4E-F431-4CA1-A74C-0869BE1C5079}"/>
    <cellStyle name="Millares 26" xfId="82" xr:uid="{5C0DC7DB-F76F-4DA2-82EF-EAD81626150E}"/>
    <cellStyle name="Millares 27" xfId="32" xr:uid="{BE6EDE65-E830-444E-891D-C9143618E404}"/>
    <cellStyle name="Millares 28" xfId="107" xr:uid="{0BA7C7EB-F02F-4B89-8F8D-7930AA168F86}"/>
    <cellStyle name="Millares 3" xfId="11" xr:uid="{38EEB686-439F-4BFB-B70B-68183CE29A27}"/>
    <cellStyle name="Millares 3 2" xfId="12" xr:uid="{E1F8E02A-C10B-4A9D-BBB6-DE6066150BB3}"/>
    <cellStyle name="Millares 3 2 2" xfId="25" xr:uid="{3641A7E2-884B-4D2E-8D76-4DBAF7E559FF}"/>
    <cellStyle name="Millares 3 2 2 2" xfId="85" xr:uid="{81E13EDA-DC0B-4C4F-B570-7AE1B7A72153}"/>
    <cellStyle name="Millares 3 2 3" xfId="84" xr:uid="{CF1FAA17-87AC-411A-BA42-EDFB6F6E8694}"/>
    <cellStyle name="Millares 3 3" xfId="24" xr:uid="{1EACA564-02E8-4D2C-B496-824BAE7C0620}"/>
    <cellStyle name="Millares 3 3 2" xfId="87" xr:uid="{66D263DB-6CD9-474C-9915-208826BDAD3D}"/>
    <cellStyle name="Millares 3 3 3" xfId="86" xr:uid="{600881DC-D641-4C28-A6C4-FA9A0BF5BC7F}"/>
    <cellStyle name="Millares 3 4" xfId="88" xr:uid="{5BDDBAE3-4DAA-4DE1-9895-73DB3B4B7653}"/>
    <cellStyle name="Millares 3 5" xfId="83" xr:uid="{275CB2BB-47F0-4611-90FD-609C067BF42E}"/>
    <cellStyle name="Millares 4" xfId="89" xr:uid="{DCFA3DA3-B018-4413-8801-7A7B30FEADBB}"/>
    <cellStyle name="Millares 4 2" xfId="90" xr:uid="{A8DC320F-5007-4C37-8BB2-78D53D7E42F6}"/>
    <cellStyle name="Millares 5" xfId="91" xr:uid="{406A498E-6E16-485A-B800-4C3367D21214}"/>
    <cellStyle name="Millares 5 2" xfId="92" xr:uid="{FF64D890-685D-48B4-B94E-80AB4B61F353}"/>
    <cellStyle name="Millares 5 3" xfId="93" xr:uid="{3541B5B3-CF0C-4587-A778-5E6240CD3543}"/>
    <cellStyle name="Millares 6" xfId="94" xr:uid="{F271406D-9F9D-4041-8241-1C2A990BE979}"/>
    <cellStyle name="Millares 7" xfId="95" xr:uid="{DB08E15D-19C4-4FCF-94CA-EE09869D81F7}"/>
    <cellStyle name="Millares 8" xfId="96" xr:uid="{EF6562CC-099C-441B-B709-2A5BE28D2132}"/>
    <cellStyle name="Millares 9" xfId="97" xr:uid="{BF5260DD-7734-4BC5-9B71-3E63FA3A23B2}"/>
    <cellStyle name="Normal" xfId="0" builtinId="0"/>
    <cellStyle name="Normal 2" xfId="2" xr:uid="{00000000-0005-0000-0000-000002000000}"/>
    <cellStyle name="Normal 2 2" xfId="99" xr:uid="{53D08433-262D-4472-94C1-ADEDA3AB404A}"/>
    <cellStyle name="Normal 2 3" xfId="98" xr:uid="{5C1C64C9-0300-4C83-B6CD-070427ECC1A7}"/>
    <cellStyle name="Normal 3" xfId="3" xr:uid="{00000000-0005-0000-0000-000003000000}"/>
    <cellStyle name="Normal 3 2" xfId="27" xr:uid="{C8504BD6-0353-4644-B4C0-795E063E0365}"/>
    <cellStyle name="Normal 3 2 2" xfId="101" xr:uid="{208EA502-6F9D-45A7-ADA2-21733784413A}"/>
    <cellStyle name="Normal 3 3" xfId="102" xr:uid="{C6FA5DE1-CE00-4C59-B4B4-560C03634ED8}"/>
    <cellStyle name="Normal 3 4" xfId="100" xr:uid="{D4B8AF8D-A297-438B-A128-B7033AEBE450}"/>
    <cellStyle name="Normal 4" xfId="4" xr:uid="{54ECF4E3-C537-4085-A54D-2AE7B56A1874}"/>
    <cellStyle name="Normal 4 2" xfId="17" xr:uid="{1DDBE4C5-2B05-4F14-BE57-63C6905D1F7F}"/>
    <cellStyle name="Normal 4 2 2" xfId="103" xr:uid="{F5003E04-E808-4A2D-B2F3-40DC98FB6682}"/>
    <cellStyle name="Normal 5" xfId="13" xr:uid="{F93D5C10-D605-4FC8-93D3-A14DE4AD9D23}"/>
    <cellStyle name="Normal 5 2" xfId="104" xr:uid="{0E97E1EB-6AC8-4E22-9C96-27514A8E1079}"/>
    <cellStyle name="Normal 6" xfId="105" xr:uid="{8B71EDEB-E116-4E50-A134-66CF1676E45B}"/>
    <cellStyle name="Normal 7" xfId="31" xr:uid="{C17ADC6E-D78B-4AE0-823D-EEC0D6F8E4ED}"/>
    <cellStyle name="Normal_CRITERIOS DE EVALUACION PT DE GB 2" xfId="1" xr:uid="{00000000-0005-0000-0000-000004000000}"/>
    <cellStyle name="Porcentaje 2" xfId="14" xr:uid="{73071756-8C09-437D-A786-5584964DEC7A}"/>
    <cellStyle name="Porcentaje 2 2" xfId="15" xr:uid="{2DBE93A5-B925-4921-AED2-193F161EBAC2}"/>
    <cellStyle name="Porcentaje 2 2 2" xfId="28" xr:uid="{2C911AE8-4DBA-4DDE-93EB-4FF07A8F4861}"/>
    <cellStyle name="Porcentaje 3" xfId="108" xr:uid="{F53869AA-15E6-44C4-A62C-D2243D8CCEDF}"/>
    <cellStyle name="Porcentaje 3 2" xfId="109" xr:uid="{88DF6331-0813-4526-B3AC-98F6550AF191}"/>
    <cellStyle name="Porcentaje 3 2 2" xfId="110" xr:uid="{364863E6-8BD7-4EBA-87AB-BC6F8552C52A}"/>
    <cellStyle name="Porcentaje 4" xfId="111" xr:uid="{7DB49E81-2389-4EA6-8D94-1D2B6CD5F6CB}"/>
    <cellStyle name="Porcentaje 5" xfId="106" xr:uid="{0752303C-589F-4AC2-A081-E503F7960F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71438</xdr:colOff>
      <xdr:row>0</xdr:row>
      <xdr:rowOff>166685</xdr:rowOff>
    </xdr:from>
    <xdr:to>
      <xdr:col>1</xdr:col>
      <xdr:colOff>1095374</xdr:colOff>
      <xdr:row>4</xdr:row>
      <xdr:rowOff>74928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688676C5-5706-49A4-B8AB-7B5B5E6FA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8" y="166685"/>
          <a:ext cx="2143124" cy="9678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921C7-D863-4624-A26A-25EBE78C34D4}">
  <sheetPr>
    <pageSetUpPr fitToPage="1"/>
  </sheetPr>
  <dimension ref="A1:I59"/>
  <sheetViews>
    <sheetView tabSelected="1" zoomScale="80" zoomScaleNormal="80" workbookViewId="0">
      <selection activeCell="D24" sqref="D24"/>
    </sheetView>
  </sheetViews>
  <sheetFormatPr baseColWidth="10" defaultRowHeight="14.4" x14ac:dyDescent="0.3"/>
  <cols>
    <col min="1" max="1" width="16.88671875" bestFit="1" customWidth="1"/>
    <col min="2" max="2" width="17" customWidth="1"/>
    <col min="3" max="3" width="74.44140625" customWidth="1"/>
    <col min="4" max="4" width="37.6640625" customWidth="1"/>
    <col min="5" max="5" width="13.88671875" customWidth="1"/>
    <col min="7" max="7" width="21.44140625" customWidth="1"/>
    <col min="8" max="8" width="25.88671875" customWidth="1"/>
    <col min="9" max="9" width="17.44140625" bestFit="1" customWidth="1"/>
  </cols>
  <sheetData>
    <row r="1" spans="1:9" ht="15.6" x14ac:dyDescent="0.3">
      <c r="A1" s="174"/>
      <c r="B1" s="175"/>
      <c r="C1" s="180" t="s">
        <v>60</v>
      </c>
      <c r="D1" s="180"/>
      <c r="E1" s="180"/>
      <c r="F1" s="180"/>
      <c r="G1" s="180"/>
      <c r="H1" s="1" t="s">
        <v>34</v>
      </c>
      <c r="I1" s="3" t="s">
        <v>72</v>
      </c>
    </row>
    <row r="2" spans="1:9" ht="18" customHeight="1" thickBot="1" x14ac:dyDescent="0.35">
      <c r="A2" s="176"/>
      <c r="B2" s="177"/>
      <c r="C2" s="181" t="s">
        <v>0</v>
      </c>
      <c r="D2" s="182"/>
      <c r="E2" s="182"/>
      <c r="F2" s="182"/>
      <c r="G2" s="183"/>
      <c r="H2" s="2" t="s">
        <v>35</v>
      </c>
      <c r="I2" s="4" t="s">
        <v>96</v>
      </c>
    </row>
    <row r="3" spans="1:9" ht="31.5" customHeight="1" thickBot="1" x14ac:dyDescent="0.35">
      <c r="A3" s="176"/>
      <c r="B3" s="177"/>
      <c r="C3" s="184" t="s">
        <v>97</v>
      </c>
      <c r="D3" s="184"/>
      <c r="E3" s="184"/>
      <c r="F3" s="184"/>
      <c r="G3" s="185"/>
      <c r="H3" s="186" t="s">
        <v>36</v>
      </c>
      <c r="I3" s="165">
        <v>45663</v>
      </c>
    </row>
    <row r="4" spans="1:9" ht="18" customHeight="1" x14ac:dyDescent="0.3">
      <c r="A4" s="176"/>
      <c r="B4" s="177"/>
      <c r="C4" s="5" t="s">
        <v>61</v>
      </c>
      <c r="D4" s="168" t="s">
        <v>62</v>
      </c>
      <c r="E4" s="169"/>
      <c r="F4" s="169"/>
      <c r="G4" s="170"/>
      <c r="H4" s="187"/>
      <c r="I4" s="166"/>
    </row>
    <row r="5" spans="1:9" ht="15" thickBot="1" x14ac:dyDescent="0.35">
      <c r="A5" s="178"/>
      <c r="B5" s="179"/>
      <c r="C5" s="6" t="s">
        <v>63</v>
      </c>
      <c r="D5" s="171" t="s">
        <v>1</v>
      </c>
      <c r="E5" s="172"/>
      <c r="F5" s="172"/>
      <c r="G5" s="173"/>
      <c r="H5" s="188"/>
      <c r="I5" s="167"/>
    </row>
    <row r="6" spans="1:9" ht="18" thickBot="1" x14ac:dyDescent="0.35">
      <c r="A6" s="156" t="s">
        <v>2</v>
      </c>
      <c r="B6" s="156"/>
      <c r="C6" s="156"/>
      <c r="D6" s="157" t="s">
        <v>16</v>
      </c>
      <c r="E6" s="157"/>
      <c r="F6" s="157"/>
      <c r="G6" s="158" t="s">
        <v>4</v>
      </c>
      <c r="H6" s="158"/>
      <c r="I6" s="11" t="s">
        <v>3</v>
      </c>
    </row>
    <row r="7" spans="1:9" ht="25.2" x14ac:dyDescent="0.3">
      <c r="A7" s="159" t="s">
        <v>5</v>
      </c>
      <c r="B7" s="161" t="s">
        <v>64</v>
      </c>
      <c r="C7" s="163" t="s">
        <v>6</v>
      </c>
      <c r="D7" s="163" t="s">
        <v>7</v>
      </c>
      <c r="E7" s="163" t="s">
        <v>8</v>
      </c>
      <c r="F7" s="163"/>
      <c r="G7" s="163" t="s">
        <v>65</v>
      </c>
      <c r="H7" s="163"/>
      <c r="I7" s="7" t="s">
        <v>9</v>
      </c>
    </row>
    <row r="8" spans="1:9" ht="31.5" customHeight="1" thickBot="1" x14ac:dyDescent="0.35">
      <c r="A8" s="160"/>
      <c r="B8" s="162"/>
      <c r="C8" s="164"/>
      <c r="D8" s="164"/>
      <c r="E8" s="8" t="s">
        <v>10</v>
      </c>
      <c r="F8" s="9" t="s">
        <v>11</v>
      </c>
      <c r="G8" s="8" t="s">
        <v>10</v>
      </c>
      <c r="H8" s="9" t="s">
        <v>11</v>
      </c>
      <c r="I8" s="10" t="s">
        <v>12</v>
      </c>
    </row>
    <row r="9" spans="1:9" ht="18" customHeight="1" x14ac:dyDescent="0.4">
      <c r="A9" s="12"/>
      <c r="B9" s="13"/>
      <c r="C9" s="14" t="s">
        <v>15</v>
      </c>
      <c r="D9" s="15"/>
      <c r="E9" s="16"/>
      <c r="F9" s="17"/>
      <c r="G9" s="16"/>
      <c r="H9" s="17"/>
      <c r="I9" s="18"/>
    </row>
    <row r="10" spans="1:9" ht="20.399999999999999" x14ac:dyDescent="0.35">
      <c r="A10" s="19">
        <v>907000267</v>
      </c>
      <c r="B10" s="20" t="s">
        <v>50</v>
      </c>
      <c r="C10" s="21" t="s">
        <v>73</v>
      </c>
      <c r="D10" s="22" t="s">
        <v>13</v>
      </c>
      <c r="E10" s="23">
        <v>375</v>
      </c>
      <c r="F10" s="24" t="s">
        <v>14</v>
      </c>
      <c r="G10" s="25"/>
      <c r="H10" s="26" t="s">
        <v>66</v>
      </c>
      <c r="I10" s="18"/>
    </row>
    <row r="11" spans="1:9" ht="20.399999999999999" x14ac:dyDescent="0.35">
      <c r="A11" s="19">
        <v>90100365</v>
      </c>
      <c r="B11" s="27" t="s">
        <v>93</v>
      </c>
      <c r="C11" s="28" t="s">
        <v>94</v>
      </c>
      <c r="D11" s="22" t="s">
        <v>13</v>
      </c>
      <c r="E11" s="29">
        <v>115</v>
      </c>
      <c r="F11" s="30" t="s">
        <v>14</v>
      </c>
      <c r="G11" s="31"/>
      <c r="H11" s="26" t="s">
        <v>67</v>
      </c>
      <c r="I11" s="18"/>
    </row>
    <row r="12" spans="1:9" ht="20.399999999999999" x14ac:dyDescent="0.35">
      <c r="A12" s="32">
        <v>20100163</v>
      </c>
      <c r="B12" s="33" t="s">
        <v>51</v>
      </c>
      <c r="C12" s="34" t="s">
        <v>37</v>
      </c>
      <c r="D12" s="35" t="s">
        <v>13</v>
      </c>
      <c r="E12" s="36">
        <v>80</v>
      </c>
      <c r="F12" s="37" t="s">
        <v>14</v>
      </c>
      <c r="G12" s="38"/>
      <c r="H12" s="26" t="s">
        <v>77</v>
      </c>
      <c r="I12" s="18"/>
    </row>
    <row r="13" spans="1:9" ht="20.399999999999999" x14ac:dyDescent="0.35">
      <c r="A13" s="39"/>
      <c r="B13" s="40"/>
      <c r="C13" s="41"/>
      <c r="D13" s="31"/>
      <c r="E13" s="31"/>
      <c r="F13" s="42"/>
      <c r="G13" s="31"/>
      <c r="H13" s="26"/>
      <c r="I13" s="18"/>
    </row>
    <row r="14" spans="1:9" ht="20.399999999999999" x14ac:dyDescent="0.35">
      <c r="A14" s="43"/>
      <c r="B14" s="40"/>
      <c r="C14" s="44"/>
      <c r="D14" s="31"/>
      <c r="E14" s="31"/>
      <c r="F14" s="42"/>
      <c r="G14" s="31"/>
      <c r="H14" s="26"/>
      <c r="I14" s="18"/>
    </row>
    <row r="15" spans="1:9" ht="21" x14ac:dyDescent="0.4">
      <c r="A15" s="31"/>
      <c r="B15" s="31"/>
      <c r="C15" s="45"/>
      <c r="D15" s="46"/>
      <c r="E15" s="46"/>
      <c r="F15" s="25"/>
      <c r="G15" s="31"/>
      <c r="H15" s="26"/>
      <c r="I15" s="18"/>
    </row>
    <row r="16" spans="1:9" ht="20.399999999999999" x14ac:dyDescent="0.35">
      <c r="A16" s="40"/>
      <c r="B16" s="40"/>
      <c r="C16" s="47"/>
      <c r="D16" s="31"/>
      <c r="E16" s="31"/>
      <c r="F16" s="42"/>
      <c r="G16" s="31"/>
      <c r="H16" s="26"/>
      <c r="I16" s="18"/>
    </row>
    <row r="17" spans="1:9" ht="20.399999999999999" x14ac:dyDescent="0.35">
      <c r="A17" s="39"/>
      <c r="B17" s="40"/>
      <c r="C17" s="41"/>
      <c r="D17" s="31"/>
      <c r="E17" s="31"/>
      <c r="F17" s="42"/>
      <c r="G17" s="31"/>
      <c r="H17" s="26"/>
      <c r="I17" s="18"/>
    </row>
    <row r="18" spans="1:9" ht="21" x14ac:dyDescent="0.4">
      <c r="A18" s="48"/>
      <c r="B18" s="48"/>
      <c r="C18" s="49"/>
      <c r="D18" s="50"/>
      <c r="E18" s="51"/>
      <c r="F18" s="52"/>
      <c r="G18" s="16"/>
      <c r="H18" s="26"/>
      <c r="I18" s="18"/>
    </row>
    <row r="19" spans="1:9" ht="21" x14ac:dyDescent="0.4">
      <c r="A19" s="53"/>
      <c r="B19" s="54"/>
      <c r="C19" s="55" t="s">
        <v>16</v>
      </c>
      <c r="D19" s="56"/>
      <c r="E19" s="57"/>
      <c r="F19" s="58"/>
      <c r="G19" s="16"/>
      <c r="H19" s="17"/>
      <c r="I19" s="18"/>
    </row>
    <row r="20" spans="1:9" ht="21" x14ac:dyDescent="0.4">
      <c r="A20" s="19">
        <v>20100163</v>
      </c>
      <c r="B20" s="59" t="s">
        <v>51</v>
      </c>
      <c r="C20" s="21" t="s">
        <v>37</v>
      </c>
      <c r="D20" s="22" t="s">
        <v>78</v>
      </c>
      <c r="E20" s="29">
        <v>150</v>
      </c>
      <c r="F20" s="30" t="s">
        <v>14</v>
      </c>
      <c r="G20" s="16"/>
      <c r="H20" s="17"/>
      <c r="I20" s="18"/>
    </row>
    <row r="21" spans="1:9" ht="42" x14ac:dyDescent="0.4">
      <c r="A21" s="19">
        <v>11400066</v>
      </c>
      <c r="B21" s="59" t="s">
        <v>74</v>
      </c>
      <c r="C21" s="21" t="s">
        <v>75</v>
      </c>
      <c r="D21" s="22" t="s">
        <v>76</v>
      </c>
      <c r="E21" s="51">
        <v>60</v>
      </c>
      <c r="F21" s="30" t="s">
        <v>14</v>
      </c>
      <c r="G21" s="16"/>
      <c r="H21" s="17" t="s">
        <v>79</v>
      </c>
      <c r="I21" s="18"/>
    </row>
    <row r="22" spans="1:9" ht="21" x14ac:dyDescent="0.4">
      <c r="A22" s="19">
        <v>908000032</v>
      </c>
      <c r="B22" s="59" t="s">
        <v>80</v>
      </c>
      <c r="C22" s="21" t="s">
        <v>81</v>
      </c>
      <c r="D22" s="22" t="s">
        <v>13</v>
      </c>
      <c r="E22" s="29">
        <v>40</v>
      </c>
      <c r="F22" s="30" t="s">
        <v>14</v>
      </c>
      <c r="G22" s="16"/>
      <c r="H22" s="17" t="s">
        <v>82</v>
      </c>
      <c r="I22" s="18"/>
    </row>
    <row r="23" spans="1:9" ht="42" x14ac:dyDescent="0.4">
      <c r="A23" s="19">
        <v>902000149</v>
      </c>
      <c r="B23" s="59" t="s">
        <v>83</v>
      </c>
      <c r="C23" s="21" t="s">
        <v>84</v>
      </c>
      <c r="D23" s="22" t="s">
        <v>13</v>
      </c>
      <c r="E23" s="60">
        <v>5</v>
      </c>
      <c r="F23" s="61" t="s">
        <v>14</v>
      </c>
      <c r="G23" s="16"/>
      <c r="H23" s="17" t="s">
        <v>85</v>
      </c>
      <c r="I23" s="18"/>
    </row>
    <row r="24" spans="1:9" ht="21" x14ac:dyDescent="0.4">
      <c r="A24" s="19">
        <v>10700013</v>
      </c>
      <c r="B24" s="59" t="s">
        <v>52</v>
      </c>
      <c r="C24" s="21" t="s">
        <v>38</v>
      </c>
      <c r="D24" s="22" t="s">
        <v>68</v>
      </c>
      <c r="E24" s="23" t="s">
        <v>49</v>
      </c>
      <c r="F24" s="61" t="s">
        <v>17</v>
      </c>
      <c r="G24" s="16"/>
      <c r="H24" s="17"/>
      <c r="I24" s="18"/>
    </row>
    <row r="25" spans="1:9" ht="21" x14ac:dyDescent="0.4">
      <c r="A25" s="62"/>
      <c r="B25" s="62"/>
      <c r="C25" s="38"/>
      <c r="D25" s="63"/>
      <c r="E25" s="64"/>
      <c r="F25" s="65"/>
      <c r="G25" s="16"/>
      <c r="H25" s="17"/>
      <c r="I25" s="18"/>
    </row>
    <row r="26" spans="1:9" ht="21" x14ac:dyDescent="0.4">
      <c r="A26" s="48"/>
      <c r="B26" s="48"/>
      <c r="C26" s="49"/>
      <c r="D26" s="66"/>
      <c r="E26" s="67"/>
      <c r="F26" s="65"/>
      <c r="G26" s="16"/>
      <c r="H26" s="17"/>
      <c r="I26" s="18"/>
    </row>
    <row r="27" spans="1:9" ht="21" x14ac:dyDescent="0.4">
      <c r="A27" s="48"/>
      <c r="B27" s="48"/>
      <c r="C27" s="49"/>
      <c r="D27" s="66"/>
      <c r="E27" s="51"/>
      <c r="F27" s="52"/>
      <c r="G27" s="16"/>
      <c r="H27" s="17"/>
      <c r="I27" s="18"/>
    </row>
    <row r="28" spans="1:9" ht="21" x14ac:dyDescent="0.4">
      <c r="A28" s="68"/>
      <c r="B28" s="69"/>
      <c r="C28" s="70" t="s">
        <v>18</v>
      </c>
      <c r="D28" s="71"/>
      <c r="E28" s="72"/>
      <c r="F28" s="17"/>
      <c r="G28" s="16"/>
      <c r="H28" s="38"/>
      <c r="I28" s="18"/>
    </row>
    <row r="29" spans="1:9" ht="21" x14ac:dyDescent="0.4">
      <c r="A29" s="53">
        <v>51400021</v>
      </c>
      <c r="B29" s="54" t="s">
        <v>86</v>
      </c>
      <c r="C29" s="73" t="s">
        <v>87</v>
      </c>
      <c r="D29" s="74" t="s">
        <v>21</v>
      </c>
      <c r="E29" s="75">
        <v>1</v>
      </c>
      <c r="F29" s="74" t="s">
        <v>17</v>
      </c>
      <c r="G29" s="76"/>
      <c r="H29" s="17"/>
      <c r="I29" s="18"/>
    </row>
    <row r="30" spans="1:9" ht="21" x14ac:dyDescent="0.4">
      <c r="A30" s="74">
        <v>702182</v>
      </c>
      <c r="B30" s="74" t="s">
        <v>53</v>
      </c>
      <c r="C30" s="73" t="s">
        <v>19</v>
      </c>
      <c r="D30" s="77" t="s">
        <v>69</v>
      </c>
      <c r="E30" s="78">
        <v>1</v>
      </c>
      <c r="F30" s="79" t="s">
        <v>17</v>
      </c>
      <c r="G30" s="76"/>
      <c r="H30" s="17"/>
      <c r="I30" s="18"/>
    </row>
    <row r="31" spans="1:9" ht="21" x14ac:dyDescent="0.4">
      <c r="A31" s="74">
        <v>703020</v>
      </c>
      <c r="B31" s="74" t="s">
        <v>54</v>
      </c>
      <c r="C31" s="73" t="s">
        <v>20</v>
      </c>
      <c r="D31" s="77" t="s">
        <v>21</v>
      </c>
      <c r="E31" s="78">
        <v>60</v>
      </c>
      <c r="F31" s="79" t="s">
        <v>22</v>
      </c>
      <c r="G31" s="76"/>
      <c r="H31" s="17"/>
      <c r="I31" s="18"/>
    </row>
    <row r="32" spans="1:9" ht="21" x14ac:dyDescent="0.4">
      <c r="A32" s="80">
        <v>701096</v>
      </c>
      <c r="B32" s="80" t="s">
        <v>55</v>
      </c>
      <c r="C32" s="81" t="s">
        <v>24</v>
      </c>
      <c r="D32" s="31" t="s">
        <v>25</v>
      </c>
      <c r="E32" s="82">
        <v>1</v>
      </c>
      <c r="F32" s="42" t="s">
        <v>17</v>
      </c>
      <c r="G32" s="16"/>
      <c r="H32" s="17"/>
      <c r="I32" s="18"/>
    </row>
    <row r="33" spans="1:9" ht="21" x14ac:dyDescent="0.4">
      <c r="A33" s="80" t="s">
        <v>58</v>
      </c>
      <c r="B33" s="80" t="s">
        <v>59</v>
      </c>
      <c r="C33" s="83" t="s">
        <v>70</v>
      </c>
      <c r="D33" s="31" t="s">
        <v>23</v>
      </c>
      <c r="E33" s="31">
        <v>1</v>
      </c>
      <c r="F33" s="42" t="s">
        <v>17</v>
      </c>
      <c r="G33" s="16"/>
      <c r="H33" s="17"/>
      <c r="I33" s="18"/>
    </row>
    <row r="34" spans="1:9" ht="21" x14ac:dyDescent="0.4">
      <c r="A34" s="80" t="s">
        <v>47</v>
      </c>
      <c r="B34" s="80" t="s">
        <v>56</v>
      </c>
      <c r="C34" s="83" t="s">
        <v>71</v>
      </c>
      <c r="D34" s="31" t="s">
        <v>48</v>
      </c>
      <c r="E34" s="31">
        <v>1</v>
      </c>
      <c r="F34" s="42" t="s">
        <v>88</v>
      </c>
      <c r="G34" s="84"/>
      <c r="H34" s="17"/>
      <c r="I34" s="18"/>
    </row>
    <row r="35" spans="1:9" ht="21" x14ac:dyDescent="0.4">
      <c r="A35" s="85">
        <v>702123</v>
      </c>
      <c r="B35" s="86" t="s">
        <v>57</v>
      </c>
      <c r="C35" s="87" t="s">
        <v>26</v>
      </c>
      <c r="D35" s="88" t="s">
        <v>23</v>
      </c>
      <c r="E35" s="88">
        <v>1</v>
      </c>
      <c r="F35" s="89" t="s">
        <v>17</v>
      </c>
      <c r="G35" s="75"/>
      <c r="H35" s="17"/>
      <c r="I35" s="18"/>
    </row>
    <row r="36" spans="1:9" ht="21" x14ac:dyDescent="0.4">
      <c r="A36" s="53"/>
      <c r="B36" s="54"/>
      <c r="C36" s="73"/>
      <c r="D36" s="31"/>
      <c r="E36" s="75"/>
      <c r="F36" s="58"/>
      <c r="G36" s="75"/>
      <c r="H36" s="17"/>
      <c r="I36" s="18"/>
    </row>
    <row r="37" spans="1:9" ht="21" x14ac:dyDescent="0.4">
      <c r="A37" s="80" t="s">
        <v>47</v>
      </c>
      <c r="B37" s="80" t="s">
        <v>56</v>
      </c>
      <c r="C37" s="81" t="s">
        <v>71</v>
      </c>
      <c r="D37" s="31" t="s">
        <v>48</v>
      </c>
      <c r="E37" s="31">
        <v>1</v>
      </c>
      <c r="F37" s="42" t="s">
        <v>17</v>
      </c>
      <c r="G37" s="84"/>
      <c r="H37" s="17"/>
      <c r="I37" s="18"/>
    </row>
    <row r="38" spans="1:9" ht="21" x14ac:dyDescent="0.4">
      <c r="A38" s="85">
        <v>702123</v>
      </c>
      <c r="B38" s="86" t="s">
        <v>57</v>
      </c>
      <c r="C38" s="90" t="s">
        <v>26</v>
      </c>
      <c r="D38" s="88" t="s">
        <v>23</v>
      </c>
      <c r="E38" s="88">
        <v>1</v>
      </c>
      <c r="F38" s="89" t="s">
        <v>17</v>
      </c>
      <c r="G38" s="75"/>
      <c r="H38" s="17"/>
      <c r="I38" s="18"/>
    </row>
    <row r="39" spans="1:9" ht="21" x14ac:dyDescent="0.4">
      <c r="A39" s="53"/>
      <c r="B39" s="54"/>
      <c r="C39" s="73"/>
      <c r="D39" s="31"/>
      <c r="E39" s="75"/>
      <c r="F39" s="58"/>
      <c r="G39" s="75"/>
      <c r="H39" s="17" t="str">
        <f t="shared" ref="H39" si="0">UPPER(D39)</f>
        <v/>
      </c>
      <c r="I39" s="18"/>
    </row>
    <row r="40" spans="1:9" ht="20.399999999999999" x14ac:dyDescent="0.35">
      <c r="A40" s="53"/>
      <c r="B40" s="54"/>
      <c r="C40" s="73"/>
      <c r="D40" s="56"/>
      <c r="E40" s="56"/>
      <c r="F40" s="58"/>
      <c r="G40" s="56"/>
      <c r="H40" s="56"/>
      <c r="I40" s="18"/>
    </row>
    <row r="41" spans="1:9" ht="21" thickBot="1" x14ac:dyDescent="0.4">
      <c r="A41" s="91"/>
      <c r="B41" s="92"/>
      <c r="C41" s="93"/>
      <c r="D41" s="93"/>
      <c r="E41" s="94"/>
      <c r="F41" s="95"/>
      <c r="G41" s="93"/>
      <c r="H41" s="93"/>
      <c r="I41" s="96"/>
    </row>
    <row r="42" spans="1:9" ht="21.6" thickBot="1" x14ac:dyDescent="0.45">
      <c r="A42" s="97"/>
      <c r="B42" s="98"/>
      <c r="C42" s="99"/>
      <c r="D42" s="100" t="s">
        <v>10</v>
      </c>
      <c r="E42" s="101" t="s">
        <v>27</v>
      </c>
      <c r="F42" s="102"/>
      <c r="G42" s="99"/>
      <c r="H42" s="99"/>
      <c r="I42" s="103"/>
    </row>
    <row r="43" spans="1:9" ht="21" x14ac:dyDescent="0.4">
      <c r="A43" s="150" t="s">
        <v>29</v>
      </c>
      <c r="B43" s="151"/>
      <c r="C43" s="152"/>
      <c r="D43" s="67">
        <v>726</v>
      </c>
      <c r="E43" s="104" t="s">
        <v>14</v>
      </c>
      <c r="F43" s="153" t="s">
        <v>39</v>
      </c>
      <c r="G43" s="153"/>
      <c r="H43" s="154"/>
      <c r="I43" s="155"/>
    </row>
    <row r="44" spans="1:9" ht="21" x14ac:dyDescent="0.4">
      <c r="A44" s="130" t="s">
        <v>28</v>
      </c>
      <c r="B44" s="131"/>
      <c r="C44" s="132"/>
      <c r="D44" s="105">
        <v>7</v>
      </c>
      <c r="E44" s="31" t="s">
        <v>40</v>
      </c>
      <c r="F44" s="133" t="s">
        <v>41</v>
      </c>
      <c r="G44" s="133"/>
      <c r="H44" s="134"/>
      <c r="I44" s="135"/>
    </row>
    <row r="45" spans="1:9" ht="21" x14ac:dyDescent="0.4">
      <c r="A45" s="130" t="s">
        <v>42</v>
      </c>
      <c r="B45" s="131"/>
      <c r="C45" s="132"/>
      <c r="D45" s="31">
        <v>1</v>
      </c>
      <c r="E45" s="31" t="s">
        <v>43</v>
      </c>
      <c r="F45" s="133" t="s">
        <v>44</v>
      </c>
      <c r="G45" s="133"/>
      <c r="H45" s="134"/>
      <c r="I45" s="135"/>
    </row>
    <row r="46" spans="1:9" ht="21" x14ac:dyDescent="0.4">
      <c r="A46" s="130" t="s">
        <v>45</v>
      </c>
      <c r="B46" s="131"/>
      <c r="C46" s="132"/>
      <c r="D46" s="51">
        <v>726</v>
      </c>
      <c r="E46" s="31" t="s">
        <v>14</v>
      </c>
      <c r="F46" s="136" t="s">
        <v>46</v>
      </c>
      <c r="G46" s="137"/>
      <c r="H46" s="138"/>
      <c r="I46" s="139"/>
    </row>
    <row r="47" spans="1:9" ht="21.6" thickBot="1" x14ac:dyDescent="0.45">
      <c r="A47" s="140" t="s">
        <v>30</v>
      </c>
      <c r="B47" s="141"/>
      <c r="C47" s="142"/>
      <c r="D47" s="106">
        <f>SUM(E10:E24)-D43</f>
        <v>99</v>
      </c>
      <c r="E47" s="107" t="s">
        <v>14</v>
      </c>
      <c r="F47" s="143"/>
      <c r="G47" s="143"/>
      <c r="H47" s="134"/>
      <c r="I47" s="135"/>
    </row>
    <row r="48" spans="1:9" ht="21.6" thickBot="1" x14ac:dyDescent="0.45">
      <c r="A48" s="144" t="s">
        <v>31</v>
      </c>
      <c r="B48" s="145"/>
      <c r="C48" s="145"/>
      <c r="D48" s="145"/>
      <c r="E48" s="145"/>
      <c r="F48" s="145"/>
      <c r="G48" s="145"/>
      <c r="H48" s="145"/>
      <c r="I48" s="146"/>
    </row>
    <row r="49" spans="1:9" ht="20.399999999999999" x14ac:dyDescent="0.35">
      <c r="A49" s="147" t="s">
        <v>89</v>
      </c>
      <c r="B49" s="148"/>
      <c r="C49" s="148"/>
      <c r="D49" s="148"/>
      <c r="E49" s="148"/>
      <c r="F49" s="148"/>
      <c r="G49" s="148"/>
      <c r="H49" s="148"/>
      <c r="I49" s="149"/>
    </row>
    <row r="50" spans="1:9" ht="20.399999999999999" x14ac:dyDescent="0.35">
      <c r="A50" s="127" t="s">
        <v>90</v>
      </c>
      <c r="B50" s="128"/>
      <c r="C50" s="128"/>
      <c r="D50" s="128"/>
      <c r="E50" s="128"/>
      <c r="F50" s="128"/>
      <c r="G50" s="128"/>
      <c r="H50" s="128"/>
      <c r="I50" s="129"/>
    </row>
    <row r="51" spans="1:9" ht="47.25" customHeight="1" x14ac:dyDescent="0.35">
      <c r="A51" s="117" t="s">
        <v>91</v>
      </c>
      <c r="B51" s="118"/>
      <c r="C51" s="118"/>
      <c r="D51" s="118"/>
      <c r="E51" s="118"/>
      <c r="F51" s="118"/>
      <c r="G51" s="118"/>
      <c r="H51" s="118"/>
      <c r="I51" s="119"/>
    </row>
    <row r="52" spans="1:9" ht="21" thickBot="1" x14ac:dyDescent="0.4">
      <c r="A52" s="120" t="s">
        <v>33</v>
      </c>
      <c r="B52" s="121"/>
      <c r="C52" s="121"/>
      <c r="D52" s="121"/>
      <c r="E52" s="121"/>
      <c r="F52" s="121"/>
      <c r="G52" s="121"/>
      <c r="H52" s="121"/>
      <c r="I52" s="122"/>
    </row>
    <row r="53" spans="1:9" ht="20.399999999999999" x14ac:dyDescent="0.35">
      <c r="A53" s="117"/>
      <c r="B53" s="118"/>
      <c r="C53" s="118"/>
      <c r="D53" s="118"/>
      <c r="E53" s="118"/>
      <c r="F53" s="118"/>
      <c r="G53" s="118"/>
      <c r="H53" s="118"/>
      <c r="I53" s="123"/>
    </row>
    <row r="54" spans="1:9" ht="21" thickBot="1" x14ac:dyDescent="0.4">
      <c r="A54" s="124"/>
      <c r="B54" s="125"/>
      <c r="C54" s="125"/>
      <c r="D54" s="125"/>
      <c r="E54" s="125"/>
      <c r="F54" s="125"/>
      <c r="G54" s="125"/>
      <c r="H54" s="125"/>
      <c r="I54" s="126"/>
    </row>
    <row r="55" spans="1:9" ht="21.6" thickBot="1" x14ac:dyDescent="0.45">
      <c r="A55" s="109"/>
      <c r="B55" s="110"/>
      <c r="C55" s="110"/>
      <c r="D55" s="110"/>
      <c r="E55" s="110"/>
      <c r="F55" s="110"/>
      <c r="G55" s="110"/>
      <c r="H55" s="110"/>
      <c r="I55" s="111"/>
    </row>
    <row r="56" spans="1:9" ht="21" x14ac:dyDescent="0.4">
      <c r="A56" s="112" t="s">
        <v>32</v>
      </c>
      <c r="B56" s="113"/>
      <c r="C56" s="113"/>
      <c r="D56" s="113"/>
      <c r="E56" s="113"/>
      <c r="F56" s="113"/>
      <c r="G56" s="113"/>
      <c r="H56" s="113"/>
      <c r="I56" s="113"/>
    </row>
    <row r="57" spans="1:9" ht="20.399999999999999" x14ac:dyDescent="0.35">
      <c r="A57" s="114" t="s">
        <v>92</v>
      </c>
      <c r="B57" s="115"/>
      <c r="C57" s="115"/>
      <c r="D57" s="115"/>
      <c r="E57" s="115"/>
      <c r="F57" s="115"/>
      <c r="G57" s="115"/>
      <c r="H57" s="115"/>
      <c r="I57" s="116"/>
    </row>
    <row r="58" spans="1:9" ht="20.399999999999999" x14ac:dyDescent="0.35">
      <c r="A58" s="108" t="s">
        <v>95</v>
      </c>
      <c r="B58" s="108"/>
      <c r="C58" s="108"/>
      <c r="D58" s="108"/>
      <c r="E58" s="108"/>
      <c r="F58" s="108"/>
      <c r="G58" s="108"/>
      <c r="H58" s="108"/>
      <c r="I58" s="108"/>
    </row>
    <row r="59" spans="1:9" ht="20.399999999999999" x14ac:dyDescent="0.35">
      <c r="A59" s="38"/>
      <c r="B59" s="38"/>
      <c r="C59" s="38"/>
      <c r="D59" s="38"/>
      <c r="E59" s="38"/>
      <c r="F59" s="38"/>
      <c r="G59" s="38"/>
      <c r="H59" s="38"/>
      <c r="I59" s="38"/>
    </row>
  </sheetData>
  <mergeCells count="43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3:C43"/>
    <mergeCell ref="F43:G43"/>
    <mergeCell ref="H43:I43"/>
    <mergeCell ref="A44:C44"/>
    <mergeCell ref="F44:G44"/>
    <mergeCell ref="H44:I44"/>
    <mergeCell ref="A50:I50"/>
    <mergeCell ref="A45:C45"/>
    <mergeCell ref="F45:G45"/>
    <mergeCell ref="H45:I45"/>
    <mergeCell ref="A46:C46"/>
    <mergeCell ref="F46:G46"/>
    <mergeCell ref="H46:I46"/>
    <mergeCell ref="A47:C47"/>
    <mergeCell ref="F47:G47"/>
    <mergeCell ref="H47:I47"/>
    <mergeCell ref="A48:I48"/>
    <mergeCell ref="A49:I49"/>
    <mergeCell ref="A58:I58"/>
    <mergeCell ref="A55:I55"/>
    <mergeCell ref="A56:I56"/>
    <mergeCell ref="A57:I57"/>
    <mergeCell ref="A51:I51"/>
    <mergeCell ref="A52:I52"/>
    <mergeCell ref="A53:I53"/>
    <mergeCell ref="A54:I54"/>
  </mergeCells>
  <pageMargins left="0.25" right="0.25" top="0.75" bottom="0.75" header="0.3" footer="0.3"/>
  <pageSetup scale="4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7E3CF0E9-437A-44E8-8498-EB573E1E04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F461EE7-6DC5-4C61-B091-B43E31E36DB9}"/>
</file>

<file path=customXml/itemProps3.xml><?xml version="1.0" encoding="utf-8"?>
<ds:datastoreItem xmlns:ds="http://schemas.openxmlformats.org/officeDocument/2006/customXml" ds:itemID="{BB0D0029-B592-4232-8892-4963259C08A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Valery Cerdas</cp:lastModifiedBy>
  <cp:lastPrinted>2025-12-09T22:39:37Z</cp:lastPrinted>
  <dcterms:created xsi:type="dcterms:W3CDTF">2021-06-10T18:23:45Z</dcterms:created>
  <dcterms:modified xsi:type="dcterms:W3CDTF">2026-05-07T17:33:42Z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205000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
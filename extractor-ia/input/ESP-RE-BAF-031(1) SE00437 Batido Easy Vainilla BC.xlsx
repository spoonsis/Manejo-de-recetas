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81EEB83B-7B33-4134-A9D3-AC1D07ACD727}" xr6:coauthVersionLast="47" xr6:coauthVersionMax="47" xr10:uidLastSave="{81FDFC56-C5C5-445F-A88A-D4A4054043AB}"/>
  <bookViews>
    <workbookView xWindow="-120" yWindow="-120" windowWidth="20730" windowHeight="11040" xr2:uid="{AFCB2A04-6E56-4337-9180-0E5A89DAAFD0}"/>
  </bookViews>
  <sheets>
    <sheet name="Batido NUevo" sheetId="1" r:id="rId1"/>
  </sheets>
  <definedNames>
    <definedName name="_xlnm.Print_Area" localSheetId="0">'Batido NUevo'!$A$1:$I$33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K11" i="1" s="1"/>
  <c r="J12" i="1"/>
  <c r="K12" i="1" s="1"/>
  <c r="J13" i="1"/>
  <c r="K13" i="1" s="1"/>
  <c r="J14" i="1"/>
  <c r="K14" i="1" s="1"/>
</calcChain>
</file>

<file path=xl/sharedStrings.xml><?xml version="1.0" encoding="utf-8"?>
<sst xmlns="http://schemas.openxmlformats.org/spreadsheetml/2006/main" count="75" uniqueCount="62">
  <si>
    <t>Revision #2: Cambio en el peso del huevo y el agua.</t>
  </si>
  <si>
    <t>CONTROL DE CAMBIOS</t>
  </si>
  <si>
    <t>3.- Dosificar.</t>
  </si>
  <si>
    <t>2.- Subir a velocidad 2 y batir por 4 min.</t>
  </si>
  <si>
    <t>1.- Agregar todos los liquidos a la batidora, luego todos los polvos. Batir 1 min en velocidada 1. Usar paleta.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</si>
  <si>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</si>
  <si>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</si>
  <si>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</si>
  <si>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</si>
  <si>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</si>
  <si>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</si>
  <si>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</si>
  <si>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</si>
  <si>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</si>
  <si>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</si>
  <si>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</si>
  <si>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</si>
  <si>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</si>
  <si>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</si>
  <si>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</si>
  <si>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</si>
  <si>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PURATOS</t>
  </si>
  <si>
    <t>PRESERVANTE MIXTO</t>
  </si>
  <si>
    <t>MP10315</t>
  </si>
  <si>
    <t>1212437</t>
  </si>
  <si>
    <t>CAPULLO</t>
  </si>
  <si>
    <t>ACEITE CAPULLO RBD (UND:17 L)</t>
  </si>
  <si>
    <t>MP10002</t>
  </si>
  <si>
    <t>FAS</t>
  </si>
  <si>
    <t>AGUA POTABLE (PLANTA)</t>
  </si>
  <si>
    <t>10415</t>
  </si>
  <si>
    <t>INNOVO</t>
  </si>
  <si>
    <t>HUEVO LIQUIDO ESPECIAL INNOV (CAJA:10 K)</t>
  </si>
  <si>
    <t>MP10005</t>
  </si>
  <si>
    <t>1210482</t>
  </si>
  <si>
    <t>PREMEZCLA EASY VAINILLA BC</t>
  </si>
  <si>
    <t>SE00436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</si>
  <si>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</si>
  <si>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</si>
  <si>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</si>
  <si>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</si>
  <si>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</si>
  <si>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</si>
  <si>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</si>
  <si>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</si>
  <si>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</si>
  <si>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</si>
  <si>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</si>
  <si>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</si>
  <si>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</si>
  <si>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</si>
  <si>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</si>
  <si>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</si>
  <si>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</si>
  <si>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</si>
  <si>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SE00437 Batido Easy Vainilla BC</t>
  </si>
  <si>
    <t>REVISIÓN:</t>
  </si>
  <si>
    <t>ESPECIFICACION DE RECETA</t>
  </si>
  <si>
    <t>CÓDIGO:</t>
  </si>
  <si>
    <t>SERVICIOS DE PASTELERIA S.A.</t>
  </si>
  <si>
    <t>02</t>
  </si>
  <si>
    <t>ESP-RE-BAF-031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</si>
</sst>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2">
    <xf numFmtId="0" fontId="0" fillId="0" borderId="0" xfId="0"/>
    <xf numFmtId="0" fontId="4" fillId="4" borderId="24" xfId="2" applyFont="1" applyFill="1" applyBorder="1" applyAlignment="1">
      <alignment horizontal="center"/>
    </xf>
    <xf numFmtId="1" fontId="4" fillId="4" borderId="12" xfId="2" applyNumberFormat="1" applyFont="1" applyFill="1" applyBorder="1" applyAlignment="1">
      <alignment horizontal="center" wrapText="1"/>
    </xf>
    <xf numFmtId="1" fontId="4" fillId="4" borderId="12" xfId="2" applyNumberFormat="1" applyFont="1" applyFill="1" applyBorder="1" applyAlignment="1">
      <alignment horizontal="center"/>
    </xf>
    <xf numFmtId="0" fontId="4" fillId="4" borderId="25" xfId="2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right"/>
    </xf>
    <xf numFmtId="0" fontId="3" fillId="2" borderId="18" xfId="1" applyFont="1" applyFill="1" applyBorder="1" applyAlignment="1">
      <alignment horizontal="right"/>
    </xf>
    <xf numFmtId="49" fontId="3" fillId="2" borderId="22" xfId="1" applyNumberFormat="1" applyFont="1" applyFill="1" applyBorder="1" applyAlignment="1">
      <alignment horizontal="center"/>
    </xf>
    <xf numFmtId="0" fontId="4" fillId="2" borderId="15" xfId="1" applyFont="1" applyFill="1" applyBorder="1" applyAlignment="1">
      <alignment horizontal="right"/>
    </xf>
    <xf numFmtId="0" fontId="1" fillId="2" borderId="25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right"/>
    </xf>
    <xf numFmtId="0" fontId="7" fillId="0" borderId="2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7" fillId="0" borderId="15" xfId="2" applyFont="1" applyBorder="1" applyAlignment="1">
      <alignment horizontal="center" vertical="center"/>
    </xf>
    <xf numFmtId="1" fontId="7" fillId="0" borderId="15" xfId="2" applyNumberFormat="1" applyFont="1" applyBorder="1" applyAlignment="1">
      <alignment horizontal="center"/>
    </xf>
    <xf numFmtId="1" fontId="7" fillId="0" borderId="15" xfId="2" applyNumberFormat="1" applyFont="1" applyBorder="1" applyAlignment="1">
      <alignment horizontal="center" wrapText="1"/>
    </xf>
    <xf numFmtId="0" fontId="9" fillId="0" borderId="22" xfId="2" applyFont="1" applyBorder="1" applyAlignment="1">
      <alignment horizontal="center"/>
    </xf>
    <xf numFmtId="1" fontId="9" fillId="0" borderId="15" xfId="0" applyNumberFormat="1" applyFont="1" applyBorder="1"/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0" fontId="9" fillId="0" borderId="15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wrapText="1"/>
    </xf>
    <xf numFmtId="12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/>
    <xf numFmtId="49" fontId="10" fillId="2" borderId="21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0" xfId="2" applyFont="1" applyFill="1" applyBorder="1" applyAlignment="1">
      <alignment horizontal="center"/>
    </xf>
    <xf numFmtId="0" fontId="9" fillId="4" borderId="10" xfId="2" applyFont="1" applyFill="1" applyBorder="1" applyAlignment="1">
      <alignment horizontal="center"/>
    </xf>
    <xf numFmtId="0" fontId="9" fillId="4" borderId="9" xfId="2" applyFont="1" applyFill="1" applyBorder="1" applyAlignment="1">
      <alignment horizontal="center"/>
    </xf>
    <xf numFmtId="0" fontId="9" fillId="4" borderId="9" xfId="2" applyFont="1" applyFill="1" applyBorder="1"/>
    <xf numFmtId="0" fontId="7" fillId="4" borderId="9" xfId="2" applyFont="1" applyFill="1" applyBorder="1" applyAlignment="1">
      <alignment horizontal="center"/>
    </xf>
    <xf numFmtId="1" fontId="7" fillId="4" borderId="9" xfId="2" applyNumberFormat="1" applyFont="1" applyFill="1" applyBorder="1" applyAlignment="1">
      <alignment horizontal="center"/>
    </xf>
    <xf numFmtId="164" fontId="9" fillId="4" borderId="9" xfId="2" applyNumberFormat="1" applyFont="1" applyFill="1" applyBorder="1" applyAlignment="1">
      <alignment horizontal="center" wrapText="1"/>
    </xf>
    <xf numFmtId="0" fontId="9" fillId="4" borderId="8" xfId="2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4" fontId="12" fillId="2" borderId="0" xfId="1" applyNumberFormat="1" applyFont="1" applyFill="1" applyAlignment="1">
      <alignment horizontal="center" vertical="center" wrapText="1"/>
    </xf>
    <xf numFmtId="14" fontId="3" fillId="2" borderId="36" xfId="1" applyNumberFormat="1" applyFont="1" applyFill="1" applyBorder="1" applyAlignment="1">
      <alignment horizontal="center" vertical="center" wrapText="1"/>
    </xf>
    <xf numFmtId="14" fontId="3" fillId="2" borderId="31" xfId="1" applyNumberFormat="1" applyFont="1" applyFill="1" applyBorder="1" applyAlignment="1">
      <alignment horizontal="center" vertical="center" wrapText="1"/>
    </xf>
    <xf numFmtId="14" fontId="3" fillId="2" borderId="29" xfId="1" applyNumberFormat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left"/>
    </xf>
    <xf numFmtId="0" fontId="3" fillId="2" borderId="34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2" xfId="1" applyFont="1" applyFill="1" applyBorder="1" applyAlignment="1">
      <alignment horizontal="right" vertical="top" wrapText="1"/>
    </xf>
    <xf numFmtId="0" fontId="4" fillId="2" borderId="30" xfId="1" applyFont="1" applyFill="1" applyBorder="1" applyAlignment="1">
      <alignment horizontal="right" vertical="top" wrapText="1"/>
    </xf>
    <xf numFmtId="0" fontId="5" fillId="2" borderId="0" xfId="1" applyFont="1" applyFill="1" applyAlignment="1">
      <alignment horizontal="right"/>
    </xf>
    <xf numFmtId="0" fontId="12" fillId="2" borderId="28" xfId="1" applyFont="1" applyFill="1" applyBorder="1" applyAlignment="1">
      <alignment horizontal="center"/>
    </xf>
    <xf numFmtId="0" fontId="5" fillId="2" borderId="0" xfId="1" applyFont="1" applyFill="1"/>
    <xf numFmtId="0" fontId="4" fillId="4" borderId="27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 wrapText="1"/>
    </xf>
    <xf numFmtId="0" fontId="4" fillId="4" borderId="26" xfId="2" applyFont="1" applyFill="1" applyBorder="1" applyAlignment="1">
      <alignment horizontal="center" vertical="center"/>
    </xf>
    <xf numFmtId="0" fontId="4" fillId="4" borderId="12" xfId="2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wrapText="1"/>
    </xf>
    <xf numFmtId="164" fontId="9" fillId="0" borderId="11" xfId="0" applyNumberFormat="1" applyFont="1" applyBorder="1" applyAlignment="1">
      <alignment horizontal="center" wrapText="1"/>
    </xf>
    <xf numFmtId="0" fontId="7" fillId="0" borderId="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164" fontId="9" fillId="0" borderId="18" xfId="2" applyNumberFormat="1" applyFont="1" applyBorder="1" applyAlignment="1">
      <alignment horizontal="right"/>
    </xf>
    <xf numFmtId="0" fontId="9" fillId="2" borderId="17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  <xf numFmtId="0" fontId="7" fillId="0" borderId="16" xfId="2" applyFont="1" applyBorder="1" applyAlignment="1">
      <alignment horizontal="right"/>
    </xf>
    <xf numFmtId="0" fontId="7" fillId="0" borderId="3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164" fontId="9" fillId="0" borderId="4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7" fillId="0" borderId="7" xfId="2" applyFont="1" applyBorder="1" applyAlignment="1">
      <alignment horizontal="left" wrapText="1"/>
    </xf>
    <xf numFmtId="0" fontId="7" fillId="0" borderId="6" xfId="2" applyFont="1" applyBorder="1" applyAlignment="1">
      <alignment horizontal="left" wrapText="1"/>
    </xf>
    <xf numFmtId="0" fontId="7" fillId="0" borderId="5" xfId="2" applyFont="1" applyBorder="1" applyAlignment="1">
      <alignment horizontal="left" wrapText="1"/>
    </xf>
    <xf numFmtId="0" fontId="7" fillId="0" borderId="21" xfId="2" applyFont="1" applyBorder="1" applyAlignment="1">
      <alignment horizontal="left" wrapText="1"/>
    </xf>
    <xf numFmtId="0" fontId="7" fillId="0" borderId="0" xfId="2" applyFont="1" applyAlignment="1">
      <alignment horizontal="left" wrapText="1"/>
    </xf>
    <xf numFmtId="0" fontId="7" fillId="0" borderId="20" xfId="2" applyFont="1" applyBorder="1" applyAlignment="1">
      <alignment horizontal="left" wrapText="1"/>
    </xf>
    <xf numFmtId="164" fontId="9" fillId="0" borderId="4" xfId="2" applyNumberFormat="1" applyFont="1" applyBorder="1" applyAlignment="1">
      <alignment horizontal="right" wrapText="1"/>
    </xf>
    <xf numFmtId="164" fontId="9" fillId="0" borderId="2" xfId="2" applyNumberFormat="1" applyFont="1" applyBorder="1" applyAlignment="1">
      <alignment horizontal="right" wrapText="1"/>
    </xf>
    <xf numFmtId="0" fontId="7" fillId="0" borderId="14" xfId="2" applyFont="1" applyBorder="1" applyAlignment="1">
      <alignment horizontal="right"/>
    </xf>
    <xf numFmtId="0" fontId="7" fillId="0" borderId="13" xfId="2" applyFont="1" applyBorder="1" applyAlignment="1">
      <alignment horizontal="right"/>
    </xf>
    <xf numFmtId="0" fontId="7" fillId="0" borderId="12" xfId="2" applyFont="1" applyBorder="1" applyAlignment="1">
      <alignment horizontal="right"/>
    </xf>
    <xf numFmtId="0" fontId="9" fillId="0" borderId="12" xfId="2" applyFont="1" applyBorder="1" applyAlignment="1">
      <alignment horizontal="right"/>
    </xf>
    <xf numFmtId="0" fontId="7" fillId="4" borderId="10" xfId="2" applyFont="1" applyFill="1" applyBorder="1" applyAlignment="1">
      <alignment horizontal="center"/>
    </xf>
    <xf numFmtId="0" fontId="7" fillId="4" borderId="9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0" fontId="7" fillId="3" borderId="15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left"/>
    </xf>
  </cellXfs>
  <cellStyles count="3">
    <cellStyle name="Normal" xfId="0" builtinId="0"/>
    <cellStyle name="Normal 2" xfId="2" xr:uid="{E0482995-4B43-47E6-ABE2-980D98A5DD52}"/>
    <cellStyle name="Normal_CRITERIOS DE EVALUACION PT DE GB 2" xfId="1" xr:uid="{0C9D8F98-F8CB-4922-9CB5-1C11A2313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119061</xdr:rowOff>
    </xdr:from>
    <xdr:to>
      <xdr:col>1</xdr:col>
      <xdr:colOff>1020504</xdr:colOff>
      <xdr:row>4</xdr:row>
      <xdr:rowOff>23813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1676099-C9AD-49BD-AECA-6D4000313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19061"/>
          <a:ext cx="2080161" cy="952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54A5-322D-4D99-A0F1-3A7B85FA562D}">
  <sheetPr>
    <pageSetUpPr fitToPage="1"/>
  </sheetPr>
  <dimension ref="A1:K33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42578125" customWidth="1"/>
    <col min="3" max="3" width="67" customWidth="1"/>
    <col min="4" max="4" width="23" customWidth="1"/>
    <col min="5" max="5" width="11.5703125" bestFit="1" customWidth="1"/>
    <col min="7" max="7" width="22" customWidth="1"/>
    <col min="8" max="8" width="15.28515625" customWidth="1"/>
    <col min="9" max="9" width="18.140625" bestFit="1" customWidth="1"/>
  </cols>
  <sheetData>
    <row r="1" spans="1:11" ht="15" x14ac:dyDescent="0.2">
      <c r="A1" s="56"/>
      <c r="B1" s="57"/>
      <c r="C1" s="62" t="s">
        <v>59</v>
      </c>
      <c r="D1" s="62"/>
      <c r="E1" s="62"/>
      <c r="F1" s="62"/>
      <c r="G1" s="62"/>
      <c r="H1" s="10" t="s">
        <v>58</v>
      </c>
      <c r="I1" s="9" t="s">
        <v>61</v>
      </c>
    </row>
    <row r="2" spans="1:11" ht="18" customHeight="1" thickBot="1" x14ac:dyDescent="0.3">
      <c r="A2" s="58"/>
      <c r="B2" s="59"/>
      <c r="C2" s="63" t="s">
        <v>57</v>
      </c>
      <c r="D2" s="64"/>
      <c r="E2" s="64"/>
      <c r="F2" s="64"/>
      <c r="G2" s="65"/>
      <c r="H2" s="8" t="s">
        <v>56</v>
      </c>
      <c r="I2" s="7" t="s">
        <v>60</v>
      </c>
    </row>
    <row r="3" spans="1:11" ht="31.5" customHeight="1" thickBot="1" x14ac:dyDescent="0.25">
      <c r="A3" s="58"/>
      <c r="B3" s="59"/>
      <c r="C3" s="66" t="s">
        <v>55</v>
      </c>
      <c r="D3" s="67"/>
      <c r="E3" s="67"/>
      <c r="F3" s="67"/>
      <c r="G3" s="68"/>
      <c r="H3" s="69" t="s">
        <v>54</v>
      </c>
      <c r="I3" s="47">
        <v>45980</v>
      </c>
    </row>
    <row r="4" spans="1:11" ht="18" customHeight="1" x14ac:dyDescent="0.25">
      <c r="A4" s="58"/>
      <c r="B4" s="59"/>
      <c r="C4" s="6" t="s">
        <v>53</v>
      </c>
      <c r="D4" s="50" t="s">
        <v>52</v>
      </c>
      <c r="E4" s="51"/>
      <c r="F4" s="51"/>
      <c r="G4" s="52"/>
      <c r="H4" s="70"/>
      <c r="I4" s="48"/>
    </row>
    <row r="5" spans="1:11" ht="14.25" thickBot="1" x14ac:dyDescent="0.3">
      <c r="A5" s="60"/>
      <c r="B5" s="61"/>
      <c r="C5" s="5" t="s">
        <v>51</v>
      </c>
      <c r="D5" s="53" t="s">
        <v>50</v>
      </c>
      <c r="E5" s="54"/>
      <c r="F5" s="54"/>
      <c r="G5" s="55"/>
      <c r="H5" s="71"/>
      <c r="I5" s="49"/>
    </row>
    <row r="6" spans="1:11" ht="18.75" thickBot="1" x14ac:dyDescent="0.3">
      <c r="A6" s="72" t="s">
        <v>49</v>
      </c>
      <c r="B6" s="72"/>
      <c r="C6" s="72"/>
      <c r="D6" s="73" t="s">
        <v>47</v>
      </c>
      <c r="E6" s="73"/>
      <c r="F6" s="73"/>
      <c r="G6" s="74" t="s">
        <v>48</v>
      </c>
      <c r="H6" s="74"/>
      <c r="I6" s="46" t="s">
        <v>47</v>
      </c>
    </row>
    <row r="7" spans="1:11" x14ac:dyDescent="0.2">
      <c r="A7" s="75" t="s">
        <v>46</v>
      </c>
      <c r="B7" s="77" t="s">
        <v>45</v>
      </c>
      <c r="C7" s="79" t="s">
        <v>44</v>
      </c>
      <c r="D7" s="79" t="s">
        <v>43</v>
      </c>
      <c r="E7" s="79" t="s">
        <v>42</v>
      </c>
      <c r="F7" s="79"/>
      <c r="G7" s="79" t="s">
        <v>41</v>
      </c>
      <c r="H7" s="79"/>
      <c r="I7" s="4" t="s">
        <v>40</v>
      </c>
    </row>
    <row r="8" spans="1:11" ht="26.25" thickBot="1" x14ac:dyDescent="0.25">
      <c r="A8" s="76"/>
      <c r="B8" s="78"/>
      <c r="C8" s="80"/>
      <c r="D8" s="80"/>
      <c r="E8" s="3" t="s">
        <v>19</v>
      </c>
      <c r="F8" s="2" t="s">
        <v>39</v>
      </c>
      <c r="G8" s="3" t="s">
        <v>19</v>
      </c>
      <c r="H8" s="2" t="s">
        <v>39</v>
      </c>
      <c r="I8" s="1" t="s">
        <v>38</v>
      </c>
    </row>
    <row r="9" spans="1:11" ht="18.600000000000001" customHeight="1" x14ac:dyDescent="0.3">
      <c r="A9" s="11"/>
      <c r="B9" s="12"/>
      <c r="C9" s="13" t="s">
        <v>37</v>
      </c>
      <c r="D9" s="14"/>
      <c r="E9" s="15"/>
      <c r="F9" s="16"/>
      <c r="G9" s="15"/>
      <c r="H9" s="16"/>
      <c r="I9" s="17"/>
    </row>
    <row r="10" spans="1:11" ht="20.25" x14ac:dyDescent="0.3">
      <c r="A10" s="18">
        <v>906000136</v>
      </c>
      <c r="B10" s="19" t="s">
        <v>36</v>
      </c>
      <c r="C10" s="20" t="s">
        <v>35</v>
      </c>
      <c r="D10" s="21" t="s">
        <v>28</v>
      </c>
      <c r="E10" s="22">
        <v>26860</v>
      </c>
      <c r="F10" s="23" t="s">
        <v>6</v>
      </c>
      <c r="G10" s="24"/>
      <c r="H10" s="25"/>
      <c r="I10" s="17"/>
      <c r="J10">
        <f>+E10/$D$20</f>
        <v>0.57763440860215054</v>
      </c>
    </row>
    <row r="11" spans="1:11" ht="20.25" x14ac:dyDescent="0.3">
      <c r="A11" s="21" t="s">
        <v>34</v>
      </c>
      <c r="B11" s="21" t="s">
        <v>33</v>
      </c>
      <c r="C11" s="26" t="s">
        <v>32</v>
      </c>
      <c r="D11" s="21" t="s">
        <v>31</v>
      </c>
      <c r="E11" s="22">
        <v>4700</v>
      </c>
      <c r="F11" s="23" t="s">
        <v>6</v>
      </c>
      <c r="G11" s="24"/>
      <c r="H11" s="25"/>
      <c r="I11" s="17"/>
      <c r="J11">
        <f>+E11/$D$20</f>
        <v>0.1010752688172043</v>
      </c>
      <c r="K11">
        <f>+J11*1000</f>
        <v>101.0752688172043</v>
      </c>
    </row>
    <row r="12" spans="1:11" ht="20.25" x14ac:dyDescent="0.3">
      <c r="A12" s="21" t="s">
        <v>30</v>
      </c>
      <c r="B12" s="21"/>
      <c r="C12" s="26" t="s">
        <v>29</v>
      </c>
      <c r="D12" s="21" t="s">
        <v>28</v>
      </c>
      <c r="E12" s="22">
        <v>13395</v>
      </c>
      <c r="F12" s="23" t="s">
        <v>6</v>
      </c>
      <c r="G12" s="24"/>
      <c r="H12" s="25"/>
      <c r="I12" s="17"/>
      <c r="J12">
        <f>+E12/$D$20</f>
        <v>0.28806451612903228</v>
      </c>
      <c r="K12">
        <f>+J12*1000</f>
        <v>288.06451612903226</v>
      </c>
    </row>
    <row r="13" spans="1:11" ht="20.25" x14ac:dyDescent="0.3">
      <c r="A13" s="21">
        <v>10100050</v>
      </c>
      <c r="B13" s="21" t="s">
        <v>27</v>
      </c>
      <c r="C13" s="26" t="s">
        <v>26</v>
      </c>
      <c r="D13" s="21" t="s">
        <v>25</v>
      </c>
      <c r="E13" s="22">
        <v>1400</v>
      </c>
      <c r="F13" s="23" t="s">
        <v>6</v>
      </c>
      <c r="G13" s="24"/>
      <c r="H13" s="27"/>
      <c r="I13" s="17"/>
      <c r="J13">
        <f>+E13/$D$20</f>
        <v>3.0107526881720432E-2</v>
      </c>
      <c r="K13">
        <f>+J13*1000</f>
        <v>30.107526881720432</v>
      </c>
    </row>
    <row r="14" spans="1:11" ht="20.25" x14ac:dyDescent="0.3">
      <c r="A14" s="21" t="s">
        <v>24</v>
      </c>
      <c r="B14" s="21" t="s">
        <v>23</v>
      </c>
      <c r="C14" s="26" t="s">
        <v>22</v>
      </c>
      <c r="D14" s="21" t="s">
        <v>21</v>
      </c>
      <c r="E14" s="22">
        <v>370</v>
      </c>
      <c r="F14" s="23" t="s">
        <v>6</v>
      </c>
      <c r="G14" s="24"/>
      <c r="H14" s="25"/>
      <c r="I14" s="17"/>
      <c r="J14">
        <f>+E14/$D$20</f>
        <v>7.9569892473118284E-3</v>
      </c>
      <c r="K14">
        <f>+J14*1000</f>
        <v>7.956989247311828</v>
      </c>
    </row>
    <row r="15" spans="1:11" ht="20.25" x14ac:dyDescent="0.3">
      <c r="A15" s="21"/>
      <c r="B15" s="21"/>
      <c r="C15" s="26"/>
      <c r="D15" s="21"/>
      <c r="E15" s="22"/>
      <c r="F15" s="23"/>
      <c r="G15" s="24"/>
      <c r="H15" s="25"/>
      <c r="I15" s="17"/>
    </row>
    <row r="16" spans="1:11" ht="20.25" x14ac:dyDescent="0.3">
      <c r="A16" s="21"/>
      <c r="B16" s="21"/>
      <c r="C16" s="26"/>
      <c r="D16" s="21"/>
      <c r="E16" s="22"/>
      <c r="F16" s="23"/>
      <c r="G16" s="24"/>
      <c r="H16" s="25"/>
      <c r="I16" s="17"/>
    </row>
    <row r="17" spans="1:9" ht="20.25" x14ac:dyDescent="0.3">
      <c r="A17" s="21"/>
      <c r="B17" s="21"/>
      <c r="C17" s="26"/>
      <c r="D17" s="21"/>
      <c r="E17" s="22"/>
      <c r="F17" s="23"/>
      <c r="G17" s="24"/>
      <c r="H17" s="25"/>
      <c r="I17" s="17"/>
    </row>
    <row r="18" spans="1:9" ht="21" thickBot="1" x14ac:dyDescent="0.35">
      <c r="A18" s="28"/>
      <c r="B18" s="29"/>
      <c r="C18" s="30" t="s">
        <v>20</v>
      </c>
      <c r="D18" s="30"/>
      <c r="E18" s="31"/>
      <c r="F18" s="32"/>
      <c r="G18" s="30"/>
      <c r="H18" s="30"/>
      <c r="I18" s="33"/>
    </row>
    <row r="19" spans="1:9" ht="21" thickBot="1" x14ac:dyDescent="0.35">
      <c r="A19" s="34"/>
      <c r="B19" s="35"/>
      <c r="C19" s="36" t="s">
        <v>20</v>
      </c>
      <c r="D19" s="37" t="s">
        <v>19</v>
      </c>
      <c r="E19" s="38" t="s">
        <v>18</v>
      </c>
      <c r="F19" s="39"/>
      <c r="G19" s="36"/>
      <c r="H19" s="36"/>
      <c r="I19" s="40"/>
    </row>
    <row r="20" spans="1:9" ht="20.25" x14ac:dyDescent="0.3">
      <c r="A20" s="83" t="s">
        <v>17</v>
      </c>
      <c r="B20" s="84"/>
      <c r="C20" s="85"/>
      <c r="D20" s="41">
        <v>46500</v>
      </c>
      <c r="E20" s="42" t="s">
        <v>6</v>
      </c>
      <c r="F20" s="86" t="s">
        <v>16</v>
      </c>
      <c r="G20" s="86"/>
      <c r="H20" s="87"/>
      <c r="I20" s="88"/>
    </row>
    <row r="21" spans="1:9" ht="20.25" x14ac:dyDescent="0.3">
      <c r="A21" s="89" t="s">
        <v>15</v>
      </c>
      <c r="B21" s="90"/>
      <c r="C21" s="91"/>
      <c r="D21" s="43">
        <v>11</v>
      </c>
      <c r="E21" s="19" t="s">
        <v>14</v>
      </c>
      <c r="F21" s="92" t="s">
        <v>13</v>
      </c>
      <c r="G21" s="92"/>
      <c r="H21" s="93"/>
      <c r="I21" s="94"/>
    </row>
    <row r="22" spans="1:9" ht="20.25" x14ac:dyDescent="0.3">
      <c r="A22" s="89" t="s">
        <v>12</v>
      </c>
      <c r="B22" s="90"/>
      <c r="C22" s="91"/>
      <c r="D22" s="43">
        <v>1</v>
      </c>
      <c r="E22" s="19" t="s">
        <v>11</v>
      </c>
      <c r="F22" s="92" t="s">
        <v>10</v>
      </c>
      <c r="G22" s="92"/>
      <c r="H22" s="93"/>
      <c r="I22" s="94"/>
    </row>
    <row r="23" spans="1:9" ht="20.25" x14ac:dyDescent="0.3">
      <c r="A23" s="89" t="s">
        <v>9</v>
      </c>
      <c r="B23" s="90"/>
      <c r="C23" s="91"/>
      <c r="D23" s="43">
        <v>46500</v>
      </c>
      <c r="E23" s="19" t="s">
        <v>6</v>
      </c>
      <c r="F23" s="101" t="s">
        <v>8</v>
      </c>
      <c r="G23" s="102"/>
      <c r="H23" s="81"/>
      <c r="I23" s="82"/>
    </row>
    <row r="24" spans="1:9" ht="21" thickBot="1" x14ac:dyDescent="0.35">
      <c r="A24" s="103" t="s">
        <v>7</v>
      </c>
      <c r="B24" s="104"/>
      <c r="C24" s="105"/>
      <c r="D24" s="44">
        <v>230</v>
      </c>
      <c r="E24" s="45" t="s">
        <v>6</v>
      </c>
      <c r="F24" s="106"/>
      <c r="G24" s="106"/>
      <c r="H24" s="93"/>
      <c r="I24" s="94"/>
    </row>
    <row r="25" spans="1:9" ht="21" thickBot="1" x14ac:dyDescent="0.35">
      <c r="A25" s="107" t="s">
        <v>5</v>
      </c>
      <c r="B25" s="108"/>
      <c r="C25" s="108"/>
      <c r="D25" s="108"/>
      <c r="E25" s="108"/>
      <c r="F25" s="108"/>
      <c r="G25" s="108"/>
      <c r="H25" s="108"/>
      <c r="I25" s="109"/>
    </row>
    <row r="26" spans="1:9" ht="20.25" x14ac:dyDescent="0.3">
      <c r="A26" s="95" t="s">
        <v>4</v>
      </c>
      <c r="B26" s="96"/>
      <c r="C26" s="96"/>
      <c r="D26" s="96"/>
      <c r="E26" s="96"/>
      <c r="F26" s="96"/>
      <c r="G26" s="96"/>
      <c r="H26" s="96"/>
      <c r="I26" s="97"/>
    </row>
    <row r="27" spans="1:9" ht="20.25" x14ac:dyDescent="0.3">
      <c r="A27" s="95" t="s">
        <v>3</v>
      </c>
      <c r="B27" s="96"/>
      <c r="C27" s="96"/>
      <c r="D27" s="96"/>
      <c r="E27" s="96"/>
      <c r="F27" s="96"/>
      <c r="G27" s="96"/>
      <c r="H27" s="96"/>
      <c r="I27" s="97"/>
    </row>
    <row r="28" spans="1:9" ht="20.25" x14ac:dyDescent="0.3">
      <c r="A28" s="95" t="s">
        <v>2</v>
      </c>
      <c r="B28" s="96"/>
      <c r="C28" s="96"/>
      <c r="D28" s="96"/>
      <c r="E28" s="96"/>
      <c r="F28" s="96"/>
      <c r="G28" s="96"/>
      <c r="H28" s="96"/>
      <c r="I28" s="97"/>
    </row>
    <row r="29" spans="1:9" ht="20.25" x14ac:dyDescent="0.3">
      <c r="A29" s="95"/>
      <c r="B29" s="96"/>
      <c r="C29" s="96"/>
      <c r="D29" s="96"/>
      <c r="E29" s="96"/>
      <c r="F29" s="96"/>
      <c r="G29" s="96"/>
      <c r="H29" s="96"/>
      <c r="I29" s="97"/>
    </row>
    <row r="30" spans="1:9" ht="20.25" x14ac:dyDescent="0.3">
      <c r="A30" s="98"/>
      <c r="B30" s="99"/>
      <c r="C30" s="99"/>
      <c r="D30" s="99"/>
      <c r="E30" s="99"/>
      <c r="F30" s="99"/>
      <c r="G30" s="99"/>
      <c r="H30" s="99"/>
      <c r="I30" s="100"/>
    </row>
    <row r="31" spans="1:9" ht="20.25" x14ac:dyDescent="0.3">
      <c r="A31" s="110" t="s">
        <v>1</v>
      </c>
      <c r="B31" s="110"/>
      <c r="C31" s="110"/>
      <c r="D31" s="110"/>
      <c r="E31" s="110"/>
      <c r="F31" s="110"/>
      <c r="G31" s="110"/>
      <c r="H31" s="110"/>
      <c r="I31" s="110"/>
    </row>
    <row r="32" spans="1:9" ht="20.25" x14ac:dyDescent="0.3">
      <c r="A32" s="111" t="s">
        <v>0</v>
      </c>
      <c r="B32" s="111"/>
      <c r="C32" s="111"/>
      <c r="D32" s="111"/>
      <c r="E32" s="111"/>
      <c r="F32" s="111"/>
      <c r="G32" s="111"/>
      <c r="H32" s="111"/>
      <c r="I32" s="111"/>
    </row>
    <row r="33" spans="1:9" ht="20.25" x14ac:dyDescent="0.3">
      <c r="A33" s="111"/>
      <c r="B33" s="111"/>
      <c r="C33" s="111"/>
      <c r="D33" s="111"/>
      <c r="E33" s="111"/>
      <c r="F33" s="111"/>
      <c r="G33" s="111"/>
      <c r="H33" s="111"/>
      <c r="I33" s="111"/>
    </row>
  </sheetData>
  <mergeCells count="41">
    <mergeCell ref="A31:I31"/>
    <mergeCell ref="A32:I32"/>
    <mergeCell ref="A33:I33"/>
    <mergeCell ref="A28:I28"/>
    <mergeCell ref="A29:I29"/>
    <mergeCell ref="A30:I30"/>
    <mergeCell ref="A22:C22"/>
    <mergeCell ref="F22:G22"/>
    <mergeCell ref="H22:I22"/>
    <mergeCell ref="A23:C23"/>
    <mergeCell ref="F23:G23"/>
    <mergeCell ref="A24:C24"/>
    <mergeCell ref="F24:G24"/>
    <mergeCell ref="H24:I24"/>
    <mergeCell ref="A25:I25"/>
    <mergeCell ref="A26:I26"/>
    <mergeCell ref="A27:I27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D3B6EF-15F0-47CD-8627-3DC67DE6EDB8}"/>
</file>

<file path=customXml/itemProps2.xml><?xml version="1.0" encoding="utf-8"?>
<ds:datastoreItem xmlns:ds="http://schemas.openxmlformats.org/officeDocument/2006/customXml" ds:itemID="{D08D6916-8465-48D5-8CD2-5DF4263281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A399E02-F8CE-4DE6-BC17-096F7B8896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Batido NUevo</vt:lpstr>
      <vt:lpstr>'Batido NUevo'!Área_de_impresión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2025-11-19T16:21:13Z</cp:lastPrinted>
  <dcterms:created xsi:type="dcterms:W3CDTF">2025-11-19T16:04:10Z</dcterms:created>
  <dcterms:modified xsi:type="dcterms:W3CDTF">2026-03-20T16:13:38Z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
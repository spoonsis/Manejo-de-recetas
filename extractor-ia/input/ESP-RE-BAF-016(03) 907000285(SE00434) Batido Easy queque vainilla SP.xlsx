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3" documentId="8_{005FB65B-94ED-4026-A460-5B1424968330}" xr6:coauthVersionLast="47" xr6:coauthVersionMax="47" xr10:uidLastSave="{4AB5E6CC-7243-478F-9359-E2EBC80E1DF6}"/>
  <bookViews>
    <workbookView xWindow="-120" yWindow="-120" windowWidth="20730" windowHeight="11040" xr2:uid="{CEDC292F-4BB7-4D3A-ADC0-EC928F37D77D}"/>
  </bookViews>
  <sheets>
    <sheet name="Batido Nuevo" sheetId="1" r:id="rId1"/>
  </sheets>
  <definedNames>
    <definedName name="_xlnm.Print_Area" localSheetId="0">'Batido Nuevo'!$A$1:$I$33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K11" i="1"/>
  <c r="J12" i="1"/>
  <c r="J13" i="1"/>
  <c r="K13" i="1" s="1"/>
  <c r="K18" i="1"/>
  <c r="K19" i="1" s="1"/>
</calcChain>
</file>

<file path=xl/sharedStrings.xml><?xml version="1.0" encoding="utf-8"?>
<sst xmlns="http://schemas.openxmlformats.org/spreadsheetml/2006/main" count="72" uniqueCount="60">
  <si>
    <t>Revision #3: Actualizacion del peso del huevo y el agua.</t>
  </si>
  <si>
    <t>2, Actualizacion de procedimeinto</t>
  </si>
  <si>
    <t>CONTROL DE CAMBIOS</t>
  </si>
  <si>
    <t>4.- Pasar a dosificar.</t>
  </si>
  <si>
    <t>3.- Luego batir por 5 minutos a velocidad 2.</t>
  </si>
  <si>
    <t>2.- Batir por 1 minutos en velocidad 1.</t>
  </si>
  <si>
    <t>1.- Colocar todos los ingredientes en la batidora y batir con paleta.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</si>
  <si>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</si>
  <si>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</si>
  <si>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</si>
  <si>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</si>
  <si>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</si>
  <si>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</si>
  <si>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</si>
  <si>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</si>
  <si>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</si>
  <si>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</si>
  <si>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</si>
  <si>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</si>
  <si>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</si>
  <si>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</si>
  <si>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</si>
  <si>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</si>
  <si>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CAPULLO</t>
  </si>
  <si>
    <t>ACEITE CAPULLO RBD (UND:17 L)</t>
  </si>
  <si>
    <t>MP10002</t>
  </si>
  <si>
    <t>FAS</t>
  </si>
  <si>
    <t>AGUA POTABLE (PLANTA)</t>
  </si>
  <si>
    <t>10415</t>
  </si>
  <si>
    <t>INNOVO</t>
  </si>
  <si>
    <t>HUEVO LIQUIDO ESPECIAL INNOV (CAJA:10 K)</t>
  </si>
  <si>
    <t>MP10005</t>
  </si>
  <si>
    <t>1210482</t>
  </si>
  <si>
    <t>PREMEZCLA EASY QUEQUE VAINILLA SP</t>
  </si>
  <si>
    <t>SE00435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</si>
  <si>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</si>
  <si>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</si>
  <si>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</si>
  <si>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</si>
  <si>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</si>
  <si>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</si>
  <si>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</si>
  <si>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</si>
  <si>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</si>
  <si>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</si>
  <si>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</si>
  <si>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</si>
  <si>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</si>
  <si>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</si>
  <si>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</si>
  <si>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</si>
  <si>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</si>
  <si>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</si>
  <si>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907000285(SE00434) Batido Easy queque vainilla SP</t>
  </si>
  <si>
    <t>REVISIÓN:</t>
  </si>
  <si>
    <t>ESPECIFICACION DE RECETA</t>
  </si>
  <si>
    <t>ESP-RE-BAF-016</t>
  </si>
  <si>
    <t>CÓDIGO:</t>
  </si>
  <si>
    <t>SERVICIOS DE PASTELERIA S.A.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</si>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</sst>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7">
    <xf numFmtId="0" fontId="0" fillId="0" borderId="0" xfId="0"/>
    <xf numFmtId="1" fontId="0" fillId="0" borderId="0" xfId="0" applyNumberFormat="1"/>
    <xf numFmtId="0" fontId="4" fillId="4" borderId="24" xfId="2" applyFont="1" applyFill="1" applyBorder="1" applyAlignment="1">
      <alignment horizontal="center"/>
    </xf>
    <xf numFmtId="1" fontId="4" fillId="4" borderId="12" xfId="2" applyNumberFormat="1" applyFont="1" applyFill="1" applyBorder="1" applyAlignment="1">
      <alignment horizontal="center" wrapText="1"/>
    </xf>
    <xf numFmtId="1" fontId="4" fillId="4" borderId="12" xfId="2" applyNumberFormat="1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 wrapText="1"/>
    </xf>
    <xf numFmtId="0" fontId="4" fillId="4" borderId="14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 wrapText="1"/>
    </xf>
    <xf numFmtId="0" fontId="4" fillId="4" borderId="26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 wrapText="1"/>
    </xf>
    <xf numFmtId="0" fontId="4" fillId="4" borderId="27" xfId="2" applyFont="1" applyFill="1" applyBorder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Alignment="1">
      <alignment horizontal="right"/>
    </xf>
    <xf numFmtId="14" fontId="3" fillId="2" borderId="29" xfId="1" applyNumberFormat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right" vertical="top" wrapText="1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14" fontId="3" fillId="2" borderId="31" xfId="1" applyNumberFormat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right" vertical="top" wrapText="1"/>
    </xf>
    <xf numFmtId="0" fontId="3" fillId="2" borderId="33" xfId="1" applyFont="1" applyFill="1" applyBorder="1" applyAlignment="1">
      <alignment horizontal="left"/>
    </xf>
    <xf numFmtId="0" fontId="3" fillId="2" borderId="34" xfId="1" applyFont="1" applyFill="1" applyBorder="1" applyAlignment="1">
      <alignment horizontal="left"/>
    </xf>
    <xf numFmtId="0" fontId="3" fillId="2" borderId="35" xfId="1" applyFont="1" applyFill="1" applyBorder="1" applyAlignment="1">
      <alignment horizontal="left"/>
    </xf>
    <xf numFmtId="0" fontId="3" fillId="2" borderId="18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1" xfId="1" applyFont="1" applyFill="1" applyBorder="1" applyAlignment="1">
      <alignment horizontal="center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49" fontId="3" fillId="2" borderId="22" xfId="1" applyNumberFormat="1" applyFont="1" applyFill="1" applyBorder="1" applyAlignment="1">
      <alignment horizontal="center"/>
    </xf>
    <xf numFmtId="0" fontId="4" fillId="2" borderId="15" xfId="1" applyFont="1" applyFill="1" applyBorder="1" applyAlignment="1">
      <alignment horizontal="right"/>
    </xf>
    <xf numFmtId="0" fontId="4" fillId="2" borderId="13" xfId="1" applyFont="1" applyFill="1" applyBorder="1" applyAlignment="1">
      <alignment horizontal="center"/>
    </xf>
    <xf numFmtId="0" fontId="4" fillId="2" borderId="38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6" fillId="2" borderId="25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right"/>
    </xf>
    <xf numFmtId="0" fontId="4" fillId="2" borderId="26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7" fillId="0" borderId="2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7" fillId="0" borderId="15" xfId="2" applyFont="1" applyBorder="1" applyAlignment="1">
      <alignment horizontal="center" vertical="center"/>
    </xf>
    <xf numFmtId="1" fontId="7" fillId="0" borderId="15" xfId="2" applyNumberFormat="1" applyFont="1" applyBorder="1" applyAlignment="1">
      <alignment horizontal="center"/>
    </xf>
    <xf numFmtId="1" fontId="7" fillId="0" borderId="15" xfId="2" applyNumberFormat="1" applyFont="1" applyBorder="1" applyAlignment="1">
      <alignment horizontal="center" wrapText="1"/>
    </xf>
    <xf numFmtId="0" fontId="9" fillId="0" borderId="22" xfId="2" applyFont="1" applyBorder="1" applyAlignment="1">
      <alignment horizontal="center"/>
    </xf>
    <xf numFmtId="1" fontId="9" fillId="0" borderId="15" xfId="0" applyNumberFormat="1" applyFont="1" applyBorder="1"/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0" fontId="9" fillId="0" borderId="15" xfId="0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wrapText="1"/>
    </xf>
    <xf numFmtId="12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 vertical="center"/>
    </xf>
    <xf numFmtId="1" fontId="9" fillId="0" borderId="15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 wrapText="1"/>
    </xf>
    <xf numFmtId="1" fontId="9" fillId="0" borderId="15" xfId="2" applyNumberFormat="1" applyFont="1" applyBorder="1" applyAlignment="1">
      <alignment horizontal="center"/>
    </xf>
    <xf numFmtId="0" fontId="9" fillId="0" borderId="15" xfId="0" quotePrefix="1" applyFont="1" applyBorder="1" applyAlignment="1">
      <alignment horizontal="center"/>
    </xf>
    <xf numFmtId="0" fontId="9" fillId="0" borderId="15" xfId="0" quotePrefix="1" applyFont="1" applyBorder="1"/>
    <xf numFmtId="49" fontId="10" fillId="2" borderId="21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0" xfId="2" applyFont="1" applyFill="1" applyBorder="1" applyAlignment="1">
      <alignment horizontal="center"/>
    </xf>
    <xf numFmtId="0" fontId="9" fillId="4" borderId="10" xfId="2" applyFont="1" applyFill="1" applyBorder="1" applyAlignment="1">
      <alignment horizontal="center"/>
    </xf>
    <xf numFmtId="0" fontId="9" fillId="4" borderId="9" xfId="2" applyFont="1" applyFill="1" applyBorder="1" applyAlignment="1">
      <alignment horizontal="center"/>
    </xf>
    <xf numFmtId="0" fontId="9" fillId="4" borderId="9" xfId="2" applyFont="1" applyFill="1" applyBorder="1"/>
    <xf numFmtId="0" fontId="7" fillId="4" borderId="9" xfId="2" applyFont="1" applyFill="1" applyBorder="1" applyAlignment="1">
      <alignment horizontal="center"/>
    </xf>
    <xf numFmtId="1" fontId="7" fillId="4" borderId="9" xfId="2" applyNumberFormat="1" applyFont="1" applyFill="1" applyBorder="1" applyAlignment="1">
      <alignment horizontal="center"/>
    </xf>
    <xf numFmtId="164" fontId="9" fillId="4" borderId="9" xfId="2" applyNumberFormat="1" applyFont="1" applyFill="1" applyBorder="1" applyAlignment="1">
      <alignment horizontal="center" wrapText="1"/>
    </xf>
    <xf numFmtId="0" fontId="9" fillId="4" borderId="8" xfId="2" applyFont="1" applyFill="1" applyBorder="1" applyAlignment="1">
      <alignment horizontal="center"/>
    </xf>
    <xf numFmtId="0" fontId="7" fillId="0" borderId="7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1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64" fontId="9" fillId="0" borderId="18" xfId="2" applyNumberFormat="1" applyFont="1" applyBorder="1" applyAlignment="1">
      <alignment horizontal="right"/>
    </xf>
    <xf numFmtId="0" fontId="9" fillId="2" borderId="17" xfId="2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/>
    </xf>
    <xf numFmtId="0" fontId="7" fillId="0" borderId="16" xfId="2" applyFont="1" applyBorder="1" applyAlignment="1">
      <alignment horizontal="right"/>
    </xf>
    <xf numFmtId="0" fontId="7" fillId="0" borderId="3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164" fontId="9" fillId="0" borderId="4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164" fontId="9" fillId="0" borderId="4" xfId="2" applyNumberFormat="1" applyFont="1" applyBorder="1" applyAlignment="1">
      <alignment horizontal="right" wrapText="1"/>
    </xf>
    <xf numFmtId="164" fontId="9" fillId="0" borderId="2" xfId="2" applyNumberFormat="1" applyFont="1" applyBorder="1" applyAlignment="1">
      <alignment horizontal="right" wrapText="1"/>
    </xf>
    <xf numFmtId="164" fontId="9" fillId="0" borderId="4" xfId="0" applyNumberFormat="1" applyFont="1" applyBorder="1" applyAlignment="1">
      <alignment horizontal="center" wrapText="1"/>
    </xf>
    <xf numFmtId="164" fontId="9" fillId="0" borderId="11" xfId="0" applyNumberFormat="1" applyFont="1" applyBorder="1" applyAlignment="1">
      <alignment horizontal="center" wrapText="1"/>
    </xf>
    <xf numFmtId="0" fontId="7" fillId="0" borderId="14" xfId="2" applyFont="1" applyBorder="1" applyAlignment="1">
      <alignment horizontal="right"/>
    </xf>
    <xf numFmtId="0" fontId="7" fillId="0" borderId="13" xfId="2" applyFont="1" applyBorder="1" applyAlignment="1">
      <alignment horizontal="right"/>
    </xf>
    <xf numFmtId="0" fontId="7" fillId="0" borderId="12" xfId="2" applyFont="1" applyBorder="1" applyAlignment="1">
      <alignment horizontal="right"/>
    </xf>
    <xf numFmtId="1" fontId="9" fillId="0" borderId="12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2" xfId="2" applyFont="1" applyBorder="1" applyAlignment="1">
      <alignment horizontal="right"/>
    </xf>
    <xf numFmtId="0" fontId="7" fillId="0" borderId="7" xfId="2" applyFont="1" applyBorder="1" applyAlignment="1">
      <alignment horizontal="left" wrapText="1"/>
    </xf>
    <xf numFmtId="0" fontId="7" fillId="0" borderId="6" xfId="2" applyFont="1" applyBorder="1" applyAlignment="1">
      <alignment horizontal="left" wrapText="1"/>
    </xf>
    <xf numFmtId="0" fontId="7" fillId="0" borderId="5" xfId="2" applyFont="1" applyBorder="1" applyAlignment="1">
      <alignment horizontal="left" wrapText="1"/>
    </xf>
    <xf numFmtId="0" fontId="9" fillId="0" borderId="0" xfId="0" applyFont="1"/>
    <xf numFmtId="0" fontId="11" fillId="5" borderId="4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left" wrapText="1"/>
    </xf>
    <xf numFmtId="0" fontId="9" fillId="0" borderId="42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7" fillId="3" borderId="15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left"/>
    </xf>
    <xf numFmtId="0" fontId="7" fillId="4" borderId="10" xfId="2" applyFont="1" applyFill="1" applyBorder="1" applyAlignment="1">
      <alignment horizontal="center"/>
    </xf>
    <xf numFmtId="0" fontId="7" fillId="4" borderId="9" xfId="2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/>
    </xf>
    <xf numFmtId="0" fontId="12" fillId="2" borderId="28" xfId="1" applyFont="1" applyFill="1" applyBorder="1" applyAlignment="1">
      <alignment horizontal="center"/>
    </xf>
    <xf numFmtId="14" fontId="12" fillId="2" borderId="0" xfId="1" applyNumberFormat="1" applyFont="1" applyFill="1" applyAlignment="1">
      <alignment horizontal="center" vertical="center" wrapText="1"/>
    </xf>
  </cellXfs>
  <cellStyles count="3">
    <cellStyle name="Normal" xfId="0" builtinId="0"/>
    <cellStyle name="Normal 2" xfId="2" xr:uid="{31363993-9B5D-469D-8404-7A5381512B97}"/>
    <cellStyle name="Normal_CRITERIOS DE EVALUACION PT DE GB 2" xfId="1" xr:uid="{A7DC2A80-E0D4-4844-9A69-BE1946028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0</xdr:row>
      <xdr:rowOff>217713</xdr:rowOff>
    </xdr:from>
    <xdr:to>
      <xdr:col>1</xdr:col>
      <xdr:colOff>1011341</xdr:colOff>
      <xdr:row>4</xdr:row>
      <xdr:rowOff>40822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E26CD00-34E9-49D1-829B-B99A14DF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" y="217713"/>
          <a:ext cx="2018270" cy="911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B71F-EDAA-401E-8BCF-5E378F80BEE9}">
  <sheetPr>
    <pageSetUpPr fitToPage="1"/>
  </sheetPr>
  <dimension ref="A1:L34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6.28515625" customWidth="1"/>
    <col min="3" max="3" width="67.42578125" customWidth="1"/>
    <col min="4" max="4" width="20.5703125" customWidth="1"/>
    <col min="5" max="5" width="17.85546875" customWidth="1"/>
    <col min="6" max="6" width="14.7109375" customWidth="1"/>
    <col min="7" max="7" width="19" customWidth="1"/>
    <col min="8" max="8" width="20.85546875" customWidth="1"/>
    <col min="9" max="9" width="23.7109375" bestFit="1" customWidth="1"/>
  </cols>
  <sheetData>
    <row r="1" spans="1:11" ht="18" x14ac:dyDescent="0.25">
      <c r="A1" s="41"/>
      <c r="B1" s="40"/>
      <c r="C1" s="39" t="s">
        <v>58</v>
      </c>
      <c r="D1" s="39"/>
      <c r="E1" s="39"/>
      <c r="F1" s="39"/>
      <c r="G1" s="39"/>
      <c r="H1" s="38" t="s">
        <v>57</v>
      </c>
      <c r="I1" s="37" t="s">
        <v>56</v>
      </c>
    </row>
    <row r="2" spans="1:11" ht="18" customHeight="1" thickBot="1" x14ac:dyDescent="0.3">
      <c r="A2" s="29"/>
      <c r="B2" s="28"/>
      <c r="C2" s="36" t="s">
        <v>55</v>
      </c>
      <c r="D2" s="35"/>
      <c r="E2" s="35"/>
      <c r="F2" s="35"/>
      <c r="G2" s="34"/>
      <c r="H2" s="33" t="s">
        <v>54</v>
      </c>
      <c r="I2" s="32" t="s">
        <v>59</v>
      </c>
    </row>
    <row r="3" spans="1:11" ht="31.5" customHeight="1" thickBot="1" x14ac:dyDescent="0.25">
      <c r="A3" s="29"/>
      <c r="B3" s="28"/>
      <c r="C3" s="104" t="s">
        <v>53</v>
      </c>
      <c r="D3" s="105"/>
      <c r="E3" s="105"/>
      <c r="F3" s="105"/>
      <c r="G3" s="106"/>
      <c r="H3" s="31" t="s">
        <v>52</v>
      </c>
      <c r="I3" s="30">
        <v>45618</v>
      </c>
    </row>
    <row r="4" spans="1:11" ht="18" customHeight="1" x14ac:dyDescent="0.25">
      <c r="A4" s="29"/>
      <c r="B4" s="28"/>
      <c r="C4" s="27" t="s">
        <v>51</v>
      </c>
      <c r="D4" s="26" t="s">
        <v>50</v>
      </c>
      <c r="E4" s="25"/>
      <c r="F4" s="25"/>
      <c r="G4" s="24"/>
      <c r="H4" s="23"/>
      <c r="I4" s="22"/>
    </row>
    <row r="5" spans="1:11" ht="18.75" thickBot="1" x14ac:dyDescent="0.3">
      <c r="A5" s="21"/>
      <c r="B5" s="20"/>
      <c r="C5" s="19" t="s">
        <v>49</v>
      </c>
      <c r="D5" s="18" t="s">
        <v>48</v>
      </c>
      <c r="E5" s="17"/>
      <c r="F5" s="17"/>
      <c r="G5" s="16"/>
      <c r="H5" s="15"/>
      <c r="I5" s="14"/>
    </row>
    <row r="6" spans="1:11" ht="21" thickBot="1" x14ac:dyDescent="0.35">
      <c r="A6" s="13" t="s">
        <v>47</v>
      </c>
      <c r="B6" s="13"/>
      <c r="C6" s="13"/>
      <c r="D6" s="115" t="s">
        <v>45</v>
      </c>
      <c r="E6" s="115"/>
      <c r="F6" s="115"/>
      <c r="G6" s="12" t="s">
        <v>46</v>
      </c>
      <c r="H6" s="12"/>
      <c r="I6" s="116" t="s">
        <v>45</v>
      </c>
    </row>
    <row r="7" spans="1:11" ht="36" x14ac:dyDescent="0.2">
      <c r="A7" s="11" t="s">
        <v>44</v>
      </c>
      <c r="B7" s="10" t="s">
        <v>43</v>
      </c>
      <c r="C7" s="9" t="s">
        <v>42</v>
      </c>
      <c r="D7" s="9" t="s">
        <v>41</v>
      </c>
      <c r="E7" s="9" t="s">
        <v>40</v>
      </c>
      <c r="F7" s="9"/>
      <c r="G7" s="9" t="s">
        <v>39</v>
      </c>
      <c r="H7" s="9"/>
      <c r="I7" s="8" t="s">
        <v>38</v>
      </c>
    </row>
    <row r="8" spans="1:11" ht="54.75" thickBot="1" x14ac:dyDescent="0.3">
      <c r="A8" s="7"/>
      <c r="B8" s="6"/>
      <c r="C8" s="5"/>
      <c r="D8" s="5"/>
      <c r="E8" s="4" t="s">
        <v>21</v>
      </c>
      <c r="F8" s="3" t="s">
        <v>37</v>
      </c>
      <c r="G8" s="4" t="s">
        <v>21</v>
      </c>
      <c r="H8" s="3" t="s">
        <v>37</v>
      </c>
      <c r="I8" s="2" t="s">
        <v>36</v>
      </c>
    </row>
    <row r="9" spans="1:11" ht="18.600000000000001" customHeight="1" x14ac:dyDescent="0.3">
      <c r="A9" s="42"/>
      <c r="B9" s="43"/>
      <c r="C9" s="44" t="s">
        <v>35</v>
      </c>
      <c r="D9" s="45"/>
      <c r="E9" s="46"/>
      <c r="F9" s="47"/>
      <c r="G9" s="46"/>
      <c r="H9" s="47"/>
      <c r="I9" s="48"/>
    </row>
    <row r="10" spans="1:11" ht="20.25" x14ac:dyDescent="0.3">
      <c r="A10" s="49">
        <v>906000135</v>
      </c>
      <c r="B10" s="50" t="s">
        <v>34</v>
      </c>
      <c r="C10" s="51" t="s">
        <v>33</v>
      </c>
      <c r="D10" s="52" t="s">
        <v>26</v>
      </c>
      <c r="E10" s="53">
        <v>26655</v>
      </c>
      <c r="F10" s="54" t="s">
        <v>8</v>
      </c>
      <c r="G10" s="55"/>
      <c r="H10" s="56"/>
      <c r="I10" s="48"/>
      <c r="J10">
        <f>+E10/$D$20</f>
        <v>0.55845380263984912</v>
      </c>
    </row>
    <row r="11" spans="1:11" ht="20.25" x14ac:dyDescent="0.3">
      <c r="A11" s="52" t="s">
        <v>32</v>
      </c>
      <c r="B11" s="52" t="s">
        <v>31</v>
      </c>
      <c r="C11" s="57" t="s">
        <v>30</v>
      </c>
      <c r="D11" s="52" t="s">
        <v>29</v>
      </c>
      <c r="E11" s="53">
        <v>4450</v>
      </c>
      <c r="F11" s="54" t="s">
        <v>8</v>
      </c>
      <c r="G11" s="55"/>
      <c r="H11" s="56"/>
      <c r="I11" s="48"/>
      <c r="J11">
        <f>+E11/$D$20</f>
        <v>9.3232767651372297E-2</v>
      </c>
      <c r="K11">
        <f>+J11*1000</f>
        <v>93.232767651372299</v>
      </c>
    </row>
    <row r="12" spans="1:11" ht="20.25" x14ac:dyDescent="0.3">
      <c r="A12" s="52" t="s">
        <v>28</v>
      </c>
      <c r="B12" s="52"/>
      <c r="C12" s="57" t="s">
        <v>27</v>
      </c>
      <c r="D12" s="52" t="s">
        <v>26</v>
      </c>
      <c r="E12" s="53">
        <v>9680</v>
      </c>
      <c r="F12" s="54" t="s">
        <v>8</v>
      </c>
      <c r="G12" s="55"/>
      <c r="H12" s="56"/>
      <c r="I12" s="48"/>
      <c r="J12">
        <f>+E12/$D$20</f>
        <v>0.20280745862141211</v>
      </c>
    </row>
    <row r="13" spans="1:11" ht="20.25" x14ac:dyDescent="0.3">
      <c r="A13" s="52">
        <v>10100050</v>
      </c>
      <c r="B13" s="52" t="s">
        <v>25</v>
      </c>
      <c r="C13" s="57" t="s">
        <v>24</v>
      </c>
      <c r="D13" s="52" t="s">
        <v>23</v>
      </c>
      <c r="E13" s="53">
        <v>8200</v>
      </c>
      <c r="F13" s="54" t="s">
        <v>8</v>
      </c>
      <c r="G13" s="55"/>
      <c r="H13" s="56"/>
      <c r="I13" s="48"/>
      <c r="J13">
        <f>+E13/$D$20</f>
        <v>0.17179970668342762</v>
      </c>
      <c r="K13">
        <f>+J13*1000</f>
        <v>171.79970668342762</v>
      </c>
    </row>
    <row r="14" spans="1:11" ht="20.25" x14ac:dyDescent="0.3">
      <c r="A14" s="52"/>
      <c r="B14" s="52"/>
      <c r="C14" s="57"/>
      <c r="D14" s="52"/>
      <c r="E14" s="53"/>
      <c r="F14" s="54"/>
      <c r="G14" s="55"/>
      <c r="H14" s="56"/>
      <c r="I14" s="48"/>
    </row>
    <row r="15" spans="1:11" ht="20.25" x14ac:dyDescent="0.3">
      <c r="A15" s="52"/>
      <c r="B15" s="52"/>
      <c r="C15" s="57"/>
      <c r="D15" s="52"/>
      <c r="E15" s="53"/>
      <c r="F15" s="54"/>
      <c r="G15" s="55"/>
      <c r="H15" s="56"/>
      <c r="I15" s="48"/>
    </row>
    <row r="16" spans="1:11" ht="20.25" x14ac:dyDescent="0.3">
      <c r="A16" s="52"/>
      <c r="B16" s="52"/>
      <c r="C16" s="57"/>
      <c r="D16" s="50"/>
      <c r="E16" s="58"/>
      <c r="F16" s="59"/>
      <c r="G16" s="60"/>
      <c r="H16" s="56"/>
      <c r="I16" s="48"/>
    </row>
    <row r="17" spans="1:12" ht="20.25" x14ac:dyDescent="0.3">
      <c r="A17" s="61"/>
      <c r="B17" s="61"/>
      <c r="C17" s="62"/>
      <c r="D17" s="50"/>
      <c r="E17" s="59"/>
      <c r="F17" s="59"/>
      <c r="G17" s="60"/>
      <c r="H17" s="47"/>
      <c r="I17" s="48"/>
    </row>
    <row r="18" spans="1:12" ht="21" thickBot="1" x14ac:dyDescent="0.35">
      <c r="A18" s="63"/>
      <c r="B18" s="64"/>
      <c r="C18" s="65" t="s">
        <v>22</v>
      </c>
      <c r="D18" s="65"/>
      <c r="E18" s="66"/>
      <c r="F18" s="67"/>
      <c r="G18" s="65"/>
      <c r="H18" s="65"/>
      <c r="I18" s="68"/>
      <c r="K18" s="1">
        <f>SUM(E10:E13)</f>
        <v>48985</v>
      </c>
    </row>
    <row r="19" spans="1:12" ht="21" thickBot="1" x14ac:dyDescent="0.35">
      <c r="A19" s="69"/>
      <c r="B19" s="70"/>
      <c r="C19" s="71" t="s">
        <v>22</v>
      </c>
      <c r="D19" s="72" t="s">
        <v>21</v>
      </c>
      <c r="E19" s="73" t="s">
        <v>20</v>
      </c>
      <c r="F19" s="74"/>
      <c r="G19" s="71"/>
      <c r="H19" s="71"/>
      <c r="I19" s="75"/>
      <c r="K19" s="1">
        <f>+K18-650</f>
        <v>48335</v>
      </c>
    </row>
    <row r="20" spans="1:12" ht="20.25" x14ac:dyDescent="0.3">
      <c r="A20" s="76" t="s">
        <v>19</v>
      </c>
      <c r="B20" s="77"/>
      <c r="C20" s="78"/>
      <c r="D20" s="79">
        <v>47730</v>
      </c>
      <c r="E20" s="80" t="s">
        <v>8</v>
      </c>
      <c r="F20" s="81" t="s">
        <v>18</v>
      </c>
      <c r="G20" s="81"/>
      <c r="H20" s="82"/>
      <c r="I20" s="83"/>
    </row>
    <row r="21" spans="1:12" ht="20.25" x14ac:dyDescent="0.3">
      <c r="A21" s="84" t="s">
        <v>17</v>
      </c>
      <c r="B21" s="85"/>
      <c r="C21" s="86"/>
      <c r="D21" s="58">
        <v>10</v>
      </c>
      <c r="E21" s="50" t="s">
        <v>16</v>
      </c>
      <c r="F21" s="87" t="s">
        <v>15</v>
      </c>
      <c r="G21" s="87"/>
      <c r="H21" s="88"/>
      <c r="I21" s="89"/>
      <c r="L21" s="1"/>
    </row>
    <row r="22" spans="1:12" ht="20.25" x14ac:dyDescent="0.3">
      <c r="A22" s="84" t="s">
        <v>14</v>
      </c>
      <c r="B22" s="85"/>
      <c r="C22" s="86"/>
      <c r="D22" s="58">
        <v>1</v>
      </c>
      <c r="E22" s="50" t="s">
        <v>13</v>
      </c>
      <c r="F22" s="87" t="s">
        <v>12</v>
      </c>
      <c r="G22" s="87"/>
      <c r="H22" s="88"/>
      <c r="I22" s="89"/>
    </row>
    <row r="23" spans="1:12" ht="20.25" x14ac:dyDescent="0.3">
      <c r="A23" s="84" t="s">
        <v>11</v>
      </c>
      <c r="B23" s="85"/>
      <c r="C23" s="86"/>
      <c r="D23" s="58">
        <v>47730</v>
      </c>
      <c r="E23" s="50" t="s">
        <v>8</v>
      </c>
      <c r="F23" s="90" t="s">
        <v>10</v>
      </c>
      <c r="G23" s="91"/>
      <c r="H23" s="92"/>
      <c r="I23" s="93"/>
    </row>
    <row r="24" spans="1:12" ht="21" thickBot="1" x14ac:dyDescent="0.35">
      <c r="A24" s="94" t="s">
        <v>9</v>
      </c>
      <c r="B24" s="95"/>
      <c r="C24" s="96"/>
      <c r="D24" s="97">
        <v>650</v>
      </c>
      <c r="E24" s="98" t="s">
        <v>8</v>
      </c>
      <c r="F24" s="99"/>
      <c r="G24" s="99"/>
      <c r="H24" s="88"/>
      <c r="I24" s="89"/>
    </row>
    <row r="25" spans="1:12" ht="21" thickBot="1" x14ac:dyDescent="0.35">
      <c r="A25" s="112" t="s">
        <v>7</v>
      </c>
      <c r="B25" s="113"/>
      <c r="C25" s="113"/>
      <c r="D25" s="113"/>
      <c r="E25" s="113"/>
      <c r="F25" s="113"/>
      <c r="G25" s="113"/>
      <c r="H25" s="113"/>
      <c r="I25" s="114"/>
    </row>
    <row r="26" spans="1:12" ht="20.25" x14ac:dyDescent="0.3">
      <c r="A26" s="100" t="s">
        <v>6</v>
      </c>
      <c r="B26" s="101"/>
      <c r="C26" s="101"/>
      <c r="D26" s="101"/>
      <c r="E26" s="101"/>
      <c r="F26" s="101"/>
      <c r="G26" s="101"/>
      <c r="H26" s="101"/>
      <c r="I26" s="102"/>
    </row>
    <row r="27" spans="1:12" ht="20.25" x14ac:dyDescent="0.3">
      <c r="A27" s="100" t="s">
        <v>5</v>
      </c>
      <c r="B27" s="101"/>
      <c r="C27" s="101"/>
      <c r="D27" s="101"/>
      <c r="E27" s="101"/>
      <c r="F27" s="101"/>
      <c r="G27" s="101"/>
      <c r="H27" s="101"/>
      <c r="I27" s="102"/>
    </row>
    <row r="28" spans="1:12" ht="20.25" x14ac:dyDescent="0.3">
      <c r="A28" s="100" t="s">
        <v>4</v>
      </c>
      <c r="B28" s="101"/>
      <c r="C28" s="101"/>
      <c r="D28" s="101"/>
      <c r="E28" s="101"/>
      <c r="F28" s="101"/>
      <c r="G28" s="101"/>
      <c r="H28" s="101"/>
      <c r="I28" s="102"/>
    </row>
    <row r="29" spans="1:12" ht="20.25" x14ac:dyDescent="0.3">
      <c r="A29" s="100" t="s">
        <v>3</v>
      </c>
      <c r="B29" s="101"/>
      <c r="C29" s="101"/>
      <c r="D29" s="101"/>
      <c r="E29" s="101"/>
      <c r="F29" s="101"/>
      <c r="G29" s="101"/>
      <c r="H29" s="101"/>
      <c r="I29" s="102"/>
    </row>
    <row r="30" spans="1:12" ht="14.45" customHeight="1" x14ac:dyDescent="0.3">
      <c r="A30" s="107"/>
      <c r="B30" s="108"/>
      <c r="C30" s="108"/>
      <c r="D30" s="108"/>
      <c r="E30" s="108"/>
      <c r="F30" s="108"/>
      <c r="G30" s="108"/>
      <c r="H30" s="108"/>
      <c r="I30" s="109"/>
    </row>
    <row r="31" spans="1:12" ht="20.25" x14ac:dyDescent="0.3">
      <c r="A31" s="110" t="s">
        <v>2</v>
      </c>
      <c r="B31" s="110"/>
      <c r="C31" s="110"/>
      <c r="D31" s="110"/>
      <c r="E31" s="110"/>
      <c r="F31" s="110"/>
      <c r="G31" s="110"/>
      <c r="H31" s="110"/>
      <c r="I31" s="110"/>
    </row>
    <row r="32" spans="1:12" ht="20.25" x14ac:dyDescent="0.3">
      <c r="A32" s="111" t="s">
        <v>1</v>
      </c>
      <c r="B32" s="111"/>
      <c r="C32" s="111"/>
      <c r="D32" s="111"/>
      <c r="E32" s="111"/>
      <c r="F32" s="111"/>
      <c r="G32" s="111"/>
      <c r="H32" s="111"/>
      <c r="I32" s="111"/>
    </row>
    <row r="33" spans="1:9" ht="20.25" x14ac:dyDescent="0.3">
      <c r="A33" s="111" t="s">
        <v>0</v>
      </c>
      <c r="B33" s="111"/>
      <c r="C33" s="111"/>
      <c r="D33" s="111"/>
      <c r="E33" s="111"/>
      <c r="F33" s="111"/>
      <c r="G33" s="111"/>
      <c r="H33" s="111"/>
      <c r="I33" s="111"/>
    </row>
    <row r="34" spans="1:9" ht="20.25" x14ac:dyDescent="0.3">
      <c r="A34" s="103"/>
      <c r="B34" s="103"/>
      <c r="C34" s="103"/>
      <c r="D34" s="103"/>
      <c r="E34" s="103"/>
      <c r="F34" s="103"/>
      <c r="G34" s="103"/>
      <c r="H34" s="103"/>
      <c r="I34" s="103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3:I23"/>
    <mergeCell ref="A20:C20"/>
    <mergeCell ref="F20:G20"/>
    <mergeCell ref="H20:I20"/>
    <mergeCell ref="A21:C21"/>
    <mergeCell ref="F21:G21"/>
    <mergeCell ref="H21:I21"/>
    <mergeCell ref="A28:I28"/>
    <mergeCell ref="A29:I29"/>
    <mergeCell ref="A22:C22"/>
    <mergeCell ref="F22:G22"/>
    <mergeCell ref="H22:I22"/>
    <mergeCell ref="A23:C23"/>
    <mergeCell ref="F23:G23"/>
    <mergeCell ref="A24:C24"/>
    <mergeCell ref="F24:G24"/>
    <mergeCell ref="H24:I24"/>
    <mergeCell ref="A25:I25"/>
    <mergeCell ref="A26:I26"/>
    <mergeCell ref="A27:I27"/>
    <mergeCell ref="A30:I30"/>
    <mergeCell ref="A31:I31"/>
    <mergeCell ref="A32:I32"/>
    <mergeCell ref="A33:I33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E260764-704D-4399-93FB-2AC7BB5244E4}"/>
</file>

<file path=customXml/itemProps2.xml><?xml version="1.0" encoding="utf-8"?>
<ds:datastoreItem xmlns:ds="http://schemas.openxmlformats.org/officeDocument/2006/customXml" ds:itemID="{C7F8E35D-DB05-451E-A175-54EFE8C16033}"/>
</file>

<file path=customXml/itemProps3.xml><?xml version="1.0" encoding="utf-8"?>
<ds:datastoreItem xmlns:ds="http://schemas.openxmlformats.org/officeDocument/2006/customXml" ds:itemID="{4A18AF74-DB88-44DC-B200-155227E8D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Batido Nuevo</vt:lpstr>
      <vt:lpstr>'Batido Nuevo'!Área_de_impresión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2025-11-19T17:47:05Z</cp:lastPrinted>
  <dcterms:created xsi:type="dcterms:W3CDTF">2025-11-19T17:03:57Z</dcterms:created>
  <dcterms:modified xsi:type="dcterms:W3CDTF">2025-11-19T17:50:36Z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
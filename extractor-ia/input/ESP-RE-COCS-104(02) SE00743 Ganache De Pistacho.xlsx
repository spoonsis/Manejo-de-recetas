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88725A43-1A11-4FCE-BFF7-CDF14F1DB686}" xr6:coauthVersionLast="47" xr6:coauthVersionMax="47" xr10:uidLastSave="{67EB6E86-9DDC-416D-B50E-EB682067D647}"/>
  <bookViews>
    <workbookView xWindow="-120" yWindow="-120" windowWidth="20730" windowHeight="11040" tabRatio="800" firstSheet="4" activeTab="4" xr2:uid="{6DA264AB-CE76-4E37-9394-034DF053B11A}"/>
  </bookViews>
  <sheets>
    <sheet name="Porción Torta Pistacho" sheetId="1" state="hidden" r:id="rId1"/>
    <sheet name="Costo Porcion Torta " sheetId="8" state="hidden" r:id="rId2"/>
    <sheet name="Costo Disco " sheetId="9" state="hidden" r:id="rId3"/>
    <sheet name="Ganache de Pistacho" sheetId="7" state="hidden" r:id="rId4"/>
    <sheet name="Ganache de Pistacho " sheetId="11" r:id="rId5"/>
    <sheet name="Costo Ganache " sheetId="10" state="hidden" r:id="rId6"/>
  </sheets>
  <externalReferences>
    <externalReference r:id="rId7"/>
    <externalReference r:id="rId8"/>
    <externalReference r:id="rId9"/>
  </externalReferences>
  <definedNames>
    <definedName name="_xlnm.Print_Area" localSheetId="4">'Ganache de Pistacho '!$A$1:$I$47</definedName>
    <definedName name="_xlnm.Print_Area" localSheetId="0">'Porción Torta Pistacho'!$A$1:$I$45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8" l="1"/>
  <c r="E38" i="8"/>
  <c r="E20" i="8"/>
  <c r="E45" i="8"/>
  <c r="E36" i="8"/>
  <c r="E18" i="8"/>
  <c r="F18" i="8" s="1"/>
  <c r="E47" i="9"/>
  <c r="E38" i="9"/>
  <c r="E20" i="9"/>
  <c r="F20" i="9" s="1"/>
  <c r="D73" i="8"/>
  <c r="D74" i="8" s="1"/>
  <c r="D76" i="8" s="1"/>
  <c r="D71" i="8"/>
  <c r="D69" i="8"/>
  <c r="F65" i="8"/>
  <c r="C73" i="8" s="1"/>
  <c r="D60" i="8"/>
  <c r="D83" i="8" s="1"/>
  <c r="C51" i="8"/>
  <c r="E50" i="8"/>
  <c r="D50" i="8"/>
  <c r="B50" i="8"/>
  <c r="E49" i="8"/>
  <c r="D49" i="8"/>
  <c r="B49" i="8"/>
  <c r="E48" i="8"/>
  <c r="D48" i="8"/>
  <c r="B48" i="8"/>
  <c r="E41" i="8"/>
  <c r="D41" i="8"/>
  <c r="B41" i="8"/>
  <c r="A41" i="8"/>
  <c r="A50" i="8" s="1"/>
  <c r="C50" i="8" s="1"/>
  <c r="E40" i="8"/>
  <c r="D40" i="8"/>
  <c r="B40" i="8"/>
  <c r="A40" i="8"/>
  <c r="C40" i="8" s="1"/>
  <c r="E39" i="8"/>
  <c r="D39" i="8"/>
  <c r="B39" i="8"/>
  <c r="A39" i="8"/>
  <c r="C39" i="8" s="1"/>
  <c r="A38" i="8"/>
  <c r="A47" i="8" s="1"/>
  <c r="C47" i="8" s="1"/>
  <c r="A37" i="8"/>
  <c r="C37" i="8" s="1"/>
  <c r="A36" i="8"/>
  <c r="C36" i="8" s="1"/>
  <c r="A35" i="8"/>
  <c r="C35" i="8" s="1"/>
  <c r="C32" i="8"/>
  <c r="C31" i="8"/>
  <c r="C30" i="8"/>
  <c r="C29" i="8"/>
  <c r="C28" i="8"/>
  <c r="F28" i="8" s="1"/>
  <c r="C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C20" i="8"/>
  <c r="C19" i="8"/>
  <c r="C18" i="8"/>
  <c r="C17" i="8"/>
  <c r="B15" i="8"/>
  <c r="E14" i="8"/>
  <c r="D14" i="8"/>
  <c r="C14" i="8"/>
  <c r="B14" i="8"/>
  <c r="E13" i="8"/>
  <c r="F13" i="8" s="1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F10" i="8" s="1"/>
  <c r="D10" i="8"/>
  <c r="C10" i="8"/>
  <c r="B10" i="8"/>
  <c r="E9" i="8"/>
  <c r="F9" i="8" s="1"/>
  <c r="D9" i="8"/>
  <c r="C9" i="8"/>
  <c r="B9" i="8"/>
  <c r="E8" i="8"/>
  <c r="F8" i="8" s="1"/>
  <c r="D8" i="8"/>
  <c r="C8" i="8"/>
  <c r="B8" i="8"/>
  <c r="H6" i="8"/>
  <c r="D73" i="9"/>
  <c r="D74" i="9" s="1"/>
  <c r="D76" i="9" s="1"/>
  <c r="D71" i="9"/>
  <c r="D69" i="9"/>
  <c r="F65" i="9"/>
  <c r="C73" i="9" s="1"/>
  <c r="D60" i="9"/>
  <c r="D85" i="9" s="1"/>
  <c r="D86" i="9" s="1"/>
  <c r="E51" i="9"/>
  <c r="C51" i="9"/>
  <c r="E50" i="9"/>
  <c r="D50" i="9"/>
  <c r="B50" i="9"/>
  <c r="A45" i="9"/>
  <c r="C45" i="9" s="1"/>
  <c r="E41" i="9"/>
  <c r="D41" i="9"/>
  <c r="B41" i="9"/>
  <c r="A41" i="9"/>
  <c r="A50" i="9" s="1"/>
  <c r="C50" i="9" s="1"/>
  <c r="A40" i="9"/>
  <c r="C40" i="9" s="1"/>
  <c r="F40" i="9" s="1"/>
  <c r="A39" i="9"/>
  <c r="C39" i="9" s="1"/>
  <c r="A38" i="9"/>
  <c r="C38" i="9" s="1"/>
  <c r="A37" i="9"/>
  <c r="A46" i="9" s="1"/>
  <c r="C46" i="9" s="1"/>
  <c r="A36" i="9"/>
  <c r="C36" i="9" s="1"/>
  <c r="A35" i="9"/>
  <c r="C35" i="9" s="1"/>
  <c r="E32" i="9"/>
  <c r="F32" i="9" s="1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C22" i="9"/>
  <c r="C21" i="9"/>
  <c r="C20" i="9"/>
  <c r="C19" i="9"/>
  <c r="C18" i="9"/>
  <c r="C17" i="9"/>
  <c r="B15" i="9"/>
  <c r="E14" i="9"/>
  <c r="F14" i="9" s="1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F11" i="9" s="1"/>
  <c r="D11" i="9"/>
  <c r="C11" i="9"/>
  <c r="B11" i="9"/>
  <c r="E10" i="9"/>
  <c r="D10" i="9"/>
  <c r="C10" i="9"/>
  <c r="B10" i="9"/>
  <c r="E9" i="9"/>
  <c r="F9" i="9" s="1"/>
  <c r="D9" i="9"/>
  <c r="C9" i="9"/>
  <c r="B9" i="9"/>
  <c r="E8" i="9"/>
  <c r="F8" i="9" s="1"/>
  <c r="D8" i="9"/>
  <c r="C8" i="9"/>
  <c r="B8" i="9"/>
  <c r="H6" i="9"/>
  <c r="D73" i="10"/>
  <c r="D74" i="10" s="1"/>
  <c r="D76" i="10" s="1"/>
  <c r="D71" i="10"/>
  <c r="D69" i="10"/>
  <c r="F65" i="10"/>
  <c r="C73" i="10" s="1"/>
  <c r="C85" i="10" s="1"/>
  <c r="D60" i="10"/>
  <c r="D85" i="10" s="1"/>
  <c r="D86" i="10" s="1"/>
  <c r="E51" i="10"/>
  <c r="F51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E44" i="10"/>
  <c r="D44" i="10"/>
  <c r="B44" i="10"/>
  <c r="E41" i="10"/>
  <c r="D41" i="10"/>
  <c r="B41" i="10"/>
  <c r="A41" i="10"/>
  <c r="A50" i="10" s="1"/>
  <c r="C50" i="10" s="1"/>
  <c r="E40" i="10"/>
  <c r="D40" i="10"/>
  <c r="B40" i="10"/>
  <c r="A40" i="10"/>
  <c r="A49" i="10" s="1"/>
  <c r="C49" i="10" s="1"/>
  <c r="E39" i="10"/>
  <c r="D39" i="10"/>
  <c r="B39" i="10"/>
  <c r="A39" i="10"/>
  <c r="C39" i="10" s="1"/>
  <c r="E38" i="10"/>
  <c r="F38" i="10" s="1"/>
  <c r="D38" i="10"/>
  <c r="B38" i="10"/>
  <c r="A38" i="10"/>
  <c r="C38" i="10" s="1"/>
  <c r="E37" i="10"/>
  <c r="D37" i="10"/>
  <c r="B37" i="10"/>
  <c r="A37" i="10"/>
  <c r="A46" i="10" s="1"/>
  <c r="C46" i="10" s="1"/>
  <c r="E36" i="10"/>
  <c r="F36" i="10" s="1"/>
  <c r="D36" i="10"/>
  <c r="C36" i="10"/>
  <c r="B36" i="10"/>
  <c r="A36" i="10"/>
  <c r="A45" i="10" s="1"/>
  <c r="C45" i="10" s="1"/>
  <c r="E35" i="10"/>
  <c r="D35" i="10"/>
  <c r="B35" i="10"/>
  <c r="A35" i="10"/>
  <c r="C35" i="10" s="1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F27" i="10" s="1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E17" i="10"/>
  <c r="F17" i="10" s="1"/>
  <c r="D17" i="10"/>
  <c r="C17" i="10"/>
  <c r="B17" i="10"/>
  <c r="B15" i="10"/>
  <c r="E14" i="10"/>
  <c r="F14" i="10" s="1"/>
  <c r="D14" i="10"/>
  <c r="C14" i="10"/>
  <c r="B14" i="10"/>
  <c r="E13" i="10"/>
  <c r="F13" i="10" s="1"/>
  <c r="D13" i="10"/>
  <c r="C13" i="10"/>
  <c r="B13" i="10"/>
  <c r="C12" i="10"/>
  <c r="F12" i="10" s="1"/>
  <c r="C11" i="10"/>
  <c r="F11" i="10" s="1"/>
  <c r="C10" i="10"/>
  <c r="F10" i="10" s="1"/>
  <c r="D9" i="10"/>
  <c r="C9" i="10"/>
  <c r="B9" i="10"/>
  <c r="D8" i="10"/>
  <c r="C8" i="10"/>
  <c r="B8" i="10"/>
  <c r="H6" i="10"/>
  <c r="E14" i="7"/>
  <c r="E13" i="7"/>
  <c r="E12" i="7"/>
  <c r="E11" i="7"/>
  <c r="E10" i="7"/>
  <c r="J42" i="7"/>
  <c r="D33" i="1"/>
  <c r="F31" i="9" l="1"/>
  <c r="F28" i="9"/>
  <c r="F47" i="8"/>
  <c r="F11" i="8"/>
  <c r="F51" i="9"/>
  <c r="E51" i="8"/>
  <c r="F51" i="8" s="1"/>
  <c r="D85" i="8"/>
  <c r="D86" i="8" s="1"/>
  <c r="C41" i="8"/>
  <c r="F41" i="8" s="1"/>
  <c r="F50" i="8"/>
  <c r="F14" i="8"/>
  <c r="F32" i="8"/>
  <c r="F30" i="8"/>
  <c r="F29" i="8"/>
  <c r="F27" i="8"/>
  <c r="F31" i="8"/>
  <c r="C38" i="8"/>
  <c r="F38" i="8" s="1"/>
  <c r="F20" i="8"/>
  <c r="C41" i="9"/>
  <c r="F41" i="9" s="1"/>
  <c r="F10" i="9"/>
  <c r="F22" i="9"/>
  <c r="F39" i="9"/>
  <c r="F21" i="9"/>
  <c r="C37" i="9"/>
  <c r="F19" i="9"/>
  <c r="F37" i="9"/>
  <c r="F46" i="9"/>
  <c r="F17" i="9"/>
  <c r="F50" i="10"/>
  <c r="F29" i="10"/>
  <c r="F32" i="10"/>
  <c r="C37" i="10"/>
  <c r="F37" i="10" s="1"/>
  <c r="C40" i="10"/>
  <c r="F40" i="10" s="1"/>
  <c r="F45" i="10"/>
  <c r="F30" i="10"/>
  <c r="F39" i="10"/>
  <c r="F28" i="10"/>
  <c r="F31" i="10"/>
  <c r="E85" i="10"/>
  <c r="F9" i="10"/>
  <c r="F8" i="10"/>
  <c r="C85" i="8"/>
  <c r="E73" i="8"/>
  <c r="F36" i="8"/>
  <c r="F39" i="8"/>
  <c r="F40" i="8"/>
  <c r="A45" i="8"/>
  <c r="C45" i="8" s="1"/>
  <c r="F45" i="8" s="1"/>
  <c r="D81" i="8"/>
  <c r="A49" i="8"/>
  <c r="C49" i="8" s="1"/>
  <c r="F49" i="8" s="1"/>
  <c r="A44" i="8"/>
  <c r="C44" i="8" s="1"/>
  <c r="A46" i="8"/>
  <c r="C46" i="8" s="1"/>
  <c r="A48" i="8"/>
  <c r="C48" i="8" s="1"/>
  <c r="F48" i="8" s="1"/>
  <c r="C85" i="9"/>
  <c r="E85" i="9" s="1"/>
  <c r="E73" i="9"/>
  <c r="F50" i="9"/>
  <c r="F35" i="9"/>
  <c r="F38" i="9"/>
  <c r="F44" i="9"/>
  <c r="D81" i="9"/>
  <c r="A47" i="9"/>
  <c r="C47" i="9" s="1"/>
  <c r="F47" i="9" s="1"/>
  <c r="A49" i="9"/>
  <c r="C49" i="9" s="1"/>
  <c r="F49" i="9" s="1"/>
  <c r="D83" i="9"/>
  <c r="A44" i="9"/>
  <c r="C44" i="9" s="1"/>
  <c r="A48" i="9"/>
  <c r="C48" i="9" s="1"/>
  <c r="F48" i="9" s="1"/>
  <c r="F46" i="10"/>
  <c r="F35" i="10"/>
  <c r="F49" i="10"/>
  <c r="C41" i="10"/>
  <c r="F41" i="10" s="1"/>
  <c r="D81" i="10"/>
  <c r="A47" i="10"/>
  <c r="C47" i="10" s="1"/>
  <c r="F47" i="10" s="1"/>
  <c r="E73" i="10"/>
  <c r="D83" i="10"/>
  <c r="A44" i="10"/>
  <c r="C44" i="10" s="1"/>
  <c r="F44" i="10" s="1"/>
  <c r="A48" i="10"/>
  <c r="C48" i="10" s="1"/>
  <c r="F48" i="10" s="1"/>
  <c r="D44" i="7"/>
  <c r="E85" i="8" l="1"/>
  <c r="F53" i="10"/>
  <c r="C69" i="10" s="1"/>
  <c r="F56" i="10"/>
  <c r="F54" i="10"/>
  <c r="H53" i="10" l="1"/>
  <c r="F2" i="10" s="1"/>
  <c r="F64" i="10"/>
  <c r="F55" i="10"/>
  <c r="H55" i="10" s="1"/>
  <c r="E69" i="10"/>
  <c r="C81" i="10"/>
  <c r="E81" i="10" s="1"/>
  <c r="C76" i="10"/>
  <c r="E76" i="10" s="1"/>
  <c r="H54" i="10"/>
  <c r="G2" i="10" s="1"/>
  <c r="H56" i="10"/>
  <c r="C74" i="10"/>
  <c r="E37" i="8" l="1"/>
  <c r="F37" i="8" s="1"/>
  <c r="E36" i="9"/>
  <c r="F36" i="9" s="1"/>
  <c r="F54" i="9" s="1"/>
  <c r="E18" i="9"/>
  <c r="F18" i="9" s="1"/>
  <c r="F53" i="9" s="1"/>
  <c r="E19" i="8"/>
  <c r="F19" i="8" s="1"/>
  <c r="F63" i="10"/>
  <c r="C71" i="10" s="1"/>
  <c r="O54" i="10"/>
  <c r="E74" i="10"/>
  <c r="C86" i="10"/>
  <c r="E86" i="10" s="1"/>
  <c r="O55" i="10"/>
  <c r="H2" i="10"/>
  <c r="H58" i="10"/>
  <c r="H59" i="10" s="1"/>
  <c r="O58" i="10" s="1"/>
  <c r="E78" i="10" l="1"/>
  <c r="E46" i="8"/>
  <c r="F46" i="8" s="1"/>
  <c r="E45" i="9"/>
  <c r="F45" i="9" s="1"/>
  <c r="F56" i="9" s="1"/>
  <c r="H53" i="9"/>
  <c r="C69" i="9"/>
  <c r="F55" i="9"/>
  <c r="F64" i="9"/>
  <c r="C76" i="9"/>
  <c r="E76" i="9" s="1"/>
  <c r="H54" i="9"/>
  <c r="O56" i="10"/>
  <c r="O57" i="10" s="1"/>
  <c r="O59" i="10" s="1"/>
  <c r="O60" i="10" s="1"/>
  <c r="F66" i="10"/>
  <c r="G13" i="10" s="1"/>
  <c r="E63" i="10"/>
  <c r="C83" i="10"/>
  <c r="E83" i="10" s="1"/>
  <c r="E71" i="10"/>
  <c r="H55" i="9" l="1"/>
  <c r="O54" i="9"/>
  <c r="F63" i="9"/>
  <c r="E69" i="9"/>
  <c r="C81" i="9"/>
  <c r="E81" i="9" s="1"/>
  <c r="G2" i="9"/>
  <c r="E35" i="8"/>
  <c r="F35" i="8" s="1"/>
  <c r="F2" i="9"/>
  <c r="E17" i="8"/>
  <c r="F17" i="8" s="1"/>
  <c r="C74" i="9"/>
  <c r="H56" i="9"/>
  <c r="O61" i="10"/>
  <c r="O62" i="10" s="1"/>
  <c r="P62" i="10" s="1"/>
  <c r="G23" i="10"/>
  <c r="G24" i="10"/>
  <c r="G35" i="10"/>
  <c r="G45" i="10"/>
  <c r="G44" i="10"/>
  <c r="G31" i="10"/>
  <c r="G9" i="10"/>
  <c r="G38" i="10"/>
  <c r="G36" i="10"/>
  <c r="G27" i="10"/>
  <c r="G29" i="10"/>
  <c r="G50" i="10"/>
  <c r="G41" i="10"/>
  <c r="G65" i="10"/>
  <c r="G63" i="10"/>
  <c r="G21" i="10"/>
  <c r="G55" i="10"/>
  <c r="G22" i="10"/>
  <c r="G64" i="10"/>
  <c r="G20" i="10"/>
  <c r="G51" i="10"/>
  <c r="G48" i="10"/>
  <c r="G14" i="10"/>
  <c r="G19" i="10"/>
  <c r="G40" i="10"/>
  <c r="G49" i="10"/>
  <c r="G17" i="10"/>
  <c r="G32" i="10"/>
  <c r="G54" i="10"/>
  <c r="G18" i="10"/>
  <c r="G56" i="10"/>
  <c r="G28" i="10"/>
  <c r="G53" i="10"/>
  <c r="G39" i="10"/>
  <c r="G12" i="10"/>
  <c r="G11" i="10"/>
  <c r="G30" i="10"/>
  <c r="G46" i="10"/>
  <c r="G10" i="10"/>
  <c r="G8" i="10"/>
  <c r="G66" i="10"/>
  <c r="G47" i="10"/>
  <c r="G37" i="10"/>
  <c r="E44" i="8" l="1"/>
  <c r="F44" i="8" s="1"/>
  <c r="O55" i="9"/>
  <c r="H2" i="9"/>
  <c r="H58" i="9"/>
  <c r="H59" i="9" s="1"/>
  <c r="O58" i="9" s="1"/>
  <c r="F54" i="8"/>
  <c r="C86" i="9"/>
  <c r="E86" i="9" s="1"/>
  <c r="E74" i="9"/>
  <c r="E78" i="9" s="1"/>
  <c r="E2" i="10"/>
  <c r="F53" i="8"/>
  <c r="C71" i="9"/>
  <c r="E63" i="9"/>
  <c r="F66" i="9"/>
  <c r="O56" i="9"/>
  <c r="O57" i="9" l="1"/>
  <c r="O59" i="9" s="1"/>
  <c r="O60" i="9" s="1"/>
  <c r="O61" i="9" s="1"/>
  <c r="O62" i="9" s="1"/>
  <c r="C83" i="9"/>
  <c r="E83" i="9" s="1"/>
  <c r="E71" i="9"/>
  <c r="F55" i="8"/>
  <c r="C76" i="8"/>
  <c r="E76" i="8" s="1"/>
  <c r="H54" i="8"/>
  <c r="G2" i="8" s="1"/>
  <c r="C69" i="8"/>
  <c r="F64" i="8"/>
  <c r="H53" i="8"/>
  <c r="F2" i="8" s="1"/>
  <c r="G63" i="9"/>
  <c r="G13" i="9"/>
  <c r="G14" i="9"/>
  <c r="G31" i="9"/>
  <c r="G10" i="9"/>
  <c r="G56" i="9"/>
  <c r="G28" i="9"/>
  <c r="G23" i="9"/>
  <c r="G32" i="9"/>
  <c r="G17" i="9"/>
  <c r="G53" i="9"/>
  <c r="G19" i="9"/>
  <c r="G45" i="9"/>
  <c r="G64" i="9"/>
  <c r="G35" i="9"/>
  <c r="G30" i="9"/>
  <c r="G44" i="9"/>
  <c r="G39" i="9"/>
  <c r="G27" i="9"/>
  <c r="G29" i="9"/>
  <c r="G47" i="9"/>
  <c r="G9" i="9"/>
  <c r="G20" i="9"/>
  <c r="G41" i="9"/>
  <c r="G37" i="9"/>
  <c r="G21" i="9"/>
  <c r="G38" i="9"/>
  <c r="G66" i="9"/>
  <c r="G36" i="9"/>
  <c r="G24" i="9"/>
  <c r="G8" i="9"/>
  <c r="G49" i="9"/>
  <c r="G22" i="9"/>
  <c r="G12" i="9"/>
  <c r="G18" i="9"/>
  <c r="G11" i="9"/>
  <c r="G40" i="9"/>
  <c r="G55" i="9"/>
  <c r="G54" i="9"/>
  <c r="G48" i="9"/>
  <c r="G46" i="9"/>
  <c r="G50" i="9"/>
  <c r="G51" i="9"/>
  <c r="G65" i="9"/>
  <c r="F56" i="8"/>
  <c r="P62" i="9" l="1"/>
  <c r="E2" i="9"/>
  <c r="C81" i="8"/>
  <c r="E81" i="8" s="1"/>
  <c r="E69" i="8"/>
  <c r="H56" i="8"/>
  <c r="C74" i="8"/>
  <c r="O54" i="8"/>
  <c r="F63" i="8"/>
  <c r="H55" i="8"/>
  <c r="O55" i="8" l="1"/>
  <c r="H58" i="8"/>
  <c r="H59" i="8" s="1"/>
  <c r="O58" i="8" s="1"/>
  <c r="H2" i="8"/>
  <c r="E63" i="8"/>
  <c r="F66" i="8"/>
  <c r="G63" i="8" s="1"/>
  <c r="C71" i="8"/>
  <c r="O56" i="8"/>
  <c r="E74" i="8"/>
  <c r="E78" i="8" s="1"/>
  <c r="C86" i="8"/>
  <c r="E86" i="8" s="1"/>
  <c r="O57" i="8" l="1"/>
  <c r="O59" i="8" s="1"/>
  <c r="O60" i="8" s="1"/>
  <c r="O61" i="8" s="1"/>
  <c r="O62" i="8" s="1"/>
  <c r="P62" i="8" s="1"/>
  <c r="E71" i="8"/>
  <c r="C83" i="8"/>
  <c r="E83" i="8" s="1"/>
  <c r="G12" i="8"/>
  <c r="G29" i="8"/>
  <c r="G31" i="8"/>
  <c r="G40" i="8"/>
  <c r="G19" i="8"/>
  <c r="G41" i="8"/>
  <c r="G36" i="8"/>
  <c r="G46" i="8"/>
  <c r="G51" i="8"/>
  <c r="G47" i="8"/>
  <c r="G49" i="8"/>
  <c r="G18" i="8"/>
  <c r="G38" i="8"/>
  <c r="G45" i="8"/>
  <c r="G27" i="8"/>
  <c r="G28" i="8"/>
  <c r="G20" i="8"/>
  <c r="G48" i="8"/>
  <c r="G50" i="8"/>
  <c r="G66" i="8"/>
  <c r="G23" i="8"/>
  <c r="G21" i="8"/>
  <c r="G39" i="8"/>
  <c r="G11" i="8"/>
  <c r="G8" i="8"/>
  <c r="G14" i="8"/>
  <c r="G37" i="8"/>
  <c r="G22" i="8"/>
  <c r="G65" i="8"/>
  <c r="G24" i="8"/>
  <c r="G13" i="8"/>
  <c r="G32" i="8"/>
  <c r="G30" i="8"/>
  <c r="G10" i="8"/>
  <c r="G9" i="8"/>
  <c r="G17" i="8"/>
  <c r="G35" i="8"/>
  <c r="G44" i="8"/>
  <c r="G54" i="8"/>
  <c r="G53" i="8"/>
  <c r="G55" i="8"/>
  <c r="G64" i="8"/>
  <c r="G56" i="8"/>
  <c r="O64" i="8" l="1"/>
  <c r="E2" i="8"/>
</calcChain>
</file>

<file path=xl/sharedStrings.xml><?xml version="1.0" encoding="utf-8"?>
<sst xmlns="http://schemas.openxmlformats.org/spreadsheetml/2006/main" count="597" uniqueCount="174">
  <si>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</si>
  <si>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</si>
  <si>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</si>
  <si>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</si>
  <si>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</si>
  <si>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</si>
  <si>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</si>
  <si>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</si>
  <si>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</si>
  <si>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</si>
  <si>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</si>
  <si>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</si>
  <si>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NUEVO</t>
  </si>
  <si>
    <t>EM10002</t>
  </si>
  <si>
    <t>ETIPLAST</t>
  </si>
  <si>
    <t>EM10011</t>
  </si>
  <si>
    <t>CEMUSA</t>
  </si>
  <si>
    <t>EM10124</t>
  </si>
  <si>
    <t>EMPAQUE</t>
  </si>
  <si>
    <t>FAS</t>
  </si>
  <si>
    <t>Encremado</t>
  </si>
  <si>
    <t xml:space="preserve">DECORACIÓN </t>
  </si>
  <si>
    <t xml:space="preserve">1 unidad 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</si>
  <si>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</si>
  <si>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</si>
  <si>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</si>
  <si>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</si>
  <si>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</si>
  <si>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</si>
  <si>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</si>
  <si>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</si>
  <si>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</si>
  <si>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</si>
  <si>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</si>
  <si>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</si>
  <si>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</si>
  <si>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</si>
  <si>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</si>
  <si>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</si>
  <si>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</si>
  <si>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</si>
  <si>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</si>
  <si>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</si>
  <si>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ENSAMBLE DISCO PISTACHO</t>
  </si>
  <si>
    <t>CREMA VERDE PISTACHO</t>
  </si>
  <si>
    <t>PISTACHO TOSTADO</t>
  </si>
  <si>
    <t>Confite Rosanna pistacho</t>
  </si>
  <si>
    <t>MP10048</t>
  </si>
  <si>
    <t>SE00682</t>
  </si>
  <si>
    <t>CARAMELO CON CHOCOLATE BLANCO</t>
  </si>
  <si>
    <t>Tiempo de Horneo:</t>
  </si>
  <si>
    <t>TIEMPO TOTAL DE PREPARACION</t>
  </si>
  <si>
    <t>Horno:</t>
  </si>
  <si>
    <t>Temperatura de Horneo:</t>
  </si>
  <si>
    <t>SE00254</t>
  </si>
  <si>
    <t>LECHES PASTEURIZADA CON AGUA</t>
  </si>
  <si>
    <t>MOUSSE PISTACHO</t>
  </si>
  <si>
    <t>SE00509</t>
  </si>
  <si>
    <t>ROSQUETE TURRON DE ALMENDRA</t>
  </si>
  <si>
    <t>Esteban Cartin, Gte Manufactura</t>
  </si>
  <si>
    <t>Decoración</t>
  </si>
  <si>
    <t># Código Netsuite</t>
  </si>
  <si>
    <t>Ensamble</t>
  </si>
  <si>
    <t>Minutos</t>
  </si>
  <si>
    <t>Tanda</t>
  </si>
  <si>
    <t>Otros</t>
  </si>
  <si>
    <t>1.- Desmoldar el disco de pistacho en la orla 10.</t>
  </si>
  <si>
    <t>5.- Tapar y etiquetar</t>
  </si>
  <si>
    <t>Mariela Barrantes Sánchez, Chef</t>
  </si>
  <si>
    <t>GANACHE DE PISTACHO</t>
  </si>
  <si>
    <t>Porción Torta Rosanna Pistacho</t>
  </si>
  <si>
    <t>14g x ud</t>
  </si>
  <si>
    <t>3g x ud</t>
  </si>
  <si>
    <t>EM10079</t>
  </si>
  <si>
    <t>CONTENEDOR TRIANGU ALTO (CAJA:200 UND)</t>
  </si>
  <si>
    <t>Etiqueta Blanca R-153</t>
  </si>
  <si>
    <t>Cemusa</t>
  </si>
  <si>
    <t>Etiqueta Blanca 2 5/8X1 15/16</t>
  </si>
  <si>
    <t>ETIQ.BLANCA 1 1/4 * 3/4</t>
  </si>
  <si>
    <t>EM10135</t>
  </si>
  <si>
    <t>ETIQUETA SELLO SEGURIDAD (ROLLO:1000)</t>
  </si>
  <si>
    <t>6g x ud</t>
  </si>
  <si>
    <t>2.- Encremar de forma lisa con la crema verde pistacho y</t>
  </si>
  <si>
    <t>3.- Colocar el ganache con ayuda de una bolsa y exparcirlo con ayuda de una espatula</t>
  </si>
  <si>
    <t>Cocina</t>
  </si>
  <si>
    <t>1210387</t>
  </si>
  <si>
    <t>MP10143</t>
  </si>
  <si>
    <t>COBERTURA DE CHOCOLATE BLANCO ( PAQ=5 K )</t>
  </si>
  <si>
    <t>NACIONAL CH</t>
  </si>
  <si>
    <t>11400031</t>
  </si>
  <si>
    <t>CREMA PRESTIGE GRAND</t>
  </si>
  <si>
    <t>RICH</t>
  </si>
  <si>
    <t>Empaque</t>
  </si>
  <si>
    <t>Mariela Barrantes Sánchez , Chef</t>
  </si>
  <si>
    <t>Ganache De Pistacho</t>
  </si>
  <si>
    <t>PRALINE DE PISTACHO</t>
  </si>
  <si>
    <t>SABORIZANTE DE PISTACHO CONCENTRADO</t>
  </si>
  <si>
    <t>24 ud</t>
  </si>
  <si>
    <t>1, Colocat en una olla, los confites rosanna hasta que derritan (Siempre estar moviendo)</t>
  </si>
  <si>
    <t xml:space="preserve">2, Agregar la crema prestige, el praline de pistacho, y el saborizante hasta que todo se mezcla y comienze a hervir. </t>
  </si>
  <si>
    <t xml:space="preserve">3, Agregar el chocolate en trozos lo más pequeños posibles y mover con un batir globo hasta que todo este completamente derretido. </t>
  </si>
  <si>
    <t xml:space="preserve">4, Retirar, colocar en bandejas y dejar enfriar. </t>
  </si>
  <si>
    <t xml:space="preserve">4.- Colocar trozos de pistacho tostado </t>
  </si>
  <si>
    <t xml:space="preserve">Empaque </t>
  </si>
  <si>
    <t xml:space="preserve">EtTIQUETA ESPECIAL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</si>
  <si>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</si>
  <si>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</si>
  <si>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</si>
  <si>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</si>
  <si>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</si>
  <si>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</si>
  <si>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</si>
  <si>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</si>
  <si>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</si>
  <si>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</si>
  <si>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</si>
  <si>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</si>
  <si>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</si>
  <si>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</si>
  <si>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</si>
  <si>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</si>
  <si>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</si>
  <si>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</si>
  <si>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</si>
  <si>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</si>
  <si>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</si>
  <si>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</si>
  <si>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</si>
  <si>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</si>
  <si>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</si>
  <si>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</si>
  <si>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</si>
  <si>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</si>
  <si>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</si>
  <si>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</si>
  <si>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</si>
  <si>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</si>
  <si>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</si>
  <si>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</si>
  <si>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</si>
  <si>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</si>
  <si>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</si>
  <si>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</si>
  <si>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</si>
  <si>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</si>
  <si>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</si>
  <si>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</si>
  <si>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</si>
  <si>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</si>
  <si>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</si>
  <si>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</si>
  <si>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</si>
  <si>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</si>
  <si>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</si>
  <si>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</si>
  <si>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</si>
  <si>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</si>
  <si>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SE00611</t>
  </si>
  <si>
    <t>Rosquete nucleo vainilla Dawn redondo 260g</t>
  </si>
  <si>
    <t xml:space="preserve">UND </t>
  </si>
  <si>
    <t>UND</t>
  </si>
  <si>
    <t>Nuevo</t>
  </si>
  <si>
    <t>porcion</t>
  </si>
  <si>
    <t>MP10776</t>
  </si>
  <si>
    <t>MP10779</t>
  </si>
  <si>
    <t>MP10777</t>
  </si>
  <si>
    <t>SE00743 Ganache De Pistacho</t>
  </si>
  <si>
    <t>20/08//2025</t>
  </si>
  <si>
    <t>ESP-RE-COCS-104</t>
  </si>
  <si>
    <t>1, Colocat en una olla, los confites rosanna, la crema prestige, el praline de pistacho y saborizante, hasta que todo este bien incorporado y los confites esten completamente bien derretidos</t>
  </si>
  <si>
    <t xml:space="preserve">2, Una vez que empieze a hervir, agregar el chocolate en trozos lo más pequeños posibles y mover con un batir globo hasta que todo este completamente derretido. </t>
  </si>
  <si>
    <t xml:space="preserve">2, Se actualiza procedimiento. </t>
  </si>
  <si>
    <t>122 unidades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</si>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</sst>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6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Times New Roman"/>
      <family val="1"/>
    </font>
    <font>
      <sz val="12"/>
      <name val="Arial"/>
      <family val="2"/>
    </font>
    <font>
      <b/>
      <sz val="14"/>
      <color rgb="FFFF0000"/>
      <name val="Arial"/>
      <family val="2"/>
    </font>
    <font>
      <b/>
      <i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81">
    <xf numFmtId="0" fontId="0" fillId="0" borderId="0" xfId="0"/>
    <xf numFmtId="0" fontId="3" fillId="0" borderId="0" xfId="1"/>
    <xf numFmtId="0" fontId="4" fillId="2" borderId="0" xfId="1" applyFont="1" applyFill="1" applyAlignment="1">
      <alignment vertical="center"/>
    </xf>
    <xf numFmtId="0" fontId="5" fillId="0" borderId="0" xfId="0" applyFont="1"/>
    <xf numFmtId="0" fontId="5" fillId="0" borderId="4" xfId="1" applyFont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3" fillId="2" borderId="0" xfId="1" applyFill="1" applyAlignment="1">
      <alignment horizontal="left" indent="1"/>
    </xf>
    <xf numFmtId="0" fontId="5" fillId="0" borderId="15" xfId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9" fontId="3" fillId="2" borderId="0" xfId="2" applyFill="1"/>
    <xf numFmtId="0" fontId="5" fillId="0" borderId="20" xfId="1" applyFont="1" applyBorder="1" applyAlignment="1">
      <alignment horizontal="center"/>
    </xf>
    <xf numFmtId="1" fontId="5" fillId="0" borderId="20" xfId="1" applyNumberFormat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1" fontId="5" fillId="0" borderId="22" xfId="1" applyNumberFormat="1" applyFont="1" applyBorder="1" applyAlignment="1">
      <alignment horizontal="center"/>
    </xf>
    <xf numFmtId="0" fontId="5" fillId="4" borderId="10" xfId="1" applyFont="1" applyFill="1" applyBorder="1" applyAlignment="1">
      <alignment horizontal="center"/>
    </xf>
    <xf numFmtId="0" fontId="5" fillId="4" borderId="11" xfId="1" applyFont="1" applyFill="1" applyBorder="1"/>
    <xf numFmtId="164" fontId="5" fillId="4" borderId="11" xfId="1" applyNumberFormat="1" applyFont="1" applyFill="1" applyBorder="1" applyAlignment="1">
      <alignment horizontal="center" wrapText="1"/>
    </xf>
    <xf numFmtId="1" fontId="6" fillId="4" borderId="11" xfId="1" applyNumberFormat="1" applyFont="1" applyFill="1" applyBorder="1" applyAlignment="1">
      <alignment horizontal="center"/>
    </xf>
    <xf numFmtId="0" fontId="6" fillId="4" borderId="11" xfId="1" applyFont="1" applyFill="1" applyBorder="1" applyAlignment="1">
      <alignment horizontal="center"/>
    </xf>
    <xf numFmtId="0" fontId="5" fillId="4" borderId="11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5" fillId="2" borderId="24" xfId="1" applyFont="1" applyFill="1" applyBorder="1" applyAlignment="1">
      <alignment horizontal="center"/>
    </xf>
    <xf numFmtId="0" fontId="5" fillId="0" borderId="0" xfId="1" applyFont="1"/>
    <xf numFmtId="164" fontId="5" fillId="2" borderId="0" xfId="1" applyNumberFormat="1" applyFont="1" applyFill="1" applyAlignment="1">
      <alignment horizontal="center" wrapText="1"/>
    </xf>
    <xf numFmtId="1" fontId="5" fillId="2" borderId="0" xfId="1" applyNumberFormat="1" applyFont="1" applyFill="1" applyAlignment="1">
      <alignment horizontal="center"/>
    </xf>
    <xf numFmtId="49" fontId="7" fillId="2" borderId="0" xfId="1" applyNumberFormat="1" applyFont="1" applyFill="1" applyAlignment="1">
      <alignment horizontal="center" vertical="center"/>
    </xf>
    <xf numFmtId="49" fontId="7" fillId="2" borderId="25" xfId="1" applyNumberFormat="1" applyFont="1" applyFill="1" applyBorder="1" applyAlignment="1">
      <alignment horizontal="center" vertical="center"/>
    </xf>
    <xf numFmtId="0" fontId="5" fillId="0" borderId="26" xfId="1" applyFont="1" applyBorder="1" applyAlignment="1">
      <alignment horizontal="center"/>
    </xf>
    <xf numFmtId="1" fontId="5" fillId="0" borderId="20" xfId="1" applyNumberFormat="1" applyFont="1" applyBorder="1" applyAlignment="1">
      <alignment horizontal="center" wrapText="1"/>
    </xf>
    <xf numFmtId="1" fontId="8" fillId="0" borderId="20" xfId="1" applyNumberFormat="1" applyFont="1" applyBorder="1" applyAlignment="1">
      <alignment horizontal="center" wrapText="1"/>
    </xf>
    <xf numFmtId="1" fontId="8" fillId="0" borderId="20" xfId="1" applyNumberFormat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5" fillId="0" borderId="20" xfId="0" applyFont="1" applyBorder="1"/>
    <xf numFmtId="0" fontId="5" fillId="0" borderId="20" xfId="0" applyFont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0" xfId="0" applyFont="1" applyFill="1" applyBorder="1"/>
    <xf numFmtId="0" fontId="6" fillId="6" borderId="26" xfId="1" applyFont="1" applyFill="1" applyBorder="1" applyAlignment="1">
      <alignment horizontal="center"/>
    </xf>
    <xf numFmtId="0" fontId="6" fillId="6" borderId="27" xfId="1" applyFont="1" applyFill="1" applyBorder="1" applyAlignment="1">
      <alignment horizontal="center"/>
    </xf>
    <xf numFmtId="0" fontId="5" fillId="0" borderId="22" xfId="1" applyFont="1" applyBorder="1" applyAlignment="1">
      <alignment horizontal="center"/>
    </xf>
    <xf numFmtId="1" fontId="0" fillId="0" borderId="0" xfId="0" applyNumberFormat="1"/>
    <xf numFmtId="1" fontId="8" fillId="5" borderId="20" xfId="0" applyNumberFormat="1" applyFont="1" applyFill="1" applyBorder="1" applyAlignment="1">
      <alignment horizontal="center"/>
    </xf>
    <xf numFmtId="0" fontId="9" fillId="5" borderId="20" xfId="0" applyFont="1" applyFill="1" applyBorder="1"/>
    <xf numFmtId="1" fontId="10" fillId="0" borderId="20" xfId="1" applyNumberFormat="1" applyFont="1" applyBorder="1" applyAlignment="1">
      <alignment horizontal="center" wrapText="1"/>
    </xf>
    <xf numFmtId="1" fontId="10" fillId="0" borderId="20" xfId="1" applyNumberFormat="1" applyFont="1" applyBorder="1" applyAlignment="1">
      <alignment horizontal="center"/>
    </xf>
    <xf numFmtId="16" fontId="10" fillId="0" borderId="20" xfId="1" applyNumberFormat="1" applyFont="1" applyBorder="1" applyAlignment="1">
      <alignment horizontal="center"/>
    </xf>
    <xf numFmtId="49" fontId="10" fillId="0" borderId="20" xfId="1" applyNumberFormat="1" applyFont="1" applyBorder="1"/>
    <xf numFmtId="49" fontId="10" fillId="0" borderId="19" xfId="1" applyNumberFormat="1" applyFont="1" applyBorder="1" applyAlignment="1">
      <alignment horizontal="center"/>
    </xf>
    <xf numFmtId="49" fontId="10" fillId="0" borderId="28" xfId="1" applyNumberFormat="1" applyFont="1" applyBorder="1" applyAlignment="1">
      <alignment horizontal="center"/>
    </xf>
    <xf numFmtId="0" fontId="5" fillId="0" borderId="19" xfId="0" applyFont="1" applyBorder="1"/>
    <xf numFmtId="0" fontId="6" fillId="4" borderId="29" xfId="1" applyFont="1" applyFill="1" applyBorder="1" applyAlignment="1">
      <alignment horizontal="center"/>
    </xf>
    <xf numFmtId="1" fontId="6" fillId="4" borderId="15" xfId="1" applyNumberFormat="1" applyFont="1" applyFill="1" applyBorder="1" applyAlignment="1">
      <alignment horizontal="center" wrapText="1"/>
    </xf>
    <xf numFmtId="1" fontId="6" fillId="4" borderId="30" xfId="1" applyNumberFormat="1" applyFont="1" applyFill="1" applyBorder="1" applyAlignment="1">
      <alignment horizontal="center"/>
    </xf>
    <xf numFmtId="0" fontId="6" fillId="4" borderId="27" xfId="1" applyFont="1" applyFill="1" applyBorder="1" applyAlignment="1">
      <alignment horizontal="center" vertical="center" wrapText="1"/>
    </xf>
    <xf numFmtId="0" fontId="0" fillId="0" borderId="20" xfId="0" applyBorder="1"/>
    <xf numFmtId="14" fontId="12" fillId="2" borderId="20" xfId="3" applyNumberFormat="1" applyFont="1" applyFill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right"/>
    </xf>
    <xf numFmtId="0" fontId="5" fillId="2" borderId="20" xfId="3" applyFont="1" applyFill="1" applyBorder="1" applyAlignment="1">
      <alignment horizontal="right"/>
    </xf>
    <xf numFmtId="49" fontId="8" fillId="2" borderId="26" xfId="3" applyNumberFormat="1" applyFont="1" applyFill="1" applyBorder="1" applyAlignment="1">
      <alignment horizontal="center"/>
    </xf>
    <xf numFmtId="0" fontId="6" fillId="2" borderId="20" xfId="3" applyFont="1" applyFill="1" applyBorder="1" applyAlignment="1">
      <alignment horizontal="right"/>
    </xf>
    <xf numFmtId="0" fontId="8" fillId="2" borderId="38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right"/>
    </xf>
    <xf numFmtId="0" fontId="20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6" fillId="6" borderId="4" xfId="1" applyFont="1" applyFill="1" applyBorder="1" applyAlignment="1">
      <alignment horizontal="center"/>
    </xf>
    <xf numFmtId="1" fontId="6" fillId="4" borderId="30" xfId="1" applyNumberFormat="1" applyFont="1" applyFill="1" applyBorder="1" applyAlignment="1">
      <alignment horizontal="center" wrapText="1"/>
    </xf>
    <xf numFmtId="0" fontId="23" fillId="0" borderId="20" xfId="0" applyFont="1" applyBorder="1"/>
    <xf numFmtId="0" fontId="23" fillId="0" borderId="20" xfId="0" applyFont="1" applyBorder="1" applyAlignment="1">
      <alignment horizontal="center"/>
    </xf>
    <xf numFmtId="1" fontId="11" fillId="0" borderId="20" xfId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0" xfId="0" applyFont="1" applyBorder="1" applyAlignment="1">
      <alignment horizontal="center"/>
    </xf>
    <xf numFmtId="1" fontId="20" fillId="0" borderId="20" xfId="1" applyNumberFormat="1" applyFont="1" applyBorder="1" applyAlignment="1">
      <alignment horizontal="center" wrapText="1"/>
    </xf>
    <xf numFmtId="0" fontId="11" fillId="8" borderId="20" xfId="0" applyFont="1" applyFill="1" applyBorder="1"/>
    <xf numFmtId="0" fontId="11" fillId="0" borderId="20" xfId="0" applyFont="1" applyBorder="1"/>
    <xf numFmtId="0" fontId="24" fillId="0" borderId="20" xfId="0" applyFont="1" applyBorder="1"/>
    <xf numFmtId="0" fontId="11" fillId="8" borderId="20" xfId="0" applyFont="1" applyFill="1" applyBorder="1" applyAlignment="1">
      <alignment horizontal="center"/>
    </xf>
    <xf numFmtId="16" fontId="21" fillId="0" borderId="20" xfId="1" applyNumberFormat="1" applyFont="1" applyBorder="1" applyAlignment="1">
      <alignment horizontal="center"/>
    </xf>
    <xf numFmtId="1" fontId="11" fillId="0" borderId="20" xfId="1" applyNumberFormat="1" applyFont="1" applyBorder="1" applyAlignment="1">
      <alignment horizontal="center" wrapText="1"/>
    </xf>
    <xf numFmtId="1" fontId="11" fillId="0" borderId="20" xfId="1" applyNumberFormat="1" applyFont="1" applyBorder="1"/>
    <xf numFmtId="0" fontId="11" fillId="0" borderId="20" xfId="1" applyFont="1" applyBorder="1" applyAlignment="1">
      <alignment horizontal="center"/>
    </xf>
    <xf numFmtId="0" fontId="11" fillId="0" borderId="20" xfId="1" applyFont="1" applyBorder="1" applyAlignment="1">
      <alignment horizontal="center" vertical="center"/>
    </xf>
    <xf numFmtId="0" fontId="24" fillId="6" borderId="22" xfId="1" applyFont="1" applyFill="1" applyBorder="1"/>
    <xf numFmtId="0" fontId="11" fillId="0" borderId="22" xfId="1" applyFont="1" applyBorder="1" applyAlignment="1">
      <alignment horizontal="center"/>
    </xf>
    <xf numFmtId="1" fontId="23" fillId="0" borderId="20" xfId="1" applyNumberFormat="1" applyFont="1" applyBorder="1" applyAlignment="1">
      <alignment horizontal="center" wrapText="1"/>
    </xf>
    <xf numFmtId="49" fontId="23" fillId="6" borderId="19" xfId="1" applyNumberFormat="1" applyFont="1" applyFill="1" applyBorder="1" applyAlignment="1">
      <alignment horizontal="left"/>
    </xf>
    <xf numFmtId="0" fontId="23" fillId="6" borderId="20" xfId="1" applyFont="1" applyFill="1" applyBorder="1" applyAlignment="1">
      <alignment horizontal="center"/>
    </xf>
    <xf numFmtId="0" fontId="23" fillId="6" borderId="20" xfId="4" applyFont="1" applyFill="1" applyBorder="1" applyAlignment="1">
      <alignment horizontal="left"/>
    </xf>
    <xf numFmtId="0" fontId="23" fillId="6" borderId="0" xfId="4" applyFont="1" applyFill="1" applyAlignment="1">
      <alignment horizontal="left"/>
    </xf>
    <xf numFmtId="0" fontId="23" fillId="6" borderId="20" xfId="5" applyFont="1" applyFill="1" applyBorder="1" applyAlignment="1">
      <alignment horizontal="center"/>
    </xf>
    <xf numFmtId="0" fontId="25" fillId="6" borderId="20" xfId="4" applyFont="1" applyFill="1" applyBorder="1" applyAlignment="1">
      <alignment horizontal="left" vertical="center"/>
    </xf>
    <xf numFmtId="0" fontId="23" fillId="6" borderId="20" xfId="4" applyFont="1" applyFill="1" applyBorder="1" applyAlignment="1">
      <alignment horizontal="center"/>
    </xf>
    <xf numFmtId="1" fontId="23" fillId="0" borderId="20" xfId="4" applyNumberFormat="1" applyFont="1" applyBorder="1" applyAlignment="1">
      <alignment horizontal="center" wrapText="1"/>
    </xf>
    <xf numFmtId="0" fontId="23" fillId="6" borderId="15" xfId="1" applyFont="1" applyFill="1" applyBorder="1"/>
    <xf numFmtId="0" fontId="23" fillId="6" borderId="15" xfId="1" applyFont="1" applyFill="1" applyBorder="1" applyAlignment="1">
      <alignment horizontal="center"/>
    </xf>
    <xf numFmtId="1" fontId="23" fillId="0" borderId="15" xfId="1" applyNumberFormat="1" applyFont="1" applyBorder="1" applyAlignment="1">
      <alignment horizontal="center" wrapText="1"/>
    </xf>
    <xf numFmtId="0" fontId="23" fillId="5" borderId="20" xfId="0" applyFont="1" applyFill="1" applyBorder="1"/>
    <xf numFmtId="0" fontId="23" fillId="5" borderId="20" xfId="0" applyFont="1" applyFill="1" applyBorder="1" applyAlignment="1">
      <alignment horizontal="center"/>
    </xf>
    <xf numFmtId="0" fontId="11" fillId="6" borderId="20" xfId="1" applyFont="1" applyFill="1" applyBorder="1" applyAlignment="1">
      <alignment horizontal="center"/>
    </xf>
    <xf numFmtId="0" fontId="16" fillId="2" borderId="32" xfId="3" applyFont="1" applyFill="1" applyBorder="1" applyAlignment="1">
      <alignment horizontal="right"/>
    </xf>
    <xf numFmtId="0" fontId="14" fillId="2" borderId="38" xfId="3" applyFont="1" applyFill="1" applyBorder="1" applyAlignment="1">
      <alignment horizontal="center"/>
    </xf>
    <xf numFmtId="0" fontId="16" fillId="2" borderId="20" xfId="3" applyFont="1" applyFill="1" applyBorder="1" applyAlignment="1">
      <alignment horizontal="right"/>
    </xf>
    <xf numFmtId="49" fontId="14" fillId="2" borderId="26" xfId="3" applyNumberFormat="1" applyFont="1" applyFill="1" applyBorder="1" applyAlignment="1">
      <alignment horizontal="center"/>
    </xf>
    <xf numFmtId="0" fontId="14" fillId="2" borderId="22" xfId="3" applyFont="1" applyFill="1" applyBorder="1" applyAlignment="1">
      <alignment horizontal="right"/>
    </xf>
    <xf numFmtId="0" fontId="14" fillId="2" borderId="20" xfId="3" applyFont="1" applyFill="1" applyBorder="1" applyAlignment="1">
      <alignment horizontal="right"/>
    </xf>
    <xf numFmtId="14" fontId="18" fillId="2" borderId="0" xfId="3" applyNumberFormat="1" applyFont="1" applyFill="1" applyAlignment="1">
      <alignment horizontal="center" vertical="center" wrapText="1"/>
    </xf>
    <xf numFmtId="0" fontId="16" fillId="4" borderId="38" xfId="1" applyFont="1" applyFill="1" applyBorder="1" applyAlignment="1">
      <alignment horizontal="center" vertical="center" wrapText="1"/>
    </xf>
    <xf numFmtId="1" fontId="16" fillId="4" borderId="15" xfId="1" applyNumberFormat="1" applyFont="1" applyFill="1" applyBorder="1" applyAlignment="1">
      <alignment horizontal="center"/>
    </xf>
    <xf numFmtId="1" fontId="16" fillId="4" borderId="15" xfId="1" applyNumberFormat="1" applyFont="1" applyFill="1" applyBorder="1" applyAlignment="1">
      <alignment horizontal="center" wrapText="1"/>
    </xf>
    <xf numFmtId="0" fontId="16" fillId="4" borderId="29" xfId="1" applyFont="1" applyFill="1" applyBorder="1" applyAlignment="1">
      <alignment horizontal="center"/>
    </xf>
    <xf numFmtId="0" fontId="19" fillId="0" borderId="28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26" fillId="0" borderId="20" xfId="1" applyFont="1" applyBorder="1" applyAlignment="1">
      <alignment vertical="center"/>
    </xf>
    <xf numFmtId="0" fontId="19" fillId="0" borderId="20" xfId="1" applyFont="1" applyBorder="1" applyAlignment="1">
      <alignment horizontal="center" vertical="center"/>
    </xf>
    <xf numFmtId="1" fontId="19" fillId="0" borderId="20" xfId="1" applyNumberFormat="1" applyFont="1" applyBorder="1" applyAlignment="1">
      <alignment horizontal="center"/>
    </xf>
    <xf numFmtId="1" fontId="19" fillId="0" borderId="20" xfId="1" applyNumberFormat="1" applyFont="1" applyBorder="1" applyAlignment="1">
      <alignment horizontal="center" wrapText="1"/>
    </xf>
    <xf numFmtId="0" fontId="20" fillId="0" borderId="26" xfId="1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1" fontId="14" fillId="0" borderId="22" xfId="0" applyNumberFormat="1" applyFont="1" applyBorder="1" applyAlignment="1">
      <alignment horizontal="center" wrapText="1"/>
    </xf>
    <xf numFmtId="2" fontId="19" fillId="0" borderId="20" xfId="1" applyNumberFormat="1" applyFont="1" applyBorder="1" applyAlignment="1">
      <alignment horizontal="center"/>
    </xf>
    <xf numFmtId="1" fontId="14" fillId="0" borderId="20" xfId="0" applyNumberFormat="1" applyFont="1" applyBorder="1" applyAlignment="1">
      <alignment horizontal="center" wrapText="1"/>
    </xf>
    <xf numFmtId="0" fontId="14" fillId="0" borderId="20" xfId="0" quotePrefix="1" applyFont="1" applyBorder="1" applyAlignment="1">
      <alignment horizontal="center"/>
    </xf>
    <xf numFmtId="0" fontId="14" fillId="0" borderId="20" xfId="0" quotePrefix="1" applyFont="1" applyBorder="1"/>
    <xf numFmtId="16" fontId="14" fillId="0" borderId="20" xfId="0" applyNumberFormat="1" applyFont="1" applyBorder="1" applyAlignment="1">
      <alignment horizontal="center"/>
    </xf>
    <xf numFmtId="16" fontId="20" fillId="6" borderId="20" xfId="0" applyNumberFormat="1" applyFont="1" applyFill="1" applyBorder="1" applyAlignment="1">
      <alignment horizontal="center"/>
    </xf>
    <xf numFmtId="1" fontId="20" fillId="6" borderId="20" xfId="0" applyNumberFormat="1" applyFont="1" applyFill="1" applyBorder="1" applyAlignment="1">
      <alignment horizontal="center"/>
    </xf>
    <xf numFmtId="1" fontId="20" fillId="0" borderId="20" xfId="0" applyNumberFormat="1" applyFont="1" applyBorder="1" applyAlignment="1">
      <alignment horizont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20" fillId="6" borderId="20" xfId="0" applyFont="1" applyFill="1" applyBorder="1" applyAlignment="1">
      <alignment horizontal="center"/>
    </xf>
    <xf numFmtId="164" fontId="20" fillId="0" borderId="20" xfId="0" applyNumberFormat="1" applyFont="1" applyBorder="1" applyAlignment="1">
      <alignment horizontal="center" wrapText="1"/>
    </xf>
    <xf numFmtId="16" fontId="20" fillId="0" borderId="20" xfId="0" applyNumberFormat="1" applyFont="1" applyBorder="1" applyAlignment="1">
      <alignment horizontal="center"/>
    </xf>
    <xf numFmtId="1" fontId="20" fillId="0" borderId="20" xfId="0" applyNumberFormat="1" applyFont="1" applyBorder="1" applyAlignment="1">
      <alignment horizontal="center"/>
    </xf>
    <xf numFmtId="0" fontId="0" fillId="6" borderId="20" xfId="0" applyFill="1" applyBorder="1"/>
    <xf numFmtId="1" fontId="20" fillId="0" borderId="20" xfId="1" applyNumberFormat="1" applyFont="1" applyBorder="1" applyAlignment="1">
      <alignment horizontal="center"/>
    </xf>
    <xf numFmtId="49" fontId="20" fillId="0" borderId="28" xfId="1" applyNumberFormat="1" applyFont="1" applyBorder="1" applyAlignment="1">
      <alignment horizontal="center"/>
    </xf>
    <xf numFmtId="49" fontId="20" fillId="0" borderId="19" xfId="1" applyNumberFormat="1" applyFont="1" applyBorder="1" applyAlignment="1">
      <alignment horizontal="center"/>
    </xf>
    <xf numFmtId="0" fontId="27" fillId="6" borderId="20" xfId="1" applyFont="1" applyFill="1" applyBorder="1" applyAlignment="1">
      <alignment horizontal="left"/>
    </xf>
    <xf numFmtId="0" fontId="20" fillId="0" borderId="20" xfId="1" applyFont="1" applyBorder="1" applyAlignment="1">
      <alignment horizontal="center"/>
    </xf>
    <xf numFmtId="165" fontId="20" fillId="0" borderId="20" xfId="1" applyNumberFormat="1" applyFont="1" applyBorder="1" applyAlignment="1">
      <alignment horizontal="center"/>
    </xf>
    <xf numFmtId="0" fontId="3" fillId="0" borderId="28" xfId="4" applyBorder="1" applyAlignment="1">
      <alignment horizontal="center"/>
    </xf>
    <xf numFmtId="0" fontId="3" fillId="0" borderId="20" xfId="1" applyBorder="1" applyAlignment="1">
      <alignment horizontal="center"/>
    </xf>
    <xf numFmtId="0" fontId="3" fillId="6" borderId="20" xfId="4" applyFill="1" applyBorder="1"/>
    <xf numFmtId="16" fontId="20" fillId="0" borderId="20" xfId="4" applyNumberFormat="1" applyFont="1" applyBorder="1" applyAlignment="1">
      <alignment horizontal="center"/>
    </xf>
    <xf numFmtId="0" fontId="3" fillId="0" borderId="20" xfId="4" applyBorder="1" applyAlignment="1">
      <alignment horizontal="center"/>
    </xf>
    <xf numFmtId="1" fontId="20" fillId="0" borderId="20" xfId="4" applyNumberFormat="1" applyFont="1" applyBorder="1" applyAlignment="1">
      <alignment horizontal="center"/>
    </xf>
    <xf numFmtId="1" fontId="20" fillId="0" borderId="20" xfId="4" applyNumberFormat="1" applyFont="1" applyBorder="1" applyAlignment="1">
      <alignment horizontal="center" wrapText="1"/>
    </xf>
    <xf numFmtId="49" fontId="19" fillId="0" borderId="9" xfId="1" applyNumberFormat="1" applyFont="1" applyBorder="1" applyAlignment="1">
      <alignment horizontal="center"/>
    </xf>
    <xf numFmtId="49" fontId="19" fillId="0" borderId="8" xfId="1" applyNumberFormat="1" applyFont="1" applyBorder="1" applyAlignment="1">
      <alignment horizontal="center"/>
    </xf>
    <xf numFmtId="0" fontId="28" fillId="6" borderId="20" xfId="1" applyFont="1" applyFill="1" applyBorder="1" applyAlignment="1">
      <alignment vertical="center"/>
    </xf>
    <xf numFmtId="0" fontId="19" fillId="0" borderId="19" xfId="1" applyFont="1" applyBorder="1" applyAlignment="1">
      <alignment horizontal="center"/>
    </xf>
    <xf numFmtId="49" fontId="20" fillId="6" borderId="28" xfId="1" applyNumberFormat="1" applyFont="1" applyFill="1" applyBorder="1" applyAlignment="1">
      <alignment horizontal="center"/>
    </xf>
    <xf numFmtId="49" fontId="20" fillId="6" borderId="19" xfId="1" applyNumberFormat="1" applyFont="1" applyFill="1" applyBorder="1" applyAlignment="1">
      <alignment horizontal="center"/>
    </xf>
    <xf numFmtId="49" fontId="22" fillId="6" borderId="20" xfId="1" applyNumberFormat="1" applyFont="1" applyFill="1" applyBorder="1"/>
    <xf numFmtId="0" fontId="0" fillId="6" borderId="20" xfId="0" applyFill="1" applyBorder="1" applyAlignment="1">
      <alignment horizontal="center"/>
    </xf>
    <xf numFmtId="0" fontId="21" fillId="0" borderId="20" xfId="1" applyFont="1" applyBorder="1" applyAlignment="1">
      <alignment horizontal="center"/>
    </xf>
    <xf numFmtId="12" fontId="20" fillId="0" borderId="20" xfId="1" applyNumberFormat="1" applyFont="1" applyBorder="1" applyAlignment="1">
      <alignment horizontal="center"/>
    </xf>
    <xf numFmtId="49" fontId="22" fillId="0" borderId="20" xfId="1" applyNumberFormat="1" applyFont="1" applyBorder="1"/>
    <xf numFmtId="1" fontId="21" fillId="0" borderId="20" xfId="1" applyNumberFormat="1" applyFont="1" applyBorder="1" applyAlignment="1">
      <alignment horizontal="center"/>
    </xf>
    <xf numFmtId="49" fontId="29" fillId="2" borderId="25" xfId="1" applyNumberFormat="1" applyFont="1" applyFill="1" applyBorder="1" applyAlignment="1">
      <alignment horizontal="center" vertical="center"/>
    </xf>
    <xf numFmtId="49" fontId="29" fillId="2" borderId="0" xfId="1" applyNumberFormat="1" applyFont="1" applyFill="1" applyAlignment="1">
      <alignment horizontal="center" vertical="center"/>
    </xf>
    <xf numFmtId="0" fontId="14" fillId="2" borderId="0" xfId="1" applyFont="1" applyFill="1"/>
    <xf numFmtId="1" fontId="14" fillId="2" borderId="0" xfId="1" applyNumberFormat="1" applyFont="1" applyFill="1" applyAlignment="1">
      <alignment horizontal="center"/>
    </xf>
    <xf numFmtId="164" fontId="14" fillId="2" borderId="0" xfId="1" applyNumberFormat="1" applyFont="1" applyFill="1" applyAlignment="1">
      <alignment horizontal="center" wrapText="1"/>
    </xf>
    <xf numFmtId="0" fontId="14" fillId="2" borderId="24" xfId="1" applyFont="1" applyFill="1" applyBorder="1" applyAlignment="1">
      <alignment horizontal="center"/>
    </xf>
    <xf numFmtId="0" fontId="14" fillId="2" borderId="0" xfId="1" applyFont="1" applyFill="1" applyAlignment="1">
      <alignment horizontal="left" indent="1"/>
    </xf>
    <xf numFmtId="0" fontId="14" fillId="4" borderId="12" xfId="1" applyFont="1" applyFill="1" applyBorder="1" applyAlignment="1">
      <alignment horizontal="center"/>
    </xf>
    <xf numFmtId="0" fontId="14" fillId="4" borderId="11" xfId="1" applyFont="1" applyFill="1" applyBorder="1" applyAlignment="1">
      <alignment horizontal="center"/>
    </xf>
    <xf numFmtId="0" fontId="14" fillId="4" borderId="11" xfId="1" applyFont="1" applyFill="1" applyBorder="1"/>
    <xf numFmtId="0" fontId="16" fillId="4" borderId="11" xfId="1" applyFont="1" applyFill="1" applyBorder="1" applyAlignment="1">
      <alignment horizontal="center"/>
    </xf>
    <xf numFmtId="1" fontId="16" fillId="4" borderId="11" xfId="1" applyNumberFormat="1" applyFont="1" applyFill="1" applyBorder="1" applyAlignment="1">
      <alignment horizontal="center"/>
    </xf>
    <xf numFmtId="164" fontId="14" fillId="4" borderId="11" xfId="1" applyNumberFormat="1" applyFont="1" applyFill="1" applyBorder="1" applyAlignment="1">
      <alignment horizontal="center" wrapText="1"/>
    </xf>
    <xf numFmtId="0" fontId="14" fillId="4" borderId="10" xfId="1" applyFont="1" applyFill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9" fontId="14" fillId="2" borderId="0" xfId="6" applyFont="1" applyFill="1"/>
    <xf numFmtId="1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49" fontId="23" fillId="0" borderId="28" xfId="0" applyNumberFormat="1" applyFont="1" applyBorder="1" applyAlignment="1">
      <alignment horizontal="center"/>
    </xf>
    <xf numFmtId="49" fontId="23" fillId="0" borderId="19" xfId="0" applyNumberFormat="1" applyFont="1" applyBorder="1" applyAlignment="1">
      <alignment horizontal="center"/>
    </xf>
    <xf numFmtId="49" fontId="23" fillId="0" borderId="20" xfId="0" applyNumberFormat="1" applyFont="1" applyBorder="1" applyAlignment="1">
      <alignment horizontal="left"/>
    </xf>
    <xf numFmtId="0" fontId="23" fillId="0" borderId="20" xfId="0" quotePrefix="1" applyFont="1" applyBorder="1" applyAlignment="1">
      <alignment horizontal="center"/>
    </xf>
    <xf numFmtId="0" fontId="23" fillId="8" borderId="20" xfId="0" applyFont="1" applyFill="1" applyBorder="1" applyAlignment="1">
      <alignment horizontal="center"/>
    </xf>
    <xf numFmtId="0" fontId="23" fillId="9" borderId="20" xfId="0" applyFont="1" applyFill="1" applyBorder="1"/>
    <xf numFmtId="0" fontId="23" fillId="8" borderId="20" xfId="0" quotePrefix="1" applyFont="1" applyFill="1" applyBorder="1"/>
    <xf numFmtId="1" fontId="2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23" fillId="6" borderId="20" xfId="1" applyNumberFormat="1" applyFont="1" applyFill="1" applyBorder="1" applyAlignment="1">
      <alignment horizontal="center"/>
    </xf>
    <xf numFmtId="0" fontId="23" fillId="6" borderId="0" xfId="4" applyFont="1" applyFill="1" applyAlignment="1">
      <alignment horizontal="center"/>
    </xf>
    <xf numFmtId="0" fontId="25" fillId="6" borderId="19" xfId="4" applyFont="1" applyFill="1" applyBorder="1" applyAlignment="1">
      <alignment horizontal="center" vertical="center"/>
    </xf>
    <xf numFmtId="0" fontId="23" fillId="6" borderId="16" xfId="1" applyFont="1" applyFill="1" applyBorder="1" applyAlignment="1">
      <alignment horizontal="center"/>
    </xf>
    <xf numFmtId="0" fontId="22" fillId="6" borderId="0" xfId="0" applyFont="1" applyFill="1" applyAlignment="1">
      <alignment vertical="center"/>
    </xf>
    <xf numFmtId="0" fontId="30" fillId="11" borderId="20" xfId="0" applyFont="1" applyFill="1" applyBorder="1" applyAlignment="1">
      <alignment horizontal="center" vertical="center" wrapText="1"/>
    </xf>
    <xf numFmtId="0" fontId="30" fillId="11" borderId="2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3" fontId="30" fillId="0" borderId="20" xfId="7" applyFont="1" applyFill="1" applyBorder="1" applyAlignment="1">
      <alignment horizontal="center" vertical="center"/>
    </xf>
    <xf numFmtId="43" fontId="30" fillId="0" borderId="0" xfId="7" applyFont="1" applyFill="1" applyBorder="1" applyAlignment="1">
      <alignment horizontal="center" vertical="center"/>
    </xf>
    <xf numFmtId="43" fontId="32" fillId="0" borderId="0" xfId="7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67" fontId="35" fillId="0" borderId="0" xfId="0" applyNumberFormat="1" applyFont="1" applyAlignment="1">
      <alignment horizontal="center" vertical="center" wrapText="1"/>
    </xf>
    <xf numFmtId="0" fontId="30" fillId="12" borderId="50" xfId="0" applyFont="1" applyFill="1" applyBorder="1" applyAlignment="1">
      <alignment horizontal="center" vertical="center"/>
    </xf>
    <xf numFmtId="0" fontId="30" fillId="12" borderId="51" xfId="0" applyFont="1" applyFill="1" applyBorder="1" applyAlignment="1">
      <alignment horizontal="center" vertical="center"/>
    </xf>
    <xf numFmtId="0" fontId="30" fillId="12" borderId="51" xfId="0" applyFont="1" applyFill="1" applyBorder="1" applyAlignment="1">
      <alignment horizontal="center" vertical="center" wrapText="1"/>
    </xf>
    <xf numFmtId="0" fontId="30" fillId="12" borderId="52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2" fontId="36" fillId="0" borderId="0" xfId="0" applyNumberFormat="1" applyFont="1" applyAlignment="1">
      <alignment horizontal="center"/>
    </xf>
    <xf numFmtId="4" fontId="36" fillId="0" borderId="0" xfId="8" applyNumberFormat="1" applyFont="1" applyFill="1" applyAlignment="1">
      <alignment horizontal="center" vertical="center"/>
    </xf>
    <xf numFmtId="4" fontId="30" fillId="0" borderId="0" xfId="8" applyNumberFormat="1" applyFont="1" applyFill="1" applyAlignment="1">
      <alignment horizontal="center" vertical="center"/>
    </xf>
    <xf numFmtId="10" fontId="30" fillId="0" borderId="0" xfId="9" applyNumberFormat="1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10" fontId="31" fillId="0" borderId="0" xfId="9" applyNumberFormat="1" applyFont="1" applyFill="1" applyAlignment="1">
      <alignment vertical="center"/>
    </xf>
    <xf numFmtId="0" fontId="22" fillId="0" borderId="0" xfId="0" applyFont="1"/>
    <xf numFmtId="49" fontId="30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43" fontId="22" fillId="0" borderId="0" xfId="7" applyFont="1" applyFill="1" applyAlignment="1">
      <alignment vertical="center"/>
    </xf>
    <xf numFmtId="49" fontId="3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4" fontId="30" fillId="0" borderId="0" xfId="7" applyNumberFormat="1" applyFont="1" applyFill="1" applyAlignment="1">
      <alignment vertical="center"/>
    </xf>
    <xf numFmtId="43" fontId="38" fillId="0" borderId="0" xfId="7" applyFont="1" applyFill="1" applyAlignment="1">
      <alignment horizontal="center" vertical="center"/>
    </xf>
    <xf numFmtId="10" fontId="31" fillId="12" borderId="53" xfId="9" applyNumberFormat="1" applyFont="1" applyFill="1" applyBorder="1" applyAlignment="1">
      <alignment vertical="center"/>
    </xf>
    <xf numFmtId="0" fontId="22" fillId="12" borderId="11" xfId="0" applyFont="1" applyFill="1" applyBorder="1" applyAlignment="1">
      <alignment vertical="center"/>
    </xf>
    <xf numFmtId="0" fontId="22" fillId="12" borderId="53" xfId="0" applyFont="1" applyFill="1" applyBorder="1" applyAlignment="1">
      <alignment vertical="center"/>
    </xf>
    <xf numFmtId="43" fontId="38" fillId="12" borderId="54" xfId="7" applyFont="1" applyFill="1" applyBorder="1" applyAlignment="1">
      <alignment horizontal="center" vertical="center"/>
    </xf>
    <xf numFmtId="43" fontId="40" fillId="0" borderId="0" xfId="7" applyFont="1" applyFill="1" applyBorder="1" applyAlignment="1">
      <alignment horizontal="right"/>
    </xf>
    <xf numFmtId="0" fontId="22" fillId="12" borderId="54" xfId="0" applyFont="1" applyFill="1" applyBorder="1" applyAlignment="1">
      <alignment vertical="center"/>
    </xf>
    <xf numFmtId="10" fontId="31" fillId="12" borderId="54" xfId="9" applyNumberFormat="1" applyFont="1" applyFill="1" applyBorder="1" applyAlignment="1">
      <alignment vertical="center"/>
    </xf>
    <xf numFmtId="0" fontId="39" fillId="0" borderId="0" xfId="0" applyFont="1" applyAlignment="1">
      <alignment horizontal="right"/>
    </xf>
    <xf numFmtId="0" fontId="39" fillId="0" borderId="0" xfId="0" applyFont="1"/>
    <xf numFmtId="9" fontId="39" fillId="0" borderId="0" xfId="0" applyNumberFormat="1" applyFont="1"/>
    <xf numFmtId="9" fontId="41" fillId="0" borderId="0" xfId="9" applyFont="1" applyFill="1" applyAlignment="1">
      <alignment horizontal="center"/>
    </xf>
    <xf numFmtId="0" fontId="38" fillId="0" borderId="0" xfId="0" applyFont="1" applyAlignment="1">
      <alignment horizontal="right" vertical="center"/>
    </xf>
    <xf numFmtId="4" fontId="38" fillId="0" borderId="0" xfId="7" applyNumberFormat="1" applyFont="1" applyFill="1" applyAlignment="1">
      <alignment vertical="center"/>
    </xf>
    <xf numFmtId="4" fontId="38" fillId="0" borderId="0" xfId="8" applyNumberFormat="1" applyFont="1" applyAlignment="1">
      <alignment horizontal="center" vertical="center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3" fillId="0" borderId="24" xfId="0" applyFont="1" applyBorder="1" applyAlignment="1">
      <alignment horizontal="right"/>
    </xf>
    <xf numFmtId="43" fontId="44" fillId="7" borderId="55" xfId="7" applyFont="1" applyFill="1" applyBorder="1" applyAlignment="1">
      <alignment horizontal="right"/>
    </xf>
    <xf numFmtId="43" fontId="44" fillId="0" borderId="0" xfId="7" applyFont="1" applyFill="1" applyBorder="1" applyAlignment="1">
      <alignment horizontal="right"/>
    </xf>
    <xf numFmtId="43" fontId="30" fillId="0" borderId="20" xfId="7" applyFont="1" applyFill="1" applyBorder="1" applyAlignment="1">
      <alignment vertical="center"/>
    </xf>
    <xf numFmtId="0" fontId="45" fillId="0" borderId="0" xfId="0" applyFont="1" applyAlignment="1">
      <alignment horizontal="left" vertical="center"/>
    </xf>
    <xf numFmtId="4" fontId="38" fillId="0" borderId="0" xfId="8" applyNumberFormat="1" applyFont="1" applyFill="1" applyAlignment="1">
      <alignment horizontal="center" vertical="center"/>
    </xf>
    <xf numFmtId="10" fontId="46" fillId="0" borderId="0" xfId="9" applyNumberFormat="1" applyFont="1" applyFill="1" applyAlignment="1">
      <alignment horizontal="right"/>
    </xf>
    <xf numFmtId="169" fontId="30" fillId="12" borderId="20" xfId="7" applyNumberFormat="1" applyFont="1" applyFill="1" applyBorder="1" applyAlignment="1">
      <alignment vertical="center"/>
    </xf>
    <xf numFmtId="4" fontId="22" fillId="0" borderId="0" xfId="0" applyNumberFormat="1" applyFont="1" applyAlignment="1">
      <alignment horizontal="center" vertical="center"/>
    </xf>
    <xf numFmtId="43" fontId="30" fillId="13" borderId="20" xfId="7" applyFont="1" applyFill="1" applyBorder="1" applyAlignment="1">
      <alignment vertical="center"/>
    </xf>
    <xf numFmtId="166" fontId="47" fillId="0" borderId="0" xfId="0" applyNumberFormat="1" applyFont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1" fillId="12" borderId="56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2" fontId="46" fillId="0" borderId="0" xfId="7" applyNumberFormat="1" applyFont="1" applyFill="1" applyBorder="1" applyAlignment="1">
      <alignment horizontal="center"/>
    </xf>
    <xf numFmtId="2" fontId="43" fillId="0" borderId="0" xfId="7" applyNumberFormat="1" applyFont="1" applyFill="1" applyBorder="1" applyAlignment="1">
      <alignment horizontal="center"/>
    </xf>
    <xf numFmtId="0" fontId="22" fillId="12" borderId="56" xfId="0" applyFont="1" applyFill="1" applyBorder="1" applyAlignment="1">
      <alignment vertical="center"/>
    </xf>
    <xf numFmtId="10" fontId="22" fillId="0" borderId="0" xfId="9" applyNumberFormat="1" applyFont="1" applyFill="1" applyAlignment="1">
      <alignment vertical="center"/>
    </xf>
    <xf numFmtId="4" fontId="22" fillId="0" borderId="0" xfId="7" applyNumberFormat="1" applyFont="1" applyFill="1" applyAlignment="1">
      <alignment vertical="center"/>
    </xf>
    <xf numFmtId="43" fontId="44" fillId="12" borderId="11" xfId="7" applyFont="1" applyFill="1" applyBorder="1" applyAlignment="1">
      <alignment horizontal="right"/>
    </xf>
    <xf numFmtId="0" fontId="30" fillId="12" borderId="10" xfId="0" applyFont="1" applyFill="1" applyBorder="1" applyAlignment="1">
      <alignment horizontal="right" vertical="center"/>
    </xf>
    <xf numFmtId="10" fontId="50" fillId="0" borderId="0" xfId="7" applyNumberFormat="1" applyFont="1" applyFill="1" applyAlignment="1">
      <alignment vertical="center"/>
    </xf>
    <xf numFmtId="10" fontId="31" fillId="0" borderId="0" xfId="9" applyNumberFormat="1" applyFont="1" applyFill="1" applyBorder="1" applyAlignment="1">
      <alignment vertical="center"/>
    </xf>
    <xf numFmtId="166" fontId="51" fillId="0" borderId="0" xfId="0" applyNumberFormat="1" applyFont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43" fontId="52" fillId="0" borderId="0" xfId="7" applyFont="1" applyFill="1" applyAlignment="1">
      <alignment vertical="center"/>
    </xf>
    <xf numFmtId="4" fontId="53" fillId="0" borderId="0" xfId="8" applyNumberFormat="1" applyFont="1" applyFill="1" applyAlignment="1">
      <alignment horizontal="center" vertical="center" wrapText="1"/>
    </xf>
    <xf numFmtId="9" fontId="22" fillId="0" borderId="0" xfId="7" applyNumberFormat="1" applyFont="1" applyFill="1" applyAlignment="1">
      <alignment vertical="center"/>
    </xf>
    <xf numFmtId="0" fontId="3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4" fontId="37" fillId="0" borderId="0" xfId="7" applyNumberFormat="1" applyFont="1" applyFill="1" applyAlignment="1">
      <alignment vertical="center"/>
    </xf>
    <xf numFmtId="4" fontId="30" fillId="15" borderId="55" xfId="7" applyNumberFormat="1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43" fontId="54" fillId="0" borderId="0" xfId="7" applyFont="1" applyFill="1" applyAlignment="1">
      <alignment vertical="center"/>
    </xf>
    <xf numFmtId="9" fontId="54" fillId="0" borderId="0" xfId="7" applyNumberFormat="1" applyFont="1" applyFill="1" applyAlignment="1">
      <alignment vertical="center"/>
    </xf>
    <xf numFmtId="4" fontId="30" fillId="0" borderId="0" xfId="7" applyNumberFormat="1" applyFont="1" applyFill="1" applyAlignment="1">
      <alignment horizontal="center" vertical="center"/>
    </xf>
    <xf numFmtId="10" fontId="47" fillId="0" borderId="0" xfId="9" applyNumberFormat="1" applyFont="1" applyFill="1" applyAlignment="1">
      <alignment vertical="center"/>
    </xf>
    <xf numFmtId="43" fontId="47" fillId="0" borderId="0" xfId="7" applyFont="1" applyFill="1" applyBorder="1" applyAlignment="1">
      <alignment vertical="center"/>
    </xf>
    <xf numFmtId="4" fontId="22" fillId="0" borderId="0" xfId="0" applyNumberFormat="1" applyFont="1" applyAlignment="1">
      <alignment horizontal="center"/>
    </xf>
    <xf numFmtId="43" fontId="22" fillId="0" borderId="0" xfId="7" applyFont="1" applyFill="1" applyBorder="1"/>
    <xf numFmtId="10" fontId="47" fillId="0" borderId="0" xfId="9" applyNumberFormat="1" applyFont="1" applyFill="1" applyBorder="1" applyAlignment="1">
      <alignment vertical="center"/>
    </xf>
    <xf numFmtId="0" fontId="47" fillId="0" borderId="0" xfId="0" applyFont="1" applyAlignment="1">
      <alignment horizontal="right"/>
    </xf>
    <xf numFmtId="43" fontId="22" fillId="0" borderId="0" xfId="7" applyFont="1" applyFill="1" applyBorder="1" applyAlignment="1">
      <alignment horizontal="center"/>
    </xf>
    <xf numFmtId="9" fontId="57" fillId="0" borderId="0" xfId="0" applyNumberFormat="1" applyFont="1" applyAlignment="1">
      <alignment horizontal="left"/>
    </xf>
    <xf numFmtId="4" fontId="30" fillId="0" borderId="0" xfId="0" applyNumberFormat="1" applyFont="1" applyAlignment="1">
      <alignment horizontal="center"/>
    </xf>
    <xf numFmtId="166" fontId="30" fillId="0" borderId="0" xfId="0" applyNumberFormat="1" applyFont="1"/>
    <xf numFmtId="0" fontId="23" fillId="2" borderId="38" xfId="3" applyFont="1" applyFill="1" applyBorder="1" applyAlignment="1">
      <alignment horizontal="center"/>
    </xf>
    <xf numFmtId="49" fontId="23" fillId="2" borderId="26" xfId="3" applyNumberFormat="1" applyFont="1" applyFill="1" applyBorder="1" applyAlignment="1">
      <alignment horizontal="center"/>
    </xf>
    <xf numFmtId="0" fontId="58" fillId="0" borderId="28" xfId="1" applyFont="1" applyBorder="1" applyAlignment="1">
      <alignment horizontal="center" vertical="center"/>
    </xf>
    <xf numFmtId="0" fontId="58" fillId="0" borderId="19" xfId="1" applyFont="1" applyBorder="1" applyAlignment="1">
      <alignment horizontal="center" vertical="center"/>
    </xf>
    <xf numFmtId="0" fontId="59" fillId="0" borderId="20" xfId="1" applyFont="1" applyBorder="1" applyAlignment="1">
      <alignment vertical="center"/>
    </xf>
    <xf numFmtId="0" fontId="58" fillId="0" borderId="20" xfId="1" applyFont="1" applyBorder="1" applyAlignment="1">
      <alignment horizontal="center" vertical="center"/>
    </xf>
    <xf numFmtId="1" fontId="58" fillId="0" borderId="20" xfId="1" applyNumberFormat="1" applyFont="1" applyBorder="1" applyAlignment="1">
      <alignment horizontal="center"/>
    </xf>
    <xf numFmtId="1" fontId="58" fillId="0" borderId="20" xfId="1" applyNumberFormat="1" applyFont="1" applyBorder="1" applyAlignment="1">
      <alignment horizontal="center" wrapText="1"/>
    </xf>
    <xf numFmtId="0" fontId="60" fillId="0" borderId="26" xfId="1" applyFont="1" applyBorder="1" applyAlignment="1">
      <alignment horizontal="center"/>
    </xf>
    <xf numFmtId="49" fontId="60" fillId="0" borderId="28" xfId="0" applyNumberFormat="1" applyFont="1" applyBorder="1" applyAlignment="1">
      <alignment horizontal="center"/>
    </xf>
    <xf numFmtId="49" fontId="60" fillId="0" borderId="19" xfId="0" applyNumberFormat="1" applyFont="1" applyBorder="1" applyAlignment="1">
      <alignment horizontal="center"/>
    </xf>
    <xf numFmtId="49" fontId="60" fillId="0" borderId="20" xfId="0" applyNumberFormat="1" applyFont="1" applyBorder="1" applyAlignment="1">
      <alignment horizontal="left"/>
    </xf>
    <xf numFmtId="0" fontId="60" fillId="0" borderId="23" xfId="0" applyFont="1" applyBorder="1" applyAlignment="1">
      <alignment horizontal="center"/>
    </xf>
    <xf numFmtId="0" fontId="60" fillId="0" borderId="22" xfId="0" applyFont="1" applyBorder="1" applyAlignment="1">
      <alignment horizontal="center"/>
    </xf>
    <xf numFmtId="1" fontId="60" fillId="0" borderId="22" xfId="0" applyNumberFormat="1" applyFont="1" applyBorder="1" applyAlignment="1">
      <alignment horizontal="center" wrapText="1"/>
    </xf>
    <xf numFmtId="2" fontId="58" fillId="0" borderId="20" xfId="1" applyNumberFormat="1" applyFont="1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20" xfId="0" applyFont="1" applyBorder="1"/>
    <xf numFmtId="0" fontId="60" fillId="0" borderId="20" xfId="0" quotePrefix="1" applyFont="1" applyBorder="1" applyAlignment="1">
      <alignment horizontal="center"/>
    </xf>
    <xf numFmtId="0" fontId="60" fillId="8" borderId="20" xfId="0" applyFont="1" applyFill="1" applyBorder="1" applyAlignment="1">
      <alignment horizontal="center"/>
    </xf>
    <xf numFmtId="0" fontId="60" fillId="8" borderId="20" xfId="0" quotePrefix="1" applyFont="1" applyFill="1" applyBorder="1"/>
    <xf numFmtId="16" fontId="60" fillId="0" borderId="20" xfId="0" applyNumberFormat="1" applyFont="1" applyBorder="1" applyAlignment="1">
      <alignment horizontal="center"/>
    </xf>
    <xf numFmtId="1" fontId="60" fillId="0" borderId="20" xfId="0" applyNumberFormat="1" applyFont="1" applyBorder="1" applyAlignment="1">
      <alignment horizontal="center"/>
    </xf>
    <xf numFmtId="0" fontId="60" fillId="9" borderId="20" xfId="0" applyFont="1" applyFill="1" applyBorder="1"/>
    <xf numFmtId="1" fontId="60" fillId="0" borderId="20" xfId="0" applyNumberFormat="1" applyFont="1" applyBorder="1" applyAlignment="1">
      <alignment horizontal="center" wrapText="1"/>
    </xf>
    <xf numFmtId="16" fontId="60" fillId="6" borderId="20" xfId="0" applyNumberFormat="1" applyFont="1" applyFill="1" applyBorder="1" applyAlignment="1">
      <alignment horizontal="center"/>
    </xf>
    <xf numFmtId="1" fontId="60" fillId="6" borderId="20" xfId="0" applyNumberFormat="1" applyFont="1" applyFill="1" applyBorder="1" applyAlignment="1">
      <alignment horizontal="center"/>
    </xf>
    <xf numFmtId="0" fontId="60" fillId="0" borderId="20" xfId="0" applyFont="1" applyBorder="1" applyAlignment="1">
      <alignment horizontal="center" vertical="center"/>
    </xf>
    <xf numFmtId="0" fontId="60" fillId="0" borderId="20" xfId="0" applyFont="1" applyBorder="1" applyAlignment="1">
      <alignment horizontal="left" vertical="center"/>
    </xf>
    <xf numFmtId="0" fontId="60" fillId="0" borderId="20" xfId="0" quotePrefix="1" applyFont="1" applyBorder="1"/>
    <xf numFmtId="0" fontId="60" fillId="6" borderId="20" xfId="0" applyFont="1" applyFill="1" applyBorder="1"/>
    <xf numFmtId="1" fontId="60" fillId="0" borderId="20" xfId="1" applyNumberFormat="1" applyFont="1" applyBorder="1" applyAlignment="1">
      <alignment horizontal="center"/>
    </xf>
    <xf numFmtId="1" fontId="60" fillId="0" borderId="20" xfId="1" applyNumberFormat="1" applyFont="1" applyBorder="1" applyAlignment="1">
      <alignment horizontal="center" wrapText="1"/>
    </xf>
    <xf numFmtId="49" fontId="60" fillId="0" borderId="28" xfId="1" applyNumberFormat="1" applyFont="1" applyBorder="1" applyAlignment="1">
      <alignment horizontal="center"/>
    </xf>
    <xf numFmtId="49" fontId="60" fillId="0" borderId="19" xfId="1" applyNumberFormat="1" applyFont="1" applyBorder="1" applyAlignment="1">
      <alignment horizontal="center"/>
    </xf>
    <xf numFmtId="0" fontId="58" fillId="6" borderId="20" xfId="1" applyFont="1" applyFill="1" applyBorder="1" applyAlignment="1">
      <alignment horizontal="left"/>
    </xf>
    <xf numFmtId="0" fontId="60" fillId="0" borderId="20" xfId="1" applyFont="1" applyBorder="1" applyAlignment="1">
      <alignment horizontal="center"/>
    </xf>
    <xf numFmtId="165" fontId="60" fillId="0" borderId="20" xfId="1" applyNumberFormat="1" applyFont="1" applyBorder="1" applyAlignment="1">
      <alignment horizontal="center"/>
    </xf>
    <xf numFmtId="0" fontId="60" fillId="0" borderId="28" xfId="4" applyFont="1" applyBorder="1" applyAlignment="1">
      <alignment horizontal="center"/>
    </xf>
    <xf numFmtId="0" fontId="60" fillId="6" borderId="20" xfId="4" applyFont="1" applyFill="1" applyBorder="1"/>
    <xf numFmtId="16" fontId="60" fillId="0" borderId="20" xfId="4" applyNumberFormat="1" applyFont="1" applyBorder="1" applyAlignment="1">
      <alignment horizontal="center"/>
    </xf>
    <xf numFmtId="0" fontId="60" fillId="0" borderId="20" xfId="4" applyFont="1" applyBorder="1" applyAlignment="1">
      <alignment horizontal="center"/>
    </xf>
    <xf numFmtId="1" fontId="60" fillId="0" borderId="20" xfId="4" applyNumberFormat="1" applyFont="1" applyBorder="1" applyAlignment="1">
      <alignment horizontal="center"/>
    </xf>
    <xf numFmtId="1" fontId="60" fillId="0" borderId="20" xfId="4" applyNumberFormat="1" applyFont="1" applyBorder="1" applyAlignment="1">
      <alignment horizontal="center" wrapText="1"/>
    </xf>
    <xf numFmtId="49" fontId="58" fillId="0" borderId="9" xfId="1" applyNumberFormat="1" applyFont="1" applyBorder="1" applyAlignment="1">
      <alignment horizontal="center"/>
    </xf>
    <xf numFmtId="49" fontId="58" fillId="0" borderId="8" xfId="1" applyNumberFormat="1" applyFont="1" applyBorder="1" applyAlignment="1">
      <alignment horizontal="center"/>
    </xf>
    <xf numFmtId="0" fontId="59" fillId="6" borderId="20" xfId="1" applyFont="1" applyFill="1" applyBorder="1" applyAlignment="1">
      <alignment vertical="center"/>
    </xf>
    <xf numFmtId="0" fontId="58" fillId="0" borderId="19" xfId="1" applyFont="1" applyBorder="1" applyAlignment="1">
      <alignment horizontal="center"/>
    </xf>
    <xf numFmtId="49" fontId="60" fillId="6" borderId="28" xfId="1" applyNumberFormat="1" applyFont="1" applyFill="1" applyBorder="1" applyAlignment="1">
      <alignment horizontal="center"/>
    </xf>
    <xf numFmtId="49" fontId="60" fillId="6" borderId="19" xfId="1" applyNumberFormat="1" applyFont="1" applyFill="1" applyBorder="1" applyAlignment="1">
      <alignment horizontal="center"/>
    </xf>
    <xf numFmtId="49" fontId="60" fillId="6" borderId="20" xfId="1" applyNumberFormat="1" applyFont="1" applyFill="1" applyBorder="1"/>
    <xf numFmtId="12" fontId="60" fillId="0" borderId="20" xfId="1" applyNumberFormat="1" applyFont="1" applyBorder="1" applyAlignment="1">
      <alignment horizontal="center"/>
    </xf>
    <xf numFmtId="49" fontId="60" fillId="0" borderId="20" xfId="1" applyNumberFormat="1" applyFont="1" applyBorder="1"/>
    <xf numFmtId="49" fontId="61" fillId="2" borderId="25" xfId="1" applyNumberFormat="1" applyFont="1" applyFill="1" applyBorder="1" applyAlignment="1">
      <alignment horizontal="center" vertical="center"/>
    </xf>
    <xf numFmtId="49" fontId="61" fillId="2" borderId="0" xfId="1" applyNumberFormat="1" applyFont="1" applyFill="1" applyAlignment="1">
      <alignment horizontal="center" vertical="center"/>
    </xf>
    <xf numFmtId="0" fontId="60" fillId="2" borderId="0" xfId="1" applyFont="1" applyFill="1"/>
    <xf numFmtId="1" fontId="60" fillId="2" borderId="0" xfId="1" applyNumberFormat="1" applyFont="1" applyFill="1" applyAlignment="1">
      <alignment horizontal="center"/>
    </xf>
    <xf numFmtId="164" fontId="60" fillId="2" borderId="0" xfId="1" applyNumberFormat="1" applyFont="1" applyFill="1" applyAlignment="1">
      <alignment horizontal="center" wrapText="1"/>
    </xf>
    <xf numFmtId="0" fontId="60" fillId="2" borderId="24" xfId="1" applyFont="1" applyFill="1" applyBorder="1" applyAlignment="1">
      <alignment horizontal="center"/>
    </xf>
    <xf numFmtId="0" fontId="60" fillId="4" borderId="12" xfId="1" applyFont="1" applyFill="1" applyBorder="1" applyAlignment="1">
      <alignment horizontal="center"/>
    </xf>
    <xf numFmtId="0" fontId="60" fillId="4" borderId="11" xfId="1" applyFont="1" applyFill="1" applyBorder="1" applyAlignment="1">
      <alignment horizontal="center"/>
    </xf>
    <xf numFmtId="0" fontId="60" fillId="4" borderId="11" xfId="1" applyFont="1" applyFill="1" applyBorder="1"/>
    <xf numFmtId="0" fontId="58" fillId="4" borderId="11" xfId="1" applyFont="1" applyFill="1" applyBorder="1" applyAlignment="1">
      <alignment horizontal="center"/>
    </xf>
    <xf numFmtId="1" fontId="58" fillId="4" borderId="11" xfId="1" applyNumberFormat="1" applyFont="1" applyFill="1" applyBorder="1" applyAlignment="1">
      <alignment horizontal="center"/>
    </xf>
    <xf numFmtId="164" fontId="60" fillId="4" borderId="11" xfId="1" applyNumberFormat="1" applyFont="1" applyFill="1" applyBorder="1" applyAlignment="1">
      <alignment horizontal="center" wrapText="1"/>
    </xf>
    <xf numFmtId="0" fontId="60" fillId="4" borderId="10" xfId="1" applyFont="1" applyFill="1" applyBorder="1" applyAlignment="1">
      <alignment horizontal="center"/>
    </xf>
    <xf numFmtId="1" fontId="60" fillId="0" borderId="22" xfId="0" applyNumberFormat="1" applyFont="1" applyBorder="1" applyAlignment="1">
      <alignment horizontal="center"/>
    </xf>
    <xf numFmtId="0" fontId="60" fillId="0" borderId="21" xfId="0" applyFont="1" applyBorder="1" applyAlignment="1">
      <alignment horizontal="center"/>
    </xf>
    <xf numFmtId="0" fontId="58" fillId="0" borderId="20" xfId="0" applyFont="1" applyBorder="1" applyAlignment="1">
      <alignment horizontal="center"/>
    </xf>
    <xf numFmtId="1" fontId="60" fillId="0" borderId="15" xfId="0" applyNumberFormat="1" applyFont="1" applyBorder="1" applyAlignment="1">
      <alignment horizontal="center"/>
    </xf>
    <xf numFmtId="0" fontId="60" fillId="0" borderId="15" xfId="0" applyFont="1" applyBorder="1" applyAlignment="1">
      <alignment horizontal="center"/>
    </xf>
    <xf numFmtId="14" fontId="62" fillId="2" borderId="0" xfId="3" applyNumberFormat="1" applyFont="1" applyFill="1" applyAlignment="1">
      <alignment horizontal="center" vertical="center" wrapText="1"/>
    </xf>
    <xf numFmtId="0" fontId="6" fillId="0" borderId="17" xfId="1" applyFont="1" applyBorder="1" applyAlignment="1">
      <alignment horizontal="right"/>
    </xf>
    <xf numFmtId="0" fontId="6" fillId="0" borderId="16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14" xfId="1" applyNumberFormat="1" applyFont="1" applyBorder="1" applyAlignment="1">
      <alignment horizontal="center"/>
    </xf>
    <xf numFmtId="164" fontId="5" fillId="0" borderId="13" xfId="1" applyNumberFormat="1" applyFont="1" applyBorder="1" applyAlignment="1">
      <alignment horizontal="center"/>
    </xf>
    <xf numFmtId="0" fontId="6" fillId="4" borderId="12" xfId="1" applyFont="1" applyFill="1" applyBorder="1" applyAlignment="1">
      <alignment horizontal="left"/>
    </xf>
    <xf numFmtId="0" fontId="6" fillId="4" borderId="11" xfId="1" applyFont="1" applyFill="1" applyBorder="1" applyAlignment="1">
      <alignment horizontal="left"/>
    </xf>
    <xf numFmtId="0" fontId="6" fillId="4" borderId="10" xfId="1" applyFont="1" applyFill="1" applyBorder="1" applyAlignment="1">
      <alignment horizontal="left"/>
    </xf>
    <xf numFmtId="0" fontId="5" fillId="0" borderId="6" xfId="1" applyFont="1" applyBorder="1" applyAlignment="1">
      <alignment horizontal="left" wrapText="1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3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9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6" fillId="3" borderId="6" xfId="1" applyFont="1" applyFill="1" applyBorder="1" applyAlignment="1">
      <alignment horizontal="left"/>
    </xf>
    <xf numFmtId="0" fontId="6" fillId="3" borderId="5" xfId="1" applyFont="1" applyFill="1" applyBorder="1" applyAlignment="1">
      <alignment horizontal="left"/>
    </xf>
    <xf numFmtId="0" fontId="6" fillId="3" borderId="4" xfId="1" applyFont="1" applyFill="1" applyBorder="1" applyAlignment="1">
      <alignment horizontal="left"/>
    </xf>
    <xf numFmtId="0" fontId="6" fillId="0" borderId="9" xfId="1" applyFont="1" applyBorder="1" applyAlignment="1">
      <alignment horizontal="right"/>
    </xf>
    <xf numFmtId="0" fontId="6" fillId="0" borderId="8" xfId="1" applyFont="1" applyBorder="1" applyAlignment="1">
      <alignment horizontal="right"/>
    </xf>
    <xf numFmtId="0" fontId="6" fillId="0" borderId="19" xfId="1" applyFont="1" applyBorder="1" applyAlignment="1">
      <alignment horizontal="right"/>
    </xf>
    <xf numFmtId="0" fontId="5" fillId="0" borderId="20" xfId="1" applyFont="1" applyBorder="1" applyAlignment="1">
      <alignment horizontal="right"/>
    </xf>
    <xf numFmtId="164" fontId="5" fillId="0" borderId="18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18" xfId="1" applyNumberFormat="1" applyFont="1" applyBorder="1" applyAlignment="1">
      <alignment horizontal="right" wrapText="1"/>
    </xf>
    <xf numFmtId="164" fontId="5" fillId="0" borderId="19" xfId="1" applyNumberFormat="1" applyFont="1" applyBorder="1" applyAlignment="1">
      <alignment horizontal="right" wrapText="1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23" xfId="1" applyFont="1" applyBorder="1" applyAlignment="1">
      <alignment horizontal="right"/>
    </xf>
    <xf numFmtId="164" fontId="5" fillId="0" borderId="22" xfId="1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6" fillId="2" borderId="0" xfId="3" applyFont="1" applyFill="1" applyAlignment="1">
      <alignment horizontal="right"/>
    </xf>
    <xf numFmtId="0" fontId="12" fillId="2" borderId="2" xfId="3" applyFont="1" applyFill="1" applyBorder="1" applyAlignment="1">
      <alignment horizontal="center"/>
    </xf>
    <xf numFmtId="0" fontId="6" fillId="2" borderId="0" xfId="3" applyFont="1" applyFill="1"/>
    <xf numFmtId="0" fontId="6" fillId="4" borderId="33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14" fontId="8" fillId="2" borderId="37" xfId="3" applyNumberFormat="1" applyFont="1" applyFill="1" applyBorder="1" applyAlignment="1">
      <alignment horizontal="center" vertical="center" wrapText="1"/>
    </xf>
    <xf numFmtId="14" fontId="8" fillId="2" borderId="34" xfId="3" applyNumberFormat="1" applyFont="1" applyFill="1" applyBorder="1" applyAlignment="1">
      <alignment horizontal="center" vertical="center" wrapText="1"/>
    </xf>
    <xf numFmtId="0" fontId="5" fillId="2" borderId="20" xfId="3" applyFont="1" applyFill="1" applyBorder="1" applyAlignment="1">
      <alignment horizontal="left"/>
    </xf>
    <xf numFmtId="0" fontId="5" fillId="2" borderId="15" xfId="3" applyFont="1" applyFill="1" applyBorder="1" applyAlignment="1">
      <alignment horizontal="left"/>
    </xf>
    <xf numFmtId="0" fontId="5" fillId="2" borderId="40" xfId="3" applyFont="1" applyFill="1" applyBorder="1" applyAlignment="1">
      <alignment horizontal="center"/>
    </xf>
    <xf numFmtId="0" fontId="5" fillId="2" borderId="39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5" fillId="2" borderId="36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5" fillId="2" borderId="35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center"/>
    </xf>
    <xf numFmtId="0" fontId="6" fillId="2" borderId="20" xfId="3" applyFont="1" applyFill="1" applyBorder="1" applyAlignment="1">
      <alignment horizontal="center"/>
    </xf>
    <xf numFmtId="0" fontId="6" fillId="7" borderId="20" xfId="3" applyFont="1" applyFill="1" applyBorder="1" applyAlignment="1">
      <alignment horizontal="center" vertical="center" wrapText="1"/>
    </xf>
    <xf numFmtId="0" fontId="13" fillId="7" borderId="20" xfId="3" applyFont="1" applyFill="1" applyBorder="1" applyAlignment="1">
      <alignment horizontal="center" vertical="center" wrapText="1"/>
    </xf>
    <xf numFmtId="0" fontId="6" fillId="2" borderId="20" xfId="3" applyFont="1" applyFill="1" applyBorder="1" applyAlignment="1">
      <alignment horizontal="right" vertical="top" wrapText="1"/>
    </xf>
    <xf numFmtId="0" fontId="6" fillId="2" borderId="15" xfId="3" applyFont="1" applyFill="1" applyBorder="1" applyAlignment="1">
      <alignment horizontal="right" vertical="top" wrapText="1"/>
    </xf>
    <xf numFmtId="0" fontId="38" fillId="0" borderId="0" xfId="0" applyFont="1" applyAlignment="1">
      <alignment horizontal="center" vertical="center"/>
    </xf>
    <xf numFmtId="0" fontId="55" fillId="0" borderId="12" xfId="0" applyFont="1" applyBorder="1" applyAlignment="1">
      <alignment horizontal="right" vertical="center"/>
    </xf>
    <xf numFmtId="0" fontId="55" fillId="0" borderId="11" xfId="0" applyFont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6" fillId="0" borderId="0" xfId="0" applyFont="1" applyAlignment="1">
      <alignment horizontal="right"/>
    </xf>
    <xf numFmtId="0" fontId="46" fillId="0" borderId="2" xfId="0" applyFont="1" applyBorder="1" applyAlignment="1">
      <alignment horizontal="right"/>
    </xf>
    <xf numFmtId="0" fontId="38" fillId="0" borderId="0" xfId="0" applyFont="1" applyAlignment="1">
      <alignment horizontal="right" vertical="center"/>
    </xf>
    <xf numFmtId="0" fontId="44" fillId="12" borderId="12" xfId="0" applyFont="1" applyFill="1" applyBorder="1" applyAlignment="1">
      <alignment horizontal="right"/>
    </xf>
    <xf numFmtId="0" fontId="44" fillId="12" borderId="11" xfId="0" applyFont="1" applyFill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30" fillId="0" borderId="2" xfId="0" applyFont="1" applyBorder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0" fontId="30" fillId="14" borderId="12" xfId="0" applyFont="1" applyFill="1" applyBorder="1" applyAlignment="1">
      <alignment horizontal="right" vertical="center"/>
    </xf>
    <xf numFmtId="0" fontId="30" fillId="14" borderId="11" xfId="0" applyFont="1" applyFill="1" applyBorder="1" applyAlignment="1">
      <alignment horizontal="right" vertical="center"/>
    </xf>
    <xf numFmtId="0" fontId="30" fillId="14" borderId="10" xfId="0" applyFont="1" applyFill="1" applyBorder="1" applyAlignment="1">
      <alignment horizontal="right" vertical="center"/>
    </xf>
    <xf numFmtId="4" fontId="53" fillId="0" borderId="0" xfId="8" applyNumberFormat="1" applyFont="1" applyFill="1" applyAlignment="1">
      <alignment horizontal="center" vertical="center" wrapText="1"/>
    </xf>
    <xf numFmtId="0" fontId="47" fillId="0" borderId="20" xfId="0" applyFont="1" applyBorder="1" applyAlignment="1">
      <alignment horizontal="right" vertical="center"/>
    </xf>
    <xf numFmtId="0" fontId="48" fillId="0" borderId="25" xfId="0" applyFont="1" applyBorder="1" applyAlignment="1">
      <alignment horizontal="right"/>
    </xf>
    <xf numFmtId="0" fontId="48" fillId="0" borderId="0" xfId="0" applyFont="1" applyAlignment="1">
      <alignment horizontal="right"/>
    </xf>
    <xf numFmtId="0" fontId="48" fillId="0" borderId="24" xfId="0" applyFont="1" applyBorder="1" applyAlignment="1">
      <alignment horizontal="right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9" fillId="0" borderId="40" xfId="0" applyFont="1" applyBorder="1" applyAlignment="1">
      <alignment horizontal="right"/>
    </xf>
    <xf numFmtId="0" fontId="39" fillId="0" borderId="46" xfId="0" applyFont="1" applyBorder="1" applyAlignment="1">
      <alignment horizontal="right"/>
    </xf>
    <xf numFmtId="0" fontId="22" fillId="0" borderId="20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right" vertical="center" wrapText="1"/>
    </xf>
    <xf numFmtId="0" fontId="16" fillId="10" borderId="49" xfId="3" applyFont="1" applyFill="1" applyBorder="1" applyAlignment="1">
      <alignment horizontal="center"/>
    </xf>
    <xf numFmtId="0" fontId="16" fillId="10" borderId="46" xfId="3" applyFont="1" applyFill="1" applyBorder="1" applyAlignment="1">
      <alignment horizontal="center"/>
    </xf>
    <xf numFmtId="0" fontId="14" fillId="2" borderId="42" xfId="3" applyFont="1" applyFill="1" applyBorder="1" applyAlignment="1">
      <alignment horizontal="left"/>
    </xf>
    <xf numFmtId="0" fontId="14" fillId="2" borderId="0" xfId="3" applyFont="1" applyFill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20" fillId="0" borderId="9" xfId="0" applyFont="1" applyBorder="1" applyAlignment="1">
      <alignment wrapText="1"/>
    </xf>
    <xf numFmtId="0" fontId="20" fillId="0" borderId="8" xfId="0" applyFont="1" applyBorder="1" applyAlignment="1">
      <alignment wrapText="1"/>
    </xf>
    <xf numFmtId="0" fontId="20" fillId="0" borderId="7" xfId="0" applyFont="1" applyBorder="1" applyAlignment="1">
      <alignment wrapText="1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14" fillId="0" borderId="9" xfId="1" applyFont="1" applyBorder="1" applyAlignment="1">
      <alignment horizontal="left" wrapText="1"/>
    </xf>
    <xf numFmtId="0" fontId="14" fillId="0" borderId="8" xfId="1" applyFont="1" applyBorder="1" applyAlignment="1">
      <alignment horizontal="left" wrapText="1"/>
    </xf>
    <xf numFmtId="0" fontId="14" fillId="0" borderId="7" xfId="1" applyFont="1" applyBorder="1" applyAlignment="1">
      <alignment horizontal="left" wrapText="1"/>
    </xf>
    <xf numFmtId="0" fontId="14" fillId="0" borderId="47" xfId="1" applyFont="1" applyBorder="1" applyAlignment="1">
      <alignment horizontal="left"/>
    </xf>
    <xf numFmtId="0" fontId="14" fillId="0" borderId="48" xfId="1" applyFont="1" applyBorder="1" applyAlignment="1">
      <alignment horizontal="left"/>
    </xf>
    <xf numFmtId="0" fontId="14" fillId="0" borderId="13" xfId="1" applyFont="1" applyBorder="1" applyAlignment="1">
      <alignment horizontal="left"/>
    </xf>
    <xf numFmtId="0" fontId="21" fillId="0" borderId="20" xfId="0" applyFont="1" applyBorder="1" applyAlignment="1">
      <alignment horizontal="left" wrapText="1"/>
    </xf>
    <xf numFmtId="0" fontId="16" fillId="0" borderId="9" xfId="1" applyFont="1" applyBorder="1" applyAlignment="1">
      <alignment horizontal="right"/>
    </xf>
    <xf numFmtId="0" fontId="16" fillId="0" borderId="8" xfId="1" applyFont="1" applyBorder="1" applyAlignment="1">
      <alignment horizontal="right"/>
    </xf>
    <xf numFmtId="0" fontId="16" fillId="0" borderId="19" xfId="1" applyFont="1" applyBorder="1" applyAlignment="1">
      <alignment horizontal="right"/>
    </xf>
    <xf numFmtId="0" fontId="14" fillId="0" borderId="20" xfId="1" applyFont="1" applyBorder="1" applyAlignment="1">
      <alignment horizontal="right"/>
    </xf>
    <xf numFmtId="164" fontId="14" fillId="0" borderId="18" xfId="1" applyNumberFormat="1" applyFont="1" applyBorder="1" applyAlignment="1">
      <alignment horizontal="center"/>
    </xf>
    <xf numFmtId="164" fontId="14" fillId="0" borderId="7" xfId="1" applyNumberFormat="1" applyFont="1" applyBorder="1" applyAlignment="1">
      <alignment horizontal="center"/>
    </xf>
    <xf numFmtId="164" fontId="14" fillId="0" borderId="18" xfId="1" applyNumberFormat="1" applyFont="1" applyBorder="1" applyAlignment="1">
      <alignment horizontal="right" wrapText="1"/>
    </xf>
    <xf numFmtId="164" fontId="14" fillId="0" borderId="19" xfId="1" applyNumberFormat="1" applyFont="1" applyBorder="1" applyAlignment="1">
      <alignment horizontal="right" wrapText="1"/>
    </xf>
    <xf numFmtId="0" fontId="16" fillId="0" borderId="17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15" xfId="1" applyFont="1" applyBorder="1" applyAlignment="1">
      <alignment horizontal="right"/>
    </xf>
    <xf numFmtId="0" fontId="14" fillId="0" borderId="15" xfId="1" applyFont="1" applyBorder="1" applyAlignment="1">
      <alignment horizontal="right"/>
    </xf>
    <xf numFmtId="164" fontId="14" fillId="0" borderId="14" xfId="1" applyNumberFormat="1" applyFont="1" applyBorder="1" applyAlignment="1">
      <alignment horizontal="center"/>
    </xf>
    <xf numFmtId="164" fontId="14" fillId="0" borderId="13" xfId="1" applyNumberFormat="1" applyFont="1" applyBorder="1" applyAlignment="1">
      <alignment horizontal="center"/>
    </xf>
    <xf numFmtId="0" fontId="16" fillId="4" borderId="12" xfId="1" applyFont="1" applyFill="1" applyBorder="1" applyAlignment="1">
      <alignment horizontal="left"/>
    </xf>
    <xf numFmtId="0" fontId="16" fillId="4" borderId="11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3" xfId="1" applyFont="1" applyBorder="1" applyAlignment="1">
      <alignment horizontal="right"/>
    </xf>
    <xf numFmtId="164" fontId="14" fillId="0" borderId="22" xfId="1" applyNumberFormat="1" applyFont="1" applyBorder="1" applyAlignment="1">
      <alignment horizontal="right"/>
    </xf>
    <xf numFmtId="0" fontId="14" fillId="2" borderId="21" xfId="1" applyFont="1" applyFill="1" applyBorder="1" applyAlignment="1">
      <alignment horizontal="center"/>
    </xf>
    <xf numFmtId="0" fontId="14" fillId="2" borderId="4" xfId="1" applyFont="1" applyFill="1" applyBorder="1" applyAlignment="1">
      <alignment horizontal="center"/>
    </xf>
    <xf numFmtId="0" fontId="18" fillId="2" borderId="2" xfId="3" applyFont="1" applyFill="1" applyBorder="1" applyAlignment="1">
      <alignment horizontal="center"/>
    </xf>
    <xf numFmtId="0" fontId="16" fillId="4" borderId="33" xfId="1" applyFont="1" applyFill="1" applyBorder="1" applyAlignment="1">
      <alignment horizontal="center" vertical="center"/>
    </xf>
    <xf numFmtId="0" fontId="16" fillId="4" borderId="17" xfId="1" applyFont="1" applyFill="1" applyBorder="1" applyAlignment="1">
      <alignment horizontal="center" vertical="center"/>
    </xf>
    <xf numFmtId="0" fontId="16" fillId="4" borderId="33" xfId="1" applyFont="1" applyFill="1" applyBorder="1" applyAlignment="1">
      <alignment horizontal="center" vertical="center" wrapText="1"/>
    </xf>
    <xf numFmtId="0" fontId="16" fillId="4" borderId="17" xfId="1" applyFont="1" applyFill="1" applyBorder="1" applyAlignment="1">
      <alignment horizontal="center" vertical="center" wrapText="1"/>
    </xf>
    <xf numFmtId="0" fontId="16" fillId="4" borderId="32" xfId="1" applyFont="1" applyFill="1" applyBorder="1" applyAlignment="1">
      <alignment horizontal="center" vertical="center"/>
    </xf>
    <xf numFmtId="0" fontId="16" fillId="4" borderId="15" xfId="1" applyFont="1" applyFill="1" applyBorder="1" applyAlignment="1">
      <alignment horizontal="center" vertical="center"/>
    </xf>
    <xf numFmtId="14" fontId="14" fillId="2" borderId="37" xfId="3" applyNumberFormat="1" applyFont="1" applyFill="1" applyBorder="1" applyAlignment="1">
      <alignment horizontal="center" vertical="center" wrapText="1"/>
    </xf>
    <xf numFmtId="14" fontId="14" fillId="2" borderId="34" xfId="3" applyNumberFormat="1" applyFont="1" applyFill="1" applyBorder="1" applyAlignment="1">
      <alignment horizontal="center" vertical="center" wrapText="1"/>
    </xf>
    <xf numFmtId="14" fontId="14" fillId="2" borderId="27" xfId="3" applyNumberFormat="1" applyFont="1" applyFill="1" applyBorder="1" applyAlignment="1">
      <alignment horizontal="center" vertical="center" wrapText="1"/>
    </xf>
    <xf numFmtId="0" fontId="14" fillId="2" borderId="45" xfId="3" applyFont="1" applyFill="1" applyBorder="1" applyAlignment="1">
      <alignment horizontal="left"/>
    </xf>
    <xf numFmtId="0" fontId="14" fillId="2" borderId="44" xfId="3" applyFont="1" applyFill="1" applyBorder="1" applyAlignment="1">
      <alignment horizontal="left"/>
    </xf>
    <xf numFmtId="0" fontId="14" fillId="2" borderId="43" xfId="3" applyFont="1" applyFill="1" applyBorder="1" applyAlignment="1">
      <alignment horizontal="left"/>
    </xf>
    <xf numFmtId="0" fontId="14" fillId="2" borderId="18" xfId="3" applyFont="1" applyFill="1" applyBorder="1" applyAlignment="1">
      <alignment horizontal="left"/>
    </xf>
    <xf numFmtId="0" fontId="14" fillId="2" borderId="8" xfId="3" applyFont="1" applyFill="1" applyBorder="1" applyAlignment="1">
      <alignment horizontal="left"/>
    </xf>
    <xf numFmtId="0" fontId="14" fillId="2" borderId="19" xfId="3" applyFont="1" applyFill="1" applyBorder="1" applyAlignment="1">
      <alignment horizontal="left"/>
    </xf>
    <xf numFmtId="0" fontId="14" fillId="2" borderId="40" xfId="3" applyFont="1" applyFill="1" applyBorder="1" applyAlignment="1">
      <alignment horizontal="center"/>
    </xf>
    <xf numFmtId="0" fontId="14" fillId="2" borderId="46" xfId="3" applyFont="1" applyFill="1" applyBorder="1" applyAlignment="1">
      <alignment horizontal="center"/>
    </xf>
    <xf numFmtId="0" fontId="14" fillId="2" borderId="25" xfId="3" applyFont="1" applyFill="1" applyBorder="1" applyAlignment="1">
      <alignment horizontal="center"/>
    </xf>
    <xf numFmtId="0" fontId="14" fillId="2" borderId="0" xfId="3" applyFont="1" applyFill="1" applyAlignment="1">
      <alignment horizontal="center"/>
    </xf>
    <xf numFmtId="0" fontId="14" fillId="2" borderId="6" xfId="3" applyFont="1" applyFill="1" applyBorder="1" applyAlignment="1">
      <alignment horizontal="center"/>
    </xf>
    <xf numFmtId="0" fontId="14" fillId="2" borderId="5" xfId="3" applyFont="1" applyFill="1" applyBorder="1" applyAlignment="1">
      <alignment horizontal="center"/>
    </xf>
    <xf numFmtId="0" fontId="15" fillId="2" borderId="32" xfId="3" applyFont="1" applyFill="1" applyBorder="1" applyAlignment="1">
      <alignment horizontal="center"/>
    </xf>
    <xf numFmtId="0" fontId="15" fillId="2" borderId="30" xfId="3" applyFont="1" applyFill="1" applyBorder="1" applyAlignment="1">
      <alignment horizontal="center"/>
    </xf>
    <xf numFmtId="0" fontId="9" fillId="7" borderId="12" xfId="3" applyFont="1" applyFill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16" fillId="2" borderId="41" xfId="3" applyFont="1" applyFill="1" applyBorder="1" applyAlignment="1">
      <alignment horizontal="right" vertical="top" wrapText="1"/>
    </xf>
    <xf numFmtId="0" fontId="16" fillId="2" borderId="36" xfId="3" applyFont="1" applyFill="1" applyBorder="1" applyAlignment="1">
      <alignment horizontal="right" vertical="top" wrapText="1"/>
    </xf>
    <xf numFmtId="0" fontId="16" fillId="2" borderId="35" xfId="3" applyFont="1" applyFill="1" applyBorder="1" applyAlignment="1">
      <alignment horizontal="right" vertical="top" wrapText="1"/>
    </xf>
    <xf numFmtId="0" fontId="58" fillId="10" borderId="49" xfId="3" applyFont="1" applyFill="1" applyBorder="1" applyAlignment="1">
      <alignment horizontal="center"/>
    </xf>
    <xf numFmtId="0" fontId="58" fillId="10" borderId="46" xfId="3" applyFont="1" applyFill="1" applyBorder="1" applyAlignment="1">
      <alignment horizontal="center"/>
    </xf>
    <xf numFmtId="0" fontId="60" fillId="2" borderId="20" xfId="3" applyFont="1" applyFill="1" applyBorder="1" applyAlignment="1">
      <alignment horizontal="left"/>
    </xf>
    <xf numFmtId="0" fontId="60" fillId="0" borderId="9" xfId="0" applyFont="1" applyBorder="1" applyAlignment="1">
      <alignment horizontal="left" wrapText="1"/>
    </xf>
    <xf numFmtId="0" fontId="60" fillId="0" borderId="8" xfId="0" applyFont="1" applyBorder="1" applyAlignment="1">
      <alignment horizontal="left" wrapText="1"/>
    </xf>
    <xf numFmtId="0" fontId="60" fillId="0" borderId="7" xfId="0" applyFont="1" applyBorder="1" applyAlignment="1">
      <alignment horizontal="left" wrapText="1"/>
    </xf>
    <xf numFmtId="0" fontId="60" fillId="0" borderId="9" xfId="0" applyFont="1" applyBorder="1" applyAlignment="1">
      <alignment horizontal="left"/>
    </xf>
    <xf numFmtId="0" fontId="60" fillId="0" borderId="8" xfId="0" applyFont="1" applyBorder="1" applyAlignment="1">
      <alignment horizontal="left"/>
    </xf>
    <xf numFmtId="0" fontId="60" fillId="0" borderId="7" xfId="0" applyFont="1" applyBorder="1" applyAlignment="1">
      <alignment horizontal="left"/>
    </xf>
    <xf numFmtId="0" fontId="60" fillId="0" borderId="9" xfId="0" applyFont="1" applyBorder="1" applyAlignment="1">
      <alignment wrapText="1"/>
    </xf>
    <xf numFmtId="0" fontId="60" fillId="0" borderId="8" xfId="0" applyFont="1" applyBorder="1" applyAlignment="1">
      <alignment wrapText="1"/>
    </xf>
    <xf numFmtId="0" fontId="60" fillId="0" borderId="7" xfId="0" applyFont="1" applyBorder="1" applyAlignment="1">
      <alignment wrapText="1"/>
    </xf>
    <xf numFmtId="0" fontId="60" fillId="0" borderId="9" xfId="1" applyFont="1" applyBorder="1" applyAlignment="1">
      <alignment horizontal="left" wrapText="1"/>
    </xf>
    <xf numFmtId="0" fontId="60" fillId="0" borderId="8" xfId="1" applyFont="1" applyBorder="1" applyAlignment="1">
      <alignment horizontal="left" wrapText="1"/>
    </xf>
    <xf numFmtId="0" fontId="60" fillId="0" borderId="7" xfId="1" applyFont="1" applyBorder="1" applyAlignment="1">
      <alignment horizontal="left" wrapText="1"/>
    </xf>
    <xf numFmtId="0" fontId="60" fillId="0" borderId="47" xfId="1" applyFont="1" applyBorder="1" applyAlignment="1">
      <alignment horizontal="left"/>
    </xf>
    <xf numFmtId="0" fontId="60" fillId="0" borderId="48" xfId="1" applyFont="1" applyBorder="1" applyAlignment="1">
      <alignment horizontal="left"/>
    </xf>
    <xf numFmtId="0" fontId="60" fillId="0" borderId="13" xfId="1" applyFont="1" applyBorder="1" applyAlignment="1">
      <alignment horizontal="left"/>
    </xf>
    <xf numFmtId="164" fontId="60" fillId="0" borderId="22" xfId="1" applyNumberFormat="1" applyFont="1" applyBorder="1" applyAlignment="1">
      <alignment horizontal="right"/>
    </xf>
    <xf numFmtId="0" fontId="60" fillId="2" borderId="21" xfId="1" applyFont="1" applyFill="1" applyBorder="1" applyAlignment="1">
      <alignment horizontal="center"/>
    </xf>
    <xf numFmtId="0" fontId="60" fillId="2" borderId="4" xfId="1" applyFont="1" applyFill="1" applyBorder="1" applyAlignment="1">
      <alignment horizontal="center"/>
    </xf>
    <xf numFmtId="0" fontId="58" fillId="0" borderId="9" xfId="1" applyFont="1" applyBorder="1" applyAlignment="1">
      <alignment horizontal="right"/>
    </xf>
    <xf numFmtId="0" fontId="58" fillId="0" borderId="8" xfId="1" applyFont="1" applyBorder="1" applyAlignment="1">
      <alignment horizontal="right"/>
    </xf>
    <xf numFmtId="0" fontId="58" fillId="0" borderId="19" xfId="1" applyFont="1" applyBorder="1" applyAlignment="1">
      <alignment horizontal="right"/>
    </xf>
    <xf numFmtId="0" fontId="60" fillId="0" borderId="20" xfId="1" applyFont="1" applyBorder="1" applyAlignment="1">
      <alignment horizontal="right"/>
    </xf>
    <xf numFmtId="164" fontId="60" fillId="0" borderId="18" xfId="1" applyNumberFormat="1" applyFont="1" applyBorder="1" applyAlignment="1">
      <alignment horizontal="center"/>
    </xf>
    <xf numFmtId="164" fontId="60" fillId="0" borderId="7" xfId="1" applyNumberFormat="1" applyFont="1" applyBorder="1" applyAlignment="1">
      <alignment horizontal="center"/>
    </xf>
    <xf numFmtId="0" fontId="16" fillId="4" borderId="22" xfId="1" applyFont="1" applyFill="1" applyBorder="1" applyAlignment="1">
      <alignment horizontal="center" vertical="center"/>
    </xf>
    <xf numFmtId="0" fontId="58" fillId="0" borderId="6" xfId="1" applyFont="1" applyBorder="1" applyAlignment="1">
      <alignment horizontal="right"/>
    </xf>
    <xf numFmtId="0" fontId="58" fillId="0" borderId="5" xfId="1" applyFont="1" applyBorder="1" applyAlignment="1">
      <alignment horizontal="right"/>
    </xf>
    <xf numFmtId="0" fontId="58" fillId="0" borderId="23" xfId="1" applyFont="1" applyBorder="1" applyAlignment="1">
      <alignment horizontal="right"/>
    </xf>
    <xf numFmtId="0" fontId="12" fillId="2" borderId="20" xfId="3" applyFont="1" applyFill="1" applyBorder="1" applyAlignment="1">
      <alignment horizontal="center"/>
    </xf>
    <xf numFmtId="164" fontId="60" fillId="0" borderId="18" xfId="1" applyNumberFormat="1" applyFont="1" applyBorder="1" applyAlignment="1">
      <alignment horizontal="right" wrapText="1"/>
    </xf>
    <xf numFmtId="164" fontId="60" fillId="0" borderId="19" xfId="1" applyNumberFormat="1" applyFont="1" applyBorder="1" applyAlignment="1">
      <alignment horizontal="right" wrapText="1"/>
    </xf>
    <xf numFmtId="0" fontId="58" fillId="0" borderId="17" xfId="1" applyFont="1" applyBorder="1" applyAlignment="1">
      <alignment horizontal="right"/>
    </xf>
    <xf numFmtId="0" fontId="58" fillId="0" borderId="16" xfId="1" applyFont="1" applyBorder="1" applyAlignment="1">
      <alignment horizontal="right"/>
    </xf>
    <xf numFmtId="0" fontId="58" fillId="0" borderId="15" xfId="1" applyFont="1" applyBorder="1" applyAlignment="1">
      <alignment horizontal="right"/>
    </xf>
    <xf numFmtId="0" fontId="60" fillId="0" borderId="15" xfId="1" applyFont="1" applyBorder="1" applyAlignment="1">
      <alignment horizontal="right"/>
    </xf>
    <xf numFmtId="164" fontId="60" fillId="0" borderId="14" xfId="1" applyNumberFormat="1" applyFont="1" applyBorder="1" applyAlignment="1">
      <alignment horizontal="center"/>
    </xf>
    <xf numFmtId="164" fontId="60" fillId="0" borderId="13" xfId="1" applyNumberFormat="1" applyFont="1" applyBorder="1" applyAlignment="1">
      <alignment horizontal="center"/>
    </xf>
    <xf numFmtId="0" fontId="58" fillId="4" borderId="12" xfId="1" applyFont="1" applyFill="1" applyBorder="1" applyAlignment="1">
      <alignment horizontal="center"/>
    </xf>
    <xf numFmtId="0" fontId="58" fillId="4" borderId="11" xfId="1" applyFont="1" applyFill="1" applyBorder="1" applyAlignment="1">
      <alignment horizontal="center"/>
    </xf>
    <xf numFmtId="0" fontId="58" fillId="4" borderId="10" xfId="1" applyFont="1" applyFill="1" applyBorder="1" applyAlignment="1">
      <alignment horizontal="center"/>
    </xf>
    <xf numFmtId="14" fontId="23" fillId="2" borderId="37" xfId="3" applyNumberFormat="1" applyFont="1" applyFill="1" applyBorder="1" applyAlignment="1">
      <alignment horizontal="center" vertical="center" wrapText="1"/>
    </xf>
    <xf numFmtId="14" fontId="23" fillId="2" borderId="34" xfId="3" applyNumberFormat="1" applyFont="1" applyFill="1" applyBorder="1" applyAlignment="1">
      <alignment horizontal="center" vertical="center" wrapText="1"/>
    </xf>
    <xf numFmtId="14" fontId="23" fillId="2" borderId="27" xfId="3" applyNumberFormat="1" applyFont="1" applyFill="1" applyBorder="1" applyAlignment="1">
      <alignment horizontal="center" vertical="center" wrapText="1"/>
    </xf>
    <xf numFmtId="0" fontId="63" fillId="7" borderId="12" xfId="3" applyFont="1" applyFill="1" applyBorder="1" applyAlignment="1">
      <alignment horizontal="center" vertical="center" wrapText="1"/>
    </xf>
    <xf numFmtId="0" fontId="63" fillId="7" borderId="11" xfId="3" applyFont="1" applyFill="1" applyBorder="1" applyAlignment="1">
      <alignment horizontal="center" vertical="center" wrapText="1"/>
    </xf>
    <xf numFmtId="0" fontId="63" fillId="7" borderId="10" xfId="3" applyFont="1" applyFill="1" applyBorder="1" applyAlignment="1">
      <alignment horizontal="center" vertical="center" wrapText="1"/>
    </xf>
  </cellXfs>
  <cellStyles count="15">
    <cellStyle name="Millares" xfId="7" builtinId="3"/>
    <cellStyle name="Millares [0]" xfId="8" builtinId="6"/>
    <cellStyle name="Millares [0] 2" xfId="13" xr:uid="{22FD390D-BC3C-40DE-BB96-B432928FDD6C}"/>
    <cellStyle name="Millares 2" xfId="12" xr:uid="{49413A90-66B1-4C08-9AD0-68AFFA2A95F1}"/>
    <cellStyle name="Millares 3" xfId="14" xr:uid="{61E00861-F68F-4BA0-8DBD-2F9E94990364}"/>
    <cellStyle name="Millares 4" xfId="11" xr:uid="{3614CEEE-684D-42E1-A225-124DB1F64759}"/>
    <cellStyle name="Normal" xfId="0" builtinId="0"/>
    <cellStyle name="Normal 2" xfId="1" xr:uid="{5C618424-9E18-44FA-915D-F172CC7E0725}"/>
    <cellStyle name="Normal 3 2" xfId="4" xr:uid="{853A8374-B6C9-4957-8A2A-65DE56370FA3}"/>
    <cellStyle name="Normal 5" xfId="5" xr:uid="{609BC98F-B6A6-47A8-BE3D-396E46133A87}"/>
    <cellStyle name="Normal 5 2" xfId="10" xr:uid="{CA79D49E-F1AC-4804-A761-4540A43CF063}"/>
    <cellStyle name="Normal_CRITERIOS DE EVALUACION PT DE GB 2" xfId="3" xr:uid="{17EA69AF-58F7-48BF-A166-3BD81E52BAC4}"/>
    <cellStyle name="Porcentaje" xfId="9" builtinId="5"/>
    <cellStyle name="Porcentaje 2" xfId="2" xr:uid="{FE755F5C-8287-4D3E-A355-FBF9BA8FE0E3}"/>
    <cellStyle name="Porcentaje 2 2" xfId="6" xr:uid="{BBA8B2C2-BE17-4A71-AEC2-E52EEE777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127000</xdr:rowOff>
    </xdr:from>
    <xdr:to>
      <xdr:col>1</xdr:col>
      <xdr:colOff>626532</xdr:colOff>
      <xdr:row>4</xdr:row>
      <xdr:rowOff>145109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074F4A-4F80-423A-95B2-8F3868C9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27000"/>
          <a:ext cx="1193800" cy="873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1</xdr:col>
      <xdr:colOff>723900</xdr:colOff>
      <xdr:row>4</xdr:row>
      <xdr:rowOff>83820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820E4D55-D46A-43DA-AA3A-2913D2593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150019</xdr:rowOff>
    </xdr:from>
    <xdr:to>
      <xdr:col>1</xdr:col>
      <xdr:colOff>918949</xdr:colOff>
      <xdr:row>4</xdr:row>
      <xdr:rowOff>59531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85AEBFC-9781-4A37-9D72-BC6D082D8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50019"/>
          <a:ext cx="1847637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NAVIDAD%202025/Torta%20Rosanna%20Pistacho.xlsx" TargetMode="External"/><Relationship Id="rId1" Type="http://schemas.openxmlformats.org/officeDocument/2006/relationships/externalLinkPath" Target="https://sedepast-my.sharepoint.com/personal/eramirez_fascr_com/Documents/Escritorio/FACTIBILIDAD/FACTIBILIDAD%202025/NAVIDAD%202025/Torta%20Rosanna%20Pistac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stacho tostado"/>
      <sheetName val="Costo Pistacho Tostado"/>
      <sheetName val="Salsa pistacho"/>
      <sheetName val="Salsa Pistacho 2"/>
      <sheetName val="Relleno suspiro limeño"/>
      <sheetName val="Costo Salsa Pistacho"/>
      <sheetName val="Mousse pistacho"/>
      <sheetName val="Mousse Pistacho 2"/>
      <sheetName val="Costo Mousse Pistacho"/>
      <sheetName val="Crema verde pistacho"/>
      <sheetName val="Crema Chantilly Blanco"/>
      <sheetName val="Disco Pistacho"/>
      <sheetName val="Costo Crema verde pistacho"/>
      <sheetName val="Disco Pistacho 2"/>
      <sheetName val="Rosquete Vainilla Dawn "/>
      <sheetName val="Batido Nucleo Vainilla Dawn "/>
      <sheetName val="Premezcla Batido Nucleo Dawn"/>
      <sheetName val="Leches pasteu con agua "/>
      <sheetName val="Mezcla leche pasteur"/>
      <sheetName val="Caramelo con choc Blanc"/>
      <sheetName val="Caramelo Crocante "/>
      <sheetName val="Rosquete Turron Almendra "/>
      <sheetName val="Batido Turron Almendra"/>
      <sheetName val="Premezcla Turron Almendra"/>
      <sheetName val="Costo Disco Pistacho"/>
      <sheetName val="Torta Pistacho local"/>
      <sheetName val="Torta Pistacho Local 2"/>
      <sheetName val="Costo Torta Rossana "/>
      <sheetName val="Torta Pistacho Industria "/>
      <sheetName val="Torta Pistacho Industria  2"/>
    </sheetNames>
    <sheetDataSet>
      <sheetData sheetId="0"/>
      <sheetData sheetId="1">
        <row r="69">
          <cell r="E69">
            <v>13.421052631578947</v>
          </cell>
        </row>
        <row r="74">
          <cell r="E74">
            <v>8.1052631578947362E-2</v>
          </cell>
        </row>
        <row r="76">
          <cell r="E7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69">
          <cell r="E69">
            <v>4.4080440000000003</v>
          </cell>
        </row>
        <row r="74">
          <cell r="E74">
            <v>7.6999999999999999E-2</v>
          </cell>
        </row>
        <row r="76">
          <cell r="E76">
            <v>0</v>
          </cell>
        </row>
      </sheetData>
      <sheetData sheetId="9"/>
      <sheetData sheetId="10"/>
      <sheetData sheetId="11"/>
      <sheetData sheetId="12">
        <row r="69">
          <cell r="E69">
            <v>2.1884399999999999</v>
          </cell>
        </row>
        <row r="74">
          <cell r="E74">
            <v>0.49307800376923072</v>
          </cell>
        </row>
        <row r="76">
          <cell r="E76">
            <v>2.7884615384615379E-5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9136-2385-4D7B-88A2-9AA018E96D49}">
  <dimension ref="A1:M45"/>
  <sheetViews>
    <sheetView topLeftCell="A3" zoomScale="90" zoomScaleNormal="90" zoomScaleSheetLayoutView="90" workbookViewId="0">
      <selection activeCell="C18" sqref="C18"/>
    </sheetView>
  </sheetViews>
  <sheetFormatPr baseColWidth="10" defaultRowHeight="12.75" x14ac:dyDescent="0.2"/>
  <cols>
    <col min="1" max="1" width="11.5703125" bestFit="1" customWidth="1"/>
    <col min="2" max="2" width="13.85546875" bestFit="1" customWidth="1"/>
    <col min="3" max="3" width="44.28515625" customWidth="1"/>
    <col min="4" max="4" width="18" customWidth="1"/>
    <col min="5" max="5" width="11.5703125" bestFit="1" customWidth="1"/>
    <col min="6" max="6" width="16.7109375" customWidth="1"/>
    <col min="7" max="7" width="15.140625" customWidth="1"/>
    <col min="8" max="8" width="19.7109375" customWidth="1"/>
    <col min="9" max="9" width="20.85546875" bestFit="1" customWidth="1"/>
  </cols>
  <sheetData>
    <row r="1" spans="1:13" ht="18" x14ac:dyDescent="0.25">
      <c r="A1" s="413"/>
      <c r="B1" s="414"/>
      <c r="C1" s="419" t="s">
        <v>42</v>
      </c>
      <c r="D1" s="419"/>
      <c r="E1" s="419"/>
      <c r="F1" s="419"/>
      <c r="G1" s="419"/>
      <c r="H1" s="61" t="s">
        <v>41</v>
      </c>
      <c r="I1" s="60"/>
    </row>
    <row r="2" spans="1:13" ht="18" x14ac:dyDescent="0.25">
      <c r="A2" s="415"/>
      <c r="B2" s="416"/>
      <c r="C2" s="420" t="s">
        <v>40</v>
      </c>
      <c r="D2" s="420"/>
      <c r="E2" s="420"/>
      <c r="F2" s="420"/>
      <c r="G2" s="420"/>
      <c r="H2" s="59" t="s">
        <v>39</v>
      </c>
      <c r="I2" s="58"/>
    </row>
    <row r="3" spans="1:13" ht="15" customHeight="1" x14ac:dyDescent="0.2">
      <c r="A3" s="415"/>
      <c r="B3" s="416"/>
      <c r="C3" s="421" t="s">
        <v>70</v>
      </c>
      <c r="D3" s="422"/>
      <c r="E3" s="422"/>
      <c r="F3" s="422"/>
      <c r="G3" s="422"/>
      <c r="H3" s="423" t="s">
        <v>38</v>
      </c>
      <c r="I3" s="409"/>
    </row>
    <row r="4" spans="1:13" ht="18" x14ac:dyDescent="0.25">
      <c r="A4" s="415"/>
      <c r="B4" s="416"/>
      <c r="C4" s="57" t="s">
        <v>37</v>
      </c>
      <c r="D4" s="411" t="s">
        <v>68</v>
      </c>
      <c r="E4" s="411"/>
      <c r="F4" s="411"/>
      <c r="G4" s="411"/>
      <c r="H4" s="423"/>
      <c r="I4" s="410"/>
    </row>
    <row r="5" spans="1:13" ht="18.75" thickBot="1" x14ac:dyDescent="0.3">
      <c r="A5" s="417"/>
      <c r="B5" s="418"/>
      <c r="C5" s="56" t="s">
        <v>36</v>
      </c>
      <c r="D5" s="412" t="s">
        <v>35</v>
      </c>
      <c r="E5" s="412"/>
      <c r="F5" s="412"/>
      <c r="G5" s="412"/>
      <c r="H5" s="424"/>
      <c r="I5" s="410"/>
    </row>
    <row r="6" spans="1:13" ht="18.75" thickBot="1" x14ac:dyDescent="0.3">
      <c r="A6" s="401" t="s">
        <v>34</v>
      </c>
      <c r="B6" s="401"/>
      <c r="C6" s="401"/>
      <c r="D6" s="402" t="s">
        <v>33</v>
      </c>
      <c r="E6" s="402"/>
      <c r="F6" s="402"/>
      <c r="G6" s="403" t="s">
        <v>32</v>
      </c>
      <c r="H6" s="403"/>
      <c r="I6" s="55" t="s">
        <v>31</v>
      </c>
      <c r="J6" s="54"/>
    </row>
    <row r="7" spans="1:13" ht="36" x14ac:dyDescent="0.2">
      <c r="A7" s="404" t="s">
        <v>30</v>
      </c>
      <c r="B7" s="404" t="s">
        <v>30</v>
      </c>
      <c r="C7" s="406" t="s">
        <v>29</v>
      </c>
      <c r="D7" s="406" t="s">
        <v>28</v>
      </c>
      <c r="E7" s="406" t="s">
        <v>27</v>
      </c>
      <c r="F7" s="406"/>
      <c r="G7" s="406" t="s">
        <v>26</v>
      </c>
      <c r="H7" s="406"/>
      <c r="I7" s="53" t="s">
        <v>25</v>
      </c>
    </row>
    <row r="8" spans="1:13" ht="36.75" thickBot="1" x14ac:dyDescent="0.3">
      <c r="A8" s="405"/>
      <c r="B8" s="405"/>
      <c r="C8" s="407"/>
      <c r="D8" s="408"/>
      <c r="E8" s="52" t="s">
        <v>11</v>
      </c>
      <c r="F8" s="51" t="s">
        <v>24</v>
      </c>
      <c r="G8" s="52" t="s">
        <v>11</v>
      </c>
      <c r="H8" s="65" t="s">
        <v>24</v>
      </c>
      <c r="I8" s="50" t="s">
        <v>23</v>
      </c>
    </row>
    <row r="9" spans="1:13" ht="18" x14ac:dyDescent="0.25">
      <c r="A9" s="33"/>
      <c r="B9" s="75" t="s">
        <v>12</v>
      </c>
      <c r="C9" s="72" t="s">
        <v>43</v>
      </c>
      <c r="D9" s="76" t="s">
        <v>19</v>
      </c>
      <c r="E9" s="68">
        <v>795</v>
      </c>
      <c r="F9" s="77" t="s">
        <v>2</v>
      </c>
      <c r="G9" s="68" t="s">
        <v>22</v>
      </c>
      <c r="H9" s="78"/>
      <c r="I9" s="64"/>
    </row>
    <row r="10" spans="1:13" ht="18" x14ac:dyDescent="0.25">
      <c r="A10" s="33"/>
      <c r="B10" s="70"/>
      <c r="C10" s="73"/>
      <c r="D10" s="76"/>
      <c r="E10" s="68"/>
      <c r="F10" s="77"/>
      <c r="G10" s="68"/>
      <c r="H10" s="79"/>
      <c r="I10" s="64"/>
    </row>
    <row r="11" spans="1:13" ht="18" x14ac:dyDescent="0.25">
      <c r="A11" s="33"/>
      <c r="B11" s="70"/>
      <c r="C11" s="74" t="s">
        <v>21</v>
      </c>
      <c r="D11" s="76"/>
      <c r="E11" s="68"/>
      <c r="F11" s="77"/>
      <c r="G11" s="68"/>
      <c r="H11" s="79"/>
      <c r="I11" s="64"/>
    </row>
    <row r="12" spans="1:13" ht="18" x14ac:dyDescent="0.25">
      <c r="A12" s="33"/>
      <c r="B12" s="75" t="s">
        <v>12</v>
      </c>
      <c r="C12" s="72" t="s">
        <v>44</v>
      </c>
      <c r="D12" s="76" t="s">
        <v>19</v>
      </c>
      <c r="E12" s="80">
        <v>40</v>
      </c>
      <c r="F12" s="77" t="s">
        <v>2</v>
      </c>
      <c r="G12" s="69" t="s">
        <v>81</v>
      </c>
      <c r="H12" s="97" t="s">
        <v>20</v>
      </c>
      <c r="I12" s="64"/>
    </row>
    <row r="13" spans="1:13" ht="18" x14ac:dyDescent="0.25">
      <c r="A13" s="33"/>
      <c r="B13" s="75" t="s">
        <v>12</v>
      </c>
      <c r="C13" s="72" t="s">
        <v>69</v>
      </c>
      <c r="D13" s="76" t="s">
        <v>19</v>
      </c>
      <c r="E13" s="80">
        <v>85</v>
      </c>
      <c r="F13" s="77" t="s">
        <v>2</v>
      </c>
      <c r="G13" s="70" t="s">
        <v>71</v>
      </c>
      <c r="H13" s="81"/>
      <c r="I13" s="64"/>
    </row>
    <row r="14" spans="1:13" ht="18" x14ac:dyDescent="0.25">
      <c r="A14" s="33"/>
      <c r="B14" s="75" t="s">
        <v>12</v>
      </c>
      <c r="C14" s="72" t="s">
        <v>45</v>
      </c>
      <c r="D14" s="76" t="s">
        <v>19</v>
      </c>
      <c r="E14" s="68">
        <v>18</v>
      </c>
      <c r="F14" s="77" t="s">
        <v>2</v>
      </c>
      <c r="G14" s="68" t="s">
        <v>72</v>
      </c>
      <c r="H14" s="82"/>
      <c r="I14" s="38"/>
    </row>
    <row r="15" spans="1:13" ht="18.75" x14ac:dyDescent="0.3">
      <c r="A15" s="49"/>
      <c r="B15" s="189"/>
      <c r="C15" s="3"/>
      <c r="D15" s="45"/>
      <c r="E15" s="44"/>
      <c r="F15" s="43"/>
      <c r="G15" s="14"/>
      <c r="H15" s="39"/>
      <c r="I15" s="38"/>
    </row>
    <row r="16" spans="1:13" ht="18.75" x14ac:dyDescent="0.3">
      <c r="A16" s="48"/>
      <c r="B16" s="47"/>
      <c r="C16" s="46"/>
      <c r="D16" s="45"/>
      <c r="E16" s="44"/>
      <c r="F16" s="43"/>
      <c r="G16" s="14"/>
      <c r="H16" s="39"/>
      <c r="I16" s="38"/>
      <c r="M16" s="40">
        <v>1500</v>
      </c>
    </row>
    <row r="17" spans="1:13" ht="18" x14ac:dyDescent="0.25">
      <c r="A17" s="35"/>
      <c r="B17" s="35"/>
      <c r="C17" s="42" t="s">
        <v>18</v>
      </c>
      <c r="D17" s="35"/>
      <c r="E17" s="41"/>
      <c r="F17" s="35"/>
      <c r="G17" s="14"/>
      <c r="H17" s="39"/>
      <c r="I17" s="38"/>
      <c r="M17" s="40"/>
    </row>
    <row r="18" spans="1:13" ht="18" x14ac:dyDescent="0.25">
      <c r="A18" s="35"/>
      <c r="B18" s="190" t="s">
        <v>73</v>
      </c>
      <c r="C18" s="84" t="s">
        <v>74</v>
      </c>
      <c r="D18" s="85"/>
      <c r="E18" s="83">
        <v>6</v>
      </c>
      <c r="F18" s="83" t="s">
        <v>5</v>
      </c>
      <c r="G18" s="14"/>
      <c r="H18" s="39"/>
      <c r="I18" s="38"/>
    </row>
    <row r="19" spans="1:13" ht="18" x14ac:dyDescent="0.25">
      <c r="A19" s="34"/>
      <c r="B19" s="90" t="s">
        <v>17</v>
      </c>
      <c r="C19" s="87" t="s">
        <v>75</v>
      </c>
      <c r="D19" s="88" t="s">
        <v>76</v>
      </c>
      <c r="E19" s="83">
        <v>6</v>
      </c>
      <c r="F19" s="83" t="s">
        <v>5</v>
      </c>
      <c r="G19" s="14"/>
      <c r="H19" s="39"/>
      <c r="I19" s="38"/>
      <c r="J19" s="1"/>
      <c r="K19" s="1"/>
      <c r="L19" s="1"/>
      <c r="M19" s="1"/>
    </row>
    <row r="20" spans="1:13" ht="18" x14ac:dyDescent="0.25">
      <c r="A20" s="35"/>
      <c r="B20" s="191" t="s">
        <v>15</v>
      </c>
      <c r="C20" s="86" t="s">
        <v>77</v>
      </c>
      <c r="D20" s="85" t="s">
        <v>14</v>
      </c>
      <c r="E20" s="83">
        <v>6</v>
      </c>
      <c r="F20" s="83" t="s">
        <v>5</v>
      </c>
      <c r="G20" s="11"/>
      <c r="H20" s="10"/>
      <c r="I20" s="38"/>
      <c r="J20" s="1"/>
      <c r="K20" s="1"/>
      <c r="L20" s="1"/>
      <c r="M20" s="1"/>
    </row>
    <row r="21" spans="1:13" ht="18" x14ac:dyDescent="0.25">
      <c r="A21" s="35"/>
      <c r="B21" s="192" t="s">
        <v>13</v>
      </c>
      <c r="C21" s="89" t="s">
        <v>78</v>
      </c>
      <c r="D21" s="90" t="s">
        <v>16</v>
      </c>
      <c r="E21" s="91">
        <v>6</v>
      </c>
      <c r="F21" s="83" t="s">
        <v>5</v>
      </c>
      <c r="G21" s="11"/>
      <c r="H21" s="10"/>
      <c r="I21" s="38"/>
      <c r="J21" s="1"/>
      <c r="K21" s="1"/>
      <c r="L21" s="1"/>
      <c r="M21" s="1"/>
    </row>
    <row r="22" spans="1:13" ht="18.75" thickBot="1" x14ac:dyDescent="0.3">
      <c r="A22" s="35"/>
      <c r="B22" s="193" t="s">
        <v>79</v>
      </c>
      <c r="C22" s="92" t="s">
        <v>80</v>
      </c>
      <c r="D22" s="93" t="s">
        <v>14</v>
      </c>
      <c r="E22" s="94">
        <v>6</v>
      </c>
      <c r="F22" s="83" t="s">
        <v>5</v>
      </c>
      <c r="G22" s="11"/>
      <c r="H22" s="10"/>
      <c r="I22" s="37"/>
      <c r="J22" s="1"/>
      <c r="K22" s="1"/>
      <c r="L22" s="1"/>
      <c r="M22" s="1"/>
    </row>
    <row r="23" spans="1:13" ht="18" x14ac:dyDescent="0.25">
      <c r="A23" s="35"/>
      <c r="B23" s="67" t="s">
        <v>12</v>
      </c>
      <c r="C23" s="95" t="s">
        <v>104</v>
      </c>
      <c r="D23" s="96"/>
      <c r="E23" s="96">
        <v>1</v>
      </c>
      <c r="F23" s="96" t="s">
        <v>5</v>
      </c>
      <c r="G23" s="11"/>
      <c r="H23" s="10"/>
      <c r="I23" s="37"/>
      <c r="J23" s="1"/>
      <c r="K23" s="1"/>
      <c r="L23" s="1"/>
      <c r="M23" s="1"/>
    </row>
    <row r="24" spans="1:13" ht="18" x14ac:dyDescent="0.25">
      <c r="A24" s="33"/>
      <c r="B24" s="34"/>
      <c r="C24" s="33"/>
      <c r="D24" s="32"/>
      <c r="E24" s="31"/>
      <c r="F24" s="30"/>
      <c r="G24" s="29"/>
      <c r="H24" s="29"/>
      <c r="I24" s="37"/>
      <c r="J24" s="1"/>
      <c r="K24" s="1"/>
      <c r="L24" s="1"/>
      <c r="M24" s="1"/>
    </row>
    <row r="25" spans="1:13" ht="18" x14ac:dyDescent="0.25">
      <c r="A25" s="35"/>
      <c r="B25" s="34"/>
      <c r="C25" s="36"/>
      <c r="D25" s="35"/>
      <c r="E25" s="35"/>
      <c r="F25" s="35"/>
      <c r="G25" s="11"/>
      <c r="H25" s="10"/>
      <c r="I25" s="28"/>
      <c r="J25" s="1"/>
      <c r="K25" s="1"/>
      <c r="L25" s="1"/>
      <c r="M25" s="1"/>
    </row>
    <row r="26" spans="1:13" ht="18" x14ac:dyDescent="0.25">
      <c r="A26" s="33"/>
      <c r="B26" s="34"/>
      <c r="C26" s="33"/>
      <c r="D26" s="32"/>
      <c r="E26" s="31"/>
      <c r="F26" s="30"/>
      <c r="G26" s="29"/>
      <c r="H26" s="29"/>
      <c r="I26" s="28"/>
      <c r="J26" s="1"/>
      <c r="K26" s="1"/>
      <c r="L26" s="1"/>
      <c r="M26" s="1"/>
    </row>
    <row r="27" spans="1:13" ht="18.75" thickBot="1" x14ac:dyDescent="0.3">
      <c r="A27" s="27"/>
      <c r="B27" s="26"/>
      <c r="C27" s="23"/>
      <c r="D27" s="23"/>
      <c r="E27" s="25"/>
      <c r="F27" s="24"/>
      <c r="G27" s="23"/>
      <c r="H27" s="23"/>
      <c r="I27" s="22"/>
      <c r="J27" s="1"/>
      <c r="K27" s="1"/>
      <c r="L27" s="6"/>
      <c r="M27" s="1"/>
    </row>
    <row r="28" spans="1:13" ht="18.75" thickBot="1" x14ac:dyDescent="0.3">
      <c r="A28" s="21"/>
      <c r="B28" s="20"/>
      <c r="C28" s="16"/>
      <c r="D28" s="19" t="s">
        <v>11</v>
      </c>
      <c r="E28" s="18" t="s">
        <v>10</v>
      </c>
      <c r="F28" s="17"/>
      <c r="G28" s="16"/>
      <c r="H28" s="16"/>
      <c r="I28" s="15"/>
      <c r="J28" s="1"/>
      <c r="K28" s="1"/>
      <c r="L28" s="6"/>
      <c r="M28" s="1"/>
    </row>
    <row r="29" spans="1:13" ht="18" x14ac:dyDescent="0.25">
      <c r="A29" s="395" t="s">
        <v>9</v>
      </c>
      <c r="B29" s="396"/>
      <c r="C29" s="397"/>
      <c r="D29" s="14">
        <v>930</v>
      </c>
      <c r="E29" s="13" t="s">
        <v>2</v>
      </c>
      <c r="F29" s="398"/>
      <c r="G29" s="398"/>
      <c r="H29" s="399"/>
      <c r="I29" s="400"/>
      <c r="J29" s="1"/>
      <c r="K29" s="1"/>
      <c r="L29" s="6"/>
      <c r="M29" s="1"/>
    </row>
    <row r="30" spans="1:13" ht="18" x14ac:dyDescent="0.25">
      <c r="A30" s="387" t="s">
        <v>8</v>
      </c>
      <c r="B30" s="388"/>
      <c r="C30" s="389"/>
      <c r="D30" s="12">
        <v>5</v>
      </c>
      <c r="E30" s="10" t="s">
        <v>7</v>
      </c>
      <c r="F30" s="390"/>
      <c r="G30" s="390"/>
      <c r="H30" s="391"/>
      <c r="I30" s="392"/>
      <c r="J30" s="1"/>
      <c r="K30" s="1"/>
      <c r="L30" s="6"/>
      <c r="M30" s="1"/>
    </row>
    <row r="31" spans="1:13" ht="18" x14ac:dyDescent="0.25">
      <c r="A31" s="387" t="s">
        <v>6</v>
      </c>
      <c r="B31" s="388"/>
      <c r="C31" s="389"/>
      <c r="D31" s="11">
        <v>1</v>
      </c>
      <c r="E31" s="10" t="s">
        <v>5</v>
      </c>
      <c r="F31" s="390"/>
      <c r="G31" s="390"/>
      <c r="H31" s="391"/>
      <c r="I31" s="392"/>
      <c r="J31" s="1"/>
      <c r="K31" s="1"/>
      <c r="L31" s="6"/>
      <c r="M31" s="1"/>
    </row>
    <row r="32" spans="1:13" ht="18" x14ac:dyDescent="0.25">
      <c r="A32" s="387" t="s">
        <v>4</v>
      </c>
      <c r="B32" s="388"/>
      <c r="C32" s="389"/>
      <c r="D32" s="11">
        <v>155</v>
      </c>
      <c r="E32" s="10" t="s">
        <v>2</v>
      </c>
      <c r="F32" s="393"/>
      <c r="G32" s="394"/>
      <c r="H32" s="391"/>
      <c r="I32" s="392"/>
      <c r="J32" s="1"/>
      <c r="K32" s="1"/>
      <c r="L32" s="6"/>
      <c r="M32" s="9"/>
    </row>
    <row r="33" spans="1:13" ht="18.75" thickBot="1" x14ac:dyDescent="0.3">
      <c r="A33" s="363" t="s">
        <v>3</v>
      </c>
      <c r="B33" s="364"/>
      <c r="C33" s="365"/>
      <c r="D33" s="8">
        <f>SUM(E9:E14)-D29</f>
        <v>8</v>
      </c>
      <c r="E33" s="7" t="s">
        <v>2</v>
      </c>
      <c r="F33" s="366"/>
      <c r="G33" s="366"/>
      <c r="H33" s="367"/>
      <c r="I33" s="368"/>
      <c r="J33" s="1"/>
      <c r="K33" s="1"/>
      <c r="L33" s="6"/>
      <c r="M33" s="1"/>
    </row>
    <row r="34" spans="1:13" ht="18.75" thickBot="1" x14ac:dyDescent="0.3">
      <c r="A34" s="369" t="s">
        <v>1</v>
      </c>
      <c r="B34" s="370"/>
      <c r="C34" s="370"/>
      <c r="D34" s="370"/>
      <c r="E34" s="370"/>
      <c r="F34" s="370"/>
      <c r="G34" s="370"/>
      <c r="H34" s="370"/>
      <c r="I34" s="371"/>
      <c r="J34" s="1"/>
      <c r="K34" s="1"/>
      <c r="L34" s="1"/>
      <c r="M34" s="1"/>
    </row>
    <row r="35" spans="1:13" ht="18" x14ac:dyDescent="0.25">
      <c r="A35" s="372" t="s">
        <v>66</v>
      </c>
      <c r="B35" s="373"/>
      <c r="C35" s="373"/>
      <c r="D35" s="373"/>
      <c r="E35" s="373"/>
      <c r="F35" s="373"/>
      <c r="G35" s="373"/>
      <c r="H35" s="373"/>
      <c r="I35" s="374"/>
    </row>
    <row r="36" spans="1:13" ht="18" x14ac:dyDescent="0.25">
      <c r="A36" s="3" t="s">
        <v>82</v>
      </c>
      <c r="B36" s="5"/>
      <c r="C36" s="5"/>
      <c r="D36" s="5"/>
      <c r="E36" s="3"/>
      <c r="F36" s="5"/>
      <c r="G36" s="4"/>
      <c r="H36" s="3"/>
      <c r="I36" s="3"/>
    </row>
    <row r="37" spans="1:13" ht="18" x14ac:dyDescent="0.25">
      <c r="A37" s="378" t="s">
        <v>83</v>
      </c>
      <c r="B37" s="379"/>
      <c r="C37" s="379"/>
      <c r="D37" s="379"/>
      <c r="E37" s="379"/>
      <c r="F37" s="379"/>
      <c r="G37" s="379"/>
      <c r="H37" s="379"/>
      <c r="I37" s="380"/>
    </row>
    <row r="38" spans="1:13" ht="18" x14ac:dyDescent="0.25">
      <c r="A38" s="378" t="s">
        <v>102</v>
      </c>
      <c r="B38" s="379"/>
      <c r="C38" s="379"/>
      <c r="D38" s="379"/>
      <c r="E38" s="379"/>
      <c r="F38" s="379"/>
      <c r="G38" s="379"/>
      <c r="H38" s="379"/>
      <c r="I38" s="380"/>
    </row>
    <row r="39" spans="1:13" ht="18" x14ac:dyDescent="0.25">
      <c r="A39" s="378" t="s">
        <v>67</v>
      </c>
      <c r="B39" s="379"/>
      <c r="C39" s="379"/>
      <c r="D39" s="379"/>
      <c r="E39" s="379"/>
      <c r="F39" s="379"/>
      <c r="G39" s="379"/>
      <c r="H39" s="379"/>
      <c r="I39" s="380"/>
    </row>
    <row r="40" spans="1:13" ht="18" x14ac:dyDescent="0.25">
      <c r="A40" s="378"/>
      <c r="B40" s="379"/>
      <c r="C40" s="379"/>
      <c r="D40" s="379"/>
      <c r="E40" s="379"/>
      <c r="F40" s="379"/>
      <c r="G40" s="379"/>
      <c r="H40" s="379"/>
      <c r="I40" s="380"/>
    </row>
    <row r="41" spans="1:13" ht="18" x14ac:dyDescent="0.25">
      <c r="A41" s="381"/>
      <c r="B41" s="382"/>
      <c r="C41" s="382"/>
      <c r="D41" s="382"/>
      <c r="E41" s="382"/>
      <c r="F41" s="382"/>
      <c r="G41" s="382"/>
      <c r="H41" s="382"/>
      <c r="I41" s="383"/>
    </row>
    <row r="42" spans="1:13" ht="18" x14ac:dyDescent="0.25">
      <c r="A42" s="384" t="s">
        <v>0</v>
      </c>
      <c r="B42" s="385"/>
      <c r="C42" s="385"/>
      <c r="D42" s="385"/>
      <c r="E42" s="385"/>
      <c r="F42" s="385"/>
      <c r="G42" s="385"/>
      <c r="H42" s="385"/>
      <c r="I42" s="386"/>
    </row>
    <row r="43" spans="1:13" ht="18.75" thickBot="1" x14ac:dyDescent="0.3">
      <c r="A43" s="375"/>
      <c r="B43" s="376"/>
      <c r="C43" s="376"/>
      <c r="D43" s="376"/>
      <c r="E43" s="376"/>
      <c r="F43" s="376"/>
      <c r="G43" s="376"/>
      <c r="H43" s="376"/>
      <c r="I43" s="377"/>
    </row>
    <row r="45" spans="1:13" x14ac:dyDescent="0.2">
      <c r="A45" s="2"/>
      <c r="B45" s="2"/>
      <c r="C45" s="2"/>
      <c r="D45" s="1"/>
      <c r="E45" s="1"/>
      <c r="F45" s="1"/>
      <c r="G45" s="1"/>
      <c r="H45" s="1"/>
      <c r="I45" s="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43:I43"/>
    <mergeCell ref="A37:I37"/>
    <mergeCell ref="A38:I38"/>
    <mergeCell ref="A39:I39"/>
    <mergeCell ref="A40:I40"/>
    <mergeCell ref="A41:I41"/>
    <mergeCell ref="A42:I42"/>
    <mergeCell ref="A33:C33"/>
    <mergeCell ref="F33:G33"/>
    <mergeCell ref="H33:I33"/>
    <mergeCell ref="A34:I34"/>
    <mergeCell ref="A35:I3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044B-AB13-4F3D-8CB1-3DEB9B44613F}">
  <dimension ref="A1:Q91"/>
  <sheetViews>
    <sheetView topLeftCell="A4" workbookViewId="0">
      <selection activeCell="D60" sqref="D60"/>
    </sheetView>
  </sheetViews>
  <sheetFormatPr baseColWidth="10" defaultColWidth="8.42578125" defaultRowHeight="12.75" x14ac:dyDescent="0.2"/>
  <cols>
    <col min="1" max="1" width="10" style="199" bestFit="1" customWidth="1"/>
    <col min="2" max="2" width="44.28515625" style="199" bestFit="1" customWidth="1"/>
    <col min="3" max="3" width="10.42578125" style="199" bestFit="1" customWidth="1"/>
    <col min="4" max="4" width="10.42578125" style="199" customWidth="1"/>
    <col min="5" max="5" width="11" style="199" customWidth="1"/>
    <col min="6" max="6" width="9.5703125" style="199" bestFit="1" customWidth="1"/>
    <col min="7" max="7" width="10.85546875" style="281" customWidth="1"/>
    <col min="8" max="8" width="10.42578125" style="272" bestFit="1" customWidth="1"/>
    <col min="9" max="9" width="4.5703125" style="272" customWidth="1"/>
    <col min="10" max="10" width="1.85546875" style="198" customWidth="1"/>
    <col min="11" max="11" width="7" style="199" bestFit="1" customWidth="1"/>
    <col min="12" max="12" width="6.28515625" style="199" customWidth="1"/>
    <col min="13" max="13" width="20.42578125" style="199" customWidth="1"/>
    <col min="14" max="14" width="6.42578125" style="199" bestFit="1" customWidth="1"/>
    <col min="15" max="15" width="9.85546875" style="199" customWidth="1"/>
    <col min="16" max="16" width="8.42578125" style="199"/>
    <col min="17" max="17" width="3.28515625" style="199" customWidth="1"/>
    <col min="18" max="16384" width="8.42578125" style="199"/>
  </cols>
  <sheetData>
    <row r="1" spans="1:10" ht="27.75" customHeight="1" x14ac:dyDescent="0.2">
      <c r="A1" s="194"/>
      <c r="B1" s="194"/>
      <c r="C1" s="194"/>
      <c r="D1" s="194"/>
      <c r="E1" s="195" t="s">
        <v>105</v>
      </c>
      <c r="F1" s="196" t="s">
        <v>106</v>
      </c>
      <c r="G1" s="196" t="s">
        <v>107</v>
      </c>
      <c r="H1" s="196" t="s">
        <v>108</v>
      </c>
      <c r="I1" s="197"/>
    </row>
    <row r="2" spans="1:10" ht="30.75" customHeight="1" x14ac:dyDescent="0.2">
      <c r="A2" s="194"/>
      <c r="B2" s="194"/>
      <c r="C2" s="194"/>
      <c r="D2" s="194"/>
      <c r="E2" s="200">
        <f>IFERROR(O62,"")</f>
        <v>5461.8553190920047</v>
      </c>
      <c r="F2" s="200">
        <f>IFERROR(H53,"")</f>
        <v>3231.112411578948</v>
      </c>
      <c r="G2" s="200">
        <f>IFERROR(H54,"")</f>
        <v>741.99211538461532</v>
      </c>
      <c r="H2" s="200">
        <f>IFERROR(H56,"")</f>
        <v>813.00575172971662</v>
      </c>
      <c r="I2" s="201"/>
    </row>
    <row r="3" spans="1:10" ht="15" customHeight="1" x14ac:dyDescent="0.2">
      <c r="A3" s="194"/>
      <c r="B3" s="194"/>
      <c r="C3" s="194"/>
      <c r="D3" s="194"/>
      <c r="E3" s="194"/>
      <c r="F3" s="202"/>
      <c r="G3" s="202"/>
      <c r="H3" s="202"/>
      <c r="I3" s="202"/>
    </row>
    <row r="4" spans="1:10" ht="24.75" customHeight="1" thickBot="1" x14ac:dyDescent="0.25">
      <c r="A4" s="451"/>
      <c r="B4" s="451"/>
      <c r="C4" s="451"/>
      <c r="D4" s="451"/>
      <c r="E4" s="451"/>
      <c r="F4" s="451"/>
      <c r="G4" s="451"/>
      <c r="H4" s="451"/>
      <c r="I4" s="203"/>
    </row>
    <row r="5" spans="1:10" ht="19.5" customHeight="1" thickBot="1" x14ac:dyDescent="0.25">
      <c r="A5" s="452" t="s">
        <v>109</v>
      </c>
      <c r="B5" s="453"/>
      <c r="C5" s="453"/>
      <c r="D5" s="453"/>
      <c r="E5" s="453"/>
      <c r="F5" s="453"/>
      <c r="G5" s="453"/>
      <c r="H5" s="454"/>
      <c r="I5" s="204"/>
    </row>
    <row r="6" spans="1:10" ht="19.5" thickBot="1" x14ac:dyDescent="0.25">
      <c r="A6" s="204"/>
      <c r="B6" s="204"/>
      <c r="C6" s="204"/>
      <c r="D6" s="204"/>
      <c r="E6" s="204"/>
      <c r="F6" s="455" t="s">
        <v>110</v>
      </c>
      <c r="G6" s="455"/>
      <c r="H6" s="205">
        <f ca="1">TODAY()</f>
        <v>45901</v>
      </c>
      <c r="I6" s="205"/>
    </row>
    <row r="7" spans="1:10" ht="26.25" hidden="1" thickBot="1" x14ac:dyDescent="0.25">
      <c r="A7" s="206" t="s">
        <v>111</v>
      </c>
      <c r="B7" s="207" t="s">
        <v>112</v>
      </c>
      <c r="C7" s="207" t="s">
        <v>111</v>
      </c>
      <c r="D7" s="208" t="s">
        <v>113</v>
      </c>
      <c r="E7" s="208" t="s">
        <v>114</v>
      </c>
      <c r="F7" s="208" t="s">
        <v>115</v>
      </c>
      <c r="G7" s="208" t="s">
        <v>116</v>
      </c>
      <c r="H7" s="209" t="s">
        <v>117</v>
      </c>
      <c r="I7" s="210"/>
    </row>
    <row r="8" spans="1:10" ht="13.5" hidden="1" x14ac:dyDescent="0.25">
      <c r="A8" s="211"/>
      <c r="B8" s="199" t="str">
        <f>IFERROR(VLOOKUP(H8,'[1]Consolidado MP Planta'!$A$2:$M$823,3,0),"")</f>
        <v/>
      </c>
      <c r="C8" s="212">
        <f>+A8</f>
        <v>0</v>
      </c>
      <c r="D8" s="213" t="str">
        <f>IFERROR(VLOOKUP(H8,'[1]Consolidado MP Planta'!$A$2:$M$823,13,0),"")</f>
        <v/>
      </c>
      <c r="E8" s="213" t="str">
        <f>IFERROR(VLOOKUP(H8,'[1]Consolidado MP Planta'!$A$2:$M$823,12,0),"")</f>
        <v/>
      </c>
      <c r="F8" s="213" t="str">
        <f>IFERROR(C8*E8,"")</f>
        <v/>
      </c>
      <c r="G8" s="214" t="str">
        <f t="shared" ref="G8:G14" si="0">IFERROR(F8/$F$66,"")</f>
        <v/>
      </c>
      <c r="H8" s="215"/>
      <c r="I8" s="215"/>
      <c r="J8" s="216"/>
    </row>
    <row r="9" spans="1:10" ht="13.5" hidden="1" x14ac:dyDescent="0.25">
      <c r="A9" s="211"/>
      <c r="B9" s="199" t="str">
        <f>IFERROR(VLOOKUP(H9,'[1]Consolidado MP Planta'!$A$2:$M$823,3,0),"")</f>
        <v/>
      </c>
      <c r="C9" s="212">
        <f t="shared" ref="C9:C14" si="1">+A9</f>
        <v>0</v>
      </c>
      <c r="D9" s="213" t="str">
        <f>IFERROR(VLOOKUP(H9,'[1]Consolidado MP Planta'!$A$2:$M$823,13,0),"")</f>
        <v/>
      </c>
      <c r="E9" s="213" t="str">
        <f>IFERROR(VLOOKUP(H9,'[1]Consolidado MP Planta'!$A$2:$M$823,12,0),"")</f>
        <v/>
      </c>
      <c r="F9" s="213" t="str">
        <f t="shared" ref="F9:F14" si="2">IFERROR(C9*E9,"")</f>
        <v/>
      </c>
      <c r="G9" s="214" t="str">
        <f t="shared" si="0"/>
        <v/>
      </c>
      <c r="H9" s="215"/>
      <c r="I9" s="215"/>
      <c r="J9" s="216"/>
    </row>
    <row r="10" spans="1:10" ht="13.5" hidden="1" x14ac:dyDescent="0.25">
      <c r="A10" s="211"/>
      <c r="B10" s="199" t="str">
        <f>IFERROR(VLOOKUP(H10,'[1]Consolidado MP Planta'!$A$2:$M$823,3,0),"")</f>
        <v/>
      </c>
      <c r="C10" s="212">
        <f t="shared" si="1"/>
        <v>0</v>
      </c>
      <c r="D10" s="213" t="str">
        <f>IFERROR(VLOOKUP(H10,'[1]Consolidado MP Planta'!$A$2:$M$823,13,0),"")</f>
        <v/>
      </c>
      <c r="E10" s="213" t="str">
        <f>IFERROR(VLOOKUP(H10,'[1]Consolidado MP Planta'!$A$2:$M$823,12,0),"")</f>
        <v/>
      </c>
      <c r="F10" s="213" t="str">
        <f t="shared" si="2"/>
        <v/>
      </c>
      <c r="G10" s="214" t="str">
        <f t="shared" si="0"/>
        <v/>
      </c>
      <c r="H10" s="215"/>
      <c r="I10" s="215"/>
      <c r="J10" s="216"/>
    </row>
    <row r="11" spans="1:10" ht="13.5" hidden="1" x14ac:dyDescent="0.25">
      <c r="A11" s="211"/>
      <c r="B11" s="199" t="str">
        <f>IFERROR(VLOOKUP(H11,'[1]Consolidado MP Planta'!$A$2:$M$823,3,0),"")</f>
        <v/>
      </c>
      <c r="C11" s="212">
        <f t="shared" si="1"/>
        <v>0</v>
      </c>
      <c r="D11" s="213" t="str">
        <f>IFERROR(VLOOKUP(H11,'[1]Consolidado MP Planta'!$A$2:$M$823,13,0),"")</f>
        <v/>
      </c>
      <c r="E11" s="213" t="str">
        <f>IFERROR(VLOOKUP(H11,'[1]Consolidado MP Planta'!$A$2:$M$823,12,0),"")</f>
        <v/>
      </c>
      <c r="F11" s="213" t="str">
        <f t="shared" si="2"/>
        <v/>
      </c>
      <c r="G11" s="214" t="str">
        <f t="shared" si="0"/>
        <v/>
      </c>
      <c r="H11" s="215"/>
      <c r="I11" s="215"/>
      <c r="J11" s="216"/>
    </row>
    <row r="12" spans="1:10" ht="13.5" hidden="1" x14ac:dyDescent="0.25">
      <c r="A12" s="211"/>
      <c r="B12" s="199" t="str">
        <f>IFERROR(VLOOKUP(H12,'[1]Consolidado MP Planta'!$A$2:$M$823,3,0),"")</f>
        <v/>
      </c>
      <c r="C12" s="212">
        <f t="shared" si="1"/>
        <v>0</v>
      </c>
      <c r="D12" s="213" t="str">
        <f>IFERROR(VLOOKUP(H12,'[1]Consolidado MP Planta'!$A$2:$M$823,13,0),"")</f>
        <v/>
      </c>
      <c r="E12" s="213" t="str">
        <f>IFERROR(VLOOKUP(H12,'[1]Consolidado MP Planta'!$A$2:$M$823,12,0),"")</f>
        <v/>
      </c>
      <c r="F12" s="213" t="str">
        <f t="shared" si="2"/>
        <v/>
      </c>
      <c r="G12" s="214" t="str">
        <f t="shared" si="0"/>
        <v/>
      </c>
      <c r="H12" s="215"/>
      <c r="I12" s="215"/>
      <c r="J12" s="216"/>
    </row>
    <row r="13" spans="1:10" ht="13.5" hidden="1" x14ac:dyDescent="0.25">
      <c r="A13" s="211"/>
      <c r="B13" s="199" t="str">
        <f>IFERROR(VLOOKUP(H13,'[1]Consolidado MP Planta'!$A$2:$M$823,3,0),"")</f>
        <v/>
      </c>
      <c r="C13" s="212">
        <f t="shared" si="1"/>
        <v>0</v>
      </c>
      <c r="D13" s="213" t="str">
        <f>IFERROR(VLOOKUP(H13,'[1]Consolidado MP Planta'!$A$2:$M$823,13,0),"")</f>
        <v/>
      </c>
      <c r="E13" s="213" t="str">
        <f>IFERROR(VLOOKUP(H13,'[1]Consolidado MP Planta'!$A$2:$M$823,12,0),"")</f>
        <v/>
      </c>
      <c r="F13" s="213" t="str">
        <f t="shared" si="2"/>
        <v/>
      </c>
      <c r="G13" s="214" t="str">
        <f t="shared" si="0"/>
        <v/>
      </c>
      <c r="H13" s="215"/>
      <c r="I13" s="215"/>
      <c r="J13" s="216"/>
    </row>
    <row r="14" spans="1:10" ht="13.5" hidden="1" x14ac:dyDescent="0.25">
      <c r="A14" s="211"/>
      <c r="B14" s="199" t="str">
        <f>IFERROR(VLOOKUP(H14,'[1]Consolidado MP Planta'!$A$2:$M$823,3,0),"")</f>
        <v/>
      </c>
      <c r="C14" s="212">
        <f t="shared" si="1"/>
        <v>0</v>
      </c>
      <c r="D14" s="213" t="str">
        <f>IFERROR(VLOOKUP(H14,'[1]Consolidado MP Planta'!$A$2:$M$823,13,0),"")</f>
        <v/>
      </c>
      <c r="E14" s="213" t="str">
        <f>IFERROR(VLOOKUP(H14,'[1]Consolidado MP Planta'!$A$2:$M$823,12,0),"")</f>
        <v/>
      </c>
      <c r="F14" s="213" t="str">
        <f t="shared" si="2"/>
        <v/>
      </c>
      <c r="G14" s="214" t="str">
        <f t="shared" si="0"/>
        <v/>
      </c>
      <c r="H14" s="215"/>
      <c r="I14" s="215"/>
      <c r="J14" s="216"/>
    </row>
    <row r="15" spans="1:10" ht="14.25" thickBot="1" x14ac:dyDescent="0.3">
      <c r="A15" s="211"/>
      <c r="B15" s="199" t="str">
        <f>IFERROR(VLOOKUP(H15,'[2]ARTICULOS MP PLANTA'!$A$2:$G$589,2,0),"")</f>
        <v/>
      </c>
      <c r="C15" s="212"/>
      <c r="D15" s="213"/>
      <c r="E15" s="213"/>
      <c r="F15" s="213"/>
      <c r="G15" s="214"/>
      <c r="H15" s="215"/>
      <c r="I15" s="215"/>
      <c r="J15" s="216"/>
    </row>
    <row r="16" spans="1:10" ht="26.25" thickBot="1" x14ac:dyDescent="0.25">
      <c r="A16" s="206" t="s">
        <v>111</v>
      </c>
      <c r="B16" s="207" t="s">
        <v>118</v>
      </c>
      <c r="C16" s="207" t="s">
        <v>111</v>
      </c>
      <c r="D16" s="208" t="s">
        <v>113</v>
      </c>
      <c r="E16" s="208" t="s">
        <v>114</v>
      </c>
      <c r="F16" s="208" t="s">
        <v>115</v>
      </c>
      <c r="G16" s="208" t="s">
        <v>116</v>
      </c>
      <c r="H16" s="209" t="s">
        <v>117</v>
      </c>
      <c r="I16" s="210"/>
      <c r="J16" s="216"/>
    </row>
    <row r="17" spans="1:12" ht="13.5" x14ac:dyDescent="0.25">
      <c r="A17" s="211">
        <v>1</v>
      </c>
      <c r="B17" s="199" t="s">
        <v>43</v>
      </c>
      <c r="C17" s="212">
        <f>+A17</f>
        <v>1</v>
      </c>
      <c r="D17" s="212" t="s">
        <v>159</v>
      </c>
      <c r="E17" s="213">
        <f>+'Costo Disco '!H53</f>
        <v>2592.3473600000002</v>
      </c>
      <c r="F17" s="213">
        <f>IFERROR(E17*C17,"")</f>
        <v>2592.3473600000002</v>
      </c>
      <c r="G17" s="214">
        <f t="shared" ref="G17:G24" si="3">IFERROR(F17/$F$66,"")</f>
        <v>0.58614232616384476</v>
      </c>
      <c r="H17" s="215"/>
      <c r="I17" s="215"/>
      <c r="J17" s="216"/>
    </row>
    <row r="18" spans="1:12" ht="13.5" x14ac:dyDescent="0.25">
      <c r="A18" s="211">
        <v>40</v>
      </c>
      <c r="B18" s="199" t="s">
        <v>44</v>
      </c>
      <c r="C18" s="212">
        <f t="shared" ref="C18:C24" si="4">+A18</f>
        <v>40</v>
      </c>
      <c r="D18" s="212" t="s">
        <v>156</v>
      </c>
      <c r="E18" s="213">
        <f>+'[3]Costo Crema verde pistacho'!$E$69</f>
        <v>2.1884399999999999</v>
      </c>
      <c r="F18" s="213">
        <f t="shared" ref="F18:F24" si="5">IFERROR(E18*C18,"")</f>
        <v>87.537599999999998</v>
      </c>
      <c r="G18" s="214">
        <f t="shared" si="3"/>
        <v>1.9792676430059962E-2</v>
      </c>
      <c r="H18" s="215"/>
      <c r="I18" s="215"/>
      <c r="J18" s="216"/>
    </row>
    <row r="19" spans="1:12" ht="13.5" x14ac:dyDescent="0.25">
      <c r="A19" s="211">
        <v>85</v>
      </c>
      <c r="B19" s="199" t="s">
        <v>69</v>
      </c>
      <c r="C19" s="212">
        <f>+A19</f>
        <v>85</v>
      </c>
      <c r="D19" s="212" t="s">
        <v>156</v>
      </c>
      <c r="E19" s="213">
        <f>+'Costo Ganache '!E69</f>
        <v>4.5902920000000007</v>
      </c>
      <c r="F19" s="213">
        <f>IFERROR(E19*C19,"")</f>
        <v>390.17482000000007</v>
      </c>
      <c r="G19" s="214">
        <f t="shared" si="3"/>
        <v>8.8220421435096341E-2</v>
      </c>
      <c r="H19" s="215"/>
      <c r="I19" s="215"/>
      <c r="J19" s="216"/>
    </row>
    <row r="20" spans="1:12" ht="13.5" x14ac:dyDescent="0.25">
      <c r="A20" s="211">
        <v>12</v>
      </c>
      <c r="B20" s="199" t="s">
        <v>45</v>
      </c>
      <c r="C20" s="212">
        <f>+A20</f>
        <v>12</v>
      </c>
      <c r="D20" s="212" t="s">
        <v>156</v>
      </c>
      <c r="E20" s="213">
        <f>+'[3]Costo Pistacho Tostado'!$E$69</f>
        <v>13.421052631578947</v>
      </c>
      <c r="F20" s="213">
        <f>IFERROR(E20*C20,"")</f>
        <v>161.05263157894737</v>
      </c>
      <c r="G20" s="214">
        <f t="shared" si="3"/>
        <v>3.6414782048534142E-2</v>
      </c>
      <c r="H20" s="215"/>
      <c r="I20" s="215"/>
      <c r="J20" s="216"/>
    </row>
    <row r="21" spans="1:12" ht="13.5" hidden="1" x14ac:dyDescent="0.25">
      <c r="A21" s="211"/>
      <c r="B21" s="199" t="str">
        <f>IFERROR(VLOOKUP(H21,[1]SEMIELABORADOS!$A$2:$M$6000,2,0),"")</f>
        <v/>
      </c>
      <c r="C21" s="212">
        <f>+A21</f>
        <v>0</v>
      </c>
      <c r="D21" s="212" t="str">
        <f>IFERROR(VLOOKUP(H21,[1]SEMIELABORADOS!$A$2:$M$6000,6,0),"")</f>
        <v/>
      </c>
      <c r="E21" s="213" t="str">
        <f>IFERROR(VLOOKUP(H21,[1]SEMIELABORADOS!$A$2:$H$65536,8,0),"")</f>
        <v/>
      </c>
      <c r="F21" s="213" t="str">
        <f>IFERROR(E21*C21,"")</f>
        <v/>
      </c>
      <c r="G21" s="214" t="str">
        <f t="shared" si="3"/>
        <v/>
      </c>
      <c r="H21" s="215"/>
      <c r="I21" s="215"/>
      <c r="J21" s="216"/>
    </row>
    <row r="22" spans="1:12" ht="13.5" hidden="1" x14ac:dyDescent="0.25">
      <c r="A22" s="211"/>
      <c r="B22" s="199" t="str">
        <f>IFERROR(VLOOKUP(H22,[1]SEMIELABORADOS!$A$2:$M$6000,2,0),"")</f>
        <v/>
      </c>
      <c r="C22" s="212">
        <f t="shared" si="4"/>
        <v>0</v>
      </c>
      <c r="D22" s="212" t="str">
        <f>IFERROR(VLOOKUP(H22,[1]SEMIELABORADOS!$A$2:$M$6000,6,0),"")</f>
        <v/>
      </c>
      <c r="E22" s="213" t="str">
        <f>IFERROR(VLOOKUP(H22,[1]SEMIELABORADOS!$A$2:$H$65536,8,0),"")</f>
        <v/>
      </c>
      <c r="F22" s="213" t="str">
        <f t="shared" si="5"/>
        <v/>
      </c>
      <c r="G22" s="214" t="str">
        <f t="shared" si="3"/>
        <v/>
      </c>
      <c r="H22" s="215"/>
      <c r="I22" s="215"/>
      <c r="J22" s="216"/>
    </row>
    <row r="23" spans="1:12" ht="13.5" hidden="1" x14ac:dyDescent="0.25">
      <c r="A23" s="211"/>
      <c r="B23" s="199" t="str">
        <f>IFERROR(VLOOKUP(H23,[1]SEMIELABORADOS!$A$2:$M$6000,2,0),"")</f>
        <v/>
      </c>
      <c r="C23" s="212">
        <f t="shared" si="4"/>
        <v>0</v>
      </c>
      <c r="D23" s="212" t="str">
        <f>IFERROR(VLOOKUP(H23,[1]SEMIELABORADOS!$A$2:$M$6000,6,0),"")</f>
        <v/>
      </c>
      <c r="E23" s="213" t="str">
        <f>IFERROR(VLOOKUP(H23,[1]SEMIELABORADOS!$A$2:$H$65536,8,0),"")</f>
        <v/>
      </c>
      <c r="F23" s="213" t="str">
        <f t="shared" si="5"/>
        <v/>
      </c>
      <c r="G23" s="214" t="str">
        <f t="shared" si="3"/>
        <v/>
      </c>
      <c r="H23" s="215"/>
      <c r="I23" s="215"/>
      <c r="J23" s="216"/>
    </row>
    <row r="24" spans="1:12" ht="13.5" hidden="1" x14ac:dyDescent="0.25">
      <c r="A24" s="211"/>
      <c r="B24" s="199" t="str">
        <f>IFERROR(VLOOKUP(H24,[1]SEMIELABORADOS!$A$2:$M$6000,2,0),"")</f>
        <v/>
      </c>
      <c r="C24" s="212">
        <f t="shared" si="4"/>
        <v>0</v>
      </c>
      <c r="D24" s="212" t="str">
        <f>IFERROR(VLOOKUP(H24,[1]SEMIELABORADOS!$A$2:$M$6000,6,0),"")</f>
        <v/>
      </c>
      <c r="E24" s="213" t="str">
        <f>IFERROR(VLOOKUP(H24,[1]SEMIELABORADOS!$A$2:$H$65536,8,0),"")</f>
        <v/>
      </c>
      <c r="F24" s="213" t="str">
        <f t="shared" si="5"/>
        <v/>
      </c>
      <c r="G24" s="214" t="str">
        <f t="shared" si="3"/>
        <v/>
      </c>
      <c r="H24" s="215"/>
      <c r="I24" s="215"/>
      <c r="J24" s="216"/>
    </row>
    <row r="25" spans="1:12" ht="14.25" thickBot="1" x14ac:dyDescent="0.3">
      <c r="A25" s="211"/>
      <c r="C25" s="212"/>
      <c r="D25" s="212"/>
      <c r="E25" s="213"/>
      <c r="F25" s="213"/>
      <c r="G25" s="214"/>
      <c r="H25" s="215"/>
      <c r="I25" s="215"/>
      <c r="J25" s="216"/>
    </row>
    <row r="26" spans="1:12" ht="26.25" thickBot="1" x14ac:dyDescent="0.25">
      <c r="A26" s="206" t="s">
        <v>111</v>
      </c>
      <c r="B26" s="207" t="s">
        <v>18</v>
      </c>
      <c r="C26" s="207" t="s">
        <v>111</v>
      </c>
      <c r="D26" s="208" t="s">
        <v>113</v>
      </c>
      <c r="E26" s="208" t="s">
        <v>114</v>
      </c>
      <c r="F26" s="208" t="s">
        <v>115</v>
      </c>
      <c r="G26" s="208" t="s">
        <v>116</v>
      </c>
      <c r="H26" s="209" t="s">
        <v>117</v>
      </c>
      <c r="I26" s="210"/>
    </row>
    <row r="27" spans="1:12" ht="13.5" x14ac:dyDescent="0.25">
      <c r="A27" s="211">
        <v>6</v>
      </c>
      <c r="B27" s="217" t="s">
        <v>74</v>
      </c>
      <c r="C27" s="212">
        <f t="shared" ref="C27:C32" si="6">+A27</f>
        <v>6</v>
      </c>
      <c r="D27" s="213" t="s">
        <v>160</v>
      </c>
      <c r="E27" s="213">
        <v>58.84</v>
      </c>
      <c r="F27" s="213">
        <f t="shared" ref="F27:F32" si="7">IFERROR(C27*E27,"")</f>
        <v>353.04</v>
      </c>
      <c r="G27" s="214">
        <f t="shared" ref="G27:G32" si="8">IFERROR(F27/$F$66,"")</f>
        <v>7.9824058311723983E-2</v>
      </c>
      <c r="H27" s="218" t="s">
        <v>73</v>
      </c>
      <c r="I27" s="218"/>
      <c r="J27" s="216"/>
      <c r="K27" s="445"/>
      <c r="L27" s="445"/>
    </row>
    <row r="28" spans="1:12" ht="13.5" x14ac:dyDescent="0.25">
      <c r="A28" s="211">
        <v>6</v>
      </c>
      <c r="B28" s="217" t="s">
        <v>75</v>
      </c>
      <c r="C28" s="212">
        <f t="shared" si="6"/>
        <v>6</v>
      </c>
      <c r="D28" s="213" t="s">
        <v>160</v>
      </c>
      <c r="E28" s="213">
        <v>0.39</v>
      </c>
      <c r="F28" s="213">
        <f t="shared" si="7"/>
        <v>2.34</v>
      </c>
      <c r="G28" s="214">
        <f t="shared" si="8"/>
        <v>5.2908536270517253E-4</v>
      </c>
      <c r="H28" s="218" t="s">
        <v>17</v>
      </c>
      <c r="I28" s="218"/>
      <c r="J28" s="216"/>
      <c r="K28" s="445"/>
      <c r="L28" s="445"/>
    </row>
    <row r="29" spans="1:12" ht="13.5" x14ac:dyDescent="0.25">
      <c r="A29" s="211">
        <v>6</v>
      </c>
      <c r="B29" s="217" t="s">
        <v>77</v>
      </c>
      <c r="C29" s="212">
        <f t="shared" si="6"/>
        <v>6</v>
      </c>
      <c r="D29" s="213" t="s">
        <v>160</v>
      </c>
      <c r="E29" s="213">
        <v>2.13</v>
      </c>
      <c r="F29" s="213">
        <f t="shared" si="7"/>
        <v>12.78</v>
      </c>
      <c r="G29" s="214">
        <f t="shared" si="8"/>
        <v>2.8896200578513269E-3</v>
      </c>
      <c r="H29" s="218" t="s">
        <v>15</v>
      </c>
      <c r="I29" s="218"/>
      <c r="J29" s="216"/>
      <c r="K29" s="445"/>
      <c r="L29" s="445"/>
    </row>
    <row r="30" spans="1:12" ht="13.5" x14ac:dyDescent="0.25">
      <c r="A30" s="211">
        <v>6</v>
      </c>
      <c r="B30" s="217" t="s">
        <v>78</v>
      </c>
      <c r="C30" s="212">
        <f t="shared" si="6"/>
        <v>6</v>
      </c>
      <c r="D30" s="213" t="s">
        <v>160</v>
      </c>
      <c r="E30" s="213">
        <v>0.57999999999999996</v>
      </c>
      <c r="F30" s="213">
        <f t="shared" si="7"/>
        <v>3.4799999999999995</v>
      </c>
      <c r="G30" s="214">
        <f t="shared" si="8"/>
        <v>7.8684489838205145E-4</v>
      </c>
      <c r="H30" s="218" t="s">
        <v>13</v>
      </c>
      <c r="I30" s="218"/>
      <c r="J30" s="216"/>
      <c r="K30" s="445"/>
      <c r="L30" s="445"/>
    </row>
    <row r="31" spans="1:12" ht="13.5" x14ac:dyDescent="0.25">
      <c r="A31" s="211">
        <v>6</v>
      </c>
      <c r="B31" s="217" t="s">
        <v>80</v>
      </c>
      <c r="C31" s="212">
        <f t="shared" si="6"/>
        <v>6</v>
      </c>
      <c r="D31" s="213" t="s">
        <v>160</v>
      </c>
      <c r="E31" s="213">
        <v>6</v>
      </c>
      <c r="F31" s="213">
        <f t="shared" si="7"/>
        <v>36</v>
      </c>
      <c r="G31" s="214">
        <f t="shared" si="8"/>
        <v>8.1397748108488089E-3</v>
      </c>
      <c r="H31" s="218" t="s">
        <v>79</v>
      </c>
      <c r="I31" s="218"/>
      <c r="J31" s="216"/>
      <c r="K31" s="219"/>
      <c r="L31" s="220"/>
    </row>
    <row r="32" spans="1:12" ht="13.5" x14ac:dyDescent="0.25">
      <c r="A32" s="211">
        <v>6</v>
      </c>
      <c r="B32" s="217" t="s">
        <v>104</v>
      </c>
      <c r="C32" s="212">
        <f t="shared" si="6"/>
        <v>6</v>
      </c>
      <c r="D32" s="213" t="s">
        <v>160</v>
      </c>
      <c r="E32" s="213">
        <v>55</v>
      </c>
      <c r="F32" s="213">
        <f t="shared" si="7"/>
        <v>330</v>
      </c>
      <c r="G32" s="214">
        <f t="shared" si="8"/>
        <v>7.4614602432780744E-2</v>
      </c>
      <c r="H32" s="218" t="s">
        <v>12</v>
      </c>
      <c r="I32" s="218"/>
      <c r="J32" s="216"/>
    </row>
    <row r="33" spans="1:13" ht="14.25" thickBot="1" x14ac:dyDescent="0.3">
      <c r="A33" s="211"/>
      <c r="B33" s="217"/>
      <c r="C33" s="212"/>
      <c r="D33" s="213"/>
      <c r="E33" s="213"/>
      <c r="F33" s="213"/>
      <c r="G33" s="214"/>
      <c r="H33" s="218"/>
      <c r="I33" s="218"/>
      <c r="J33" s="216"/>
    </row>
    <row r="34" spans="1:13" ht="26.25" thickBot="1" x14ac:dyDescent="0.25">
      <c r="A34" s="206" t="s">
        <v>111</v>
      </c>
      <c r="B34" s="207" t="s">
        <v>119</v>
      </c>
      <c r="C34" s="207" t="s">
        <v>111</v>
      </c>
      <c r="D34" s="208" t="s">
        <v>113</v>
      </c>
      <c r="E34" s="208" t="s">
        <v>114</v>
      </c>
      <c r="F34" s="208" t="s">
        <v>115</v>
      </c>
      <c r="G34" s="208" t="s">
        <v>116</v>
      </c>
      <c r="H34" s="209" t="s">
        <v>117</v>
      </c>
      <c r="I34" s="218"/>
      <c r="J34" s="216"/>
    </row>
    <row r="35" spans="1:13" ht="13.5" x14ac:dyDescent="0.25">
      <c r="A35" s="211">
        <f>+A17</f>
        <v>1</v>
      </c>
      <c r="B35" s="199" t="s">
        <v>43</v>
      </c>
      <c r="C35" s="212">
        <f>+A35</f>
        <v>1</v>
      </c>
      <c r="D35" s="213" t="s">
        <v>159</v>
      </c>
      <c r="E35" s="213">
        <f>+'Costo Disco '!H54</f>
        <v>4.351</v>
      </c>
      <c r="F35" s="213">
        <f>IFERROR(E35*C35,"")</f>
        <v>4.351</v>
      </c>
      <c r="G35" s="214">
        <f t="shared" ref="G35:G41" si="9">IFERROR(F35/$F$66,"")</f>
        <v>9.8378222783342129E-4</v>
      </c>
      <c r="H35" s="218"/>
      <c r="I35" s="218"/>
      <c r="J35" s="216"/>
    </row>
    <row r="36" spans="1:13" ht="13.5" x14ac:dyDescent="0.25">
      <c r="A36" s="211">
        <f t="shared" ref="A36:A41" si="10">+A18</f>
        <v>40</v>
      </c>
      <c r="B36" s="199" t="s">
        <v>44</v>
      </c>
      <c r="C36" s="212">
        <f t="shared" ref="C36:C41" si="11">+A36</f>
        <v>40</v>
      </c>
      <c r="D36" s="212" t="s">
        <v>156</v>
      </c>
      <c r="E36" s="213">
        <f>+'[3]Costo Crema verde pistacho'!$E$76</f>
        <v>2.7884615384615379E-5</v>
      </c>
      <c r="F36" s="213">
        <f t="shared" ref="F36:F41" si="12">IFERROR(E36*C36,"")</f>
        <v>1.1153846153846151E-3</v>
      </c>
      <c r="G36" s="214">
        <f t="shared" si="9"/>
        <v>2.521938776865549E-7</v>
      </c>
      <c r="H36" s="218"/>
      <c r="I36" s="218"/>
      <c r="J36" s="216"/>
    </row>
    <row r="37" spans="1:13" ht="13.5" x14ac:dyDescent="0.25">
      <c r="A37" s="211">
        <f t="shared" si="10"/>
        <v>85</v>
      </c>
      <c r="B37" s="199" t="s">
        <v>69</v>
      </c>
      <c r="C37" s="212">
        <f t="shared" si="11"/>
        <v>85</v>
      </c>
      <c r="D37" s="212" t="s">
        <v>156</v>
      </c>
      <c r="E37" s="213">
        <f>+'Costo Ganache '!E76</f>
        <v>0</v>
      </c>
      <c r="F37" s="213">
        <f t="shared" si="12"/>
        <v>0</v>
      </c>
      <c r="G37" s="214">
        <f t="shared" si="9"/>
        <v>0</v>
      </c>
      <c r="H37" s="218"/>
      <c r="I37" s="218"/>
      <c r="J37" s="216"/>
    </row>
    <row r="38" spans="1:13" ht="13.5" x14ac:dyDescent="0.25">
      <c r="A38" s="211">
        <f t="shared" si="10"/>
        <v>12</v>
      </c>
      <c r="B38" s="199" t="s">
        <v>45</v>
      </c>
      <c r="C38" s="212">
        <f>+A38</f>
        <v>12</v>
      </c>
      <c r="D38" s="213" t="s">
        <v>156</v>
      </c>
      <c r="E38" s="213">
        <f>+'[3]Costo Pistacho Tostado'!$E$76</f>
        <v>0</v>
      </c>
      <c r="F38" s="213">
        <f>IFERROR(E38*C38,"")</f>
        <v>0</v>
      </c>
      <c r="G38" s="214">
        <f t="shared" si="9"/>
        <v>0</v>
      </c>
      <c r="H38" s="218"/>
      <c r="I38" s="218"/>
      <c r="J38" s="216"/>
    </row>
    <row r="39" spans="1:13" ht="13.5" hidden="1" x14ac:dyDescent="0.25">
      <c r="A39" s="211">
        <f t="shared" si="10"/>
        <v>0</v>
      </c>
      <c r="B39" s="217" t="str">
        <f>IFERROR(VLOOKUP(H39,[1]SEMIELABORADOS!$A$2:$M$6000,2,0),"")</f>
        <v/>
      </c>
      <c r="C39" s="212">
        <f>+A39</f>
        <v>0</v>
      </c>
      <c r="D39" s="213" t="str">
        <f>IFERROR(VLOOKUP(H39,[1]SEMIELABORADOS!$A$2:$M$6000,6,0),"")</f>
        <v/>
      </c>
      <c r="E39" s="213" t="str">
        <f>IFERROR(VLOOKUP(H39,[1]SEMIELABORADOS!$A$2:$M$65536,10,0),"")</f>
        <v/>
      </c>
      <c r="F39" s="213" t="str">
        <f>IFERROR(E39*C39,"")</f>
        <v/>
      </c>
      <c r="G39" s="214" t="str">
        <f t="shared" si="9"/>
        <v/>
      </c>
      <c r="H39" s="218"/>
      <c r="I39" s="218"/>
      <c r="J39" s="216"/>
    </row>
    <row r="40" spans="1:13" ht="13.5" hidden="1" x14ac:dyDescent="0.25">
      <c r="A40" s="211">
        <f t="shared" si="10"/>
        <v>0</v>
      </c>
      <c r="B40" s="217" t="str">
        <f>IFERROR(VLOOKUP(H40,[1]SEMIELABORADOS!$A$2:$M$6000,2,0),"")</f>
        <v/>
      </c>
      <c r="C40" s="212">
        <f t="shared" si="11"/>
        <v>0</v>
      </c>
      <c r="D40" s="213" t="str">
        <f>IFERROR(VLOOKUP(H40,[1]SEMIELABORADOS!$A$2:$M$6000,6,0),"")</f>
        <v/>
      </c>
      <c r="E40" s="213" t="str">
        <f>IFERROR(VLOOKUP(H40,[1]SEMIELABORADOS!$A$2:$M$65536,10,0),"")</f>
        <v/>
      </c>
      <c r="F40" s="213" t="str">
        <f t="shared" si="12"/>
        <v/>
      </c>
      <c r="G40" s="214" t="str">
        <f t="shared" si="9"/>
        <v/>
      </c>
      <c r="H40" s="218"/>
      <c r="I40" s="218"/>
      <c r="J40" s="216"/>
    </row>
    <row r="41" spans="1:13" ht="13.5" hidden="1" x14ac:dyDescent="0.25">
      <c r="A41" s="211">
        <f t="shared" si="10"/>
        <v>0</v>
      </c>
      <c r="B41" s="217" t="str">
        <f>IFERROR(VLOOKUP(H41,[1]SEMIELABORADOS!$A$2:$M$6000,2,0),"")</f>
        <v/>
      </c>
      <c r="C41" s="212">
        <f t="shared" si="11"/>
        <v>0</v>
      </c>
      <c r="D41" s="213" t="str">
        <f>IFERROR(VLOOKUP(H41,[1]SEMIELABORADOS!$A$2:$M$6000,6,0),"")</f>
        <v/>
      </c>
      <c r="E41" s="213" t="str">
        <f>IFERROR(VLOOKUP(H41,[1]SEMIELABORADOS!$A$2:$M$65536,10,0),"")</f>
        <v/>
      </c>
      <c r="F41" s="213" t="str">
        <f t="shared" si="12"/>
        <v/>
      </c>
      <c r="G41" s="214" t="str">
        <f t="shared" si="9"/>
        <v/>
      </c>
      <c r="H41" s="218"/>
      <c r="I41" s="218"/>
      <c r="J41" s="216"/>
    </row>
    <row r="42" spans="1:13" ht="14.25" thickBot="1" x14ac:dyDescent="0.3">
      <c r="A42" s="211"/>
      <c r="B42" s="217"/>
      <c r="C42" s="212"/>
      <c r="D42" s="213"/>
      <c r="E42" s="213"/>
      <c r="F42" s="213"/>
      <c r="G42" s="214"/>
      <c r="H42" s="218"/>
      <c r="I42" s="218"/>
      <c r="J42" s="216"/>
    </row>
    <row r="43" spans="1:13" ht="26.25" thickBot="1" x14ac:dyDescent="0.25">
      <c r="A43" s="206" t="s">
        <v>111</v>
      </c>
      <c r="B43" s="207" t="s">
        <v>120</v>
      </c>
      <c r="C43" s="207" t="s">
        <v>111</v>
      </c>
      <c r="D43" s="208" t="s">
        <v>113</v>
      </c>
      <c r="E43" s="208" t="s">
        <v>114</v>
      </c>
      <c r="F43" s="208" t="s">
        <v>115</v>
      </c>
      <c r="G43" s="208" t="s">
        <v>116</v>
      </c>
      <c r="H43" s="209" t="s">
        <v>117</v>
      </c>
      <c r="I43" s="210"/>
      <c r="J43" s="216"/>
    </row>
    <row r="44" spans="1:13" ht="13.5" x14ac:dyDescent="0.25">
      <c r="A44" s="211">
        <f>+A35</f>
        <v>1</v>
      </c>
      <c r="B44" s="199" t="s">
        <v>43</v>
      </c>
      <c r="C44" s="212">
        <f>+A44</f>
        <v>1</v>
      </c>
      <c r="D44" s="213" t="s">
        <v>159</v>
      </c>
      <c r="E44" s="213">
        <f>+'Costo Disco '!H56</f>
        <v>400.76499999999999</v>
      </c>
      <c r="F44" s="213">
        <f>IFERROR(E44*C44,"")</f>
        <v>400.76499999999999</v>
      </c>
      <c r="G44" s="214">
        <f>IFERROR(F44/$F$66,"")</f>
        <v>9.061491255749507E-2</v>
      </c>
      <c r="H44" s="218"/>
      <c r="I44" s="210"/>
      <c r="J44" s="216"/>
    </row>
    <row r="45" spans="1:13" ht="13.5" x14ac:dyDescent="0.25">
      <c r="A45" s="211">
        <f t="shared" ref="A45:A50" si="13">+A36</f>
        <v>40</v>
      </c>
      <c r="B45" s="199" t="s">
        <v>44</v>
      </c>
      <c r="C45" s="212">
        <f t="shared" ref="C45:C50" si="14">+A45</f>
        <v>40</v>
      </c>
      <c r="D45" s="212" t="s">
        <v>156</v>
      </c>
      <c r="E45" s="213">
        <f>+'[3]Costo Crema verde pistacho'!$E$74</f>
        <v>0.49307800376923072</v>
      </c>
      <c r="F45" s="213">
        <f t="shared" ref="F45:F50" si="15">IFERROR(E45*C45,"")</f>
        <v>19.72312015076923</v>
      </c>
      <c r="G45" s="214">
        <f t="shared" ref="G45:G50" si="16">IFERROR(F45/$F$66,"")</f>
        <v>4.4594932387382203E-3</v>
      </c>
      <c r="H45" s="218"/>
      <c r="I45" s="210"/>
      <c r="J45" s="216"/>
      <c r="M45" s="221"/>
    </row>
    <row r="46" spans="1:13" ht="13.5" x14ac:dyDescent="0.25">
      <c r="A46" s="211">
        <f t="shared" si="13"/>
        <v>85</v>
      </c>
      <c r="B46" s="199" t="s">
        <v>69</v>
      </c>
      <c r="C46" s="212">
        <f t="shared" si="14"/>
        <v>85</v>
      </c>
      <c r="D46" s="213" t="s">
        <v>156</v>
      </c>
      <c r="E46" s="213">
        <f>+'Costo Ganache '!E74</f>
        <v>7.6999999999999999E-2</v>
      </c>
      <c r="F46" s="213">
        <f t="shared" si="15"/>
        <v>6.5449999999999999</v>
      </c>
      <c r="G46" s="214">
        <f t="shared" si="16"/>
        <v>1.4798562815834847E-3</v>
      </c>
      <c r="H46" s="218"/>
      <c r="I46" s="210"/>
      <c r="J46" s="216"/>
    </row>
    <row r="47" spans="1:13" ht="13.5" x14ac:dyDescent="0.25">
      <c r="A47" s="211">
        <f t="shared" si="13"/>
        <v>12</v>
      </c>
      <c r="B47" s="199" t="s">
        <v>45</v>
      </c>
      <c r="C47" s="212">
        <f t="shared" si="14"/>
        <v>12</v>
      </c>
      <c r="D47" s="213" t="s">
        <v>156</v>
      </c>
      <c r="E47" s="213">
        <f>+'[3]Costo Pistacho Tostado'!$E$74</f>
        <v>8.1052631578947362E-2</v>
      </c>
      <c r="F47" s="213">
        <f t="shared" si="15"/>
        <v>0.97263157894736829</v>
      </c>
      <c r="G47" s="214">
        <f t="shared" si="16"/>
        <v>2.199167229597748E-4</v>
      </c>
      <c r="H47" s="218"/>
      <c r="I47" s="210"/>
      <c r="J47" s="216"/>
    </row>
    <row r="48" spans="1:13" ht="13.5" hidden="1" x14ac:dyDescent="0.25">
      <c r="A48" s="211">
        <f t="shared" si="13"/>
        <v>0</v>
      </c>
      <c r="B48" s="217" t="str">
        <f>IFERROR(VLOOKUP(H48,[1]SEMIELABORADOS!$A$2:$M$6000,2,0),"")</f>
        <v/>
      </c>
      <c r="C48" s="212">
        <f t="shared" si="14"/>
        <v>0</v>
      </c>
      <c r="D48" s="213" t="str">
        <f>IFERROR(VLOOKUP(H48,[1]SEMIELABORADOS!$A$2:$M$6000,6,0),"")</f>
        <v/>
      </c>
      <c r="E48" s="213" t="str">
        <f>IFERROR(VLOOKUP(H48,[1]SEMIELABORADOS!$A$2:$M$65536,12,0),"")</f>
        <v/>
      </c>
      <c r="F48" s="213" t="str">
        <f t="shared" si="15"/>
        <v/>
      </c>
      <c r="G48" s="214" t="str">
        <f t="shared" si="16"/>
        <v/>
      </c>
      <c r="H48" s="218"/>
      <c r="I48" s="210"/>
      <c r="J48" s="216"/>
    </row>
    <row r="49" spans="1:17" ht="13.5" hidden="1" x14ac:dyDescent="0.25">
      <c r="A49" s="211">
        <f t="shared" si="13"/>
        <v>0</v>
      </c>
      <c r="B49" s="217" t="str">
        <f>IFERROR(VLOOKUP(H49,[1]SEMIELABORADOS!$A$2:$M$6000,2,0),"")</f>
        <v/>
      </c>
      <c r="C49" s="212">
        <f t="shared" si="14"/>
        <v>0</v>
      </c>
      <c r="D49" s="213" t="str">
        <f>IFERROR(VLOOKUP(H49,[1]SEMIELABORADOS!$A$2:$M$6000,6,0),"")</f>
        <v/>
      </c>
      <c r="E49" s="213" t="str">
        <f>IFERROR(VLOOKUP(H49,[1]SEMIELABORADOS!$A$2:$M$65536,12,0),"")</f>
        <v/>
      </c>
      <c r="F49" s="213" t="str">
        <f t="shared" si="15"/>
        <v/>
      </c>
      <c r="G49" s="214" t="str">
        <f t="shared" si="16"/>
        <v/>
      </c>
      <c r="H49" s="218"/>
      <c r="I49" s="210"/>
      <c r="J49" s="216"/>
    </row>
    <row r="50" spans="1:17" ht="13.5" hidden="1" x14ac:dyDescent="0.25">
      <c r="A50" s="211">
        <f t="shared" si="13"/>
        <v>0</v>
      </c>
      <c r="B50" s="217" t="str">
        <f>IFERROR(VLOOKUP(H50,[1]SEMIELABORADOS!$A$2:$M$6000,2,0),"")</f>
        <v/>
      </c>
      <c r="C50" s="212">
        <f t="shared" si="14"/>
        <v>0</v>
      </c>
      <c r="D50" s="213" t="str">
        <f>IFERROR(VLOOKUP(H50,[1]SEMIELABORADOS!$A$2:$M$6000,6,0),"")</f>
        <v/>
      </c>
      <c r="E50" s="213" t="str">
        <f>IFERROR(VLOOKUP(H50,[1]SEMIELABORADOS!$A$2:$M$65536,12,0),"")</f>
        <v/>
      </c>
      <c r="F50" s="213" t="str">
        <f t="shared" si="15"/>
        <v/>
      </c>
      <c r="G50" s="214" t="str">
        <f t="shared" si="16"/>
        <v/>
      </c>
      <c r="H50" s="217"/>
      <c r="I50" s="210"/>
      <c r="J50" s="216"/>
    </row>
    <row r="51" spans="1:17" ht="13.5" x14ac:dyDescent="0.25">
      <c r="A51" s="211">
        <v>1</v>
      </c>
      <c r="B51" s="217" t="s">
        <v>121</v>
      </c>
      <c r="C51" s="212">
        <f>+A51</f>
        <v>1</v>
      </c>
      <c r="D51" s="212" t="s">
        <v>122</v>
      </c>
      <c r="E51" s="213">
        <f>+F65</f>
        <v>385</v>
      </c>
      <c r="F51" s="213">
        <f>IFERROR(C51*E51,"")</f>
        <v>385</v>
      </c>
      <c r="G51" s="214">
        <f>IFERROR(F51/$F$66,"")</f>
        <v>8.7050369504910866E-2</v>
      </c>
      <c r="H51" s="222"/>
      <c r="I51" s="222"/>
      <c r="J51" s="216"/>
    </row>
    <row r="52" spans="1:17" ht="14.25" thickBot="1" x14ac:dyDescent="0.3">
      <c r="A52" s="211"/>
      <c r="B52" s="217"/>
      <c r="C52" s="212"/>
      <c r="D52" s="212"/>
      <c r="E52" s="213"/>
      <c r="F52" s="213"/>
      <c r="G52" s="214"/>
      <c r="H52" s="222"/>
      <c r="I52" s="222"/>
      <c r="J52" s="216"/>
    </row>
    <row r="53" spans="1:17" ht="13.5" thickBot="1" x14ac:dyDescent="0.25">
      <c r="A53" s="223"/>
      <c r="B53" s="446" t="s">
        <v>123</v>
      </c>
      <c r="C53" s="446"/>
      <c r="D53" s="446"/>
      <c r="E53" s="446"/>
      <c r="F53" s="225">
        <f>SUM(F8:F14,F17:F24)</f>
        <v>3231.112411578948</v>
      </c>
      <c r="G53" s="214">
        <f>+F53/$F$66</f>
        <v>0.73057020607753531</v>
      </c>
      <c r="H53" s="226">
        <f>+F53/$D$60</f>
        <v>3231.112411578948</v>
      </c>
      <c r="I53" s="226"/>
      <c r="J53" s="227"/>
      <c r="K53" s="228"/>
      <c r="L53" s="228"/>
      <c r="M53" s="228"/>
      <c r="N53" s="228"/>
      <c r="O53" s="228"/>
      <c r="P53" s="228"/>
      <c r="Q53" s="229"/>
    </row>
    <row r="54" spans="1:17" x14ac:dyDescent="0.2">
      <c r="A54" s="223"/>
      <c r="B54" s="446" t="s">
        <v>124</v>
      </c>
      <c r="C54" s="446"/>
      <c r="D54" s="446"/>
      <c r="E54" s="446"/>
      <c r="F54" s="225">
        <f>SUM(F27:F32,F35:F41)</f>
        <v>741.99211538461532</v>
      </c>
      <c r="G54" s="214">
        <f>+F54/$F$66</f>
        <v>0.16776802029600318</v>
      </c>
      <c r="H54" s="226">
        <f>+F54/$D$60</f>
        <v>741.99211538461532</v>
      </c>
      <c r="I54" s="226"/>
      <c r="J54" s="230"/>
      <c r="K54" s="447" t="s">
        <v>125</v>
      </c>
      <c r="L54" s="448"/>
      <c r="M54" s="448"/>
      <c r="N54" s="448"/>
      <c r="O54" s="231">
        <f>+F55</f>
        <v>3973.1045269635633</v>
      </c>
      <c r="P54" s="231"/>
      <c r="Q54" s="232"/>
    </row>
    <row r="55" spans="1:17" x14ac:dyDescent="0.2">
      <c r="A55" s="223"/>
      <c r="B55" s="446" t="s">
        <v>126</v>
      </c>
      <c r="C55" s="446"/>
      <c r="D55" s="446"/>
      <c r="E55" s="446"/>
      <c r="F55" s="225">
        <f>+F53+F54</f>
        <v>3973.1045269635633</v>
      </c>
      <c r="G55" s="214">
        <f>+F55/$F$66</f>
        <v>0.89833822637353844</v>
      </c>
      <c r="H55" s="226">
        <f>+F55/$D$60</f>
        <v>3973.1045269635633</v>
      </c>
      <c r="I55" s="226"/>
      <c r="J55" s="233"/>
      <c r="K55" s="234"/>
      <c r="M55" s="235" t="s">
        <v>127</v>
      </c>
      <c r="N55" s="236"/>
      <c r="O55" s="231">
        <f>+H56</f>
        <v>813.00575172971662</v>
      </c>
      <c r="P55" s="231"/>
      <c r="Q55" s="232"/>
    </row>
    <row r="56" spans="1:17" ht="13.5" thickBot="1" x14ac:dyDescent="0.25">
      <c r="A56" s="223"/>
      <c r="B56" s="224"/>
      <c r="C56" s="446" t="s">
        <v>128</v>
      </c>
      <c r="D56" s="446"/>
      <c r="E56" s="446"/>
      <c r="F56" s="225">
        <f>SUM(F44:F51)</f>
        <v>813.00575172971662</v>
      </c>
      <c r="G56" s="214">
        <f>+F56/$F$66</f>
        <v>0.18382454830568742</v>
      </c>
      <c r="H56" s="226">
        <f>+F56/$D$60</f>
        <v>813.00575172971662</v>
      </c>
      <c r="I56" s="226"/>
      <c r="J56" s="233"/>
      <c r="K56" s="234"/>
      <c r="L56" s="234"/>
      <c r="M56" s="234" t="s">
        <v>129</v>
      </c>
      <c r="N56" s="237"/>
      <c r="O56" s="231">
        <f>O54*N56</f>
        <v>0</v>
      </c>
      <c r="P56" s="231"/>
      <c r="Q56" s="232"/>
    </row>
    <row r="57" spans="1:17" ht="13.5" thickBot="1" x14ac:dyDescent="0.25">
      <c r="A57" s="223"/>
      <c r="B57" s="238"/>
      <c r="C57" s="238"/>
      <c r="D57" s="238"/>
      <c r="E57" s="238"/>
      <c r="F57" s="239"/>
      <c r="G57" s="214"/>
      <c r="H57" s="240"/>
      <c r="I57" s="226"/>
      <c r="J57" s="233"/>
      <c r="K57" s="241"/>
      <c r="M57" s="242" t="s">
        <v>130</v>
      </c>
      <c r="N57" s="243"/>
      <c r="O57" s="244">
        <f>SUM(O54:O56)</f>
        <v>4786.1102786932797</v>
      </c>
      <c r="P57" s="245"/>
      <c r="Q57" s="232"/>
    </row>
    <row r="58" spans="1:17" x14ac:dyDescent="0.2">
      <c r="B58" s="449" t="s">
        <v>131</v>
      </c>
      <c r="C58" s="449"/>
      <c r="D58" s="246">
        <v>930</v>
      </c>
      <c r="E58" s="247"/>
      <c r="G58" s="214"/>
      <c r="H58" s="240">
        <f>+H56/77</f>
        <v>10.558516256230085</v>
      </c>
      <c r="I58" s="248"/>
      <c r="J58" s="233"/>
      <c r="K58" s="241"/>
      <c r="L58" s="234"/>
      <c r="M58" s="234" t="s">
        <v>132</v>
      </c>
      <c r="N58" s="249"/>
      <c r="O58" s="231">
        <f>+H59</f>
        <v>675.74504039872545</v>
      </c>
      <c r="P58" s="231"/>
      <c r="Q58" s="232"/>
    </row>
    <row r="59" spans="1:17" x14ac:dyDescent="0.2">
      <c r="B59" s="449" t="s">
        <v>133</v>
      </c>
      <c r="C59" s="449"/>
      <c r="D59" s="250">
        <v>930</v>
      </c>
      <c r="E59" s="247"/>
      <c r="G59" s="214"/>
      <c r="H59" s="240">
        <f>+H58*64</f>
        <v>675.74504039872545</v>
      </c>
      <c r="I59" s="248"/>
      <c r="J59" s="233"/>
      <c r="K59" s="241"/>
      <c r="L59" s="234"/>
      <c r="M59" s="450" t="s">
        <v>130</v>
      </c>
      <c r="N59" s="450"/>
      <c r="O59" s="231">
        <f>SUM(O57:O58)</f>
        <v>5461.8553190920047</v>
      </c>
      <c r="P59" s="231"/>
      <c r="Q59" s="232"/>
    </row>
    <row r="60" spans="1:17" ht="13.5" thickBot="1" x14ac:dyDescent="0.25">
      <c r="B60" s="441" t="s">
        <v>134</v>
      </c>
      <c r="C60" s="441"/>
      <c r="D60" s="246">
        <f>+D58/D59</f>
        <v>1</v>
      </c>
      <c r="E60" s="247"/>
      <c r="F60" s="251"/>
      <c r="G60" s="214"/>
      <c r="H60" s="240"/>
      <c r="I60" s="248"/>
      <c r="J60" s="233"/>
      <c r="K60" s="241"/>
      <c r="L60" s="450"/>
      <c r="M60" s="450"/>
      <c r="N60" s="249"/>
      <c r="O60" s="231">
        <f>+O59*N60</f>
        <v>0</v>
      </c>
      <c r="P60" s="231"/>
      <c r="Q60" s="232"/>
    </row>
    <row r="61" spans="1:17" ht="13.5" thickBot="1" x14ac:dyDescent="0.25">
      <c r="B61" s="441" t="s">
        <v>135</v>
      </c>
      <c r="C61" s="441"/>
      <c r="D61" s="252"/>
      <c r="E61" s="247"/>
      <c r="F61" s="251"/>
      <c r="G61" s="214"/>
      <c r="H61" s="240"/>
      <c r="I61" s="248"/>
      <c r="J61" s="233"/>
      <c r="K61" s="442" t="s">
        <v>136</v>
      </c>
      <c r="L61" s="443"/>
      <c r="M61" s="443"/>
      <c r="N61" s="444"/>
      <c r="O61" s="244">
        <f>SUM(O59:O60)</f>
        <v>5461.8553190920047</v>
      </c>
      <c r="P61" s="253" t="s">
        <v>137</v>
      </c>
      <c r="Q61" s="232"/>
    </row>
    <row r="62" spans="1:17" ht="13.5" thickBot="1" x14ac:dyDescent="0.25">
      <c r="C62" s="223" t="s">
        <v>138</v>
      </c>
      <c r="D62" s="254"/>
      <c r="E62" s="197" t="s">
        <v>139</v>
      </c>
      <c r="F62" s="255" t="s">
        <v>140</v>
      </c>
      <c r="G62" s="214"/>
      <c r="H62" s="240"/>
      <c r="I62" s="248"/>
      <c r="J62" s="256"/>
      <c r="K62" s="257"/>
      <c r="L62" s="430" t="s">
        <v>141</v>
      </c>
      <c r="M62" s="430"/>
      <c r="N62" s="430"/>
      <c r="O62" s="258">
        <f>+O61/D60</f>
        <v>5461.8553190920047</v>
      </c>
      <c r="P62" s="259">
        <f>+O62/D59</f>
        <v>5.8729627087010803</v>
      </c>
      <c r="Q62" s="260"/>
    </row>
    <row r="63" spans="1:17" ht="13.5" thickBot="1" x14ac:dyDescent="0.25">
      <c r="B63" s="431" t="s">
        <v>126</v>
      </c>
      <c r="C63" s="431"/>
      <c r="D63" s="431"/>
      <c r="E63" s="261">
        <f>+F63/F63</f>
        <v>1</v>
      </c>
      <c r="F63" s="262">
        <f>SUM(F55)</f>
        <v>3973.1045269635633</v>
      </c>
      <c r="G63" s="214">
        <f>+F63/$F$66</f>
        <v>0.89833822637353844</v>
      </c>
      <c r="H63" s="240"/>
      <c r="I63" s="248"/>
      <c r="K63" s="432"/>
      <c r="L63" s="433"/>
      <c r="M63" s="433"/>
      <c r="N63" s="433"/>
      <c r="O63" s="263"/>
      <c r="P63" s="264"/>
    </row>
    <row r="64" spans="1:17" ht="13.5" thickBot="1" x14ac:dyDescent="0.25">
      <c r="B64" s="434" t="s">
        <v>142</v>
      </c>
      <c r="C64" s="434"/>
      <c r="D64" s="434"/>
      <c r="E64" s="265">
        <v>0.02</v>
      </c>
      <c r="F64" s="262">
        <f>+F53*E64</f>
        <v>64.622248231578965</v>
      </c>
      <c r="G64" s="214">
        <f>+F64/$F$66</f>
        <v>1.4611404121550707E-2</v>
      </c>
      <c r="H64" s="226"/>
      <c r="I64" s="248"/>
      <c r="J64" s="266"/>
      <c r="N64" s="199" t="s">
        <v>162</v>
      </c>
      <c r="O64" s="267">
        <f>+O62/6</f>
        <v>910.30921984866745</v>
      </c>
      <c r="P64" s="224"/>
    </row>
    <row r="65" spans="2:13" ht="13.5" thickBot="1" x14ac:dyDescent="0.25">
      <c r="B65" s="435" t="s">
        <v>143</v>
      </c>
      <c r="C65" s="436"/>
      <c r="D65" s="268">
        <v>5</v>
      </c>
      <c r="E65" s="269">
        <v>77</v>
      </c>
      <c r="F65" s="262">
        <f>+E65*D65</f>
        <v>385</v>
      </c>
      <c r="G65" s="214">
        <f>+F65/$F$66</f>
        <v>8.7050369504910866E-2</v>
      </c>
      <c r="H65" s="226"/>
      <c r="I65" s="226"/>
      <c r="J65" s="216"/>
    </row>
    <row r="66" spans="2:13" ht="13.5" thickBot="1" x14ac:dyDescent="0.25">
      <c r="B66" s="437" t="s">
        <v>144</v>
      </c>
      <c r="C66" s="438"/>
      <c r="D66" s="438"/>
      <c r="E66" s="439"/>
      <c r="F66" s="239">
        <f>SUM(F63:F65)</f>
        <v>4422.7267751951422</v>
      </c>
      <c r="G66" s="214">
        <f>+F66/$F$66</f>
        <v>1</v>
      </c>
      <c r="H66" s="440"/>
      <c r="I66" s="226"/>
      <c r="J66" s="216"/>
      <c r="M66" s="199" t="s">
        <v>145</v>
      </c>
    </row>
    <row r="67" spans="2:13" x14ac:dyDescent="0.2">
      <c r="C67" s="221"/>
      <c r="D67" s="221"/>
      <c r="E67" s="271"/>
      <c r="F67" s="262"/>
      <c r="G67" s="214"/>
      <c r="H67" s="440"/>
      <c r="I67" s="270"/>
      <c r="J67" s="199"/>
      <c r="M67" s="199" t="s">
        <v>146</v>
      </c>
    </row>
    <row r="68" spans="2:13" ht="13.5" thickBot="1" x14ac:dyDescent="0.25">
      <c r="B68" s="425" t="s">
        <v>147</v>
      </c>
      <c r="C68" s="425"/>
      <c r="D68" s="425"/>
      <c r="E68" s="425"/>
      <c r="F68" s="425"/>
      <c r="G68" s="214"/>
      <c r="H68" s="273"/>
      <c r="I68" s="270"/>
      <c r="J68" s="199"/>
      <c r="M68" s="199" t="s">
        <v>148</v>
      </c>
    </row>
    <row r="69" spans="2:13" ht="13.5" thickBot="1" x14ac:dyDescent="0.25">
      <c r="B69" s="274" t="s">
        <v>149</v>
      </c>
      <c r="C69" s="275">
        <f>+F53</f>
        <v>3231.112411578948</v>
      </c>
      <c r="D69" s="275">
        <f>+D58</f>
        <v>930</v>
      </c>
      <c r="E69" s="276">
        <f>+C69/D69</f>
        <v>3.4743144210526324</v>
      </c>
      <c r="F69" s="214"/>
      <c r="G69" s="273"/>
      <c r="H69" s="216"/>
      <c r="I69" s="273"/>
      <c r="J69" s="199"/>
    </row>
    <row r="70" spans="2:13" x14ac:dyDescent="0.2">
      <c r="B70" s="277"/>
      <c r="C70" s="278"/>
      <c r="D70" s="279"/>
      <c r="E70" s="262"/>
      <c r="F70" s="214"/>
      <c r="G70" s="273"/>
      <c r="H70" s="216"/>
      <c r="I70" s="216"/>
      <c r="J70" s="199"/>
    </row>
    <row r="71" spans="2:13" x14ac:dyDescent="0.2">
      <c r="B71" s="274" t="s">
        <v>150</v>
      </c>
      <c r="C71" s="275">
        <f>SUM(F63:F64)</f>
        <v>4037.7267751951422</v>
      </c>
      <c r="D71" s="275">
        <f>+D58</f>
        <v>930</v>
      </c>
      <c r="E71" s="280">
        <f>+C71/D71</f>
        <v>4.3416416937582172</v>
      </c>
      <c r="F71" s="214"/>
      <c r="G71" s="273"/>
      <c r="H71" s="216"/>
      <c r="I71" s="216"/>
      <c r="J71" s="199"/>
    </row>
    <row r="72" spans="2:13" x14ac:dyDescent="0.2">
      <c r="B72" s="274"/>
      <c r="C72" s="275"/>
      <c r="D72" s="275"/>
      <c r="E72" s="280"/>
      <c r="F72" s="214"/>
      <c r="G72" s="273"/>
      <c r="H72" s="216"/>
      <c r="I72" s="216"/>
      <c r="J72" s="199"/>
    </row>
    <row r="73" spans="2:13" ht="13.5" thickBot="1" x14ac:dyDescent="0.25">
      <c r="B73" s="274" t="s">
        <v>151</v>
      </c>
      <c r="C73" s="275">
        <f>+F65</f>
        <v>385</v>
      </c>
      <c r="D73" s="275">
        <f>+D58</f>
        <v>930</v>
      </c>
      <c r="E73" s="280">
        <f>+C73/D73</f>
        <v>0.41397849462365593</v>
      </c>
      <c r="F73" s="214"/>
      <c r="G73" s="273"/>
      <c r="H73" s="216"/>
      <c r="I73" s="216"/>
      <c r="J73" s="199"/>
    </row>
    <row r="74" spans="2:13" ht="13.5" thickBot="1" x14ac:dyDescent="0.25">
      <c r="B74" s="274" t="s">
        <v>152</v>
      </c>
      <c r="C74" s="275">
        <f>+F56</f>
        <v>813.00575172971662</v>
      </c>
      <c r="D74" s="275">
        <f>+D73</f>
        <v>930</v>
      </c>
      <c r="E74" s="276">
        <f>+C74/D74</f>
        <v>0.87419973304270604</v>
      </c>
      <c r="F74" s="214"/>
      <c r="G74" s="273"/>
      <c r="H74" s="216"/>
      <c r="I74" s="216"/>
      <c r="J74" s="199"/>
    </row>
    <row r="75" spans="2:13" ht="13.5" thickBot="1" x14ac:dyDescent="0.25">
      <c r="B75" s="238"/>
      <c r="C75" s="239"/>
      <c r="D75" s="239"/>
      <c r="E75" s="280"/>
      <c r="F75" s="214"/>
      <c r="G75" s="273"/>
      <c r="H75" s="216"/>
      <c r="I75" s="216"/>
      <c r="J75" s="199"/>
    </row>
    <row r="76" spans="2:13" ht="13.5" thickBot="1" x14ac:dyDescent="0.25">
      <c r="B76" s="274" t="s">
        <v>153</v>
      </c>
      <c r="C76" s="275">
        <f>+F54</f>
        <v>741.99211538461532</v>
      </c>
      <c r="D76" s="275">
        <f>+D74</f>
        <v>930</v>
      </c>
      <c r="E76" s="276">
        <f>+C76/D76</f>
        <v>0.79784098428453265</v>
      </c>
      <c r="F76" s="214"/>
      <c r="G76" s="273"/>
      <c r="H76" s="216"/>
      <c r="I76" s="216"/>
      <c r="J76" s="216"/>
    </row>
    <row r="77" spans="2:13" ht="13.5" thickBot="1" x14ac:dyDescent="0.25">
      <c r="B77" s="238"/>
      <c r="C77" s="239"/>
      <c r="D77" s="239"/>
      <c r="E77" s="280"/>
      <c r="F77" s="214"/>
      <c r="G77" s="273"/>
      <c r="H77" s="216"/>
      <c r="I77" s="216"/>
    </row>
    <row r="78" spans="2:13" ht="13.5" thickBot="1" x14ac:dyDescent="0.25">
      <c r="B78" s="426" t="s">
        <v>154</v>
      </c>
      <c r="C78" s="427"/>
      <c r="D78" s="428"/>
      <c r="E78" s="276">
        <f>+E69+E74</f>
        <v>4.3485141540953389</v>
      </c>
      <c r="G78" s="214"/>
      <c r="H78" s="273"/>
      <c r="I78" s="216"/>
      <c r="J78" s="280"/>
    </row>
    <row r="79" spans="2:13" x14ac:dyDescent="0.2">
      <c r="I79" s="273"/>
      <c r="J79" s="199"/>
    </row>
    <row r="80" spans="2:13" ht="13.5" thickBot="1" x14ac:dyDescent="0.25">
      <c r="B80" s="425" t="s">
        <v>155</v>
      </c>
      <c r="C80" s="425"/>
      <c r="D80" s="425"/>
      <c r="E80" s="425"/>
      <c r="F80" s="425"/>
      <c r="G80" s="214"/>
      <c r="H80" s="273"/>
      <c r="J80" s="199"/>
    </row>
    <row r="81" spans="1:10" ht="13.5" thickBot="1" x14ac:dyDescent="0.25">
      <c r="B81" s="274" t="s">
        <v>149</v>
      </c>
      <c r="C81" s="275">
        <f>+C69</f>
        <v>3231.112411578948</v>
      </c>
      <c r="D81" s="275">
        <f>+D60</f>
        <v>1</v>
      </c>
      <c r="E81" s="276">
        <f>+C81/D81</f>
        <v>3231.112411578948</v>
      </c>
      <c r="F81" s="214"/>
      <c r="G81" s="273"/>
      <c r="H81" s="216"/>
      <c r="I81" s="273"/>
      <c r="J81" s="199"/>
    </row>
    <row r="82" spans="1:10" x14ac:dyDescent="0.2">
      <c r="B82" s="277"/>
      <c r="C82" s="278"/>
      <c r="D82" s="279"/>
      <c r="E82" s="262"/>
      <c r="F82" s="214"/>
      <c r="G82" s="273"/>
      <c r="H82" s="216"/>
      <c r="I82" s="216"/>
      <c r="J82" s="199"/>
    </row>
    <row r="83" spans="1:10" x14ac:dyDescent="0.2">
      <c r="B83" s="274" t="s">
        <v>150</v>
      </c>
      <c r="C83" s="275">
        <f>+C71</f>
        <v>4037.7267751951422</v>
      </c>
      <c r="D83" s="275">
        <f>+D60</f>
        <v>1</v>
      </c>
      <c r="E83" s="280">
        <f>+C83/D83</f>
        <v>4037.7267751951422</v>
      </c>
      <c r="F83" s="214"/>
      <c r="G83" s="273"/>
      <c r="H83" s="216"/>
      <c r="I83" s="216"/>
      <c r="J83" s="199"/>
    </row>
    <row r="84" spans="1:10" x14ac:dyDescent="0.2">
      <c r="B84" s="274"/>
      <c r="C84" s="275"/>
      <c r="D84" s="275"/>
      <c r="E84" s="280"/>
      <c r="F84" s="214"/>
      <c r="G84" s="273"/>
      <c r="H84" s="216"/>
      <c r="I84" s="216"/>
      <c r="J84" s="199"/>
    </row>
    <row r="85" spans="1:10" ht="13.5" thickBot="1" x14ac:dyDescent="0.25">
      <c r="B85" s="274" t="s">
        <v>152</v>
      </c>
      <c r="C85" s="275">
        <f>+C73</f>
        <v>385</v>
      </c>
      <c r="D85" s="275">
        <f>+D60</f>
        <v>1</v>
      </c>
      <c r="E85" s="280">
        <f>+C85/D85</f>
        <v>385</v>
      </c>
      <c r="F85" s="282"/>
      <c r="G85" s="272"/>
      <c r="H85" s="198"/>
      <c r="I85" s="216"/>
    </row>
    <row r="86" spans="1:10" ht="13.5" thickBot="1" x14ac:dyDescent="0.25">
      <c r="B86" s="274" t="s">
        <v>152</v>
      </c>
      <c r="C86" s="275">
        <f>+C74</f>
        <v>813.00575172971662</v>
      </c>
      <c r="D86" s="275">
        <f>+D85</f>
        <v>1</v>
      </c>
      <c r="E86" s="276">
        <f>+C86/D86</f>
        <v>813.00575172971662</v>
      </c>
      <c r="F86" s="281"/>
      <c r="G86" s="272"/>
      <c r="H86" s="198"/>
      <c r="I86" s="198"/>
    </row>
    <row r="87" spans="1:10" x14ac:dyDescent="0.2">
      <c r="I87" s="198"/>
    </row>
    <row r="88" spans="1:10" x14ac:dyDescent="0.2">
      <c r="A88" s="429"/>
      <c r="B88" s="429"/>
      <c r="C88" s="283"/>
      <c r="D88" s="283"/>
      <c r="E88" s="284"/>
      <c r="G88" s="285"/>
    </row>
    <row r="89" spans="1:10" x14ac:dyDescent="0.2">
      <c r="A89" s="217"/>
      <c r="B89" s="286"/>
      <c r="C89" s="287"/>
      <c r="D89" s="287"/>
      <c r="E89" s="288"/>
      <c r="G89" s="285"/>
    </row>
    <row r="90" spans="1:10" x14ac:dyDescent="0.2">
      <c r="A90" s="217"/>
      <c r="B90" s="286"/>
      <c r="C90" s="289"/>
      <c r="D90" s="289"/>
      <c r="E90" s="217"/>
      <c r="G90" s="285"/>
    </row>
    <row r="91" spans="1:10" x14ac:dyDescent="0.2">
      <c r="A91" s="217"/>
      <c r="B91" s="286"/>
      <c r="C91" s="290"/>
      <c r="D91" s="290"/>
      <c r="E91" s="217"/>
      <c r="G91" s="28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7853-9847-4931-8D3B-C103B345AF39}">
  <dimension ref="A1:Q91"/>
  <sheetViews>
    <sheetView topLeftCell="A19" workbookViewId="0">
      <selection activeCell="A26" sqref="A26:XFD33"/>
    </sheetView>
  </sheetViews>
  <sheetFormatPr baseColWidth="10" defaultColWidth="8.42578125" defaultRowHeight="12.75" x14ac:dyDescent="0.2"/>
  <cols>
    <col min="1" max="1" width="10" style="199" bestFit="1" customWidth="1"/>
    <col min="2" max="2" width="44.28515625" style="199" bestFit="1" customWidth="1"/>
    <col min="3" max="3" width="10.42578125" style="199" bestFit="1" customWidth="1"/>
    <col min="4" max="4" width="10.42578125" style="199" customWidth="1"/>
    <col min="5" max="5" width="11" style="199" customWidth="1"/>
    <col min="6" max="6" width="9.5703125" style="199" bestFit="1" customWidth="1"/>
    <col min="7" max="7" width="10.85546875" style="281" customWidth="1"/>
    <col min="8" max="8" width="10.42578125" style="272" bestFit="1" customWidth="1"/>
    <col min="9" max="9" width="4.5703125" style="272" customWidth="1"/>
    <col min="10" max="10" width="1.85546875" style="198" customWidth="1"/>
    <col min="11" max="11" width="7" style="199" bestFit="1" customWidth="1"/>
    <col min="12" max="12" width="6.28515625" style="199" customWidth="1"/>
    <col min="13" max="13" width="20.42578125" style="199" customWidth="1"/>
    <col min="14" max="14" width="6.42578125" style="199" bestFit="1" customWidth="1"/>
    <col min="15" max="16" width="8.42578125" style="199"/>
    <col min="17" max="17" width="3.28515625" style="199" customWidth="1"/>
    <col min="18" max="16384" width="8.42578125" style="199"/>
  </cols>
  <sheetData>
    <row r="1" spans="1:10" ht="27.75" customHeight="1" x14ac:dyDescent="0.2">
      <c r="A1" s="194"/>
      <c r="B1" s="194"/>
      <c r="C1" s="194"/>
      <c r="D1" s="194"/>
      <c r="E1" s="195" t="s">
        <v>105</v>
      </c>
      <c r="F1" s="196" t="s">
        <v>106</v>
      </c>
      <c r="G1" s="196" t="s">
        <v>107</v>
      </c>
      <c r="H1" s="196" t="s">
        <v>108</v>
      </c>
      <c r="I1" s="197"/>
    </row>
    <row r="2" spans="1:10" ht="30.75" customHeight="1" x14ac:dyDescent="0.2">
      <c r="A2" s="194"/>
      <c r="B2" s="194"/>
      <c r="C2" s="194"/>
      <c r="D2" s="194"/>
      <c r="E2" s="200">
        <f>IFERROR(O62,"")</f>
        <v>3330.566736623377</v>
      </c>
      <c r="F2" s="200">
        <f>IFERROR(H53,"")</f>
        <v>2592.3473600000002</v>
      </c>
      <c r="G2" s="200">
        <f>IFERROR(H54,"")</f>
        <v>4.351</v>
      </c>
      <c r="H2" s="200">
        <f>IFERROR(H56,"")</f>
        <v>400.76499999999999</v>
      </c>
      <c r="I2" s="201"/>
    </row>
    <row r="3" spans="1:10" ht="15" customHeight="1" x14ac:dyDescent="0.2">
      <c r="A3" s="194"/>
      <c r="B3" s="194"/>
      <c r="C3" s="194"/>
      <c r="D3" s="194"/>
      <c r="E3" s="194"/>
      <c r="F3" s="202"/>
      <c r="G3" s="202"/>
      <c r="H3" s="202"/>
      <c r="I3" s="202"/>
    </row>
    <row r="4" spans="1:10" ht="24.75" customHeight="1" thickBot="1" x14ac:dyDescent="0.25">
      <c r="A4" s="451"/>
      <c r="B4" s="451"/>
      <c r="C4" s="451"/>
      <c r="D4" s="451"/>
      <c r="E4" s="451"/>
      <c r="F4" s="451"/>
      <c r="G4" s="451"/>
      <c r="H4" s="451"/>
      <c r="I4" s="203"/>
    </row>
    <row r="5" spans="1:10" ht="19.5" customHeight="1" thickBot="1" x14ac:dyDescent="0.25">
      <c r="A5" s="452" t="s">
        <v>109</v>
      </c>
      <c r="B5" s="453"/>
      <c r="C5" s="453"/>
      <c r="D5" s="453"/>
      <c r="E5" s="453"/>
      <c r="F5" s="453"/>
      <c r="G5" s="453"/>
      <c r="H5" s="454"/>
      <c r="I5" s="204"/>
    </row>
    <row r="6" spans="1:10" ht="19.5" thickBot="1" x14ac:dyDescent="0.25">
      <c r="A6" s="204"/>
      <c r="B6" s="204"/>
      <c r="C6" s="204"/>
      <c r="D6" s="204"/>
      <c r="E6" s="204"/>
      <c r="F6" s="455" t="s">
        <v>110</v>
      </c>
      <c r="G6" s="455"/>
      <c r="H6" s="205">
        <f ca="1">TODAY()</f>
        <v>45901</v>
      </c>
      <c r="I6" s="205"/>
    </row>
    <row r="7" spans="1:10" ht="26.25" hidden="1" thickBot="1" x14ac:dyDescent="0.25">
      <c r="A7" s="206" t="s">
        <v>111</v>
      </c>
      <c r="B7" s="207" t="s">
        <v>112</v>
      </c>
      <c r="C7" s="207" t="s">
        <v>111</v>
      </c>
      <c r="D7" s="208" t="s">
        <v>113</v>
      </c>
      <c r="E7" s="208" t="s">
        <v>114</v>
      </c>
      <c r="F7" s="208" t="s">
        <v>115</v>
      </c>
      <c r="G7" s="208" t="s">
        <v>116</v>
      </c>
      <c r="H7" s="209" t="s">
        <v>117</v>
      </c>
      <c r="I7" s="210"/>
    </row>
    <row r="8" spans="1:10" ht="13.5" hidden="1" x14ac:dyDescent="0.25">
      <c r="A8" s="211"/>
      <c r="B8" s="199" t="str">
        <f>IFERROR(VLOOKUP(H8,'[1]Consolidado MP Planta'!$A$2:$M$823,3,0),"")</f>
        <v/>
      </c>
      <c r="C8" s="212">
        <f>+A8</f>
        <v>0</v>
      </c>
      <c r="D8" s="213" t="str">
        <f>IFERROR(VLOOKUP(H8,'[1]Consolidado MP Planta'!$A$2:$M$823,13,0),"")</f>
        <v/>
      </c>
      <c r="E8" s="213" t="str">
        <f>IFERROR(VLOOKUP(H8,'[1]Consolidado MP Planta'!$A$2:$M$823,12,0),"")</f>
        <v/>
      </c>
      <c r="F8" s="213" t="str">
        <f>IFERROR(C8*E8,"")</f>
        <v/>
      </c>
      <c r="G8" s="214" t="str">
        <f t="shared" ref="G8:G14" si="0">IFERROR(F8/$F$66,"")</f>
        <v/>
      </c>
      <c r="H8" s="215"/>
      <c r="I8" s="215"/>
      <c r="J8" s="216"/>
    </row>
    <row r="9" spans="1:10" ht="13.5" hidden="1" x14ac:dyDescent="0.25">
      <c r="A9" s="211"/>
      <c r="B9" s="199" t="str">
        <f>IFERROR(VLOOKUP(H9,'[1]Consolidado MP Planta'!$A$2:$M$823,3,0),"")</f>
        <v/>
      </c>
      <c r="C9" s="212">
        <f t="shared" ref="C9:C14" si="1">+A9</f>
        <v>0</v>
      </c>
      <c r="D9" s="213" t="str">
        <f>IFERROR(VLOOKUP(H9,'[1]Consolidado MP Planta'!$A$2:$M$823,13,0),"")</f>
        <v/>
      </c>
      <c r="E9" s="213" t="str">
        <f>IFERROR(VLOOKUP(H9,'[1]Consolidado MP Planta'!$A$2:$M$823,12,0),"")</f>
        <v/>
      </c>
      <c r="F9" s="213" t="str">
        <f t="shared" ref="F9:F14" si="2">IFERROR(C9*E9,"")</f>
        <v/>
      </c>
      <c r="G9" s="214" t="str">
        <f t="shared" si="0"/>
        <v/>
      </c>
      <c r="H9" s="215"/>
      <c r="I9" s="215"/>
      <c r="J9" s="216"/>
    </row>
    <row r="10" spans="1:10" ht="13.5" hidden="1" x14ac:dyDescent="0.25">
      <c r="A10" s="211"/>
      <c r="B10" s="199" t="str">
        <f>IFERROR(VLOOKUP(H10,'[1]Consolidado MP Planta'!$A$2:$M$823,3,0),"")</f>
        <v/>
      </c>
      <c r="C10" s="212">
        <f t="shared" si="1"/>
        <v>0</v>
      </c>
      <c r="D10" s="213" t="str">
        <f>IFERROR(VLOOKUP(H10,'[1]Consolidado MP Planta'!$A$2:$M$823,13,0),"")</f>
        <v/>
      </c>
      <c r="E10" s="213" t="str">
        <f>IFERROR(VLOOKUP(H10,'[1]Consolidado MP Planta'!$A$2:$M$823,12,0),"")</f>
        <v/>
      </c>
      <c r="F10" s="213" t="str">
        <f t="shared" si="2"/>
        <v/>
      </c>
      <c r="G10" s="214" t="str">
        <f t="shared" si="0"/>
        <v/>
      </c>
      <c r="H10" s="215"/>
      <c r="I10" s="215"/>
      <c r="J10" s="216"/>
    </row>
    <row r="11" spans="1:10" ht="13.5" hidden="1" x14ac:dyDescent="0.25">
      <c r="A11" s="211"/>
      <c r="B11" s="199" t="str">
        <f>IFERROR(VLOOKUP(H11,'[1]Consolidado MP Planta'!$A$2:$M$823,3,0),"")</f>
        <v/>
      </c>
      <c r="C11" s="212">
        <f t="shared" si="1"/>
        <v>0</v>
      </c>
      <c r="D11" s="213" t="str">
        <f>IFERROR(VLOOKUP(H11,'[1]Consolidado MP Planta'!$A$2:$M$823,13,0),"")</f>
        <v/>
      </c>
      <c r="E11" s="213" t="str">
        <f>IFERROR(VLOOKUP(H11,'[1]Consolidado MP Planta'!$A$2:$M$823,12,0),"")</f>
        <v/>
      </c>
      <c r="F11" s="213" t="str">
        <f t="shared" si="2"/>
        <v/>
      </c>
      <c r="G11" s="214" t="str">
        <f t="shared" si="0"/>
        <v/>
      </c>
      <c r="H11" s="215"/>
      <c r="I11" s="215"/>
      <c r="J11" s="216"/>
    </row>
    <row r="12" spans="1:10" ht="13.5" hidden="1" x14ac:dyDescent="0.25">
      <c r="A12" s="211"/>
      <c r="B12" s="199" t="str">
        <f>IFERROR(VLOOKUP(H12,'[1]Consolidado MP Planta'!$A$2:$M$823,3,0),"")</f>
        <v/>
      </c>
      <c r="C12" s="212">
        <f t="shared" si="1"/>
        <v>0</v>
      </c>
      <c r="D12" s="213" t="str">
        <f>IFERROR(VLOOKUP(H12,'[1]Consolidado MP Planta'!$A$2:$M$823,13,0),"")</f>
        <v/>
      </c>
      <c r="E12" s="213" t="str">
        <f>IFERROR(VLOOKUP(H12,'[1]Consolidado MP Planta'!$A$2:$M$823,12,0),"")</f>
        <v/>
      </c>
      <c r="F12" s="213" t="str">
        <f t="shared" si="2"/>
        <v/>
      </c>
      <c r="G12" s="214" t="str">
        <f t="shared" si="0"/>
        <v/>
      </c>
      <c r="H12" s="215"/>
      <c r="I12" s="215"/>
      <c r="J12" s="216"/>
    </row>
    <row r="13" spans="1:10" ht="13.5" hidden="1" x14ac:dyDescent="0.25">
      <c r="A13" s="211"/>
      <c r="B13" s="199" t="str">
        <f>IFERROR(VLOOKUP(H13,'[1]Consolidado MP Planta'!$A$2:$M$823,3,0),"")</f>
        <v/>
      </c>
      <c r="C13" s="212">
        <f t="shared" si="1"/>
        <v>0</v>
      </c>
      <c r="D13" s="213" t="str">
        <f>IFERROR(VLOOKUP(H13,'[1]Consolidado MP Planta'!$A$2:$M$823,13,0),"")</f>
        <v/>
      </c>
      <c r="E13" s="213" t="str">
        <f>IFERROR(VLOOKUP(H13,'[1]Consolidado MP Planta'!$A$2:$M$823,12,0),"")</f>
        <v/>
      </c>
      <c r="F13" s="213" t="str">
        <f t="shared" si="2"/>
        <v/>
      </c>
      <c r="G13" s="214" t="str">
        <f t="shared" si="0"/>
        <v/>
      </c>
      <c r="H13" s="215"/>
      <c r="I13" s="215"/>
      <c r="J13" s="216"/>
    </row>
    <row r="14" spans="1:10" ht="13.5" hidden="1" x14ac:dyDescent="0.25">
      <c r="A14" s="211"/>
      <c r="B14" s="199" t="str">
        <f>IFERROR(VLOOKUP(H14,'[1]Consolidado MP Planta'!$A$2:$M$823,3,0),"")</f>
        <v/>
      </c>
      <c r="C14" s="212">
        <f t="shared" si="1"/>
        <v>0</v>
      </c>
      <c r="D14" s="213" t="str">
        <f>IFERROR(VLOOKUP(H14,'[1]Consolidado MP Planta'!$A$2:$M$823,13,0),"")</f>
        <v/>
      </c>
      <c r="E14" s="213" t="str">
        <f>IFERROR(VLOOKUP(H14,'[1]Consolidado MP Planta'!$A$2:$M$823,12,0),"")</f>
        <v/>
      </c>
      <c r="F14" s="213" t="str">
        <f t="shared" si="2"/>
        <v/>
      </c>
      <c r="G14" s="214" t="str">
        <f t="shared" si="0"/>
        <v/>
      </c>
      <c r="H14" s="215"/>
      <c r="I14" s="215"/>
      <c r="J14" s="216"/>
    </row>
    <row r="15" spans="1:10" ht="14.25" hidden="1" thickBot="1" x14ac:dyDescent="0.3">
      <c r="A15" s="211"/>
      <c r="B15" s="199" t="str">
        <f>IFERROR(VLOOKUP(H15,'[2]ARTICULOS MP PLANTA'!$A$2:$G$589,2,0),"")</f>
        <v/>
      </c>
      <c r="C15" s="212"/>
      <c r="D15" s="213"/>
      <c r="E15" s="213"/>
      <c r="F15" s="213"/>
      <c r="G15" s="214"/>
      <c r="H15" s="215"/>
      <c r="I15" s="215"/>
      <c r="J15" s="216"/>
    </row>
    <row r="16" spans="1:10" ht="26.25" thickBot="1" x14ac:dyDescent="0.25">
      <c r="A16" s="206" t="s">
        <v>111</v>
      </c>
      <c r="B16" s="207" t="s">
        <v>118</v>
      </c>
      <c r="C16" s="207" t="s">
        <v>111</v>
      </c>
      <c r="D16" s="208" t="s">
        <v>113</v>
      </c>
      <c r="E16" s="208" t="s">
        <v>114</v>
      </c>
      <c r="F16" s="208" t="s">
        <v>115</v>
      </c>
      <c r="G16" s="208" t="s">
        <v>116</v>
      </c>
      <c r="H16" s="209" t="s">
        <v>117</v>
      </c>
      <c r="I16" s="210"/>
      <c r="J16" s="216"/>
    </row>
    <row r="17" spans="1:12" ht="13.5" x14ac:dyDescent="0.25">
      <c r="A17" s="211">
        <v>1</v>
      </c>
      <c r="B17" s="199" t="s">
        <v>158</v>
      </c>
      <c r="C17" s="212">
        <f>+A17</f>
        <v>1</v>
      </c>
      <c r="D17" s="212" t="s">
        <v>159</v>
      </c>
      <c r="E17" s="213">
        <v>522.51</v>
      </c>
      <c r="F17" s="213">
        <f>IFERROR(E17*C17,"")</f>
        <v>522.51</v>
      </c>
      <c r="G17" s="214">
        <f t="shared" ref="G17:G24" si="3">IFERROR(F17/$F$66,"")</f>
        <v>0.17672991471754027</v>
      </c>
      <c r="H17" s="215" t="s">
        <v>157</v>
      </c>
      <c r="I17" s="215"/>
      <c r="J17" s="216"/>
    </row>
    <row r="18" spans="1:12" ht="13.5" x14ac:dyDescent="0.25">
      <c r="A18" s="211">
        <v>150</v>
      </c>
      <c r="B18" s="199" t="s">
        <v>69</v>
      </c>
      <c r="C18" s="212">
        <f t="shared" ref="C18:C24" si="4">+A18</f>
        <v>150</v>
      </c>
      <c r="D18" s="212" t="s">
        <v>156</v>
      </c>
      <c r="E18" s="213">
        <f>+'Costo Ganache '!E69</f>
        <v>4.5902920000000007</v>
      </c>
      <c r="F18" s="213">
        <f t="shared" ref="F18:F24" si="5">IFERROR(E18*C18,"")</f>
        <v>688.54380000000015</v>
      </c>
      <c r="G18" s="214">
        <f t="shared" si="3"/>
        <v>0.23288795822719399</v>
      </c>
      <c r="H18" s="215" t="s">
        <v>161</v>
      </c>
      <c r="I18" s="215"/>
      <c r="J18" s="216"/>
    </row>
    <row r="19" spans="1:12" ht="13.5" x14ac:dyDescent="0.25">
      <c r="A19" s="211">
        <v>140</v>
      </c>
      <c r="B19" s="199" t="s">
        <v>55</v>
      </c>
      <c r="C19" s="212">
        <f>+A19</f>
        <v>140</v>
      </c>
      <c r="D19" s="212" t="s">
        <v>156</v>
      </c>
      <c r="E19" s="213">
        <v>1.1000000000000001</v>
      </c>
      <c r="F19" s="213">
        <f>IFERROR(E19*C19,"")</f>
        <v>154</v>
      </c>
      <c r="G19" s="214">
        <f t="shared" si="3"/>
        <v>5.2087820073302336E-2</v>
      </c>
      <c r="H19" s="215" t="s">
        <v>54</v>
      </c>
      <c r="I19" s="215"/>
      <c r="J19" s="216"/>
    </row>
    <row r="20" spans="1:12" ht="13.5" x14ac:dyDescent="0.25">
      <c r="A20" s="211">
        <v>240</v>
      </c>
      <c r="B20" s="199" t="s">
        <v>56</v>
      </c>
      <c r="C20" s="212">
        <f>+A20</f>
        <v>240</v>
      </c>
      <c r="D20" s="212" t="s">
        <v>156</v>
      </c>
      <c r="E20" s="213">
        <f>+'[3]Costo Mousse Pistacho'!$E$69</f>
        <v>4.4080440000000003</v>
      </c>
      <c r="F20" s="213">
        <f>IFERROR(E20*C20,"")</f>
        <v>1057.93056</v>
      </c>
      <c r="G20" s="214">
        <f t="shared" si="3"/>
        <v>0.35782660168394792</v>
      </c>
      <c r="H20" s="215" t="s">
        <v>161</v>
      </c>
      <c r="I20" s="215"/>
      <c r="J20" s="216"/>
    </row>
    <row r="21" spans="1:12" ht="13.5" x14ac:dyDescent="0.25">
      <c r="A21" s="211">
        <v>40</v>
      </c>
      <c r="B21" s="199" t="s">
        <v>49</v>
      </c>
      <c r="C21" s="212">
        <f>+A21</f>
        <v>40</v>
      </c>
      <c r="D21" s="212" t="s">
        <v>156</v>
      </c>
      <c r="E21" s="213">
        <v>2.33</v>
      </c>
      <c r="F21" s="213">
        <f>IFERROR(E21*C21,"")</f>
        <v>93.2</v>
      </c>
      <c r="G21" s="214">
        <f t="shared" si="3"/>
        <v>3.1523278122284268E-2</v>
      </c>
      <c r="H21" s="215" t="s">
        <v>48</v>
      </c>
      <c r="I21" s="215"/>
      <c r="J21" s="216"/>
    </row>
    <row r="22" spans="1:12" ht="13.5" x14ac:dyDescent="0.25">
      <c r="A22" s="211">
        <v>0.1</v>
      </c>
      <c r="B22" s="199" t="s">
        <v>58</v>
      </c>
      <c r="C22" s="212">
        <f t="shared" si="4"/>
        <v>0.1</v>
      </c>
      <c r="D22" s="212" t="s">
        <v>159</v>
      </c>
      <c r="E22" s="213">
        <v>761.63</v>
      </c>
      <c r="F22" s="213">
        <f t="shared" si="5"/>
        <v>76.162999999999997</v>
      </c>
      <c r="G22" s="214">
        <f t="shared" si="3"/>
        <v>2.5760809352226788E-2</v>
      </c>
      <c r="H22" s="215" t="s">
        <v>57</v>
      </c>
      <c r="I22" s="215"/>
      <c r="J22" s="216"/>
    </row>
    <row r="23" spans="1:12" ht="13.5" hidden="1" x14ac:dyDescent="0.25">
      <c r="A23" s="211"/>
      <c r="B23" s="199" t="str">
        <f>IFERROR(VLOOKUP(H23,[1]SEMIELABORADOS!$A$2:$M$6000,2,0),"")</f>
        <v/>
      </c>
      <c r="C23" s="212">
        <f t="shared" si="4"/>
        <v>0</v>
      </c>
      <c r="D23" s="212" t="str">
        <f>IFERROR(VLOOKUP(H23,[1]SEMIELABORADOS!$A$2:$M$6000,6,0),"")</f>
        <v/>
      </c>
      <c r="E23" s="213" t="str">
        <f>IFERROR(VLOOKUP(H23,[1]SEMIELABORADOS!$A$2:$H$65536,8,0),"")</f>
        <v/>
      </c>
      <c r="F23" s="213" t="str">
        <f t="shared" si="5"/>
        <v/>
      </c>
      <c r="G23" s="214" t="str">
        <f t="shared" si="3"/>
        <v/>
      </c>
      <c r="H23" s="215"/>
      <c r="I23" s="215"/>
      <c r="J23" s="216"/>
    </row>
    <row r="24" spans="1:12" ht="13.5" hidden="1" x14ac:dyDescent="0.25">
      <c r="A24" s="211"/>
      <c r="B24" s="199" t="str">
        <f>IFERROR(VLOOKUP(H24,[1]SEMIELABORADOS!$A$2:$M$6000,2,0),"")</f>
        <v/>
      </c>
      <c r="C24" s="212">
        <f t="shared" si="4"/>
        <v>0</v>
      </c>
      <c r="D24" s="212" t="str">
        <f>IFERROR(VLOOKUP(H24,[1]SEMIELABORADOS!$A$2:$M$6000,6,0),"")</f>
        <v/>
      </c>
      <c r="E24" s="213" t="str">
        <f>IFERROR(VLOOKUP(H24,[1]SEMIELABORADOS!$A$2:$H$65536,8,0),"")</f>
        <v/>
      </c>
      <c r="F24" s="213" t="str">
        <f t="shared" si="5"/>
        <v/>
      </c>
      <c r="G24" s="214" t="str">
        <f t="shared" si="3"/>
        <v/>
      </c>
      <c r="H24" s="215"/>
      <c r="I24" s="215"/>
      <c r="J24" s="216"/>
    </row>
    <row r="25" spans="1:12" ht="14.25" thickBot="1" x14ac:dyDescent="0.3">
      <c r="A25" s="211"/>
      <c r="C25" s="212"/>
      <c r="D25" s="212"/>
      <c r="E25" s="213"/>
      <c r="F25" s="213"/>
      <c r="G25" s="214"/>
      <c r="H25" s="215"/>
      <c r="I25" s="215"/>
      <c r="J25" s="216"/>
    </row>
    <row r="26" spans="1:12" ht="26.25" hidden="1" thickBot="1" x14ac:dyDescent="0.25">
      <c r="A26" s="206" t="s">
        <v>111</v>
      </c>
      <c r="B26" s="207" t="s">
        <v>18</v>
      </c>
      <c r="C26" s="207" t="s">
        <v>111</v>
      </c>
      <c r="D26" s="208" t="s">
        <v>113</v>
      </c>
      <c r="E26" s="208" t="s">
        <v>114</v>
      </c>
      <c r="F26" s="208" t="s">
        <v>115</v>
      </c>
      <c r="G26" s="208" t="s">
        <v>116</v>
      </c>
      <c r="H26" s="209" t="s">
        <v>117</v>
      </c>
      <c r="I26" s="210"/>
    </row>
    <row r="27" spans="1:12" ht="13.5" hidden="1" x14ac:dyDescent="0.25">
      <c r="A27" s="211">
        <v>0</v>
      </c>
      <c r="B27" s="217" t="str">
        <f>IFERROR(VLOOKUP(H27,'[1]Consolidado MP Planta'!$A$2:$M$823,3,0),"")</f>
        <v/>
      </c>
      <c r="C27" s="212">
        <f t="shared" ref="C27:C32" si="6">+A27</f>
        <v>0</v>
      </c>
      <c r="D27" s="213" t="str">
        <f>IFERROR(VLOOKUP(H27,'[1]Consolidado MP Planta'!$A$2:$M$823,13,0),"")</f>
        <v/>
      </c>
      <c r="E27" s="213" t="str">
        <f>IFERROR(VLOOKUP(H27,'[1]Consolidado MP Planta'!$A$2:$M$823,12,0),"")</f>
        <v/>
      </c>
      <c r="F27" s="213" t="str">
        <f t="shared" ref="F27:F32" si="7">IFERROR(C27*E27,"")</f>
        <v/>
      </c>
      <c r="G27" s="214" t="str">
        <f t="shared" ref="G27:G32" si="8">IFERROR(F27/$F$66,"")</f>
        <v/>
      </c>
      <c r="H27" s="218"/>
      <c r="I27" s="218"/>
      <c r="J27" s="216"/>
      <c r="K27" s="445"/>
      <c r="L27" s="445"/>
    </row>
    <row r="28" spans="1:12" ht="13.5" hidden="1" x14ac:dyDescent="0.25">
      <c r="A28" s="211"/>
      <c r="B28" s="217" t="str">
        <f>IFERROR(VLOOKUP(H28,'[1]Consolidado MP Planta'!$A$2:$M$823,3,0),"")</f>
        <v/>
      </c>
      <c r="C28" s="212">
        <f t="shared" si="6"/>
        <v>0</v>
      </c>
      <c r="D28" s="213" t="str">
        <f>IFERROR(VLOOKUP(H28,'[1]Consolidado MP Planta'!$A$2:$M$823,13,0),"")</f>
        <v/>
      </c>
      <c r="E28" s="213" t="str">
        <f>IFERROR(VLOOKUP(H28,'[1]Consolidado MP Planta'!$A$2:$M$823,12,0),"")</f>
        <v/>
      </c>
      <c r="F28" s="213" t="str">
        <f t="shared" si="7"/>
        <v/>
      </c>
      <c r="G28" s="214" t="str">
        <f t="shared" si="8"/>
        <v/>
      </c>
      <c r="H28" s="218"/>
      <c r="I28" s="218"/>
      <c r="J28" s="216"/>
      <c r="K28" s="445"/>
      <c r="L28" s="445"/>
    </row>
    <row r="29" spans="1:12" ht="13.5" hidden="1" x14ac:dyDescent="0.25">
      <c r="A29" s="211"/>
      <c r="B29" s="217" t="str">
        <f>IFERROR(VLOOKUP(H29,'[1]Consolidado MP Planta'!$A$2:$M$823,3,0),"")</f>
        <v/>
      </c>
      <c r="C29" s="212">
        <f t="shared" si="6"/>
        <v>0</v>
      </c>
      <c r="D29" s="213" t="str">
        <f>IFERROR(VLOOKUP(H29,'[1]Consolidado MP Planta'!$A$2:$M$823,13,0),"")</f>
        <v/>
      </c>
      <c r="E29" s="213" t="str">
        <f>IFERROR(VLOOKUP(H29,'[1]Consolidado MP Planta'!$A$2:$M$823,12,0),"")</f>
        <v/>
      </c>
      <c r="F29" s="213" t="str">
        <f t="shared" si="7"/>
        <v/>
      </c>
      <c r="G29" s="214" t="str">
        <f t="shared" si="8"/>
        <v/>
      </c>
      <c r="H29" s="218"/>
      <c r="I29" s="218"/>
      <c r="J29" s="216"/>
      <c r="K29" s="445"/>
      <c r="L29" s="445"/>
    </row>
    <row r="30" spans="1:12" ht="13.5" hidden="1" x14ac:dyDescent="0.25">
      <c r="A30" s="211"/>
      <c r="B30" s="217" t="str">
        <f>IFERROR(VLOOKUP(H30,'[1]Consolidado MP Planta'!$A$2:$M$823,3,0),"")</f>
        <v/>
      </c>
      <c r="C30" s="212">
        <f t="shared" si="6"/>
        <v>0</v>
      </c>
      <c r="D30" s="213" t="str">
        <f>IFERROR(VLOOKUP(H30,'[1]Consolidado MP Planta'!$A$2:$M$823,13,0),"")</f>
        <v/>
      </c>
      <c r="E30" s="213" t="str">
        <f>IFERROR(VLOOKUP(H30,'[1]Consolidado MP Planta'!$A$2:$M$823,12,0),"")</f>
        <v/>
      </c>
      <c r="F30" s="213" t="str">
        <f t="shared" si="7"/>
        <v/>
      </c>
      <c r="G30" s="214" t="str">
        <f t="shared" si="8"/>
        <v/>
      </c>
      <c r="H30" s="218"/>
      <c r="I30" s="218"/>
      <c r="J30" s="216"/>
      <c r="K30" s="445"/>
      <c r="L30" s="445"/>
    </row>
    <row r="31" spans="1:12" ht="13.5" hidden="1" x14ac:dyDescent="0.25">
      <c r="A31" s="211"/>
      <c r="B31" s="217" t="str">
        <f>IFERROR(VLOOKUP(H31,'[1]Consolidado MP Planta'!$A$2:$M$823,3,0),"")</f>
        <v/>
      </c>
      <c r="C31" s="212">
        <f t="shared" si="6"/>
        <v>0</v>
      </c>
      <c r="D31" s="213" t="str">
        <f>IFERROR(VLOOKUP(H31,'[1]Consolidado MP Planta'!$A$2:$M$823,13,0),"")</f>
        <v/>
      </c>
      <c r="E31" s="213" t="str">
        <f>IFERROR(VLOOKUP(H31,'[1]Consolidado MP Planta'!$A$2:$M$823,12,0),"")</f>
        <v/>
      </c>
      <c r="F31" s="213" t="str">
        <f t="shared" si="7"/>
        <v/>
      </c>
      <c r="G31" s="214" t="str">
        <f t="shared" si="8"/>
        <v/>
      </c>
      <c r="H31" s="218"/>
      <c r="I31" s="218"/>
      <c r="J31" s="216"/>
      <c r="K31" s="219"/>
      <c r="L31" s="220"/>
    </row>
    <row r="32" spans="1:12" ht="13.5" hidden="1" x14ac:dyDescent="0.25">
      <c r="A32" s="211"/>
      <c r="B32" s="217" t="str">
        <f>IFERROR(VLOOKUP(H32,'[1]Consolidado MP Planta'!$A$2:$M$823,3,0),"")</f>
        <v/>
      </c>
      <c r="C32" s="212">
        <f t="shared" si="6"/>
        <v>0</v>
      </c>
      <c r="D32" s="213" t="str">
        <f>IFERROR(VLOOKUP(H32,'[1]Consolidado MP Planta'!$A$2:$M$823,13,0),"")</f>
        <v/>
      </c>
      <c r="E32" s="213" t="str">
        <f>IFERROR(VLOOKUP(H32,'[1]Consolidado MP Planta'!$A$2:$M$823,12,0),"")</f>
        <v/>
      </c>
      <c r="F32" s="213" t="str">
        <f t="shared" si="7"/>
        <v/>
      </c>
      <c r="G32" s="214" t="str">
        <f t="shared" si="8"/>
        <v/>
      </c>
      <c r="H32" s="218"/>
      <c r="I32" s="218"/>
      <c r="J32" s="216"/>
    </row>
    <row r="33" spans="1:13" ht="14.25" hidden="1" thickBot="1" x14ac:dyDescent="0.3">
      <c r="A33" s="211"/>
      <c r="B33" s="217"/>
      <c r="C33" s="212"/>
      <c r="D33" s="213"/>
      <c r="E33" s="213"/>
      <c r="F33" s="213"/>
      <c r="G33" s="214"/>
      <c r="H33" s="218"/>
      <c r="I33" s="218"/>
      <c r="J33" s="216"/>
    </row>
    <row r="34" spans="1:13" ht="26.25" thickBot="1" x14ac:dyDescent="0.25">
      <c r="A34" s="206" t="s">
        <v>111</v>
      </c>
      <c r="B34" s="207" t="s">
        <v>119</v>
      </c>
      <c r="C34" s="207" t="s">
        <v>111</v>
      </c>
      <c r="D34" s="208" t="s">
        <v>113</v>
      </c>
      <c r="E34" s="208" t="s">
        <v>114</v>
      </c>
      <c r="F34" s="208" t="s">
        <v>115</v>
      </c>
      <c r="G34" s="208" t="s">
        <v>116</v>
      </c>
      <c r="H34" s="209" t="s">
        <v>117</v>
      </c>
      <c r="I34" s="218"/>
      <c r="J34" s="216"/>
    </row>
    <row r="35" spans="1:13" ht="13.5" x14ac:dyDescent="0.25">
      <c r="A35" s="211">
        <f>+A17</f>
        <v>1</v>
      </c>
      <c r="B35" s="217" t="s">
        <v>158</v>
      </c>
      <c r="C35" s="212">
        <f>+A35</f>
        <v>1</v>
      </c>
      <c r="D35" s="213" t="s">
        <v>160</v>
      </c>
      <c r="E35" s="213">
        <v>0.35</v>
      </c>
      <c r="F35" s="213">
        <f>IFERROR(E35*C35,"")</f>
        <v>0.35</v>
      </c>
      <c r="G35" s="214">
        <f t="shared" ref="G35:G41" si="9">IFERROR(F35/$F$66,"")</f>
        <v>1.183814092575053E-4</v>
      </c>
      <c r="H35" s="215" t="s">
        <v>157</v>
      </c>
      <c r="I35" s="218"/>
      <c r="J35" s="216"/>
    </row>
    <row r="36" spans="1:13" ht="13.5" x14ac:dyDescent="0.25">
      <c r="A36" s="211">
        <f t="shared" ref="A36:A41" si="10">+A18</f>
        <v>150</v>
      </c>
      <c r="B36" s="217" t="s">
        <v>69</v>
      </c>
      <c r="C36" s="212">
        <f t="shared" ref="C36:C41" si="11">+A36</f>
        <v>150</v>
      </c>
      <c r="D36" s="213" t="s">
        <v>156</v>
      </c>
      <c r="E36" s="213">
        <f>+'Costo Ganache '!E76</f>
        <v>0</v>
      </c>
      <c r="F36" s="213">
        <f t="shared" ref="F36:F41" si="12">IFERROR(E36*C36,"")</f>
        <v>0</v>
      </c>
      <c r="G36" s="214">
        <f t="shared" si="9"/>
        <v>0</v>
      </c>
      <c r="H36" s="218" t="s">
        <v>161</v>
      </c>
      <c r="I36" s="218"/>
      <c r="J36" s="216"/>
    </row>
    <row r="37" spans="1:13" ht="13.5" x14ac:dyDescent="0.25">
      <c r="A37" s="211">
        <f t="shared" si="10"/>
        <v>140</v>
      </c>
      <c r="B37" s="217" t="s">
        <v>55</v>
      </c>
      <c r="C37" s="212">
        <f t="shared" si="11"/>
        <v>140</v>
      </c>
      <c r="D37" s="213" t="s">
        <v>156</v>
      </c>
      <c r="E37" s="213">
        <v>0</v>
      </c>
      <c r="F37" s="213">
        <f t="shared" si="12"/>
        <v>0</v>
      </c>
      <c r="G37" s="214">
        <f t="shared" si="9"/>
        <v>0</v>
      </c>
      <c r="H37" s="218" t="s">
        <v>54</v>
      </c>
      <c r="I37" s="218"/>
      <c r="J37" s="216"/>
    </row>
    <row r="38" spans="1:13" ht="13.5" x14ac:dyDescent="0.25">
      <c r="A38" s="211">
        <f t="shared" si="10"/>
        <v>240</v>
      </c>
      <c r="B38" s="217" t="s">
        <v>56</v>
      </c>
      <c r="C38" s="212">
        <f>+A38</f>
        <v>240</v>
      </c>
      <c r="D38" s="213" t="s">
        <v>156</v>
      </c>
      <c r="E38" s="213">
        <f>+'[3]Costo Mousse Pistacho'!$E$76</f>
        <v>0</v>
      </c>
      <c r="F38" s="213">
        <f>IFERROR(E38*C38,"")</f>
        <v>0</v>
      </c>
      <c r="G38" s="214">
        <f t="shared" si="9"/>
        <v>0</v>
      </c>
      <c r="H38" s="218" t="s">
        <v>161</v>
      </c>
      <c r="I38" s="218"/>
      <c r="J38" s="216"/>
    </row>
    <row r="39" spans="1:13" ht="13.5" x14ac:dyDescent="0.25">
      <c r="A39" s="211">
        <f t="shared" si="10"/>
        <v>40</v>
      </c>
      <c r="B39" s="217" t="s">
        <v>49</v>
      </c>
      <c r="C39" s="212">
        <f>+A39</f>
        <v>40</v>
      </c>
      <c r="D39" s="213" t="s">
        <v>156</v>
      </c>
      <c r="E39" s="213">
        <v>0.1</v>
      </c>
      <c r="F39" s="213">
        <f>IFERROR(E39*C39,"")</f>
        <v>4</v>
      </c>
      <c r="G39" s="214">
        <f t="shared" si="9"/>
        <v>1.3529303915143464E-3</v>
      </c>
      <c r="H39" s="218"/>
      <c r="I39" s="218"/>
      <c r="J39" s="216"/>
    </row>
    <row r="40" spans="1:13" ht="13.5" x14ac:dyDescent="0.25">
      <c r="A40" s="211">
        <f t="shared" si="10"/>
        <v>0.1</v>
      </c>
      <c r="B40" s="217" t="s">
        <v>58</v>
      </c>
      <c r="C40" s="212">
        <f t="shared" si="11"/>
        <v>0.1</v>
      </c>
      <c r="D40" s="213" t="s">
        <v>160</v>
      </c>
      <c r="E40" s="213">
        <v>0.01</v>
      </c>
      <c r="F40" s="213">
        <f t="shared" si="12"/>
        <v>1E-3</v>
      </c>
      <c r="G40" s="214">
        <f t="shared" si="9"/>
        <v>3.3823259787858659E-7</v>
      </c>
      <c r="H40" s="218"/>
      <c r="I40" s="218"/>
      <c r="J40" s="216"/>
    </row>
    <row r="41" spans="1:13" ht="13.5" x14ac:dyDescent="0.25">
      <c r="A41" s="211">
        <f t="shared" si="10"/>
        <v>0</v>
      </c>
      <c r="B41" s="217" t="str">
        <f>IFERROR(VLOOKUP(H41,[1]SEMIELABORADOS!$A$2:$M$6000,2,0),"")</f>
        <v/>
      </c>
      <c r="C41" s="212">
        <f t="shared" si="11"/>
        <v>0</v>
      </c>
      <c r="D41" s="213" t="str">
        <f>IFERROR(VLOOKUP(H41,[1]SEMIELABORADOS!$A$2:$M$6000,6,0),"")</f>
        <v/>
      </c>
      <c r="E41" s="213" t="str">
        <f>IFERROR(VLOOKUP(H41,[1]SEMIELABORADOS!$A$2:$M$65536,10,0),"")</f>
        <v/>
      </c>
      <c r="F41" s="213" t="str">
        <f t="shared" si="12"/>
        <v/>
      </c>
      <c r="G41" s="214" t="str">
        <f t="shared" si="9"/>
        <v/>
      </c>
      <c r="H41" s="218"/>
      <c r="I41" s="218"/>
      <c r="J41" s="216"/>
    </row>
    <row r="42" spans="1:13" ht="14.25" thickBot="1" x14ac:dyDescent="0.3">
      <c r="A42" s="211"/>
      <c r="B42" s="217"/>
      <c r="C42" s="212"/>
      <c r="D42" s="213"/>
      <c r="E42" s="213"/>
      <c r="F42" s="213"/>
      <c r="G42" s="214"/>
      <c r="H42" s="218"/>
      <c r="I42" s="218"/>
      <c r="J42" s="216"/>
    </row>
    <row r="43" spans="1:13" ht="26.25" thickBot="1" x14ac:dyDescent="0.25">
      <c r="A43" s="206" t="s">
        <v>111</v>
      </c>
      <c r="B43" s="207" t="s">
        <v>120</v>
      </c>
      <c r="C43" s="207" t="s">
        <v>111</v>
      </c>
      <c r="D43" s="208" t="s">
        <v>113</v>
      </c>
      <c r="E43" s="208" t="s">
        <v>114</v>
      </c>
      <c r="F43" s="208" t="s">
        <v>115</v>
      </c>
      <c r="G43" s="208" t="s">
        <v>116</v>
      </c>
      <c r="H43" s="209" t="s">
        <v>117</v>
      </c>
      <c r="I43" s="210"/>
      <c r="J43" s="216"/>
    </row>
    <row r="44" spans="1:13" ht="13.5" x14ac:dyDescent="0.25">
      <c r="A44" s="211">
        <f>+A35</f>
        <v>1</v>
      </c>
      <c r="B44" s="217" t="s">
        <v>158</v>
      </c>
      <c r="C44" s="212">
        <f>+A44</f>
        <v>1</v>
      </c>
      <c r="D44" s="213" t="s">
        <v>160</v>
      </c>
      <c r="E44" s="213">
        <v>20.91</v>
      </c>
      <c r="F44" s="213">
        <f>IFERROR(E44*C44,"")</f>
        <v>20.91</v>
      </c>
      <c r="G44" s="214">
        <f>IFERROR(F44/$F$66,"")</f>
        <v>7.0724436216412457E-3</v>
      </c>
      <c r="H44" s="215" t="s">
        <v>157</v>
      </c>
      <c r="I44" s="210"/>
      <c r="J44" s="216"/>
    </row>
    <row r="45" spans="1:13" ht="13.5" x14ac:dyDescent="0.25">
      <c r="A45" s="211">
        <f t="shared" ref="A45:A50" si="13">+A36</f>
        <v>150</v>
      </c>
      <c r="B45" s="217" t="s">
        <v>69</v>
      </c>
      <c r="C45" s="212">
        <f t="shared" ref="C45:C50" si="14">+A45</f>
        <v>150</v>
      </c>
      <c r="D45" s="213" t="s">
        <v>156</v>
      </c>
      <c r="E45" s="213">
        <f>+'Costo Ganache '!E74</f>
        <v>7.6999999999999999E-2</v>
      </c>
      <c r="F45" s="213">
        <f t="shared" ref="F45:F50" si="15">IFERROR(E45*C45,"")</f>
        <v>11.55</v>
      </c>
      <c r="G45" s="214">
        <f t="shared" ref="G45:G50" si="16">IFERROR(F45/$F$66,"")</f>
        <v>3.9065865054976751E-3</v>
      </c>
      <c r="H45" s="218" t="s">
        <v>161</v>
      </c>
      <c r="I45" s="210"/>
      <c r="J45" s="216"/>
      <c r="M45" s="221"/>
    </row>
    <row r="46" spans="1:13" ht="13.5" x14ac:dyDescent="0.25">
      <c r="A46" s="211">
        <f t="shared" si="13"/>
        <v>140</v>
      </c>
      <c r="B46" s="217" t="s">
        <v>55</v>
      </c>
      <c r="C46" s="212">
        <f t="shared" si="14"/>
        <v>140</v>
      </c>
      <c r="D46" s="213" t="s">
        <v>156</v>
      </c>
      <c r="E46" s="213">
        <v>0.13</v>
      </c>
      <c r="F46" s="213">
        <f t="shared" si="15"/>
        <v>18.2</v>
      </c>
      <c r="G46" s="214">
        <f t="shared" si="16"/>
        <v>6.155833281390276E-3</v>
      </c>
      <c r="H46" s="218" t="s">
        <v>54</v>
      </c>
      <c r="I46" s="210"/>
      <c r="J46" s="216"/>
    </row>
    <row r="47" spans="1:13" ht="13.5" x14ac:dyDescent="0.25">
      <c r="A47" s="211">
        <f t="shared" si="13"/>
        <v>240</v>
      </c>
      <c r="B47" s="217" t="s">
        <v>56</v>
      </c>
      <c r="C47" s="212">
        <f t="shared" si="14"/>
        <v>240</v>
      </c>
      <c r="D47" s="213" t="s">
        <v>156</v>
      </c>
      <c r="E47" s="213">
        <f>+'[3]Costo Mousse Pistacho'!$E$74</f>
        <v>7.6999999999999999E-2</v>
      </c>
      <c r="F47" s="213">
        <f t="shared" si="15"/>
        <v>18.48</v>
      </c>
      <c r="G47" s="214">
        <f t="shared" si="16"/>
        <v>6.2505384087962806E-3</v>
      </c>
      <c r="H47" s="218" t="s">
        <v>161</v>
      </c>
      <c r="I47" s="210"/>
      <c r="J47" s="216"/>
    </row>
    <row r="48" spans="1:13" ht="13.5" x14ac:dyDescent="0.25">
      <c r="A48" s="211">
        <f t="shared" si="13"/>
        <v>40</v>
      </c>
      <c r="B48" s="217" t="s">
        <v>49</v>
      </c>
      <c r="C48" s="212">
        <f t="shared" si="14"/>
        <v>40</v>
      </c>
      <c r="D48" s="213" t="s">
        <v>156</v>
      </c>
      <c r="E48" s="213">
        <v>0.4</v>
      </c>
      <c r="F48" s="213">
        <f t="shared" si="15"/>
        <v>16</v>
      </c>
      <c r="G48" s="214">
        <f t="shared" si="16"/>
        <v>5.4117215660573854E-3</v>
      </c>
      <c r="H48" s="218"/>
      <c r="I48" s="210"/>
      <c r="J48" s="216"/>
    </row>
    <row r="49" spans="1:17" ht="13.5" x14ac:dyDescent="0.25">
      <c r="A49" s="211">
        <f t="shared" si="13"/>
        <v>0.1</v>
      </c>
      <c r="B49" s="217" t="s">
        <v>58</v>
      </c>
      <c r="C49" s="212">
        <f t="shared" si="14"/>
        <v>0.1</v>
      </c>
      <c r="D49" s="213" t="s">
        <v>160</v>
      </c>
      <c r="E49" s="213">
        <v>76.25</v>
      </c>
      <c r="F49" s="213">
        <f t="shared" si="15"/>
        <v>7.625</v>
      </c>
      <c r="G49" s="214">
        <f t="shared" si="16"/>
        <v>2.5790235588242227E-3</v>
      </c>
      <c r="H49" s="218"/>
      <c r="I49" s="210"/>
      <c r="J49" s="216"/>
    </row>
    <row r="50" spans="1:17" ht="13.5" x14ac:dyDescent="0.25">
      <c r="A50" s="211">
        <f t="shared" si="13"/>
        <v>0</v>
      </c>
      <c r="B50" s="217" t="str">
        <f>IFERROR(VLOOKUP(H50,[1]SEMIELABORADOS!$A$2:$M$6000,2,0),"")</f>
        <v/>
      </c>
      <c r="C50" s="212">
        <f t="shared" si="14"/>
        <v>0</v>
      </c>
      <c r="D50" s="213" t="str">
        <f>IFERROR(VLOOKUP(H50,[1]SEMIELABORADOS!$A$2:$M$6000,6,0),"")</f>
        <v/>
      </c>
      <c r="E50" s="213" t="str">
        <f>IFERROR(VLOOKUP(H50,[1]SEMIELABORADOS!$A$2:$M$65536,12,0),"")</f>
        <v/>
      </c>
      <c r="F50" s="213" t="str">
        <f t="shared" si="15"/>
        <v/>
      </c>
      <c r="G50" s="214" t="str">
        <f t="shared" si="16"/>
        <v/>
      </c>
      <c r="H50" s="217"/>
      <c r="I50" s="210"/>
      <c r="J50" s="216"/>
    </row>
    <row r="51" spans="1:17" ht="13.5" x14ac:dyDescent="0.25">
      <c r="A51" s="211">
        <v>1</v>
      </c>
      <c r="B51" s="217" t="s">
        <v>121</v>
      </c>
      <c r="C51" s="212">
        <f>+A51</f>
        <v>1</v>
      </c>
      <c r="D51" s="212" t="s">
        <v>122</v>
      </c>
      <c r="E51" s="213">
        <f>+F65</f>
        <v>308</v>
      </c>
      <c r="F51" s="213">
        <f>IFERROR(C51*E51,"")</f>
        <v>308</v>
      </c>
      <c r="G51" s="214">
        <f>IFERROR(F51/$F$66,"")</f>
        <v>0.10417564014660467</v>
      </c>
      <c r="H51" s="222"/>
      <c r="I51" s="222"/>
      <c r="J51" s="216"/>
    </row>
    <row r="52" spans="1:17" ht="14.25" thickBot="1" x14ac:dyDescent="0.3">
      <c r="A52" s="211"/>
      <c r="B52" s="217"/>
      <c r="C52" s="212"/>
      <c r="D52" s="212"/>
      <c r="E52" s="213"/>
      <c r="F52" s="213"/>
      <c r="G52" s="214"/>
      <c r="H52" s="222"/>
      <c r="I52" s="222"/>
      <c r="J52" s="216"/>
    </row>
    <row r="53" spans="1:17" ht="13.5" thickBot="1" x14ac:dyDescent="0.25">
      <c r="A53" s="223"/>
      <c r="B53" s="446" t="s">
        <v>123</v>
      </c>
      <c r="C53" s="446"/>
      <c r="D53" s="446"/>
      <c r="E53" s="446"/>
      <c r="F53" s="225">
        <f>SUM(F8:F14,F17:F24)</f>
        <v>2592.3473600000002</v>
      </c>
      <c r="G53" s="214">
        <f>+F53/$F$66</f>
        <v>0.8768163821764956</v>
      </c>
      <c r="H53" s="226">
        <f>+F53/$D$60</f>
        <v>2592.3473600000002</v>
      </c>
      <c r="I53" s="226"/>
      <c r="J53" s="227"/>
      <c r="K53" s="228"/>
      <c r="L53" s="228"/>
      <c r="M53" s="228"/>
      <c r="N53" s="228"/>
      <c r="O53" s="228"/>
      <c r="P53" s="228"/>
      <c r="Q53" s="229"/>
    </row>
    <row r="54" spans="1:17" x14ac:dyDescent="0.2">
      <c r="A54" s="223"/>
      <c r="B54" s="446" t="s">
        <v>124</v>
      </c>
      <c r="C54" s="446"/>
      <c r="D54" s="446"/>
      <c r="E54" s="446"/>
      <c r="F54" s="225">
        <f>SUM(F27:F32,F35:F41)</f>
        <v>4.351</v>
      </c>
      <c r="G54" s="214">
        <f>+F54/$F$66</f>
        <v>1.4716500333697303E-3</v>
      </c>
      <c r="H54" s="226">
        <f>+F54/$D$60</f>
        <v>4.351</v>
      </c>
      <c r="I54" s="226"/>
      <c r="J54" s="230"/>
      <c r="K54" s="447" t="s">
        <v>125</v>
      </c>
      <c r="L54" s="448"/>
      <c r="M54" s="448"/>
      <c r="N54" s="448"/>
      <c r="O54" s="231">
        <f>+F55</f>
        <v>2596.6983600000003</v>
      </c>
      <c r="P54" s="231"/>
      <c r="Q54" s="232"/>
    </row>
    <row r="55" spans="1:17" x14ac:dyDescent="0.2">
      <c r="A55" s="223"/>
      <c r="B55" s="446" t="s">
        <v>126</v>
      </c>
      <c r="C55" s="446"/>
      <c r="D55" s="446"/>
      <c r="E55" s="446"/>
      <c r="F55" s="225">
        <f>+F53+F54</f>
        <v>2596.6983600000003</v>
      </c>
      <c r="G55" s="214">
        <f>+F55/$F$66</f>
        <v>0.8782880322098654</v>
      </c>
      <c r="H55" s="226">
        <f>+F55/$D$60</f>
        <v>2596.6983600000003</v>
      </c>
      <c r="I55" s="226"/>
      <c r="J55" s="233"/>
      <c r="K55" s="234"/>
      <c r="M55" s="235" t="s">
        <v>127</v>
      </c>
      <c r="N55" s="236"/>
      <c r="O55" s="231">
        <f>+H56</f>
        <v>400.76499999999999</v>
      </c>
      <c r="P55" s="231"/>
      <c r="Q55" s="232"/>
    </row>
    <row r="56" spans="1:17" ht="13.5" thickBot="1" x14ac:dyDescent="0.25">
      <c r="A56" s="223"/>
      <c r="B56" s="224"/>
      <c r="C56" s="446" t="s">
        <v>128</v>
      </c>
      <c r="D56" s="446"/>
      <c r="E56" s="446"/>
      <c r="F56" s="225">
        <f>SUM(F44:F51)</f>
        <v>400.76499999999999</v>
      </c>
      <c r="G56" s="214">
        <f>+F56/$F$66</f>
        <v>0.13555178708881174</v>
      </c>
      <c r="H56" s="226">
        <f>+F56/$D$60</f>
        <v>400.76499999999999</v>
      </c>
      <c r="I56" s="226"/>
      <c r="J56" s="233"/>
      <c r="K56" s="234"/>
      <c r="L56" s="234"/>
      <c r="M56" s="234" t="s">
        <v>129</v>
      </c>
      <c r="N56" s="237"/>
      <c r="O56" s="231">
        <f>O54*N56</f>
        <v>0</v>
      </c>
      <c r="P56" s="231"/>
      <c r="Q56" s="232"/>
    </row>
    <row r="57" spans="1:17" ht="13.5" thickBot="1" x14ac:dyDescent="0.25">
      <c r="A57" s="223"/>
      <c r="B57" s="238"/>
      <c r="C57" s="238"/>
      <c r="D57" s="238"/>
      <c r="E57" s="238"/>
      <c r="F57" s="239"/>
      <c r="G57" s="214"/>
      <c r="H57" s="240"/>
      <c r="I57" s="226"/>
      <c r="J57" s="233"/>
      <c r="K57" s="241"/>
      <c r="M57" s="242" t="s">
        <v>130</v>
      </c>
      <c r="N57" s="243"/>
      <c r="O57" s="244">
        <f>SUM(O54:O56)</f>
        <v>2997.4633600000002</v>
      </c>
      <c r="P57" s="245"/>
      <c r="Q57" s="232"/>
    </row>
    <row r="58" spans="1:17" x14ac:dyDescent="0.2">
      <c r="B58" s="449" t="s">
        <v>131</v>
      </c>
      <c r="C58" s="449"/>
      <c r="D58" s="246">
        <v>795</v>
      </c>
      <c r="E58" s="247"/>
      <c r="G58" s="214"/>
      <c r="H58" s="240">
        <f>+H56/77</f>
        <v>5.2047402597402597</v>
      </c>
      <c r="I58" s="248"/>
      <c r="J58" s="233"/>
      <c r="K58" s="241"/>
      <c r="L58" s="234"/>
      <c r="M58" s="234" t="s">
        <v>132</v>
      </c>
      <c r="N58" s="249"/>
      <c r="O58" s="231">
        <f>+H59</f>
        <v>333.10337662337662</v>
      </c>
      <c r="P58" s="231"/>
      <c r="Q58" s="232"/>
    </row>
    <row r="59" spans="1:17" x14ac:dyDescent="0.2">
      <c r="B59" s="449" t="s">
        <v>133</v>
      </c>
      <c r="C59" s="449"/>
      <c r="D59" s="250">
        <v>795</v>
      </c>
      <c r="E59" s="247"/>
      <c r="G59" s="214"/>
      <c r="H59" s="240">
        <f>+H58*64</f>
        <v>333.10337662337662</v>
      </c>
      <c r="I59" s="248"/>
      <c r="J59" s="233"/>
      <c r="K59" s="241"/>
      <c r="L59" s="234"/>
      <c r="M59" s="450" t="s">
        <v>130</v>
      </c>
      <c r="N59" s="450"/>
      <c r="O59" s="231">
        <f>SUM(O57:O58)</f>
        <v>3330.566736623377</v>
      </c>
      <c r="P59" s="231"/>
      <c r="Q59" s="232"/>
    </row>
    <row r="60" spans="1:17" ht="13.5" thickBot="1" x14ac:dyDescent="0.25">
      <c r="B60" s="441" t="s">
        <v>134</v>
      </c>
      <c r="C60" s="441"/>
      <c r="D60" s="246">
        <f>+D58/D59</f>
        <v>1</v>
      </c>
      <c r="E60" s="247"/>
      <c r="F60" s="251"/>
      <c r="G60" s="214"/>
      <c r="H60" s="240"/>
      <c r="I60" s="248"/>
      <c r="J60" s="233"/>
      <c r="K60" s="241"/>
      <c r="L60" s="450"/>
      <c r="M60" s="450"/>
      <c r="N60" s="249"/>
      <c r="O60" s="231">
        <f>+O59*N60</f>
        <v>0</v>
      </c>
      <c r="P60" s="231"/>
      <c r="Q60" s="232"/>
    </row>
    <row r="61" spans="1:17" ht="13.5" thickBot="1" x14ac:dyDescent="0.25">
      <c r="B61" s="441" t="s">
        <v>135</v>
      </c>
      <c r="C61" s="441"/>
      <c r="D61" s="252"/>
      <c r="E61" s="247"/>
      <c r="F61" s="251"/>
      <c r="G61" s="214"/>
      <c r="H61" s="240"/>
      <c r="I61" s="248"/>
      <c r="J61" s="233"/>
      <c r="K61" s="442" t="s">
        <v>136</v>
      </c>
      <c r="L61" s="443"/>
      <c r="M61" s="443"/>
      <c r="N61" s="444"/>
      <c r="O61" s="244">
        <f>SUM(O59:O60)</f>
        <v>3330.566736623377</v>
      </c>
      <c r="P61" s="253" t="s">
        <v>137</v>
      </c>
      <c r="Q61" s="232"/>
    </row>
    <row r="62" spans="1:17" ht="13.5" thickBot="1" x14ac:dyDescent="0.25">
      <c r="C62" s="223" t="s">
        <v>138</v>
      </c>
      <c r="D62" s="254"/>
      <c r="E62" s="197" t="s">
        <v>139</v>
      </c>
      <c r="F62" s="255" t="s">
        <v>140</v>
      </c>
      <c r="G62" s="214"/>
      <c r="H62" s="240"/>
      <c r="I62" s="248"/>
      <c r="J62" s="256"/>
      <c r="K62" s="257"/>
      <c r="L62" s="430" t="s">
        <v>141</v>
      </c>
      <c r="M62" s="430"/>
      <c r="N62" s="430"/>
      <c r="O62" s="258">
        <f>+O61/D60</f>
        <v>3330.566736623377</v>
      </c>
      <c r="P62" s="259">
        <f>+O62/D59</f>
        <v>4.1893921215388392</v>
      </c>
      <c r="Q62" s="260"/>
    </row>
    <row r="63" spans="1:17" ht="13.5" thickBot="1" x14ac:dyDescent="0.25">
      <c r="B63" s="431" t="s">
        <v>126</v>
      </c>
      <c r="C63" s="431"/>
      <c r="D63" s="431"/>
      <c r="E63" s="261">
        <f>+F63/F63</f>
        <v>1</v>
      </c>
      <c r="F63" s="262">
        <f>SUM(F55)</f>
        <v>2596.6983600000003</v>
      </c>
      <c r="G63" s="214">
        <f>+F63/$F$66</f>
        <v>0.8782880322098654</v>
      </c>
      <c r="H63" s="240"/>
      <c r="I63" s="248"/>
      <c r="K63" s="432"/>
      <c r="L63" s="433"/>
      <c r="M63" s="433"/>
      <c r="N63" s="433"/>
      <c r="O63" s="263"/>
      <c r="P63" s="264"/>
    </row>
    <row r="64" spans="1:17" ht="13.5" thickBot="1" x14ac:dyDescent="0.25">
      <c r="B64" s="434" t="s">
        <v>142</v>
      </c>
      <c r="C64" s="434"/>
      <c r="D64" s="434"/>
      <c r="E64" s="265">
        <v>0.02</v>
      </c>
      <c r="F64" s="262">
        <f>+F53*E64</f>
        <v>51.846947200000002</v>
      </c>
      <c r="G64" s="214">
        <f>+F64/$F$66</f>
        <v>1.7536327643529911E-2</v>
      </c>
      <c r="H64" s="226"/>
      <c r="I64" s="248"/>
      <c r="J64" s="266"/>
      <c r="O64" s="267"/>
      <c r="P64" s="224"/>
    </row>
    <row r="65" spans="2:13" ht="13.5" thickBot="1" x14ac:dyDescent="0.25">
      <c r="B65" s="435" t="s">
        <v>143</v>
      </c>
      <c r="C65" s="436"/>
      <c r="D65" s="268">
        <v>4</v>
      </c>
      <c r="E65" s="269">
        <v>77</v>
      </c>
      <c r="F65" s="262">
        <f>+E65*D65</f>
        <v>308</v>
      </c>
      <c r="G65" s="214">
        <f>+F65/$F$66</f>
        <v>0.10417564014660467</v>
      </c>
      <c r="H65" s="226"/>
      <c r="I65" s="226"/>
      <c r="J65" s="216"/>
    </row>
    <row r="66" spans="2:13" ht="13.5" thickBot="1" x14ac:dyDescent="0.25">
      <c r="B66" s="437" t="s">
        <v>144</v>
      </c>
      <c r="C66" s="438"/>
      <c r="D66" s="438"/>
      <c r="E66" s="439"/>
      <c r="F66" s="239">
        <f>SUM(F63:F65)</f>
        <v>2956.5453072000005</v>
      </c>
      <c r="G66" s="214">
        <f>+F66/$F$66</f>
        <v>1</v>
      </c>
      <c r="H66" s="440"/>
      <c r="I66" s="226"/>
      <c r="J66" s="216"/>
      <c r="M66" s="199" t="s">
        <v>145</v>
      </c>
    </row>
    <row r="67" spans="2:13" x14ac:dyDescent="0.2">
      <c r="C67" s="221"/>
      <c r="D67" s="221"/>
      <c r="E67" s="271"/>
      <c r="F67" s="262"/>
      <c r="G67" s="214"/>
      <c r="H67" s="440"/>
      <c r="I67" s="270"/>
      <c r="J67" s="199"/>
      <c r="M67" s="199" t="s">
        <v>146</v>
      </c>
    </row>
    <row r="68" spans="2:13" ht="13.5" thickBot="1" x14ac:dyDescent="0.25">
      <c r="B68" s="425" t="s">
        <v>147</v>
      </c>
      <c r="C68" s="425"/>
      <c r="D68" s="425"/>
      <c r="E68" s="425"/>
      <c r="F68" s="425"/>
      <c r="G68" s="214"/>
      <c r="H68" s="273"/>
      <c r="I68" s="270"/>
      <c r="J68" s="199"/>
      <c r="M68" s="199" t="s">
        <v>148</v>
      </c>
    </row>
    <row r="69" spans="2:13" ht="13.5" thickBot="1" x14ac:dyDescent="0.25">
      <c r="B69" s="274" t="s">
        <v>149</v>
      </c>
      <c r="C69" s="275">
        <f>+F53</f>
        <v>2592.3473600000002</v>
      </c>
      <c r="D69" s="275">
        <f>+D58</f>
        <v>795</v>
      </c>
      <c r="E69" s="276">
        <f>+C69/D69</f>
        <v>3.2608142893081764</v>
      </c>
      <c r="F69" s="214"/>
      <c r="G69" s="273"/>
      <c r="H69" s="216"/>
      <c r="I69" s="273"/>
      <c r="J69" s="199"/>
    </row>
    <row r="70" spans="2:13" x14ac:dyDescent="0.2">
      <c r="B70" s="277"/>
      <c r="C70" s="278"/>
      <c r="D70" s="279"/>
      <c r="E70" s="262"/>
      <c r="F70" s="214"/>
      <c r="G70" s="273"/>
      <c r="H70" s="216"/>
      <c r="I70" s="216"/>
      <c r="J70" s="199"/>
    </row>
    <row r="71" spans="2:13" x14ac:dyDescent="0.2">
      <c r="B71" s="274" t="s">
        <v>150</v>
      </c>
      <c r="C71" s="275">
        <f>SUM(F63:F64)</f>
        <v>2648.5453072000005</v>
      </c>
      <c r="D71" s="275">
        <f>+D58</f>
        <v>795</v>
      </c>
      <c r="E71" s="280">
        <f>+C71/D71</f>
        <v>3.331503531069183</v>
      </c>
      <c r="F71" s="214"/>
      <c r="G71" s="273"/>
      <c r="H71" s="216"/>
      <c r="I71" s="216"/>
      <c r="J71" s="199"/>
    </row>
    <row r="72" spans="2:13" x14ac:dyDescent="0.2">
      <c r="B72" s="274"/>
      <c r="C72" s="275"/>
      <c r="D72" s="275"/>
      <c r="E72" s="280"/>
      <c r="F72" s="214"/>
      <c r="G72" s="273"/>
      <c r="H72" s="216"/>
      <c r="I72" s="216"/>
      <c r="J72" s="199"/>
    </row>
    <row r="73" spans="2:13" ht="13.5" thickBot="1" x14ac:dyDescent="0.25">
      <c r="B73" s="274" t="s">
        <v>151</v>
      </c>
      <c r="C73" s="275">
        <f>+F65</f>
        <v>308</v>
      </c>
      <c r="D73" s="275">
        <f>+D58</f>
        <v>795</v>
      </c>
      <c r="E73" s="280">
        <f>+C73/D73</f>
        <v>0.38742138364779877</v>
      </c>
      <c r="F73" s="214"/>
      <c r="G73" s="273"/>
      <c r="H73" s="216"/>
      <c r="I73" s="216"/>
      <c r="J73" s="199"/>
    </row>
    <row r="74" spans="2:13" ht="13.5" thickBot="1" x14ac:dyDescent="0.25">
      <c r="B74" s="274" t="s">
        <v>152</v>
      </c>
      <c r="C74" s="275">
        <f>+F56</f>
        <v>400.76499999999999</v>
      </c>
      <c r="D74" s="275">
        <f>+D73</f>
        <v>795</v>
      </c>
      <c r="E74" s="276">
        <f>+C74/D74</f>
        <v>0.50410691823899367</v>
      </c>
      <c r="F74" s="214"/>
      <c r="G74" s="273"/>
      <c r="H74" s="216"/>
      <c r="I74" s="216"/>
      <c r="J74" s="199"/>
    </row>
    <row r="75" spans="2:13" ht="13.5" thickBot="1" x14ac:dyDescent="0.25">
      <c r="B75" s="238"/>
      <c r="C75" s="239"/>
      <c r="D75" s="239"/>
      <c r="E75" s="280"/>
      <c r="F75" s="214"/>
      <c r="G75" s="273"/>
      <c r="H75" s="216"/>
      <c r="I75" s="216"/>
      <c r="J75" s="199"/>
    </row>
    <row r="76" spans="2:13" ht="13.5" thickBot="1" x14ac:dyDescent="0.25">
      <c r="B76" s="274" t="s">
        <v>153</v>
      </c>
      <c r="C76" s="275">
        <f>+F54</f>
        <v>4.351</v>
      </c>
      <c r="D76" s="275">
        <f>+D74</f>
        <v>795</v>
      </c>
      <c r="E76" s="276">
        <f>+C76/D76</f>
        <v>5.4729559748427671E-3</v>
      </c>
      <c r="F76" s="214"/>
      <c r="G76" s="273"/>
      <c r="H76" s="216"/>
      <c r="I76" s="216"/>
      <c r="J76" s="216"/>
    </row>
    <row r="77" spans="2:13" ht="13.5" thickBot="1" x14ac:dyDescent="0.25">
      <c r="B77" s="238"/>
      <c r="C77" s="239"/>
      <c r="D77" s="239"/>
      <c r="E77" s="280"/>
      <c r="F77" s="214"/>
      <c r="G77" s="273"/>
      <c r="H77" s="216"/>
      <c r="I77" s="216"/>
    </row>
    <row r="78" spans="2:13" ht="13.5" thickBot="1" x14ac:dyDescent="0.25">
      <c r="B78" s="426" t="s">
        <v>154</v>
      </c>
      <c r="C78" s="427"/>
      <c r="D78" s="428"/>
      <c r="E78" s="276">
        <f>+E69+E74</f>
        <v>3.7649212075471699</v>
      </c>
      <c r="G78" s="214"/>
      <c r="H78" s="273"/>
      <c r="I78" s="216"/>
      <c r="J78" s="280"/>
    </row>
    <row r="79" spans="2:13" x14ac:dyDescent="0.2">
      <c r="I79" s="273"/>
      <c r="J79" s="199"/>
    </row>
    <row r="80" spans="2:13" ht="13.5" thickBot="1" x14ac:dyDescent="0.25">
      <c r="B80" s="425" t="s">
        <v>155</v>
      </c>
      <c r="C80" s="425"/>
      <c r="D80" s="425"/>
      <c r="E80" s="425"/>
      <c r="F80" s="425"/>
      <c r="G80" s="214"/>
      <c r="H80" s="273"/>
      <c r="J80" s="199"/>
    </row>
    <row r="81" spans="1:10" ht="13.5" thickBot="1" x14ac:dyDescent="0.25">
      <c r="B81" s="274" t="s">
        <v>149</v>
      </c>
      <c r="C81" s="275">
        <f>+C69</f>
        <v>2592.3473600000002</v>
      </c>
      <c r="D81" s="275">
        <f>+D60</f>
        <v>1</v>
      </c>
      <c r="E81" s="276">
        <f>+C81/D81</f>
        <v>2592.3473600000002</v>
      </c>
      <c r="F81" s="214"/>
      <c r="G81" s="273"/>
      <c r="H81" s="216"/>
      <c r="I81" s="273"/>
      <c r="J81" s="199"/>
    </row>
    <row r="82" spans="1:10" x14ac:dyDescent="0.2">
      <c r="B82" s="277"/>
      <c r="C82" s="278"/>
      <c r="D82" s="279"/>
      <c r="E82" s="262"/>
      <c r="F82" s="214"/>
      <c r="G82" s="273"/>
      <c r="H82" s="216"/>
      <c r="I82" s="216"/>
      <c r="J82" s="199"/>
    </row>
    <row r="83" spans="1:10" x14ac:dyDescent="0.2">
      <c r="B83" s="274" t="s">
        <v>150</v>
      </c>
      <c r="C83" s="275">
        <f>+C71</f>
        <v>2648.5453072000005</v>
      </c>
      <c r="D83" s="275">
        <f>+D60</f>
        <v>1</v>
      </c>
      <c r="E83" s="280">
        <f>+C83/D83</f>
        <v>2648.5453072000005</v>
      </c>
      <c r="F83" s="214"/>
      <c r="G83" s="273"/>
      <c r="H83" s="216"/>
      <c r="I83" s="216"/>
      <c r="J83" s="199"/>
    </row>
    <row r="84" spans="1:10" x14ac:dyDescent="0.2">
      <c r="B84" s="274"/>
      <c r="C84" s="275"/>
      <c r="D84" s="275"/>
      <c r="E84" s="280"/>
      <c r="F84" s="214"/>
      <c r="G84" s="273"/>
      <c r="H84" s="216"/>
      <c r="I84" s="216"/>
      <c r="J84" s="199"/>
    </row>
    <row r="85" spans="1:10" ht="13.5" thickBot="1" x14ac:dyDescent="0.25">
      <c r="B85" s="274" t="s">
        <v>152</v>
      </c>
      <c r="C85" s="275">
        <f>+C73</f>
        <v>308</v>
      </c>
      <c r="D85" s="275">
        <f>+D60</f>
        <v>1</v>
      </c>
      <c r="E85" s="280">
        <f>+C85/D85</f>
        <v>308</v>
      </c>
      <c r="F85" s="282"/>
      <c r="G85" s="272"/>
      <c r="H85" s="198"/>
      <c r="I85" s="216"/>
    </row>
    <row r="86" spans="1:10" ht="13.5" thickBot="1" x14ac:dyDescent="0.25">
      <c r="B86" s="274" t="s">
        <v>152</v>
      </c>
      <c r="C86" s="275">
        <f>+C74</f>
        <v>400.76499999999999</v>
      </c>
      <c r="D86" s="275">
        <f>+D85</f>
        <v>1</v>
      </c>
      <c r="E86" s="276">
        <f>+C86/D86</f>
        <v>400.76499999999999</v>
      </c>
      <c r="F86" s="281"/>
      <c r="G86" s="272"/>
      <c r="H86" s="198"/>
      <c r="I86" s="198"/>
    </row>
    <row r="87" spans="1:10" x14ac:dyDescent="0.2">
      <c r="I87" s="198"/>
    </row>
    <row r="88" spans="1:10" x14ac:dyDescent="0.2">
      <c r="A88" s="429"/>
      <c r="B88" s="429"/>
      <c r="C88" s="283"/>
      <c r="D88" s="283"/>
      <c r="E88" s="284"/>
      <c r="G88" s="285"/>
    </row>
    <row r="89" spans="1:10" x14ac:dyDescent="0.2">
      <c r="A89" s="217"/>
      <c r="B89" s="286"/>
      <c r="C89" s="287"/>
      <c r="D89" s="287"/>
      <c r="E89" s="288"/>
      <c r="G89" s="285"/>
    </row>
    <row r="90" spans="1:10" x14ac:dyDescent="0.2">
      <c r="A90" s="217"/>
      <c r="B90" s="286"/>
      <c r="C90" s="289"/>
      <c r="D90" s="289"/>
      <c r="E90" s="217"/>
      <c r="G90" s="285"/>
    </row>
    <row r="91" spans="1:10" x14ac:dyDescent="0.2">
      <c r="A91" s="217"/>
      <c r="B91" s="286"/>
      <c r="C91" s="290"/>
      <c r="D91" s="290"/>
      <c r="E91" s="217"/>
      <c r="G91" s="28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D3BB-70F2-4E87-B66F-3CE01014706D}">
  <dimension ref="A1:M57"/>
  <sheetViews>
    <sheetView workbookViewId="0">
      <selection activeCell="C10" sqref="C10"/>
    </sheetView>
  </sheetViews>
  <sheetFormatPr baseColWidth="10" defaultRowHeight="12.75" x14ac:dyDescent="0.2"/>
  <cols>
    <col min="3" max="3" width="50.7109375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518"/>
      <c r="B1" s="519"/>
      <c r="C1" s="524" t="s">
        <v>42</v>
      </c>
      <c r="D1" s="524"/>
      <c r="E1" s="524"/>
      <c r="F1" s="524"/>
      <c r="G1" s="524"/>
      <c r="H1" s="98" t="s">
        <v>41</v>
      </c>
      <c r="I1" s="99"/>
    </row>
    <row r="2" spans="1:9" ht="16.5" thickBot="1" x14ac:dyDescent="0.3">
      <c r="A2" s="520"/>
      <c r="B2" s="521"/>
      <c r="C2" s="525" t="s">
        <v>40</v>
      </c>
      <c r="D2" s="525"/>
      <c r="E2" s="525"/>
      <c r="F2" s="525"/>
      <c r="G2" s="525"/>
      <c r="H2" s="100" t="s">
        <v>39</v>
      </c>
      <c r="I2" s="101"/>
    </row>
    <row r="3" spans="1:9" ht="18.75" thickBot="1" x14ac:dyDescent="0.25">
      <c r="A3" s="520"/>
      <c r="B3" s="521"/>
      <c r="C3" s="526" t="s">
        <v>94</v>
      </c>
      <c r="D3" s="527"/>
      <c r="E3" s="527"/>
      <c r="F3" s="527"/>
      <c r="G3" s="528"/>
      <c r="H3" s="529" t="s">
        <v>38</v>
      </c>
      <c r="I3" s="509"/>
    </row>
    <row r="4" spans="1:9" ht="13.5" x14ac:dyDescent="0.25">
      <c r="A4" s="520"/>
      <c r="B4" s="521"/>
      <c r="C4" s="102" t="s">
        <v>37</v>
      </c>
      <c r="D4" s="512" t="s">
        <v>93</v>
      </c>
      <c r="E4" s="513"/>
      <c r="F4" s="513"/>
      <c r="G4" s="514"/>
      <c r="H4" s="530"/>
      <c r="I4" s="510"/>
    </row>
    <row r="5" spans="1:9" ht="14.25" thickBot="1" x14ac:dyDescent="0.3">
      <c r="A5" s="522"/>
      <c r="B5" s="523"/>
      <c r="C5" s="103" t="s">
        <v>36</v>
      </c>
      <c r="D5" s="515" t="s">
        <v>59</v>
      </c>
      <c r="E5" s="516"/>
      <c r="F5" s="516"/>
      <c r="G5" s="517"/>
      <c r="H5" s="531"/>
      <c r="I5" s="511"/>
    </row>
    <row r="6" spans="1:9" ht="18.75" thickBot="1" x14ac:dyDescent="0.3">
      <c r="A6" s="401" t="s">
        <v>34</v>
      </c>
      <c r="B6" s="401"/>
      <c r="C6" s="401"/>
      <c r="D6" s="502" t="s">
        <v>84</v>
      </c>
      <c r="E6" s="502"/>
      <c r="F6" s="502"/>
      <c r="G6" s="403" t="s">
        <v>32</v>
      </c>
      <c r="H6" s="403"/>
      <c r="I6" s="104" t="s">
        <v>103</v>
      </c>
    </row>
    <row r="7" spans="1:9" ht="25.5" x14ac:dyDescent="0.2">
      <c r="A7" s="503" t="s">
        <v>30</v>
      </c>
      <c r="B7" s="505" t="s">
        <v>61</v>
      </c>
      <c r="C7" s="507" t="s">
        <v>29</v>
      </c>
      <c r="D7" s="507" t="s">
        <v>28</v>
      </c>
      <c r="E7" s="507" t="s">
        <v>27</v>
      </c>
      <c r="F7" s="507"/>
      <c r="G7" s="507" t="s">
        <v>26</v>
      </c>
      <c r="H7" s="507"/>
      <c r="I7" s="105" t="s">
        <v>25</v>
      </c>
    </row>
    <row r="8" spans="1:9" ht="26.25" thickBot="1" x14ac:dyDescent="0.25">
      <c r="A8" s="504"/>
      <c r="B8" s="506"/>
      <c r="C8" s="508"/>
      <c r="D8" s="508"/>
      <c r="E8" s="106" t="s">
        <v>11</v>
      </c>
      <c r="F8" s="107" t="s">
        <v>24</v>
      </c>
      <c r="G8" s="106" t="s">
        <v>11</v>
      </c>
      <c r="H8" s="107" t="s">
        <v>24</v>
      </c>
      <c r="I8" s="108" t="s">
        <v>23</v>
      </c>
    </row>
    <row r="9" spans="1:9" ht="15" x14ac:dyDescent="0.25">
      <c r="A9" s="109"/>
      <c r="B9" s="110"/>
      <c r="C9" s="111" t="s">
        <v>62</v>
      </c>
      <c r="D9" s="112"/>
      <c r="E9" s="113"/>
      <c r="F9" s="114"/>
      <c r="G9" s="113"/>
      <c r="H9" s="114"/>
      <c r="I9" s="115"/>
    </row>
    <row r="10" spans="1:9" ht="15.75" x14ac:dyDescent="0.25">
      <c r="A10" s="181" t="s">
        <v>85</v>
      </c>
      <c r="B10" s="182" t="s">
        <v>86</v>
      </c>
      <c r="C10" s="183" t="s">
        <v>87</v>
      </c>
      <c r="D10" s="116" t="s">
        <v>88</v>
      </c>
      <c r="E10" s="117">
        <f>800*2.55</f>
        <v>2039.9999999999998</v>
      </c>
      <c r="F10" s="118" t="s">
        <v>2</v>
      </c>
      <c r="G10" s="119"/>
      <c r="H10" s="114"/>
      <c r="I10" s="115"/>
    </row>
    <row r="11" spans="1:9" ht="15.75" x14ac:dyDescent="0.25">
      <c r="A11" s="67" t="s">
        <v>89</v>
      </c>
      <c r="B11" s="67" t="s">
        <v>47</v>
      </c>
      <c r="C11" s="66" t="s">
        <v>90</v>
      </c>
      <c r="D11" s="116" t="s">
        <v>91</v>
      </c>
      <c r="E11" s="117">
        <f>1000*2.55</f>
        <v>2550</v>
      </c>
      <c r="F11" s="118" t="s">
        <v>2</v>
      </c>
      <c r="G11" s="119"/>
      <c r="H11" s="114"/>
      <c r="I11" s="115"/>
    </row>
    <row r="12" spans="1:9" ht="15.75" x14ac:dyDescent="0.25">
      <c r="A12" s="184"/>
      <c r="B12" s="185" t="s">
        <v>12</v>
      </c>
      <c r="C12" s="187" t="s">
        <v>95</v>
      </c>
      <c r="D12" s="123"/>
      <c r="E12" s="188">
        <f>100*2.55</f>
        <v>254.99999999999997</v>
      </c>
      <c r="F12" s="118" t="s">
        <v>2</v>
      </c>
      <c r="G12" s="119"/>
      <c r="H12" s="114"/>
      <c r="I12" s="115"/>
    </row>
    <row r="13" spans="1:9" ht="15.75" x14ac:dyDescent="0.25">
      <c r="A13" s="184"/>
      <c r="B13" s="185" t="s">
        <v>12</v>
      </c>
      <c r="C13" s="187" t="s">
        <v>96</v>
      </c>
      <c r="D13" s="123"/>
      <c r="E13" s="188">
        <f>1*2.55</f>
        <v>2.5499999999999998</v>
      </c>
      <c r="F13" s="118" t="s">
        <v>2</v>
      </c>
      <c r="G13" s="119"/>
      <c r="H13" s="114"/>
      <c r="I13" s="115"/>
    </row>
    <row r="14" spans="1:9" ht="15.75" x14ac:dyDescent="0.25">
      <c r="A14" s="184"/>
      <c r="B14" s="185" t="s">
        <v>12</v>
      </c>
      <c r="C14" s="186" t="s">
        <v>46</v>
      </c>
      <c r="D14" s="123"/>
      <c r="E14" s="188">
        <f>144*2.55</f>
        <v>367.2</v>
      </c>
      <c r="F14" s="120" t="s">
        <v>2</v>
      </c>
      <c r="G14" s="119" t="s">
        <v>97</v>
      </c>
      <c r="H14" s="114"/>
      <c r="I14" s="115"/>
    </row>
    <row r="15" spans="1:9" ht="15" x14ac:dyDescent="0.25">
      <c r="A15" s="67"/>
      <c r="B15" s="67"/>
      <c r="C15" s="66"/>
      <c r="D15" s="124"/>
      <c r="E15" s="125"/>
      <c r="F15" s="126"/>
      <c r="G15" s="119"/>
      <c r="H15" s="114"/>
      <c r="I15" s="115"/>
    </row>
    <row r="16" spans="1:9" ht="15" x14ac:dyDescent="0.25">
      <c r="A16" s="127"/>
      <c r="B16" s="127"/>
      <c r="C16" s="128"/>
      <c r="D16" s="129"/>
      <c r="E16" s="125"/>
      <c r="F16" s="130"/>
      <c r="G16" s="119"/>
      <c r="H16" s="114"/>
      <c r="I16" s="115"/>
    </row>
    <row r="17" spans="1:9" ht="15" x14ac:dyDescent="0.25">
      <c r="A17" s="127"/>
      <c r="B17" s="127"/>
      <c r="C17" s="128"/>
      <c r="D17" s="124"/>
      <c r="E17" s="125"/>
      <c r="F17" s="126"/>
      <c r="G17" s="113"/>
      <c r="H17" s="114"/>
      <c r="I17" s="115"/>
    </row>
    <row r="18" spans="1:9" ht="15" x14ac:dyDescent="0.25">
      <c r="A18" s="121"/>
      <c r="B18" s="63"/>
      <c r="C18" s="122"/>
      <c r="D18" s="131"/>
      <c r="E18" s="132"/>
      <c r="F18" s="126"/>
      <c r="G18" s="113"/>
      <c r="H18" s="114"/>
      <c r="I18" s="115"/>
    </row>
    <row r="19" spans="1:9" ht="15" x14ac:dyDescent="0.25">
      <c r="A19" s="121"/>
      <c r="B19" s="63"/>
      <c r="C19" s="122"/>
      <c r="D19" s="131"/>
      <c r="E19" s="132"/>
      <c r="F19" s="126"/>
      <c r="G19" s="113"/>
      <c r="H19" s="114"/>
      <c r="I19" s="115"/>
    </row>
    <row r="20" spans="1:9" ht="15" x14ac:dyDescent="0.25">
      <c r="A20" s="121"/>
      <c r="B20" s="63"/>
      <c r="C20" s="122"/>
      <c r="D20" s="131"/>
      <c r="E20" s="132"/>
      <c r="F20" s="126"/>
      <c r="G20" s="113"/>
      <c r="H20" s="114"/>
      <c r="I20" s="115"/>
    </row>
    <row r="21" spans="1:9" ht="15" x14ac:dyDescent="0.25">
      <c r="A21" s="63"/>
      <c r="B21" s="63"/>
      <c r="C21" s="133"/>
      <c r="D21" s="134"/>
      <c r="E21" s="134"/>
      <c r="F21" s="71"/>
      <c r="G21" s="113"/>
      <c r="H21" s="114"/>
      <c r="I21" s="115"/>
    </row>
    <row r="22" spans="1:9" ht="15.75" x14ac:dyDescent="0.25">
      <c r="A22" s="135"/>
      <c r="B22" s="136"/>
      <c r="C22" s="137" t="s">
        <v>60</v>
      </c>
      <c r="D22" s="138"/>
      <c r="E22" s="139"/>
      <c r="F22" s="71"/>
      <c r="G22" s="113"/>
      <c r="H22" s="114"/>
      <c r="I22" s="115"/>
    </row>
    <row r="23" spans="1:9" ht="15" x14ac:dyDescent="0.25">
      <c r="A23" s="140"/>
      <c r="B23" s="141"/>
      <c r="C23" s="142"/>
      <c r="D23" s="143"/>
      <c r="E23" s="134"/>
      <c r="F23" s="71"/>
      <c r="G23" s="113"/>
      <c r="H23" s="114"/>
      <c r="I23" s="115"/>
    </row>
    <row r="24" spans="1:9" ht="15" x14ac:dyDescent="0.25">
      <c r="A24" s="63"/>
      <c r="B24" s="63"/>
      <c r="C24" s="133"/>
      <c r="D24" s="143"/>
      <c r="E24" s="134"/>
      <c r="F24" s="71"/>
      <c r="G24" s="113"/>
      <c r="H24" s="114"/>
      <c r="I24" s="115"/>
    </row>
    <row r="25" spans="1:9" ht="15" x14ac:dyDescent="0.25">
      <c r="A25" s="144"/>
      <c r="B25" s="144"/>
      <c r="C25" s="142"/>
      <c r="D25" s="143"/>
      <c r="E25" s="134"/>
      <c r="F25" s="71"/>
      <c r="G25" s="113"/>
      <c r="H25" s="114"/>
      <c r="I25" s="115"/>
    </row>
    <row r="26" spans="1:9" ht="15" x14ac:dyDescent="0.25">
      <c r="A26" s="63"/>
      <c r="B26" s="63"/>
      <c r="C26" s="133"/>
      <c r="D26" s="134"/>
      <c r="E26" s="138"/>
      <c r="F26" s="71"/>
      <c r="G26" s="113"/>
      <c r="H26" s="114"/>
      <c r="I26" s="115"/>
    </row>
    <row r="27" spans="1:9" ht="15" x14ac:dyDescent="0.25">
      <c r="A27" s="63"/>
      <c r="B27" s="63"/>
      <c r="C27" s="133"/>
      <c r="D27" s="131"/>
      <c r="E27" s="145"/>
      <c r="F27" s="146"/>
      <c r="G27" s="113"/>
      <c r="H27" s="114"/>
      <c r="I27" s="115"/>
    </row>
    <row r="28" spans="1:9" ht="15.75" x14ac:dyDescent="0.25">
      <c r="A28" s="147"/>
      <c r="B28" s="148"/>
      <c r="C28" s="149" t="s">
        <v>92</v>
      </c>
      <c r="D28" s="150"/>
      <c r="E28" s="113"/>
      <c r="F28" s="114"/>
      <c r="G28" s="113"/>
      <c r="H28" s="114"/>
      <c r="I28" s="115"/>
    </row>
    <row r="29" spans="1:9" ht="15" x14ac:dyDescent="0.25">
      <c r="A29" s="127"/>
      <c r="B29" s="127"/>
      <c r="C29" s="128"/>
      <c r="D29" s="131"/>
      <c r="E29" s="62"/>
      <c r="F29" s="126"/>
      <c r="G29" s="119"/>
      <c r="H29" s="114"/>
      <c r="I29" s="115"/>
    </row>
    <row r="30" spans="1:9" ht="15" x14ac:dyDescent="0.25">
      <c r="A30" s="63"/>
      <c r="B30" s="63"/>
      <c r="C30" s="54"/>
      <c r="D30" s="131"/>
      <c r="E30" s="132"/>
      <c r="F30" s="126"/>
      <c r="G30" s="113"/>
      <c r="H30" s="114"/>
      <c r="I30" s="115"/>
    </row>
    <row r="31" spans="1:9" ht="15" x14ac:dyDescent="0.25">
      <c r="A31" s="151"/>
      <c r="B31" s="152"/>
      <c r="C31" s="153"/>
      <c r="D31" s="138"/>
      <c r="E31" s="134"/>
      <c r="F31" s="71"/>
      <c r="G31" s="113"/>
      <c r="H31" s="114"/>
      <c r="I31" s="115"/>
    </row>
    <row r="32" spans="1:9" ht="15" x14ac:dyDescent="0.25">
      <c r="A32" s="154"/>
      <c r="B32" s="154"/>
      <c r="C32" s="133"/>
      <c r="D32" s="138"/>
      <c r="E32" s="134"/>
      <c r="F32" s="71"/>
      <c r="G32" s="113"/>
      <c r="H32" s="114"/>
      <c r="I32" s="115"/>
    </row>
    <row r="33" spans="1:13" ht="15" x14ac:dyDescent="0.25">
      <c r="A33" s="151"/>
      <c r="B33" s="152"/>
      <c r="C33" s="153"/>
      <c r="D33" s="138"/>
      <c r="E33" s="134"/>
      <c r="F33" s="71"/>
      <c r="G33" s="113"/>
      <c r="H33" s="114"/>
      <c r="I33" s="115"/>
    </row>
    <row r="34" spans="1:13" ht="15.75" x14ac:dyDescent="0.25">
      <c r="A34" s="151"/>
      <c r="B34" s="152"/>
      <c r="C34" s="153"/>
      <c r="D34" s="155"/>
      <c r="E34" s="134"/>
      <c r="F34" s="71"/>
      <c r="G34" s="156"/>
      <c r="H34" s="138"/>
      <c r="I34" s="115"/>
    </row>
    <row r="35" spans="1:13" ht="15.75" x14ac:dyDescent="0.25">
      <c r="A35" s="135"/>
      <c r="B35" s="136"/>
      <c r="C35" s="157"/>
      <c r="D35" s="155"/>
      <c r="E35" s="134"/>
      <c r="F35" s="71"/>
      <c r="G35" s="134"/>
      <c r="H35" s="138"/>
      <c r="I35" s="115"/>
    </row>
    <row r="36" spans="1:13" ht="15.75" x14ac:dyDescent="0.25">
      <c r="A36" s="135"/>
      <c r="B36" s="136"/>
      <c r="C36" s="157"/>
      <c r="D36" s="155"/>
      <c r="E36" s="134"/>
      <c r="F36" s="71"/>
      <c r="G36" s="158"/>
      <c r="H36" s="71"/>
      <c r="I36" s="115"/>
    </row>
    <row r="37" spans="1:13" ht="15.75" x14ac:dyDescent="0.25">
      <c r="A37" s="135"/>
      <c r="B37" s="136"/>
      <c r="C37" s="157"/>
      <c r="D37" s="138"/>
      <c r="E37" s="138"/>
      <c r="F37" s="71"/>
      <c r="G37" s="155"/>
      <c r="H37" s="155"/>
      <c r="I37" s="115"/>
    </row>
    <row r="38" spans="1:13" ht="14.25" thickBot="1" x14ac:dyDescent="0.3">
      <c r="A38" s="159"/>
      <c r="B38" s="160"/>
      <c r="C38" s="161"/>
      <c r="D38" s="161"/>
      <c r="E38" s="162"/>
      <c r="F38" s="163"/>
      <c r="G38" s="161"/>
      <c r="H38" s="161"/>
      <c r="I38" s="164"/>
      <c r="J38" s="1"/>
      <c r="K38" s="1"/>
      <c r="L38" s="165"/>
      <c r="M38" s="1"/>
    </row>
    <row r="39" spans="1:13" ht="14.25" thickBot="1" x14ac:dyDescent="0.3">
      <c r="A39" s="166"/>
      <c r="B39" s="167"/>
      <c r="C39" s="168"/>
      <c r="D39" s="169" t="s">
        <v>11</v>
      </c>
      <c r="E39" s="170" t="s">
        <v>10</v>
      </c>
      <c r="F39" s="171"/>
      <c r="G39" s="168"/>
      <c r="H39" s="168"/>
      <c r="I39" s="172"/>
      <c r="J39" s="1"/>
      <c r="K39" s="1"/>
      <c r="L39" s="165"/>
      <c r="M39" s="1"/>
    </row>
    <row r="40" spans="1:13" ht="13.5" x14ac:dyDescent="0.25">
      <c r="A40" s="496" t="s">
        <v>9</v>
      </c>
      <c r="B40" s="497"/>
      <c r="C40" s="498"/>
      <c r="D40" s="173">
        <v>5000</v>
      </c>
      <c r="E40" s="174" t="s">
        <v>2</v>
      </c>
      <c r="F40" s="499" t="s">
        <v>50</v>
      </c>
      <c r="G40" s="499"/>
      <c r="H40" s="500"/>
      <c r="I40" s="501"/>
      <c r="J40" s="1"/>
      <c r="K40" s="1"/>
      <c r="L40" s="165"/>
      <c r="M40" s="1"/>
    </row>
    <row r="41" spans="1:13" ht="13.5" x14ac:dyDescent="0.25">
      <c r="A41" s="476" t="s">
        <v>51</v>
      </c>
      <c r="B41" s="477"/>
      <c r="C41" s="478"/>
      <c r="D41" s="175">
        <v>10</v>
      </c>
      <c r="E41" s="176" t="s">
        <v>63</v>
      </c>
      <c r="F41" s="479" t="s">
        <v>52</v>
      </c>
      <c r="G41" s="479"/>
      <c r="H41" s="480"/>
      <c r="I41" s="481"/>
      <c r="J41" s="1"/>
      <c r="K41" s="1"/>
      <c r="L41" s="165"/>
      <c r="M41" s="1"/>
    </row>
    <row r="42" spans="1:13" ht="13.5" x14ac:dyDescent="0.25">
      <c r="A42" s="476" t="s">
        <v>6</v>
      </c>
      <c r="B42" s="477"/>
      <c r="C42" s="478"/>
      <c r="D42" s="176">
        <v>1</v>
      </c>
      <c r="E42" s="176" t="s">
        <v>64</v>
      </c>
      <c r="F42" s="479" t="s">
        <v>53</v>
      </c>
      <c r="G42" s="479"/>
      <c r="H42" s="480"/>
      <c r="I42" s="481"/>
      <c r="J42" s="1">
        <f>5000/D40</f>
        <v>1</v>
      </c>
      <c r="K42" s="1"/>
      <c r="L42" s="165"/>
      <c r="M42" s="1"/>
    </row>
    <row r="43" spans="1:13" ht="13.5" x14ac:dyDescent="0.25">
      <c r="A43" s="476" t="s">
        <v>4</v>
      </c>
      <c r="B43" s="477"/>
      <c r="C43" s="478"/>
      <c r="D43" s="177">
        <v>5000</v>
      </c>
      <c r="E43" s="176" t="s">
        <v>2</v>
      </c>
      <c r="F43" s="482" t="s">
        <v>65</v>
      </c>
      <c r="G43" s="483"/>
      <c r="H43" s="480"/>
      <c r="I43" s="481"/>
      <c r="J43" s="1"/>
      <c r="K43" s="1"/>
      <c r="L43" s="165"/>
      <c r="M43" s="178"/>
    </row>
    <row r="44" spans="1:13" ht="14.25" thickBot="1" x14ac:dyDescent="0.3">
      <c r="A44" s="484" t="s">
        <v>3</v>
      </c>
      <c r="B44" s="485"/>
      <c r="C44" s="486"/>
      <c r="D44" s="179">
        <f>SUM(E10:E14)-D40</f>
        <v>214.75</v>
      </c>
      <c r="E44" s="180" t="s">
        <v>2</v>
      </c>
      <c r="F44" s="487"/>
      <c r="G44" s="487"/>
      <c r="H44" s="488"/>
      <c r="I44" s="489"/>
      <c r="J44" s="161"/>
      <c r="K44" s="161"/>
      <c r="L44" s="165"/>
      <c r="M44" s="161"/>
    </row>
    <row r="45" spans="1:13" ht="13.5" thickBot="1" x14ac:dyDescent="0.25">
      <c r="A45" s="490" t="s">
        <v>1</v>
      </c>
      <c r="B45" s="491"/>
      <c r="C45" s="491"/>
      <c r="D45" s="491"/>
      <c r="E45" s="491"/>
      <c r="F45" s="491"/>
      <c r="G45" s="491"/>
      <c r="H45" s="491"/>
      <c r="I45" s="492"/>
      <c r="J45" s="1"/>
      <c r="K45" s="1"/>
      <c r="L45" s="1"/>
      <c r="M45" s="1"/>
    </row>
    <row r="46" spans="1:13" ht="18.600000000000001" customHeight="1" x14ac:dyDescent="0.25">
      <c r="A46" s="493" t="s">
        <v>98</v>
      </c>
      <c r="B46" s="494"/>
      <c r="C46" s="494"/>
      <c r="D46" s="494"/>
      <c r="E46" s="494"/>
      <c r="F46" s="494"/>
      <c r="G46" s="494"/>
      <c r="H46" s="494"/>
      <c r="I46" s="495"/>
      <c r="J46" s="1"/>
      <c r="K46" s="1"/>
      <c r="L46" s="1"/>
      <c r="M46" s="1"/>
    </row>
    <row r="47" spans="1:13" ht="15.6" customHeight="1" x14ac:dyDescent="0.2">
      <c r="A47" s="475" t="s">
        <v>99</v>
      </c>
      <c r="B47" s="475"/>
      <c r="C47" s="475"/>
      <c r="D47" s="475"/>
      <c r="E47" s="475"/>
      <c r="F47" s="475"/>
      <c r="G47" s="475"/>
      <c r="H47" s="475"/>
      <c r="I47" s="475"/>
      <c r="J47" s="1"/>
      <c r="K47" s="1"/>
      <c r="L47" s="1"/>
      <c r="M47" s="1"/>
    </row>
    <row r="48" spans="1:13" hidden="1" x14ac:dyDescent="0.2">
      <c r="A48" s="475"/>
      <c r="B48" s="475"/>
      <c r="C48" s="475"/>
      <c r="D48" s="475"/>
      <c r="E48" s="475"/>
      <c r="F48" s="475"/>
      <c r="G48" s="475"/>
      <c r="H48" s="475"/>
      <c r="I48" s="475"/>
      <c r="J48" s="1"/>
      <c r="K48" s="1"/>
      <c r="L48" s="1"/>
      <c r="M48" s="1"/>
    </row>
    <row r="49" spans="1:13" ht="15" x14ac:dyDescent="0.25">
      <c r="A49" s="460" t="s">
        <v>100</v>
      </c>
      <c r="B49" s="461"/>
      <c r="C49" s="461"/>
      <c r="D49" s="461"/>
      <c r="E49" s="461"/>
      <c r="F49" s="461"/>
      <c r="G49" s="461"/>
      <c r="H49" s="461"/>
      <c r="I49" s="462"/>
      <c r="J49" s="1"/>
      <c r="K49" s="1"/>
      <c r="L49" s="1"/>
      <c r="M49" s="1"/>
    </row>
    <row r="50" spans="1:13" ht="15" x14ac:dyDescent="0.25">
      <c r="A50" s="460" t="s">
        <v>101</v>
      </c>
      <c r="B50" s="461"/>
      <c r="C50" s="461"/>
      <c r="D50" s="461"/>
      <c r="E50" s="461"/>
      <c r="F50" s="461"/>
      <c r="G50" s="461"/>
      <c r="H50" s="461"/>
      <c r="I50" s="462"/>
      <c r="J50" s="1"/>
      <c r="K50" s="1"/>
      <c r="L50" s="1"/>
      <c r="M50" s="1"/>
    </row>
    <row r="51" spans="1:13" ht="15" x14ac:dyDescent="0.25">
      <c r="A51" s="463"/>
      <c r="B51" s="464"/>
      <c r="C51" s="464"/>
      <c r="D51" s="464"/>
      <c r="E51" s="464"/>
      <c r="F51" s="464"/>
      <c r="G51" s="464"/>
      <c r="H51" s="464"/>
      <c r="I51" s="465"/>
      <c r="J51" s="1"/>
      <c r="K51" s="1"/>
      <c r="L51" s="1"/>
      <c r="M51" s="1"/>
    </row>
    <row r="52" spans="1:13" ht="18" customHeight="1" x14ac:dyDescent="0.2">
      <c r="A52" s="466"/>
      <c r="B52" s="467"/>
      <c r="C52" s="467"/>
      <c r="D52" s="467"/>
      <c r="E52" s="467"/>
      <c r="F52" s="467"/>
      <c r="G52" s="467"/>
      <c r="H52" s="467"/>
      <c r="I52" s="468"/>
      <c r="J52" s="1"/>
      <c r="K52" s="1"/>
      <c r="L52" s="1"/>
      <c r="M52" s="1"/>
    </row>
    <row r="53" spans="1:13" ht="13.5" x14ac:dyDescent="0.25">
      <c r="A53" s="469"/>
      <c r="B53" s="470"/>
      <c r="C53" s="470"/>
      <c r="D53" s="470"/>
      <c r="E53" s="470"/>
      <c r="F53" s="470"/>
      <c r="G53" s="470"/>
      <c r="H53" s="470"/>
      <c r="I53" s="471"/>
      <c r="J53" s="1"/>
      <c r="K53" s="1"/>
      <c r="L53" s="1"/>
      <c r="M53" s="1"/>
    </row>
    <row r="54" spans="1:13" ht="14.25" thickBot="1" x14ac:dyDescent="0.3">
      <c r="A54" s="472"/>
      <c r="B54" s="473"/>
      <c r="C54" s="473"/>
      <c r="D54" s="473"/>
      <c r="E54" s="473"/>
      <c r="F54" s="473"/>
      <c r="G54" s="473"/>
      <c r="H54" s="473"/>
      <c r="I54" s="474"/>
      <c r="J54" s="1"/>
      <c r="K54" s="1"/>
      <c r="L54" s="1"/>
      <c r="M54" s="1"/>
    </row>
    <row r="55" spans="1:13" x14ac:dyDescent="0.2">
      <c r="A55" s="456" t="s">
        <v>0</v>
      </c>
      <c r="B55" s="457"/>
      <c r="C55" s="457"/>
      <c r="D55" s="457"/>
      <c r="E55" s="457"/>
      <c r="F55" s="457"/>
      <c r="G55" s="457"/>
      <c r="H55" s="457"/>
      <c r="I55" s="457"/>
      <c r="J55" s="1"/>
      <c r="K55" s="1"/>
      <c r="L55" s="1"/>
      <c r="M55" s="1"/>
    </row>
    <row r="56" spans="1:13" ht="13.5" x14ac:dyDescent="0.25">
      <c r="A56" s="458"/>
      <c r="B56" s="459"/>
      <c r="C56" s="459"/>
      <c r="D56" s="459"/>
      <c r="E56" s="459"/>
      <c r="F56" s="459"/>
      <c r="G56" s="459"/>
      <c r="H56" s="459"/>
      <c r="I56" s="459"/>
      <c r="J56" s="1"/>
      <c r="K56" s="1"/>
      <c r="L56" s="1"/>
      <c r="M56" s="1"/>
    </row>
    <row r="57" spans="1:13" ht="13.5" x14ac:dyDescent="0.25">
      <c r="A57" s="458"/>
      <c r="B57" s="459"/>
      <c r="C57" s="459"/>
      <c r="D57" s="459"/>
      <c r="E57" s="459"/>
      <c r="F57" s="459"/>
      <c r="G57" s="459"/>
      <c r="H57" s="459"/>
      <c r="I57" s="45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8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3446-87BA-4482-A229-BE735DBEB0EB}">
  <sheetPr>
    <pageSetUpPr fitToPage="1"/>
  </sheetPr>
  <dimension ref="A1:M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5.140625" customWidth="1"/>
    <col min="3" max="3" width="72.85546875" customWidth="1"/>
    <col min="4" max="4" width="21.42578125" bestFit="1" customWidth="1"/>
    <col min="7" max="7" width="22" customWidth="1"/>
    <col min="8" max="8" width="15.85546875" customWidth="1"/>
    <col min="9" max="9" width="20.85546875" bestFit="1" customWidth="1"/>
  </cols>
  <sheetData>
    <row r="1" spans="1:9" ht="15" x14ac:dyDescent="0.2">
      <c r="A1" s="518"/>
      <c r="B1" s="519"/>
      <c r="C1" s="524" t="s">
        <v>42</v>
      </c>
      <c r="D1" s="524"/>
      <c r="E1" s="524"/>
      <c r="F1" s="524"/>
      <c r="G1" s="524"/>
      <c r="H1" s="98" t="s">
        <v>41</v>
      </c>
      <c r="I1" s="291" t="s">
        <v>168</v>
      </c>
    </row>
    <row r="2" spans="1:9" ht="15.75" thickBot="1" x14ac:dyDescent="0.25">
      <c r="A2" s="520"/>
      <c r="B2" s="521"/>
      <c r="C2" s="525" t="s">
        <v>40</v>
      </c>
      <c r="D2" s="525"/>
      <c r="E2" s="525"/>
      <c r="F2" s="525"/>
      <c r="G2" s="525"/>
      <c r="H2" s="100" t="s">
        <v>39</v>
      </c>
      <c r="I2" s="292" t="s">
        <v>173</v>
      </c>
    </row>
    <row r="3" spans="1:9" ht="29.25" customHeight="1" thickBot="1" x14ac:dyDescent="0.25">
      <c r="A3" s="520"/>
      <c r="B3" s="521"/>
      <c r="C3" s="578" t="s">
        <v>166</v>
      </c>
      <c r="D3" s="579"/>
      <c r="E3" s="579"/>
      <c r="F3" s="579"/>
      <c r="G3" s="580"/>
      <c r="H3" s="529" t="s">
        <v>38</v>
      </c>
      <c r="I3" s="575" t="s">
        <v>167</v>
      </c>
    </row>
    <row r="4" spans="1:9" ht="13.5" x14ac:dyDescent="0.25">
      <c r="A4" s="520"/>
      <c r="B4" s="521"/>
      <c r="C4" s="102" t="s">
        <v>37</v>
      </c>
      <c r="D4" s="512" t="s">
        <v>93</v>
      </c>
      <c r="E4" s="513"/>
      <c r="F4" s="513"/>
      <c r="G4" s="514"/>
      <c r="H4" s="530"/>
      <c r="I4" s="576"/>
    </row>
    <row r="5" spans="1:9" ht="14.25" thickBot="1" x14ac:dyDescent="0.3">
      <c r="A5" s="522"/>
      <c r="B5" s="523"/>
      <c r="C5" s="103" t="s">
        <v>36</v>
      </c>
      <c r="D5" s="515" t="s">
        <v>59</v>
      </c>
      <c r="E5" s="516"/>
      <c r="F5" s="516"/>
      <c r="G5" s="517"/>
      <c r="H5" s="531"/>
      <c r="I5" s="577"/>
    </row>
    <row r="6" spans="1:9" ht="18.75" thickBot="1" x14ac:dyDescent="0.3">
      <c r="A6" s="401" t="s">
        <v>34</v>
      </c>
      <c r="B6" s="401"/>
      <c r="C6" s="401"/>
      <c r="D6" s="563" t="s">
        <v>84</v>
      </c>
      <c r="E6" s="563"/>
      <c r="F6" s="563"/>
      <c r="G6" s="403" t="s">
        <v>32</v>
      </c>
      <c r="H6" s="403"/>
      <c r="I6" s="362" t="s">
        <v>103</v>
      </c>
    </row>
    <row r="7" spans="1:9" x14ac:dyDescent="0.2">
      <c r="A7" s="503" t="s">
        <v>30</v>
      </c>
      <c r="B7" s="505" t="s">
        <v>61</v>
      </c>
      <c r="C7" s="507" t="s">
        <v>29</v>
      </c>
      <c r="D7" s="559" t="s">
        <v>28</v>
      </c>
      <c r="E7" s="559" t="s">
        <v>27</v>
      </c>
      <c r="F7" s="559"/>
      <c r="G7" s="507" t="s">
        <v>26</v>
      </c>
      <c r="H7" s="507"/>
      <c r="I7" s="105" t="s">
        <v>25</v>
      </c>
    </row>
    <row r="8" spans="1:9" ht="26.25" thickBot="1" x14ac:dyDescent="0.25">
      <c r="A8" s="504"/>
      <c r="B8" s="506"/>
      <c r="C8" s="508"/>
      <c r="D8" s="508"/>
      <c r="E8" s="106" t="s">
        <v>11</v>
      </c>
      <c r="F8" s="107" t="s">
        <v>24</v>
      </c>
      <c r="G8" s="106" t="s">
        <v>11</v>
      </c>
      <c r="H8" s="107" t="s">
        <v>24</v>
      </c>
      <c r="I8" s="108" t="s">
        <v>23</v>
      </c>
    </row>
    <row r="9" spans="1:9" ht="20.25" x14ac:dyDescent="0.3">
      <c r="A9" s="293"/>
      <c r="B9" s="294"/>
      <c r="C9" s="295" t="s">
        <v>62</v>
      </c>
      <c r="D9" s="296"/>
      <c r="E9" s="297"/>
      <c r="F9" s="298"/>
      <c r="G9" s="297"/>
      <c r="H9" s="298"/>
      <c r="I9" s="299"/>
    </row>
    <row r="10" spans="1:9" ht="20.25" x14ac:dyDescent="0.3">
      <c r="A10" s="300" t="s">
        <v>85</v>
      </c>
      <c r="B10" s="301" t="s">
        <v>86</v>
      </c>
      <c r="C10" s="302" t="s">
        <v>87</v>
      </c>
      <c r="D10" s="303" t="s">
        <v>88</v>
      </c>
      <c r="E10" s="304">
        <v>4079.9999999999995</v>
      </c>
      <c r="F10" s="305" t="s">
        <v>2</v>
      </c>
      <c r="G10" s="306"/>
      <c r="H10" s="298"/>
      <c r="I10" s="299"/>
    </row>
    <row r="11" spans="1:9" ht="20.25" x14ac:dyDescent="0.3">
      <c r="A11" s="307" t="s">
        <v>89</v>
      </c>
      <c r="B11" s="307" t="s">
        <v>47</v>
      </c>
      <c r="C11" s="308" t="s">
        <v>90</v>
      </c>
      <c r="D11" s="303" t="s">
        <v>91</v>
      </c>
      <c r="E11" s="304">
        <v>5100</v>
      </c>
      <c r="F11" s="305" t="s">
        <v>2</v>
      </c>
      <c r="G11" s="306"/>
      <c r="H11" s="298"/>
      <c r="I11" s="299"/>
    </row>
    <row r="12" spans="1:9" ht="20.25" x14ac:dyDescent="0.3">
      <c r="A12" s="309"/>
      <c r="B12" s="310" t="s">
        <v>163</v>
      </c>
      <c r="C12" s="311" t="s">
        <v>95</v>
      </c>
      <c r="D12" s="312"/>
      <c r="E12" s="313">
        <v>480</v>
      </c>
      <c r="F12" s="305" t="s">
        <v>2</v>
      </c>
      <c r="G12" s="306"/>
      <c r="H12" s="298"/>
      <c r="I12" s="299"/>
    </row>
    <row r="13" spans="1:9" ht="20.25" x14ac:dyDescent="0.3">
      <c r="A13" s="309"/>
      <c r="B13" s="310" t="s">
        <v>164</v>
      </c>
      <c r="C13" s="311" t="s">
        <v>96</v>
      </c>
      <c r="D13" s="312"/>
      <c r="E13" s="313">
        <v>5.0999999999999996</v>
      </c>
      <c r="F13" s="305" t="s">
        <v>2</v>
      </c>
      <c r="G13" s="306"/>
      <c r="H13" s="298"/>
      <c r="I13" s="299"/>
    </row>
    <row r="14" spans="1:9" ht="20.25" x14ac:dyDescent="0.3">
      <c r="A14" s="309"/>
      <c r="B14" s="310" t="s">
        <v>165</v>
      </c>
      <c r="C14" s="314" t="s">
        <v>46</v>
      </c>
      <c r="D14" s="312"/>
      <c r="E14" s="313">
        <v>734.4</v>
      </c>
      <c r="F14" s="315" t="s">
        <v>2</v>
      </c>
      <c r="G14" s="322" t="s">
        <v>172</v>
      </c>
      <c r="H14" s="298"/>
      <c r="I14" s="299"/>
    </row>
    <row r="15" spans="1:9" ht="20.25" x14ac:dyDescent="0.3">
      <c r="A15" s="307"/>
      <c r="B15" s="307"/>
      <c r="C15" s="308"/>
      <c r="D15" s="316"/>
      <c r="E15" s="317"/>
      <c r="F15" s="315"/>
      <c r="G15" s="306"/>
      <c r="H15" s="298"/>
      <c r="I15" s="299"/>
    </row>
    <row r="16" spans="1:9" ht="20.25" x14ac:dyDescent="0.3">
      <c r="A16" s="309"/>
      <c r="B16" s="307"/>
      <c r="C16" s="320"/>
      <c r="D16" s="312"/>
      <c r="E16" s="313"/>
      <c r="F16" s="315"/>
      <c r="G16" s="297"/>
      <c r="H16" s="298"/>
      <c r="I16" s="299"/>
    </row>
    <row r="17" spans="1:13" ht="20.25" x14ac:dyDescent="0.3">
      <c r="A17" s="307"/>
      <c r="B17" s="307"/>
      <c r="C17" s="321"/>
      <c r="D17" s="322"/>
      <c r="E17" s="322"/>
      <c r="F17" s="323"/>
      <c r="G17" s="297"/>
      <c r="H17" s="298"/>
      <c r="I17" s="299"/>
    </row>
    <row r="18" spans="1:13" ht="20.25" x14ac:dyDescent="0.3">
      <c r="A18" s="324"/>
      <c r="B18" s="325"/>
      <c r="C18" s="326" t="s">
        <v>60</v>
      </c>
      <c r="D18" s="327"/>
      <c r="E18" s="328"/>
      <c r="F18" s="323"/>
      <c r="G18" s="297"/>
      <c r="H18" s="298"/>
      <c r="I18" s="299"/>
    </row>
    <row r="19" spans="1:13" ht="20.25" x14ac:dyDescent="0.3">
      <c r="A19" s="329"/>
      <c r="B19" s="327"/>
      <c r="C19" s="330"/>
      <c r="D19" s="331"/>
      <c r="E19" s="322"/>
      <c r="F19" s="323"/>
      <c r="G19" s="297"/>
      <c r="H19" s="298"/>
      <c r="I19" s="299"/>
    </row>
    <row r="20" spans="1:13" ht="20.25" x14ac:dyDescent="0.3">
      <c r="A20" s="307"/>
      <c r="B20" s="307"/>
      <c r="C20" s="321"/>
      <c r="D20" s="331"/>
      <c r="E20" s="322"/>
      <c r="F20" s="323"/>
      <c r="G20" s="297"/>
      <c r="H20" s="298"/>
      <c r="I20" s="299"/>
    </row>
    <row r="21" spans="1:13" ht="20.25" x14ac:dyDescent="0.3">
      <c r="A21" s="332"/>
      <c r="B21" s="332"/>
      <c r="C21" s="330"/>
      <c r="D21" s="331"/>
      <c r="E21" s="322"/>
      <c r="F21" s="323"/>
      <c r="G21" s="297"/>
      <c r="H21" s="298"/>
      <c r="I21" s="299"/>
    </row>
    <row r="22" spans="1:13" ht="20.25" x14ac:dyDescent="0.3">
      <c r="A22" s="307"/>
      <c r="B22" s="307"/>
      <c r="C22" s="321"/>
      <c r="D22" s="322"/>
      <c r="E22" s="327"/>
      <c r="F22" s="323"/>
      <c r="G22" s="297"/>
      <c r="H22" s="298"/>
      <c r="I22" s="299"/>
    </row>
    <row r="23" spans="1:13" ht="20.25" x14ac:dyDescent="0.3">
      <c r="A23" s="307"/>
      <c r="B23" s="307"/>
      <c r="C23" s="321"/>
      <c r="D23" s="312"/>
      <c r="E23" s="333"/>
      <c r="F23" s="334"/>
      <c r="G23" s="297"/>
      <c r="H23" s="298"/>
      <c r="I23" s="299"/>
    </row>
    <row r="24" spans="1:13" ht="20.25" x14ac:dyDescent="0.3">
      <c r="A24" s="335"/>
      <c r="B24" s="336"/>
      <c r="C24" s="337" t="s">
        <v>92</v>
      </c>
      <c r="D24" s="338"/>
      <c r="E24" s="297"/>
      <c r="F24" s="298"/>
      <c r="G24" s="297"/>
      <c r="H24" s="298"/>
      <c r="I24" s="299"/>
    </row>
    <row r="25" spans="1:13" ht="20.25" x14ac:dyDescent="0.3">
      <c r="A25" s="318"/>
      <c r="B25" s="318"/>
      <c r="C25" s="319"/>
      <c r="D25" s="312"/>
      <c r="E25" s="307"/>
      <c r="F25" s="315"/>
      <c r="G25" s="306"/>
      <c r="H25" s="298"/>
      <c r="I25" s="299"/>
    </row>
    <row r="26" spans="1:13" ht="20.25" x14ac:dyDescent="0.3">
      <c r="A26" s="339"/>
      <c r="B26" s="340"/>
      <c r="C26" s="341"/>
      <c r="D26" s="327"/>
      <c r="E26" s="322"/>
      <c r="F26" s="323"/>
      <c r="G26" s="342"/>
      <c r="H26" s="327"/>
      <c r="I26" s="299"/>
    </row>
    <row r="27" spans="1:13" ht="20.25" x14ac:dyDescent="0.3">
      <c r="A27" s="324"/>
      <c r="B27" s="325"/>
      <c r="C27" s="343"/>
      <c r="D27" s="327"/>
      <c r="E27" s="322"/>
      <c r="F27" s="323"/>
      <c r="G27" s="322"/>
      <c r="H27" s="327"/>
      <c r="I27" s="299"/>
    </row>
    <row r="28" spans="1:13" ht="20.25" x14ac:dyDescent="0.3">
      <c r="A28" s="324"/>
      <c r="B28" s="325"/>
      <c r="C28" s="343"/>
      <c r="D28" s="327"/>
      <c r="E28" s="322"/>
      <c r="F28" s="323"/>
      <c r="G28" s="322"/>
      <c r="H28" s="323"/>
      <c r="I28" s="299"/>
    </row>
    <row r="29" spans="1:13" ht="20.25" x14ac:dyDescent="0.3">
      <c r="A29" s="324"/>
      <c r="B29" s="325"/>
      <c r="C29" s="343"/>
      <c r="D29" s="327"/>
      <c r="E29" s="327"/>
      <c r="F29" s="323"/>
      <c r="G29" s="327"/>
      <c r="H29" s="327"/>
      <c r="I29" s="299"/>
    </row>
    <row r="30" spans="1:13" ht="21" thickBot="1" x14ac:dyDescent="0.35">
      <c r="A30" s="344"/>
      <c r="B30" s="345"/>
      <c r="C30" s="346"/>
      <c r="D30" s="346"/>
      <c r="E30" s="347"/>
      <c r="F30" s="348"/>
      <c r="G30" s="346"/>
      <c r="H30" s="346"/>
      <c r="I30" s="349"/>
      <c r="J30" s="1"/>
      <c r="K30" s="1"/>
      <c r="L30" s="165"/>
      <c r="M30" s="1"/>
    </row>
    <row r="31" spans="1:13" ht="21" thickBot="1" x14ac:dyDescent="0.35">
      <c r="A31" s="350"/>
      <c r="B31" s="351"/>
      <c r="C31" s="352"/>
      <c r="D31" s="353" t="s">
        <v>11</v>
      </c>
      <c r="E31" s="354" t="s">
        <v>10</v>
      </c>
      <c r="F31" s="355"/>
      <c r="G31" s="352"/>
      <c r="H31" s="352"/>
      <c r="I31" s="356"/>
      <c r="J31" s="1"/>
      <c r="K31" s="1"/>
      <c r="L31" s="165"/>
      <c r="M31" s="1"/>
    </row>
    <row r="32" spans="1:13" ht="20.25" x14ac:dyDescent="0.3">
      <c r="A32" s="560" t="s">
        <v>9</v>
      </c>
      <c r="B32" s="561"/>
      <c r="C32" s="562"/>
      <c r="D32" s="357">
        <v>10000</v>
      </c>
      <c r="E32" s="358" t="s">
        <v>2</v>
      </c>
      <c r="F32" s="550" t="s">
        <v>50</v>
      </c>
      <c r="G32" s="550"/>
      <c r="H32" s="551"/>
      <c r="I32" s="552"/>
      <c r="J32" s="1"/>
      <c r="K32" s="1"/>
      <c r="L32" s="165"/>
      <c r="M32" s="1"/>
    </row>
    <row r="33" spans="1:13" ht="20.25" x14ac:dyDescent="0.3">
      <c r="A33" s="553" t="s">
        <v>51</v>
      </c>
      <c r="B33" s="554"/>
      <c r="C33" s="555"/>
      <c r="D33" s="359">
        <v>15</v>
      </c>
      <c r="E33" s="307" t="s">
        <v>63</v>
      </c>
      <c r="F33" s="556" t="s">
        <v>52</v>
      </c>
      <c r="G33" s="556"/>
      <c r="H33" s="557"/>
      <c r="I33" s="558"/>
      <c r="J33" s="1"/>
      <c r="K33" s="1"/>
      <c r="L33" s="165"/>
      <c r="M33" s="1"/>
    </row>
    <row r="34" spans="1:13" ht="20.25" x14ac:dyDescent="0.3">
      <c r="A34" s="553" t="s">
        <v>6</v>
      </c>
      <c r="B34" s="554"/>
      <c r="C34" s="555"/>
      <c r="D34" s="307">
        <v>1</v>
      </c>
      <c r="E34" s="307" t="s">
        <v>64</v>
      </c>
      <c r="F34" s="556" t="s">
        <v>53</v>
      </c>
      <c r="G34" s="556"/>
      <c r="H34" s="557"/>
      <c r="I34" s="558"/>
      <c r="J34" s="1">
        <v>0.5</v>
      </c>
      <c r="K34" s="1"/>
      <c r="L34" s="165"/>
      <c r="M34" s="1"/>
    </row>
    <row r="35" spans="1:13" ht="20.25" x14ac:dyDescent="0.3">
      <c r="A35" s="553" t="s">
        <v>4</v>
      </c>
      <c r="B35" s="554"/>
      <c r="C35" s="555"/>
      <c r="D35" s="313">
        <v>10000</v>
      </c>
      <c r="E35" s="307" t="s">
        <v>2</v>
      </c>
      <c r="F35" s="564" t="s">
        <v>65</v>
      </c>
      <c r="G35" s="565"/>
      <c r="H35" s="557"/>
      <c r="I35" s="558"/>
      <c r="J35" s="1"/>
      <c r="K35" s="1"/>
      <c r="L35" s="165"/>
      <c r="M35" s="178"/>
    </row>
    <row r="36" spans="1:13" ht="21" thickBot="1" x14ac:dyDescent="0.35">
      <c r="A36" s="566" t="s">
        <v>3</v>
      </c>
      <c r="B36" s="567"/>
      <c r="C36" s="568"/>
      <c r="D36" s="360">
        <v>399.5</v>
      </c>
      <c r="E36" s="361" t="s">
        <v>2</v>
      </c>
      <c r="F36" s="569"/>
      <c r="G36" s="569"/>
      <c r="H36" s="570"/>
      <c r="I36" s="571"/>
      <c r="J36" s="161"/>
      <c r="K36" s="161"/>
      <c r="L36" s="165"/>
      <c r="M36" s="161"/>
    </row>
    <row r="37" spans="1:13" ht="21" thickBot="1" x14ac:dyDescent="0.35">
      <c r="A37" s="572" t="s">
        <v>1</v>
      </c>
      <c r="B37" s="573"/>
      <c r="C37" s="573"/>
      <c r="D37" s="573"/>
      <c r="E37" s="573"/>
      <c r="F37" s="573"/>
      <c r="G37" s="573"/>
      <c r="H37" s="573"/>
      <c r="I37" s="574"/>
      <c r="J37" s="1"/>
      <c r="K37" s="1"/>
      <c r="L37" s="1"/>
      <c r="M37" s="1"/>
    </row>
    <row r="38" spans="1:13" ht="46.15" customHeight="1" x14ac:dyDescent="0.3">
      <c r="A38" s="535" t="s">
        <v>169</v>
      </c>
      <c r="B38" s="536"/>
      <c r="C38" s="536"/>
      <c r="D38" s="536"/>
      <c r="E38" s="536"/>
      <c r="F38" s="536"/>
      <c r="G38" s="536"/>
      <c r="H38" s="536"/>
      <c r="I38" s="537"/>
      <c r="J38" s="1"/>
      <c r="K38" s="1"/>
      <c r="L38" s="1"/>
      <c r="M38" s="1"/>
    </row>
    <row r="39" spans="1:13" ht="41.45" customHeight="1" x14ac:dyDescent="0.3">
      <c r="A39" s="535" t="s">
        <v>170</v>
      </c>
      <c r="B39" s="536"/>
      <c r="C39" s="536"/>
      <c r="D39" s="536"/>
      <c r="E39" s="536"/>
      <c r="F39" s="536"/>
      <c r="G39" s="536"/>
      <c r="H39" s="536"/>
      <c r="I39" s="537"/>
      <c r="J39" s="1"/>
      <c r="K39" s="1"/>
      <c r="L39" s="1"/>
      <c r="M39" s="1"/>
    </row>
    <row r="40" spans="1:13" ht="20.25" x14ac:dyDescent="0.3">
      <c r="A40" s="538" t="s">
        <v>101</v>
      </c>
      <c r="B40" s="539"/>
      <c r="C40" s="539"/>
      <c r="D40" s="539"/>
      <c r="E40" s="539"/>
      <c r="F40" s="539"/>
      <c r="G40" s="539"/>
      <c r="H40" s="539"/>
      <c r="I40" s="540"/>
      <c r="J40" s="1"/>
      <c r="K40" s="1"/>
      <c r="L40" s="1"/>
      <c r="M40" s="1"/>
    </row>
    <row r="41" spans="1:13" ht="20.25" x14ac:dyDescent="0.3">
      <c r="A41" s="541"/>
      <c r="B41" s="542"/>
      <c r="C41" s="542"/>
      <c r="D41" s="542"/>
      <c r="E41" s="542"/>
      <c r="F41" s="542"/>
      <c r="G41" s="542"/>
      <c r="H41" s="542"/>
      <c r="I41" s="543"/>
      <c r="J41" s="1"/>
      <c r="K41" s="1"/>
      <c r="L41" s="1"/>
      <c r="M41" s="1"/>
    </row>
    <row r="42" spans="1:13" ht="20.25" x14ac:dyDescent="0.3">
      <c r="A42" s="538"/>
      <c r="B42" s="539"/>
      <c r="C42" s="539"/>
      <c r="D42" s="539"/>
      <c r="E42" s="539"/>
      <c r="F42" s="539"/>
      <c r="G42" s="539"/>
      <c r="H42" s="539"/>
      <c r="I42" s="540"/>
      <c r="J42" s="1"/>
      <c r="K42" s="1"/>
      <c r="L42" s="1"/>
      <c r="M42" s="1"/>
    </row>
    <row r="43" spans="1:13" ht="20.25" x14ac:dyDescent="0.3">
      <c r="A43" s="544"/>
      <c r="B43" s="545"/>
      <c r="C43" s="545"/>
      <c r="D43" s="545"/>
      <c r="E43" s="545"/>
      <c r="F43" s="545"/>
      <c r="G43" s="545"/>
      <c r="H43" s="545"/>
      <c r="I43" s="546"/>
      <c r="J43" s="1"/>
      <c r="K43" s="1"/>
      <c r="L43" s="1"/>
      <c r="M43" s="1"/>
    </row>
    <row r="44" spans="1:13" ht="21" thickBot="1" x14ac:dyDescent="0.35">
      <c r="A44" s="547"/>
      <c r="B44" s="548"/>
      <c r="C44" s="548"/>
      <c r="D44" s="548"/>
      <c r="E44" s="548"/>
      <c r="F44" s="548"/>
      <c r="G44" s="548"/>
      <c r="H44" s="548"/>
      <c r="I44" s="549"/>
      <c r="J44" s="1"/>
      <c r="K44" s="1"/>
      <c r="L44" s="1"/>
      <c r="M44" s="1"/>
    </row>
    <row r="45" spans="1:13" ht="20.25" x14ac:dyDescent="0.3">
      <c r="A45" s="532" t="s">
        <v>0</v>
      </c>
      <c r="B45" s="533"/>
      <c r="C45" s="533"/>
      <c r="D45" s="533"/>
      <c r="E45" s="533"/>
      <c r="F45" s="533"/>
      <c r="G45" s="533"/>
      <c r="H45" s="533"/>
      <c r="I45" s="533"/>
      <c r="J45" s="1"/>
      <c r="K45" s="1"/>
      <c r="L45" s="1"/>
      <c r="M45" s="1"/>
    </row>
    <row r="46" spans="1:13" ht="20.25" x14ac:dyDescent="0.3">
      <c r="A46" s="534" t="s">
        <v>171</v>
      </c>
      <c r="B46" s="534"/>
      <c r="C46" s="534"/>
      <c r="D46" s="534"/>
      <c r="E46" s="534"/>
      <c r="F46" s="534"/>
      <c r="G46" s="534"/>
      <c r="H46" s="534"/>
      <c r="I46" s="534"/>
      <c r="J46" s="1"/>
      <c r="K46" s="1"/>
      <c r="L46" s="1"/>
      <c r="M46" s="1"/>
    </row>
    <row r="47" spans="1:13" ht="20.25" x14ac:dyDescent="0.3">
      <c r="A47" s="534"/>
      <c r="B47" s="534"/>
      <c r="C47" s="534"/>
      <c r="D47" s="534"/>
      <c r="E47" s="534"/>
      <c r="F47" s="534"/>
      <c r="G47" s="534"/>
      <c r="H47" s="534"/>
      <c r="I47" s="534"/>
    </row>
  </sheetData>
  <mergeCells count="43">
    <mergeCell ref="E7:F7"/>
    <mergeCell ref="G7:H7"/>
    <mergeCell ref="I3:I5"/>
    <mergeCell ref="D4:G4"/>
    <mergeCell ref="D5:G5"/>
    <mergeCell ref="C3:G3"/>
    <mergeCell ref="H3:H5"/>
    <mergeCell ref="A36:C36"/>
    <mergeCell ref="F36:G36"/>
    <mergeCell ref="H36:I36"/>
    <mergeCell ref="A37:I37"/>
    <mergeCell ref="A38:I38"/>
    <mergeCell ref="A34:C34"/>
    <mergeCell ref="F34:G34"/>
    <mergeCell ref="H34:I34"/>
    <mergeCell ref="A35:C35"/>
    <mergeCell ref="F35:G35"/>
    <mergeCell ref="H35:I35"/>
    <mergeCell ref="A1:B5"/>
    <mergeCell ref="C1:G1"/>
    <mergeCell ref="C2:G2"/>
    <mergeCell ref="A6:C6"/>
    <mergeCell ref="D6:F6"/>
    <mergeCell ref="G6:H6"/>
    <mergeCell ref="A7:A8"/>
    <mergeCell ref="B7:B8"/>
    <mergeCell ref="C7:C8"/>
    <mergeCell ref="D7:D8"/>
    <mergeCell ref="A32:C32"/>
    <mergeCell ref="F32:G32"/>
    <mergeCell ref="H32:I32"/>
    <mergeCell ref="A33:C33"/>
    <mergeCell ref="F33:G33"/>
    <mergeCell ref="H33:I33"/>
    <mergeCell ref="A45:I45"/>
    <mergeCell ref="A46:I46"/>
    <mergeCell ref="A47:I47"/>
    <mergeCell ref="A39:I39"/>
    <mergeCell ref="A40:I40"/>
    <mergeCell ref="A41:I41"/>
    <mergeCell ref="A42:I42"/>
    <mergeCell ref="A43:I43"/>
    <mergeCell ref="A44:I44"/>
  </mergeCells>
  <pageMargins left="0.7" right="0.7" top="0.75" bottom="0.75" header="0.3" footer="0.3"/>
  <pageSetup scale="4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0BEA-E594-41B0-9057-1BD9169B63FA}">
  <dimension ref="A1:Q91"/>
  <sheetViews>
    <sheetView workbookViewId="0">
      <selection activeCell="B10" sqref="B10"/>
    </sheetView>
  </sheetViews>
  <sheetFormatPr baseColWidth="10" defaultColWidth="8.42578125" defaultRowHeight="12.75" x14ac:dyDescent="0.2"/>
  <cols>
    <col min="1" max="1" width="10" style="199" bestFit="1" customWidth="1"/>
    <col min="2" max="2" width="44.28515625" style="199" bestFit="1" customWidth="1"/>
    <col min="3" max="3" width="10.42578125" style="199" bestFit="1" customWidth="1"/>
    <col min="4" max="4" width="10.42578125" style="199" customWidth="1"/>
    <col min="5" max="5" width="11" style="199" customWidth="1"/>
    <col min="6" max="6" width="9.5703125" style="199" bestFit="1" customWidth="1"/>
    <col min="7" max="7" width="10.85546875" style="281" customWidth="1"/>
    <col min="8" max="8" width="10.42578125" style="272" bestFit="1" customWidth="1"/>
    <col min="9" max="9" width="4.5703125" style="272" customWidth="1"/>
    <col min="10" max="10" width="1.85546875" style="198" customWidth="1"/>
    <col min="11" max="11" width="7" style="199" bestFit="1" customWidth="1"/>
    <col min="12" max="12" width="6.28515625" style="199" customWidth="1"/>
    <col min="13" max="13" width="20.42578125" style="199" customWidth="1"/>
    <col min="14" max="14" width="6.42578125" style="199" bestFit="1" customWidth="1"/>
    <col min="15" max="16" width="8.42578125" style="199"/>
    <col min="17" max="17" width="3.28515625" style="199" customWidth="1"/>
    <col min="18" max="16384" width="8.42578125" style="199"/>
  </cols>
  <sheetData>
    <row r="1" spans="1:10" ht="27.75" customHeight="1" x14ac:dyDescent="0.2">
      <c r="A1" s="194"/>
      <c r="B1" s="194"/>
      <c r="C1" s="194"/>
      <c r="D1" s="194"/>
      <c r="E1" s="195" t="s">
        <v>105</v>
      </c>
      <c r="F1" s="196" t="s">
        <v>106</v>
      </c>
      <c r="G1" s="196" t="s">
        <v>107</v>
      </c>
      <c r="H1" s="196" t="s">
        <v>108</v>
      </c>
      <c r="I1" s="197"/>
    </row>
    <row r="2" spans="1:10" ht="30.75" customHeight="1" x14ac:dyDescent="0.2">
      <c r="A2" s="194"/>
      <c r="B2" s="194"/>
      <c r="C2" s="194"/>
      <c r="D2" s="194"/>
      <c r="E2" s="200">
        <f>IFERROR(O62,"")</f>
        <v>47312.920000000006</v>
      </c>
      <c r="F2" s="200">
        <f>IFERROR(H53,"")</f>
        <v>45902.920000000006</v>
      </c>
      <c r="G2" s="200">
        <f>IFERROR(H54,"")</f>
        <v>0</v>
      </c>
      <c r="H2" s="200">
        <f>IFERROR(H56,"")</f>
        <v>770</v>
      </c>
      <c r="I2" s="201"/>
    </row>
    <row r="3" spans="1:10" ht="15" customHeight="1" x14ac:dyDescent="0.2">
      <c r="A3" s="194"/>
      <c r="B3" s="194"/>
      <c r="C3" s="194"/>
      <c r="D3" s="194"/>
      <c r="E3" s="194"/>
      <c r="F3" s="202"/>
      <c r="G3" s="202"/>
      <c r="H3" s="202"/>
      <c r="I3" s="202"/>
    </row>
    <row r="4" spans="1:10" ht="24.75" customHeight="1" thickBot="1" x14ac:dyDescent="0.25">
      <c r="A4" s="451"/>
      <c r="B4" s="451"/>
      <c r="C4" s="451"/>
      <c r="D4" s="451"/>
      <c r="E4" s="451"/>
      <c r="F4" s="451"/>
      <c r="G4" s="451"/>
      <c r="H4" s="451"/>
      <c r="I4" s="203"/>
    </row>
    <row r="5" spans="1:10" ht="19.5" customHeight="1" thickBot="1" x14ac:dyDescent="0.25">
      <c r="A5" s="452" t="s">
        <v>109</v>
      </c>
      <c r="B5" s="453"/>
      <c r="C5" s="453"/>
      <c r="D5" s="453"/>
      <c r="E5" s="453"/>
      <c r="F5" s="453"/>
      <c r="G5" s="453"/>
      <c r="H5" s="454"/>
      <c r="I5" s="204"/>
    </row>
    <row r="6" spans="1:10" ht="19.5" thickBot="1" x14ac:dyDescent="0.25">
      <c r="A6" s="204"/>
      <c r="B6" s="204"/>
      <c r="C6" s="204"/>
      <c r="D6" s="204"/>
      <c r="E6" s="204"/>
      <c r="F6" s="455" t="s">
        <v>110</v>
      </c>
      <c r="G6" s="455"/>
      <c r="H6" s="205">
        <f ca="1">TODAY()</f>
        <v>45901</v>
      </c>
      <c r="I6" s="205"/>
    </row>
    <row r="7" spans="1:10" ht="26.25" thickBot="1" x14ac:dyDescent="0.25">
      <c r="A7" s="206" t="s">
        <v>111</v>
      </c>
      <c r="B7" s="207" t="s">
        <v>112</v>
      </c>
      <c r="C7" s="207" t="s">
        <v>111</v>
      </c>
      <c r="D7" s="208" t="s">
        <v>113</v>
      </c>
      <c r="E7" s="208" t="s">
        <v>114</v>
      </c>
      <c r="F7" s="208" t="s">
        <v>115</v>
      </c>
      <c r="G7" s="208" t="s">
        <v>116</v>
      </c>
      <c r="H7" s="209" t="s">
        <v>117</v>
      </c>
      <c r="I7" s="210"/>
    </row>
    <row r="8" spans="1:10" ht="13.5" x14ac:dyDescent="0.25">
      <c r="A8" s="211">
        <v>4080</v>
      </c>
      <c r="B8" s="199" t="str">
        <f>IFERROR(VLOOKUP(H8,'[1]Consolidado MP Planta'!$A$2:$M$823,3,0),"")</f>
        <v>COBERTURA CHOCOLATE BLANCO (PAQ:5 K)</v>
      </c>
      <c r="C8" s="212">
        <f>+A8</f>
        <v>4080</v>
      </c>
      <c r="D8" s="213" t="str">
        <f>IFERROR(VLOOKUP(H8,'[1]Consolidado MP Planta'!$A$2:$M$823,13,0),"")</f>
        <v>Gramos</v>
      </c>
      <c r="E8" s="213">
        <v>3.78</v>
      </c>
      <c r="F8" s="213">
        <f>IFERROR(C8*E8,"")</f>
        <v>15422.4</v>
      </c>
      <c r="G8" s="214">
        <f t="shared" ref="G8:G14" si="0">IFERROR(F8/$F$66,"")</f>
        <v>0.32406141917015091</v>
      </c>
      <c r="H8" s="215" t="s">
        <v>85</v>
      </c>
      <c r="I8" s="215"/>
      <c r="J8" s="216"/>
    </row>
    <row r="9" spans="1:10" ht="13.5" x14ac:dyDescent="0.25">
      <c r="A9" s="211">
        <v>5100</v>
      </c>
      <c r="B9" s="199" t="str">
        <f>IFERROR(VLOOKUP(H9,'[1]Consolidado MP Planta'!$A$2:$M$823,3,0),"")</f>
        <v>CREMA PRESTIGE GRAND (UND:4 K) *</v>
      </c>
      <c r="C9" s="212">
        <f t="shared" ref="C9:C14" si="1">+A9</f>
        <v>5100</v>
      </c>
      <c r="D9" s="213" t="str">
        <f>IFERROR(VLOOKUP(H9,'[1]Consolidado MP Planta'!$A$2:$M$823,13,0),"")</f>
        <v>Gramos</v>
      </c>
      <c r="E9" s="213">
        <v>2.08</v>
      </c>
      <c r="F9" s="213">
        <f t="shared" ref="F9:F14" si="2">IFERROR(C9*E9,"")</f>
        <v>10608</v>
      </c>
      <c r="G9" s="214">
        <f t="shared" si="0"/>
        <v>0.22289938884719374</v>
      </c>
      <c r="H9" s="215" t="s">
        <v>89</v>
      </c>
      <c r="I9" s="215"/>
      <c r="J9" s="216"/>
    </row>
    <row r="10" spans="1:10" ht="13.5" x14ac:dyDescent="0.25">
      <c r="A10" s="211">
        <v>480</v>
      </c>
      <c r="B10" s="199" t="s">
        <v>95</v>
      </c>
      <c r="C10" s="212">
        <f t="shared" si="1"/>
        <v>480</v>
      </c>
      <c r="D10" s="213" t="s">
        <v>156</v>
      </c>
      <c r="E10" s="213">
        <v>34.200000000000003</v>
      </c>
      <c r="F10" s="213">
        <f t="shared" si="2"/>
        <v>16416</v>
      </c>
      <c r="G10" s="214">
        <f t="shared" si="0"/>
        <v>0.34493932572733149</v>
      </c>
      <c r="H10" s="215"/>
      <c r="I10" s="215"/>
      <c r="J10" s="216"/>
    </row>
    <row r="11" spans="1:10" ht="13.5" x14ac:dyDescent="0.25">
      <c r="A11" s="211">
        <v>5</v>
      </c>
      <c r="B11" s="199" t="s">
        <v>96</v>
      </c>
      <c r="C11" s="212">
        <f t="shared" si="1"/>
        <v>5</v>
      </c>
      <c r="D11" s="213" t="s">
        <v>156</v>
      </c>
      <c r="E11" s="213">
        <v>5.48</v>
      </c>
      <c r="F11" s="213">
        <f t="shared" si="2"/>
        <v>27.400000000000002</v>
      </c>
      <c r="G11" s="214">
        <f t="shared" si="0"/>
        <v>5.7573937164527805E-4</v>
      </c>
      <c r="H11" s="215"/>
      <c r="I11" s="215"/>
      <c r="J11" s="216"/>
    </row>
    <row r="12" spans="1:10" ht="13.5" x14ac:dyDescent="0.25">
      <c r="A12" s="211">
        <v>48</v>
      </c>
      <c r="B12" s="199" t="s">
        <v>46</v>
      </c>
      <c r="C12" s="212">
        <f t="shared" si="1"/>
        <v>48</v>
      </c>
      <c r="D12" s="213" t="s">
        <v>156</v>
      </c>
      <c r="E12" s="213">
        <v>71.44</v>
      </c>
      <c r="F12" s="213">
        <f t="shared" si="2"/>
        <v>3429.12</v>
      </c>
      <c r="G12" s="214">
        <f t="shared" si="0"/>
        <v>7.2053992485264798E-2</v>
      </c>
      <c r="H12" s="215"/>
      <c r="I12" s="215"/>
      <c r="J12" s="216"/>
    </row>
    <row r="13" spans="1:10" ht="13.5" x14ac:dyDescent="0.25">
      <c r="A13" s="211"/>
      <c r="B13" s="199" t="str">
        <f>IFERROR(VLOOKUP(H13,'[1]Consolidado MP Planta'!$A$2:$M$823,3,0),"")</f>
        <v/>
      </c>
      <c r="C13" s="212">
        <f t="shared" si="1"/>
        <v>0</v>
      </c>
      <c r="D13" s="213" t="str">
        <f>IFERROR(VLOOKUP(H13,'[1]Consolidado MP Planta'!$A$2:$M$823,13,0),"")</f>
        <v/>
      </c>
      <c r="E13" s="213" t="str">
        <f>IFERROR(VLOOKUP(H13,'[1]Consolidado MP Planta'!$A$2:$M$823,12,0),"")</f>
        <v/>
      </c>
      <c r="F13" s="213" t="str">
        <f t="shared" si="2"/>
        <v/>
      </c>
      <c r="G13" s="214" t="str">
        <f t="shared" si="0"/>
        <v/>
      </c>
      <c r="H13" s="215"/>
      <c r="I13" s="215"/>
      <c r="J13" s="216"/>
    </row>
    <row r="14" spans="1:10" ht="13.5" x14ac:dyDescent="0.25">
      <c r="A14" s="211"/>
      <c r="B14" s="199" t="str">
        <f>IFERROR(VLOOKUP(H14,'[1]Consolidado MP Planta'!$A$2:$M$823,3,0),"")</f>
        <v/>
      </c>
      <c r="C14" s="212">
        <f t="shared" si="1"/>
        <v>0</v>
      </c>
      <c r="D14" s="213" t="str">
        <f>IFERROR(VLOOKUP(H14,'[1]Consolidado MP Planta'!$A$2:$M$823,13,0),"")</f>
        <v/>
      </c>
      <c r="E14" s="213" t="str">
        <f>IFERROR(VLOOKUP(H14,'[1]Consolidado MP Planta'!$A$2:$M$823,12,0),"")</f>
        <v/>
      </c>
      <c r="F14" s="213" t="str">
        <f t="shared" si="2"/>
        <v/>
      </c>
      <c r="G14" s="214" t="str">
        <f t="shared" si="0"/>
        <v/>
      </c>
      <c r="H14" s="215"/>
      <c r="I14" s="215"/>
      <c r="J14" s="216"/>
    </row>
    <row r="15" spans="1:10" ht="14.25" thickBot="1" x14ac:dyDescent="0.3">
      <c r="A15" s="211"/>
      <c r="B15" s="199" t="str">
        <f>IFERROR(VLOOKUP(H15,'[2]ARTICULOS MP PLANTA'!$A$2:$G$589,2,0),"")</f>
        <v/>
      </c>
      <c r="C15" s="212"/>
      <c r="D15" s="213"/>
      <c r="E15" s="213"/>
      <c r="F15" s="213"/>
      <c r="G15" s="214"/>
      <c r="H15" s="215"/>
      <c r="I15" s="215"/>
      <c r="J15" s="216"/>
    </row>
    <row r="16" spans="1:10" ht="26.25" hidden="1" thickBot="1" x14ac:dyDescent="0.25">
      <c r="A16" s="206" t="s">
        <v>111</v>
      </c>
      <c r="B16" s="207" t="s">
        <v>118</v>
      </c>
      <c r="C16" s="207" t="s">
        <v>111</v>
      </c>
      <c r="D16" s="208" t="s">
        <v>113</v>
      </c>
      <c r="E16" s="208" t="s">
        <v>114</v>
      </c>
      <c r="F16" s="208" t="s">
        <v>115</v>
      </c>
      <c r="G16" s="208" t="s">
        <v>116</v>
      </c>
      <c r="H16" s="209" t="s">
        <v>117</v>
      </c>
      <c r="I16" s="210"/>
      <c r="J16" s="216"/>
    </row>
    <row r="17" spans="1:12" ht="13.5" hidden="1" x14ac:dyDescent="0.25">
      <c r="A17" s="211"/>
      <c r="B17" s="199" t="str">
        <f>IFERROR(VLOOKUP(H17,[1]SEMIELABORADOS!$A$2:$M$6000,2,0),"")</f>
        <v/>
      </c>
      <c r="C17" s="212">
        <f>+A17</f>
        <v>0</v>
      </c>
      <c r="D17" s="212" t="str">
        <f>IFERROR(VLOOKUP(H17,[1]SEMIELABORADOS!$A$2:$M$6000,6,0),"")</f>
        <v/>
      </c>
      <c r="E17" s="213" t="str">
        <f>IFERROR(VLOOKUP(H17,[1]SEMIELABORADOS!$A$2:$H$65536,8,0),"")</f>
        <v/>
      </c>
      <c r="F17" s="213" t="str">
        <f>IFERROR(E17*C17,"")</f>
        <v/>
      </c>
      <c r="G17" s="214" t="str">
        <f t="shared" ref="G17:G24" si="3">IFERROR(F17/$F$66,"")</f>
        <v/>
      </c>
      <c r="H17" s="215"/>
      <c r="I17" s="215"/>
      <c r="J17" s="216"/>
    </row>
    <row r="18" spans="1:12" ht="13.5" hidden="1" x14ac:dyDescent="0.25">
      <c r="A18" s="211"/>
      <c r="B18" s="199" t="str">
        <f>IFERROR(VLOOKUP(H18,[1]SEMIELABORADOS!$A$2:$M$6000,2,0),"")</f>
        <v/>
      </c>
      <c r="C18" s="212">
        <f t="shared" ref="C18:C24" si="4">+A18</f>
        <v>0</v>
      </c>
      <c r="D18" s="212" t="str">
        <f>IFERROR(VLOOKUP(H18,[1]SEMIELABORADOS!$A$2:$M$6000,6,0),"")</f>
        <v/>
      </c>
      <c r="E18" s="213" t="str">
        <f>IFERROR(VLOOKUP(H18,[1]SEMIELABORADOS!$A$2:$H$65536,8,0),"")</f>
        <v/>
      </c>
      <c r="F18" s="213" t="str">
        <f t="shared" ref="F18:F24" si="5">IFERROR(E18*C18,"")</f>
        <v/>
      </c>
      <c r="G18" s="214" t="str">
        <f t="shared" si="3"/>
        <v/>
      </c>
      <c r="H18" s="215"/>
      <c r="I18" s="215"/>
      <c r="J18" s="216"/>
    </row>
    <row r="19" spans="1:12" ht="13.5" hidden="1" x14ac:dyDescent="0.25">
      <c r="A19" s="211"/>
      <c r="B19" s="199" t="str">
        <f>IFERROR(VLOOKUP(H19,[1]SEMIELABORADOS!$A$2:$M$6000,2,0),"")</f>
        <v/>
      </c>
      <c r="C19" s="212">
        <f>+A19</f>
        <v>0</v>
      </c>
      <c r="D19" s="212" t="str">
        <f>IFERROR(VLOOKUP(H19,[1]SEMIELABORADOS!$A$2:$M$6000,6,0),"")</f>
        <v/>
      </c>
      <c r="E19" s="213" t="str">
        <f>IFERROR(VLOOKUP(H19,[1]SEMIELABORADOS!$A$2:$H$65536,8,0),"")</f>
        <v/>
      </c>
      <c r="F19" s="213" t="str">
        <f>IFERROR(E19*C19,"")</f>
        <v/>
      </c>
      <c r="G19" s="214" t="str">
        <f t="shared" si="3"/>
        <v/>
      </c>
      <c r="H19" s="215"/>
      <c r="I19" s="215"/>
      <c r="J19" s="216"/>
    </row>
    <row r="20" spans="1:12" ht="13.5" hidden="1" x14ac:dyDescent="0.25">
      <c r="A20" s="211"/>
      <c r="B20" s="199" t="str">
        <f>IFERROR(VLOOKUP(H20,[1]SEMIELABORADOS!$A$2:$M$6000,2,0),"")</f>
        <v/>
      </c>
      <c r="C20" s="212">
        <f>+A20</f>
        <v>0</v>
      </c>
      <c r="D20" s="212" t="str">
        <f>IFERROR(VLOOKUP(H20,[1]SEMIELABORADOS!$A$2:$M$6000,6,0),"")</f>
        <v/>
      </c>
      <c r="E20" s="213" t="str">
        <f>IFERROR(VLOOKUP(H20,[1]SEMIELABORADOS!$A$2:$H$65536,8,0),"")</f>
        <v/>
      </c>
      <c r="F20" s="213" t="str">
        <f>IFERROR(E20*C20,"")</f>
        <v/>
      </c>
      <c r="G20" s="214" t="str">
        <f t="shared" si="3"/>
        <v/>
      </c>
      <c r="H20" s="215"/>
      <c r="I20" s="215"/>
      <c r="J20" s="216"/>
    </row>
    <row r="21" spans="1:12" ht="13.5" hidden="1" x14ac:dyDescent="0.25">
      <c r="A21" s="211"/>
      <c r="B21" s="199" t="str">
        <f>IFERROR(VLOOKUP(H21,[1]SEMIELABORADOS!$A$2:$M$6000,2,0),"")</f>
        <v/>
      </c>
      <c r="C21" s="212">
        <f>+A21</f>
        <v>0</v>
      </c>
      <c r="D21" s="212" t="str">
        <f>IFERROR(VLOOKUP(H21,[1]SEMIELABORADOS!$A$2:$M$6000,6,0),"")</f>
        <v/>
      </c>
      <c r="E21" s="213" t="str">
        <f>IFERROR(VLOOKUP(H21,[1]SEMIELABORADOS!$A$2:$H$65536,8,0),"")</f>
        <v/>
      </c>
      <c r="F21" s="213" t="str">
        <f>IFERROR(E21*C21,"")</f>
        <v/>
      </c>
      <c r="G21" s="214" t="str">
        <f t="shared" si="3"/>
        <v/>
      </c>
      <c r="H21" s="215"/>
      <c r="I21" s="215"/>
      <c r="J21" s="216"/>
    </row>
    <row r="22" spans="1:12" ht="13.5" hidden="1" x14ac:dyDescent="0.25">
      <c r="A22" s="211"/>
      <c r="B22" s="199" t="str">
        <f>IFERROR(VLOOKUP(H22,[1]SEMIELABORADOS!$A$2:$M$6000,2,0),"")</f>
        <v/>
      </c>
      <c r="C22" s="212">
        <f t="shared" si="4"/>
        <v>0</v>
      </c>
      <c r="D22" s="212" t="str">
        <f>IFERROR(VLOOKUP(H22,[1]SEMIELABORADOS!$A$2:$M$6000,6,0),"")</f>
        <v/>
      </c>
      <c r="E22" s="213" t="str">
        <f>IFERROR(VLOOKUP(H22,[1]SEMIELABORADOS!$A$2:$H$65536,8,0),"")</f>
        <v/>
      </c>
      <c r="F22" s="213" t="str">
        <f t="shared" si="5"/>
        <v/>
      </c>
      <c r="G22" s="214" t="str">
        <f t="shared" si="3"/>
        <v/>
      </c>
      <c r="H22" s="215"/>
      <c r="I22" s="215"/>
      <c r="J22" s="216"/>
    </row>
    <row r="23" spans="1:12" ht="13.5" hidden="1" x14ac:dyDescent="0.25">
      <c r="A23" s="211"/>
      <c r="B23" s="199" t="str">
        <f>IFERROR(VLOOKUP(H23,[1]SEMIELABORADOS!$A$2:$M$6000,2,0),"")</f>
        <v/>
      </c>
      <c r="C23" s="212">
        <f t="shared" si="4"/>
        <v>0</v>
      </c>
      <c r="D23" s="212" t="str">
        <f>IFERROR(VLOOKUP(H23,[1]SEMIELABORADOS!$A$2:$M$6000,6,0),"")</f>
        <v/>
      </c>
      <c r="E23" s="213" t="str">
        <f>IFERROR(VLOOKUP(H23,[1]SEMIELABORADOS!$A$2:$H$65536,8,0),"")</f>
        <v/>
      </c>
      <c r="F23" s="213" t="str">
        <f t="shared" si="5"/>
        <v/>
      </c>
      <c r="G23" s="214" t="str">
        <f t="shared" si="3"/>
        <v/>
      </c>
      <c r="H23" s="215"/>
      <c r="I23" s="215"/>
      <c r="J23" s="216"/>
    </row>
    <row r="24" spans="1:12" ht="13.5" hidden="1" x14ac:dyDescent="0.25">
      <c r="A24" s="211"/>
      <c r="B24" s="199" t="str">
        <f>IFERROR(VLOOKUP(H24,[1]SEMIELABORADOS!$A$2:$M$6000,2,0),"")</f>
        <v/>
      </c>
      <c r="C24" s="212">
        <f t="shared" si="4"/>
        <v>0</v>
      </c>
      <c r="D24" s="212" t="str">
        <f>IFERROR(VLOOKUP(H24,[1]SEMIELABORADOS!$A$2:$M$6000,6,0),"")</f>
        <v/>
      </c>
      <c r="E24" s="213" t="str">
        <f>IFERROR(VLOOKUP(H24,[1]SEMIELABORADOS!$A$2:$H$65536,8,0),"")</f>
        <v/>
      </c>
      <c r="F24" s="213" t="str">
        <f t="shared" si="5"/>
        <v/>
      </c>
      <c r="G24" s="214" t="str">
        <f t="shared" si="3"/>
        <v/>
      </c>
      <c r="H24" s="215"/>
      <c r="I24" s="215"/>
      <c r="J24" s="216"/>
    </row>
    <row r="25" spans="1:12" ht="14.25" hidden="1" thickBot="1" x14ac:dyDescent="0.3">
      <c r="A25" s="211"/>
      <c r="C25" s="212"/>
      <c r="D25" s="212"/>
      <c r="E25" s="213"/>
      <c r="F25" s="213"/>
      <c r="G25" s="214"/>
      <c r="H25" s="215"/>
      <c r="I25" s="215"/>
      <c r="J25" s="216"/>
    </row>
    <row r="26" spans="1:12" ht="26.25" hidden="1" thickBot="1" x14ac:dyDescent="0.25">
      <c r="A26" s="206" t="s">
        <v>111</v>
      </c>
      <c r="B26" s="207" t="s">
        <v>18</v>
      </c>
      <c r="C26" s="207" t="s">
        <v>111</v>
      </c>
      <c r="D26" s="208" t="s">
        <v>113</v>
      </c>
      <c r="E26" s="208" t="s">
        <v>114</v>
      </c>
      <c r="F26" s="208" t="s">
        <v>115</v>
      </c>
      <c r="G26" s="208" t="s">
        <v>116</v>
      </c>
      <c r="H26" s="209" t="s">
        <v>117</v>
      </c>
      <c r="I26" s="210"/>
    </row>
    <row r="27" spans="1:12" ht="13.5" hidden="1" x14ac:dyDescent="0.25">
      <c r="A27" s="211">
        <v>0</v>
      </c>
      <c r="B27" s="217" t="str">
        <f>IFERROR(VLOOKUP(H27,'[1]Consolidado MP Planta'!$A$2:$M$823,3,0),"")</f>
        <v/>
      </c>
      <c r="C27" s="212">
        <f t="shared" ref="C27:C32" si="6">+A27</f>
        <v>0</v>
      </c>
      <c r="D27" s="213" t="str">
        <f>IFERROR(VLOOKUP(H27,'[1]Consolidado MP Planta'!$A$2:$M$823,13,0),"")</f>
        <v/>
      </c>
      <c r="E27" s="213" t="str">
        <f>IFERROR(VLOOKUP(H27,'[1]Consolidado MP Planta'!$A$2:$M$823,12,0),"")</f>
        <v/>
      </c>
      <c r="F27" s="213" t="str">
        <f t="shared" ref="F27:F32" si="7">IFERROR(C27*E27,"")</f>
        <v/>
      </c>
      <c r="G27" s="214" t="str">
        <f t="shared" ref="G27:G32" si="8">IFERROR(F27/$F$66,"")</f>
        <v/>
      </c>
      <c r="H27" s="218"/>
      <c r="I27" s="218"/>
      <c r="J27" s="216"/>
      <c r="K27" s="445"/>
      <c r="L27" s="445"/>
    </row>
    <row r="28" spans="1:12" ht="13.5" hidden="1" x14ac:dyDescent="0.25">
      <c r="A28" s="211"/>
      <c r="B28" s="217" t="str">
        <f>IFERROR(VLOOKUP(H28,'[1]Consolidado MP Planta'!$A$2:$M$823,3,0),"")</f>
        <v/>
      </c>
      <c r="C28" s="212">
        <f t="shared" si="6"/>
        <v>0</v>
      </c>
      <c r="D28" s="213" t="str">
        <f>IFERROR(VLOOKUP(H28,'[1]Consolidado MP Planta'!$A$2:$M$823,13,0),"")</f>
        <v/>
      </c>
      <c r="E28" s="213" t="str">
        <f>IFERROR(VLOOKUP(H28,'[1]Consolidado MP Planta'!$A$2:$M$823,12,0),"")</f>
        <v/>
      </c>
      <c r="F28" s="213" t="str">
        <f t="shared" si="7"/>
        <v/>
      </c>
      <c r="G28" s="214" t="str">
        <f t="shared" si="8"/>
        <v/>
      </c>
      <c r="H28" s="218"/>
      <c r="I28" s="218"/>
      <c r="J28" s="216"/>
      <c r="K28" s="445"/>
      <c r="L28" s="445"/>
    </row>
    <row r="29" spans="1:12" ht="13.5" hidden="1" x14ac:dyDescent="0.25">
      <c r="A29" s="211"/>
      <c r="B29" s="217" t="str">
        <f>IFERROR(VLOOKUP(H29,'[1]Consolidado MP Planta'!$A$2:$M$823,3,0),"")</f>
        <v/>
      </c>
      <c r="C29" s="212">
        <f t="shared" si="6"/>
        <v>0</v>
      </c>
      <c r="D29" s="213" t="str">
        <f>IFERROR(VLOOKUP(H29,'[1]Consolidado MP Planta'!$A$2:$M$823,13,0),"")</f>
        <v/>
      </c>
      <c r="E29" s="213" t="str">
        <f>IFERROR(VLOOKUP(H29,'[1]Consolidado MP Planta'!$A$2:$M$823,12,0),"")</f>
        <v/>
      </c>
      <c r="F29" s="213" t="str">
        <f t="shared" si="7"/>
        <v/>
      </c>
      <c r="G29" s="214" t="str">
        <f t="shared" si="8"/>
        <v/>
      </c>
      <c r="H29" s="218"/>
      <c r="I29" s="218"/>
      <c r="J29" s="216"/>
      <c r="K29" s="445"/>
      <c r="L29" s="445"/>
    </row>
    <row r="30" spans="1:12" ht="13.5" hidden="1" x14ac:dyDescent="0.25">
      <c r="A30" s="211"/>
      <c r="B30" s="217" t="str">
        <f>IFERROR(VLOOKUP(H30,'[1]Consolidado MP Planta'!$A$2:$M$823,3,0),"")</f>
        <v/>
      </c>
      <c r="C30" s="212">
        <f t="shared" si="6"/>
        <v>0</v>
      </c>
      <c r="D30" s="213" t="str">
        <f>IFERROR(VLOOKUP(H30,'[1]Consolidado MP Planta'!$A$2:$M$823,13,0),"")</f>
        <v/>
      </c>
      <c r="E30" s="213" t="str">
        <f>IFERROR(VLOOKUP(H30,'[1]Consolidado MP Planta'!$A$2:$M$823,12,0),"")</f>
        <v/>
      </c>
      <c r="F30" s="213" t="str">
        <f t="shared" si="7"/>
        <v/>
      </c>
      <c r="G30" s="214" t="str">
        <f t="shared" si="8"/>
        <v/>
      </c>
      <c r="H30" s="218"/>
      <c r="I30" s="218"/>
      <c r="J30" s="216"/>
      <c r="K30" s="445"/>
      <c r="L30" s="445"/>
    </row>
    <row r="31" spans="1:12" ht="13.5" hidden="1" x14ac:dyDescent="0.25">
      <c r="A31" s="211"/>
      <c r="B31" s="217" t="str">
        <f>IFERROR(VLOOKUP(H31,'[1]Consolidado MP Planta'!$A$2:$M$823,3,0),"")</f>
        <v/>
      </c>
      <c r="C31" s="212">
        <f t="shared" si="6"/>
        <v>0</v>
      </c>
      <c r="D31" s="213" t="str">
        <f>IFERROR(VLOOKUP(H31,'[1]Consolidado MP Planta'!$A$2:$M$823,13,0),"")</f>
        <v/>
      </c>
      <c r="E31" s="213" t="str">
        <f>IFERROR(VLOOKUP(H31,'[1]Consolidado MP Planta'!$A$2:$M$823,12,0),"")</f>
        <v/>
      </c>
      <c r="F31" s="213" t="str">
        <f t="shared" si="7"/>
        <v/>
      </c>
      <c r="G31" s="214" t="str">
        <f t="shared" si="8"/>
        <v/>
      </c>
      <c r="H31" s="218"/>
      <c r="I31" s="218"/>
      <c r="J31" s="216"/>
      <c r="K31" s="219"/>
      <c r="L31" s="220"/>
    </row>
    <row r="32" spans="1:12" ht="13.5" hidden="1" x14ac:dyDescent="0.25">
      <c r="A32" s="211"/>
      <c r="B32" s="217" t="str">
        <f>IFERROR(VLOOKUP(H32,'[1]Consolidado MP Planta'!$A$2:$M$823,3,0),"")</f>
        <v/>
      </c>
      <c r="C32" s="212">
        <f t="shared" si="6"/>
        <v>0</v>
      </c>
      <c r="D32" s="213" t="str">
        <f>IFERROR(VLOOKUP(H32,'[1]Consolidado MP Planta'!$A$2:$M$823,13,0),"")</f>
        <v/>
      </c>
      <c r="E32" s="213" t="str">
        <f>IFERROR(VLOOKUP(H32,'[1]Consolidado MP Planta'!$A$2:$M$823,12,0),"")</f>
        <v/>
      </c>
      <c r="F32" s="213" t="str">
        <f t="shared" si="7"/>
        <v/>
      </c>
      <c r="G32" s="214" t="str">
        <f t="shared" si="8"/>
        <v/>
      </c>
      <c r="H32" s="218"/>
      <c r="I32" s="218"/>
      <c r="J32" s="216"/>
    </row>
    <row r="33" spans="1:13" ht="14.25" hidden="1" thickBot="1" x14ac:dyDescent="0.3">
      <c r="A33" s="211"/>
      <c r="B33" s="217"/>
      <c r="C33" s="212"/>
      <c r="D33" s="213"/>
      <c r="E33" s="213"/>
      <c r="F33" s="213"/>
      <c r="G33" s="214"/>
      <c r="H33" s="218"/>
      <c r="I33" s="218"/>
      <c r="J33" s="216"/>
    </row>
    <row r="34" spans="1:13" ht="26.25" hidden="1" thickBot="1" x14ac:dyDescent="0.25">
      <c r="A34" s="206" t="s">
        <v>111</v>
      </c>
      <c r="B34" s="207" t="s">
        <v>119</v>
      </c>
      <c r="C34" s="207" t="s">
        <v>111</v>
      </c>
      <c r="D34" s="208" t="s">
        <v>113</v>
      </c>
      <c r="E34" s="208" t="s">
        <v>114</v>
      </c>
      <c r="F34" s="208" t="s">
        <v>115</v>
      </c>
      <c r="G34" s="208" t="s">
        <v>116</v>
      </c>
      <c r="H34" s="209" t="s">
        <v>117</v>
      </c>
      <c r="I34" s="218"/>
      <c r="J34" s="216"/>
    </row>
    <row r="35" spans="1:13" ht="13.5" hidden="1" x14ac:dyDescent="0.25">
      <c r="A35" s="211">
        <f>+A17</f>
        <v>0</v>
      </c>
      <c r="B35" s="217" t="str">
        <f>IFERROR(VLOOKUP(H35,[1]SEMIELABORADOS!$A$2:$M$6000,2,0),"")</f>
        <v/>
      </c>
      <c r="C35" s="212">
        <f>+A35</f>
        <v>0</v>
      </c>
      <c r="D35" s="213" t="str">
        <f>IFERROR(VLOOKUP(H35,[1]SEMIELABORADOS!$A$2:$M$6000,6,0),"")</f>
        <v/>
      </c>
      <c r="E35" s="213" t="str">
        <f>IFERROR(VLOOKUP(H35,[1]SEMIELABORADOS!$A$2:$M$65536,10,0),"")</f>
        <v/>
      </c>
      <c r="F35" s="213" t="str">
        <f>IFERROR(E35*C35,"")</f>
        <v/>
      </c>
      <c r="G35" s="214" t="str">
        <f t="shared" ref="G35:G41" si="9">IFERROR(F35/$F$66,"")</f>
        <v/>
      </c>
      <c r="H35" s="218"/>
      <c r="I35" s="218"/>
      <c r="J35" s="216"/>
    </row>
    <row r="36" spans="1:13" ht="13.5" hidden="1" x14ac:dyDescent="0.25">
      <c r="A36" s="211">
        <f t="shared" ref="A36:A41" si="10">+A18</f>
        <v>0</v>
      </c>
      <c r="B36" s="217" t="str">
        <f>IFERROR(VLOOKUP(H36,[1]SEMIELABORADOS!$A$2:$M$6000,2,0),"")</f>
        <v/>
      </c>
      <c r="C36" s="212">
        <f t="shared" ref="C36:C41" si="11">+A36</f>
        <v>0</v>
      </c>
      <c r="D36" s="213" t="str">
        <f>IFERROR(VLOOKUP(H36,[1]SEMIELABORADOS!$A$2:$M$6000,6,0),"")</f>
        <v/>
      </c>
      <c r="E36" s="213" t="str">
        <f>IFERROR(VLOOKUP(H36,[1]SEMIELABORADOS!$A$2:$M$65536,10,0),"")</f>
        <v/>
      </c>
      <c r="F36" s="213" t="str">
        <f t="shared" ref="F36:F41" si="12">IFERROR(E36*C36,"")</f>
        <v/>
      </c>
      <c r="G36" s="214" t="str">
        <f t="shared" si="9"/>
        <v/>
      </c>
      <c r="H36" s="218"/>
      <c r="I36" s="218"/>
      <c r="J36" s="216"/>
    </row>
    <row r="37" spans="1:13" ht="13.5" hidden="1" x14ac:dyDescent="0.25">
      <c r="A37" s="211">
        <f t="shared" si="10"/>
        <v>0</v>
      </c>
      <c r="B37" s="217" t="str">
        <f>IFERROR(VLOOKUP(H37,[1]SEMIELABORADOS!$A$2:$M$6000,2,0),"")</f>
        <v/>
      </c>
      <c r="C37" s="212">
        <f t="shared" si="11"/>
        <v>0</v>
      </c>
      <c r="D37" s="213" t="str">
        <f>IFERROR(VLOOKUP(H37,[1]SEMIELABORADOS!$A$2:$M$6000,6,0),"")</f>
        <v/>
      </c>
      <c r="E37" s="213" t="str">
        <f>IFERROR(VLOOKUP(H37,[1]SEMIELABORADOS!$A$2:$M$65536,10,0),"")</f>
        <v/>
      </c>
      <c r="F37" s="213" t="str">
        <f t="shared" si="12"/>
        <v/>
      </c>
      <c r="G37" s="214" t="str">
        <f t="shared" si="9"/>
        <v/>
      </c>
      <c r="H37" s="218"/>
      <c r="I37" s="218"/>
      <c r="J37" s="216"/>
    </row>
    <row r="38" spans="1:13" ht="13.5" hidden="1" x14ac:dyDescent="0.25">
      <c r="A38" s="211">
        <f t="shared" si="10"/>
        <v>0</v>
      </c>
      <c r="B38" s="217" t="str">
        <f>IFERROR(VLOOKUP(H38,[1]SEMIELABORADOS!$A$2:$M$6000,2,0),"")</f>
        <v/>
      </c>
      <c r="C38" s="212">
        <f>+A38</f>
        <v>0</v>
      </c>
      <c r="D38" s="213" t="str">
        <f>IFERROR(VLOOKUP(H38,[1]SEMIELABORADOS!$A$2:$M$6000,6,0),"")</f>
        <v/>
      </c>
      <c r="E38" s="213" t="str">
        <f>IFERROR(VLOOKUP(H38,[1]SEMIELABORADOS!$A$2:$M$65536,10,0),"")</f>
        <v/>
      </c>
      <c r="F38" s="213" t="str">
        <f>IFERROR(E38*C38,"")</f>
        <v/>
      </c>
      <c r="G38" s="214" t="str">
        <f t="shared" si="9"/>
        <v/>
      </c>
      <c r="H38" s="218"/>
      <c r="I38" s="218"/>
      <c r="J38" s="216"/>
    </row>
    <row r="39" spans="1:13" ht="13.5" hidden="1" x14ac:dyDescent="0.25">
      <c r="A39" s="211">
        <f t="shared" si="10"/>
        <v>0</v>
      </c>
      <c r="B39" s="217" t="str">
        <f>IFERROR(VLOOKUP(H39,[1]SEMIELABORADOS!$A$2:$M$6000,2,0),"")</f>
        <v/>
      </c>
      <c r="C39" s="212">
        <f>+A39</f>
        <v>0</v>
      </c>
      <c r="D39" s="213" t="str">
        <f>IFERROR(VLOOKUP(H39,[1]SEMIELABORADOS!$A$2:$M$6000,6,0),"")</f>
        <v/>
      </c>
      <c r="E39" s="213" t="str">
        <f>IFERROR(VLOOKUP(H39,[1]SEMIELABORADOS!$A$2:$M$65536,10,0),"")</f>
        <v/>
      </c>
      <c r="F39" s="213" t="str">
        <f>IFERROR(E39*C39,"")</f>
        <v/>
      </c>
      <c r="G39" s="214" t="str">
        <f t="shared" si="9"/>
        <v/>
      </c>
      <c r="H39" s="218"/>
      <c r="I39" s="218"/>
      <c r="J39" s="216"/>
    </row>
    <row r="40" spans="1:13" ht="13.5" hidden="1" x14ac:dyDescent="0.25">
      <c r="A40" s="211">
        <f t="shared" si="10"/>
        <v>0</v>
      </c>
      <c r="B40" s="217" t="str">
        <f>IFERROR(VLOOKUP(H40,[1]SEMIELABORADOS!$A$2:$M$6000,2,0),"")</f>
        <v/>
      </c>
      <c r="C40" s="212">
        <f t="shared" si="11"/>
        <v>0</v>
      </c>
      <c r="D40" s="213" t="str">
        <f>IFERROR(VLOOKUP(H40,[1]SEMIELABORADOS!$A$2:$M$6000,6,0),"")</f>
        <v/>
      </c>
      <c r="E40" s="213" t="str">
        <f>IFERROR(VLOOKUP(H40,[1]SEMIELABORADOS!$A$2:$M$65536,10,0),"")</f>
        <v/>
      </c>
      <c r="F40" s="213" t="str">
        <f t="shared" si="12"/>
        <v/>
      </c>
      <c r="G40" s="214" t="str">
        <f t="shared" si="9"/>
        <v/>
      </c>
      <c r="H40" s="218"/>
      <c r="I40" s="218"/>
      <c r="J40" s="216"/>
    </row>
    <row r="41" spans="1:13" ht="13.5" hidden="1" x14ac:dyDescent="0.25">
      <c r="A41" s="211">
        <f t="shared" si="10"/>
        <v>0</v>
      </c>
      <c r="B41" s="217" t="str">
        <f>IFERROR(VLOOKUP(H41,[1]SEMIELABORADOS!$A$2:$M$6000,2,0),"")</f>
        <v/>
      </c>
      <c r="C41" s="212">
        <f t="shared" si="11"/>
        <v>0</v>
      </c>
      <c r="D41" s="213" t="str">
        <f>IFERROR(VLOOKUP(H41,[1]SEMIELABORADOS!$A$2:$M$6000,6,0),"")</f>
        <v/>
      </c>
      <c r="E41" s="213" t="str">
        <f>IFERROR(VLOOKUP(H41,[1]SEMIELABORADOS!$A$2:$M$65536,10,0),"")</f>
        <v/>
      </c>
      <c r="F41" s="213" t="str">
        <f t="shared" si="12"/>
        <v/>
      </c>
      <c r="G41" s="214" t="str">
        <f t="shared" si="9"/>
        <v/>
      </c>
      <c r="H41" s="218"/>
      <c r="I41" s="218"/>
      <c r="J41" s="216"/>
    </row>
    <row r="42" spans="1:13" ht="14.25" hidden="1" thickBot="1" x14ac:dyDescent="0.3">
      <c r="A42" s="211"/>
      <c r="B42" s="217"/>
      <c r="C42" s="212"/>
      <c r="D42" s="213"/>
      <c r="E42" s="213"/>
      <c r="F42" s="213"/>
      <c r="G42" s="214"/>
      <c r="H42" s="218"/>
      <c r="I42" s="218"/>
      <c r="J42" s="216"/>
    </row>
    <row r="43" spans="1:13" ht="26.25" thickBot="1" x14ac:dyDescent="0.25">
      <c r="A43" s="206" t="s">
        <v>111</v>
      </c>
      <c r="B43" s="207" t="s">
        <v>120</v>
      </c>
      <c r="C43" s="207" t="s">
        <v>111</v>
      </c>
      <c r="D43" s="208" t="s">
        <v>113</v>
      </c>
      <c r="E43" s="208" t="s">
        <v>114</v>
      </c>
      <c r="F43" s="208" t="s">
        <v>115</v>
      </c>
      <c r="G43" s="208" t="s">
        <v>116</v>
      </c>
      <c r="H43" s="209" t="s">
        <v>117</v>
      </c>
      <c r="I43" s="210"/>
      <c r="J43" s="216"/>
    </row>
    <row r="44" spans="1:13" ht="13.5" hidden="1" x14ac:dyDescent="0.25">
      <c r="A44" s="211">
        <f>+A35</f>
        <v>0</v>
      </c>
      <c r="B44" s="217" t="str">
        <f>IFERROR(VLOOKUP(H44,[1]SEMIELABORADOS!$A$2:$M$6000,2,0),"")</f>
        <v/>
      </c>
      <c r="C44" s="212">
        <f>+A44</f>
        <v>0</v>
      </c>
      <c r="D44" s="213" t="str">
        <f>IFERROR(VLOOKUP(H44,[1]SEMIELABORADOS!$A$2:$M$6000,6,0),"")</f>
        <v/>
      </c>
      <c r="E44" s="213" t="str">
        <f>IFERROR(VLOOKUP(H44,[1]SEMIELABORADOS!$A$2:$M$65536,12,0),"")</f>
        <v/>
      </c>
      <c r="F44" s="213" t="str">
        <f>IFERROR(E44*C44,"")</f>
        <v/>
      </c>
      <c r="G44" s="214" t="str">
        <f>IFERROR(F44/$F$66,"")</f>
        <v/>
      </c>
      <c r="H44" s="218"/>
      <c r="I44" s="210"/>
      <c r="J44" s="216"/>
    </row>
    <row r="45" spans="1:13" ht="13.5" hidden="1" x14ac:dyDescent="0.25">
      <c r="A45" s="211">
        <f t="shared" ref="A45:A50" si="13">+A36</f>
        <v>0</v>
      </c>
      <c r="B45" s="217" t="str">
        <f>IFERROR(VLOOKUP(H45,[1]SEMIELABORADOS!$A$2:$M$6000,2,0),"")</f>
        <v/>
      </c>
      <c r="C45" s="212">
        <f t="shared" ref="C45:C50" si="14">+A45</f>
        <v>0</v>
      </c>
      <c r="D45" s="213" t="str">
        <f>IFERROR(VLOOKUP(H45,[1]SEMIELABORADOS!$A$2:$M$6000,6,0),"")</f>
        <v/>
      </c>
      <c r="E45" s="213" t="str">
        <f>IFERROR(VLOOKUP(H45,[1]SEMIELABORADOS!$A$2:$M$65536,12,0),"")</f>
        <v/>
      </c>
      <c r="F45" s="213" t="str">
        <f t="shared" ref="F45:F50" si="15">IFERROR(E45*C45,"")</f>
        <v/>
      </c>
      <c r="G45" s="214" t="str">
        <f t="shared" ref="G45:G50" si="16">IFERROR(F45/$F$66,"")</f>
        <v/>
      </c>
      <c r="H45" s="218"/>
      <c r="I45" s="210"/>
      <c r="J45" s="216"/>
      <c r="M45" s="221"/>
    </row>
    <row r="46" spans="1:13" ht="13.5" hidden="1" x14ac:dyDescent="0.25">
      <c r="A46" s="211">
        <f t="shared" si="13"/>
        <v>0</v>
      </c>
      <c r="B46" s="217" t="str">
        <f>IFERROR(VLOOKUP(H46,[1]SEMIELABORADOS!$A$2:$M$6000,2,0),"")</f>
        <v/>
      </c>
      <c r="C46" s="212">
        <f t="shared" si="14"/>
        <v>0</v>
      </c>
      <c r="D46" s="213" t="str">
        <f>IFERROR(VLOOKUP(H46,[1]SEMIELABORADOS!$A$2:$M$6000,6,0),"")</f>
        <v/>
      </c>
      <c r="E46" s="213" t="str">
        <f>IFERROR(VLOOKUP(H46,[1]SEMIELABORADOS!$A$2:$M$65536,12,0),"")</f>
        <v/>
      </c>
      <c r="F46" s="213" t="str">
        <f t="shared" si="15"/>
        <v/>
      </c>
      <c r="G46" s="214" t="str">
        <f t="shared" si="16"/>
        <v/>
      </c>
      <c r="H46" s="218"/>
      <c r="I46" s="210"/>
      <c r="J46" s="216"/>
    </row>
    <row r="47" spans="1:13" ht="13.5" hidden="1" x14ac:dyDescent="0.25">
      <c r="A47" s="211">
        <f t="shared" si="13"/>
        <v>0</v>
      </c>
      <c r="B47" s="217" t="str">
        <f>IFERROR(VLOOKUP(H47,[1]SEMIELABORADOS!$A$2:$M$6000,2,0),"")</f>
        <v/>
      </c>
      <c r="C47" s="212">
        <f t="shared" si="14"/>
        <v>0</v>
      </c>
      <c r="D47" s="213" t="str">
        <f>IFERROR(VLOOKUP(H47,[1]SEMIELABORADOS!$A$2:$M$6000,6,0),"")</f>
        <v/>
      </c>
      <c r="E47" s="213" t="str">
        <f>IFERROR(VLOOKUP(H47,[1]SEMIELABORADOS!$A$2:$M$65536,12,0),"")</f>
        <v/>
      </c>
      <c r="F47" s="213" t="str">
        <f t="shared" si="15"/>
        <v/>
      </c>
      <c r="G47" s="214" t="str">
        <f t="shared" si="16"/>
        <v/>
      </c>
      <c r="H47" s="218"/>
      <c r="I47" s="210"/>
      <c r="J47" s="216"/>
    </row>
    <row r="48" spans="1:13" ht="13.5" hidden="1" x14ac:dyDescent="0.25">
      <c r="A48" s="211">
        <f t="shared" si="13"/>
        <v>0</v>
      </c>
      <c r="B48" s="217" t="str">
        <f>IFERROR(VLOOKUP(H48,[1]SEMIELABORADOS!$A$2:$M$6000,2,0),"")</f>
        <v/>
      </c>
      <c r="C48" s="212">
        <f t="shared" si="14"/>
        <v>0</v>
      </c>
      <c r="D48" s="213" t="str">
        <f>IFERROR(VLOOKUP(H48,[1]SEMIELABORADOS!$A$2:$M$6000,6,0),"")</f>
        <v/>
      </c>
      <c r="E48" s="213" t="str">
        <f>IFERROR(VLOOKUP(H48,[1]SEMIELABORADOS!$A$2:$M$65536,12,0),"")</f>
        <v/>
      </c>
      <c r="F48" s="213" t="str">
        <f t="shared" si="15"/>
        <v/>
      </c>
      <c r="G48" s="214" t="str">
        <f t="shared" si="16"/>
        <v/>
      </c>
      <c r="H48" s="218"/>
      <c r="I48" s="210"/>
      <c r="J48" s="216"/>
    </row>
    <row r="49" spans="1:17" ht="13.5" hidden="1" x14ac:dyDescent="0.25">
      <c r="A49" s="211">
        <f t="shared" si="13"/>
        <v>0</v>
      </c>
      <c r="B49" s="217" t="str">
        <f>IFERROR(VLOOKUP(H49,[1]SEMIELABORADOS!$A$2:$M$6000,2,0),"")</f>
        <v/>
      </c>
      <c r="C49" s="212">
        <f t="shared" si="14"/>
        <v>0</v>
      </c>
      <c r="D49" s="213" t="str">
        <f>IFERROR(VLOOKUP(H49,[1]SEMIELABORADOS!$A$2:$M$6000,6,0),"")</f>
        <v/>
      </c>
      <c r="E49" s="213" t="str">
        <f>IFERROR(VLOOKUP(H49,[1]SEMIELABORADOS!$A$2:$M$65536,12,0),"")</f>
        <v/>
      </c>
      <c r="F49" s="213" t="str">
        <f t="shared" si="15"/>
        <v/>
      </c>
      <c r="G49" s="214" t="str">
        <f t="shared" si="16"/>
        <v/>
      </c>
      <c r="H49" s="218"/>
      <c r="I49" s="210"/>
      <c r="J49" s="216"/>
    </row>
    <row r="50" spans="1:17" ht="13.5" hidden="1" x14ac:dyDescent="0.25">
      <c r="A50" s="211">
        <f t="shared" si="13"/>
        <v>0</v>
      </c>
      <c r="B50" s="217" t="str">
        <f>IFERROR(VLOOKUP(H50,[1]SEMIELABORADOS!$A$2:$M$6000,2,0),"")</f>
        <v/>
      </c>
      <c r="C50" s="212">
        <f t="shared" si="14"/>
        <v>0</v>
      </c>
      <c r="D50" s="213" t="str">
        <f>IFERROR(VLOOKUP(H50,[1]SEMIELABORADOS!$A$2:$M$6000,6,0),"")</f>
        <v/>
      </c>
      <c r="E50" s="213" t="str">
        <f>IFERROR(VLOOKUP(H50,[1]SEMIELABORADOS!$A$2:$M$65536,12,0),"")</f>
        <v/>
      </c>
      <c r="F50" s="213" t="str">
        <f t="shared" si="15"/>
        <v/>
      </c>
      <c r="G50" s="214" t="str">
        <f t="shared" si="16"/>
        <v/>
      </c>
      <c r="H50" s="217"/>
      <c r="I50" s="210"/>
      <c r="J50" s="216"/>
    </row>
    <row r="51" spans="1:17" ht="13.5" x14ac:dyDescent="0.25">
      <c r="A51" s="211">
        <v>1</v>
      </c>
      <c r="B51" s="217" t="s">
        <v>121</v>
      </c>
      <c r="C51" s="212">
        <f>+A51</f>
        <v>1</v>
      </c>
      <c r="D51" s="212" t="s">
        <v>122</v>
      </c>
      <c r="E51" s="213">
        <f>+F65</f>
        <v>770</v>
      </c>
      <c r="F51" s="213">
        <f>IFERROR(C51*E51,"")</f>
        <v>770</v>
      </c>
      <c r="G51" s="214">
        <f>IFERROR(F51/$F$66,"")</f>
        <v>1.6179537086381899E-2</v>
      </c>
      <c r="H51" s="222"/>
      <c r="I51" s="222"/>
      <c r="J51" s="216"/>
    </row>
    <row r="52" spans="1:17" ht="14.25" thickBot="1" x14ac:dyDescent="0.3">
      <c r="A52" s="211"/>
      <c r="B52" s="217"/>
      <c r="C52" s="212"/>
      <c r="D52" s="212"/>
      <c r="E52" s="213"/>
      <c r="F52" s="213"/>
      <c r="G52" s="214"/>
      <c r="H52" s="222"/>
      <c r="I52" s="222"/>
      <c r="J52" s="216"/>
    </row>
    <row r="53" spans="1:17" ht="13.5" thickBot="1" x14ac:dyDescent="0.25">
      <c r="A53" s="223"/>
      <c r="B53" s="446" t="s">
        <v>123</v>
      </c>
      <c r="C53" s="446"/>
      <c r="D53" s="446"/>
      <c r="E53" s="446"/>
      <c r="F53" s="225">
        <f>SUM(F8:F14,F17:F24)</f>
        <v>45902.920000000006</v>
      </c>
      <c r="G53" s="214">
        <f>+F53/$F$66</f>
        <v>0.96452986560158638</v>
      </c>
      <c r="H53" s="226">
        <f>+F53/$D$60</f>
        <v>45902.920000000006</v>
      </c>
      <c r="I53" s="226"/>
      <c r="J53" s="227"/>
      <c r="K53" s="228"/>
      <c r="L53" s="228"/>
      <c r="M53" s="228"/>
      <c r="N53" s="228"/>
      <c r="O53" s="228"/>
      <c r="P53" s="228"/>
      <c r="Q53" s="229"/>
    </row>
    <row r="54" spans="1:17" x14ac:dyDescent="0.2">
      <c r="A54" s="223"/>
      <c r="B54" s="446" t="s">
        <v>124</v>
      </c>
      <c r="C54" s="446"/>
      <c r="D54" s="446"/>
      <c r="E54" s="446"/>
      <c r="F54" s="225">
        <f>SUM(F27:F32,F35:F41)</f>
        <v>0</v>
      </c>
      <c r="G54" s="214">
        <f>+F54/$F$66</f>
        <v>0</v>
      </c>
      <c r="H54" s="226">
        <f>+F54/$D$60</f>
        <v>0</v>
      </c>
      <c r="I54" s="226"/>
      <c r="J54" s="230"/>
      <c r="K54" s="447" t="s">
        <v>125</v>
      </c>
      <c r="L54" s="448"/>
      <c r="M54" s="448"/>
      <c r="N54" s="448"/>
      <c r="O54" s="231">
        <f>+F55</f>
        <v>45902.920000000006</v>
      </c>
      <c r="P54" s="231"/>
      <c r="Q54" s="232"/>
    </row>
    <row r="55" spans="1:17" x14ac:dyDescent="0.2">
      <c r="A55" s="223"/>
      <c r="B55" s="446" t="s">
        <v>126</v>
      </c>
      <c r="C55" s="446"/>
      <c r="D55" s="446"/>
      <c r="E55" s="446"/>
      <c r="F55" s="225">
        <f>+F53+F54</f>
        <v>45902.920000000006</v>
      </c>
      <c r="G55" s="214">
        <f>+F55/$F$66</f>
        <v>0.96452986560158638</v>
      </c>
      <c r="H55" s="226">
        <f>+F55/$D$60</f>
        <v>45902.920000000006</v>
      </c>
      <c r="I55" s="226"/>
      <c r="J55" s="233"/>
      <c r="K55" s="234"/>
      <c r="M55" s="235" t="s">
        <v>127</v>
      </c>
      <c r="N55" s="236"/>
      <c r="O55" s="231">
        <f>+H56</f>
        <v>770</v>
      </c>
      <c r="P55" s="231"/>
      <c r="Q55" s="232"/>
    </row>
    <row r="56" spans="1:17" ht="13.5" thickBot="1" x14ac:dyDescent="0.25">
      <c r="A56" s="223"/>
      <c r="B56" s="224"/>
      <c r="C56" s="446" t="s">
        <v>128</v>
      </c>
      <c r="D56" s="446"/>
      <c r="E56" s="446"/>
      <c r="F56" s="225">
        <f>SUM(F44:F51)</f>
        <v>770</v>
      </c>
      <c r="G56" s="214">
        <f>+F56/$F$66</f>
        <v>1.6179537086381899E-2</v>
      </c>
      <c r="H56" s="226">
        <f>+F56/$D$60</f>
        <v>770</v>
      </c>
      <c r="I56" s="226"/>
      <c r="J56" s="233"/>
      <c r="K56" s="234"/>
      <c r="L56" s="234"/>
      <c r="M56" s="234" t="s">
        <v>129</v>
      </c>
      <c r="N56" s="237"/>
      <c r="O56" s="231">
        <f>O54*N56</f>
        <v>0</v>
      </c>
      <c r="P56" s="231"/>
      <c r="Q56" s="232"/>
    </row>
    <row r="57" spans="1:17" ht="13.5" thickBot="1" x14ac:dyDescent="0.25">
      <c r="A57" s="223"/>
      <c r="B57" s="238"/>
      <c r="C57" s="238"/>
      <c r="D57" s="238"/>
      <c r="E57" s="238"/>
      <c r="F57" s="239"/>
      <c r="G57" s="214"/>
      <c r="H57" s="240"/>
      <c r="I57" s="226"/>
      <c r="J57" s="233"/>
      <c r="K57" s="241"/>
      <c r="M57" s="242" t="s">
        <v>130</v>
      </c>
      <c r="N57" s="243"/>
      <c r="O57" s="244">
        <f>SUM(O54:O56)</f>
        <v>46672.920000000006</v>
      </c>
      <c r="P57" s="245"/>
      <c r="Q57" s="232"/>
    </row>
    <row r="58" spans="1:17" x14ac:dyDescent="0.2">
      <c r="B58" s="449" t="s">
        <v>131</v>
      </c>
      <c r="C58" s="449"/>
      <c r="D58" s="246">
        <v>10000</v>
      </c>
      <c r="E58" s="247"/>
      <c r="G58" s="214"/>
      <c r="H58" s="240">
        <f>+H56/77</f>
        <v>10</v>
      </c>
      <c r="I58" s="248"/>
      <c r="J58" s="233"/>
      <c r="K58" s="241"/>
      <c r="L58" s="234"/>
      <c r="M58" s="234" t="s">
        <v>132</v>
      </c>
      <c r="N58" s="249"/>
      <c r="O58" s="231">
        <f>+H59</f>
        <v>640</v>
      </c>
      <c r="P58" s="231"/>
      <c r="Q58" s="232"/>
    </row>
    <row r="59" spans="1:17" x14ac:dyDescent="0.2">
      <c r="B59" s="449" t="s">
        <v>133</v>
      </c>
      <c r="C59" s="449"/>
      <c r="D59" s="250">
        <v>10000</v>
      </c>
      <c r="E59" s="247"/>
      <c r="G59" s="214"/>
      <c r="H59" s="240">
        <f>+H58*64</f>
        <v>640</v>
      </c>
      <c r="I59" s="248"/>
      <c r="J59" s="233"/>
      <c r="K59" s="241"/>
      <c r="L59" s="234"/>
      <c r="M59" s="450" t="s">
        <v>130</v>
      </c>
      <c r="N59" s="450"/>
      <c r="O59" s="231">
        <f>SUM(O57:O58)</f>
        <v>47312.920000000006</v>
      </c>
      <c r="P59" s="231"/>
      <c r="Q59" s="232"/>
    </row>
    <row r="60" spans="1:17" ht="13.5" thickBot="1" x14ac:dyDescent="0.25">
      <c r="B60" s="441" t="s">
        <v>134</v>
      </c>
      <c r="C60" s="441"/>
      <c r="D60" s="246">
        <f>+D58/D59</f>
        <v>1</v>
      </c>
      <c r="E60" s="247"/>
      <c r="F60" s="251"/>
      <c r="G60" s="214"/>
      <c r="H60" s="240"/>
      <c r="I60" s="248"/>
      <c r="J60" s="233"/>
      <c r="K60" s="241"/>
      <c r="L60" s="450"/>
      <c r="M60" s="450"/>
      <c r="N60" s="249"/>
      <c r="O60" s="231">
        <f>+O59*N60</f>
        <v>0</v>
      </c>
      <c r="P60" s="231"/>
      <c r="Q60" s="232"/>
    </row>
    <row r="61" spans="1:17" ht="13.5" thickBot="1" x14ac:dyDescent="0.25">
      <c r="B61" s="441" t="s">
        <v>135</v>
      </c>
      <c r="C61" s="441"/>
      <c r="D61" s="252"/>
      <c r="E61" s="247"/>
      <c r="F61" s="251"/>
      <c r="G61" s="214"/>
      <c r="H61" s="240"/>
      <c r="I61" s="248"/>
      <c r="J61" s="233"/>
      <c r="K61" s="442" t="s">
        <v>136</v>
      </c>
      <c r="L61" s="443"/>
      <c r="M61" s="443"/>
      <c r="N61" s="444"/>
      <c r="O61" s="244">
        <f>SUM(O59:O60)</f>
        <v>47312.920000000006</v>
      </c>
      <c r="P61" s="253" t="s">
        <v>137</v>
      </c>
      <c r="Q61" s="232"/>
    </row>
    <row r="62" spans="1:17" ht="13.5" thickBot="1" x14ac:dyDescent="0.25">
      <c r="C62" s="223" t="s">
        <v>138</v>
      </c>
      <c r="D62" s="254"/>
      <c r="E62" s="197" t="s">
        <v>139</v>
      </c>
      <c r="F62" s="255" t="s">
        <v>140</v>
      </c>
      <c r="G62" s="214"/>
      <c r="H62" s="240"/>
      <c r="I62" s="248"/>
      <c r="J62" s="256"/>
      <c r="K62" s="257"/>
      <c r="L62" s="430" t="s">
        <v>141</v>
      </c>
      <c r="M62" s="430"/>
      <c r="N62" s="430"/>
      <c r="O62" s="258">
        <f>+O61/D60</f>
        <v>47312.920000000006</v>
      </c>
      <c r="P62" s="259">
        <f>+O62/D59</f>
        <v>4.7312920000000007</v>
      </c>
      <c r="Q62" s="260"/>
    </row>
    <row r="63" spans="1:17" ht="13.5" thickBot="1" x14ac:dyDescent="0.25">
      <c r="B63" s="431" t="s">
        <v>126</v>
      </c>
      <c r="C63" s="431"/>
      <c r="D63" s="431"/>
      <c r="E63" s="261">
        <f>+F63/F63</f>
        <v>1</v>
      </c>
      <c r="F63" s="262">
        <f>SUM(F55)</f>
        <v>45902.920000000006</v>
      </c>
      <c r="G63" s="214">
        <f>+F63/$F$66</f>
        <v>0.96452986560158638</v>
      </c>
      <c r="H63" s="240"/>
      <c r="I63" s="248"/>
      <c r="K63" s="432"/>
      <c r="L63" s="433"/>
      <c r="M63" s="433"/>
      <c r="N63" s="433"/>
      <c r="O63" s="263"/>
      <c r="P63" s="264"/>
    </row>
    <row r="64" spans="1:17" ht="13.5" thickBot="1" x14ac:dyDescent="0.25">
      <c r="B64" s="434" t="s">
        <v>142</v>
      </c>
      <c r="C64" s="434"/>
      <c r="D64" s="434"/>
      <c r="E64" s="265">
        <v>0.02</v>
      </c>
      <c r="F64" s="262">
        <f>+F53*E64</f>
        <v>918.05840000000012</v>
      </c>
      <c r="G64" s="214">
        <f>+F64/$F$66</f>
        <v>1.9290597312031726E-2</v>
      </c>
      <c r="H64" s="226"/>
      <c r="I64" s="248"/>
      <c r="J64" s="266"/>
      <c r="O64" s="267"/>
      <c r="P64" s="224"/>
    </row>
    <row r="65" spans="2:13" ht="13.5" thickBot="1" x14ac:dyDescent="0.25">
      <c r="B65" s="435" t="s">
        <v>143</v>
      </c>
      <c r="C65" s="436"/>
      <c r="D65" s="268">
        <v>10</v>
      </c>
      <c r="E65" s="269">
        <v>77</v>
      </c>
      <c r="F65" s="262">
        <f>+E65*D65</f>
        <v>770</v>
      </c>
      <c r="G65" s="214">
        <f>+F65/$F$66</f>
        <v>1.6179537086381899E-2</v>
      </c>
      <c r="H65" s="226"/>
      <c r="I65" s="226"/>
      <c r="J65" s="216"/>
    </row>
    <row r="66" spans="2:13" ht="13.5" thickBot="1" x14ac:dyDescent="0.25">
      <c r="B66" s="437" t="s">
        <v>144</v>
      </c>
      <c r="C66" s="438"/>
      <c r="D66" s="438"/>
      <c r="E66" s="439"/>
      <c r="F66" s="239">
        <f>SUM(F63:F65)</f>
        <v>47590.978400000007</v>
      </c>
      <c r="G66" s="214">
        <f>+F66/$F$66</f>
        <v>1</v>
      </c>
      <c r="H66" s="440"/>
      <c r="I66" s="226"/>
      <c r="J66" s="216"/>
      <c r="M66" s="199" t="s">
        <v>145</v>
      </c>
    </row>
    <row r="67" spans="2:13" x14ac:dyDescent="0.2">
      <c r="C67" s="221"/>
      <c r="D67" s="221"/>
      <c r="E67" s="271"/>
      <c r="F67" s="262"/>
      <c r="G67" s="214"/>
      <c r="H67" s="440"/>
      <c r="I67" s="270"/>
      <c r="J67" s="199"/>
      <c r="M67" s="199" t="s">
        <v>146</v>
      </c>
    </row>
    <row r="68" spans="2:13" ht="13.5" thickBot="1" x14ac:dyDescent="0.25">
      <c r="B68" s="425" t="s">
        <v>147</v>
      </c>
      <c r="C68" s="425"/>
      <c r="D68" s="425"/>
      <c r="E68" s="425"/>
      <c r="F68" s="425"/>
      <c r="G68" s="214"/>
      <c r="H68" s="273"/>
      <c r="I68" s="270"/>
      <c r="J68" s="199"/>
      <c r="M68" s="199" t="s">
        <v>148</v>
      </c>
    </row>
    <row r="69" spans="2:13" ht="13.5" thickBot="1" x14ac:dyDescent="0.25">
      <c r="B69" s="274" t="s">
        <v>149</v>
      </c>
      <c r="C69" s="275">
        <f>+F53</f>
        <v>45902.920000000006</v>
      </c>
      <c r="D69" s="275">
        <f>+D58</f>
        <v>10000</v>
      </c>
      <c r="E69" s="276">
        <f>+C69/D69</f>
        <v>4.5902920000000007</v>
      </c>
      <c r="F69" s="214"/>
      <c r="G69" s="273"/>
      <c r="H69" s="216"/>
      <c r="I69" s="273"/>
      <c r="J69" s="199"/>
    </row>
    <row r="70" spans="2:13" x14ac:dyDescent="0.2">
      <c r="B70" s="277"/>
      <c r="C70" s="278"/>
      <c r="D70" s="279"/>
      <c r="E70" s="262"/>
      <c r="F70" s="214"/>
      <c r="G70" s="273"/>
      <c r="H70" s="216"/>
      <c r="I70" s="216"/>
      <c r="J70" s="199"/>
    </row>
    <row r="71" spans="2:13" x14ac:dyDescent="0.2">
      <c r="B71" s="274" t="s">
        <v>150</v>
      </c>
      <c r="C71" s="275">
        <f>SUM(F63:F64)</f>
        <v>46820.978400000007</v>
      </c>
      <c r="D71" s="275">
        <f>+D58</f>
        <v>10000</v>
      </c>
      <c r="E71" s="280">
        <f>+C71/D71</f>
        <v>4.6820978400000008</v>
      </c>
      <c r="F71" s="214"/>
      <c r="G71" s="273"/>
      <c r="H71" s="216"/>
      <c r="I71" s="216"/>
      <c r="J71" s="199"/>
    </row>
    <row r="72" spans="2:13" x14ac:dyDescent="0.2">
      <c r="B72" s="274"/>
      <c r="C72" s="275"/>
      <c r="D72" s="275"/>
      <c r="E72" s="280"/>
      <c r="F72" s="214"/>
      <c r="G72" s="273"/>
      <c r="H72" s="216"/>
      <c r="I72" s="216"/>
      <c r="J72" s="199"/>
    </row>
    <row r="73" spans="2:13" ht="13.5" thickBot="1" x14ac:dyDescent="0.25">
      <c r="B73" s="274" t="s">
        <v>151</v>
      </c>
      <c r="C73" s="275">
        <f>+F65</f>
        <v>770</v>
      </c>
      <c r="D73" s="275">
        <f>+D58</f>
        <v>10000</v>
      </c>
      <c r="E73" s="280">
        <f>+C73/D73</f>
        <v>7.6999999999999999E-2</v>
      </c>
      <c r="F73" s="214"/>
      <c r="G73" s="273"/>
      <c r="H73" s="216"/>
      <c r="I73" s="216"/>
      <c r="J73" s="199"/>
    </row>
    <row r="74" spans="2:13" ht="13.5" thickBot="1" x14ac:dyDescent="0.25">
      <c r="B74" s="274" t="s">
        <v>152</v>
      </c>
      <c r="C74" s="275">
        <f>+F56</f>
        <v>770</v>
      </c>
      <c r="D74" s="275">
        <f>+D73</f>
        <v>10000</v>
      </c>
      <c r="E74" s="276">
        <f>+C74/D74</f>
        <v>7.6999999999999999E-2</v>
      </c>
      <c r="F74" s="214"/>
      <c r="G74" s="273"/>
      <c r="H74" s="216"/>
      <c r="I74" s="216"/>
      <c r="J74" s="199"/>
    </row>
    <row r="75" spans="2:13" ht="13.5" thickBot="1" x14ac:dyDescent="0.25">
      <c r="B75" s="238"/>
      <c r="C75" s="239"/>
      <c r="D75" s="239"/>
      <c r="E75" s="280"/>
      <c r="F75" s="214"/>
      <c r="G75" s="273"/>
      <c r="H75" s="216"/>
      <c r="I75" s="216"/>
      <c r="J75" s="199"/>
    </row>
    <row r="76" spans="2:13" ht="13.5" thickBot="1" x14ac:dyDescent="0.25">
      <c r="B76" s="274" t="s">
        <v>153</v>
      </c>
      <c r="C76" s="275">
        <f>+F54</f>
        <v>0</v>
      </c>
      <c r="D76" s="275">
        <f>+D74</f>
        <v>10000</v>
      </c>
      <c r="E76" s="276">
        <f>+C76/D76</f>
        <v>0</v>
      </c>
      <c r="F76" s="214"/>
      <c r="G76" s="273"/>
      <c r="H76" s="216"/>
      <c r="I76" s="216"/>
      <c r="J76" s="216"/>
    </row>
    <row r="77" spans="2:13" ht="13.5" thickBot="1" x14ac:dyDescent="0.25">
      <c r="B77" s="238"/>
      <c r="C77" s="239"/>
      <c r="D77" s="239"/>
      <c r="E77" s="280"/>
      <c r="F77" s="214"/>
      <c r="G77" s="273"/>
      <c r="H77" s="216"/>
      <c r="I77" s="216"/>
    </row>
    <row r="78" spans="2:13" ht="13.5" thickBot="1" x14ac:dyDescent="0.25">
      <c r="B78" s="426" t="s">
        <v>154</v>
      </c>
      <c r="C78" s="427"/>
      <c r="D78" s="428"/>
      <c r="E78" s="276">
        <f>+E69+E74</f>
        <v>4.6672920000000007</v>
      </c>
      <c r="G78" s="214"/>
      <c r="H78" s="273"/>
      <c r="I78" s="216"/>
      <c r="J78" s="280"/>
    </row>
    <row r="79" spans="2:13" x14ac:dyDescent="0.2">
      <c r="I79" s="273"/>
      <c r="J79" s="199"/>
    </row>
    <row r="80" spans="2:13" ht="13.5" thickBot="1" x14ac:dyDescent="0.25">
      <c r="B80" s="425" t="s">
        <v>155</v>
      </c>
      <c r="C80" s="425"/>
      <c r="D80" s="425"/>
      <c r="E80" s="425"/>
      <c r="F80" s="425"/>
      <c r="G80" s="214"/>
      <c r="H80" s="273"/>
      <c r="J80" s="199"/>
    </row>
    <row r="81" spans="1:10" ht="13.5" thickBot="1" x14ac:dyDescent="0.25">
      <c r="B81" s="274" t="s">
        <v>149</v>
      </c>
      <c r="C81" s="275">
        <f>+C69</f>
        <v>45902.920000000006</v>
      </c>
      <c r="D81" s="275">
        <f>+D60</f>
        <v>1</v>
      </c>
      <c r="E81" s="276">
        <f>+C81/D81</f>
        <v>45902.920000000006</v>
      </c>
      <c r="F81" s="214"/>
      <c r="G81" s="273"/>
      <c r="H81" s="216"/>
      <c r="I81" s="273"/>
      <c r="J81" s="199"/>
    </row>
    <row r="82" spans="1:10" x14ac:dyDescent="0.2">
      <c r="B82" s="277"/>
      <c r="C82" s="278"/>
      <c r="D82" s="279"/>
      <c r="E82" s="262"/>
      <c r="F82" s="214"/>
      <c r="G82" s="273"/>
      <c r="H82" s="216"/>
      <c r="I82" s="216"/>
      <c r="J82" s="199"/>
    </row>
    <row r="83" spans="1:10" x14ac:dyDescent="0.2">
      <c r="B83" s="274" t="s">
        <v>150</v>
      </c>
      <c r="C83" s="275">
        <f>+C71</f>
        <v>46820.978400000007</v>
      </c>
      <c r="D83" s="275">
        <f>+D60</f>
        <v>1</v>
      </c>
      <c r="E83" s="280">
        <f>+C83/D83</f>
        <v>46820.978400000007</v>
      </c>
      <c r="F83" s="214"/>
      <c r="G83" s="273"/>
      <c r="H83" s="216"/>
      <c r="I83" s="216"/>
      <c r="J83" s="199"/>
    </row>
    <row r="84" spans="1:10" x14ac:dyDescent="0.2">
      <c r="B84" s="274"/>
      <c r="C84" s="275"/>
      <c r="D84" s="275"/>
      <c r="E84" s="280"/>
      <c r="F84" s="214"/>
      <c r="G84" s="273"/>
      <c r="H84" s="216"/>
      <c r="I84" s="216"/>
      <c r="J84" s="199"/>
    </row>
    <row r="85" spans="1:10" ht="13.5" thickBot="1" x14ac:dyDescent="0.25">
      <c r="B85" s="274" t="s">
        <v>152</v>
      </c>
      <c r="C85" s="275">
        <f>+C73</f>
        <v>770</v>
      </c>
      <c r="D85" s="275">
        <f>+D60</f>
        <v>1</v>
      </c>
      <c r="E85" s="280">
        <f>+C85/D85</f>
        <v>770</v>
      </c>
      <c r="F85" s="282"/>
      <c r="G85" s="272"/>
      <c r="H85" s="198"/>
      <c r="I85" s="216"/>
    </row>
    <row r="86" spans="1:10" ht="13.5" thickBot="1" x14ac:dyDescent="0.25">
      <c r="B86" s="274" t="s">
        <v>152</v>
      </c>
      <c r="C86" s="275">
        <f>+C74</f>
        <v>770</v>
      </c>
      <c r="D86" s="275">
        <f>+D85</f>
        <v>1</v>
      </c>
      <c r="E86" s="276">
        <f>+C86/D86</f>
        <v>770</v>
      </c>
      <c r="F86" s="281"/>
      <c r="G86" s="272"/>
      <c r="H86" s="198"/>
      <c r="I86" s="198"/>
    </row>
    <row r="87" spans="1:10" x14ac:dyDescent="0.2">
      <c r="I87" s="198"/>
    </row>
    <row r="88" spans="1:10" x14ac:dyDescent="0.2">
      <c r="A88" s="429"/>
      <c r="B88" s="429"/>
      <c r="C88" s="283"/>
      <c r="D88" s="283"/>
      <c r="E88" s="284"/>
      <c r="G88" s="285"/>
    </row>
    <row r="89" spans="1:10" x14ac:dyDescent="0.2">
      <c r="A89" s="217"/>
      <c r="B89" s="286"/>
      <c r="C89" s="287"/>
      <c r="D89" s="287"/>
      <c r="E89" s="288"/>
      <c r="G89" s="285"/>
    </row>
    <row r="90" spans="1:10" x14ac:dyDescent="0.2">
      <c r="A90" s="217"/>
      <c r="B90" s="286"/>
      <c r="C90" s="289"/>
      <c r="D90" s="289"/>
      <c r="E90" s="217"/>
      <c r="G90" s="285"/>
    </row>
    <row r="91" spans="1:10" x14ac:dyDescent="0.2">
      <c r="A91" s="217"/>
      <c r="B91" s="286"/>
      <c r="C91" s="290"/>
      <c r="D91" s="290"/>
      <c r="E91" s="217"/>
      <c r="G91" s="28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63DE8-6749-4305-B6ED-8EDE6963A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5D85DE9-BC99-4CE8-B5F5-8D665F350D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E0A0A9-EE91-4623-8051-21775A45A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Porción Torta Pistacho</vt:lpstr>
      <vt:lpstr>Costo Porcion Torta </vt:lpstr>
      <vt:lpstr>Costo Disco </vt:lpstr>
      <vt:lpstr>Ganache de Pistacho</vt:lpstr>
      <vt:lpstr>Ganache de Pistacho </vt:lpstr>
      <vt:lpstr>Costo Ganache </vt:lpstr>
      <vt:lpstr>'Ganache de Pistacho '!Área_de_impresión</vt:lpstr>
      <vt:lpstr>'Porción Torta Pistacho'!Área_de_impresión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2025-09-01T17:15:08Z</cp:lastPrinted>
  <dcterms:created xsi:type="dcterms:W3CDTF">2025-02-21T21:19:10Z</dcterms:created>
  <dcterms:modified xsi:type="dcterms:W3CDTF">2025-09-01T17:17:26Z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
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AF0CCB78-BE34-4336-B5CE-C7B530F7EF5A}" xr6:coauthVersionLast="47" xr6:coauthVersionMax="47" xr10:uidLastSave="{5A3DE5F5-69AC-46AB-8119-4FFD11956248}"/>
  <bookViews>
    <workbookView xWindow="-120" yWindow="-120" windowWidth="20730" windowHeight="11040" xr2:uid="{79E4B147-7FA0-47C9-A2C9-2CD2395E1471}"/>
  </bookViews>
  <sheets>
    <sheet name="Hoja1" sheetId="7" r:id="rId1"/>
    <sheet name="IND" sheetId="3" state="hidden" r:id="rId2"/>
  </sheets>
  <externalReferences>
    <externalReference r:id="rId3"/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E17" i="3"/>
  <c r="A17" i="3"/>
  <c r="C17" i="3"/>
  <c r="D18" i="3"/>
  <c r="E18" i="3"/>
  <c r="A18" i="3"/>
  <c r="C18" i="3"/>
  <c r="E32" i="3"/>
  <c r="D19" i="3"/>
  <c r="E19" i="3"/>
  <c r="C19" i="3"/>
  <c r="C27" i="3"/>
  <c r="D48" i="3"/>
  <c r="D50" i="3"/>
  <c r="E50" i="3"/>
  <c r="D51" i="3"/>
  <c r="D5" i="3"/>
  <c r="E5" i="3"/>
  <c r="C5" i="3"/>
  <c r="D6" i="3"/>
  <c r="E6" i="3"/>
  <c r="C6" i="3"/>
  <c r="D7" i="3"/>
  <c r="E7" i="3"/>
  <c r="C7" i="3"/>
  <c r="D8" i="3"/>
  <c r="C8" i="3"/>
  <c r="D9" i="3"/>
  <c r="C9" i="3"/>
  <c r="E9" i="3"/>
  <c r="D10" i="3"/>
  <c r="E10" i="3"/>
  <c r="C10" i="3"/>
  <c r="D11" i="3"/>
  <c r="E11" i="3"/>
  <c r="C11" i="3"/>
  <c r="D12" i="3"/>
  <c r="E12" i="3"/>
  <c r="C12" i="3"/>
  <c r="D13" i="3"/>
  <c r="E13" i="3"/>
  <c r="C13" i="3"/>
  <c r="D14" i="3"/>
  <c r="E14" i="3"/>
  <c r="C14" i="3"/>
  <c r="D31" i="3"/>
  <c r="D36" i="3"/>
  <c r="D38" i="3"/>
  <c r="D40" i="3"/>
  <c r="C40" i="3"/>
  <c r="C50" i="3"/>
  <c r="E8" i="3"/>
  <c r="D41" i="3"/>
  <c r="E40" i="3"/>
  <c r="D46" i="3"/>
  <c r="E24" i="3"/>
  <c r="E21" i="3"/>
  <c r="C41" i="3"/>
  <c r="E31" i="3"/>
  <c r="E23" i="3"/>
  <c r="C36" i="3"/>
  <c r="E30" i="3"/>
  <c r="E36" i="3"/>
  <c r="C46" i="3"/>
  <c r="E46" i="3"/>
  <c r="C51" i="3"/>
  <c r="E51" i="3"/>
  <c r="E41" i="3"/>
  <c r="E43" i="3"/>
  <c r="D30" i="3"/>
  <c r="C38" i="3"/>
  <c r="E33" i="3"/>
  <c r="F30" i="3"/>
  <c r="F19" i="3"/>
  <c r="F8" i="3"/>
  <c r="F33" i="3"/>
  <c r="F10" i="3"/>
  <c r="F22" i="3"/>
  <c r="F17" i="3"/>
  <c r="F32" i="3"/>
  <c r="F18" i="3"/>
  <c r="F13" i="3"/>
  <c r="F14" i="3"/>
  <c r="F9" i="3"/>
  <c r="F11" i="3"/>
  <c r="F5" i="3"/>
  <c r="F6" i="3"/>
  <c r="F7" i="3"/>
  <c r="F12" i="3"/>
  <c r="F24" i="3"/>
  <c r="F21" i="3"/>
  <c r="F23" i="3"/>
  <c r="F31" i="3"/>
  <c r="C48" i="3"/>
  <c r="E48" i="3"/>
  <c r="E38" i="3"/>
</calcChain>
</file>

<file path=xl/sharedStrings.xml><?xml version="1.0" encoding="utf-8"?>
<sst xmlns="http://schemas.openxmlformats.org/spreadsheetml/2006/main" count="180" uniqueCount="144">
  <si>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</si>
  <si>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</si>
  <si>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</si>
  <si>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</si>
  <si>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</si>
  <si>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</si>
  <si>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</si>
  <si>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</si>
  <si>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</si>
  <si>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SPOON</t>
  </si>
  <si>
    <t>1210400</t>
  </si>
  <si>
    <t>1012387</t>
  </si>
  <si>
    <t>0810288</t>
  </si>
  <si>
    <t>1950771</t>
  </si>
  <si>
    <t>TIEMPO TOTAL DE PREPARACION</t>
  </si>
  <si>
    <t>PESO TOTAL OBTENIDO</t>
  </si>
  <si>
    <t>UNIDADES</t>
  </si>
  <si>
    <t>DESCRIPCION MAT.PRIMA</t>
  </si>
  <si>
    <t>COSTO UNITARIO</t>
  </si>
  <si>
    <t>TOTAL COSTO</t>
  </si>
  <si>
    <t>% PREC. DEFINIDO</t>
  </si>
  <si>
    <t>GRS RON</t>
  </si>
  <si>
    <t>GRS JUGO DE NARANJA</t>
  </si>
  <si>
    <t xml:space="preserve"> </t>
  </si>
  <si>
    <t>TOTAL</t>
  </si>
  <si>
    <t>TOTAL COSTO PLANTA</t>
  </si>
  <si>
    <t>g</t>
  </si>
  <si>
    <t>0910321</t>
  </si>
  <si>
    <t>0510200</t>
  </si>
  <si>
    <t>GRS VAINILLA</t>
  </si>
  <si>
    <t>GRS PASAS</t>
  </si>
  <si>
    <t>UND PAPEL ENCERADO</t>
  </si>
  <si>
    <t xml:space="preserve">ESTRUCTURA DE COSTOS </t>
  </si>
  <si>
    <t>CODIGOS</t>
  </si>
  <si>
    <t xml:space="preserve"> TOTAL MATERIA PRIMA</t>
  </si>
  <si>
    <t xml:space="preserve"> TOTAL EMPAQUE</t>
  </si>
  <si>
    <t xml:space="preserve"> TOTAL MATERIAS P. + EMPAQUES</t>
  </si>
  <si>
    <t>TOTAL MODI</t>
  </si>
  <si>
    <t xml:space="preserve"> GRAMOS</t>
  </si>
  <si>
    <t xml:space="preserve"> PESO POR UNIDAD</t>
  </si>
  <si>
    <t xml:space="preserve"> UNIDADES GRAMOS</t>
  </si>
  <si>
    <t>S/ COSTO</t>
  </si>
  <si>
    <t xml:space="preserve"> DESECHOS Y PERDIDAS</t>
  </si>
  <si>
    <t>MANO OBRA DIRECTA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</si>
  <si>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</si>
  <si>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</si>
  <si>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</si>
  <si>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</si>
  <si>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</si>
  <si>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 xml:space="preserve">TOTAL GRAMO MP+MODI </t>
  </si>
  <si>
    <t>COSTO POR UNIDAD</t>
  </si>
  <si>
    <t>MODI PREPARACION</t>
  </si>
  <si>
    <t>UND HUEVOS</t>
  </si>
  <si>
    <t>QUEQUE SECO ENTERO</t>
  </si>
  <si>
    <t>MODI</t>
  </si>
  <si>
    <t>GRS PREMEZCLA QUEQUE SECO</t>
  </si>
  <si>
    <t>MODI PREMEZCLA QUEQUE SECO</t>
  </si>
  <si>
    <t>GRS MANTECA ENGRASE</t>
  </si>
  <si>
    <t>MODI MANTECA ENGRASE</t>
  </si>
  <si>
    <t>1210448</t>
  </si>
  <si>
    <t>1210443</t>
  </si>
  <si>
    <t>GRS CLARA PASTEURIZADA</t>
  </si>
  <si>
    <t xml:space="preserve">GRS YEMA DE HUEVO PASTEURIZADA 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</si>
  <si>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</si>
  <si>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</si>
  <si>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</si>
  <si>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</si>
  <si>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</si>
  <si>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</si>
  <si>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</si>
  <si>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 xml:space="preserve">PREMEZCLA QUEQUE SECO </t>
  </si>
  <si>
    <t>JUGO DE NARANJA TB LITRO</t>
  </si>
  <si>
    <t>PASAS ( CAJAS 13.6KG)</t>
  </si>
  <si>
    <t>Unidad</t>
  </si>
  <si>
    <t>Tiempo de Horneo:</t>
  </si>
  <si>
    <t>Min.</t>
  </si>
  <si>
    <t>Horno:</t>
  </si>
  <si>
    <t>CANTIDAD DE PORCIONES OBTENIDAS</t>
  </si>
  <si>
    <t>Und.</t>
  </si>
  <si>
    <t>Temperatura de Horneo:</t>
  </si>
  <si>
    <t>PESO DE CADA PORCIÓN</t>
  </si>
  <si>
    <t>Otros</t>
  </si>
  <si>
    <t>MERMA</t>
  </si>
  <si>
    <t>PROCEDIMIENTO DE PREPARACION DE LA  RECETA</t>
  </si>
  <si>
    <t>Enharinar las pasas con 1/2 taza de harina de la pre mezcla.</t>
  </si>
  <si>
    <t>LACTOCREMA GRANEL ( 25KG )</t>
  </si>
  <si>
    <t>2.- En velocidad 3, batir por 10 minutos. Levantar el bowl de la batidora para lograr que el globo bata hasta el fondo y limpiar bordes.</t>
  </si>
  <si>
    <t>3.- Agregar las yemas poco a poco, batir por 1 minuto. Limpiar bordes  batir por 5 minutos mas.</t>
  </si>
  <si>
    <t>5.- Pesar en un bowl los liqudos ron, jugo de naranja, vainilla.</t>
  </si>
  <si>
    <t>6.- Bajar la velocidad a 1 y adicionar la mitad de las claras a la mezcla de lactocrema, agregar la mitad del harina con polvo de hornear de la pre mezcla. Adicionar luego la mitad de los liquidos,  limpiar los bordes.</t>
  </si>
  <si>
    <t>8.- Adicionar luego la mitad de los polvos, luego la otra mitad de los liquidos,  limpiar los bordes. Agregar por ultimo la otra mitad de las claras.</t>
  </si>
  <si>
    <t>9.- subir a velocidad 2 y batir por 1 min.</t>
  </si>
  <si>
    <t>10.- Limpiar los bordes y batir 30 segundos en velocidad 2 subiendo el bowl.</t>
  </si>
  <si>
    <t xml:space="preserve">12. Hornear en el Vulcan a 300°F por 55/60 minutos. </t>
  </si>
  <si>
    <t>13.- Desmoldar tibios sobre latas limpias, dejar enfriar y empacar.</t>
  </si>
  <si>
    <t>11300009</t>
  </si>
  <si>
    <t xml:space="preserve">CLARA DE HUEVO ( CAJA: 5 K) </t>
  </si>
  <si>
    <t>11300011</t>
  </si>
  <si>
    <t>YEMA DE HUEVO (CAJA: 8.34 K)</t>
  </si>
  <si>
    <t>10200088</t>
  </si>
  <si>
    <t>RON ABUELO RESERVA (UND: LITRO)</t>
  </si>
  <si>
    <t>118000004</t>
  </si>
  <si>
    <t>VAINILLA OSCURA (UND: 3.78 L)</t>
  </si>
  <si>
    <t>MEZCLA P/ENGRASE MOLDES KILO</t>
  </si>
  <si>
    <t>ud</t>
  </si>
  <si>
    <t>Esteban Cartin, Gte Manufactura</t>
  </si>
  <si>
    <t>1.- Colocar en la batidora la lactocrema (1100g) partida en pedazos  junto con el azúcar, preservante de la pre mezcla.</t>
  </si>
  <si>
    <t>11.- Pesar en moldes engrasados y adicionar 46g de pasas a cada molde, mezclar ligeramente con una espatula las pasas. Realizar un hueco en forma de canal en el centro del queque y a lo largo de el.</t>
  </si>
  <si>
    <t>310107</t>
  </si>
  <si>
    <t>5105009</t>
  </si>
  <si>
    <t>MP10141</t>
  </si>
  <si>
    <t>MP10037</t>
  </si>
  <si>
    <t>MP10580</t>
  </si>
  <si>
    <t>MP10385</t>
  </si>
  <si>
    <t>MP10561</t>
  </si>
  <si>
    <t>96369</t>
  </si>
  <si>
    <t>SE00347</t>
  </si>
  <si>
    <t>MP10022</t>
  </si>
  <si>
    <t>MP10598</t>
  </si>
  <si>
    <t>Javier Tong, Chef</t>
  </si>
  <si>
    <t>AREA QUE PRODUCE:</t>
  </si>
  <si>
    <t>Batidos</t>
  </si>
  <si>
    <t xml:space="preserve">AREA QUE EMPACA: </t>
  </si>
  <si>
    <t># Código Netsuite</t>
  </si>
  <si>
    <t>Ensamble</t>
  </si>
  <si>
    <t>FAS</t>
  </si>
  <si>
    <t>DOS PINOS</t>
  </si>
  <si>
    <t>WHOLESOME</t>
  </si>
  <si>
    <t>INNOVO</t>
  </si>
  <si>
    <t>ABUELO</t>
  </si>
  <si>
    <t>MALUQUER</t>
  </si>
  <si>
    <t>NUECES INDUST</t>
  </si>
  <si>
    <t>Empaque</t>
  </si>
  <si>
    <t>MAYCA</t>
  </si>
  <si>
    <t/>
  </si>
  <si>
    <t>CONTROL DE CAMBIOS</t>
  </si>
  <si>
    <t>ESP-RE-BAS-009</t>
  </si>
  <si>
    <t>4.- En un bowl por aparte batir las claras a punto yogurt o cinta en velocidad 3.</t>
  </si>
  <si>
    <t>Cambio en procedimiento de la clara.</t>
  </si>
  <si>
    <t>EM10018</t>
  </si>
  <si>
    <t>Papel Mantequilla</t>
  </si>
  <si>
    <t>Revision #3: Se cambia el papel encerado por papel mantequilla</t>
  </si>
  <si>
    <t>03</t>
  </si>
  <si>
    <t>Queque Seco Con Pasas 750g 95345(SE00348)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</si>
</sst>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_-* #,##0.0\ _€_-;\-* #,##0.0\ _€_-;_-* &quot;-&quot;??\ _€_-;_-@_-"/>
    <numFmt numFmtId="169" formatCode="_(* #,##0.000_);_(* \(#,##0.000\);_(* &quot;-&quot;??_);_(@_)"/>
  </numFmts>
  <fonts count="2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21"/>
      <name val="Times New Roman"/>
      <family val="1"/>
    </font>
    <font>
      <b/>
      <sz val="10"/>
      <color indexed="12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9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6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0" fontId="2" fillId="0" borderId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" fillId="0" borderId="0"/>
  </cellStyleXfs>
  <cellXfs count="212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3" fillId="0" borderId="0" xfId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" fontId="3" fillId="0" borderId="0" xfId="2" applyNumberFormat="1" applyFont="1" applyFill="1" applyAlignment="1">
      <alignment vertical="center"/>
    </xf>
    <xf numFmtId="10" fontId="3" fillId="0" borderId="0" xfId="5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10" fontId="6" fillId="0" borderId="0" xfId="5" applyNumberFormat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4" fontId="7" fillId="0" borderId="0" xfId="2" applyNumberFormat="1" applyFont="1" applyAlignment="1">
      <alignment horizontal="center" vertical="center"/>
    </xf>
    <xf numFmtId="165" fontId="4" fillId="0" borderId="0" xfId="1" applyFont="1" applyFill="1" applyAlignment="1">
      <alignment vertical="center"/>
    </xf>
    <xf numFmtId="4" fontId="4" fillId="0" borderId="0" xfId="1" applyNumberFormat="1" applyFont="1" applyFill="1" applyAlignment="1">
      <alignment vertical="center"/>
    </xf>
    <xf numFmtId="4" fontId="4" fillId="0" borderId="0" xfId="0" applyNumberFormat="1" applyFont="1" applyAlignment="1">
      <alignment horizontal="center" vertical="center"/>
    </xf>
    <xf numFmtId="10" fontId="4" fillId="0" borderId="0" xfId="5" applyNumberFormat="1" applyFont="1" applyFill="1" applyAlignment="1">
      <alignment vertical="center"/>
    </xf>
    <xf numFmtId="10" fontId="8" fillId="0" borderId="0" xfId="1" applyNumberFormat="1" applyFont="1" applyFill="1" applyAlignment="1">
      <alignment vertical="center"/>
    </xf>
    <xf numFmtId="0" fontId="7" fillId="0" borderId="0" xfId="0" applyFont="1" applyAlignment="1">
      <alignment horizontal="right" vertical="center"/>
    </xf>
    <xf numFmtId="4" fontId="7" fillId="0" borderId="0" xfId="1" applyNumberFormat="1" applyFont="1" applyFill="1" applyAlignment="1">
      <alignment vertical="center"/>
    </xf>
    <xf numFmtId="9" fontId="4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10" fontId="9" fillId="0" borderId="0" xfId="5" applyNumberFormat="1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0" fontId="4" fillId="0" borderId="0" xfId="0" applyFont="1"/>
    <xf numFmtId="4" fontId="12" fillId="0" borderId="0" xfId="2" applyNumberFormat="1" applyFont="1" applyFill="1" applyAlignment="1">
      <alignment horizontal="center" vertical="center"/>
    </xf>
    <xf numFmtId="4" fontId="3" fillId="0" borderId="0" xfId="2" applyNumberFormat="1" applyFont="1" applyFill="1" applyAlignment="1">
      <alignment horizontal="center" vertical="center"/>
    </xf>
    <xf numFmtId="49" fontId="13" fillId="3" borderId="0" xfId="0" applyNumberFormat="1" applyFont="1" applyFill="1" applyAlignment="1">
      <alignment horizontal="center"/>
    </xf>
    <xf numFmtId="0" fontId="4" fillId="0" borderId="4" xfId="0" applyFont="1" applyBorder="1" applyAlignment="1">
      <alignment horizontal="left" vertical="center"/>
    </xf>
    <xf numFmtId="165" fontId="3" fillId="0" borderId="4" xfId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168" fontId="3" fillId="2" borderId="4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165" fontId="15" fillId="0" borderId="0" xfId="1" applyFont="1" applyFill="1" applyAlignment="1">
      <alignment vertical="center"/>
    </xf>
    <xf numFmtId="4" fontId="3" fillId="0" borderId="0" xfId="1" applyNumberFormat="1" applyFont="1" applyFill="1" applyAlignment="1">
      <alignment horizontal="center" vertical="center"/>
    </xf>
    <xf numFmtId="4" fontId="3" fillId="5" borderId="5" xfId="1" applyNumberFormat="1" applyFont="1" applyFill="1" applyBorder="1" applyAlignment="1">
      <alignment horizontal="center" vertical="center"/>
    </xf>
    <xf numFmtId="165" fontId="9" fillId="0" borderId="0" xfId="1" applyFont="1" applyFill="1" applyBorder="1" applyAlignment="1">
      <alignment vertical="center"/>
    </xf>
    <xf numFmtId="165" fontId="15" fillId="0" borderId="0" xfId="0" applyNumberFormat="1" applyFont="1" applyAlignment="1">
      <alignment vertical="center"/>
    </xf>
    <xf numFmtId="4" fontId="3" fillId="6" borderId="5" xfId="1" applyNumberFormat="1" applyFont="1" applyFill="1" applyBorder="1" applyAlignment="1">
      <alignment horizontal="center" vertical="center"/>
    </xf>
    <xf numFmtId="4" fontId="3" fillId="6" borderId="5" xfId="1" applyNumberFormat="1" applyFont="1" applyFill="1" applyBorder="1" applyAlignment="1">
      <alignment horizontal="left" vertical="center" indent="1"/>
    </xf>
    <xf numFmtId="0" fontId="20" fillId="3" borderId="6" xfId="4" applyFont="1" applyFill="1" applyBorder="1" applyAlignment="1">
      <alignment horizontal="right"/>
    </xf>
    <xf numFmtId="0" fontId="20" fillId="3" borderId="4" xfId="4" applyFont="1" applyFill="1" applyBorder="1" applyAlignment="1">
      <alignment horizontal="right"/>
    </xf>
    <xf numFmtId="0" fontId="18" fillId="3" borderId="7" xfId="4" applyFont="1" applyFill="1" applyBorder="1" applyAlignment="1">
      <alignment horizontal="right"/>
    </xf>
    <xf numFmtId="0" fontId="18" fillId="3" borderId="4" xfId="4" applyFont="1" applyFill="1" applyBorder="1" applyAlignment="1">
      <alignment horizontal="right"/>
    </xf>
    <xf numFmtId="0" fontId="20" fillId="7" borderId="16" xfId="3" applyFont="1" applyFill="1" applyBorder="1" applyAlignment="1">
      <alignment horizontal="center"/>
    </xf>
    <xf numFmtId="1" fontId="20" fillId="7" borderId="17" xfId="3" applyNumberFormat="1" applyFont="1" applyFill="1" applyBorder="1" applyAlignment="1">
      <alignment horizontal="center" wrapText="1"/>
    </xf>
    <xf numFmtId="1" fontId="20" fillId="7" borderId="17" xfId="3" applyNumberFormat="1" applyFont="1" applyFill="1" applyBorder="1" applyAlignment="1">
      <alignment horizontal="center"/>
    </xf>
    <xf numFmtId="49" fontId="18" fillId="3" borderId="14" xfId="4" applyNumberFormat="1" applyFont="1" applyFill="1" applyBorder="1" applyAlignment="1">
      <alignment horizontal="center"/>
    </xf>
    <xf numFmtId="0" fontId="18" fillId="3" borderId="18" xfId="4" applyFont="1" applyFill="1" applyBorder="1" applyAlignment="1">
      <alignment horizontal="center"/>
    </xf>
    <xf numFmtId="14" fontId="18" fillId="3" borderId="24" xfId="4" applyNumberFormat="1" applyFont="1" applyFill="1" applyBorder="1" applyAlignment="1">
      <alignment horizontal="center" vertical="center" wrapText="1"/>
    </xf>
    <xf numFmtId="14" fontId="18" fillId="3" borderId="25" xfId="4" applyNumberFormat="1" applyFont="1" applyFill="1" applyBorder="1" applyAlignment="1">
      <alignment horizontal="center" vertical="center" wrapText="1"/>
    </xf>
    <xf numFmtId="14" fontId="18" fillId="3" borderId="15" xfId="4" applyNumberFormat="1" applyFont="1" applyFill="1" applyBorder="1" applyAlignment="1">
      <alignment horizontal="center" vertical="center" wrapText="1"/>
    </xf>
    <xf numFmtId="0" fontId="18" fillId="3" borderId="26" xfId="4" applyFont="1" applyFill="1" applyBorder="1" applyAlignment="1">
      <alignment horizontal="left"/>
    </xf>
    <xf numFmtId="0" fontId="18" fillId="3" borderId="27" xfId="4" applyFont="1" applyFill="1" applyBorder="1" applyAlignment="1">
      <alignment horizontal="left"/>
    </xf>
    <xf numFmtId="0" fontId="18" fillId="3" borderId="28" xfId="4" applyFont="1" applyFill="1" applyBorder="1" applyAlignment="1">
      <alignment horizontal="left"/>
    </xf>
    <xf numFmtId="0" fontId="18" fillId="3" borderId="29" xfId="4" applyFont="1" applyFill="1" applyBorder="1" applyAlignment="1">
      <alignment horizontal="left"/>
    </xf>
    <xf numFmtId="0" fontId="18" fillId="3" borderId="30" xfId="4" applyFont="1" applyFill="1" applyBorder="1" applyAlignment="1">
      <alignment horizontal="left"/>
    </xf>
    <xf numFmtId="0" fontId="18" fillId="3" borderId="20" xfId="4" applyFont="1" applyFill="1" applyBorder="1" applyAlignment="1">
      <alignment horizontal="left"/>
    </xf>
    <xf numFmtId="0" fontId="18" fillId="3" borderId="39" xfId="4" applyFont="1" applyFill="1" applyBorder="1" applyAlignment="1">
      <alignment horizontal="center"/>
    </xf>
    <xf numFmtId="0" fontId="18" fillId="3" borderId="40" xfId="4" applyFont="1" applyFill="1" applyBorder="1" applyAlignment="1">
      <alignment horizontal="center"/>
    </xf>
    <xf numFmtId="0" fontId="18" fillId="3" borderId="13" xfId="4" applyFont="1" applyFill="1" applyBorder="1" applyAlignment="1">
      <alignment horizontal="center"/>
    </xf>
    <xf numFmtId="0" fontId="18" fillId="3" borderId="0" xfId="4" applyFont="1" applyFill="1" applyAlignment="1">
      <alignment horizontal="center"/>
    </xf>
    <xf numFmtId="0" fontId="18" fillId="3" borderId="31" xfId="4" applyFont="1" applyFill="1" applyBorder="1" applyAlignment="1">
      <alignment horizontal="center"/>
    </xf>
    <xf numFmtId="0" fontId="18" fillId="3" borderId="32" xfId="4" applyFont="1" applyFill="1" applyBorder="1" applyAlignment="1">
      <alignment horizontal="center"/>
    </xf>
    <xf numFmtId="0" fontId="19" fillId="3" borderId="6" xfId="4" applyFont="1" applyFill="1" applyBorder="1" applyAlignment="1">
      <alignment horizontal="center"/>
    </xf>
    <xf numFmtId="0" fontId="19" fillId="3" borderId="43" xfId="4" applyFont="1" applyFill="1" applyBorder="1" applyAlignment="1">
      <alignment horizontal="center"/>
    </xf>
    <xf numFmtId="0" fontId="19" fillId="3" borderId="45" xfId="4" applyFont="1" applyFill="1" applyBorder="1" applyAlignment="1">
      <alignment horizontal="center"/>
    </xf>
    <xf numFmtId="0" fontId="19" fillId="3" borderId="42" xfId="4" applyFont="1" applyFill="1" applyBorder="1" applyAlignment="1">
      <alignment horizontal="center"/>
    </xf>
    <xf numFmtId="0" fontId="20" fillId="3" borderId="21" xfId="4" applyFont="1" applyFill="1" applyBorder="1" applyAlignment="1">
      <alignment horizontal="right" vertical="top" wrapText="1"/>
    </xf>
    <xf numFmtId="0" fontId="20" fillId="3" borderId="22" xfId="4" applyFont="1" applyFill="1" applyBorder="1" applyAlignment="1">
      <alignment horizontal="right" vertical="top" wrapText="1"/>
    </xf>
    <xf numFmtId="0" fontId="20" fillId="3" borderId="23" xfId="4" applyFont="1" applyFill="1" applyBorder="1" applyAlignment="1">
      <alignment horizontal="right" vertical="top" wrapText="1"/>
    </xf>
    <xf numFmtId="0" fontId="21" fillId="3" borderId="0" xfId="7" applyFont="1" applyFill="1" applyAlignment="1">
      <alignment horizontal="right"/>
    </xf>
    <xf numFmtId="0" fontId="21" fillId="3" borderId="0" xfId="7" applyFont="1" applyFill="1"/>
    <xf numFmtId="0" fontId="20" fillId="7" borderId="35" xfId="3" applyFont="1" applyFill="1" applyBorder="1" applyAlignment="1">
      <alignment horizontal="center" vertical="center"/>
    </xf>
    <xf numFmtId="0" fontId="20" fillId="7" borderId="36" xfId="3" applyFont="1" applyFill="1" applyBorder="1" applyAlignment="1">
      <alignment horizontal="center" vertical="center"/>
    </xf>
    <xf numFmtId="0" fontId="20" fillId="7" borderId="35" xfId="3" applyFont="1" applyFill="1" applyBorder="1" applyAlignment="1">
      <alignment horizontal="center" vertical="center" wrapText="1"/>
    </xf>
    <xf numFmtId="0" fontId="20" fillId="7" borderId="36" xfId="3" applyFont="1" applyFill="1" applyBorder="1" applyAlignment="1">
      <alignment horizontal="center" vertical="center" wrapText="1"/>
    </xf>
    <xf numFmtId="0" fontId="20" fillId="7" borderId="6" xfId="3" applyFont="1" applyFill="1" applyBorder="1" applyAlignment="1">
      <alignment horizontal="center" vertical="center"/>
    </xf>
    <xf numFmtId="0" fontId="20" fillId="7" borderId="17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right" vertical="center"/>
    </xf>
    <xf numFmtId="0" fontId="3" fillId="6" borderId="9" xfId="0" applyFont="1" applyFill="1" applyBorder="1" applyAlignment="1">
      <alignment horizontal="right" vertical="center"/>
    </xf>
    <xf numFmtId="0" fontId="16" fillId="0" borderId="11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/>
    </xf>
    <xf numFmtId="0" fontId="23" fillId="0" borderId="4" xfId="3" applyFont="1" applyBorder="1" applyAlignment="1">
      <alignment vertical="center"/>
    </xf>
    <xf numFmtId="0" fontId="22" fillId="0" borderId="4" xfId="3" applyFont="1" applyBorder="1" applyAlignment="1">
      <alignment horizontal="center" vertical="center"/>
    </xf>
    <xf numFmtId="1" fontId="22" fillId="0" borderId="4" xfId="3" applyNumberFormat="1" applyFont="1" applyBorder="1" applyAlignment="1">
      <alignment horizontal="center"/>
    </xf>
    <xf numFmtId="1" fontId="22" fillId="0" borderId="4" xfId="3" applyNumberFormat="1" applyFont="1" applyBorder="1" applyAlignment="1">
      <alignment horizontal="center" wrapText="1"/>
    </xf>
    <xf numFmtId="0" fontId="24" fillId="0" borderId="14" xfId="3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/>
    <xf numFmtId="0" fontId="24" fillId="0" borderId="4" xfId="0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wrapText="1"/>
    </xf>
    <xf numFmtId="12" fontId="24" fillId="0" borderId="7" xfId="0" applyNumberFormat="1" applyFont="1" applyBorder="1" applyAlignment="1">
      <alignment horizontal="center"/>
    </xf>
    <xf numFmtId="0" fontId="24" fillId="0" borderId="4" xfId="0" applyFont="1" applyBorder="1" applyAlignment="1">
      <alignment horizontal="left" vertical="center"/>
    </xf>
    <xf numFmtId="49" fontId="22" fillId="0" borderId="37" xfId="3" applyNumberFormat="1" applyFont="1" applyBorder="1" applyAlignment="1">
      <alignment horizontal="center"/>
    </xf>
    <xf numFmtId="49" fontId="22" fillId="0" borderId="30" xfId="3" applyNumberFormat="1" applyFont="1" applyBorder="1" applyAlignment="1">
      <alignment horizontal="center"/>
    </xf>
    <xf numFmtId="0" fontId="23" fillId="9" borderId="4" xfId="3" applyFont="1" applyFill="1" applyBorder="1" applyAlignment="1">
      <alignment vertical="center"/>
    </xf>
    <xf numFmtId="0" fontId="22" fillId="0" borderId="20" xfId="3" applyFont="1" applyBorder="1" applyAlignment="1">
      <alignment horizontal="center"/>
    </xf>
    <xf numFmtId="166" fontId="22" fillId="0" borderId="4" xfId="3" applyNumberFormat="1" applyFont="1" applyBorder="1" applyAlignment="1">
      <alignment horizontal="center"/>
    </xf>
    <xf numFmtId="49" fontId="24" fillId="0" borderId="19" xfId="0" applyNumberFormat="1" applyFont="1" applyBorder="1" applyAlignment="1">
      <alignment horizontal="center"/>
    </xf>
    <xf numFmtId="49" fontId="24" fillId="0" borderId="20" xfId="0" applyNumberFormat="1" applyFont="1" applyBorder="1" applyAlignment="1">
      <alignment horizontal="center"/>
    </xf>
    <xf numFmtId="49" fontId="22" fillId="0" borderId="4" xfId="0" applyNumberFormat="1" applyFont="1" applyBorder="1"/>
    <xf numFmtId="1" fontId="24" fillId="0" borderId="4" xfId="0" applyNumberFormat="1" applyFont="1" applyBorder="1" applyAlignment="1">
      <alignment horizontal="center"/>
    </xf>
    <xf numFmtId="1" fontId="24" fillId="0" borderId="4" xfId="0" applyNumberFormat="1" applyFont="1" applyBorder="1" applyAlignment="1">
      <alignment horizontal="center" wrapText="1"/>
    </xf>
    <xf numFmtId="169" fontId="22" fillId="9" borderId="4" xfId="1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4" xfId="0" applyFont="1" applyBorder="1"/>
    <xf numFmtId="12" fontId="24" fillId="0" borderId="4" xfId="3" applyNumberFormat="1" applyFont="1" applyBorder="1" applyAlignment="1">
      <alignment horizontal="center"/>
    </xf>
    <xf numFmtId="1" fontId="24" fillId="0" borderId="4" xfId="3" applyNumberFormat="1" applyFont="1" applyBorder="1" applyAlignment="1">
      <alignment horizontal="center"/>
    </xf>
    <xf numFmtId="0" fontId="24" fillId="0" borderId="4" xfId="0" quotePrefix="1" applyFont="1" applyBorder="1" applyAlignment="1">
      <alignment horizontal="center"/>
    </xf>
    <xf numFmtId="0" fontId="24" fillId="0" borderId="4" xfId="0" quotePrefix="1" applyFont="1" applyBorder="1"/>
    <xf numFmtId="49" fontId="25" fillId="3" borderId="13" xfId="3" applyNumberFormat="1" applyFont="1" applyFill="1" applyBorder="1" applyAlignment="1">
      <alignment horizontal="center" vertical="center"/>
    </xf>
    <xf numFmtId="49" fontId="25" fillId="3" borderId="0" xfId="3" applyNumberFormat="1" applyFont="1" applyFill="1" applyAlignment="1">
      <alignment horizontal="center" vertical="center"/>
    </xf>
    <xf numFmtId="0" fontId="24" fillId="3" borderId="0" xfId="3" applyFont="1" applyFill="1"/>
    <xf numFmtId="1" fontId="24" fillId="3" borderId="0" xfId="3" applyNumberFormat="1" applyFont="1" applyFill="1" applyAlignment="1">
      <alignment horizontal="center"/>
    </xf>
    <xf numFmtId="167" fontId="24" fillId="3" borderId="0" xfId="3" applyNumberFormat="1" applyFont="1" applyFill="1" applyAlignment="1">
      <alignment horizontal="center" wrapText="1"/>
    </xf>
    <xf numFmtId="0" fontId="24" fillId="3" borderId="12" xfId="3" applyFont="1" applyFill="1" applyBorder="1" applyAlignment="1">
      <alignment horizontal="center"/>
    </xf>
    <xf numFmtId="0" fontId="24" fillId="7" borderId="11" xfId="3" applyFont="1" applyFill="1" applyBorder="1" applyAlignment="1">
      <alignment horizontal="center"/>
    </xf>
    <xf numFmtId="0" fontId="24" fillId="7" borderId="10" xfId="3" applyFont="1" applyFill="1" applyBorder="1" applyAlignment="1">
      <alignment horizontal="center"/>
    </xf>
    <xf numFmtId="0" fontId="24" fillId="7" borderId="10" xfId="3" applyFont="1" applyFill="1" applyBorder="1"/>
    <xf numFmtId="0" fontId="22" fillId="7" borderId="10" xfId="3" applyFont="1" applyFill="1" applyBorder="1" applyAlignment="1">
      <alignment horizontal="center"/>
    </xf>
    <xf numFmtId="1" fontId="22" fillId="7" borderId="10" xfId="3" applyNumberFormat="1" applyFont="1" applyFill="1" applyBorder="1" applyAlignment="1">
      <alignment horizontal="center"/>
    </xf>
    <xf numFmtId="167" fontId="24" fillId="7" borderId="10" xfId="3" applyNumberFormat="1" applyFont="1" applyFill="1" applyBorder="1" applyAlignment="1">
      <alignment horizontal="center" wrapText="1"/>
    </xf>
    <xf numFmtId="0" fontId="24" fillId="7" borderId="9" xfId="3" applyFont="1" applyFill="1" applyBorder="1" applyAlignment="1">
      <alignment horizontal="center"/>
    </xf>
    <xf numFmtId="0" fontId="22" fillId="0" borderId="31" xfId="3" applyFont="1" applyBorder="1" applyAlignment="1">
      <alignment horizontal="right"/>
    </xf>
    <xf numFmtId="0" fontId="22" fillId="0" borderId="32" xfId="3" applyFont="1" applyBorder="1" applyAlignment="1">
      <alignment horizontal="right"/>
    </xf>
    <xf numFmtId="0" fontId="22" fillId="0" borderId="33" xfId="3" applyFont="1" applyBorder="1" applyAlignment="1">
      <alignment horizontal="right"/>
    </xf>
    <xf numFmtId="1" fontId="22" fillId="0" borderId="7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167" fontId="24" fillId="0" borderId="7" xfId="3" applyNumberFormat="1" applyFont="1" applyBorder="1" applyAlignment="1">
      <alignment horizontal="right"/>
    </xf>
    <xf numFmtId="0" fontId="24" fillId="3" borderId="8" xfId="3" applyFont="1" applyFill="1" applyBorder="1" applyAlignment="1">
      <alignment horizontal="center"/>
    </xf>
    <xf numFmtId="0" fontId="24" fillId="3" borderId="34" xfId="3" applyFont="1" applyFill="1" applyBorder="1" applyAlignment="1">
      <alignment horizontal="center"/>
    </xf>
    <xf numFmtId="0" fontId="22" fillId="0" borderId="37" xfId="3" applyFont="1" applyBorder="1" applyAlignment="1">
      <alignment horizontal="right"/>
    </xf>
    <xf numFmtId="0" fontId="22" fillId="0" borderId="30" xfId="3" applyFont="1" applyBorder="1" applyAlignment="1">
      <alignment horizontal="right"/>
    </xf>
    <xf numFmtId="0" fontId="22" fillId="0" borderId="20" xfId="3" applyFont="1" applyBorder="1" applyAlignment="1">
      <alignment horizontal="right"/>
    </xf>
    <xf numFmtId="0" fontId="24" fillId="0" borderId="4" xfId="3" applyFont="1" applyBorder="1" applyAlignment="1">
      <alignment horizontal="right"/>
    </xf>
    <xf numFmtId="167" fontId="24" fillId="0" borderId="29" xfId="3" applyNumberFormat="1" applyFont="1" applyBorder="1" applyAlignment="1">
      <alignment horizontal="center"/>
    </xf>
    <xf numFmtId="167" fontId="24" fillId="0" borderId="38" xfId="3" applyNumberFormat="1" applyFont="1" applyBorder="1" applyAlignment="1">
      <alignment horizontal="center"/>
    </xf>
    <xf numFmtId="167" fontId="24" fillId="0" borderId="29" xfId="3" applyNumberFormat="1" applyFont="1" applyBorder="1" applyAlignment="1">
      <alignment horizontal="right" wrapText="1"/>
    </xf>
    <xf numFmtId="167" fontId="24" fillId="0" borderId="20" xfId="3" applyNumberFormat="1" applyFont="1" applyBorder="1" applyAlignment="1">
      <alignment horizontal="right" wrapText="1"/>
    </xf>
    <xf numFmtId="167" fontId="24" fillId="0" borderId="29" xfId="0" applyNumberFormat="1" applyFont="1" applyBorder="1" applyAlignment="1">
      <alignment horizontal="center" wrapText="1"/>
    </xf>
    <xf numFmtId="167" fontId="24" fillId="0" borderId="38" xfId="0" applyNumberFormat="1" applyFont="1" applyBorder="1" applyAlignment="1">
      <alignment horizontal="center" wrapText="1"/>
    </xf>
    <xf numFmtId="0" fontId="22" fillId="0" borderId="36" xfId="3" applyFont="1" applyBorder="1" applyAlignment="1">
      <alignment horizontal="right"/>
    </xf>
    <xf numFmtId="0" fontId="22" fillId="0" borderId="42" xfId="3" applyFont="1" applyBorder="1" applyAlignment="1">
      <alignment horizontal="right"/>
    </xf>
    <xf numFmtId="0" fontId="22" fillId="0" borderId="17" xfId="3" applyFont="1" applyBorder="1" applyAlignment="1">
      <alignment horizontal="right"/>
    </xf>
    <xf numFmtId="1" fontId="24" fillId="0" borderId="17" xfId="0" applyNumberFormat="1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17" xfId="3" applyFont="1" applyBorder="1" applyAlignment="1">
      <alignment horizontal="right"/>
    </xf>
    <xf numFmtId="0" fontId="22" fillId="0" borderId="19" xfId="3" applyFont="1" applyBorder="1" applyAlignment="1">
      <alignment horizontal="left"/>
    </xf>
    <xf numFmtId="0" fontId="22" fillId="0" borderId="20" xfId="3" applyFont="1" applyBorder="1" applyAlignment="1">
      <alignment horizontal="left"/>
    </xf>
    <xf numFmtId="0" fontId="24" fillId="0" borderId="4" xfId="3" applyFont="1" applyBorder="1" applyAlignment="1">
      <alignment horizontal="left"/>
    </xf>
    <xf numFmtId="0" fontId="24" fillId="0" borderId="14" xfId="3" applyFont="1" applyBorder="1" applyAlignment="1">
      <alignment horizontal="left"/>
    </xf>
    <xf numFmtId="0" fontId="24" fillId="0" borderId="31" xfId="3" applyFont="1" applyBorder="1" applyAlignment="1">
      <alignment horizontal="left" wrapText="1"/>
    </xf>
    <xf numFmtId="0" fontId="24" fillId="0" borderId="32" xfId="3" applyFont="1" applyBorder="1" applyAlignment="1">
      <alignment horizontal="left" wrapText="1"/>
    </xf>
    <xf numFmtId="0" fontId="24" fillId="0" borderId="34" xfId="3" applyFont="1" applyBorder="1" applyAlignment="1">
      <alignment horizontal="left" wrapText="1"/>
    </xf>
    <xf numFmtId="0" fontId="24" fillId="0" borderId="37" xfId="3" applyFont="1" applyBorder="1" applyAlignment="1">
      <alignment horizontal="left" wrapText="1"/>
    </xf>
    <xf numFmtId="0" fontId="24" fillId="0" borderId="30" xfId="3" applyFont="1" applyBorder="1" applyAlignment="1">
      <alignment horizontal="left" wrapText="1"/>
    </xf>
    <xf numFmtId="0" fontId="24" fillId="0" borderId="38" xfId="3" applyFont="1" applyBorder="1" applyAlignment="1">
      <alignment horizontal="left" wrapText="1"/>
    </xf>
    <xf numFmtId="0" fontId="24" fillId="0" borderId="41" xfId="3" applyFont="1" applyBorder="1" applyAlignment="1">
      <alignment horizontal="left"/>
    </xf>
    <xf numFmtId="0" fontId="24" fillId="0" borderId="33" xfId="3" applyFont="1" applyBorder="1" applyAlignment="1">
      <alignment horizontal="left"/>
    </xf>
    <xf numFmtId="0" fontId="24" fillId="0" borderId="7" xfId="3" applyFont="1" applyBorder="1" applyAlignment="1">
      <alignment horizontal="left"/>
    </xf>
    <xf numFmtId="0" fontId="24" fillId="0" borderId="15" xfId="3" applyFont="1" applyBorder="1" applyAlignment="1">
      <alignment horizontal="left"/>
    </xf>
    <xf numFmtId="0" fontId="24" fillId="0" borderId="41" xfId="3" applyFont="1" applyBorder="1" applyAlignment="1">
      <alignment horizontal="left" wrapText="1"/>
    </xf>
    <xf numFmtId="0" fontId="24" fillId="0" borderId="33" xfId="3" applyFont="1" applyBorder="1" applyAlignment="1">
      <alignment horizontal="left" wrapText="1"/>
    </xf>
    <xf numFmtId="0" fontId="24" fillId="0" borderId="7" xfId="3" applyFont="1" applyBorder="1" applyAlignment="1">
      <alignment horizontal="left" wrapText="1"/>
    </xf>
    <xf numFmtId="0" fontId="24" fillId="0" borderId="15" xfId="3" applyFont="1" applyBorder="1" applyAlignment="1">
      <alignment horizontal="left" wrapText="1"/>
    </xf>
    <xf numFmtId="0" fontId="24" fillId="0" borderId="36" xfId="3" applyFont="1" applyBorder="1" applyAlignment="1">
      <alignment horizontal="left"/>
    </xf>
    <xf numFmtId="0" fontId="24" fillId="0" borderId="42" xfId="3" applyFont="1" applyBorder="1" applyAlignment="1">
      <alignment horizontal="left"/>
    </xf>
    <xf numFmtId="0" fontId="24" fillId="0" borderId="17" xfId="3" applyFont="1" applyBorder="1" applyAlignment="1">
      <alignment horizontal="left"/>
    </xf>
    <xf numFmtId="0" fontId="24" fillId="0" borderId="16" xfId="3" applyFont="1" applyBorder="1" applyAlignment="1">
      <alignment horizontal="left"/>
    </xf>
    <xf numFmtId="0" fontId="24" fillId="0" borderId="29" xfId="0" applyFont="1" applyBorder="1" applyAlignment="1">
      <alignment horizontal="left" wrapText="1"/>
    </xf>
    <xf numFmtId="0" fontId="24" fillId="0" borderId="30" xfId="0" applyFont="1" applyBorder="1" applyAlignment="1">
      <alignment horizontal="left" wrapText="1"/>
    </xf>
    <xf numFmtId="0" fontId="24" fillId="0" borderId="20" xfId="0" applyFont="1" applyBorder="1" applyAlignment="1">
      <alignment horizontal="left" wrapText="1"/>
    </xf>
    <xf numFmtId="0" fontId="22" fillId="10" borderId="46" xfId="4" applyFont="1" applyFill="1" applyBorder="1" applyAlignment="1">
      <alignment horizontal="center"/>
    </xf>
    <xf numFmtId="0" fontId="22" fillId="10" borderId="40" xfId="4" applyFont="1" applyFill="1" applyBorder="1" applyAlignment="1">
      <alignment horizontal="center"/>
    </xf>
    <xf numFmtId="0" fontId="26" fillId="3" borderId="44" xfId="7" applyFont="1" applyFill="1" applyBorder="1" applyAlignment="1">
      <alignment horizontal="center"/>
    </xf>
    <xf numFmtId="0" fontId="27" fillId="8" borderId="11" xfId="4" applyFont="1" applyFill="1" applyBorder="1" applyAlignment="1">
      <alignment horizontal="center" vertical="center" wrapText="1"/>
    </xf>
    <xf numFmtId="0" fontId="27" fillId="8" borderId="10" xfId="4" applyFont="1" applyFill="1" applyBorder="1" applyAlignment="1">
      <alignment horizontal="center" vertical="center" wrapText="1"/>
    </xf>
    <xf numFmtId="0" fontId="27" fillId="8" borderId="9" xfId="4" applyFont="1" applyFill="1" applyBorder="1" applyAlignment="1">
      <alignment horizontal="center" vertical="center" wrapText="1"/>
    </xf>
    <xf numFmtId="0" fontId="22" fillId="7" borderId="11" xfId="3" applyFont="1" applyFill="1" applyBorder="1" applyAlignment="1">
      <alignment horizontal="center"/>
    </xf>
    <xf numFmtId="0" fontId="22" fillId="7" borderId="10" xfId="3" applyFont="1" applyFill="1" applyBorder="1" applyAlignment="1">
      <alignment horizontal="center"/>
    </xf>
    <xf numFmtId="0" fontId="22" fillId="7" borderId="9" xfId="3" applyFont="1" applyFill="1" applyBorder="1" applyAlignment="1">
      <alignment horizontal="center"/>
    </xf>
    <xf numFmtId="0" fontId="24" fillId="3" borderId="4" xfId="4" applyFont="1" applyFill="1" applyBorder="1" applyAlignment="1">
      <alignment horizontal="left"/>
    </xf>
    <xf numFmtId="0" fontId="24" fillId="0" borderId="29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0" fillId="7" borderId="15" xfId="3" applyFont="1" applyFill="1" applyBorder="1" applyAlignment="1">
      <alignment horizontal="center" vertical="center" wrapText="1"/>
    </xf>
    <xf numFmtId="14" fontId="26" fillId="3" borderId="4" xfId="7" applyNumberFormat="1" applyFont="1" applyFill="1" applyBorder="1" applyAlignment="1">
      <alignment horizontal="center" vertical="center" wrapText="1"/>
    </xf>
  </cellXfs>
  <cellStyles count="8">
    <cellStyle name="Millares" xfId="1" builtinId="3"/>
    <cellStyle name="Millares [0]" xfId="2" builtinId="6"/>
    <cellStyle name="Normal" xfId="0" builtinId="0"/>
    <cellStyle name="Normal 2" xfId="3" xr:uid="{1862FCA6-C865-4A2D-B3A2-3C733C8B751C}"/>
    <cellStyle name="Normal_CRITERIOS DE EVALUACION PT DE GB" xfId="4" xr:uid="{009F6522-A3A0-4147-ABD5-8DE1FE31AE90}"/>
    <cellStyle name="Normal_CRITERIOS DE EVALUACION PT DE GB 2" xfId="7" xr:uid="{9DEF51ED-B7F9-4D33-A37A-46DC3EFA31E3}"/>
    <cellStyle name="Porcentaje" xfId="5" builtinId="5"/>
    <cellStyle name="Porcentaje 2" xfId="6" xr:uid="{C04E987B-322D-4A27-BA0A-BC98E38C40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0</xdr:row>
      <xdr:rowOff>190501</xdr:rowOff>
    </xdr:from>
    <xdr:to>
      <xdr:col>1</xdr:col>
      <xdr:colOff>1065153</xdr:colOff>
      <xdr:row>4</xdr:row>
      <xdr:rowOff>47625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535A47A-3C6E-4708-A70C-069BF2FA8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190501"/>
          <a:ext cx="2029560" cy="91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Costos\COSTOS%202011\Planta\Planta%20Premezclas\Spoon\95369%20-%20PREMEZCLA%20QUEQUE%20SE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Costos\COSTOS%202011\Costo%20Stand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Costos\COSTOS%202011\Planta\Planta%20Subrecetas\Decoraciones\Actualizado\AP\95720%20-%20MEZCLA%20%20ENGRASE%20DE%20MOLD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igitacion2\ILEAN\ESTRUCTURA%20DE%20COSTOS%20Y%20%25\Calculo%20Resetas%20Estructura%20de%20Costos%20NUEVA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A"/>
      <sheetName val="COSTEO"/>
    </sheetNames>
    <sheetDataSet>
      <sheetData sheetId="0" refreshError="1"/>
      <sheetData sheetId="1" refreshError="1">
        <row r="31">
          <cell r="E31">
            <v>1.3814849457831326</v>
          </cell>
        </row>
        <row r="35">
          <cell r="E35">
            <v>1.6566265060240965E-2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 PRIMA"/>
      <sheetName val="EMPAQUE"/>
      <sheetName val="EMPAQUEBEBLOCAL"/>
      <sheetName val="MPLOCAL"/>
      <sheetName val="EMPLOCAL"/>
      <sheetName val="FIGURAS"/>
      <sheetName val="FORMATO EMP LOCAL"/>
      <sheetName val="local"/>
      <sheetName val="MP ACTUAL"/>
      <sheetName val="EMPAQUE ACT"/>
      <sheetName val="ASEO ACT"/>
      <sheetName val="NUEVA"/>
      <sheetName val="MATERIA_PRIMA"/>
      <sheetName val="FORMATO_EMP_LOCAL"/>
      <sheetName val="MP_ACTUAL"/>
      <sheetName val="EMPAQUE_ACT"/>
      <sheetName val="ASEO_ACT"/>
      <sheetName val="MATERIA_PRIMA1"/>
      <sheetName val="FORMATO_EMP_LOCAL1"/>
      <sheetName val="MP_ACTUAL1"/>
      <sheetName val="EMPAQUE_ACT1"/>
      <sheetName val="ASEO_ACT1"/>
      <sheetName val="MATERIA_PRIMA2"/>
      <sheetName val="FORMATO_EMP_LOCAL2"/>
      <sheetName val="MP_ACTUAL2"/>
      <sheetName val="EMPAQUE_ACT2"/>
      <sheetName val="ASEO_ACT2"/>
      <sheetName val="MATERIA_PRIMA5"/>
      <sheetName val="FORMATO_EMP_LOCAL5"/>
      <sheetName val="MP_ACTUAL5"/>
      <sheetName val="EMPAQUE_ACT5"/>
      <sheetName val="ASEO_ACT5"/>
      <sheetName val="MATERIA_PRIMA3"/>
      <sheetName val="FORMATO_EMP_LOCAL3"/>
      <sheetName val="MP_ACTUAL3"/>
      <sheetName val="EMPAQUE_ACT3"/>
      <sheetName val="ASEO_ACT3"/>
      <sheetName val="MATERIA_PRIMA4"/>
      <sheetName val="FORMATO_EMP_LOCAL4"/>
      <sheetName val="MP_ACTUAL4"/>
      <sheetName val="EMPAQUE_ACT4"/>
      <sheetName val="ASEO_ACT4"/>
      <sheetName val="MATERIA_PRIMA6"/>
      <sheetName val="FORMATO_EMP_LOCAL6"/>
      <sheetName val="MP_ACTUAL6"/>
      <sheetName val="EMPAQUE_ACT6"/>
      <sheetName val="ASEO_ACT6"/>
    </sheetNames>
    <sheetDataSet>
      <sheetData sheetId="0" refreshError="1">
        <row r="312">
          <cell r="F312">
            <v>1.615</v>
          </cell>
        </row>
        <row r="434">
          <cell r="F434">
            <v>0.54818100000000003</v>
          </cell>
        </row>
        <row r="540">
          <cell r="F540">
            <v>1.6071500000000001</v>
          </cell>
        </row>
        <row r="598">
          <cell r="F598">
            <v>5</v>
          </cell>
        </row>
        <row r="667">
          <cell r="E667">
            <v>62.061999999999998</v>
          </cell>
        </row>
        <row r="1056">
          <cell r="F1056">
            <v>1.9161140000000001</v>
          </cell>
        </row>
        <row r="1099">
          <cell r="F1099">
            <v>1.5088109999999999</v>
          </cell>
        </row>
      </sheetData>
      <sheetData sheetId="1" refreshError="1">
        <row r="220">
          <cell r="E220">
            <v>5.7939999999999996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A"/>
      <sheetName val="COSTEO"/>
    </sheetNames>
    <sheetDataSet>
      <sheetData sheetId="0" refreshError="1"/>
      <sheetData sheetId="1" refreshError="1">
        <row r="24">
          <cell r="E24">
            <v>0.8850984340044743</v>
          </cell>
        </row>
        <row r="28">
          <cell r="E28">
            <v>5.5369127516778527E-2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Industrial"/>
      <sheetName val="Locales"/>
    </sheetNames>
    <sheetDataSet>
      <sheetData sheetId="0" refreshError="1">
        <row r="3">
          <cell r="D3">
            <v>0.02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D83C-6365-4C6C-98B7-C2C8482E8A5E}">
  <sheetPr>
    <pageSetUpPr fitToPage="1"/>
  </sheetPr>
  <dimension ref="A1:I53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4.140625" customWidth="1"/>
    <col min="4" max="4" width="26.140625" customWidth="1"/>
    <col min="7" max="7" width="21.42578125" customWidth="1"/>
    <col min="8" max="8" width="15.5703125" customWidth="1"/>
    <col min="9" max="9" width="18.140625" bestFit="1" customWidth="1"/>
  </cols>
  <sheetData>
    <row r="1" spans="1:9" ht="15.75" x14ac:dyDescent="0.25">
      <c r="A1" s="65"/>
      <c r="B1" s="66"/>
      <c r="C1" s="71" t="s">
        <v>63</v>
      </c>
      <c r="D1" s="71"/>
      <c r="E1" s="71"/>
      <c r="F1" s="71"/>
      <c r="G1" s="71"/>
      <c r="H1" s="47" t="s">
        <v>64</v>
      </c>
      <c r="I1" s="55" t="s">
        <v>136</v>
      </c>
    </row>
    <row r="2" spans="1:9" ht="18" customHeight="1" thickBot="1" x14ac:dyDescent="0.3">
      <c r="A2" s="67"/>
      <c r="B2" s="68"/>
      <c r="C2" s="72" t="s">
        <v>0</v>
      </c>
      <c r="D2" s="73"/>
      <c r="E2" s="73"/>
      <c r="F2" s="73"/>
      <c r="G2" s="74"/>
      <c r="H2" s="48" t="s">
        <v>65</v>
      </c>
      <c r="I2" s="54" t="s">
        <v>142</v>
      </c>
    </row>
    <row r="3" spans="1:9" ht="31.5" customHeight="1" thickBot="1" x14ac:dyDescent="0.25">
      <c r="A3" s="67"/>
      <c r="B3" s="68"/>
      <c r="C3" s="200" t="s">
        <v>143</v>
      </c>
      <c r="D3" s="201"/>
      <c r="E3" s="201"/>
      <c r="F3" s="201"/>
      <c r="G3" s="202"/>
      <c r="H3" s="75" t="s">
        <v>66</v>
      </c>
      <c r="I3" s="56">
        <v>45619</v>
      </c>
    </row>
    <row r="4" spans="1:9" ht="18" customHeight="1" x14ac:dyDescent="0.25">
      <c r="A4" s="67"/>
      <c r="B4" s="68"/>
      <c r="C4" s="49" t="s">
        <v>67</v>
      </c>
      <c r="D4" s="59" t="s">
        <v>119</v>
      </c>
      <c r="E4" s="60"/>
      <c r="F4" s="60"/>
      <c r="G4" s="61"/>
      <c r="H4" s="76"/>
      <c r="I4" s="57"/>
    </row>
    <row r="5" spans="1:9" ht="14.25" thickBot="1" x14ac:dyDescent="0.3">
      <c r="A5" s="69"/>
      <c r="B5" s="70"/>
      <c r="C5" s="50" t="s">
        <v>68</v>
      </c>
      <c r="D5" s="62" t="s">
        <v>105</v>
      </c>
      <c r="E5" s="63"/>
      <c r="F5" s="63"/>
      <c r="G5" s="64"/>
      <c r="H5" s="77"/>
      <c r="I5" s="58"/>
    </row>
    <row r="6" spans="1:9" ht="18.75" thickBot="1" x14ac:dyDescent="0.3">
      <c r="A6" s="78" t="s">
        <v>120</v>
      </c>
      <c r="B6" s="78"/>
      <c r="C6" s="78"/>
      <c r="D6" s="199" t="s">
        <v>121</v>
      </c>
      <c r="E6" s="199"/>
      <c r="F6" s="199"/>
      <c r="G6" s="79" t="s">
        <v>122</v>
      </c>
      <c r="H6" s="79"/>
      <c r="I6" s="211" t="s">
        <v>121</v>
      </c>
    </row>
    <row r="7" spans="1:9" x14ac:dyDescent="0.2">
      <c r="A7" s="80" t="s">
        <v>1</v>
      </c>
      <c r="B7" s="82" t="s">
        <v>123</v>
      </c>
      <c r="C7" s="84" t="s">
        <v>2</v>
      </c>
      <c r="D7" s="84" t="s">
        <v>3</v>
      </c>
      <c r="E7" s="84" t="s">
        <v>4</v>
      </c>
      <c r="F7" s="84"/>
      <c r="G7" s="84" t="s">
        <v>69</v>
      </c>
      <c r="H7" s="84"/>
      <c r="I7" s="210" t="s">
        <v>5</v>
      </c>
    </row>
    <row r="8" spans="1:9" ht="26.25" thickBot="1" x14ac:dyDescent="0.25">
      <c r="A8" s="81"/>
      <c r="B8" s="83"/>
      <c r="C8" s="85"/>
      <c r="D8" s="85"/>
      <c r="E8" s="53" t="s">
        <v>6</v>
      </c>
      <c r="F8" s="52" t="s">
        <v>7</v>
      </c>
      <c r="G8" s="53" t="s">
        <v>6</v>
      </c>
      <c r="H8" s="52" t="s">
        <v>7</v>
      </c>
      <c r="I8" s="51" t="s">
        <v>8</v>
      </c>
    </row>
    <row r="9" spans="1:9" ht="18.600000000000001" customHeight="1" x14ac:dyDescent="0.3">
      <c r="A9" s="100"/>
      <c r="B9" s="101"/>
      <c r="C9" s="102" t="s">
        <v>124</v>
      </c>
      <c r="D9" s="103"/>
      <c r="E9" s="104"/>
      <c r="F9" s="105"/>
      <c r="G9" s="104"/>
      <c r="H9" s="105"/>
      <c r="I9" s="106"/>
    </row>
    <row r="10" spans="1:9" ht="20.25" x14ac:dyDescent="0.3">
      <c r="A10" s="123" t="s">
        <v>115</v>
      </c>
      <c r="B10" s="107" t="s">
        <v>116</v>
      </c>
      <c r="C10" s="108" t="s">
        <v>70</v>
      </c>
      <c r="D10" s="109" t="s">
        <v>125</v>
      </c>
      <c r="E10" s="110">
        <v>2320</v>
      </c>
      <c r="F10" s="111" t="s">
        <v>26</v>
      </c>
      <c r="G10" s="112"/>
      <c r="H10" s="113"/>
      <c r="I10" s="106"/>
    </row>
    <row r="11" spans="1:9" ht="20.25" x14ac:dyDescent="0.3">
      <c r="A11" s="109" t="s">
        <v>108</v>
      </c>
      <c r="B11" s="109" t="s">
        <v>117</v>
      </c>
      <c r="C11" s="114" t="s">
        <v>85</v>
      </c>
      <c r="D11" s="109" t="s">
        <v>126</v>
      </c>
      <c r="E11" s="110">
        <v>1000</v>
      </c>
      <c r="F11" s="111" t="s">
        <v>26</v>
      </c>
      <c r="G11" s="112"/>
      <c r="H11" s="113"/>
      <c r="I11" s="106"/>
    </row>
    <row r="12" spans="1:9" ht="20.25" x14ac:dyDescent="0.3">
      <c r="A12" s="109" t="s">
        <v>95</v>
      </c>
      <c r="B12" s="109" t="s">
        <v>110</v>
      </c>
      <c r="C12" s="114" t="s">
        <v>96</v>
      </c>
      <c r="D12" s="109" t="s">
        <v>127</v>
      </c>
      <c r="E12" s="110">
        <v>845</v>
      </c>
      <c r="F12" s="111" t="s">
        <v>26</v>
      </c>
      <c r="G12" s="112"/>
      <c r="H12" s="113"/>
      <c r="I12" s="106"/>
    </row>
    <row r="13" spans="1:9" ht="20.25" x14ac:dyDescent="0.3">
      <c r="A13" s="109" t="s">
        <v>97</v>
      </c>
      <c r="B13" s="109" t="s">
        <v>111</v>
      </c>
      <c r="C13" s="114" t="s">
        <v>98</v>
      </c>
      <c r="D13" s="109" t="s">
        <v>128</v>
      </c>
      <c r="E13" s="110">
        <v>455</v>
      </c>
      <c r="F13" s="111" t="s">
        <v>26</v>
      </c>
      <c r="G13" s="112"/>
      <c r="H13" s="113"/>
      <c r="I13" s="106"/>
    </row>
    <row r="14" spans="1:9" ht="20.25" x14ac:dyDescent="0.3">
      <c r="A14" s="109" t="s">
        <v>99</v>
      </c>
      <c r="B14" s="109" t="s">
        <v>112</v>
      </c>
      <c r="C14" s="114" t="s">
        <v>100</v>
      </c>
      <c r="D14" s="109" t="s">
        <v>129</v>
      </c>
      <c r="E14" s="110">
        <v>250</v>
      </c>
      <c r="F14" s="111" t="s">
        <v>26</v>
      </c>
      <c r="G14" s="112"/>
      <c r="H14" s="113"/>
      <c r="I14" s="106"/>
    </row>
    <row r="15" spans="1:9" ht="20.25" x14ac:dyDescent="0.3">
      <c r="A15" s="109" t="s">
        <v>12</v>
      </c>
      <c r="B15" s="109" t="s">
        <v>118</v>
      </c>
      <c r="C15" s="114" t="s">
        <v>71</v>
      </c>
      <c r="D15" s="109" t="s">
        <v>126</v>
      </c>
      <c r="E15" s="110">
        <v>250</v>
      </c>
      <c r="F15" s="111" t="s">
        <v>26</v>
      </c>
      <c r="G15" s="112"/>
      <c r="H15" s="113"/>
      <c r="I15" s="106"/>
    </row>
    <row r="16" spans="1:9" ht="20.25" x14ac:dyDescent="0.3">
      <c r="A16" s="109" t="s">
        <v>101</v>
      </c>
      <c r="B16" s="109" t="s">
        <v>113</v>
      </c>
      <c r="C16" s="114" t="s">
        <v>102</v>
      </c>
      <c r="D16" s="109" t="s">
        <v>130</v>
      </c>
      <c r="E16" s="110">
        <v>20</v>
      </c>
      <c r="F16" s="111" t="s">
        <v>26</v>
      </c>
      <c r="G16" s="112"/>
      <c r="H16" s="113"/>
      <c r="I16" s="106"/>
    </row>
    <row r="17" spans="1:9" ht="20.25" x14ac:dyDescent="0.3">
      <c r="A17" s="109" t="s">
        <v>109</v>
      </c>
      <c r="B17" s="109" t="s">
        <v>114</v>
      </c>
      <c r="C17" s="114" t="s">
        <v>72</v>
      </c>
      <c r="D17" s="109" t="s">
        <v>131</v>
      </c>
      <c r="E17" s="110">
        <v>325</v>
      </c>
      <c r="F17" s="111" t="s">
        <v>26</v>
      </c>
      <c r="G17" s="112"/>
      <c r="H17" s="113"/>
      <c r="I17" s="106"/>
    </row>
    <row r="18" spans="1:9" ht="20.25" x14ac:dyDescent="0.3">
      <c r="A18" s="109"/>
      <c r="B18" s="109"/>
      <c r="C18" s="114"/>
      <c r="D18" s="109"/>
      <c r="E18" s="110"/>
      <c r="F18" s="111"/>
      <c r="G18" s="112"/>
      <c r="H18" s="113"/>
      <c r="I18" s="106"/>
    </row>
    <row r="19" spans="1:9" ht="20.25" x14ac:dyDescent="0.3">
      <c r="A19" s="115"/>
      <c r="B19" s="116"/>
      <c r="C19" s="117" t="s">
        <v>132</v>
      </c>
      <c r="D19" s="118"/>
      <c r="E19" s="119"/>
      <c r="F19" s="105"/>
      <c r="G19" s="104"/>
      <c r="H19" s="113"/>
      <c r="I19" s="106"/>
    </row>
    <row r="20" spans="1:9" ht="20.25" x14ac:dyDescent="0.3">
      <c r="A20" s="120">
        <v>902000019</v>
      </c>
      <c r="B20" s="121"/>
      <c r="C20" s="122" t="s">
        <v>103</v>
      </c>
      <c r="D20" s="107" t="s">
        <v>125</v>
      </c>
      <c r="E20" s="123">
        <v>140</v>
      </c>
      <c r="F20" s="124" t="s">
        <v>26</v>
      </c>
      <c r="G20" s="125"/>
      <c r="H20" s="113"/>
      <c r="I20" s="106"/>
    </row>
    <row r="21" spans="1:9" ht="20.25" x14ac:dyDescent="0.3">
      <c r="A21" s="120"/>
      <c r="B21" s="126" t="s">
        <v>139</v>
      </c>
      <c r="C21" s="127" t="s">
        <v>140</v>
      </c>
      <c r="D21" s="107" t="s">
        <v>133</v>
      </c>
      <c r="E21" s="123">
        <v>7</v>
      </c>
      <c r="F21" s="124" t="s">
        <v>104</v>
      </c>
      <c r="G21" s="125"/>
      <c r="H21" s="113"/>
      <c r="I21" s="106"/>
    </row>
    <row r="22" spans="1:9" ht="20.25" x14ac:dyDescent="0.3">
      <c r="A22" s="128"/>
      <c r="B22" s="129"/>
      <c r="C22" s="130"/>
      <c r="D22" s="107"/>
      <c r="E22" s="123"/>
      <c r="F22" s="124"/>
      <c r="G22" s="125"/>
      <c r="H22" s="113"/>
      <c r="I22" s="106"/>
    </row>
    <row r="23" spans="1:9" ht="20.25" x14ac:dyDescent="0.3">
      <c r="A23" s="109"/>
      <c r="B23" s="109"/>
      <c r="C23" s="114"/>
      <c r="D23" s="107"/>
      <c r="E23" s="123"/>
      <c r="F23" s="124"/>
      <c r="G23" s="104"/>
      <c r="H23" s="113"/>
      <c r="I23" s="106"/>
    </row>
    <row r="24" spans="1:9" ht="20.25" x14ac:dyDescent="0.3">
      <c r="A24" s="109"/>
      <c r="B24" s="109"/>
      <c r="C24" s="114"/>
      <c r="D24" s="107"/>
      <c r="E24" s="123"/>
      <c r="F24" s="124"/>
      <c r="G24" s="104"/>
      <c r="H24" s="113"/>
      <c r="I24" s="106"/>
    </row>
    <row r="25" spans="1:9" ht="20.25" x14ac:dyDescent="0.3">
      <c r="A25" s="109"/>
      <c r="B25" s="109"/>
      <c r="C25" s="114"/>
      <c r="D25" s="107"/>
      <c r="E25" s="123"/>
      <c r="F25" s="124"/>
      <c r="G25" s="131"/>
      <c r="H25" s="113"/>
      <c r="I25" s="106"/>
    </row>
    <row r="26" spans="1:9" ht="20.25" x14ac:dyDescent="0.3">
      <c r="A26" s="109"/>
      <c r="B26" s="109"/>
      <c r="C26" s="114"/>
      <c r="D26" s="107"/>
      <c r="E26" s="123"/>
      <c r="F26" s="124"/>
      <c r="G26" s="132"/>
      <c r="H26" s="113"/>
      <c r="I26" s="106"/>
    </row>
    <row r="27" spans="1:9" ht="20.25" x14ac:dyDescent="0.3">
      <c r="A27" s="133"/>
      <c r="B27" s="133"/>
      <c r="C27" s="134"/>
      <c r="D27" s="107"/>
      <c r="E27" s="124"/>
      <c r="F27" s="124"/>
      <c r="G27" s="132"/>
      <c r="H27" s="105"/>
      <c r="I27" s="106"/>
    </row>
    <row r="28" spans="1:9" ht="21" thickBot="1" x14ac:dyDescent="0.35">
      <c r="A28" s="135"/>
      <c r="B28" s="136"/>
      <c r="C28" s="137" t="s">
        <v>134</v>
      </c>
      <c r="D28" s="137"/>
      <c r="E28" s="138"/>
      <c r="F28" s="139"/>
      <c r="G28" s="137"/>
      <c r="H28" s="137"/>
      <c r="I28" s="140"/>
    </row>
    <row r="29" spans="1:9" ht="21" thickBot="1" x14ac:dyDescent="0.35">
      <c r="A29" s="141"/>
      <c r="B29" s="142"/>
      <c r="C29" s="143" t="s">
        <v>134</v>
      </c>
      <c r="D29" s="144" t="s">
        <v>6</v>
      </c>
      <c r="E29" s="145" t="s">
        <v>73</v>
      </c>
      <c r="F29" s="146"/>
      <c r="G29" s="143"/>
      <c r="H29" s="143"/>
      <c r="I29" s="147"/>
    </row>
    <row r="30" spans="1:9" ht="20.25" x14ac:dyDescent="0.3">
      <c r="A30" s="148" t="s">
        <v>15</v>
      </c>
      <c r="B30" s="149"/>
      <c r="C30" s="150"/>
      <c r="D30" s="151">
        <v>5250</v>
      </c>
      <c r="E30" s="152" t="s">
        <v>26</v>
      </c>
      <c r="F30" s="153" t="s">
        <v>74</v>
      </c>
      <c r="G30" s="153"/>
      <c r="H30" s="154"/>
      <c r="I30" s="155"/>
    </row>
    <row r="31" spans="1:9" ht="20.25" x14ac:dyDescent="0.3">
      <c r="A31" s="156" t="s">
        <v>14</v>
      </c>
      <c r="B31" s="157"/>
      <c r="C31" s="158"/>
      <c r="D31" s="107">
        <v>20</v>
      </c>
      <c r="E31" s="107" t="s">
        <v>75</v>
      </c>
      <c r="F31" s="159" t="s">
        <v>76</v>
      </c>
      <c r="G31" s="159"/>
      <c r="H31" s="160"/>
      <c r="I31" s="161"/>
    </row>
    <row r="32" spans="1:9" ht="20.25" x14ac:dyDescent="0.3">
      <c r="A32" s="156" t="s">
        <v>77</v>
      </c>
      <c r="B32" s="157"/>
      <c r="C32" s="158"/>
      <c r="D32" s="123">
        <v>7</v>
      </c>
      <c r="E32" s="107" t="s">
        <v>78</v>
      </c>
      <c r="F32" s="159" t="s">
        <v>79</v>
      </c>
      <c r="G32" s="159"/>
      <c r="H32" s="160"/>
      <c r="I32" s="161"/>
    </row>
    <row r="33" spans="1:9" ht="20.25" x14ac:dyDescent="0.3">
      <c r="A33" s="156" t="s">
        <v>80</v>
      </c>
      <c r="B33" s="157"/>
      <c r="C33" s="158"/>
      <c r="D33" s="123">
        <v>750</v>
      </c>
      <c r="E33" s="107" t="s">
        <v>26</v>
      </c>
      <c r="F33" s="162" t="s">
        <v>81</v>
      </c>
      <c r="G33" s="163"/>
      <c r="H33" s="164"/>
      <c r="I33" s="165"/>
    </row>
    <row r="34" spans="1:9" ht="21" thickBot="1" x14ac:dyDescent="0.35">
      <c r="A34" s="166" t="s">
        <v>82</v>
      </c>
      <c r="B34" s="167"/>
      <c r="C34" s="168"/>
      <c r="D34" s="169">
        <v>215</v>
      </c>
      <c r="E34" s="170" t="s">
        <v>26</v>
      </c>
      <c r="F34" s="171"/>
      <c r="G34" s="171"/>
      <c r="H34" s="160"/>
      <c r="I34" s="161"/>
    </row>
    <row r="35" spans="1:9" ht="21" thickBot="1" x14ac:dyDescent="0.35">
      <c r="A35" s="203" t="s">
        <v>83</v>
      </c>
      <c r="B35" s="204"/>
      <c r="C35" s="204"/>
      <c r="D35" s="204"/>
      <c r="E35" s="204"/>
      <c r="F35" s="204"/>
      <c r="G35" s="204"/>
      <c r="H35" s="204"/>
      <c r="I35" s="205"/>
    </row>
    <row r="36" spans="1:9" ht="20.25" x14ac:dyDescent="0.3">
      <c r="A36" s="172" t="s">
        <v>84</v>
      </c>
      <c r="B36" s="173"/>
      <c r="C36" s="174"/>
      <c r="D36" s="174"/>
      <c r="E36" s="174"/>
      <c r="F36" s="174"/>
      <c r="G36" s="174"/>
      <c r="H36" s="174"/>
      <c r="I36" s="175"/>
    </row>
    <row r="37" spans="1:9" ht="20.25" x14ac:dyDescent="0.3">
      <c r="A37" s="176" t="s">
        <v>106</v>
      </c>
      <c r="B37" s="177"/>
      <c r="C37" s="177"/>
      <c r="D37" s="177"/>
      <c r="E37" s="177"/>
      <c r="F37" s="177"/>
      <c r="G37" s="177"/>
      <c r="H37" s="177"/>
      <c r="I37" s="178"/>
    </row>
    <row r="38" spans="1:9" ht="20.25" x14ac:dyDescent="0.3">
      <c r="A38" s="179" t="s">
        <v>86</v>
      </c>
      <c r="B38" s="180"/>
      <c r="C38" s="180"/>
      <c r="D38" s="180"/>
      <c r="E38" s="180"/>
      <c r="F38" s="180"/>
      <c r="G38" s="180"/>
      <c r="H38" s="180"/>
      <c r="I38" s="181"/>
    </row>
    <row r="39" spans="1:9" ht="20.25" x14ac:dyDescent="0.3">
      <c r="A39" s="182" t="s">
        <v>87</v>
      </c>
      <c r="B39" s="183"/>
      <c r="C39" s="184"/>
      <c r="D39" s="184"/>
      <c r="E39" s="184"/>
      <c r="F39" s="184"/>
      <c r="G39" s="184"/>
      <c r="H39" s="184"/>
      <c r="I39" s="185"/>
    </row>
    <row r="40" spans="1:9" ht="20.25" x14ac:dyDescent="0.3">
      <c r="A40" s="182" t="s">
        <v>137</v>
      </c>
      <c r="B40" s="183"/>
      <c r="C40" s="184"/>
      <c r="D40" s="184"/>
      <c r="E40" s="184"/>
      <c r="F40" s="184"/>
      <c r="G40" s="184"/>
      <c r="H40" s="184"/>
      <c r="I40" s="185"/>
    </row>
    <row r="41" spans="1:9" ht="20.25" x14ac:dyDescent="0.3">
      <c r="A41" s="182" t="s">
        <v>88</v>
      </c>
      <c r="B41" s="183"/>
      <c r="C41" s="184"/>
      <c r="D41" s="184"/>
      <c r="E41" s="184"/>
      <c r="F41" s="184"/>
      <c r="G41" s="184"/>
      <c r="H41" s="184"/>
      <c r="I41" s="185"/>
    </row>
    <row r="42" spans="1:9" ht="42.75" customHeight="1" x14ac:dyDescent="0.3">
      <c r="A42" s="186" t="s">
        <v>89</v>
      </c>
      <c r="B42" s="187"/>
      <c r="C42" s="188"/>
      <c r="D42" s="188"/>
      <c r="E42" s="188"/>
      <c r="F42" s="188"/>
      <c r="G42" s="188"/>
      <c r="H42" s="188"/>
      <c r="I42" s="189"/>
    </row>
    <row r="43" spans="1:9" ht="20.25" x14ac:dyDescent="0.3">
      <c r="A43" s="182" t="s">
        <v>90</v>
      </c>
      <c r="B43" s="183"/>
      <c r="C43" s="184"/>
      <c r="D43" s="184"/>
      <c r="E43" s="184"/>
      <c r="F43" s="184"/>
      <c r="G43" s="184"/>
      <c r="H43" s="184"/>
      <c r="I43" s="185"/>
    </row>
    <row r="44" spans="1:9" ht="20.25" x14ac:dyDescent="0.3">
      <c r="A44" s="182" t="s">
        <v>91</v>
      </c>
      <c r="B44" s="183"/>
      <c r="C44" s="184"/>
      <c r="D44" s="184"/>
      <c r="E44" s="184"/>
      <c r="F44" s="184"/>
      <c r="G44" s="184"/>
      <c r="H44" s="184"/>
      <c r="I44" s="185"/>
    </row>
    <row r="45" spans="1:9" ht="20.25" x14ac:dyDescent="0.3">
      <c r="A45" s="182" t="s">
        <v>92</v>
      </c>
      <c r="B45" s="183"/>
      <c r="C45" s="184"/>
      <c r="D45" s="184"/>
      <c r="E45" s="184"/>
      <c r="F45" s="184"/>
      <c r="G45" s="184"/>
      <c r="H45" s="184"/>
      <c r="I45" s="185"/>
    </row>
    <row r="46" spans="1:9" ht="42.75" customHeight="1" x14ac:dyDescent="0.3">
      <c r="A46" s="186" t="s">
        <v>107</v>
      </c>
      <c r="B46" s="187"/>
      <c r="C46" s="188"/>
      <c r="D46" s="188"/>
      <c r="E46" s="188"/>
      <c r="F46" s="188"/>
      <c r="G46" s="188"/>
      <c r="H46" s="188"/>
      <c r="I46" s="189"/>
    </row>
    <row r="47" spans="1:9" ht="20.25" x14ac:dyDescent="0.3">
      <c r="A47" s="182" t="s">
        <v>93</v>
      </c>
      <c r="B47" s="183"/>
      <c r="C47" s="184"/>
      <c r="D47" s="184"/>
      <c r="E47" s="184"/>
      <c r="F47" s="184"/>
      <c r="G47" s="184"/>
      <c r="H47" s="184"/>
      <c r="I47" s="185"/>
    </row>
    <row r="48" spans="1:9" ht="21" thickBot="1" x14ac:dyDescent="0.35">
      <c r="A48" s="190" t="s">
        <v>94</v>
      </c>
      <c r="B48" s="191"/>
      <c r="C48" s="192"/>
      <c r="D48" s="192"/>
      <c r="E48" s="192"/>
      <c r="F48" s="192"/>
      <c r="G48" s="192"/>
      <c r="H48" s="192"/>
      <c r="I48" s="193"/>
    </row>
    <row r="49" spans="1:9" ht="14.45" customHeight="1" thickBot="1" x14ac:dyDescent="0.35">
      <c r="A49" s="194"/>
      <c r="B49" s="195"/>
      <c r="C49" s="195"/>
      <c r="D49" s="195"/>
      <c r="E49" s="195"/>
      <c r="F49" s="195"/>
      <c r="G49" s="195"/>
      <c r="H49" s="195"/>
      <c r="I49" s="196"/>
    </row>
    <row r="50" spans="1:9" ht="20.25" x14ac:dyDescent="0.3">
      <c r="A50" s="197" t="s">
        <v>135</v>
      </c>
      <c r="B50" s="198"/>
      <c r="C50" s="198"/>
      <c r="D50" s="198"/>
      <c r="E50" s="198"/>
      <c r="F50" s="198"/>
      <c r="G50" s="198"/>
      <c r="H50" s="198"/>
      <c r="I50" s="198"/>
    </row>
    <row r="51" spans="1:9" ht="20.25" x14ac:dyDescent="0.3">
      <c r="A51" s="206" t="s">
        <v>138</v>
      </c>
      <c r="B51" s="206"/>
      <c r="C51" s="206"/>
      <c r="D51" s="206"/>
      <c r="E51" s="206"/>
      <c r="F51" s="206"/>
      <c r="G51" s="206"/>
      <c r="H51" s="206"/>
      <c r="I51" s="206"/>
    </row>
    <row r="52" spans="1:9" ht="20.25" x14ac:dyDescent="0.3">
      <c r="A52" s="206" t="s">
        <v>141</v>
      </c>
      <c r="B52" s="206"/>
      <c r="C52" s="206"/>
      <c r="D52" s="206"/>
      <c r="E52" s="206"/>
      <c r="F52" s="206"/>
      <c r="G52" s="206"/>
      <c r="H52" s="206"/>
      <c r="I52" s="206"/>
    </row>
    <row r="53" spans="1:9" ht="20.25" x14ac:dyDescent="0.3">
      <c r="A53" s="207"/>
      <c r="B53" s="208"/>
      <c r="C53" s="208"/>
      <c r="D53" s="208"/>
      <c r="E53" s="208"/>
      <c r="F53" s="208"/>
      <c r="G53" s="208"/>
      <c r="H53" s="208"/>
      <c r="I53" s="209"/>
    </row>
  </sheetData>
  <mergeCells count="51">
    <mergeCell ref="A53:I53"/>
    <mergeCell ref="A50:I50"/>
    <mergeCell ref="A51:I51"/>
    <mergeCell ref="A52:I52"/>
    <mergeCell ref="A44:I44"/>
    <mergeCell ref="A45:I45"/>
    <mergeCell ref="A46:I46"/>
    <mergeCell ref="A47:I47"/>
    <mergeCell ref="A48:I48"/>
    <mergeCell ref="A49:I49"/>
    <mergeCell ref="A43:I43"/>
    <mergeCell ref="A34:C34"/>
    <mergeCell ref="F34:G34"/>
    <mergeCell ref="H34:I34"/>
    <mergeCell ref="A35:I35"/>
    <mergeCell ref="A36:I36"/>
    <mergeCell ref="A37:I37"/>
    <mergeCell ref="A38:I38"/>
    <mergeCell ref="A39:I39"/>
    <mergeCell ref="A40:I40"/>
    <mergeCell ref="A41:I41"/>
    <mergeCell ref="A42:I42"/>
    <mergeCell ref="A32:C32"/>
    <mergeCell ref="F32:G32"/>
    <mergeCell ref="H32:I32"/>
    <mergeCell ref="A33:C33"/>
    <mergeCell ref="F33:G33"/>
    <mergeCell ref="H33:I33"/>
    <mergeCell ref="A30:C30"/>
    <mergeCell ref="F30:G30"/>
    <mergeCell ref="H30:I3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B51F-32F1-4A5C-954A-FDAB5DF60384}">
  <dimension ref="A1:J51"/>
  <sheetViews>
    <sheetView workbookViewId="0">
      <selection activeCell="F41" sqref="F41"/>
    </sheetView>
  </sheetViews>
  <sheetFormatPr baseColWidth="10" defaultColWidth="8.42578125" defaultRowHeight="12.75" x14ac:dyDescent="0.2"/>
  <cols>
    <col min="1" max="1" width="10" style="2" bestFit="1" customWidth="1"/>
    <col min="2" max="2" width="37.5703125" style="2" bestFit="1" customWidth="1"/>
    <col min="3" max="3" width="10" style="2" bestFit="1" customWidth="1"/>
    <col min="4" max="4" width="9.7109375" style="2" bestFit="1" customWidth="1"/>
    <col min="5" max="5" width="8.85546875" style="2" bestFit="1" customWidth="1"/>
    <col min="6" max="6" width="9.42578125" style="22" bestFit="1" customWidth="1"/>
    <col min="7" max="7" width="9.42578125" style="3" customWidth="1"/>
    <col min="8" max="8" width="1.7109375" style="1" customWidth="1"/>
    <col min="9" max="11" width="4.42578125" style="2" bestFit="1" customWidth="1"/>
    <col min="12" max="12" width="4" style="2" bestFit="1" customWidth="1"/>
    <col min="13" max="16384" width="8.42578125" style="2"/>
  </cols>
  <sheetData>
    <row r="1" spans="1:8" ht="23.25" thickBot="1" x14ac:dyDescent="0.25">
      <c r="A1" s="96" t="s">
        <v>53</v>
      </c>
      <c r="B1" s="96"/>
      <c r="C1" s="96"/>
      <c r="D1" s="96"/>
      <c r="E1" s="96"/>
      <c r="F1" s="96"/>
      <c r="G1" s="96"/>
    </row>
    <row r="2" spans="1:8" ht="19.5" thickBot="1" x14ac:dyDescent="0.25">
      <c r="A2" s="97" t="s">
        <v>32</v>
      </c>
      <c r="B2" s="98"/>
      <c r="C2" s="98"/>
      <c r="D2" s="98"/>
      <c r="E2" s="98"/>
      <c r="F2" s="98"/>
      <c r="G2" s="99"/>
    </row>
    <row r="3" spans="1:8" ht="13.5" thickBot="1" x14ac:dyDescent="0.25">
      <c r="A3" s="21"/>
      <c r="B3" s="21"/>
      <c r="C3" s="21"/>
      <c r="D3" s="21"/>
      <c r="E3" s="21"/>
      <c r="F3" s="21"/>
      <c r="G3" s="21"/>
    </row>
    <row r="4" spans="1:8" ht="26.25" thickBot="1" x14ac:dyDescent="0.25">
      <c r="A4" s="23" t="s">
        <v>16</v>
      </c>
      <c r="B4" s="24" t="s">
        <v>17</v>
      </c>
      <c r="C4" s="24" t="s">
        <v>16</v>
      </c>
      <c r="D4" s="25" t="s">
        <v>18</v>
      </c>
      <c r="E4" s="25" t="s">
        <v>19</v>
      </c>
      <c r="F4" s="25" t="s">
        <v>20</v>
      </c>
      <c r="G4" s="26" t="s">
        <v>33</v>
      </c>
    </row>
    <row r="5" spans="1:8" ht="13.5" x14ac:dyDescent="0.25">
      <c r="A5" s="27">
        <v>3320</v>
      </c>
      <c r="B5" s="28" t="s">
        <v>55</v>
      </c>
      <c r="C5" s="29">
        <f t="shared" ref="C5:C14" si="0">+A5</f>
        <v>3320</v>
      </c>
      <c r="D5" s="30">
        <f>+[1]COSTEO!$E$31</f>
        <v>1.3814849457831326</v>
      </c>
      <c r="E5" s="30">
        <f t="shared" ref="E5:E14" si="1">+D5*C5</f>
        <v>4586.5300200000001</v>
      </c>
      <c r="F5" s="7">
        <f>+E5/$E$33</f>
        <v>0.39858043571340551</v>
      </c>
      <c r="G5" s="31" t="s">
        <v>9</v>
      </c>
      <c r="H5" s="10"/>
    </row>
    <row r="6" spans="1:8" ht="13.5" x14ac:dyDescent="0.25">
      <c r="A6" s="27">
        <v>845</v>
      </c>
      <c r="B6" s="28" t="s">
        <v>61</v>
      </c>
      <c r="C6" s="29">
        <f t="shared" si="0"/>
        <v>845</v>
      </c>
      <c r="D6" s="30">
        <f>+'[2]MATERIA PRIMA'!$F$1099</f>
        <v>1.5088109999999999</v>
      </c>
      <c r="E6" s="30">
        <f>+D6*C6</f>
        <v>1274.945295</v>
      </c>
      <c r="F6" s="7">
        <f>+E6/$E$33</f>
        <v>0.11079579747127793</v>
      </c>
      <c r="G6" s="31" t="s">
        <v>59</v>
      </c>
      <c r="H6" s="10"/>
    </row>
    <row r="7" spans="1:8" ht="13.5" x14ac:dyDescent="0.25">
      <c r="A7" s="27">
        <v>455</v>
      </c>
      <c r="B7" s="28" t="s">
        <v>62</v>
      </c>
      <c r="C7" s="29">
        <f t="shared" si="0"/>
        <v>455</v>
      </c>
      <c r="D7" s="30">
        <f>+'[2]MATERIA PRIMA'!$F$1056</f>
        <v>1.9161140000000001</v>
      </c>
      <c r="E7" s="30">
        <f>+D7*C7</f>
        <v>871.83187000000009</v>
      </c>
      <c r="F7" s="7">
        <f>+E7/$E$33</f>
        <v>7.5764276064507946E-2</v>
      </c>
      <c r="G7" s="31" t="s">
        <v>60</v>
      </c>
      <c r="H7" s="10"/>
    </row>
    <row r="8" spans="1:8" ht="13.5" x14ac:dyDescent="0.25">
      <c r="A8" s="27">
        <v>24</v>
      </c>
      <c r="B8" s="28" t="s">
        <v>52</v>
      </c>
      <c r="C8" s="29">
        <f t="shared" si="0"/>
        <v>24</v>
      </c>
      <c r="D8" s="30">
        <f>+'[2]MATERIA PRIMA'!$E$667</f>
        <v>62.061999999999998</v>
      </c>
      <c r="E8" s="30">
        <f t="shared" si="1"/>
        <v>1489.4879999999998</v>
      </c>
      <c r="F8" s="7">
        <f t="shared" ref="F8:F14" si="2">+E8/$E$33</f>
        <v>0.1294400720023825</v>
      </c>
      <c r="G8" s="31" t="s">
        <v>10</v>
      </c>
      <c r="H8" s="10"/>
    </row>
    <row r="9" spans="1:8" ht="13.5" x14ac:dyDescent="0.25">
      <c r="A9" s="27">
        <v>250</v>
      </c>
      <c r="B9" s="28" t="s">
        <v>21</v>
      </c>
      <c r="C9" s="29">
        <f t="shared" si="0"/>
        <v>250</v>
      </c>
      <c r="D9" s="30">
        <f>+'[2]MATERIA PRIMA'!$F$598</f>
        <v>5</v>
      </c>
      <c r="E9" s="30">
        <f t="shared" si="1"/>
        <v>1250</v>
      </c>
      <c r="F9" s="7">
        <f t="shared" si="2"/>
        <v>0.10862799163402334</v>
      </c>
      <c r="G9" s="31" t="s">
        <v>11</v>
      </c>
      <c r="H9" s="10"/>
    </row>
    <row r="10" spans="1:8" ht="13.5" x14ac:dyDescent="0.25">
      <c r="A10" s="27">
        <v>250</v>
      </c>
      <c r="B10" s="28" t="s">
        <v>22</v>
      </c>
      <c r="C10" s="29">
        <f t="shared" si="0"/>
        <v>250</v>
      </c>
      <c r="D10" s="30">
        <f>+'[2]MATERIA PRIMA'!$F$434</f>
        <v>0.54818100000000003</v>
      </c>
      <c r="E10" s="30">
        <f t="shared" si="1"/>
        <v>137.04525000000001</v>
      </c>
      <c r="F10" s="7">
        <f t="shared" si="2"/>
        <v>1.190956021638611E-2</v>
      </c>
      <c r="G10" s="31" t="s">
        <v>12</v>
      </c>
      <c r="H10" s="10"/>
    </row>
    <row r="11" spans="1:8" ht="13.5" x14ac:dyDescent="0.25">
      <c r="A11" s="27">
        <v>4</v>
      </c>
      <c r="B11" s="28" t="s">
        <v>29</v>
      </c>
      <c r="C11" s="29">
        <f t="shared" si="0"/>
        <v>4</v>
      </c>
      <c r="D11" s="30">
        <f>+'[2]MATERIA PRIMA'!$F$540</f>
        <v>1.6071500000000001</v>
      </c>
      <c r="E11" s="30">
        <f t="shared" si="1"/>
        <v>6.4286000000000003</v>
      </c>
      <c r="F11" s="7">
        <f t="shared" si="2"/>
        <v>5.5866072561478592E-4</v>
      </c>
      <c r="G11" s="31" t="s">
        <v>27</v>
      </c>
      <c r="H11" s="10"/>
    </row>
    <row r="12" spans="1:8" ht="13.5" x14ac:dyDescent="0.25">
      <c r="A12" s="27">
        <v>325</v>
      </c>
      <c r="B12" s="28" t="s">
        <v>30</v>
      </c>
      <c r="C12" s="29">
        <f t="shared" si="0"/>
        <v>325</v>
      </c>
      <c r="D12" s="30">
        <f>+'[2]MATERIA PRIMA'!$F$312</f>
        <v>1.615</v>
      </c>
      <c r="E12" s="30">
        <f t="shared" si="1"/>
        <v>524.875</v>
      </c>
      <c r="F12" s="7">
        <f t="shared" si="2"/>
        <v>4.5612893687126399E-2</v>
      </c>
      <c r="G12" s="31" t="s">
        <v>28</v>
      </c>
      <c r="H12" s="10"/>
    </row>
    <row r="13" spans="1:8" ht="13.5" x14ac:dyDescent="0.25">
      <c r="A13" s="27">
        <v>0</v>
      </c>
      <c r="B13" s="28" t="s">
        <v>31</v>
      </c>
      <c r="C13" s="29">
        <f t="shared" si="0"/>
        <v>0</v>
      </c>
      <c r="D13" s="30">
        <f>+[2]EMPAQUE!$E$220</f>
        <v>5.7939999999999996</v>
      </c>
      <c r="E13" s="30">
        <f t="shared" si="1"/>
        <v>0</v>
      </c>
      <c r="F13" s="7">
        <f t="shared" si="2"/>
        <v>0</v>
      </c>
      <c r="G13" s="31" t="s">
        <v>13</v>
      </c>
      <c r="H13" s="10"/>
    </row>
    <row r="14" spans="1:8" ht="13.5" x14ac:dyDescent="0.25">
      <c r="A14" s="27">
        <v>70</v>
      </c>
      <c r="B14" s="28" t="s">
        <v>57</v>
      </c>
      <c r="C14" s="29">
        <f t="shared" si="0"/>
        <v>70</v>
      </c>
      <c r="D14" s="30">
        <f>+[3]COSTEO!$E$24</f>
        <v>0.8850984340044743</v>
      </c>
      <c r="E14" s="30">
        <f t="shared" si="1"/>
        <v>61.956890380313197</v>
      </c>
      <c r="F14" s="7">
        <f t="shared" si="2"/>
        <v>5.3842020559222107E-3</v>
      </c>
      <c r="G14" s="31" t="s">
        <v>9</v>
      </c>
      <c r="H14" s="10"/>
    </row>
    <row r="15" spans="1:8" ht="13.5" thickBot="1" x14ac:dyDescent="0.25">
      <c r="A15" s="4"/>
      <c r="B15" s="5"/>
      <c r="C15" s="6"/>
      <c r="D15" s="6"/>
      <c r="E15" s="6"/>
      <c r="F15" s="7"/>
      <c r="G15" s="9"/>
      <c r="H15" s="10"/>
    </row>
    <row r="16" spans="1:8" ht="26.25" thickBot="1" x14ac:dyDescent="0.25">
      <c r="A16" s="23" t="s">
        <v>16</v>
      </c>
      <c r="B16" s="24" t="s">
        <v>54</v>
      </c>
      <c r="C16" s="24" t="s">
        <v>16</v>
      </c>
      <c r="D16" s="25" t="s">
        <v>18</v>
      </c>
      <c r="E16" s="25" t="s">
        <v>19</v>
      </c>
      <c r="F16" s="25" t="s">
        <v>20</v>
      </c>
      <c r="G16" s="26" t="s">
        <v>33</v>
      </c>
    </row>
    <row r="17" spans="1:8" ht="13.5" x14ac:dyDescent="0.25">
      <c r="A17" s="27">
        <f>+A5</f>
        <v>3320</v>
      </c>
      <c r="B17" s="28" t="s">
        <v>56</v>
      </c>
      <c r="C17" s="29">
        <f>+A17</f>
        <v>3320</v>
      </c>
      <c r="D17" s="30">
        <f>+[1]COSTEO!$E$35</f>
        <v>1.6566265060240965E-2</v>
      </c>
      <c r="E17" s="30">
        <f>+D17*C17</f>
        <v>55.000000000000007</v>
      </c>
      <c r="F17" s="7">
        <f>+E17/$E$33</f>
        <v>4.7796316318970272E-3</v>
      </c>
      <c r="G17" s="31" t="s">
        <v>9</v>
      </c>
      <c r="H17" s="10"/>
    </row>
    <row r="18" spans="1:8" ht="13.5" x14ac:dyDescent="0.25">
      <c r="A18" s="27">
        <f>+A14</f>
        <v>70</v>
      </c>
      <c r="B18" s="28" t="s">
        <v>58</v>
      </c>
      <c r="C18" s="29">
        <f>+A18</f>
        <v>70</v>
      </c>
      <c r="D18" s="30">
        <f>+[3]COSTEO!$E$28</f>
        <v>5.5369127516778527E-2</v>
      </c>
      <c r="E18" s="30">
        <f>+D18*C18</f>
        <v>3.875838926174497</v>
      </c>
      <c r="F18" s="7">
        <f>+E18/$E$33</f>
        <v>3.3681967875784418E-4</v>
      </c>
      <c r="G18" s="31" t="s">
        <v>9</v>
      </c>
      <c r="H18" s="10"/>
    </row>
    <row r="19" spans="1:8" ht="13.5" x14ac:dyDescent="0.25">
      <c r="A19" s="27">
        <v>1</v>
      </c>
      <c r="B19" s="28" t="s">
        <v>51</v>
      </c>
      <c r="C19" s="29">
        <f>+A19</f>
        <v>1</v>
      </c>
      <c r="D19" s="30">
        <f>+E32</f>
        <v>1100</v>
      </c>
      <c r="E19" s="30">
        <f>+D19*C19</f>
        <v>1100</v>
      </c>
      <c r="F19" s="7">
        <f>+E19/$E$33</f>
        <v>9.5592632637940531E-2</v>
      </c>
      <c r="G19" s="31" t="s">
        <v>9</v>
      </c>
      <c r="H19" s="10"/>
    </row>
    <row r="20" spans="1:8" ht="13.5" x14ac:dyDescent="0.2">
      <c r="A20" s="12"/>
      <c r="B20" s="28"/>
      <c r="C20" s="29"/>
      <c r="D20" s="30"/>
      <c r="E20" s="30"/>
      <c r="F20" s="7"/>
      <c r="G20" s="2"/>
      <c r="H20" s="2"/>
    </row>
    <row r="21" spans="1:8" x14ac:dyDescent="0.2">
      <c r="A21" s="12"/>
      <c r="B21" s="95" t="s">
        <v>34</v>
      </c>
      <c r="C21" s="95"/>
      <c r="D21" s="95"/>
      <c r="E21" s="19">
        <f>SUM(E5:E14)</f>
        <v>10203.100925380311</v>
      </c>
      <c r="F21" s="7">
        <f>+E21/$E$33</f>
        <v>0.88667388957064652</v>
      </c>
      <c r="G21" s="44"/>
      <c r="H21" s="2"/>
    </row>
    <row r="22" spans="1:8" x14ac:dyDescent="0.2">
      <c r="A22" s="12"/>
      <c r="B22" s="95" t="s">
        <v>35</v>
      </c>
      <c r="C22" s="95"/>
      <c r="D22" s="95"/>
      <c r="E22" s="19">
        <v>0</v>
      </c>
      <c r="F22" s="7">
        <f>+E22/$E$33</f>
        <v>0</v>
      </c>
      <c r="G22" s="44"/>
      <c r="H22" s="2"/>
    </row>
    <row r="23" spans="1:8" x14ac:dyDescent="0.2">
      <c r="A23" s="12"/>
      <c r="B23" s="95" t="s">
        <v>36</v>
      </c>
      <c r="C23" s="95"/>
      <c r="D23" s="95"/>
      <c r="E23" s="19">
        <f>+E21+E22</f>
        <v>10203.100925380311</v>
      </c>
      <c r="F23" s="7">
        <f>+E23/$E$33</f>
        <v>0.88667388957064652</v>
      </c>
      <c r="G23" s="44"/>
      <c r="H23" s="2"/>
    </row>
    <row r="24" spans="1:8" x14ac:dyDescent="0.2">
      <c r="A24" s="12"/>
      <c r="B24" s="95" t="s">
        <v>37</v>
      </c>
      <c r="C24" s="95" t="s">
        <v>23</v>
      </c>
      <c r="D24" s="95"/>
      <c r="E24" s="19">
        <f>SUM(E17:E19)</f>
        <v>1158.8758389261745</v>
      </c>
      <c r="F24" s="7">
        <f>+E24/$E$33</f>
        <v>0.10070908394859542</v>
      </c>
      <c r="G24" s="44"/>
      <c r="H24" s="2"/>
    </row>
    <row r="25" spans="1:8" x14ac:dyDescent="0.2">
      <c r="A25" s="12"/>
      <c r="B25" s="18"/>
      <c r="C25" s="18"/>
      <c r="D25" s="18"/>
      <c r="E25" s="19"/>
      <c r="F25" s="7"/>
      <c r="G25" s="2"/>
      <c r="H25" s="2"/>
    </row>
    <row r="26" spans="1:8" x14ac:dyDescent="0.2">
      <c r="A26" s="12"/>
      <c r="B26" s="32" t="s">
        <v>38</v>
      </c>
      <c r="C26" s="33">
        <v>5250</v>
      </c>
      <c r="D26" s="34"/>
      <c r="F26" s="7"/>
      <c r="G26" s="2"/>
      <c r="H26" s="2"/>
    </row>
    <row r="27" spans="1:8" x14ac:dyDescent="0.2">
      <c r="A27" s="12"/>
      <c r="B27" s="35" t="s">
        <v>39</v>
      </c>
      <c r="C27" s="36">
        <f>+C26/C28</f>
        <v>7</v>
      </c>
      <c r="D27" s="34"/>
      <c r="F27" s="7"/>
      <c r="G27" s="2"/>
      <c r="H27" s="2"/>
    </row>
    <row r="28" spans="1:8" x14ac:dyDescent="0.2">
      <c r="A28" s="94"/>
      <c r="B28" s="35" t="s">
        <v>40</v>
      </c>
      <c r="C28" s="33">
        <v>750</v>
      </c>
      <c r="D28" s="34"/>
      <c r="E28" s="15"/>
      <c r="F28" s="7"/>
      <c r="G28" s="2"/>
      <c r="H28" s="2"/>
    </row>
    <row r="29" spans="1:8" x14ac:dyDescent="0.2">
      <c r="A29" s="94"/>
      <c r="C29" s="11" t="s">
        <v>23</v>
      </c>
      <c r="D29" s="8" t="s">
        <v>41</v>
      </c>
      <c r="E29" s="37" t="s">
        <v>24</v>
      </c>
      <c r="F29" s="7"/>
      <c r="G29" s="2"/>
      <c r="H29" s="2"/>
    </row>
    <row r="30" spans="1:8" x14ac:dyDescent="0.2">
      <c r="A30" s="21"/>
      <c r="B30" s="95" t="s">
        <v>36</v>
      </c>
      <c r="C30" s="95"/>
      <c r="D30" s="16">
        <f>+E30/E30</f>
        <v>1</v>
      </c>
      <c r="E30" s="14">
        <f>SUM(E23)</f>
        <v>10203.100925380311</v>
      </c>
      <c r="F30" s="7">
        <f>+E30/$E$33</f>
        <v>0.88667388957064652</v>
      </c>
      <c r="G30" s="2"/>
      <c r="H30" s="2"/>
    </row>
    <row r="31" spans="1:8" ht="13.5" thickBot="1" x14ac:dyDescent="0.25">
      <c r="A31" s="21"/>
      <c r="B31" s="87" t="s">
        <v>42</v>
      </c>
      <c r="C31" s="87"/>
      <c r="D31" s="17">
        <f>+[4]calculo!$D$3</f>
        <v>0.02</v>
      </c>
      <c r="E31" s="14">
        <f>+E21*D31</f>
        <v>204.06201850760624</v>
      </c>
      <c r="F31" s="7">
        <f>+E31/$E$33</f>
        <v>1.7733477791412933E-2</v>
      </c>
      <c r="G31" s="2"/>
      <c r="H31" s="2"/>
    </row>
    <row r="32" spans="1:8" ht="13.5" thickBot="1" x14ac:dyDescent="0.25">
      <c r="A32" s="21"/>
      <c r="B32" s="38" t="s">
        <v>43</v>
      </c>
      <c r="C32" s="39">
        <v>20</v>
      </c>
      <c r="D32" s="40">
        <v>55</v>
      </c>
      <c r="E32" s="14">
        <f>+D32*C32</f>
        <v>1100</v>
      </c>
      <c r="F32" s="7">
        <f>+E32/$E$33</f>
        <v>9.5592632637940531E-2</v>
      </c>
      <c r="G32" s="2"/>
      <c r="H32" s="2"/>
    </row>
    <row r="33" spans="1:10" ht="13.5" thickBot="1" x14ac:dyDescent="0.25">
      <c r="A33" s="21"/>
      <c r="B33" s="88" t="s">
        <v>25</v>
      </c>
      <c r="C33" s="89"/>
      <c r="D33" s="90"/>
      <c r="E33" s="19">
        <f>SUM(E30:E32)</f>
        <v>11507.162943887917</v>
      </c>
      <c r="F33" s="7">
        <f>+E33/$E$33</f>
        <v>1</v>
      </c>
      <c r="G33" s="2"/>
      <c r="H33" s="2"/>
    </row>
    <row r="34" spans="1:10" x14ac:dyDescent="0.2">
      <c r="A34" s="21"/>
      <c r="C34" s="13"/>
      <c r="D34" s="20"/>
      <c r="E34" s="14"/>
      <c r="F34" s="7"/>
      <c r="G34" s="2"/>
      <c r="H34" s="2"/>
    </row>
    <row r="35" spans="1:10" ht="13.5" thickBot="1" x14ac:dyDescent="0.25">
      <c r="A35" s="21"/>
      <c r="B35" s="86" t="s">
        <v>44</v>
      </c>
      <c r="C35" s="86"/>
      <c r="D35" s="86"/>
      <c r="E35" s="86"/>
      <c r="F35" s="7"/>
      <c r="G35" s="2"/>
      <c r="H35" s="2"/>
    </row>
    <row r="36" spans="1:10" ht="13.5" thickBot="1" x14ac:dyDescent="0.25">
      <c r="A36" s="3"/>
      <c r="B36" s="18" t="s">
        <v>45</v>
      </c>
      <c r="C36" s="19">
        <f>+E21</f>
        <v>10203.100925380311</v>
      </c>
      <c r="D36" s="19">
        <f>+C26</f>
        <v>5250</v>
      </c>
      <c r="E36" s="46">
        <f>+C36/D36</f>
        <v>1.9434477953105356</v>
      </c>
      <c r="F36" s="7"/>
      <c r="G36" s="2"/>
      <c r="H36" s="2"/>
      <c r="J36" s="2">
        <v>1.7</v>
      </c>
    </row>
    <row r="37" spans="1:10" x14ac:dyDescent="0.2">
      <c r="A37" s="3"/>
      <c r="C37" s="13"/>
      <c r="D37" s="20"/>
      <c r="E37" s="14"/>
      <c r="F37" s="7"/>
      <c r="G37" s="2"/>
      <c r="H37" s="2"/>
    </row>
    <row r="38" spans="1:10" x14ac:dyDescent="0.2">
      <c r="A38" s="3"/>
      <c r="B38" s="18" t="s">
        <v>46</v>
      </c>
      <c r="C38" s="19">
        <f>SUM(E30:E31)</f>
        <v>10407.162943887917</v>
      </c>
      <c r="D38" s="19">
        <f>+D36</f>
        <v>5250</v>
      </c>
      <c r="E38" s="41">
        <f>+C38/D38</f>
        <v>1.9823167512167461</v>
      </c>
      <c r="F38" s="7"/>
      <c r="G38" s="2"/>
      <c r="H38" s="2"/>
    </row>
    <row r="39" spans="1:10" x14ac:dyDescent="0.2">
      <c r="A39" s="3"/>
      <c r="B39" s="18"/>
      <c r="C39" s="19"/>
      <c r="D39" s="19"/>
      <c r="E39" s="41"/>
      <c r="F39" s="7"/>
      <c r="G39" s="2"/>
      <c r="H39" s="2"/>
    </row>
    <row r="40" spans="1:10" ht="13.5" thickBot="1" x14ac:dyDescent="0.25">
      <c r="A40" s="3"/>
      <c r="B40" s="18" t="s">
        <v>47</v>
      </c>
      <c r="C40" s="19">
        <f>+E32</f>
        <v>1100</v>
      </c>
      <c r="D40" s="19">
        <f>+D38</f>
        <v>5250</v>
      </c>
      <c r="E40" s="41">
        <f>+C40/D40</f>
        <v>0.20952380952380953</v>
      </c>
      <c r="F40" s="7"/>
      <c r="G40" s="2"/>
      <c r="H40" s="2"/>
    </row>
    <row r="41" spans="1:10" ht="13.5" thickBot="1" x14ac:dyDescent="0.25">
      <c r="A41" s="3"/>
      <c r="B41" s="18" t="s">
        <v>48</v>
      </c>
      <c r="C41" s="19">
        <f>+E24</f>
        <v>1158.8758389261745</v>
      </c>
      <c r="D41" s="19">
        <f>+D40</f>
        <v>5250</v>
      </c>
      <c r="E41" s="45">
        <f>+C41/D41</f>
        <v>0.22073825503355707</v>
      </c>
      <c r="F41" s="7"/>
      <c r="G41" s="2"/>
      <c r="H41" s="2"/>
      <c r="J41" s="2">
        <v>0.27</v>
      </c>
    </row>
    <row r="42" spans="1:10" ht="13.5" thickBot="1" x14ac:dyDescent="0.25">
      <c r="A42" s="3"/>
      <c r="B42" s="18"/>
      <c r="C42" s="19"/>
      <c r="D42" s="19"/>
      <c r="E42" s="41"/>
      <c r="F42" s="7"/>
      <c r="G42" s="2"/>
      <c r="H42" s="2"/>
    </row>
    <row r="43" spans="1:10" ht="13.5" thickBot="1" x14ac:dyDescent="0.25">
      <c r="A43" s="3"/>
      <c r="B43" s="91" t="s">
        <v>49</v>
      </c>
      <c r="C43" s="92"/>
      <c r="D43" s="93"/>
      <c r="E43" s="42">
        <f>+E36+E41</f>
        <v>2.1641860503440928</v>
      </c>
      <c r="F43" s="7"/>
      <c r="G43" s="2"/>
      <c r="H43" s="2"/>
    </row>
    <row r="44" spans="1:10" x14ac:dyDescent="0.2">
      <c r="A44" s="3"/>
      <c r="G44" s="2"/>
      <c r="H44" s="2"/>
    </row>
    <row r="45" spans="1:10" ht="13.5" thickBot="1" x14ac:dyDescent="0.25">
      <c r="A45" s="3"/>
      <c r="B45" s="86" t="s">
        <v>50</v>
      </c>
      <c r="C45" s="86"/>
      <c r="D45" s="86"/>
      <c r="E45" s="86"/>
      <c r="F45" s="7"/>
      <c r="G45" s="2"/>
      <c r="H45" s="2"/>
    </row>
    <row r="46" spans="1:10" ht="13.5" thickBot="1" x14ac:dyDescent="0.25">
      <c r="A46" s="3"/>
      <c r="B46" s="18" t="s">
        <v>45</v>
      </c>
      <c r="C46" s="19">
        <f>+C36</f>
        <v>10203.100925380311</v>
      </c>
      <c r="D46" s="19">
        <f>+C27</f>
        <v>7</v>
      </c>
      <c r="E46" s="45">
        <f>+C46/D46</f>
        <v>1457.5858464829016</v>
      </c>
      <c r="F46" s="7"/>
      <c r="G46" s="2"/>
      <c r="H46" s="2"/>
    </row>
    <row r="47" spans="1:10" x14ac:dyDescent="0.2">
      <c r="A47" s="3"/>
      <c r="C47" s="13"/>
      <c r="D47" s="20"/>
      <c r="E47" s="14"/>
      <c r="F47" s="7"/>
      <c r="G47" s="2"/>
      <c r="H47" s="2"/>
    </row>
    <row r="48" spans="1:10" x14ac:dyDescent="0.2">
      <c r="A48" s="3"/>
      <c r="B48" s="18" t="s">
        <v>46</v>
      </c>
      <c r="C48" s="19">
        <f>+C38</f>
        <v>10407.162943887917</v>
      </c>
      <c r="D48" s="19">
        <f>+C27</f>
        <v>7</v>
      </c>
      <c r="E48" s="41">
        <f>+C48/D48</f>
        <v>1486.7375634125597</v>
      </c>
      <c r="F48" s="7"/>
      <c r="G48" s="2"/>
      <c r="H48" s="2"/>
    </row>
    <row r="49" spans="2:6" x14ac:dyDescent="0.2">
      <c r="B49" s="18"/>
      <c r="C49" s="19"/>
      <c r="D49" s="19"/>
      <c r="E49" s="41"/>
      <c r="F49" s="7"/>
    </row>
    <row r="50" spans="2:6" ht="13.5" thickBot="1" x14ac:dyDescent="0.25">
      <c r="B50" s="18" t="s">
        <v>48</v>
      </c>
      <c r="C50" s="19">
        <f>+C40</f>
        <v>1100</v>
      </c>
      <c r="D50" s="19">
        <f>+C27</f>
        <v>7</v>
      </c>
      <c r="E50" s="41">
        <f>+C50/D50</f>
        <v>157.14285714285714</v>
      </c>
      <c r="F50" s="43"/>
    </row>
    <row r="51" spans="2:6" ht="13.5" thickBot="1" x14ac:dyDescent="0.25">
      <c r="B51" s="18" t="s">
        <v>48</v>
      </c>
      <c r="C51" s="19">
        <f>+C41</f>
        <v>1158.8758389261745</v>
      </c>
      <c r="D51" s="19">
        <f>+D50</f>
        <v>7</v>
      </c>
      <c r="E51" s="45">
        <f>+C51/D51</f>
        <v>165.55369127516778</v>
      </c>
    </row>
  </sheetData>
  <mergeCells count="13">
    <mergeCell ref="A28:A29"/>
    <mergeCell ref="B30:C30"/>
    <mergeCell ref="A1:G1"/>
    <mergeCell ref="A2:G2"/>
    <mergeCell ref="B21:D21"/>
    <mergeCell ref="B22:D22"/>
    <mergeCell ref="B23:D23"/>
    <mergeCell ref="B24:D24"/>
    <mergeCell ref="B45:E45"/>
    <mergeCell ref="B31:C31"/>
    <mergeCell ref="B33:D33"/>
    <mergeCell ref="B35:E35"/>
    <mergeCell ref="B43:D43"/>
  </mergeCells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324D886-F075-4698-A5B4-B00D0E482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A3C1F3-62A2-457A-BB3C-C2BDAF991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F9672A-A4B8-4FED-95E7-B11160B5F8E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E13298-36A2-48E0-B6A1-6800B8E7EDD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Allan Brenes</cp:lastModifiedBy>
  <cp:lastPrinted>2025-08-18T14:59:39Z</cp:lastPrinted>
  <dcterms:created xsi:type="dcterms:W3CDTF">2010-03-08T15:11:55Z</dcterms:created>
  <dcterms:modified xsi:type="dcterms:W3CDTF">2025-08-18T15:02:30Z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60800.0000000000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
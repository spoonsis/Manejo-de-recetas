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8608FD06-1F36-42EE-ADF3-C963DD5BD71C}" xr6:coauthVersionLast="47" xr6:coauthVersionMax="47" xr10:uidLastSave="{38DD35F5-7235-49FB-A59A-F4824A71C229}"/>
  <bookViews>
    <workbookView xWindow="-120" yWindow="-120" windowWidth="20730" windowHeight="11040" xr2:uid="{B07F9AB7-1D56-4069-BAE8-0066D839A524}"/>
  </bookViews>
  <sheets>
    <sheet name="Ensamble disco queso y condensa" sheetId="1" r:id="rId1"/>
  </sheets>
  <definedNames>
    <definedName name="_xlnm.Print_Area" localSheetId="0">'Ensamble disco queso y condensa'!$A$1:$I$32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D24" i="1" s="1"/>
  <c r="L13" i="1"/>
</calcChain>
</file>

<file path=xl/sharedStrings.xml><?xml version="1.0" encoding="utf-8"?>
<sst xmlns="http://schemas.openxmlformats.org/spreadsheetml/2006/main" count="78" uniqueCount="60">
  <si>
    <t>4. Por ultimo se tapa con la otra mitad del rosquete y se dejar enfiar por al menos 6 horas.</t>
  </si>
  <si>
    <t xml:space="preserve">3. Se le agrega el chocolate blanco con caramelo bien exparcido y se le coloca la otra parte del mousse de queso y condensada. </t>
  </si>
  <si>
    <t>PROCEDIMIENTO DE PREPARACION DE LA  RECETA</t>
  </si>
  <si>
    <t>Rendimiento Final:</t>
  </si>
  <si>
    <t>g</t>
  </si>
  <si>
    <t>MERMA</t>
  </si>
  <si>
    <t>Otros: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</si>
  <si>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</si>
  <si>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</si>
  <si>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</si>
  <si>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</si>
  <si>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</si>
  <si>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</si>
  <si>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</si>
  <si>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</si>
  <si>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</si>
  <si>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</si>
  <si>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</si>
  <si>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</si>
  <si>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MOUSSE QUESO Y CONDENSADA</t>
  </si>
  <si>
    <t>SE00684</t>
  </si>
  <si>
    <t>1/4 Taza</t>
  </si>
  <si>
    <t>CARAMELO CON CHOCOLATE BLANCO</t>
  </si>
  <si>
    <t>SE00682</t>
  </si>
  <si>
    <t>1/3 taza</t>
  </si>
  <si>
    <t>SALSA DE LECHE CONDENSADA COCINADA</t>
  </si>
  <si>
    <t>SE00688</t>
  </si>
  <si>
    <t>80g por capa</t>
  </si>
  <si>
    <t>Almibar whisky</t>
  </si>
  <si>
    <t>SE00685</t>
  </si>
  <si>
    <t>unidad</t>
  </si>
  <si>
    <t>Rosquete nucleo vainilla Dawn redondo 320g</t>
  </si>
  <si>
    <t>SE00448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</si>
  <si>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</si>
  <si>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</si>
  <si>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</si>
  <si>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</si>
  <si>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</si>
  <si>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</si>
  <si>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</si>
  <si>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</si>
  <si>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</si>
  <si>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</si>
  <si>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>AREA QUE PRODUCE:</t>
  </si>
  <si>
    <t>Sebastian Diaz, Gte Manufactura</t>
  </si>
  <si>
    <t>Aprobado</t>
  </si>
  <si>
    <t xml:space="preserve">Mariela Barrantes Sánchez </t>
  </si>
  <si>
    <t>Elaborado</t>
  </si>
  <si>
    <t>FECHA DE APROBACIÓN:</t>
  </si>
  <si>
    <t>SE00683 Ensamble Disco Queso y condensada</t>
  </si>
  <si>
    <t>REVISIÓN:</t>
  </si>
  <si>
    <t>ESPECIFICACION DE RECETA</t>
  </si>
  <si>
    <t>CÓDIGO:</t>
  </si>
  <si>
    <t>SERVICIOS DE PASTELERIA S.A.</t>
  </si>
  <si>
    <t>01</t>
  </si>
  <si>
    <r>
      <t xml:space="preserve">AREA QUE EMPACA: </t>
    </r>
    <r>
      <rPr>
        <b/>
        <sz val="12"/>
        <color rgb="FFFF0000"/>
        <rFont val="Arial"/>
        <family val="2"/>
      </rPr>
      <t>Postres</t>
    </r>
  </si>
  <si>
    <t>1.Se corta el rosquete a la mitad, se coloca en un molde de aluminio desmoldable (molde pie de limon) y se moja con 100g de 
almibar en  cada tapa.</t>
  </si>
  <si>
    <t>2. Se coloca en la base del rosquete la primer capa de mousse de queso y condensada, luego al centro la salsa de 
condensada cocinada.</t>
  </si>
  <si>
    <t>CONTROL DE CAMBIOS</t>
  </si>
  <si>
    <t>ESP-RE-POS-160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</si>
</sst>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23">
    <xf numFmtId="0" fontId="0" fillId="0" borderId="0" xfId="0"/>
    <xf numFmtId="0" fontId="2" fillId="2" borderId="0" xfId="2" applyFont="1" applyFill="1"/>
    <xf numFmtId="0" fontId="2" fillId="2" borderId="0" xfId="2" applyFont="1" applyFill="1" applyAlignment="1">
      <alignment horizontal="left" indent="1"/>
    </xf>
    <xf numFmtId="9" fontId="2" fillId="2" borderId="0" xfId="3" applyFont="1" applyFill="1"/>
    <xf numFmtId="43" fontId="2" fillId="2" borderId="0" xfId="1" applyFont="1" applyFill="1"/>
    <xf numFmtId="0" fontId="2" fillId="4" borderId="0" xfId="2" applyFont="1" applyFill="1"/>
    <xf numFmtId="0" fontId="3" fillId="3" borderId="34" xfId="2" applyFont="1" applyFill="1" applyBorder="1" applyAlignment="1">
      <alignment horizontal="center"/>
    </xf>
    <xf numFmtId="1" fontId="3" fillId="3" borderId="35" xfId="2" applyNumberFormat="1" applyFont="1" applyFill="1" applyBorder="1" applyAlignment="1">
      <alignment horizontal="center" wrapText="1"/>
    </xf>
    <xf numFmtId="1" fontId="3" fillId="3" borderId="35" xfId="2" applyNumberFormat="1" applyFont="1" applyFill="1" applyBorder="1" applyAlignment="1">
      <alignment horizontal="center"/>
    </xf>
    <xf numFmtId="0" fontId="3" fillId="3" borderId="35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 wrapText="1"/>
    </xf>
    <xf numFmtId="0" fontId="3" fillId="3" borderId="36" xfId="2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center" vertical="center" wrapText="1"/>
    </xf>
    <xf numFmtId="0" fontId="3" fillId="3" borderId="9" xfId="2" applyFont="1" applyFill="1" applyBorder="1" applyAlignment="1">
      <alignment horizontal="center" vertical="center"/>
    </xf>
    <xf numFmtId="0" fontId="3" fillId="3" borderId="37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/>
    </xf>
    <xf numFmtId="0" fontId="6" fillId="2" borderId="32" xfId="4" applyFont="1" applyFill="1" applyBorder="1" applyAlignment="1">
      <alignment horizontal="right"/>
    </xf>
    <xf numFmtId="0" fontId="6" fillId="2" borderId="33" xfId="4" applyFont="1" applyFill="1" applyBorder="1" applyAlignment="1">
      <alignment horizontal="right"/>
    </xf>
    <xf numFmtId="14" fontId="1" fillId="2" borderId="38" xfId="4" applyNumberFormat="1" applyFont="1" applyFill="1" applyBorder="1" applyAlignment="1">
      <alignment horizontal="center" vertical="center" wrapText="1"/>
    </xf>
    <xf numFmtId="0" fontId="5" fillId="2" borderId="39" xfId="4" applyFont="1" applyFill="1" applyBorder="1" applyAlignment="1">
      <alignment horizontal="right" vertical="top" wrapText="1"/>
    </xf>
    <xf numFmtId="0" fontId="1" fillId="2" borderId="39" xfId="4" applyFont="1" applyFill="1" applyBorder="1" applyAlignment="1">
      <alignment horizontal="left"/>
    </xf>
    <xf numFmtId="0" fontId="1" fillId="2" borderId="39" xfId="4" applyFont="1" applyFill="1" applyBorder="1" applyAlignment="1">
      <alignment horizontal="right"/>
    </xf>
    <xf numFmtId="0" fontId="1" fillId="2" borderId="0" xfId="4" applyFont="1" applyFill="1" applyAlignment="1">
      <alignment horizontal="center"/>
    </xf>
    <xf numFmtId="0" fontId="1" fillId="2" borderId="40" xfId="4" applyFont="1" applyFill="1" applyBorder="1" applyAlignment="1">
      <alignment horizontal="center"/>
    </xf>
    <xf numFmtId="14" fontId="2" fillId="2" borderId="12" xfId="4" applyNumberFormat="1" applyFont="1" applyFill="1" applyBorder="1" applyAlignment="1">
      <alignment horizontal="center" vertical="center" wrapText="1"/>
    </xf>
    <xf numFmtId="0" fontId="3" fillId="2" borderId="14" xfId="4" applyFont="1" applyFill="1" applyBorder="1" applyAlignment="1">
      <alignment horizontal="right" vertical="top" wrapText="1"/>
    </xf>
    <xf numFmtId="0" fontId="2" fillId="2" borderId="6" xfId="4" applyFont="1" applyFill="1" applyBorder="1" applyAlignment="1">
      <alignment horizontal="left"/>
    </xf>
    <xf numFmtId="0" fontId="2" fillId="2" borderId="16" xfId="4" applyFont="1" applyFill="1" applyBorder="1" applyAlignment="1">
      <alignment horizontal="left"/>
    </xf>
    <xf numFmtId="0" fontId="2" fillId="2" borderId="17" xfId="4" applyFont="1" applyFill="1" applyBorder="1" applyAlignment="1">
      <alignment horizontal="left"/>
    </xf>
    <xf numFmtId="0" fontId="2" fillId="2" borderId="41" xfId="4" applyFont="1" applyFill="1" applyBorder="1" applyAlignment="1">
      <alignment horizontal="right"/>
    </xf>
    <xf numFmtId="0" fontId="2" fillId="2" borderId="5" xfId="4" applyFont="1" applyFill="1" applyBorder="1" applyAlignment="1">
      <alignment horizontal="center"/>
    </xf>
    <xf numFmtId="0" fontId="2" fillId="2" borderId="10" xfId="4" applyFont="1" applyFill="1" applyBorder="1" applyAlignment="1">
      <alignment horizontal="left"/>
    </xf>
    <xf numFmtId="0" fontId="2" fillId="2" borderId="42" xfId="4" applyFont="1" applyFill="1" applyBorder="1" applyAlignment="1">
      <alignment horizontal="left"/>
    </xf>
    <xf numFmtId="0" fontId="2" fillId="2" borderId="43" xfId="4" applyFont="1" applyFill="1" applyBorder="1" applyAlignment="1">
      <alignment horizontal="left"/>
    </xf>
    <xf numFmtId="0" fontId="2" fillId="2" borderId="30" xfId="4" applyFont="1" applyFill="1" applyBorder="1" applyAlignment="1">
      <alignment horizontal="right"/>
    </xf>
    <xf numFmtId="14" fontId="2" fillId="2" borderId="34" xfId="4" applyNumberFormat="1" applyFont="1" applyFill="1" applyBorder="1" applyAlignment="1">
      <alignment horizontal="center" vertical="center" wrapText="1"/>
    </xf>
    <xf numFmtId="0" fontId="3" fillId="2" borderId="41" xfId="4" applyFont="1" applyFill="1" applyBorder="1" applyAlignment="1">
      <alignment horizontal="right" vertical="top" wrapText="1"/>
    </xf>
    <xf numFmtId="49" fontId="2" fillId="2" borderId="4" xfId="4" applyNumberFormat="1" applyFont="1" applyFill="1" applyBorder="1" applyAlignment="1">
      <alignment horizontal="center"/>
    </xf>
    <xf numFmtId="0" fontId="3" fillId="2" borderId="5" xfId="4" applyFont="1" applyFill="1" applyBorder="1" applyAlignment="1">
      <alignment horizontal="right"/>
    </xf>
    <xf numFmtId="0" fontId="7" fillId="2" borderId="35" xfId="4" applyFont="1" applyFill="1" applyBorder="1" applyAlignment="1">
      <alignment horizontal="center"/>
    </xf>
    <xf numFmtId="0" fontId="7" fillId="2" borderId="41" xfId="4" applyFont="1" applyFill="1" applyBorder="1" applyAlignment="1">
      <alignment horizontal="center"/>
    </xf>
    <xf numFmtId="0" fontId="2" fillId="2" borderId="8" xfId="4" applyFont="1" applyFill="1" applyBorder="1" applyAlignment="1">
      <alignment horizontal="center"/>
    </xf>
    <xf numFmtId="0" fontId="3" fillId="2" borderId="9" xfId="4" applyFont="1" applyFill="1" applyBorder="1" applyAlignment="1">
      <alignment horizontal="right"/>
    </xf>
    <xf numFmtId="0" fontId="7" fillId="2" borderId="9" xfId="4" applyFont="1" applyFill="1" applyBorder="1" applyAlignment="1">
      <alignment horizontal="center"/>
    </xf>
    <xf numFmtId="0" fontId="7" fillId="2" borderId="10" xfId="4" applyFont="1" applyFill="1" applyBorder="1" applyAlignment="1">
      <alignment horizontal="center"/>
    </xf>
    <xf numFmtId="0" fontId="8" fillId="5" borderId="24" xfId="4" applyFont="1" applyFill="1" applyBorder="1" applyAlignment="1">
      <alignment horizontal="center" vertical="center" wrapText="1"/>
    </xf>
    <xf numFmtId="0" fontId="8" fillId="5" borderId="23" xfId="4" applyFont="1" applyFill="1" applyBorder="1" applyAlignment="1">
      <alignment horizontal="center" vertical="center" wrapText="1"/>
    </xf>
    <xf numFmtId="0" fontId="9" fillId="2" borderId="32" xfId="4" applyFont="1" applyFill="1" applyBorder="1" applyAlignment="1">
      <alignment horizontal="center"/>
    </xf>
    <xf numFmtId="0" fontId="10" fillId="2" borderId="32" xfId="4" applyFont="1" applyFill="1" applyBorder="1"/>
    <xf numFmtId="0" fontId="10" fillId="2" borderId="31" xfId="4" applyFont="1" applyFill="1" applyBorder="1"/>
    <xf numFmtId="0" fontId="11" fillId="2" borderId="5" xfId="2" applyFont="1" applyFill="1" applyBorder="1"/>
    <xf numFmtId="0" fontId="11" fillId="2" borderId="5" xfId="2" applyFont="1" applyFill="1" applyBorder="1" applyAlignment="1">
      <alignment horizontal="center"/>
    </xf>
    <xf numFmtId="1" fontId="11" fillId="0" borderId="5" xfId="2" applyNumberFormat="1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5" xfId="2" applyFont="1" applyBorder="1"/>
    <xf numFmtId="16" fontId="12" fillId="0" borderId="5" xfId="2" applyNumberFormat="1" applyFont="1" applyBorder="1" applyAlignment="1">
      <alignment horizontal="center"/>
    </xf>
    <xf numFmtId="1" fontId="11" fillId="0" borderId="5" xfId="2" applyNumberFormat="1" applyFont="1" applyBorder="1" applyAlignment="1">
      <alignment horizontal="center" wrapText="1"/>
    </xf>
    <xf numFmtId="0" fontId="13" fillId="4" borderId="5" xfId="2" applyFont="1" applyFill="1" applyBorder="1" applyAlignment="1">
      <alignment horizontal="center"/>
    </xf>
    <xf numFmtId="0" fontId="11" fillId="4" borderId="5" xfId="2" applyFont="1" applyFill="1" applyBorder="1" applyAlignment="1">
      <alignment horizontal="center"/>
    </xf>
    <xf numFmtId="0" fontId="11" fillId="4" borderId="5" xfId="2" applyFont="1" applyFill="1" applyBorder="1"/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/>
    <xf numFmtId="0" fontId="12" fillId="2" borderId="5" xfId="2" applyFont="1" applyFill="1" applyBorder="1" applyAlignment="1">
      <alignment horizontal="center"/>
    </xf>
    <xf numFmtId="0" fontId="12" fillId="2" borderId="5" xfId="2" applyFont="1" applyFill="1" applyBorder="1" applyAlignment="1">
      <alignment vertical="center"/>
    </xf>
    <xf numFmtId="0" fontId="11" fillId="0" borderId="5" xfId="2" applyFont="1" applyBorder="1" applyAlignment="1">
      <alignment horizontal="left"/>
    </xf>
    <xf numFmtId="12" fontId="12" fillId="0" borderId="5" xfId="2" applyNumberFormat="1" applyFont="1" applyBorder="1" applyAlignment="1">
      <alignment horizontal="center"/>
    </xf>
    <xf numFmtId="1" fontId="13" fillId="4" borderId="5" xfId="2" applyNumberFormat="1" applyFont="1" applyFill="1" applyBorder="1" applyAlignment="1">
      <alignment horizontal="center"/>
    </xf>
    <xf numFmtId="16" fontId="11" fillId="0" borderId="5" xfId="2" applyNumberFormat="1" applyFont="1" applyBorder="1" applyAlignment="1">
      <alignment horizontal="center"/>
    </xf>
    <xf numFmtId="12" fontId="11" fillId="0" borderId="5" xfId="2" applyNumberFormat="1" applyFont="1" applyBorder="1" applyAlignment="1">
      <alignment horizontal="center"/>
    </xf>
    <xf numFmtId="1" fontId="11" fillId="4" borderId="5" xfId="2" applyNumberFormat="1" applyFont="1" applyFill="1" applyBorder="1" applyAlignment="1">
      <alignment horizontal="center"/>
    </xf>
    <xf numFmtId="0" fontId="11" fillId="3" borderId="33" xfId="2" applyFont="1" applyFill="1" applyBorder="1" applyAlignment="1">
      <alignment horizontal="center"/>
    </xf>
    <xf numFmtId="0" fontId="11" fillId="3" borderId="32" xfId="2" applyFont="1" applyFill="1" applyBorder="1" applyAlignment="1">
      <alignment horizontal="center"/>
    </xf>
    <xf numFmtId="0" fontId="11" fillId="3" borderId="32" xfId="2" applyFont="1" applyFill="1" applyBorder="1"/>
    <xf numFmtId="0" fontId="13" fillId="3" borderId="32" xfId="2" applyFont="1" applyFill="1" applyBorder="1" applyAlignment="1">
      <alignment horizontal="center"/>
    </xf>
    <xf numFmtId="1" fontId="13" fillId="3" borderId="32" xfId="2" applyNumberFormat="1" applyFont="1" applyFill="1" applyBorder="1" applyAlignment="1">
      <alignment horizontal="center"/>
    </xf>
    <xf numFmtId="164" fontId="11" fillId="3" borderId="32" xfId="2" applyNumberFormat="1" applyFont="1" applyFill="1" applyBorder="1" applyAlignment="1">
      <alignment horizontal="center" wrapText="1"/>
    </xf>
    <xf numFmtId="0" fontId="11" fillId="3" borderId="31" xfId="2" applyFont="1" applyFill="1" applyBorder="1" applyAlignment="1">
      <alignment horizontal="center"/>
    </xf>
    <xf numFmtId="0" fontId="13" fillId="0" borderId="20" xfId="2" applyFont="1" applyBorder="1" applyAlignment="1">
      <alignment horizontal="right"/>
    </xf>
    <xf numFmtId="0" fontId="13" fillId="0" borderId="19" xfId="2" applyFont="1" applyBorder="1" applyAlignment="1">
      <alignment horizontal="right"/>
    </xf>
    <xf numFmtId="0" fontId="13" fillId="0" borderId="30" xfId="2" applyFont="1" applyBorder="1" applyAlignment="1">
      <alignment horizontal="right"/>
    </xf>
    <xf numFmtId="1" fontId="11" fillId="0" borderId="29" xfId="2" applyNumberFormat="1" applyFont="1" applyBorder="1" applyAlignment="1">
      <alignment horizontal="center"/>
    </xf>
    <xf numFmtId="0" fontId="11" fillId="0" borderId="28" xfId="2" applyFont="1" applyBorder="1" applyAlignment="1">
      <alignment horizontal="center"/>
    </xf>
    <xf numFmtId="164" fontId="11" fillId="0" borderId="29" xfId="2" applyNumberFormat="1" applyFont="1" applyBorder="1" applyAlignment="1">
      <alignment horizontal="right"/>
    </xf>
    <xf numFmtId="0" fontId="11" fillId="2" borderId="28" xfId="2" applyFont="1" applyFill="1" applyBorder="1" applyAlignment="1">
      <alignment horizontal="center"/>
    </xf>
    <xf numFmtId="0" fontId="11" fillId="2" borderId="18" xfId="2" applyFont="1" applyFill="1" applyBorder="1" applyAlignment="1">
      <alignment horizontal="center"/>
    </xf>
    <xf numFmtId="0" fontId="13" fillId="0" borderId="22" xfId="2" applyFont="1" applyBorder="1" applyAlignment="1">
      <alignment horizontal="right"/>
    </xf>
    <xf numFmtId="0" fontId="13" fillId="0" borderId="16" xfId="2" applyFont="1" applyBorder="1" applyAlignment="1">
      <alignment horizontal="right"/>
    </xf>
    <xf numFmtId="0" fontId="13" fillId="0" borderId="6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164" fontId="11" fillId="0" borderId="17" xfId="2" applyNumberFormat="1" applyFont="1" applyBorder="1" applyAlignment="1">
      <alignment horizontal="center"/>
    </xf>
    <xf numFmtId="164" fontId="11" fillId="0" borderId="21" xfId="2" applyNumberFormat="1" applyFont="1" applyBorder="1" applyAlignment="1">
      <alignment horizontal="center"/>
    </xf>
    <xf numFmtId="164" fontId="11" fillId="0" borderId="17" xfId="2" applyNumberFormat="1" applyFont="1" applyBorder="1" applyAlignment="1">
      <alignment horizontal="right" wrapText="1"/>
    </xf>
    <xf numFmtId="164" fontId="11" fillId="0" borderId="6" xfId="2" applyNumberFormat="1" applyFont="1" applyBorder="1" applyAlignment="1">
      <alignment horizontal="right" wrapText="1"/>
    </xf>
    <xf numFmtId="0" fontId="13" fillId="0" borderId="3" xfId="2" applyFont="1" applyBorder="1" applyAlignment="1">
      <alignment horizontal="right"/>
    </xf>
    <xf numFmtId="0" fontId="13" fillId="0" borderId="2" xfId="2" applyFont="1" applyBorder="1" applyAlignment="1">
      <alignment horizontal="right"/>
    </xf>
    <xf numFmtId="0" fontId="13" fillId="0" borderId="1" xfId="2" applyFont="1" applyBorder="1" applyAlignment="1">
      <alignment horizontal="right"/>
    </xf>
    <xf numFmtId="1" fontId="11" fillId="0" borderId="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1" xfId="2" applyFont="1" applyBorder="1" applyAlignment="1">
      <alignment horizontal="right"/>
    </xf>
    <xf numFmtId="1" fontId="11" fillId="0" borderId="27" xfId="2" applyNumberFormat="1" applyFont="1" applyBorder="1" applyAlignment="1">
      <alignment horizontal="center"/>
    </xf>
    <xf numFmtId="1" fontId="11" fillId="0" borderId="26" xfId="2" applyNumberFormat="1" applyFont="1" applyBorder="1" applyAlignment="1">
      <alignment horizontal="center"/>
    </xf>
    <xf numFmtId="0" fontId="11" fillId="0" borderId="19" xfId="2" applyFont="1" applyBorder="1" applyAlignment="1">
      <alignment horizontal="left" vertical="top"/>
    </xf>
    <xf numFmtId="0" fontId="11" fillId="0" borderId="18" xfId="2" applyFont="1" applyBorder="1" applyAlignment="1">
      <alignment horizontal="left" vertical="top"/>
    </xf>
    <xf numFmtId="0" fontId="11" fillId="0" borderId="22" xfId="2" applyFont="1" applyBorder="1" applyAlignment="1">
      <alignment horizontal="left" vertical="top"/>
    </xf>
    <xf numFmtId="0" fontId="11" fillId="0" borderId="16" xfId="2" applyFont="1" applyBorder="1" applyAlignment="1">
      <alignment horizontal="left" vertical="top"/>
    </xf>
    <xf numFmtId="0" fontId="11" fillId="0" borderId="21" xfId="2" applyFont="1" applyBorder="1" applyAlignment="1">
      <alignment horizontal="left" vertical="top"/>
    </xf>
    <xf numFmtId="0" fontId="13" fillId="3" borderId="15" xfId="2" applyFont="1" applyFill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horizontal="left" vertical="center"/>
    </xf>
    <xf numFmtId="0" fontId="14" fillId="2" borderId="10" xfId="2" applyFont="1" applyFill="1" applyBorder="1" applyAlignment="1">
      <alignment horizontal="left" vertical="center"/>
    </xf>
    <xf numFmtId="0" fontId="14" fillId="2" borderId="9" xfId="2" applyFont="1" applyFill="1" applyBorder="1" applyAlignment="1">
      <alignment horizontal="left" vertical="center"/>
    </xf>
    <xf numFmtId="0" fontId="14" fillId="2" borderId="8" xfId="2" applyFont="1" applyFill="1" applyBorder="1" applyAlignment="1">
      <alignment horizontal="left" vertical="center"/>
    </xf>
    <xf numFmtId="0" fontId="14" fillId="2" borderId="7" xfId="2" applyFont="1" applyFill="1" applyBorder="1" applyAlignment="1">
      <alignment horizontal="left" vertical="center"/>
    </xf>
    <xf numFmtId="0" fontId="14" fillId="2" borderId="6" xfId="2" applyFont="1" applyFill="1" applyBorder="1" applyAlignment="1">
      <alignment horizontal="left" vertical="center"/>
    </xf>
    <xf numFmtId="0" fontId="14" fillId="2" borderId="5" xfId="2" applyFont="1" applyFill="1" applyBorder="1" applyAlignment="1">
      <alignment horizontal="left" vertical="center"/>
    </xf>
    <xf numFmtId="0" fontId="14" fillId="2" borderId="4" xfId="2" applyFont="1" applyFill="1" applyBorder="1" applyAlignment="1">
      <alignment horizontal="left" vertical="center"/>
    </xf>
    <xf numFmtId="0" fontId="11" fillId="0" borderId="20" xfId="2" applyFont="1" applyBorder="1" applyAlignment="1">
      <alignment horizontal="left" vertical="top" wrapText="1"/>
    </xf>
    <xf numFmtId="0" fontId="11" fillId="0" borderId="22" xfId="2" applyFont="1" applyBorder="1" applyAlignment="1">
      <alignment horizontal="left" vertical="top" wrapText="1"/>
    </xf>
    <xf numFmtId="0" fontId="13" fillId="3" borderId="25" xfId="2" applyFont="1" applyFill="1" applyBorder="1" applyAlignment="1">
      <alignment horizontal="center"/>
    </xf>
    <xf numFmtId="0" fontId="13" fillId="3" borderId="24" xfId="2" applyFont="1" applyFill="1" applyBorder="1" applyAlignment="1">
      <alignment horizontal="center"/>
    </xf>
    <xf numFmtId="0" fontId="13" fillId="3" borderId="23" xfId="2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2" xr:uid="{C8BB90DF-3ACB-49EE-945D-9ABA9DDB52A4}"/>
    <cellStyle name="Normal_CRITERIOS DE EVALUACION PT DE GB 2" xfId="4" xr:uid="{68627D12-8E21-40EF-89EC-F9127733106B}"/>
    <cellStyle name="Porcentaje 2 2" xfId="3" xr:uid="{FFCCE48E-AC79-4862-8506-0E19B62A2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131054</xdr:colOff>
      <xdr:row>1</xdr:row>
      <xdr:rowOff>63342</xdr:rowOff>
    </xdr:from>
    <xdr:ext cx="1713323" cy="877252"/>
    <xdr:pic>
      <xdr:nvPicPr>
        <xdr:cNvPr id="2" name="Imagen 5">
          <a:extLst>
            <a:ext uri="{FF2B5EF4-FFF2-40B4-BE49-F238E27FC236}">
              <a16:creationId xmlns:a16="http://schemas.microsoft.com/office/drawing/2014/main" id="{1B84657A-4C50-4915-A3E2-4224B7C3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54" y="265748"/>
          <a:ext cx="1713323" cy="8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0752-EC8C-471F-A368-1465BF706597}">
  <sheetPr>
    <pageSetUpPr fitToPage="1"/>
  </sheetPr>
  <dimension ref="A1:M32"/>
  <sheetViews>
    <sheetView tabSelected="1" zoomScale="80" zoomScaleNormal="80" workbookViewId="0">
      <selection activeCell="C1" sqref="C1:G1"/>
    </sheetView>
  </sheetViews>
  <sheetFormatPr baseColWidth="10" defaultColWidth="11.42578125" defaultRowHeight="13.5" x14ac:dyDescent="0.25"/>
  <cols>
    <col min="1" max="1" width="12.85546875" style="1" customWidth="1"/>
    <col min="2" max="2" width="16.85546875" style="1" customWidth="1"/>
    <col min="3" max="3" width="64.140625" style="1" customWidth="1"/>
    <col min="4" max="4" width="13.140625" style="1" customWidth="1"/>
    <col min="5" max="5" width="12.5703125" style="1" customWidth="1"/>
    <col min="6" max="6" width="13.7109375" style="1" customWidth="1"/>
    <col min="7" max="7" width="20.140625" style="1" customWidth="1"/>
    <col min="8" max="8" width="15" style="1" customWidth="1"/>
    <col min="9" max="9" width="18.5703125" style="1" customWidth="1"/>
    <col min="10" max="10" width="11.42578125" style="1"/>
    <col min="11" max="11" width="71.42578125" style="1" customWidth="1"/>
    <col min="12" max="16384" width="11.42578125" style="1"/>
  </cols>
  <sheetData>
    <row r="1" spans="1:12" ht="15.75" x14ac:dyDescent="0.25">
      <c r="A1" s="30"/>
      <c r="B1" s="30"/>
      <c r="C1" s="44" t="s">
        <v>53</v>
      </c>
      <c r="D1" s="43"/>
      <c r="E1" s="43"/>
      <c r="F1" s="43"/>
      <c r="G1" s="43"/>
      <c r="H1" s="42" t="s">
        <v>52</v>
      </c>
      <c r="I1" s="41" t="s">
        <v>59</v>
      </c>
    </row>
    <row r="2" spans="1:12" ht="16.5" thickBot="1" x14ac:dyDescent="0.3">
      <c r="A2" s="30"/>
      <c r="B2" s="30"/>
      <c r="C2" s="40" t="s">
        <v>51</v>
      </c>
      <c r="D2" s="39"/>
      <c r="E2" s="39"/>
      <c r="F2" s="39"/>
      <c r="G2" s="39"/>
      <c r="H2" s="38" t="s">
        <v>50</v>
      </c>
      <c r="I2" s="37" t="s">
        <v>54</v>
      </c>
    </row>
    <row r="3" spans="1:12" ht="41.25" customHeight="1" thickBot="1" x14ac:dyDescent="0.3">
      <c r="A3" s="30"/>
      <c r="B3" s="30"/>
      <c r="C3" s="45" t="s">
        <v>49</v>
      </c>
      <c r="D3" s="45"/>
      <c r="E3" s="45"/>
      <c r="F3" s="45"/>
      <c r="G3" s="46"/>
      <c r="H3" s="36" t="s">
        <v>48</v>
      </c>
      <c r="I3" s="35">
        <v>46141</v>
      </c>
    </row>
    <row r="4" spans="1:12" x14ac:dyDescent="0.25">
      <c r="A4" s="30"/>
      <c r="B4" s="30"/>
      <c r="C4" s="34" t="s">
        <v>47</v>
      </c>
      <c r="D4" s="33" t="s">
        <v>46</v>
      </c>
      <c r="E4" s="32"/>
      <c r="F4" s="32"/>
      <c r="G4" s="31"/>
      <c r="H4" s="25"/>
      <c r="I4" s="24"/>
    </row>
    <row r="5" spans="1:12" ht="15" customHeight="1" thickBot="1" x14ac:dyDescent="0.3">
      <c r="A5" s="30"/>
      <c r="B5" s="30"/>
      <c r="C5" s="29" t="s">
        <v>45</v>
      </c>
      <c r="D5" s="28" t="s">
        <v>44</v>
      </c>
      <c r="E5" s="27"/>
      <c r="F5" s="27"/>
      <c r="G5" s="26"/>
      <c r="H5" s="25"/>
      <c r="I5" s="24"/>
      <c r="K5" s="5"/>
    </row>
    <row r="6" spans="1:12" ht="15" customHeight="1" x14ac:dyDescent="0.25">
      <c r="A6" s="23"/>
      <c r="B6" s="22"/>
      <c r="C6" s="21"/>
      <c r="D6" s="20"/>
      <c r="E6" s="20"/>
      <c r="F6" s="20"/>
      <c r="G6" s="20"/>
      <c r="H6" s="19"/>
      <c r="I6" s="18"/>
      <c r="K6" s="5"/>
    </row>
    <row r="7" spans="1:12" ht="15" customHeight="1" thickBot="1" x14ac:dyDescent="0.3">
      <c r="A7" s="17" t="s">
        <v>43</v>
      </c>
      <c r="B7" s="16"/>
      <c r="C7" s="16"/>
      <c r="D7" s="47" t="s">
        <v>42</v>
      </c>
      <c r="E7" s="47"/>
      <c r="F7" s="47"/>
      <c r="G7" s="48" t="s">
        <v>55</v>
      </c>
      <c r="H7" s="48"/>
      <c r="I7" s="49"/>
      <c r="K7" s="5"/>
    </row>
    <row r="8" spans="1:12" ht="35.25" customHeight="1" x14ac:dyDescent="0.25">
      <c r="A8" s="15" t="s">
        <v>41</v>
      </c>
      <c r="B8" s="14" t="s">
        <v>40</v>
      </c>
      <c r="C8" s="13" t="s">
        <v>39</v>
      </c>
      <c r="D8" s="13" t="s">
        <v>38</v>
      </c>
      <c r="E8" s="13" t="s">
        <v>37</v>
      </c>
      <c r="F8" s="13"/>
      <c r="G8" s="13" t="s">
        <v>36</v>
      </c>
      <c r="H8" s="13"/>
      <c r="I8" s="12" t="s">
        <v>35</v>
      </c>
      <c r="K8" s="5"/>
    </row>
    <row r="9" spans="1:12" ht="33" customHeight="1" x14ac:dyDescent="0.25">
      <c r="A9" s="11"/>
      <c r="B9" s="10"/>
      <c r="C9" s="9"/>
      <c r="D9" s="9"/>
      <c r="E9" s="8" t="s">
        <v>17</v>
      </c>
      <c r="F9" s="7" t="s">
        <v>34</v>
      </c>
      <c r="G9" s="8" t="s">
        <v>17</v>
      </c>
      <c r="H9" s="7" t="s">
        <v>34</v>
      </c>
      <c r="I9" s="6" t="s">
        <v>33</v>
      </c>
      <c r="K9" s="5"/>
      <c r="L9" s="5"/>
    </row>
    <row r="10" spans="1:12" ht="20.25" x14ac:dyDescent="0.3">
      <c r="A10" s="50"/>
      <c r="B10" s="51"/>
      <c r="C10" s="50"/>
      <c r="D10" s="50"/>
      <c r="E10" s="50"/>
      <c r="F10" s="50"/>
      <c r="G10" s="50"/>
      <c r="H10" s="50"/>
      <c r="I10" s="50"/>
      <c r="K10" s="5"/>
    </row>
    <row r="11" spans="1:12" ht="20.25" x14ac:dyDescent="0.3">
      <c r="A11" s="52"/>
      <c r="B11" s="53" t="s">
        <v>32</v>
      </c>
      <c r="C11" s="54" t="s">
        <v>31</v>
      </c>
      <c r="D11" s="55" t="s">
        <v>18</v>
      </c>
      <c r="E11" s="52">
        <v>300</v>
      </c>
      <c r="F11" s="56" t="s">
        <v>4</v>
      </c>
      <c r="G11" s="52">
        <v>1</v>
      </c>
      <c r="H11" s="56" t="s">
        <v>30</v>
      </c>
      <c r="I11" s="57"/>
      <c r="J11" s="4"/>
    </row>
    <row r="12" spans="1:12" ht="20.25" x14ac:dyDescent="0.3">
      <c r="A12" s="52"/>
      <c r="B12" s="58" t="s">
        <v>29</v>
      </c>
      <c r="C12" s="59" t="s">
        <v>28</v>
      </c>
      <c r="D12" s="55" t="s">
        <v>18</v>
      </c>
      <c r="E12" s="60">
        <f>80*2</f>
        <v>160</v>
      </c>
      <c r="F12" s="56" t="s">
        <v>4</v>
      </c>
      <c r="G12" s="60" t="s">
        <v>27</v>
      </c>
      <c r="H12" s="61"/>
      <c r="I12" s="57"/>
      <c r="J12" s="4"/>
    </row>
    <row r="13" spans="1:12" ht="20.25" x14ac:dyDescent="0.3">
      <c r="A13" s="52"/>
      <c r="B13" s="53" t="s">
        <v>20</v>
      </c>
      <c r="C13" s="54" t="s">
        <v>19</v>
      </c>
      <c r="D13" s="55" t="s">
        <v>18</v>
      </c>
      <c r="E13" s="60">
        <v>150</v>
      </c>
      <c r="F13" s="56" t="s">
        <v>4</v>
      </c>
      <c r="G13" s="60"/>
      <c r="H13" s="56"/>
      <c r="I13" s="57"/>
      <c r="J13" s="4"/>
      <c r="L13" s="1">
        <f>+K13/1000</f>
        <v>0</v>
      </c>
    </row>
    <row r="14" spans="1:12" ht="20.25" x14ac:dyDescent="0.3">
      <c r="A14" s="52"/>
      <c r="B14" s="62" t="s">
        <v>26</v>
      </c>
      <c r="C14" s="63" t="s">
        <v>25</v>
      </c>
      <c r="D14" s="55" t="s">
        <v>18</v>
      </c>
      <c r="E14" s="60">
        <v>90</v>
      </c>
      <c r="F14" s="56" t="s">
        <v>4</v>
      </c>
      <c r="G14" s="60" t="s">
        <v>24</v>
      </c>
      <c r="H14" s="56"/>
      <c r="I14" s="50"/>
      <c r="J14" s="4"/>
    </row>
    <row r="15" spans="1:12" ht="20.25" x14ac:dyDescent="0.3">
      <c r="A15" s="52"/>
      <c r="B15" s="53" t="s">
        <v>23</v>
      </c>
      <c r="C15" s="64" t="s">
        <v>22</v>
      </c>
      <c r="D15" s="55" t="s">
        <v>18</v>
      </c>
      <c r="E15" s="60">
        <v>40</v>
      </c>
      <c r="F15" s="56" t="s">
        <v>4</v>
      </c>
      <c r="G15" s="65" t="s">
        <v>21</v>
      </c>
      <c r="H15" s="56"/>
      <c r="I15" s="57"/>
      <c r="J15" s="4"/>
    </row>
    <row r="16" spans="1:12" ht="20.25" x14ac:dyDescent="0.3">
      <c r="A16" s="52"/>
      <c r="B16" s="53" t="s">
        <v>20</v>
      </c>
      <c r="C16" s="54" t="s">
        <v>19</v>
      </c>
      <c r="D16" s="55" t="s">
        <v>18</v>
      </c>
      <c r="E16" s="60">
        <v>100</v>
      </c>
      <c r="F16" s="56" t="s">
        <v>4</v>
      </c>
      <c r="G16" s="65"/>
      <c r="H16" s="56"/>
      <c r="I16" s="66"/>
      <c r="J16" s="4"/>
    </row>
    <row r="17" spans="1:13" ht="20.25" x14ac:dyDescent="0.3">
      <c r="A17" s="52"/>
      <c r="B17" s="54"/>
      <c r="C17" s="64"/>
      <c r="D17" s="67"/>
      <c r="E17" s="52"/>
      <c r="F17" s="56"/>
      <c r="G17" s="68"/>
      <c r="H17" s="56"/>
      <c r="I17" s="57"/>
    </row>
    <row r="18" spans="1:13" ht="20.25" x14ac:dyDescent="0.3">
      <c r="A18" s="52"/>
      <c r="B18" s="64"/>
      <c r="C18" s="54"/>
      <c r="D18" s="67"/>
      <c r="E18" s="69"/>
      <c r="F18" s="56"/>
      <c r="G18" s="69"/>
      <c r="H18" s="56"/>
      <c r="I18" s="59"/>
    </row>
    <row r="19" spans="1:13" ht="21" thickBot="1" x14ac:dyDescent="0.35">
      <c r="A19" s="70"/>
      <c r="B19" s="71"/>
      <c r="C19" s="72"/>
      <c r="D19" s="73" t="s">
        <v>17</v>
      </c>
      <c r="E19" s="74" t="s">
        <v>16</v>
      </c>
      <c r="F19" s="75"/>
      <c r="G19" s="72"/>
      <c r="H19" s="72"/>
      <c r="I19" s="76"/>
    </row>
    <row r="20" spans="1:13" ht="20.25" x14ac:dyDescent="0.3">
      <c r="A20" s="77" t="s">
        <v>15</v>
      </c>
      <c r="B20" s="78"/>
      <c r="C20" s="79"/>
      <c r="D20" s="80">
        <v>830</v>
      </c>
      <c r="E20" s="81" t="s">
        <v>4</v>
      </c>
      <c r="F20" s="82" t="s">
        <v>14</v>
      </c>
      <c r="G20" s="82"/>
      <c r="H20" s="83"/>
      <c r="I20" s="84"/>
      <c r="L20" s="2"/>
    </row>
    <row r="21" spans="1:13" ht="20.25" x14ac:dyDescent="0.3">
      <c r="A21" s="85" t="s">
        <v>13</v>
      </c>
      <c r="B21" s="86"/>
      <c r="C21" s="87"/>
      <c r="D21" s="53">
        <v>4</v>
      </c>
      <c r="E21" s="53" t="s">
        <v>12</v>
      </c>
      <c r="F21" s="88" t="s">
        <v>11</v>
      </c>
      <c r="G21" s="88"/>
      <c r="H21" s="89"/>
      <c r="I21" s="90"/>
      <c r="L21" s="2"/>
    </row>
    <row r="22" spans="1:13" ht="20.25" x14ac:dyDescent="0.3">
      <c r="A22" s="85" t="s">
        <v>10</v>
      </c>
      <c r="B22" s="86"/>
      <c r="C22" s="87"/>
      <c r="D22" s="52">
        <v>1</v>
      </c>
      <c r="E22" s="53" t="s">
        <v>9</v>
      </c>
      <c r="F22" s="88" t="s">
        <v>8</v>
      </c>
      <c r="G22" s="88"/>
      <c r="H22" s="89"/>
      <c r="I22" s="90"/>
      <c r="L22" s="2"/>
    </row>
    <row r="23" spans="1:13" ht="20.25" x14ac:dyDescent="0.3">
      <c r="A23" s="85" t="s">
        <v>7</v>
      </c>
      <c r="B23" s="86"/>
      <c r="C23" s="87"/>
      <c r="D23" s="52">
        <v>830</v>
      </c>
      <c r="E23" s="53" t="s">
        <v>4</v>
      </c>
      <c r="F23" s="91" t="s">
        <v>6</v>
      </c>
      <c r="G23" s="92"/>
      <c r="H23" s="89"/>
      <c r="I23" s="90"/>
      <c r="K23" s="1">
        <v>127</v>
      </c>
      <c r="L23" s="2"/>
      <c r="M23" s="3"/>
    </row>
    <row r="24" spans="1:13" ht="21" thickBot="1" x14ac:dyDescent="0.35">
      <c r="A24" s="93" t="s">
        <v>5</v>
      </c>
      <c r="B24" s="94"/>
      <c r="C24" s="95"/>
      <c r="D24" s="96">
        <f>SUM(E11:E16)-D20</f>
        <v>10</v>
      </c>
      <c r="E24" s="97" t="s">
        <v>4</v>
      </c>
      <c r="F24" s="98" t="s">
        <v>3</v>
      </c>
      <c r="G24" s="98"/>
      <c r="H24" s="99"/>
      <c r="I24" s="100"/>
      <c r="L24" s="2"/>
    </row>
    <row r="25" spans="1:13" ht="21" thickBot="1" x14ac:dyDescent="0.35">
      <c r="A25" s="120" t="s">
        <v>2</v>
      </c>
      <c r="B25" s="121"/>
      <c r="C25" s="121"/>
      <c r="D25" s="121"/>
      <c r="E25" s="121"/>
      <c r="F25" s="121"/>
      <c r="G25" s="121"/>
      <c r="H25" s="121"/>
      <c r="I25" s="122"/>
    </row>
    <row r="26" spans="1:13" ht="45" customHeight="1" x14ac:dyDescent="0.25">
      <c r="A26" s="118" t="s">
        <v>56</v>
      </c>
      <c r="B26" s="101"/>
      <c r="C26" s="101"/>
      <c r="D26" s="101"/>
      <c r="E26" s="101"/>
      <c r="F26" s="101"/>
      <c r="G26" s="101"/>
      <c r="H26" s="101"/>
      <c r="I26" s="102"/>
    </row>
    <row r="27" spans="1:13" ht="45.75" customHeight="1" x14ac:dyDescent="0.25">
      <c r="A27" s="119" t="s">
        <v>57</v>
      </c>
      <c r="B27" s="104"/>
      <c r="C27" s="104"/>
      <c r="D27" s="104"/>
      <c r="E27" s="104"/>
      <c r="F27" s="104"/>
      <c r="G27" s="104"/>
      <c r="H27" s="104"/>
      <c r="I27" s="105"/>
    </row>
    <row r="28" spans="1:13" ht="20.25" x14ac:dyDescent="0.25">
      <c r="A28" s="103" t="s">
        <v>1</v>
      </c>
      <c r="B28" s="104"/>
      <c r="C28" s="104"/>
      <c r="D28" s="104"/>
      <c r="E28" s="104"/>
      <c r="F28" s="104"/>
      <c r="G28" s="104"/>
      <c r="H28" s="104"/>
      <c r="I28" s="105"/>
    </row>
    <row r="29" spans="1:13" ht="22.5" customHeight="1" x14ac:dyDescent="0.25">
      <c r="A29" s="103" t="s">
        <v>0</v>
      </c>
      <c r="B29" s="104"/>
      <c r="C29" s="104"/>
      <c r="D29" s="104"/>
      <c r="E29" s="104"/>
      <c r="F29" s="104"/>
      <c r="G29" s="104"/>
      <c r="H29" s="104"/>
      <c r="I29" s="105"/>
    </row>
    <row r="30" spans="1:13" ht="25.5" customHeight="1" thickBot="1" x14ac:dyDescent="0.3">
      <c r="A30" s="106" t="s">
        <v>58</v>
      </c>
      <c r="B30" s="107"/>
      <c r="C30" s="108"/>
      <c r="D30" s="108"/>
      <c r="E30" s="108"/>
      <c r="F30" s="108"/>
      <c r="G30" s="108"/>
      <c r="H30" s="108"/>
      <c r="I30" s="109"/>
    </row>
    <row r="31" spans="1:13" ht="20.25" x14ac:dyDescent="0.25">
      <c r="A31" s="110"/>
      <c r="B31" s="111"/>
      <c r="C31" s="112"/>
      <c r="D31" s="112"/>
      <c r="E31" s="112"/>
      <c r="F31" s="112"/>
      <c r="G31" s="112"/>
      <c r="H31" s="112"/>
      <c r="I31" s="113"/>
    </row>
    <row r="32" spans="1:13" ht="20.25" x14ac:dyDescent="0.25">
      <c r="A32" s="114"/>
      <c r="B32" s="115"/>
      <c r="C32" s="116"/>
      <c r="D32" s="116"/>
      <c r="E32" s="116"/>
      <c r="F32" s="116"/>
      <c r="G32" s="116"/>
      <c r="H32" s="116"/>
      <c r="I32" s="117"/>
    </row>
  </sheetData>
  <mergeCells count="40">
    <mergeCell ref="A31:I31"/>
    <mergeCell ref="A32:I32"/>
    <mergeCell ref="A25:I25"/>
    <mergeCell ref="A26:I26"/>
    <mergeCell ref="A28:I28"/>
    <mergeCell ref="A29:I29"/>
    <mergeCell ref="A30:I30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I7"/>
    <mergeCell ref="A8:A9"/>
    <mergeCell ref="B8:B9"/>
    <mergeCell ref="C8:C9"/>
    <mergeCell ref="D8:D9"/>
    <mergeCell ref="E8:F8"/>
    <mergeCell ref="G8:H8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208A8A-8E21-40A3-9D6F-01CE2A9A424C}"/>
</file>

<file path=customXml/itemProps2.xml><?xml version="1.0" encoding="utf-8"?>
<ds:datastoreItem xmlns:ds="http://schemas.openxmlformats.org/officeDocument/2006/customXml" ds:itemID="{B267984D-BC6B-465B-BB9B-0E38797A1E3C}"/>
</file>

<file path=customXml/itemProps3.xml><?xml version="1.0" encoding="utf-8"?>
<ds:datastoreItem xmlns:ds="http://schemas.openxmlformats.org/officeDocument/2006/customXml" ds:itemID="{94568FA5-5C26-407B-AACB-5581C0B6E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disco queso y condensa</vt:lpstr>
      <vt:lpstr>'Ensamble disco queso y condensa'!Área_de_impresión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2026-04-29T16:01:58Z</cp:lastPrinted>
  <dcterms:created xsi:type="dcterms:W3CDTF">2026-04-29T15:48:43Z</dcterms:created>
  <dcterms:modified xsi:type="dcterms:W3CDTF">2026-04-29T16:02:35Z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
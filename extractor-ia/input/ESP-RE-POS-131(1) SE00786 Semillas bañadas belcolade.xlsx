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11" documentId="8_{99745E28-4EBD-4E17-9A78-F48FC3F7ACA8}" xr6:coauthVersionLast="47" xr6:coauthVersionMax="47" xr10:uidLastSave="{D85CFBC6-6C53-4236-98D6-93452DD05C23}"/>
  <bookViews>
    <workbookView xWindow="-120" yWindow="-120" windowWidth="20730" windowHeight="11040" xr2:uid="{3403E3B0-C2CE-430D-91DD-D3BA37046995}"/>
  </bookViews>
  <sheets>
    <sheet name="Semillas bañ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1" i="1"/>
</calcChain>
</file>

<file path=xl/sharedStrings.xml><?xml version="1.0" encoding="utf-8"?>
<sst xmlns="http://schemas.openxmlformats.org/spreadsheetml/2006/main" count="55" uniqueCount="45">
  <si>
    <t>CONTROL DE CAMBIOS</t>
  </si>
  <si>
    <t>1.- Derretir el belcolade caramelo y bañar las semillas, dejar enfriar.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</si>
  <si>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</si>
  <si>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</si>
  <si>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</si>
  <si>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</si>
  <si>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</si>
  <si>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</si>
  <si>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</si>
  <si>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</si>
  <si>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</si>
  <si>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</si>
  <si>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</si>
  <si>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Cordillera</t>
  </si>
  <si>
    <t>Chocolate blanco</t>
  </si>
  <si>
    <t>MP10143</t>
  </si>
  <si>
    <t>PURATOS</t>
  </si>
  <si>
    <t>BELCOLADE CARAMELO</t>
  </si>
  <si>
    <t>MP10917</t>
  </si>
  <si>
    <t>FAS</t>
  </si>
  <si>
    <t>MARAÑON CARAMELIZADO</t>
  </si>
  <si>
    <t>SE00785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</si>
  <si>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</si>
  <si>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</si>
  <si>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</si>
  <si>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</si>
  <si>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</si>
  <si>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</si>
  <si>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</si>
  <si>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</si>
  <si>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</si>
  <si>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</si>
  <si>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</si>
  <si>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</si>
  <si>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</si>
  <si>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</si>
  <si>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</si>
  <si>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SE00786 Semillas bañadas belcolade</t>
  </si>
  <si>
    <t>REVISIÓN:</t>
  </si>
  <si>
    <t>ESPECIFICACION DE RECETA</t>
  </si>
  <si>
    <t>CÓDIGO:</t>
  </si>
  <si>
    <t>SERVICIOS DE PASTELERIA S.A.</t>
  </si>
  <si>
    <t>01</t>
  </si>
  <si>
    <t>ESP-RE-POS-131</t>
  </si>
  <si>
    <t>Postres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</si>
</sst>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7">
    <xf numFmtId="0" fontId="0" fillId="0" borderId="0" xfId="0"/>
    <xf numFmtId="0" fontId="2" fillId="3" borderId="27" xfId="1" applyFont="1" applyFill="1" applyBorder="1" applyAlignment="1">
      <alignment horizontal="center"/>
    </xf>
    <xf numFmtId="1" fontId="2" fillId="3" borderId="12" xfId="1" applyNumberFormat="1" applyFont="1" applyFill="1" applyBorder="1" applyAlignment="1">
      <alignment horizontal="center" wrapText="1"/>
    </xf>
    <xf numFmtId="1" fontId="2" fillId="3" borderId="12" xfId="1" applyNumberFormat="1" applyFont="1" applyFill="1" applyBorder="1" applyAlignment="1">
      <alignment horizontal="center"/>
    </xf>
    <xf numFmtId="0" fontId="1" fillId="4" borderId="12" xfId="2" applyFont="1" applyFill="1" applyBorder="1" applyAlignment="1">
      <alignment horizontal="right"/>
    </xf>
    <xf numFmtId="0" fontId="1" fillId="4" borderId="18" xfId="2" applyFont="1" applyFill="1" applyBorder="1" applyAlignment="1">
      <alignment horizontal="right"/>
    </xf>
    <xf numFmtId="49" fontId="5" fillId="4" borderId="37" xfId="2" applyNumberFormat="1" applyFont="1" applyFill="1" applyBorder="1" applyAlignment="1">
      <alignment horizontal="center"/>
    </xf>
    <xf numFmtId="0" fontId="2" fillId="4" borderId="18" xfId="2" applyFont="1" applyFill="1" applyBorder="1" applyAlignment="1">
      <alignment horizontal="right"/>
    </xf>
    <xf numFmtId="0" fontId="5" fillId="4" borderId="30" xfId="2" applyFont="1" applyFill="1" applyBorder="1" applyAlignment="1">
      <alignment horizontal="center"/>
    </xf>
    <xf numFmtId="0" fontId="2" fillId="4" borderId="31" xfId="2" applyFont="1" applyFill="1" applyBorder="1" applyAlignment="1">
      <alignment horizontal="right"/>
    </xf>
    <xf numFmtId="0" fontId="7" fillId="0" borderId="18" xfId="0" applyFont="1" applyBorder="1"/>
    <xf numFmtId="0" fontId="7" fillId="6" borderId="18" xfId="0" applyFont="1" applyFill="1" applyBorder="1"/>
    <xf numFmtId="16" fontId="8" fillId="0" borderId="18" xfId="1" applyNumberFormat="1" applyFont="1" applyBorder="1" applyAlignment="1">
      <alignment horizontal="center"/>
    </xf>
    <xf numFmtId="1" fontId="8" fillId="0" borderId="18" xfId="1" applyNumberFormat="1" applyFont="1" applyBorder="1" applyAlignment="1">
      <alignment horizontal="center"/>
    </xf>
    <xf numFmtId="1" fontId="8" fillId="0" borderId="18" xfId="1" applyNumberFormat="1" applyFont="1" applyBorder="1" applyAlignment="1">
      <alignment horizontal="center" wrapText="1"/>
    </xf>
    <xf numFmtId="1" fontId="8" fillId="0" borderId="22" xfId="1" applyNumberFormat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9" fillId="5" borderId="26" xfId="1" applyFont="1" applyFill="1" applyBorder="1" applyAlignment="1">
      <alignment horizontal="center"/>
    </xf>
    <xf numFmtId="0" fontId="7" fillId="0" borderId="0" xfId="0" applyFont="1"/>
    <xf numFmtId="0" fontId="8" fillId="0" borderId="18" xfId="0" applyFont="1" applyBorder="1" applyAlignment="1">
      <alignment horizontal="center"/>
    </xf>
    <xf numFmtId="0" fontId="8" fillId="0" borderId="18" xfId="0" applyFont="1" applyBorder="1"/>
    <xf numFmtId="0" fontId="7" fillId="0" borderId="22" xfId="1" applyFont="1" applyBorder="1" applyAlignment="1">
      <alignment horizontal="center"/>
    </xf>
    <xf numFmtId="49" fontId="10" fillId="4" borderId="25" xfId="1" applyNumberFormat="1" applyFont="1" applyFill="1" applyBorder="1" applyAlignment="1">
      <alignment horizontal="center" vertical="center"/>
    </xf>
    <xf numFmtId="49" fontId="10" fillId="4" borderId="0" xfId="1" applyNumberFormat="1" applyFont="1" applyFill="1" applyAlignment="1">
      <alignment horizontal="center" vertical="center"/>
    </xf>
    <xf numFmtId="0" fontId="8" fillId="0" borderId="0" xfId="1" applyFont="1"/>
    <xf numFmtId="1" fontId="8" fillId="4" borderId="0" xfId="1" applyNumberFormat="1" applyFont="1" applyFill="1" applyAlignment="1">
      <alignment horizontal="center"/>
    </xf>
    <xf numFmtId="164" fontId="8" fillId="4" borderId="0" xfId="1" applyNumberFormat="1" applyFont="1" applyFill="1" applyAlignment="1">
      <alignment horizontal="center" wrapText="1"/>
    </xf>
    <xf numFmtId="0" fontId="8" fillId="4" borderId="24" xfId="1" applyFont="1" applyFill="1" applyBorder="1" applyAlignment="1">
      <alignment horizontal="center"/>
    </xf>
    <xf numFmtId="0" fontId="8" fillId="3" borderId="9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/>
    </xf>
    <xf numFmtId="0" fontId="8" fillId="3" borderId="8" xfId="1" applyFont="1" applyFill="1" applyBorder="1"/>
    <xf numFmtId="0" fontId="9" fillId="3" borderId="8" xfId="1" applyFont="1" applyFill="1" applyBorder="1" applyAlignment="1">
      <alignment horizontal="center"/>
    </xf>
    <xf numFmtId="1" fontId="9" fillId="3" borderId="8" xfId="1" applyNumberFormat="1" applyFont="1" applyFill="1" applyBorder="1" applyAlignment="1">
      <alignment horizontal="center"/>
    </xf>
    <xf numFmtId="164" fontId="8" fillId="3" borderId="8" xfId="1" applyNumberFormat="1" applyFont="1" applyFill="1" applyBorder="1" applyAlignment="1">
      <alignment horizontal="center" wrapText="1"/>
    </xf>
    <xf numFmtId="0" fontId="8" fillId="3" borderId="7" xfId="1" applyFont="1" applyFill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9" fillId="0" borderId="18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1" fontId="8" fillId="0" borderId="12" xfId="1" applyNumberFormat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2" fillId="3" borderId="26" xfId="1" applyFont="1" applyFill="1" applyBorder="1" applyAlignment="1">
      <alignment horizontal="center" vertical="center" wrapText="1"/>
    </xf>
    <xf numFmtId="14" fontId="6" fillId="4" borderId="18" xfId="2" applyNumberFormat="1" applyFont="1" applyFill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/>
    </xf>
    <xf numFmtId="164" fontId="8" fillId="0" borderId="11" xfId="1" applyNumberFormat="1" applyFont="1" applyBorder="1" applyAlignment="1">
      <alignment horizontal="center"/>
    </xf>
    <xf numFmtId="164" fontId="8" fillId="0" borderId="10" xfId="1" applyNumberFormat="1" applyFont="1" applyBorder="1" applyAlignment="1">
      <alignment horizontal="center"/>
    </xf>
    <xf numFmtId="0" fontId="8" fillId="0" borderId="3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9" fillId="0" borderId="6" xfId="1" applyFont="1" applyBorder="1" applyAlignment="1">
      <alignment horizontal="left" wrapText="1"/>
    </xf>
    <xf numFmtId="0" fontId="9" fillId="0" borderId="5" xfId="1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8" fillId="0" borderId="6" xfId="1" applyFont="1" applyBorder="1" applyAlignment="1">
      <alignment horizontal="left"/>
    </xf>
    <xf numFmtId="0" fontId="8" fillId="0" borderId="5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9" fillId="2" borderId="6" xfId="1" applyFont="1" applyFill="1" applyBorder="1" applyAlignment="1">
      <alignment horizontal="center"/>
    </xf>
    <xf numFmtId="0" fontId="9" fillId="2" borderId="5" xfId="1" applyFont="1" applyFill="1" applyBorder="1" applyAlignment="1">
      <alignment horizontal="center"/>
    </xf>
    <xf numFmtId="0" fontId="9" fillId="2" borderId="4" xfId="1" applyFont="1" applyFill="1" applyBorder="1" applyAlignment="1">
      <alignment horizontal="center"/>
    </xf>
    <xf numFmtId="0" fontId="9" fillId="3" borderId="9" xfId="1" applyFont="1" applyFill="1" applyBorder="1" applyAlignment="1">
      <alignment horizontal="center"/>
    </xf>
    <xf numFmtId="0" fontId="9" fillId="3" borderId="8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center"/>
    </xf>
    <xf numFmtId="0" fontId="8" fillId="0" borderId="6" xfId="1" applyFont="1" applyBorder="1" applyAlignment="1">
      <alignment horizontal="left" wrapText="1"/>
    </xf>
    <xf numFmtId="0" fontId="8" fillId="0" borderId="5" xfId="1" applyFont="1" applyBorder="1" applyAlignment="1">
      <alignment horizontal="left" wrapText="1"/>
    </xf>
    <xf numFmtId="0" fontId="9" fillId="0" borderId="6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9" fillId="0" borderId="23" xfId="1" applyFont="1" applyBorder="1" applyAlignment="1">
      <alignment horizontal="right"/>
    </xf>
    <xf numFmtId="164" fontId="8" fillId="0" borderId="22" xfId="1" applyNumberFormat="1" applyFont="1" applyBorder="1" applyAlignment="1">
      <alignment horizontal="right"/>
    </xf>
    <xf numFmtId="0" fontId="8" fillId="4" borderId="21" xfId="1" applyFont="1" applyFill="1" applyBorder="1" applyAlignment="1">
      <alignment horizontal="center"/>
    </xf>
    <xf numFmtId="0" fontId="8" fillId="4" borderId="4" xfId="1" applyFont="1" applyFill="1" applyBorder="1" applyAlignment="1">
      <alignment horizontal="center"/>
    </xf>
    <xf numFmtId="0" fontId="9" fillId="0" borderId="20" xfId="1" applyFont="1" applyBorder="1" applyAlignment="1">
      <alignment horizontal="right"/>
    </xf>
    <xf numFmtId="0" fontId="9" fillId="0" borderId="19" xfId="1" applyFont="1" applyBorder="1" applyAlignment="1">
      <alignment horizontal="right"/>
    </xf>
    <xf numFmtId="0" fontId="9" fillId="0" borderId="17" xfId="1" applyFont="1" applyBorder="1" applyAlignment="1">
      <alignment horizontal="right"/>
    </xf>
    <xf numFmtId="0" fontId="8" fillId="0" borderId="18" xfId="1" applyFont="1" applyBorder="1" applyAlignment="1">
      <alignment horizontal="right"/>
    </xf>
    <xf numFmtId="164" fontId="8" fillId="0" borderId="16" xfId="1" applyNumberFormat="1" applyFont="1" applyBorder="1" applyAlignment="1">
      <alignment horizontal="center"/>
    </xf>
    <xf numFmtId="164" fontId="8" fillId="0" borderId="15" xfId="1" applyNumberFormat="1" applyFont="1" applyBorder="1" applyAlignment="1">
      <alignment horizontal="center"/>
    </xf>
    <xf numFmtId="164" fontId="8" fillId="0" borderId="16" xfId="1" applyNumberFormat="1" applyFont="1" applyBorder="1" applyAlignment="1">
      <alignment horizontal="right" wrapText="1"/>
    </xf>
    <xf numFmtId="164" fontId="8" fillId="0" borderId="17" xfId="1" applyNumberFormat="1" applyFont="1" applyBorder="1" applyAlignment="1">
      <alignment horizontal="right" wrapText="1"/>
    </xf>
    <xf numFmtId="0" fontId="9" fillId="0" borderId="14" xfId="1" applyFont="1" applyBorder="1" applyAlignment="1">
      <alignment horizontal="right"/>
    </xf>
    <xf numFmtId="0" fontId="9" fillId="0" borderId="13" xfId="1" applyFont="1" applyBorder="1" applyAlignment="1">
      <alignment horizontal="right"/>
    </xf>
    <xf numFmtId="0" fontId="9" fillId="0" borderId="12" xfId="1" applyFont="1" applyBorder="1" applyAlignment="1">
      <alignment horizontal="right"/>
    </xf>
    <xf numFmtId="0" fontId="8" fillId="0" borderId="12" xfId="1" applyFont="1" applyBorder="1" applyAlignment="1">
      <alignment horizontal="right"/>
    </xf>
    <xf numFmtId="0" fontId="4" fillId="4" borderId="0" xfId="2" applyFont="1" applyFill="1" applyAlignment="1">
      <alignment horizontal="right"/>
    </xf>
    <xf numFmtId="0" fontId="6" fillId="4" borderId="2" xfId="2" applyFont="1" applyFill="1" applyBorder="1" applyAlignment="1">
      <alignment horizontal="center"/>
    </xf>
    <xf numFmtId="0" fontId="4" fillId="4" borderId="0" xfId="2" applyFont="1" applyFill="1"/>
    <xf numFmtId="0" fontId="2" fillId="3" borderId="32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3" borderId="31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14" fontId="5" fillId="4" borderId="36" xfId="2" applyNumberFormat="1" applyFont="1" applyFill="1" applyBorder="1" applyAlignment="1">
      <alignment horizontal="center" vertical="center" wrapText="1"/>
    </xf>
    <xf numFmtId="14" fontId="5" fillId="4" borderId="34" xfId="2" applyNumberFormat="1" applyFont="1" applyFill="1" applyBorder="1" applyAlignment="1">
      <alignment horizontal="center" vertical="center" wrapText="1"/>
    </xf>
    <xf numFmtId="14" fontId="5" fillId="4" borderId="26" xfId="2" applyNumberFormat="1" applyFont="1" applyFill="1" applyBorder="1" applyAlignment="1">
      <alignment horizontal="center" vertical="center" wrapText="1"/>
    </xf>
    <xf numFmtId="0" fontId="0" fillId="4" borderId="18" xfId="2" applyFont="1" applyFill="1" applyBorder="1" applyAlignment="1">
      <alignment horizontal="left"/>
    </xf>
    <xf numFmtId="0" fontId="1" fillId="4" borderId="18" xfId="2" applyFont="1" applyFill="1" applyBorder="1" applyAlignment="1">
      <alignment horizontal="left"/>
    </xf>
    <xf numFmtId="0" fontId="0" fillId="4" borderId="12" xfId="2" applyFont="1" applyFill="1" applyBorder="1" applyAlignment="1">
      <alignment horizontal="left"/>
    </xf>
    <xf numFmtId="0" fontId="1" fillId="4" borderId="12" xfId="2" applyFont="1" applyFill="1" applyBorder="1" applyAlignment="1">
      <alignment horizontal="left"/>
    </xf>
    <xf numFmtId="0" fontId="1" fillId="4" borderId="39" xfId="2" applyFont="1" applyFill="1" applyBorder="1" applyAlignment="1">
      <alignment horizontal="center"/>
    </xf>
    <xf numFmtId="0" fontId="1" fillId="4" borderId="38" xfId="2" applyFont="1" applyFill="1" applyBorder="1" applyAlignment="1">
      <alignment horizontal="center"/>
    </xf>
    <xf numFmtId="0" fontId="1" fillId="4" borderId="25" xfId="2" applyFont="1" applyFill="1" applyBorder="1" applyAlignment="1">
      <alignment horizontal="center"/>
    </xf>
    <xf numFmtId="0" fontId="1" fillId="4" borderId="35" xfId="2" applyFont="1" applyFill="1" applyBorder="1" applyAlignment="1">
      <alignment horizontal="center"/>
    </xf>
    <xf numFmtId="0" fontId="1" fillId="4" borderId="3" xfId="2" applyFont="1" applyFill="1" applyBorder="1" applyAlignment="1">
      <alignment horizontal="center"/>
    </xf>
    <xf numFmtId="0" fontId="1" fillId="4" borderId="33" xfId="2" applyFont="1" applyFill="1" applyBorder="1" applyAlignment="1">
      <alignment horizontal="center"/>
    </xf>
    <xf numFmtId="0" fontId="4" fillId="4" borderId="31" xfId="2" applyFont="1" applyFill="1" applyBorder="1" applyAlignment="1">
      <alignment horizontal="center"/>
    </xf>
    <xf numFmtId="0" fontId="4" fillId="4" borderId="18" xfId="2" applyFont="1" applyFill="1" applyBorder="1" applyAlignment="1">
      <alignment horizontal="center"/>
    </xf>
    <xf numFmtId="0" fontId="11" fillId="7" borderId="18" xfId="2" applyFont="1" applyFill="1" applyBorder="1" applyAlignment="1">
      <alignment horizontal="center" vertical="center" wrapText="1"/>
    </xf>
    <xf numFmtId="0" fontId="12" fillId="7" borderId="18" xfId="2" applyFont="1" applyFill="1" applyBorder="1" applyAlignment="1">
      <alignment horizontal="center" vertical="center" wrapText="1"/>
    </xf>
    <xf numFmtId="0" fontId="2" fillId="4" borderId="18" xfId="2" applyFont="1" applyFill="1" applyBorder="1" applyAlignment="1">
      <alignment horizontal="right" vertical="top" wrapText="1"/>
    </xf>
    <xf numFmtId="0" fontId="2" fillId="4" borderId="12" xfId="2" applyFont="1" applyFill="1" applyBorder="1" applyAlignment="1">
      <alignment horizontal="right" vertical="top" wrapText="1"/>
    </xf>
  </cellXfs>
  <cellStyles count="3">
    <cellStyle name="Normal" xfId="0" builtinId="0"/>
    <cellStyle name="Normal 2" xfId="1" xr:uid="{05172853-53E6-4CD9-8CCB-560542987A5A}"/>
    <cellStyle name="Normal_CRITERIOS DE EVALUACION PT DE GB 2" xfId="2" xr:uid="{E3E348E6-A753-47E7-976B-A89CD1A22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</xdr:colOff>
      <xdr:row>1</xdr:row>
      <xdr:rowOff>30480</xdr:rowOff>
    </xdr:from>
    <xdr:ext cx="1665447" cy="745616"/>
    <xdr:pic>
      <xdr:nvPicPr>
        <xdr:cNvPr id="2" name="Imagen 1">
          <a:extLst>
            <a:ext uri="{FF2B5EF4-FFF2-40B4-BE49-F238E27FC236}">
              <a16:creationId xmlns:a16="http://schemas.microsoft.com/office/drawing/2014/main" id="{8676AE52-065B-40DD-915C-711587347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" y="256699"/>
          <a:ext cx="1665447" cy="745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1985-48D0-4AEF-A9B3-F187D0E4EB20}">
  <sheetPr>
    <pageSetUpPr fitToPage="1"/>
  </sheetPr>
  <dimension ref="A1:I27"/>
  <sheetViews>
    <sheetView tabSelected="1" zoomScale="80" zoomScaleNormal="80" workbookViewId="0">
      <selection activeCell="C13" sqref="C13"/>
    </sheetView>
  </sheetViews>
  <sheetFormatPr baseColWidth="10" defaultRowHeight="15" x14ac:dyDescent="0.25"/>
  <cols>
    <col min="2" max="2" width="14.28515625" bestFit="1" customWidth="1"/>
    <col min="3" max="3" width="40.5703125" bestFit="1" customWidth="1"/>
    <col min="4" max="4" width="15.28515625" bestFit="1" customWidth="1"/>
    <col min="8" max="8" width="16.7109375" customWidth="1"/>
    <col min="9" max="9" width="19.5703125" bestFit="1" customWidth="1"/>
  </cols>
  <sheetData>
    <row r="1" spans="1:9" ht="18" x14ac:dyDescent="0.25">
      <c r="A1" s="95"/>
      <c r="B1" s="96"/>
      <c r="C1" s="101" t="s">
        <v>41</v>
      </c>
      <c r="D1" s="101"/>
      <c r="E1" s="101"/>
      <c r="F1" s="101"/>
      <c r="G1" s="101"/>
      <c r="H1" s="9" t="s">
        <v>40</v>
      </c>
      <c r="I1" s="8" t="s">
        <v>43</v>
      </c>
    </row>
    <row r="2" spans="1:9" ht="18" x14ac:dyDescent="0.25">
      <c r="A2" s="97"/>
      <c r="B2" s="98"/>
      <c r="C2" s="102" t="s">
        <v>39</v>
      </c>
      <c r="D2" s="102"/>
      <c r="E2" s="102"/>
      <c r="F2" s="102"/>
      <c r="G2" s="102"/>
      <c r="H2" s="7" t="s">
        <v>38</v>
      </c>
      <c r="I2" s="6" t="s">
        <v>42</v>
      </c>
    </row>
    <row r="3" spans="1:9" ht="33" customHeight="1" x14ac:dyDescent="0.25">
      <c r="A3" s="97"/>
      <c r="B3" s="98"/>
      <c r="C3" s="103" t="s">
        <v>37</v>
      </c>
      <c r="D3" s="104"/>
      <c r="E3" s="104"/>
      <c r="F3" s="104"/>
      <c r="G3" s="104"/>
      <c r="H3" s="105" t="s">
        <v>36</v>
      </c>
      <c r="I3" s="88">
        <v>46056</v>
      </c>
    </row>
    <row r="4" spans="1:9" x14ac:dyDescent="0.25">
      <c r="A4" s="97"/>
      <c r="B4" s="98"/>
      <c r="C4" s="5" t="s">
        <v>35</v>
      </c>
      <c r="D4" s="91" t="s">
        <v>34</v>
      </c>
      <c r="E4" s="92"/>
      <c r="F4" s="92"/>
      <c r="G4" s="92"/>
      <c r="H4" s="105"/>
      <c r="I4" s="89"/>
    </row>
    <row r="5" spans="1:9" ht="15.75" thickBot="1" x14ac:dyDescent="0.3">
      <c r="A5" s="99"/>
      <c r="B5" s="100"/>
      <c r="C5" s="4" t="s">
        <v>33</v>
      </c>
      <c r="D5" s="93" t="s">
        <v>32</v>
      </c>
      <c r="E5" s="94"/>
      <c r="F5" s="94"/>
      <c r="G5" s="94"/>
      <c r="H5" s="106"/>
      <c r="I5" s="90"/>
    </row>
    <row r="6" spans="1:9" ht="18.75" thickBot="1" x14ac:dyDescent="0.3">
      <c r="A6" s="80" t="s">
        <v>31</v>
      </c>
      <c r="B6" s="80"/>
      <c r="C6" s="80"/>
      <c r="D6" s="81" t="s">
        <v>44</v>
      </c>
      <c r="E6" s="81"/>
      <c r="F6" s="81"/>
      <c r="G6" s="82" t="s">
        <v>30</v>
      </c>
      <c r="H6" s="82"/>
      <c r="I6" s="41" t="s">
        <v>44</v>
      </c>
    </row>
    <row r="7" spans="1:9" x14ac:dyDescent="0.25">
      <c r="A7" s="83" t="s">
        <v>29</v>
      </c>
      <c r="B7" s="83" t="s">
        <v>29</v>
      </c>
      <c r="C7" s="85" t="s">
        <v>28</v>
      </c>
      <c r="D7" s="85" t="s">
        <v>27</v>
      </c>
      <c r="E7" s="85" t="s">
        <v>26</v>
      </c>
      <c r="F7" s="85"/>
      <c r="G7" s="85" t="s">
        <v>25</v>
      </c>
      <c r="H7" s="85"/>
      <c r="I7" s="40" t="s">
        <v>24</v>
      </c>
    </row>
    <row r="8" spans="1:9" ht="33" customHeight="1" thickBot="1" x14ac:dyDescent="0.3">
      <c r="A8" s="84"/>
      <c r="B8" s="84"/>
      <c r="C8" s="86"/>
      <c r="D8" s="87"/>
      <c r="E8" s="3" t="s">
        <v>12</v>
      </c>
      <c r="F8" s="2" t="s">
        <v>23</v>
      </c>
      <c r="G8" s="3" t="s">
        <v>12</v>
      </c>
      <c r="H8" s="2" t="s">
        <v>23</v>
      </c>
      <c r="I8" s="1" t="s">
        <v>22</v>
      </c>
    </row>
    <row r="9" spans="1:9" ht="20.25" x14ac:dyDescent="0.3">
      <c r="A9" s="10"/>
      <c r="B9" s="11" t="s">
        <v>21</v>
      </c>
      <c r="C9" s="11" t="s">
        <v>20</v>
      </c>
      <c r="D9" s="12" t="s">
        <v>19</v>
      </c>
      <c r="E9" s="13">
        <v>3700</v>
      </c>
      <c r="F9" s="14" t="s">
        <v>3</v>
      </c>
      <c r="G9" s="15"/>
      <c r="H9" s="16"/>
      <c r="I9" s="17"/>
    </row>
    <row r="10" spans="1:9" ht="20.25" x14ac:dyDescent="0.3">
      <c r="A10" s="10"/>
      <c r="B10" s="11" t="s">
        <v>18</v>
      </c>
      <c r="C10" s="11" t="s">
        <v>17</v>
      </c>
      <c r="D10" s="12" t="s">
        <v>16</v>
      </c>
      <c r="E10" s="13">
        <v>700</v>
      </c>
      <c r="F10" s="14" t="s">
        <v>3</v>
      </c>
      <c r="G10" s="15"/>
      <c r="H10" s="16"/>
      <c r="I10" s="17"/>
    </row>
    <row r="11" spans="1:9" ht="20.25" x14ac:dyDescent="0.3">
      <c r="A11" s="10"/>
      <c r="B11" s="10" t="s">
        <v>15</v>
      </c>
      <c r="C11" s="18" t="s">
        <v>14</v>
      </c>
      <c r="D11" s="12" t="s">
        <v>13</v>
      </c>
      <c r="E11" s="42">
        <v>700</v>
      </c>
      <c r="F11" s="14" t="s">
        <v>3</v>
      </c>
      <c r="G11" s="15"/>
      <c r="H11" s="16"/>
      <c r="I11" s="17"/>
    </row>
    <row r="12" spans="1:9" ht="20.25" x14ac:dyDescent="0.3">
      <c r="A12" s="19"/>
      <c r="B12" s="19"/>
      <c r="C12" s="20"/>
      <c r="D12" s="12"/>
      <c r="E12" s="42"/>
      <c r="F12" s="14"/>
      <c r="G12" s="15"/>
      <c r="H12" s="16"/>
      <c r="I12" s="17"/>
    </row>
    <row r="13" spans="1:9" ht="20.25" x14ac:dyDescent="0.3">
      <c r="A13" s="10"/>
      <c r="B13" s="10"/>
      <c r="C13" s="10"/>
      <c r="D13" s="12"/>
      <c r="E13" s="13"/>
      <c r="F13" s="14"/>
      <c r="G13" s="15"/>
      <c r="H13" s="16"/>
      <c r="I13" s="17"/>
    </row>
    <row r="14" spans="1:9" ht="20.25" x14ac:dyDescent="0.3">
      <c r="A14" s="10"/>
      <c r="B14" s="10"/>
      <c r="C14" s="10"/>
      <c r="D14" s="10"/>
      <c r="E14" s="10"/>
      <c r="F14" s="10"/>
      <c r="G14" s="15"/>
      <c r="H14" s="21"/>
      <c r="I14" s="17"/>
    </row>
    <row r="15" spans="1:9" ht="21" thickBot="1" x14ac:dyDescent="0.35">
      <c r="A15" s="22"/>
      <c r="B15" s="23"/>
      <c r="C15" s="24"/>
      <c r="D15" s="24"/>
      <c r="E15" s="25"/>
      <c r="F15" s="26"/>
      <c r="G15" s="24"/>
      <c r="H15" s="24"/>
      <c r="I15" s="27"/>
    </row>
    <row r="16" spans="1:9" ht="21" thickBot="1" x14ac:dyDescent="0.35">
      <c r="A16" s="28"/>
      <c r="B16" s="29"/>
      <c r="C16" s="30"/>
      <c r="D16" s="31" t="s">
        <v>12</v>
      </c>
      <c r="E16" s="32" t="s">
        <v>11</v>
      </c>
      <c r="F16" s="33"/>
      <c r="G16" s="30"/>
      <c r="H16" s="30"/>
      <c r="I16" s="34"/>
    </row>
    <row r="17" spans="1:9" ht="20.25" x14ac:dyDescent="0.3">
      <c r="A17" s="62" t="s">
        <v>10</v>
      </c>
      <c r="B17" s="63"/>
      <c r="C17" s="64"/>
      <c r="D17" s="15">
        <v>5000</v>
      </c>
      <c r="E17" s="35" t="s">
        <v>3</v>
      </c>
      <c r="F17" s="65"/>
      <c r="G17" s="65"/>
      <c r="H17" s="66"/>
      <c r="I17" s="67"/>
    </row>
    <row r="18" spans="1:9" ht="20.25" x14ac:dyDescent="0.3">
      <c r="A18" s="68" t="s">
        <v>9</v>
      </c>
      <c r="B18" s="69"/>
      <c r="C18" s="70"/>
      <c r="D18" s="36">
        <v>10</v>
      </c>
      <c r="E18" s="37" t="s">
        <v>8</v>
      </c>
      <c r="F18" s="71"/>
      <c r="G18" s="71"/>
      <c r="H18" s="72"/>
      <c r="I18" s="73"/>
    </row>
    <row r="19" spans="1:9" ht="20.25" x14ac:dyDescent="0.3">
      <c r="A19" s="68" t="s">
        <v>7</v>
      </c>
      <c r="B19" s="69"/>
      <c r="C19" s="70"/>
      <c r="D19" s="13">
        <f>D17/D20</f>
        <v>1</v>
      </c>
      <c r="E19" s="37" t="s">
        <v>6</v>
      </c>
      <c r="F19" s="71"/>
      <c r="G19" s="71"/>
      <c r="H19" s="72"/>
      <c r="I19" s="73"/>
    </row>
    <row r="20" spans="1:9" ht="20.25" x14ac:dyDescent="0.3">
      <c r="A20" s="68" t="s">
        <v>5</v>
      </c>
      <c r="B20" s="69"/>
      <c r="C20" s="70"/>
      <c r="D20" s="13">
        <v>5000</v>
      </c>
      <c r="E20" s="37" t="s">
        <v>3</v>
      </c>
      <c r="F20" s="74"/>
      <c r="G20" s="75"/>
      <c r="H20" s="72"/>
      <c r="I20" s="73"/>
    </row>
    <row r="21" spans="1:9" ht="21" thickBot="1" x14ac:dyDescent="0.35">
      <c r="A21" s="76" t="s">
        <v>4</v>
      </c>
      <c r="B21" s="77"/>
      <c r="C21" s="78"/>
      <c r="D21" s="38">
        <f>SUM(E9:E10)-D17</f>
        <v>-600</v>
      </c>
      <c r="E21" s="39" t="s">
        <v>3</v>
      </c>
      <c r="F21" s="79"/>
      <c r="G21" s="79"/>
      <c r="H21" s="43"/>
      <c r="I21" s="44"/>
    </row>
    <row r="22" spans="1:9" ht="21" thickBot="1" x14ac:dyDescent="0.35">
      <c r="A22" s="57" t="s">
        <v>2</v>
      </c>
      <c r="B22" s="58"/>
      <c r="C22" s="58"/>
      <c r="D22" s="58"/>
      <c r="E22" s="58"/>
      <c r="F22" s="58"/>
      <c r="G22" s="58"/>
      <c r="H22" s="58"/>
      <c r="I22" s="59"/>
    </row>
    <row r="23" spans="1:9" ht="20.25" x14ac:dyDescent="0.3">
      <c r="A23" s="60" t="s">
        <v>1</v>
      </c>
      <c r="B23" s="61"/>
      <c r="C23" s="49"/>
      <c r="D23" s="49"/>
      <c r="E23" s="49"/>
      <c r="F23" s="49"/>
      <c r="G23" s="49"/>
      <c r="H23" s="49"/>
      <c r="I23" s="50"/>
    </row>
    <row r="24" spans="1:9" ht="20.25" x14ac:dyDescent="0.3">
      <c r="A24" s="48"/>
      <c r="B24" s="49"/>
      <c r="C24" s="49"/>
      <c r="D24" s="49"/>
      <c r="E24" s="49"/>
      <c r="F24" s="49"/>
      <c r="G24" s="49"/>
      <c r="H24" s="49"/>
      <c r="I24" s="50"/>
    </row>
    <row r="25" spans="1:9" ht="20.25" x14ac:dyDescent="0.3">
      <c r="A25" s="51"/>
      <c r="B25" s="52"/>
      <c r="C25" s="52"/>
      <c r="D25" s="52"/>
      <c r="E25" s="52"/>
      <c r="F25" s="52"/>
      <c r="G25" s="52"/>
      <c r="H25" s="52"/>
      <c r="I25" s="53"/>
    </row>
    <row r="26" spans="1:9" ht="20.25" x14ac:dyDescent="0.3">
      <c r="A26" s="54" t="s">
        <v>0</v>
      </c>
      <c r="B26" s="55"/>
      <c r="C26" s="55"/>
      <c r="D26" s="55"/>
      <c r="E26" s="55"/>
      <c r="F26" s="55"/>
      <c r="G26" s="55"/>
      <c r="H26" s="55"/>
      <c r="I26" s="56"/>
    </row>
    <row r="27" spans="1:9" ht="21" thickBot="1" x14ac:dyDescent="0.35">
      <c r="A27" s="45"/>
      <c r="B27" s="46"/>
      <c r="C27" s="46"/>
      <c r="D27" s="46"/>
      <c r="E27" s="46"/>
      <c r="F27" s="46"/>
      <c r="G27" s="46"/>
      <c r="H27" s="46"/>
      <c r="I27" s="47"/>
    </row>
  </sheetData>
  <mergeCells count="3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9:C19"/>
    <mergeCell ref="F19:G19"/>
    <mergeCell ref="H19:I19"/>
    <mergeCell ref="A20:C20"/>
    <mergeCell ref="F20:G20"/>
    <mergeCell ref="H20:I20"/>
    <mergeCell ref="A17:C17"/>
    <mergeCell ref="F17:G17"/>
    <mergeCell ref="H17:I17"/>
    <mergeCell ref="A18:C18"/>
    <mergeCell ref="F18:G18"/>
    <mergeCell ref="H18:I18"/>
    <mergeCell ref="H21:I21"/>
    <mergeCell ref="A27:I27"/>
    <mergeCell ref="A24:I24"/>
    <mergeCell ref="A25:I25"/>
    <mergeCell ref="A26:I26"/>
    <mergeCell ref="A22:I22"/>
    <mergeCell ref="A23:I23"/>
    <mergeCell ref="A21:C21"/>
    <mergeCell ref="F21:G21"/>
  </mergeCells>
  <pageMargins left="0.25" right="0.25" top="0.75" bottom="0.75" header="0.3" footer="0.3"/>
  <pageSetup scale="6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BC50E-DE11-4CBA-8112-39C75C4D46F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41B3EE60-5311-4C7F-A7D4-17C1E32C40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0F9CF5-DF07-4AF3-87BE-7C97F2605F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Semillas bañadas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2026-02-05T15:07:58Z</cp:lastPrinted>
  <dcterms:created xsi:type="dcterms:W3CDTF">2026-02-03T21:51:27Z</dcterms:created>
  <dcterms:modified xsi:type="dcterms:W3CDTF">2026-02-05T15:11:59Z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
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DECO/SPOON/"/>
    </mc:Choice>
  </mc:AlternateContent>
  <xr:revisionPtr revIDLastSave="2" documentId="8_{4E879E9C-FFAC-4DE2-AB0D-8691B4AE26CA}" xr6:coauthVersionLast="47" xr6:coauthVersionMax="47" xr10:uidLastSave="{0B16A7B3-0E0F-4428-9880-3895CA9CDE1E}"/>
  <bookViews>
    <workbookView xWindow="-120" yWindow="-120" windowWidth="20730" windowHeight="11040" xr2:uid="{F3980826-803B-4106-AA44-133A83F44215}"/>
  </bookViews>
  <sheets>
    <sheet name="Ensamble Industria " sheetId="1" r:id="rId1"/>
  </sheets>
  <definedNames>
    <definedName name="_xlnm.Print_Area" localSheetId="0">'Ensamble Industria '!$A$1:$I$52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8" i="1" l="1"/>
  <c r="D40" i="1"/>
</calcChain>
</file>

<file path=xl/sharedStrings.xml><?xml version="1.0" encoding="utf-8"?>
<sst xmlns="http://schemas.openxmlformats.org/spreadsheetml/2006/main" count="119" uniqueCount="83">
  <si>
    <t>CONTROL DE CAMBIOS</t>
  </si>
  <si>
    <t>PROCEDIMIENTO DE PREPARACION DE LA  RECETA</t>
  </si>
  <si>
    <t>g</t>
  </si>
  <si>
    <t>MERMA</t>
  </si>
  <si>
    <t>PESO DE CADA PORCIÓN</t>
  </si>
  <si>
    <t>ud</t>
  </si>
  <si>
    <t>CANTIDAD DE PORCIONES OBTENIDAS</t>
  </si>
  <si>
    <t>min</t>
  </si>
  <si>
    <t xml:space="preserve">TIEMPO TOTAL DE PREPARACIÓN </t>
  </si>
  <si>
    <t>PESO TOTAL OBTENIDO</t>
  </si>
  <si>
    <t>Unidad</t>
  </si>
  <si>
    <t>Cantidad</t>
  </si>
  <si>
    <t>ETIQUETA TORTA FLOR DE CAÑA</t>
  </si>
  <si>
    <t>NUEVO</t>
  </si>
  <si>
    <t>Nuevo</t>
  </si>
  <si>
    <t>Etiq.Blanca 1 1/4 * 3/4</t>
  </si>
  <si>
    <t>EM10002</t>
  </si>
  <si>
    <t>ETIPLAST</t>
  </si>
  <si>
    <t>ETIQUETA BLANCA 2 5/8X1 15/16</t>
  </si>
  <si>
    <t>EM10011</t>
  </si>
  <si>
    <t>CEMUSA</t>
  </si>
  <si>
    <t>ETIQUETA BLANCA R-153 (UND)</t>
  </si>
  <si>
    <t>EM10124</t>
  </si>
  <si>
    <t>cm</t>
  </si>
  <si>
    <t>Mayca</t>
  </si>
  <si>
    <t>CINTA ADHESIVA TRANSPARENTE 2*100 MTS</t>
  </si>
  <si>
    <t>EM10248</t>
  </si>
  <si>
    <t>Orla Carton 10" Dorada</t>
  </si>
  <si>
    <t>EM10008</t>
  </si>
  <si>
    <t>1950692</t>
  </si>
  <si>
    <t>EXPORT PMT</t>
  </si>
  <si>
    <t>QUEQUERA RED  BASE/DOMO 10 (CAJA:50)</t>
  </si>
  <si>
    <t>EM10009</t>
  </si>
  <si>
    <t>EMPAQUE</t>
  </si>
  <si>
    <t>1/2 tz</t>
  </si>
  <si>
    <t>FAS</t>
  </si>
  <si>
    <t>SEMILLAS BAÑADAS BELCOLADE</t>
  </si>
  <si>
    <t>SE00786</t>
  </si>
  <si>
    <t>CREMA DULCE LECHE KILO</t>
  </si>
  <si>
    <t>SE00032</t>
  </si>
  <si>
    <t>MEZCLA SIROPE DULCE LECHE KILO</t>
  </si>
  <si>
    <t>SE00034</t>
  </si>
  <si>
    <t>CREMA BEIDGE (KILO)</t>
  </si>
  <si>
    <t>SE00069</t>
  </si>
  <si>
    <t>DECORACION</t>
  </si>
  <si>
    <t>CREMA RON</t>
  </si>
  <si>
    <t>SE00784</t>
  </si>
  <si>
    <t>EMPAQUE RELLENO CARAMELO SPOON</t>
  </si>
  <si>
    <t>SE00340</t>
  </si>
  <si>
    <t>1 ud</t>
  </si>
  <si>
    <t>FLAN SPOON 700G</t>
  </si>
  <si>
    <t>SE00787</t>
  </si>
  <si>
    <t>100g c/u</t>
  </si>
  <si>
    <t>ALMIBAR FLOR DE CAÑA</t>
  </si>
  <si>
    <t>SE00788</t>
  </si>
  <si>
    <t>1ud</t>
  </si>
  <si>
    <t>Rosquete vainilla Dawn 400g</t>
  </si>
  <si>
    <t>SE00789</t>
  </si>
  <si>
    <t>ENSAMBLE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</si>
  <si>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</si>
  <si>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</si>
  <si>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</si>
  <si>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</si>
  <si>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</si>
  <si>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</si>
  <si>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</si>
  <si>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</si>
  <si>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 xml:space="preserve">Decoración </t>
  </si>
  <si>
    <t xml:space="preserve">AREA QUE EMPACA: </t>
  </si>
  <si>
    <t xml:space="preserve">Decoración  </t>
  </si>
  <si>
    <t>AREA QUE PRODUCE:</t>
  </si>
  <si>
    <t xml:space="preserve">Esteban Cartin, Gerente de Manofactura </t>
  </si>
  <si>
    <t>Aprobado</t>
  </si>
  <si>
    <t>Juan Pablo Brenes-Chef</t>
  </si>
  <si>
    <t>Elaborado</t>
  </si>
  <si>
    <t>FECHA DE APROBACIÓN:</t>
  </si>
  <si>
    <t>PTI00283 Torta flan flor de caña</t>
  </si>
  <si>
    <t>REVISIÓN:</t>
  </si>
  <si>
    <t>ESPECIFICACION DE RECETA</t>
  </si>
  <si>
    <t>CÓDIGO:</t>
  </si>
  <si>
    <t>SERVICIOS DE PASTELERIA S.A.</t>
  </si>
  <si>
    <t>01</t>
  </si>
  <si>
    <t>ESP-RE-DES-087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</si>
</sst>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5" x14ac:knownFonts="1">
    <font>
      <sz val="11"/>
      <color theme="1"/>
      <name val="Aptos Narrow"/>
      <family val="2"/>
      <scheme val="minor"/>
    </font>
    <font>
      <sz val="16"/>
      <color theme="1"/>
      <name val="Arial"/>
      <family val="2"/>
    </font>
    <font>
      <sz val="10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sz val="16"/>
      <color indexed="8"/>
      <name val="Arial"/>
      <family val="2"/>
    </font>
    <font>
      <sz val="16"/>
      <color rgb="FF000000"/>
      <name val="Arial"/>
      <family val="2"/>
    </font>
    <font>
      <b/>
      <sz val="16"/>
      <color theme="1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4"/>
      <color rgb="FFFF0000"/>
      <name val="Arial"/>
      <family val="2"/>
    </font>
    <font>
      <sz val="14"/>
      <name val="Century Gothic"/>
      <family val="2"/>
    </font>
    <font>
      <sz val="14"/>
      <name val="Arial"/>
      <family val="2"/>
    </font>
    <font>
      <b/>
      <i/>
      <sz val="20"/>
      <name val="Arial"/>
      <family val="2"/>
    </font>
    <font>
      <b/>
      <sz val="2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indexed="23"/>
        <bgColor indexed="64"/>
      </patternFill>
    </fill>
  </fills>
  <borders count="38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4">
    <xf numFmtId="0" fontId="0" fillId="0" borderId="0"/>
    <xf numFmtId="0" fontId="2" fillId="0" borderId="0"/>
    <xf numFmtId="9" fontId="2" fillId="0" borderId="0" applyFont="0" applyFill="0" applyBorder="0" applyAlignment="0" applyProtection="0"/>
    <xf numFmtId="0" fontId="9" fillId="0" borderId="0"/>
  </cellStyleXfs>
  <cellXfs count="134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3" fillId="0" borderId="4" xfId="1" applyFont="1" applyBorder="1" applyAlignment="1">
      <alignment horizontal="left"/>
    </xf>
    <xf numFmtId="0" fontId="4" fillId="2" borderId="5" xfId="1" applyFont="1" applyFill="1" applyBorder="1" applyAlignment="1">
      <alignment horizontal="center"/>
    </xf>
    <xf numFmtId="0" fontId="4" fillId="2" borderId="6" xfId="1" applyFont="1" applyFill="1" applyBorder="1" applyAlignment="1">
      <alignment horizontal="center"/>
    </xf>
    <xf numFmtId="0" fontId="4" fillId="2" borderId="7" xfId="1" applyFont="1" applyFill="1" applyBorder="1" applyAlignment="1">
      <alignment horizontal="center"/>
    </xf>
    <xf numFmtId="0" fontId="3" fillId="0" borderId="5" xfId="1" applyFont="1" applyBorder="1" applyAlignment="1">
      <alignment horizontal="left"/>
    </xf>
    <xf numFmtId="0" fontId="3" fillId="0" borderId="6" xfId="1" applyFont="1" applyBorder="1" applyAlignment="1">
      <alignment horizontal="left"/>
    </xf>
    <xf numFmtId="0" fontId="3" fillId="0" borderId="7" xfId="1" applyFont="1" applyBorder="1" applyAlignment="1">
      <alignment horizontal="left"/>
    </xf>
    <xf numFmtId="0" fontId="3" fillId="0" borderId="8" xfId="1" applyFont="1" applyBorder="1" applyAlignment="1">
      <alignment horizontal="left" wrapText="1"/>
    </xf>
    <xf numFmtId="0" fontId="3" fillId="0" borderId="2" xfId="1" applyFont="1" applyBorder="1" applyAlignment="1">
      <alignment horizontal="left" wrapText="1"/>
    </xf>
    <xf numFmtId="0" fontId="3" fillId="0" borderId="9" xfId="1" applyFont="1" applyBorder="1" applyAlignment="1">
      <alignment horizontal="left" wrapText="1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5" xfId="1" applyFont="1" applyBorder="1" applyAlignment="1">
      <alignment horizontal="left" wrapText="1"/>
    </xf>
    <xf numFmtId="0" fontId="3" fillId="0" borderId="6" xfId="1" applyFont="1" applyBorder="1" applyAlignment="1">
      <alignment horizontal="left" wrapText="1"/>
    </xf>
    <xf numFmtId="0" fontId="3" fillId="0" borderId="7" xfId="1" applyFont="1" applyBorder="1" applyAlignment="1">
      <alignment horizontal="left" wrapText="1"/>
    </xf>
    <xf numFmtId="0" fontId="2" fillId="0" borderId="0" xfId="1"/>
    <xf numFmtId="0" fontId="4" fillId="3" borderId="10" xfId="1" applyFont="1" applyFill="1" applyBorder="1" applyAlignment="1">
      <alignment horizontal="center"/>
    </xf>
    <xf numFmtId="0" fontId="4" fillId="3" borderId="11" xfId="1" applyFont="1" applyFill="1" applyBorder="1" applyAlignment="1">
      <alignment horizontal="center"/>
    </xf>
    <xf numFmtId="0" fontId="4" fillId="3" borderId="12" xfId="1" applyFont="1" applyFill="1" applyBorder="1" applyAlignment="1">
      <alignment horizontal="center"/>
    </xf>
    <xf numFmtId="0" fontId="2" fillId="4" borderId="0" xfId="1" applyFill="1" applyAlignment="1">
      <alignment horizontal="left" indent="1"/>
    </xf>
    <xf numFmtId="164" fontId="3" fillId="0" borderId="13" xfId="1" applyNumberFormat="1" applyFont="1" applyBorder="1" applyAlignment="1">
      <alignment horizontal="center"/>
    </xf>
    <xf numFmtId="164" fontId="3" fillId="0" borderId="14" xfId="1" applyNumberFormat="1" applyFont="1" applyBorder="1" applyAlignment="1">
      <alignment horizontal="center"/>
    </xf>
    <xf numFmtId="0" fontId="3" fillId="0" borderId="15" xfId="1" applyFont="1" applyBorder="1" applyAlignment="1">
      <alignment horizontal="right"/>
    </xf>
    <xf numFmtId="0" fontId="3" fillId="0" borderId="15" xfId="1" applyFont="1" applyBorder="1" applyAlignment="1">
      <alignment horizontal="center"/>
    </xf>
    <xf numFmtId="1" fontId="3" fillId="0" borderId="15" xfId="1" applyNumberFormat="1" applyFont="1" applyBorder="1" applyAlignment="1">
      <alignment horizontal="center"/>
    </xf>
    <xf numFmtId="0" fontId="4" fillId="0" borderId="15" xfId="1" applyFont="1" applyBorder="1" applyAlignment="1">
      <alignment horizontal="right"/>
    </xf>
    <xf numFmtId="0" fontId="4" fillId="0" borderId="16" xfId="1" applyFont="1" applyBorder="1" applyAlignment="1">
      <alignment horizontal="right"/>
    </xf>
    <xf numFmtId="0" fontId="4" fillId="0" borderId="17" xfId="1" applyFont="1" applyBorder="1" applyAlignment="1">
      <alignment horizontal="right"/>
    </xf>
    <xf numFmtId="9" fontId="2" fillId="4" borderId="0" xfId="2" applyFill="1"/>
    <xf numFmtId="164" fontId="3" fillId="0" borderId="8" xfId="1" applyNumberFormat="1" applyFont="1" applyBorder="1" applyAlignment="1">
      <alignment horizontal="center"/>
    </xf>
    <xf numFmtId="164" fontId="3" fillId="0" borderId="3" xfId="1" applyNumberFormat="1" applyFont="1" applyBorder="1" applyAlignment="1">
      <alignment horizontal="center"/>
    </xf>
    <xf numFmtId="164" fontId="3" fillId="0" borderId="1" xfId="1" applyNumberFormat="1" applyFont="1" applyBorder="1" applyAlignment="1">
      <alignment horizontal="right" wrapText="1"/>
    </xf>
    <xf numFmtId="164" fontId="3" fillId="0" borderId="3" xfId="1" applyNumberFormat="1" applyFont="1" applyBorder="1" applyAlignment="1">
      <alignment horizontal="right" wrapText="1"/>
    </xf>
    <xf numFmtId="0" fontId="3" fillId="0" borderId="4" xfId="1" applyFont="1" applyBorder="1" applyAlignment="1">
      <alignment horizontal="center"/>
    </xf>
    <xf numFmtId="1" fontId="3" fillId="0" borderId="4" xfId="1" applyNumberFormat="1" applyFont="1" applyBorder="1" applyAlignment="1">
      <alignment horizontal="center"/>
    </xf>
    <xf numFmtId="0" fontId="4" fillId="0" borderId="1" xfId="1" applyFont="1" applyBorder="1" applyAlignment="1">
      <alignment horizontal="right"/>
    </xf>
    <xf numFmtId="0" fontId="4" fillId="0" borderId="2" xfId="1" applyFont="1" applyBorder="1" applyAlignment="1">
      <alignment horizontal="right"/>
    </xf>
    <xf numFmtId="0" fontId="4" fillId="0" borderId="9" xfId="1" applyFont="1" applyBorder="1" applyAlignment="1">
      <alignment horizontal="right"/>
    </xf>
    <xf numFmtId="0" fontId="3" fillId="0" borderId="4" xfId="1" applyFont="1" applyBorder="1" applyAlignment="1">
      <alignment horizontal="right"/>
    </xf>
    <xf numFmtId="0" fontId="4" fillId="0" borderId="4" xfId="1" applyFont="1" applyBorder="1" applyAlignment="1">
      <alignment horizontal="center"/>
    </xf>
    <xf numFmtId="0" fontId="3" fillId="4" borderId="5" xfId="1" applyFont="1" applyFill="1" applyBorder="1" applyAlignment="1">
      <alignment horizontal="center"/>
    </xf>
    <xf numFmtId="0" fontId="3" fillId="4" borderId="18" xfId="1" applyFont="1" applyFill="1" applyBorder="1" applyAlignment="1">
      <alignment horizontal="center"/>
    </xf>
    <xf numFmtId="164" fontId="3" fillId="0" borderId="19" xfId="1" applyNumberFormat="1" applyFont="1" applyBorder="1" applyAlignment="1">
      <alignment horizontal="right"/>
    </xf>
    <xf numFmtId="0" fontId="3" fillId="0" borderId="18" xfId="1" applyFont="1" applyBorder="1" applyAlignment="1">
      <alignment horizontal="center"/>
    </xf>
    <xf numFmtId="1" fontId="3" fillId="0" borderId="19" xfId="1" applyNumberFormat="1" applyFont="1" applyBorder="1" applyAlignment="1">
      <alignment horizontal="center"/>
    </xf>
    <xf numFmtId="0" fontId="4" fillId="0" borderId="20" xfId="1" applyFont="1" applyBorder="1" applyAlignment="1">
      <alignment horizontal="right"/>
    </xf>
    <xf numFmtId="0" fontId="4" fillId="0" borderId="6" xfId="1" applyFont="1" applyBorder="1" applyAlignment="1">
      <alignment horizontal="right"/>
    </xf>
    <xf numFmtId="0" fontId="4" fillId="0" borderId="7" xfId="1" applyFont="1" applyBorder="1" applyAlignment="1">
      <alignment horizontal="right"/>
    </xf>
    <xf numFmtId="0" fontId="3" fillId="3" borderId="10" xfId="1" applyFont="1" applyFill="1" applyBorder="1" applyAlignment="1">
      <alignment horizontal="center"/>
    </xf>
    <xf numFmtId="0" fontId="3" fillId="3" borderId="11" xfId="1" applyFont="1" applyFill="1" applyBorder="1"/>
    <xf numFmtId="164" fontId="3" fillId="3" borderId="11" xfId="1" applyNumberFormat="1" applyFont="1" applyFill="1" applyBorder="1" applyAlignment="1">
      <alignment horizontal="center" wrapText="1"/>
    </xf>
    <xf numFmtId="1" fontId="4" fillId="3" borderId="11" xfId="1" applyNumberFormat="1" applyFont="1" applyFill="1" applyBorder="1" applyAlignment="1">
      <alignment horizontal="center"/>
    </xf>
    <xf numFmtId="0" fontId="4" fillId="3" borderId="11" xfId="1" applyFont="1" applyFill="1" applyBorder="1" applyAlignment="1">
      <alignment horizontal="center"/>
    </xf>
    <xf numFmtId="0" fontId="3" fillId="3" borderId="11" xfId="1" applyFont="1" applyFill="1" applyBorder="1" applyAlignment="1">
      <alignment horizontal="center"/>
    </xf>
    <xf numFmtId="0" fontId="3" fillId="3" borderId="12" xfId="1" applyFont="1" applyFill="1" applyBorder="1" applyAlignment="1">
      <alignment horizontal="center"/>
    </xf>
    <xf numFmtId="0" fontId="3" fillId="4" borderId="21" xfId="1" applyFont="1" applyFill="1" applyBorder="1" applyAlignment="1">
      <alignment horizontal="center"/>
    </xf>
    <xf numFmtId="0" fontId="3" fillId="0" borderId="0" xfId="1" applyFont="1"/>
    <xf numFmtId="164" fontId="3" fillId="4" borderId="0" xfId="1" applyNumberFormat="1" applyFont="1" applyFill="1" applyAlignment="1">
      <alignment horizontal="center" wrapText="1"/>
    </xf>
    <xf numFmtId="1" fontId="3" fillId="4" borderId="0" xfId="1" applyNumberFormat="1" applyFont="1" applyFill="1" applyAlignment="1">
      <alignment horizontal="center"/>
    </xf>
    <xf numFmtId="49" fontId="5" fillId="4" borderId="0" xfId="1" applyNumberFormat="1" applyFont="1" applyFill="1" applyAlignment="1">
      <alignment horizontal="center" vertical="center"/>
    </xf>
    <xf numFmtId="49" fontId="5" fillId="4" borderId="22" xfId="1" applyNumberFormat="1" applyFont="1" applyFill="1" applyBorder="1" applyAlignment="1">
      <alignment horizontal="center" vertical="center"/>
    </xf>
    <xf numFmtId="0" fontId="3" fillId="0" borderId="23" xfId="1" applyFont="1" applyBorder="1" applyAlignment="1">
      <alignment horizontal="center"/>
    </xf>
    <xf numFmtId="1" fontId="3" fillId="0" borderId="4" xfId="1" applyNumberFormat="1" applyFont="1" applyBorder="1" applyAlignment="1">
      <alignment horizontal="center" wrapText="1"/>
    </xf>
    <xf numFmtId="0" fontId="3" fillId="0" borderId="4" xfId="0" applyFont="1" applyBorder="1"/>
    <xf numFmtId="0" fontId="3" fillId="0" borderId="4" xfId="0" applyFont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3" fillId="5" borderId="4" xfId="0" applyFont="1" applyFill="1" applyBorder="1"/>
    <xf numFmtId="0" fontId="4" fillId="6" borderId="23" xfId="1" applyFont="1" applyFill="1" applyBorder="1" applyAlignment="1">
      <alignment horizontal="center"/>
    </xf>
    <xf numFmtId="0" fontId="4" fillId="6" borderId="24" xfId="1" applyFont="1" applyFill="1" applyBorder="1" applyAlignment="1">
      <alignment horizontal="center"/>
    </xf>
    <xf numFmtId="0" fontId="3" fillId="0" borderId="19" xfId="1" applyFont="1" applyBorder="1" applyAlignment="1">
      <alignment horizontal="center"/>
    </xf>
    <xf numFmtId="1" fontId="0" fillId="0" borderId="0" xfId="0" applyNumberFormat="1"/>
    <xf numFmtId="1" fontId="3" fillId="5" borderId="4" xfId="0" applyNumberFormat="1" applyFont="1" applyFill="1" applyBorder="1" applyAlignment="1">
      <alignment horizontal="center"/>
    </xf>
    <xf numFmtId="0" fontId="4" fillId="5" borderId="4" xfId="0" applyFont="1" applyFill="1" applyBorder="1"/>
    <xf numFmtId="0" fontId="3" fillId="0" borderId="6" xfId="1" applyFont="1" applyBorder="1" applyAlignment="1">
      <alignment horizontal="center"/>
    </xf>
    <xf numFmtId="1" fontId="3" fillId="0" borderId="18" xfId="1" applyNumberFormat="1" applyFont="1" applyBorder="1" applyAlignment="1">
      <alignment horizontal="center"/>
    </xf>
    <xf numFmtId="16" fontId="3" fillId="0" borderId="4" xfId="1" applyNumberFormat="1" applyFont="1" applyBorder="1" applyAlignment="1">
      <alignment horizontal="center"/>
    </xf>
    <xf numFmtId="0" fontId="3" fillId="6" borderId="4" xfId="0" applyFont="1" applyFill="1" applyBorder="1"/>
    <xf numFmtId="0" fontId="4" fillId="7" borderId="4" xfId="0" applyFont="1" applyFill="1" applyBorder="1"/>
    <xf numFmtId="0" fontId="3" fillId="7" borderId="4" xfId="0" applyFont="1" applyFill="1" applyBorder="1" applyAlignment="1">
      <alignment horizontal="center"/>
    </xf>
    <xf numFmtId="0" fontId="6" fillId="5" borderId="19" xfId="0" applyFont="1" applyFill="1" applyBorder="1"/>
    <xf numFmtId="0" fontId="6" fillId="5" borderId="20" xfId="0" applyFont="1" applyFill="1" applyBorder="1" applyAlignment="1">
      <alignment horizontal="center"/>
    </xf>
    <xf numFmtId="1" fontId="4" fillId="6" borderId="24" xfId="1" applyNumberFormat="1" applyFont="1" applyFill="1" applyBorder="1" applyAlignment="1">
      <alignment horizontal="center"/>
    </xf>
    <xf numFmtId="0" fontId="4" fillId="6" borderId="4" xfId="0" applyFont="1" applyFill="1" applyBorder="1"/>
    <xf numFmtId="0" fontId="6" fillId="5" borderId="4" xfId="0" applyFont="1" applyFill="1" applyBorder="1"/>
    <xf numFmtId="0" fontId="6" fillId="5" borderId="1" xfId="0" applyFont="1" applyFill="1" applyBorder="1" applyAlignment="1">
      <alignment horizontal="center"/>
    </xf>
    <xf numFmtId="0" fontId="3" fillId="7" borderId="4" xfId="0" applyFont="1" applyFill="1" applyBorder="1"/>
    <xf numFmtId="0" fontId="1" fillId="0" borderId="0" xfId="0" applyFont="1" applyAlignment="1">
      <alignment horizontal="center"/>
    </xf>
    <xf numFmtId="0" fontId="6" fillId="8" borderId="4" xfId="0" applyFont="1" applyFill="1" applyBorder="1"/>
    <xf numFmtId="0" fontId="6" fillId="8" borderId="1" xfId="0" applyFont="1" applyFill="1" applyBorder="1" applyAlignment="1">
      <alignment horizontal="center"/>
    </xf>
    <xf numFmtId="1" fontId="3" fillId="7" borderId="19" xfId="1" applyNumberFormat="1" applyFont="1" applyFill="1" applyBorder="1" applyAlignment="1">
      <alignment horizontal="center"/>
    </xf>
    <xf numFmtId="1" fontId="3" fillId="0" borderId="25" xfId="1" applyNumberFormat="1" applyFont="1" applyBorder="1" applyAlignment="1">
      <alignment horizontal="center"/>
    </xf>
    <xf numFmtId="1" fontId="3" fillId="0" borderId="26" xfId="1" applyNumberFormat="1" applyFont="1" applyBorder="1" applyAlignment="1">
      <alignment horizontal="center"/>
    </xf>
    <xf numFmtId="0" fontId="7" fillId="0" borderId="0" xfId="0" applyFont="1"/>
    <xf numFmtId="0" fontId="8" fillId="3" borderId="27" xfId="1" applyFont="1" applyFill="1" applyBorder="1" applyAlignment="1">
      <alignment horizontal="center"/>
    </xf>
    <xf numFmtId="1" fontId="8" fillId="3" borderId="15" xfId="1" applyNumberFormat="1" applyFont="1" applyFill="1" applyBorder="1" applyAlignment="1">
      <alignment horizontal="center" wrapText="1"/>
    </xf>
    <xf numFmtId="1" fontId="8" fillId="3" borderId="15" xfId="1" applyNumberFormat="1" applyFont="1" applyFill="1" applyBorder="1" applyAlignment="1">
      <alignment horizontal="center"/>
    </xf>
    <xf numFmtId="1" fontId="8" fillId="3" borderId="28" xfId="1" applyNumberFormat="1" applyFont="1" applyFill="1" applyBorder="1" applyAlignment="1">
      <alignment horizontal="center"/>
    </xf>
    <xf numFmtId="0" fontId="8" fillId="3" borderId="15" xfId="1" applyFont="1" applyFill="1" applyBorder="1" applyAlignment="1">
      <alignment horizontal="center" vertical="center"/>
    </xf>
    <xf numFmtId="0" fontId="8" fillId="3" borderId="28" xfId="1" applyFont="1" applyFill="1" applyBorder="1" applyAlignment="1">
      <alignment horizontal="center" vertical="center"/>
    </xf>
    <xf numFmtId="0" fontId="8" fillId="3" borderId="29" xfId="1" applyFont="1" applyFill="1" applyBorder="1" applyAlignment="1">
      <alignment horizontal="center" vertical="center"/>
    </xf>
    <xf numFmtId="0" fontId="8" fillId="3" borderId="24" xfId="1" applyFont="1" applyFill="1" applyBorder="1" applyAlignment="1">
      <alignment horizontal="center" vertical="center" wrapText="1"/>
    </xf>
    <xf numFmtId="0" fontId="8" fillId="3" borderId="19" xfId="1" applyFont="1" applyFill="1" applyBorder="1" applyAlignment="1">
      <alignment horizontal="center" vertical="center"/>
    </xf>
    <xf numFmtId="0" fontId="8" fillId="3" borderId="30" xfId="1" applyFont="1" applyFill="1" applyBorder="1" applyAlignment="1">
      <alignment horizontal="center" vertical="center"/>
    </xf>
    <xf numFmtId="0" fontId="0" fillId="0" borderId="4" xfId="0" applyBorder="1"/>
    <xf numFmtId="14" fontId="10" fillId="4" borderId="4" xfId="3" applyNumberFormat="1" applyFont="1" applyFill="1" applyBorder="1" applyAlignment="1">
      <alignment horizontal="center" vertical="center" wrapText="1"/>
    </xf>
    <xf numFmtId="0" fontId="8" fillId="4" borderId="4" xfId="3" applyFont="1" applyFill="1" applyBorder="1"/>
    <xf numFmtId="0" fontId="10" fillId="4" borderId="4" xfId="3" applyFont="1" applyFill="1" applyBorder="1" applyAlignment="1">
      <alignment horizontal="center"/>
    </xf>
    <xf numFmtId="0" fontId="8" fillId="4" borderId="4" xfId="3" applyFont="1" applyFill="1" applyBorder="1" applyAlignment="1">
      <alignment horizontal="right"/>
    </xf>
    <xf numFmtId="14" fontId="11" fillId="4" borderId="31" xfId="3" applyNumberFormat="1" applyFont="1" applyFill="1" applyBorder="1" applyAlignment="1">
      <alignment horizontal="center" vertical="center" wrapText="1"/>
    </xf>
    <xf numFmtId="0" fontId="8" fillId="4" borderId="28" xfId="3" applyFont="1" applyFill="1" applyBorder="1" applyAlignment="1">
      <alignment horizontal="right" vertical="top" wrapText="1"/>
    </xf>
    <xf numFmtId="0" fontId="12" fillId="4" borderId="28" xfId="3" applyFont="1" applyFill="1" applyBorder="1" applyAlignment="1">
      <alignment horizontal="left"/>
    </xf>
    <xf numFmtId="0" fontId="12" fillId="4" borderId="28" xfId="3" applyFont="1" applyFill="1" applyBorder="1" applyAlignment="1">
      <alignment horizontal="right"/>
    </xf>
    <xf numFmtId="0" fontId="12" fillId="4" borderId="32" xfId="3" applyFont="1" applyFill="1" applyBorder="1" applyAlignment="1">
      <alignment horizontal="center"/>
    </xf>
    <xf numFmtId="0" fontId="12" fillId="4" borderId="22" xfId="3" applyFont="1" applyFill="1" applyBorder="1" applyAlignment="1">
      <alignment horizontal="center"/>
    </xf>
    <xf numFmtId="0" fontId="8" fillId="4" borderId="4" xfId="3" applyFont="1" applyFill="1" applyBorder="1" applyAlignment="1">
      <alignment horizontal="right" vertical="top" wrapText="1"/>
    </xf>
    <xf numFmtId="0" fontId="12" fillId="4" borderId="4" xfId="3" applyFont="1" applyFill="1" applyBorder="1" applyAlignment="1">
      <alignment horizontal="left"/>
    </xf>
    <xf numFmtId="0" fontId="12" fillId="4" borderId="4" xfId="3" applyFont="1" applyFill="1" applyBorder="1" applyAlignment="1">
      <alignment horizontal="right"/>
    </xf>
    <xf numFmtId="14" fontId="11" fillId="4" borderId="33" xfId="3" applyNumberFormat="1" applyFont="1" applyFill="1" applyBorder="1" applyAlignment="1">
      <alignment horizontal="center" vertical="center" wrapText="1"/>
    </xf>
    <xf numFmtId="0" fontId="13" fillId="9" borderId="4" xfId="3" applyFont="1" applyFill="1" applyBorder="1" applyAlignment="1">
      <alignment horizontal="center" vertical="center" wrapText="1"/>
    </xf>
    <xf numFmtId="0" fontId="14" fillId="9" borderId="4" xfId="3" applyFont="1" applyFill="1" applyBorder="1" applyAlignment="1">
      <alignment horizontal="center" vertical="center" wrapText="1"/>
    </xf>
    <xf numFmtId="49" fontId="11" fillId="4" borderId="23" xfId="3" applyNumberFormat="1" applyFont="1" applyFill="1" applyBorder="1" applyAlignment="1">
      <alignment horizontal="center"/>
    </xf>
    <xf numFmtId="0" fontId="8" fillId="4" borderId="4" xfId="3" applyFont="1" applyFill="1" applyBorder="1" applyAlignment="1">
      <alignment horizontal="right"/>
    </xf>
    <xf numFmtId="0" fontId="8" fillId="4" borderId="4" xfId="3" applyFont="1" applyFill="1" applyBorder="1" applyAlignment="1">
      <alignment horizontal="center"/>
    </xf>
    <xf numFmtId="0" fontId="11" fillId="4" borderId="34" xfId="3" applyFont="1" applyFill="1" applyBorder="1" applyAlignment="1">
      <alignment horizontal="center"/>
    </xf>
    <xf numFmtId="0" fontId="8" fillId="4" borderId="35" xfId="3" applyFont="1" applyFill="1" applyBorder="1" applyAlignment="1">
      <alignment horizontal="right"/>
    </xf>
    <xf numFmtId="0" fontId="8" fillId="4" borderId="35" xfId="3" applyFont="1" applyFill="1" applyBorder="1" applyAlignment="1">
      <alignment horizontal="center"/>
    </xf>
    <xf numFmtId="0" fontId="12" fillId="4" borderId="36" xfId="3" applyFont="1" applyFill="1" applyBorder="1" applyAlignment="1">
      <alignment horizontal="center"/>
    </xf>
    <xf numFmtId="0" fontId="12" fillId="4" borderId="37" xfId="3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4">
    <cellStyle name="Normal" xfId="0" builtinId="0"/>
    <cellStyle name="Normal 2" xfId="1" xr:uid="{F29110D7-2CEA-42C5-9E81-9CD3853E3650}"/>
    <cellStyle name="Normal_CRITERIOS DE EVALUACION PT DE GB 2" xfId="3" xr:uid="{DA8FFDC5-A7E3-41AF-9B3A-DAA33CB30AF9}"/>
    <cellStyle name="Porcentaje 2" xfId="2" xr:uid="{0A9CEC96-E459-4C75-9E4D-F9BB23BCD72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83342</xdr:colOff>
      <xdr:row>0</xdr:row>
      <xdr:rowOff>166689</xdr:rowOff>
    </xdr:from>
    <xdr:ext cx="2004779" cy="988217"/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4B201668-74AB-4682-A82D-7C71035AB8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2" y="166689"/>
          <a:ext cx="2004779" cy="9882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4F57F-519B-4745-9460-0EF65450EB1A}">
  <sheetPr>
    <pageSetUpPr fitToPage="1"/>
  </sheetPr>
  <dimension ref="A1:M52"/>
  <sheetViews>
    <sheetView tabSelected="1" zoomScale="80" zoomScaleNormal="80" workbookViewId="0">
      <selection activeCell="C1" sqref="C1:G1"/>
    </sheetView>
  </sheetViews>
  <sheetFormatPr baseColWidth="10" defaultRowHeight="15" x14ac:dyDescent="0.25"/>
  <cols>
    <col min="2" max="2" width="20.85546875" customWidth="1"/>
    <col min="3" max="3" width="64.5703125" customWidth="1"/>
    <col min="4" max="4" width="20.5703125" bestFit="1" customWidth="1"/>
    <col min="5" max="5" width="13.42578125" customWidth="1"/>
    <col min="6" max="6" width="16.28515625" customWidth="1"/>
    <col min="7" max="7" width="14" customWidth="1"/>
    <col min="8" max="8" width="19.85546875" customWidth="1"/>
    <col min="9" max="9" width="20.85546875" bestFit="1" customWidth="1"/>
  </cols>
  <sheetData>
    <row r="1" spans="1:10" ht="18" x14ac:dyDescent="0.25">
      <c r="A1" s="132"/>
      <c r="B1" s="131"/>
      <c r="C1" s="130" t="s">
        <v>80</v>
      </c>
      <c r="D1" s="130"/>
      <c r="E1" s="130"/>
      <c r="F1" s="130"/>
      <c r="G1" s="130"/>
      <c r="H1" s="129" t="s">
        <v>79</v>
      </c>
      <c r="I1" s="128" t="s">
        <v>82</v>
      </c>
    </row>
    <row r="2" spans="1:10" ht="18" x14ac:dyDescent="0.25">
      <c r="A2" s="118"/>
      <c r="B2" s="117"/>
      <c r="C2" s="127" t="s">
        <v>78</v>
      </c>
      <c r="D2" s="127"/>
      <c r="E2" s="127"/>
      <c r="F2" s="127"/>
      <c r="G2" s="127"/>
      <c r="H2" s="126" t="s">
        <v>77</v>
      </c>
      <c r="I2" s="125" t="s">
        <v>81</v>
      </c>
    </row>
    <row r="3" spans="1:10" ht="33" customHeight="1" x14ac:dyDescent="0.25">
      <c r="A3" s="118"/>
      <c r="B3" s="117"/>
      <c r="C3" s="124" t="s">
        <v>76</v>
      </c>
      <c r="D3" s="123"/>
      <c r="E3" s="123"/>
      <c r="F3" s="123"/>
      <c r="G3" s="123"/>
      <c r="H3" s="119" t="s">
        <v>75</v>
      </c>
      <c r="I3" s="122">
        <v>46056</v>
      </c>
    </row>
    <row r="4" spans="1:10" ht="18" x14ac:dyDescent="0.25">
      <c r="A4" s="118"/>
      <c r="B4" s="117"/>
      <c r="C4" s="121" t="s">
        <v>74</v>
      </c>
      <c r="D4" s="120" t="s">
        <v>73</v>
      </c>
      <c r="E4" s="120"/>
      <c r="F4" s="120"/>
      <c r="G4" s="120"/>
      <c r="H4" s="119"/>
      <c r="I4" s="113"/>
    </row>
    <row r="5" spans="1:10" ht="18" x14ac:dyDescent="0.25">
      <c r="A5" s="118"/>
      <c r="B5" s="117"/>
      <c r="C5" s="116" t="s">
        <v>72</v>
      </c>
      <c r="D5" s="115" t="s">
        <v>71</v>
      </c>
      <c r="E5" s="115"/>
      <c r="F5" s="115"/>
      <c r="G5" s="115"/>
      <c r="H5" s="114"/>
      <c r="I5" s="113"/>
    </row>
    <row r="6" spans="1:10" ht="18" x14ac:dyDescent="0.25">
      <c r="A6" s="112" t="s">
        <v>70</v>
      </c>
      <c r="B6" s="112"/>
      <c r="C6" s="112"/>
      <c r="D6" s="111" t="s">
        <v>69</v>
      </c>
      <c r="E6" s="111"/>
      <c r="F6" s="111"/>
      <c r="G6" s="110" t="s">
        <v>68</v>
      </c>
      <c r="H6" s="110"/>
      <c r="I6" s="109" t="s">
        <v>67</v>
      </c>
      <c r="J6" s="108"/>
    </row>
    <row r="7" spans="1:10" ht="36" x14ac:dyDescent="0.25">
      <c r="A7" s="107" t="s">
        <v>66</v>
      </c>
      <c r="B7" s="107" t="s">
        <v>66</v>
      </c>
      <c r="C7" s="106" t="s">
        <v>65</v>
      </c>
      <c r="D7" s="106" t="s">
        <v>64</v>
      </c>
      <c r="E7" s="106" t="s">
        <v>63</v>
      </c>
      <c r="F7" s="106"/>
      <c r="G7" s="106" t="s">
        <v>62</v>
      </c>
      <c r="H7" s="106"/>
      <c r="I7" s="105" t="s">
        <v>61</v>
      </c>
    </row>
    <row r="8" spans="1:10" ht="36.75" thickBot="1" x14ac:dyDescent="0.3">
      <c r="A8" s="104"/>
      <c r="B8" s="104"/>
      <c r="C8" s="103"/>
      <c r="D8" s="102"/>
      <c r="E8" s="101" t="s">
        <v>11</v>
      </c>
      <c r="F8" s="99" t="s">
        <v>60</v>
      </c>
      <c r="G8" s="100" t="s">
        <v>11</v>
      </c>
      <c r="H8" s="99" t="s">
        <v>60</v>
      </c>
      <c r="I8" s="98" t="s">
        <v>59</v>
      </c>
    </row>
    <row r="9" spans="1:10" ht="20.25" x14ac:dyDescent="0.3">
      <c r="A9" s="68"/>
      <c r="B9" s="81"/>
      <c r="C9" s="97" t="s">
        <v>58</v>
      </c>
      <c r="D9" s="80"/>
      <c r="E9" s="39"/>
      <c r="F9" s="67"/>
      <c r="G9" s="96"/>
      <c r="H9" s="95"/>
      <c r="I9" s="73"/>
    </row>
    <row r="10" spans="1:10" ht="20.25" x14ac:dyDescent="0.3">
      <c r="A10" s="68"/>
      <c r="B10" s="83" t="s">
        <v>57</v>
      </c>
      <c r="C10" s="90" t="s">
        <v>56</v>
      </c>
      <c r="D10" s="80" t="s">
        <v>35</v>
      </c>
      <c r="E10" s="39">
        <v>375</v>
      </c>
      <c r="F10" s="67" t="s">
        <v>2</v>
      </c>
      <c r="G10" s="94" t="s">
        <v>55</v>
      </c>
      <c r="H10" s="74"/>
      <c r="I10" s="73"/>
    </row>
    <row r="11" spans="1:10" ht="20.25" x14ac:dyDescent="0.3">
      <c r="A11" s="68"/>
      <c r="B11" s="93" t="s">
        <v>54</v>
      </c>
      <c r="C11" s="92" t="s">
        <v>53</v>
      </c>
      <c r="D11" s="133" t="s">
        <v>35</v>
      </c>
      <c r="E11" s="133">
        <v>200</v>
      </c>
      <c r="F11" s="91" t="s">
        <v>2</v>
      </c>
      <c r="G11" s="49" t="s">
        <v>52</v>
      </c>
      <c r="H11" s="74"/>
      <c r="I11" s="73"/>
    </row>
    <row r="12" spans="1:10" ht="20.25" x14ac:dyDescent="0.3">
      <c r="A12" s="68"/>
      <c r="B12" s="83" t="s">
        <v>51</v>
      </c>
      <c r="C12" s="90" t="s">
        <v>50</v>
      </c>
      <c r="D12" s="80" t="s">
        <v>35</v>
      </c>
      <c r="E12" s="39">
        <v>600</v>
      </c>
      <c r="F12" s="67" t="s">
        <v>2</v>
      </c>
      <c r="G12" s="79" t="s">
        <v>49</v>
      </c>
      <c r="H12" s="78"/>
      <c r="I12" s="73"/>
    </row>
    <row r="13" spans="1:10" ht="20.25" x14ac:dyDescent="0.3">
      <c r="A13" s="68"/>
      <c r="B13" s="89" t="s">
        <v>48</v>
      </c>
      <c r="C13" s="88" t="s">
        <v>47</v>
      </c>
      <c r="D13" s="80" t="s">
        <v>35</v>
      </c>
      <c r="E13" s="39">
        <v>150</v>
      </c>
      <c r="F13" s="67" t="s">
        <v>2</v>
      </c>
      <c r="G13" s="79" t="s">
        <v>34</v>
      </c>
      <c r="H13" s="78"/>
      <c r="I13" s="73"/>
    </row>
    <row r="14" spans="1:10" ht="20.25" x14ac:dyDescent="0.3">
      <c r="A14" s="68"/>
      <c r="B14" s="83" t="s">
        <v>37</v>
      </c>
      <c r="C14" s="82" t="s">
        <v>36</v>
      </c>
      <c r="D14" s="80" t="s">
        <v>35</v>
      </c>
      <c r="E14" s="39">
        <v>65</v>
      </c>
      <c r="F14" s="67" t="s">
        <v>2</v>
      </c>
      <c r="G14" s="79" t="s">
        <v>34</v>
      </c>
      <c r="H14" s="78"/>
      <c r="I14" s="73"/>
    </row>
    <row r="15" spans="1:10" ht="20.25" x14ac:dyDescent="0.3">
      <c r="A15" s="68"/>
      <c r="B15" s="83" t="s">
        <v>46</v>
      </c>
      <c r="C15" s="82" t="s">
        <v>45</v>
      </c>
      <c r="D15" s="80" t="s">
        <v>35</v>
      </c>
      <c r="E15" s="39">
        <v>50</v>
      </c>
      <c r="F15" s="67" t="s">
        <v>2</v>
      </c>
      <c r="G15" s="79" t="s">
        <v>34</v>
      </c>
      <c r="H15" s="78"/>
      <c r="I15" s="73"/>
    </row>
    <row r="16" spans="1:10" ht="20.25" x14ac:dyDescent="0.3">
      <c r="A16" s="68"/>
      <c r="B16" s="81"/>
      <c r="C16" s="87"/>
      <c r="D16" s="80"/>
      <c r="E16" s="39"/>
      <c r="F16" s="67"/>
      <c r="G16" s="79"/>
      <c r="H16" s="78"/>
      <c r="I16" s="73"/>
    </row>
    <row r="17" spans="1:13" ht="20.25" x14ac:dyDescent="0.3">
      <c r="A17" s="68"/>
      <c r="B17" s="81"/>
      <c r="C17" s="87" t="s">
        <v>44</v>
      </c>
      <c r="D17" s="80"/>
      <c r="E17" s="39"/>
      <c r="F17" s="67"/>
      <c r="G17" s="79"/>
      <c r="H17" s="78"/>
      <c r="I17" s="86"/>
    </row>
    <row r="18" spans="1:13" ht="20.25" x14ac:dyDescent="0.3">
      <c r="A18" s="68"/>
      <c r="B18" s="85" t="s">
        <v>43</v>
      </c>
      <c r="C18" s="84" t="s">
        <v>42</v>
      </c>
      <c r="D18" s="80" t="s">
        <v>35</v>
      </c>
      <c r="E18" s="39">
        <v>220</v>
      </c>
      <c r="F18" s="67" t="s">
        <v>2</v>
      </c>
      <c r="G18" s="79"/>
      <c r="H18" s="78"/>
      <c r="I18" s="73"/>
    </row>
    <row r="19" spans="1:13" ht="20.25" x14ac:dyDescent="0.3">
      <c r="A19" s="68"/>
      <c r="B19" s="85" t="s">
        <v>41</v>
      </c>
      <c r="C19" s="84" t="s">
        <v>40</v>
      </c>
      <c r="D19" s="80" t="s">
        <v>35</v>
      </c>
      <c r="E19" s="39">
        <v>20</v>
      </c>
      <c r="F19" s="67" t="s">
        <v>2</v>
      </c>
      <c r="G19" s="79"/>
      <c r="H19" s="78"/>
      <c r="I19" s="73"/>
    </row>
    <row r="20" spans="1:13" ht="20.25" x14ac:dyDescent="0.3">
      <c r="A20" s="68"/>
      <c r="B20" s="85" t="s">
        <v>39</v>
      </c>
      <c r="C20" s="84" t="s">
        <v>38</v>
      </c>
      <c r="D20" s="80" t="s">
        <v>35</v>
      </c>
      <c r="E20" s="39">
        <v>15</v>
      </c>
      <c r="F20" s="67" t="s">
        <v>2</v>
      </c>
      <c r="G20" s="79"/>
      <c r="H20" s="78"/>
      <c r="I20" s="73"/>
    </row>
    <row r="21" spans="1:13" ht="20.25" x14ac:dyDescent="0.3">
      <c r="A21" s="68"/>
      <c r="B21" s="83" t="s">
        <v>37</v>
      </c>
      <c r="C21" s="82" t="s">
        <v>36</v>
      </c>
      <c r="D21" s="80" t="s">
        <v>35</v>
      </c>
      <c r="E21" s="39">
        <v>80</v>
      </c>
      <c r="F21" s="67" t="s">
        <v>2</v>
      </c>
      <c r="G21" s="79" t="s">
        <v>34</v>
      </c>
      <c r="H21" s="78"/>
      <c r="I21" s="73"/>
    </row>
    <row r="22" spans="1:13" ht="20.25" x14ac:dyDescent="0.3">
      <c r="A22" s="68"/>
      <c r="B22" s="81"/>
      <c r="C22" s="81"/>
      <c r="D22" s="80"/>
      <c r="E22" s="39"/>
      <c r="F22" s="67"/>
      <c r="G22" s="79"/>
      <c r="H22" s="78"/>
      <c r="I22" s="73"/>
    </row>
    <row r="23" spans="1:13" ht="20.25" x14ac:dyDescent="0.3">
      <c r="A23" s="68"/>
      <c r="B23" s="81"/>
      <c r="C23" s="81"/>
      <c r="D23" s="80"/>
      <c r="E23" s="39"/>
      <c r="F23" s="67"/>
      <c r="G23" s="79"/>
      <c r="H23" s="78"/>
      <c r="I23" s="73"/>
    </row>
    <row r="24" spans="1:13" ht="20.25" x14ac:dyDescent="0.3">
      <c r="A24" s="70"/>
      <c r="B24" s="70"/>
      <c r="C24" s="77" t="s">
        <v>33</v>
      </c>
      <c r="D24" s="70"/>
      <c r="E24" s="76"/>
      <c r="F24" s="70"/>
      <c r="G24" s="49"/>
      <c r="H24" s="74"/>
      <c r="I24" s="73"/>
      <c r="M24" s="75"/>
    </row>
    <row r="25" spans="1:13" ht="20.25" x14ac:dyDescent="0.3">
      <c r="A25" s="70">
        <v>121603</v>
      </c>
      <c r="B25" s="69" t="s">
        <v>32</v>
      </c>
      <c r="C25" s="71" t="s">
        <v>31</v>
      </c>
      <c r="D25" s="70" t="s">
        <v>30</v>
      </c>
      <c r="E25" s="70">
        <v>1</v>
      </c>
      <c r="F25" s="70" t="s">
        <v>5</v>
      </c>
      <c r="G25" s="49"/>
      <c r="H25" s="74"/>
      <c r="I25" s="73"/>
    </row>
    <row r="26" spans="1:13" ht="20.25" x14ac:dyDescent="0.3">
      <c r="A26" s="69" t="s">
        <v>29</v>
      </c>
      <c r="B26" s="69" t="s">
        <v>28</v>
      </c>
      <c r="C26" s="68" t="s">
        <v>27</v>
      </c>
      <c r="D26" s="70"/>
      <c r="E26" s="70">
        <v>1</v>
      </c>
      <c r="F26" s="70" t="s">
        <v>5</v>
      </c>
      <c r="G26" s="49"/>
      <c r="H26" s="74"/>
      <c r="I26" s="73"/>
      <c r="J26" s="20"/>
      <c r="K26" s="20"/>
      <c r="L26" s="20"/>
      <c r="M26" s="20"/>
    </row>
    <row r="27" spans="1:13" ht="20.25" x14ac:dyDescent="0.3">
      <c r="A27" s="70">
        <v>703020</v>
      </c>
      <c r="B27" s="69" t="s">
        <v>26</v>
      </c>
      <c r="C27" s="71" t="s">
        <v>25</v>
      </c>
      <c r="D27" s="70" t="s">
        <v>24</v>
      </c>
      <c r="E27" s="70">
        <v>60</v>
      </c>
      <c r="F27" s="70" t="s">
        <v>23</v>
      </c>
      <c r="G27" s="39"/>
      <c r="H27" s="38"/>
      <c r="I27" s="73"/>
      <c r="J27" s="20"/>
      <c r="K27" s="20"/>
      <c r="L27" s="20"/>
      <c r="M27" s="20"/>
    </row>
    <row r="28" spans="1:13" ht="20.25" x14ac:dyDescent="0.3">
      <c r="A28" s="70">
        <v>701096</v>
      </c>
      <c r="B28" s="69" t="s">
        <v>22</v>
      </c>
      <c r="C28" s="71" t="s">
        <v>21</v>
      </c>
      <c r="D28" s="70" t="s">
        <v>20</v>
      </c>
      <c r="E28" s="70">
        <v>1</v>
      </c>
      <c r="F28" s="70" t="s">
        <v>5</v>
      </c>
      <c r="G28" s="39"/>
      <c r="H28" s="38"/>
      <c r="I28" s="73"/>
      <c r="J28" s="20"/>
      <c r="K28" s="20"/>
      <c r="L28" s="20"/>
      <c r="M28" s="20"/>
    </row>
    <row r="29" spans="1:13" ht="20.25" x14ac:dyDescent="0.3">
      <c r="A29" s="70">
        <v>702123</v>
      </c>
      <c r="B29" s="69" t="s">
        <v>19</v>
      </c>
      <c r="C29" s="71" t="s">
        <v>18</v>
      </c>
      <c r="D29" s="70" t="s">
        <v>17</v>
      </c>
      <c r="E29" s="70">
        <v>1</v>
      </c>
      <c r="F29" s="70" t="s">
        <v>5</v>
      </c>
      <c r="G29" s="39"/>
      <c r="H29" s="38"/>
      <c r="I29" s="72"/>
      <c r="J29" s="20"/>
      <c r="K29" s="20"/>
      <c r="L29" s="20"/>
      <c r="M29" s="20"/>
    </row>
    <row r="30" spans="1:13" ht="20.25" x14ac:dyDescent="0.3">
      <c r="A30" s="70">
        <v>702069</v>
      </c>
      <c r="B30" s="69" t="s">
        <v>16</v>
      </c>
      <c r="C30" s="71" t="s">
        <v>15</v>
      </c>
      <c r="D30" s="70"/>
      <c r="E30" s="70">
        <v>1</v>
      </c>
      <c r="F30" s="70" t="s">
        <v>5</v>
      </c>
      <c r="G30" s="39"/>
      <c r="H30" s="38"/>
      <c r="I30" s="72"/>
      <c r="J30" s="20"/>
      <c r="K30" s="20"/>
      <c r="L30" s="20"/>
      <c r="M30" s="20"/>
    </row>
    <row r="31" spans="1:13" ht="20.25" x14ac:dyDescent="0.3">
      <c r="A31" s="68" t="s">
        <v>14</v>
      </c>
      <c r="B31" s="69" t="s">
        <v>13</v>
      </c>
      <c r="C31" s="68" t="s">
        <v>12</v>
      </c>
      <c r="D31" s="38"/>
      <c r="E31" s="39">
        <v>1</v>
      </c>
      <c r="F31" s="67" t="s">
        <v>5</v>
      </c>
      <c r="G31" s="67"/>
      <c r="H31" s="67"/>
      <c r="I31" s="72"/>
      <c r="J31" s="20"/>
      <c r="K31" s="20"/>
      <c r="L31" s="20"/>
      <c r="M31" s="20"/>
    </row>
    <row r="32" spans="1:13" ht="20.25" x14ac:dyDescent="0.3">
      <c r="A32" s="70"/>
      <c r="B32" s="69"/>
      <c r="C32" s="71"/>
      <c r="D32" s="70"/>
      <c r="E32" s="70"/>
      <c r="F32" s="70"/>
      <c r="G32" s="39"/>
      <c r="H32" s="38"/>
      <c r="I32" s="66"/>
      <c r="J32" s="20"/>
      <c r="K32" s="20"/>
      <c r="L32" s="20"/>
      <c r="M32" s="20"/>
    </row>
    <row r="33" spans="1:13" ht="20.25" x14ac:dyDescent="0.3">
      <c r="A33" s="68"/>
      <c r="B33" s="69"/>
      <c r="C33" s="68"/>
      <c r="D33" s="38"/>
      <c r="E33" s="39"/>
      <c r="F33" s="67"/>
      <c r="G33" s="67"/>
      <c r="H33" s="67"/>
      <c r="I33" s="66"/>
      <c r="J33" s="20"/>
      <c r="K33" s="20"/>
      <c r="L33" s="20"/>
      <c r="M33" s="20"/>
    </row>
    <row r="34" spans="1:13" ht="21" thickBot="1" x14ac:dyDescent="0.35">
      <c r="A34" s="65"/>
      <c r="B34" s="64"/>
      <c r="C34" s="61"/>
      <c r="D34" s="61"/>
      <c r="E34" s="63"/>
      <c r="F34" s="62"/>
      <c r="G34" s="61"/>
      <c r="H34" s="61"/>
      <c r="I34" s="60"/>
      <c r="J34" s="20"/>
      <c r="K34" s="20"/>
      <c r="L34" s="24"/>
      <c r="M34" s="20"/>
    </row>
    <row r="35" spans="1:13" ht="21" thickBot="1" x14ac:dyDescent="0.35">
      <c r="A35" s="59"/>
      <c r="B35" s="58"/>
      <c r="C35" s="54"/>
      <c r="D35" s="57" t="s">
        <v>11</v>
      </c>
      <c r="E35" s="56" t="s">
        <v>10</v>
      </c>
      <c r="F35" s="55"/>
      <c r="G35" s="54"/>
      <c r="H35" s="54"/>
      <c r="I35" s="53"/>
      <c r="J35" s="20"/>
      <c r="K35" s="20"/>
      <c r="L35" s="24"/>
      <c r="M35" s="20"/>
    </row>
    <row r="36" spans="1:13" ht="20.25" x14ac:dyDescent="0.3">
      <c r="A36" s="52" t="s">
        <v>9</v>
      </c>
      <c r="B36" s="51"/>
      <c r="C36" s="50"/>
      <c r="D36" s="49">
        <v>1650</v>
      </c>
      <c r="E36" s="48" t="s">
        <v>2</v>
      </c>
      <c r="F36" s="47"/>
      <c r="G36" s="47"/>
      <c r="H36" s="46"/>
      <c r="I36" s="45"/>
      <c r="J36" s="20"/>
      <c r="K36" s="20"/>
      <c r="L36" s="24"/>
      <c r="M36" s="20"/>
    </row>
    <row r="37" spans="1:13" ht="20.25" x14ac:dyDescent="0.3">
      <c r="A37" s="42" t="s">
        <v>8</v>
      </c>
      <c r="B37" s="41"/>
      <c r="C37" s="40"/>
      <c r="D37" s="44">
        <v>5</v>
      </c>
      <c r="E37" s="38" t="s">
        <v>7</v>
      </c>
      <c r="F37" s="43"/>
      <c r="G37" s="43"/>
      <c r="H37" s="35"/>
      <c r="I37" s="34"/>
      <c r="J37" s="20"/>
      <c r="K37" s="20"/>
      <c r="L37" s="24"/>
      <c r="M37" s="20"/>
    </row>
    <row r="38" spans="1:13" ht="20.25" x14ac:dyDescent="0.3">
      <c r="A38" s="42" t="s">
        <v>6</v>
      </c>
      <c r="B38" s="41"/>
      <c r="C38" s="40"/>
      <c r="D38" s="39">
        <v>1</v>
      </c>
      <c r="E38" s="38" t="s">
        <v>5</v>
      </c>
      <c r="F38" s="43"/>
      <c r="G38" s="43"/>
      <c r="H38" s="35"/>
      <c r="I38" s="34"/>
      <c r="J38" s="20"/>
      <c r="K38" s="20">
        <f>1360-1200</f>
        <v>160</v>
      </c>
      <c r="L38" s="24"/>
      <c r="M38" s="20"/>
    </row>
    <row r="39" spans="1:13" ht="20.25" x14ac:dyDescent="0.3">
      <c r="A39" s="42" t="s">
        <v>4</v>
      </c>
      <c r="B39" s="41"/>
      <c r="C39" s="40"/>
      <c r="D39" s="39">
        <v>1650</v>
      </c>
      <c r="E39" s="38" t="s">
        <v>2</v>
      </c>
      <c r="F39" s="37"/>
      <c r="G39" s="36"/>
      <c r="H39" s="35"/>
      <c r="I39" s="34"/>
      <c r="J39" s="20"/>
      <c r="K39" s="20"/>
      <c r="L39" s="24"/>
      <c r="M39" s="33"/>
    </row>
    <row r="40" spans="1:13" ht="21" thickBot="1" x14ac:dyDescent="0.35">
      <c r="A40" s="32" t="s">
        <v>3</v>
      </c>
      <c r="B40" s="31"/>
      <c r="C40" s="30"/>
      <c r="D40" s="29">
        <f>SUM(E10:E21)-D36</f>
        <v>125</v>
      </c>
      <c r="E40" s="28" t="s">
        <v>2</v>
      </c>
      <c r="F40" s="27"/>
      <c r="G40" s="27"/>
      <c r="H40" s="26"/>
      <c r="I40" s="25"/>
      <c r="J40" s="20"/>
      <c r="K40" s="20"/>
      <c r="L40" s="24"/>
      <c r="M40" s="20"/>
    </row>
    <row r="41" spans="1:13" ht="21" thickBot="1" x14ac:dyDescent="0.35">
      <c r="A41" s="23" t="s">
        <v>1</v>
      </c>
      <c r="B41" s="22"/>
      <c r="C41" s="22"/>
      <c r="D41" s="22"/>
      <c r="E41" s="22"/>
      <c r="F41" s="22"/>
      <c r="G41" s="22"/>
      <c r="H41" s="22"/>
      <c r="I41" s="21"/>
      <c r="J41" s="20"/>
      <c r="K41" s="20"/>
      <c r="L41" s="20"/>
      <c r="M41" s="20"/>
    </row>
    <row r="42" spans="1:13" ht="20.25" x14ac:dyDescent="0.3">
      <c r="A42" s="19"/>
      <c r="B42" s="18"/>
      <c r="C42" s="18"/>
      <c r="D42" s="18"/>
      <c r="E42" s="18"/>
      <c r="F42" s="18"/>
      <c r="G42" s="18"/>
      <c r="H42" s="18"/>
      <c r="I42" s="17"/>
    </row>
    <row r="43" spans="1:13" ht="20.25" x14ac:dyDescent="0.3">
      <c r="A43" s="16"/>
      <c r="B43" s="15"/>
      <c r="C43" s="15"/>
      <c r="D43" s="15"/>
      <c r="E43" s="15"/>
      <c r="F43" s="15"/>
      <c r="G43" s="15"/>
      <c r="H43" s="15"/>
      <c r="I43" s="14"/>
    </row>
    <row r="44" spans="1:13" ht="20.25" x14ac:dyDescent="0.3">
      <c r="A44" s="13"/>
      <c r="B44" s="12"/>
      <c r="C44" s="12"/>
      <c r="D44" s="12"/>
      <c r="E44" s="12"/>
      <c r="F44" s="12"/>
      <c r="G44" s="12"/>
      <c r="H44" s="12"/>
      <c r="I44" s="11"/>
    </row>
    <row r="45" spans="1:13" ht="20.25" x14ac:dyDescent="0.3">
      <c r="A45" s="13"/>
      <c r="B45" s="12"/>
      <c r="C45" s="12"/>
      <c r="D45" s="12"/>
      <c r="E45" s="12"/>
      <c r="F45" s="12"/>
      <c r="G45" s="12"/>
      <c r="H45" s="12"/>
      <c r="I45" s="11"/>
    </row>
    <row r="46" spans="1:13" ht="20.25" x14ac:dyDescent="0.3">
      <c r="A46" s="13"/>
      <c r="B46" s="12"/>
      <c r="C46" s="12"/>
      <c r="D46" s="12"/>
      <c r="E46" s="12"/>
      <c r="F46" s="12"/>
      <c r="G46" s="12"/>
      <c r="H46" s="12"/>
      <c r="I46" s="11"/>
    </row>
    <row r="47" spans="1:13" ht="20.25" x14ac:dyDescent="0.3">
      <c r="A47" s="13"/>
      <c r="B47" s="12"/>
      <c r="C47" s="12"/>
      <c r="D47" s="12"/>
      <c r="E47" s="12"/>
      <c r="F47" s="12"/>
      <c r="G47" s="12"/>
      <c r="H47" s="12"/>
      <c r="I47" s="11"/>
    </row>
    <row r="48" spans="1:13" ht="20.25" x14ac:dyDescent="0.3">
      <c r="A48" s="10"/>
      <c r="B48" s="9"/>
      <c r="C48" s="9"/>
      <c r="D48" s="9"/>
      <c r="E48" s="9"/>
      <c r="F48" s="9"/>
      <c r="G48" s="9"/>
      <c r="H48" s="9"/>
      <c r="I48" s="8"/>
    </row>
    <row r="49" spans="1:9" ht="20.25" x14ac:dyDescent="0.3">
      <c r="A49" s="7" t="s">
        <v>0</v>
      </c>
      <c r="B49" s="6"/>
      <c r="C49" s="6"/>
      <c r="D49" s="6"/>
      <c r="E49" s="6"/>
      <c r="F49" s="6"/>
      <c r="G49" s="6"/>
      <c r="H49" s="6"/>
      <c r="I49" s="5"/>
    </row>
    <row r="50" spans="1:9" ht="20.25" x14ac:dyDescent="0.3">
      <c r="A50" s="4"/>
      <c r="B50" s="4"/>
      <c r="C50" s="4"/>
      <c r="D50" s="4"/>
      <c r="E50" s="4"/>
      <c r="F50" s="4"/>
      <c r="G50" s="4"/>
      <c r="H50" s="4"/>
      <c r="I50" s="4"/>
    </row>
    <row r="51" spans="1:9" ht="20.25" x14ac:dyDescent="0.3">
      <c r="A51" s="3"/>
      <c r="B51" s="2"/>
      <c r="C51" s="2"/>
      <c r="D51" s="2"/>
      <c r="E51" s="2"/>
      <c r="F51" s="2"/>
      <c r="G51" s="2"/>
      <c r="H51" s="2"/>
      <c r="I51" s="1"/>
    </row>
    <row r="52" spans="1:9" ht="20.25" x14ac:dyDescent="0.3">
      <c r="A52" s="3"/>
      <c r="B52" s="2"/>
      <c r="C52" s="2"/>
      <c r="D52" s="2"/>
      <c r="E52" s="2"/>
      <c r="F52" s="2"/>
      <c r="G52" s="2"/>
      <c r="H52" s="2"/>
      <c r="I52" s="1"/>
    </row>
  </sheetData>
  <mergeCells count="45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H39:I39"/>
    <mergeCell ref="G9:H9"/>
    <mergeCell ref="A36:C36"/>
    <mergeCell ref="F36:G36"/>
    <mergeCell ref="H36:I36"/>
    <mergeCell ref="A37:C37"/>
    <mergeCell ref="F37:G37"/>
    <mergeCell ref="H37:I37"/>
    <mergeCell ref="A50:I50"/>
    <mergeCell ref="A47:I47"/>
    <mergeCell ref="A44:I44"/>
    <mergeCell ref="A45:I45"/>
    <mergeCell ref="A46:I46"/>
    <mergeCell ref="A38:C38"/>
    <mergeCell ref="F38:G38"/>
    <mergeCell ref="H38:I38"/>
    <mergeCell ref="A39:C39"/>
    <mergeCell ref="F39:G39"/>
    <mergeCell ref="A52:I52"/>
    <mergeCell ref="A51:I51"/>
    <mergeCell ref="A40:C40"/>
    <mergeCell ref="F40:G40"/>
    <mergeCell ref="H40:I40"/>
    <mergeCell ref="A41:I41"/>
    <mergeCell ref="A42:I42"/>
    <mergeCell ref="A43:I43"/>
    <mergeCell ref="A48:I48"/>
    <mergeCell ref="A49:I49"/>
  </mergeCells>
  <pageMargins left="0.25" right="0.25" top="0.75" bottom="0.75" header="0.3" footer="0.3"/>
  <pageSetup scale="5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35401799-E95D-454F-9A6C-E792D4B78654}"/>
</file>

<file path=customXml/itemProps2.xml><?xml version="1.0" encoding="utf-8"?>
<ds:datastoreItem xmlns:ds="http://schemas.openxmlformats.org/officeDocument/2006/customXml" ds:itemID="{4495AEC4-5147-4DF2-B646-D47BD685D8EF}"/>
</file>

<file path=customXml/itemProps3.xml><?xml version="1.0" encoding="utf-8"?>
<ds:datastoreItem xmlns:ds="http://schemas.openxmlformats.org/officeDocument/2006/customXml" ds:itemID="{96D553B6-7BAA-4D1F-A3AF-BE20A7CF5E7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Ensamble Industria </vt:lpstr>
      <vt:lpstr>'Ensamble Industria 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Brenes</dc:creator>
  <cp:lastModifiedBy>Allan Brenes</cp:lastModifiedBy>
  <cp:lastPrinted>2026-02-03T20:58:15Z</cp:lastPrinted>
  <dcterms:created xsi:type="dcterms:W3CDTF">2026-02-03T20:54:47Z</dcterms:created>
  <dcterms:modified xsi:type="dcterms:W3CDTF">2026-02-03T21:02:21Z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</Properties>
</file>
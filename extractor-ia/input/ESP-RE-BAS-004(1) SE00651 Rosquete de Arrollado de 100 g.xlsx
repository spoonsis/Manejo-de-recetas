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5" documentId="8_{352AE165-E4FC-43F4-A42C-E52FA928BD36}" xr6:coauthVersionLast="47" xr6:coauthVersionMax="47" xr10:uidLastSave="{AA282ABF-B59C-4AEE-BD54-6F586E81171A}"/>
  <bookViews>
    <workbookView xWindow="-120" yWindow="-120" windowWidth="29040" windowHeight="15840" tabRatio="817" firstSheet="10" activeTab="10" xr2:uid="{6C4C8C71-3F24-4D9F-89C8-10017C15DBAF}"/>
  </bookViews>
  <sheets>
    <sheet name="Emsamble Industria" sheetId="6" state="hidden" r:id="rId1"/>
    <sheet name="Costo Industria" sheetId="17" state="hidden" r:id="rId2"/>
    <sheet name="Locales" sheetId="7" state="hidden" r:id="rId3"/>
    <sheet name="Costo Locales " sheetId="16" state="hidden" r:id="rId4"/>
    <sheet name="Pecana triturada " sheetId="22" state="hidden" r:id="rId5"/>
    <sheet name="almibar " sheetId="23" state="hidden" r:id="rId6"/>
    <sheet name="Crema dulce de leche " sheetId="21" state="hidden" r:id="rId7"/>
    <sheet name="Costo Mousse de Manjar" sheetId="15" state="hidden" r:id="rId8"/>
    <sheet name="Costo Relleno suspiro" sheetId="14" state="hidden" r:id="rId9"/>
    <sheet name="Costo Rosquete Arrollado 80" sheetId="13" state="hidden" r:id="rId10"/>
    <sheet name="Hoja1" sheetId="24" r:id="rId11"/>
    <sheet name="Batido arrollado " sheetId="19" state="hidden" r:id="rId12"/>
    <sheet name="Premezcla Batido arrollado" sheetId="20" state="hidden" r:id="rId13"/>
    <sheet name="Costo Rosqute Arr 100" sheetId="12" state="hidden" r:id="rId14"/>
    <sheet name="Hoja4" sheetId="4" state="hidden" r:id="rId15"/>
    <sheet name="Hoja5" sheetId="5" state="hidden" r:id="rId16"/>
  </sheets>
  <externalReferences>
    <externalReference r:id="rId17"/>
    <externalReference r:id="rId18"/>
  </externalReferences>
  <definedNames>
    <definedName name="_xlnm.Print_Area" localSheetId="0">'Emsamble Industria'!$A$1:$I$70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23" l="1"/>
  <c r="E30" i="23"/>
  <c r="D21" i="22"/>
  <c r="D19" i="22"/>
  <c r="D19" i="21"/>
  <c r="C21" i="20"/>
  <c r="C24" i="20" s="1"/>
  <c r="D19" i="19"/>
  <c r="A37" i="16"/>
  <c r="C37" i="16" s="1"/>
  <c r="M16" i="16"/>
  <c r="D73" i="16"/>
  <c r="D74" i="16" s="1"/>
  <c r="D76" i="16" s="1"/>
  <c r="D71" i="16"/>
  <c r="D69" i="16"/>
  <c r="F65" i="16"/>
  <c r="E51" i="16" s="1"/>
  <c r="F51" i="16" s="1"/>
  <c r="D60" i="16"/>
  <c r="D85" i="16" s="1"/>
  <c r="D86" i="16" s="1"/>
  <c r="C51" i="16"/>
  <c r="E49" i="16"/>
  <c r="D49" i="16"/>
  <c r="B49" i="16"/>
  <c r="E48" i="16"/>
  <c r="D48" i="16"/>
  <c r="B48" i="16"/>
  <c r="E47" i="16"/>
  <c r="D47" i="16"/>
  <c r="B47" i="16"/>
  <c r="A41" i="16"/>
  <c r="A50" i="16" s="1"/>
  <c r="C50" i="16" s="1"/>
  <c r="E40" i="16"/>
  <c r="D40" i="16"/>
  <c r="B40" i="16"/>
  <c r="A40" i="16"/>
  <c r="C40" i="16" s="1"/>
  <c r="E39" i="16"/>
  <c r="F39" i="16" s="1"/>
  <c r="D39" i="16"/>
  <c r="B39" i="16"/>
  <c r="A39" i="16"/>
  <c r="C39" i="16" s="1"/>
  <c r="E38" i="16"/>
  <c r="D38" i="16"/>
  <c r="B38" i="16"/>
  <c r="A38" i="16"/>
  <c r="C38" i="16" s="1"/>
  <c r="A36" i="16"/>
  <c r="C36" i="16" s="1"/>
  <c r="A35" i="16"/>
  <c r="C35" i="16" s="1"/>
  <c r="E32" i="16"/>
  <c r="D32" i="16"/>
  <c r="C32" i="16"/>
  <c r="B32" i="16"/>
  <c r="E31" i="16"/>
  <c r="D31" i="16"/>
  <c r="C31" i="16"/>
  <c r="B31" i="16"/>
  <c r="E30" i="16"/>
  <c r="D30" i="16"/>
  <c r="C30" i="16"/>
  <c r="B30" i="16"/>
  <c r="E29" i="16"/>
  <c r="F29" i="16" s="1"/>
  <c r="D29" i="16"/>
  <c r="C29" i="16"/>
  <c r="B29" i="16"/>
  <c r="D28" i="16"/>
  <c r="C28" i="16"/>
  <c r="B28" i="16"/>
  <c r="F27" i="16"/>
  <c r="D27" i="16"/>
  <c r="C27" i="16"/>
  <c r="B27" i="16"/>
  <c r="E24" i="16"/>
  <c r="F24" i="16" s="1"/>
  <c r="D24" i="16"/>
  <c r="C24" i="16"/>
  <c r="B24" i="16"/>
  <c r="C23" i="16"/>
  <c r="D22" i="16"/>
  <c r="C22" i="16"/>
  <c r="F22" i="16" s="1"/>
  <c r="B22" i="16"/>
  <c r="F21" i="16"/>
  <c r="D21" i="16"/>
  <c r="C21" i="16"/>
  <c r="B21" i="16"/>
  <c r="F20" i="16"/>
  <c r="D20" i="16"/>
  <c r="C20" i="16"/>
  <c r="B20" i="16"/>
  <c r="C19" i="16"/>
  <c r="C18" i="16"/>
  <c r="C17" i="16"/>
  <c r="B15" i="16"/>
  <c r="E14" i="16"/>
  <c r="F14" i="16" s="1"/>
  <c r="D14" i="16"/>
  <c r="C14" i="16"/>
  <c r="B14" i="16"/>
  <c r="E13" i="16"/>
  <c r="D13" i="16"/>
  <c r="C13" i="16"/>
  <c r="B13" i="16"/>
  <c r="E12" i="16"/>
  <c r="F12" i="16" s="1"/>
  <c r="D12" i="16"/>
  <c r="C12" i="16"/>
  <c r="B12" i="16"/>
  <c r="E11" i="16"/>
  <c r="D11" i="16"/>
  <c r="C11" i="16"/>
  <c r="B11" i="16"/>
  <c r="C10" i="16"/>
  <c r="C9" i="16"/>
  <c r="F9" i="16" s="1"/>
  <c r="C8" i="16"/>
  <c r="H6" i="16"/>
  <c r="D73" i="15"/>
  <c r="D74" i="15" s="1"/>
  <c r="D76" i="15" s="1"/>
  <c r="D71" i="15"/>
  <c r="D69" i="15"/>
  <c r="F65" i="15"/>
  <c r="E51" i="15" s="1"/>
  <c r="F51" i="15" s="1"/>
  <c r="D60" i="15"/>
  <c r="D85" i="15" s="1"/>
  <c r="D86" i="15" s="1"/>
  <c r="C51" i="15"/>
  <c r="E50" i="15"/>
  <c r="D50" i="15"/>
  <c r="B50" i="15"/>
  <c r="E49" i="15"/>
  <c r="D49" i="15"/>
  <c r="B49" i="15"/>
  <c r="E48" i="15"/>
  <c r="D48" i="15"/>
  <c r="B48" i="15"/>
  <c r="E47" i="15"/>
  <c r="D47" i="15"/>
  <c r="B47" i="15"/>
  <c r="E46" i="15"/>
  <c r="D46" i="15"/>
  <c r="B46" i="15"/>
  <c r="E45" i="15"/>
  <c r="D45" i="15"/>
  <c r="B45" i="15"/>
  <c r="E44" i="15"/>
  <c r="D44" i="15"/>
  <c r="B44" i="15"/>
  <c r="E41" i="15"/>
  <c r="D41" i="15"/>
  <c r="B41" i="15"/>
  <c r="A41" i="15"/>
  <c r="A50" i="15" s="1"/>
  <c r="C50" i="15" s="1"/>
  <c r="F50" i="15" s="1"/>
  <c r="E40" i="15"/>
  <c r="D40" i="15"/>
  <c r="B40" i="15"/>
  <c r="A40" i="15"/>
  <c r="C40" i="15" s="1"/>
  <c r="E39" i="15"/>
  <c r="D39" i="15"/>
  <c r="B39" i="15"/>
  <c r="A39" i="15"/>
  <c r="C39" i="15" s="1"/>
  <c r="E38" i="15"/>
  <c r="D38" i="15"/>
  <c r="B38" i="15"/>
  <c r="A38" i="15"/>
  <c r="A47" i="15" s="1"/>
  <c r="C47" i="15" s="1"/>
  <c r="E37" i="15"/>
  <c r="D37" i="15"/>
  <c r="C37" i="15"/>
  <c r="B37" i="15"/>
  <c r="A37" i="15"/>
  <c r="A46" i="15" s="1"/>
  <c r="C46" i="15" s="1"/>
  <c r="E36" i="15"/>
  <c r="D36" i="15"/>
  <c r="B36" i="15"/>
  <c r="A36" i="15"/>
  <c r="C36" i="15" s="1"/>
  <c r="E35" i="15"/>
  <c r="D35" i="15"/>
  <c r="B35" i="15"/>
  <c r="A35" i="15"/>
  <c r="C35" i="15" s="1"/>
  <c r="E32" i="15"/>
  <c r="D32" i="15"/>
  <c r="C32" i="15"/>
  <c r="B32" i="15"/>
  <c r="E31" i="15"/>
  <c r="F31" i="15" s="1"/>
  <c r="D31" i="15"/>
  <c r="C31" i="15"/>
  <c r="B31" i="15"/>
  <c r="E30" i="15"/>
  <c r="D30" i="15"/>
  <c r="C30" i="15"/>
  <c r="B30" i="15"/>
  <c r="E29" i="15"/>
  <c r="F29" i="15" s="1"/>
  <c r="D29" i="15"/>
  <c r="C29" i="15"/>
  <c r="B29" i="15"/>
  <c r="E28" i="15"/>
  <c r="D28" i="15"/>
  <c r="C28" i="15"/>
  <c r="B28" i="15"/>
  <c r="E27" i="15"/>
  <c r="F27" i="15" s="1"/>
  <c r="D27" i="15"/>
  <c r="C27" i="15"/>
  <c r="B27" i="15"/>
  <c r="E24" i="15"/>
  <c r="D24" i="15"/>
  <c r="C24" i="15"/>
  <c r="B24" i="15"/>
  <c r="E23" i="15"/>
  <c r="F23" i="15" s="1"/>
  <c r="D23" i="15"/>
  <c r="C23" i="15"/>
  <c r="B23" i="15"/>
  <c r="E22" i="15"/>
  <c r="D22" i="15"/>
  <c r="C22" i="15"/>
  <c r="B22" i="15"/>
  <c r="E21" i="15"/>
  <c r="F21" i="15" s="1"/>
  <c r="D21" i="15"/>
  <c r="C21" i="15"/>
  <c r="B21" i="15"/>
  <c r="E20" i="15"/>
  <c r="F20" i="15" s="1"/>
  <c r="D20" i="15"/>
  <c r="C20" i="15"/>
  <c r="B20" i="15"/>
  <c r="E19" i="15"/>
  <c r="F19" i="15" s="1"/>
  <c r="D19" i="15"/>
  <c r="C19" i="15"/>
  <c r="B19" i="15"/>
  <c r="E18" i="15"/>
  <c r="F18" i="15" s="1"/>
  <c r="D18" i="15"/>
  <c r="C18" i="15"/>
  <c r="B18" i="15"/>
  <c r="F17" i="15"/>
  <c r="E17" i="15"/>
  <c r="D17" i="15"/>
  <c r="C17" i="15"/>
  <c r="B17" i="15"/>
  <c r="B15" i="15"/>
  <c r="E14" i="15"/>
  <c r="D14" i="15"/>
  <c r="C14" i="15"/>
  <c r="B14" i="15"/>
  <c r="E13" i="15"/>
  <c r="D13" i="15"/>
  <c r="C13" i="15"/>
  <c r="B13" i="15"/>
  <c r="E12" i="15"/>
  <c r="D12" i="15"/>
  <c r="C12" i="15"/>
  <c r="B12" i="15"/>
  <c r="E11" i="15"/>
  <c r="D11" i="15"/>
  <c r="C11" i="15"/>
  <c r="B11" i="15"/>
  <c r="C10" i="15"/>
  <c r="C9" i="15"/>
  <c r="F9" i="15" s="1"/>
  <c r="E8" i="15"/>
  <c r="D8" i="15"/>
  <c r="C8" i="15"/>
  <c r="B8" i="15"/>
  <c r="H6" i="15"/>
  <c r="D73" i="14"/>
  <c r="D74" i="14" s="1"/>
  <c r="D76" i="14" s="1"/>
  <c r="D71" i="14"/>
  <c r="D69" i="14"/>
  <c r="F65" i="14"/>
  <c r="E51" i="14" s="1"/>
  <c r="F51" i="14" s="1"/>
  <c r="D60" i="14"/>
  <c r="D85" i="14" s="1"/>
  <c r="D86" i="14" s="1"/>
  <c r="C51" i="14"/>
  <c r="E50" i="14"/>
  <c r="D50" i="14"/>
  <c r="B50" i="14"/>
  <c r="E49" i="14"/>
  <c r="D49" i="14"/>
  <c r="B49" i="14"/>
  <c r="E48" i="14"/>
  <c r="D48" i="14"/>
  <c r="B48" i="14"/>
  <c r="E47" i="14"/>
  <c r="D47" i="14"/>
  <c r="B47" i="14"/>
  <c r="E46" i="14"/>
  <c r="D46" i="14"/>
  <c r="B46" i="14"/>
  <c r="E45" i="14"/>
  <c r="D45" i="14"/>
  <c r="B45" i="14"/>
  <c r="E44" i="14"/>
  <c r="D44" i="14"/>
  <c r="B44" i="14"/>
  <c r="E41" i="14"/>
  <c r="D41" i="14"/>
  <c r="B41" i="14"/>
  <c r="A41" i="14"/>
  <c r="A50" i="14" s="1"/>
  <c r="C50" i="14" s="1"/>
  <c r="F50" i="14" s="1"/>
  <c r="E40" i="14"/>
  <c r="D40" i="14"/>
  <c r="B40" i="14"/>
  <c r="A40" i="14"/>
  <c r="C40" i="14" s="1"/>
  <c r="E39" i="14"/>
  <c r="F39" i="14" s="1"/>
  <c r="D39" i="14"/>
  <c r="B39" i="14"/>
  <c r="A39" i="14"/>
  <c r="C39" i="14" s="1"/>
  <c r="E38" i="14"/>
  <c r="F38" i="14" s="1"/>
  <c r="D38" i="14"/>
  <c r="B38" i="14"/>
  <c r="A38" i="14"/>
  <c r="C38" i="14" s="1"/>
  <c r="E37" i="14"/>
  <c r="D37" i="14"/>
  <c r="B37" i="14"/>
  <c r="A37" i="14"/>
  <c r="A46" i="14" s="1"/>
  <c r="C46" i="14" s="1"/>
  <c r="E36" i="14"/>
  <c r="D36" i="14"/>
  <c r="B36" i="14"/>
  <c r="A36" i="14"/>
  <c r="C36" i="14" s="1"/>
  <c r="E35" i="14"/>
  <c r="D35" i="14"/>
  <c r="B35" i="14"/>
  <c r="A35" i="14"/>
  <c r="C35" i="14" s="1"/>
  <c r="E32" i="14"/>
  <c r="D32" i="14"/>
  <c r="C32" i="14"/>
  <c r="B32" i="14"/>
  <c r="E31" i="14"/>
  <c r="D31" i="14"/>
  <c r="C31" i="14"/>
  <c r="B31" i="14"/>
  <c r="E30" i="14"/>
  <c r="F30" i="14" s="1"/>
  <c r="D30" i="14"/>
  <c r="C30" i="14"/>
  <c r="B30" i="14"/>
  <c r="E29" i="14"/>
  <c r="F29" i="14" s="1"/>
  <c r="D29" i="14"/>
  <c r="C29" i="14"/>
  <c r="B29" i="14"/>
  <c r="E28" i="14"/>
  <c r="D28" i="14"/>
  <c r="C28" i="14"/>
  <c r="B28" i="14"/>
  <c r="E27" i="14"/>
  <c r="D27" i="14"/>
  <c r="C27" i="14"/>
  <c r="B27" i="14"/>
  <c r="E24" i="14"/>
  <c r="F24" i="14" s="1"/>
  <c r="D24" i="14"/>
  <c r="C24" i="14"/>
  <c r="B24" i="14"/>
  <c r="E23" i="14"/>
  <c r="F23" i="14" s="1"/>
  <c r="D23" i="14"/>
  <c r="C23" i="14"/>
  <c r="B23" i="14"/>
  <c r="E22" i="14"/>
  <c r="D22" i="14"/>
  <c r="C22" i="14"/>
  <c r="B22" i="14"/>
  <c r="E21" i="14"/>
  <c r="F21" i="14" s="1"/>
  <c r="D21" i="14"/>
  <c r="C21" i="14"/>
  <c r="B21" i="14"/>
  <c r="E20" i="14"/>
  <c r="F20" i="14" s="1"/>
  <c r="D20" i="14"/>
  <c r="C20" i="14"/>
  <c r="B20" i="14"/>
  <c r="E19" i="14"/>
  <c r="F19" i="14" s="1"/>
  <c r="D19" i="14"/>
  <c r="C19" i="14"/>
  <c r="B19" i="14"/>
  <c r="E18" i="14"/>
  <c r="D18" i="14"/>
  <c r="C18" i="14"/>
  <c r="B18" i="14"/>
  <c r="E17" i="14"/>
  <c r="F17" i="14" s="1"/>
  <c r="D17" i="14"/>
  <c r="C17" i="14"/>
  <c r="B17" i="14"/>
  <c r="B15" i="14"/>
  <c r="E14" i="14"/>
  <c r="D14" i="14"/>
  <c r="C14" i="14"/>
  <c r="B14" i="14"/>
  <c r="E13" i="14"/>
  <c r="D13" i="14"/>
  <c r="C13" i="14"/>
  <c r="B13" i="14"/>
  <c r="D12" i="14"/>
  <c r="C12" i="14"/>
  <c r="B12" i="14"/>
  <c r="C11" i="14"/>
  <c r="C10" i="14"/>
  <c r="B10" i="14"/>
  <c r="D9" i="14"/>
  <c r="C9" i="14"/>
  <c r="B9" i="14"/>
  <c r="D8" i="14"/>
  <c r="C8" i="14"/>
  <c r="B8" i="14"/>
  <c r="H6" i="14"/>
  <c r="D73" i="13"/>
  <c r="D74" i="13" s="1"/>
  <c r="D76" i="13" s="1"/>
  <c r="D71" i="13"/>
  <c r="D69" i="13"/>
  <c r="F65" i="13"/>
  <c r="E51" i="13" s="1"/>
  <c r="F51" i="13" s="1"/>
  <c r="D60" i="13"/>
  <c r="D85" i="13" s="1"/>
  <c r="D86" i="13" s="1"/>
  <c r="C51" i="13"/>
  <c r="E50" i="13"/>
  <c r="D50" i="13"/>
  <c r="B50" i="13"/>
  <c r="E49" i="13"/>
  <c r="F49" i="13" s="1"/>
  <c r="D49" i="13"/>
  <c r="B49" i="13"/>
  <c r="A49" i="13"/>
  <c r="C49" i="13" s="1"/>
  <c r="E48" i="13"/>
  <c r="F48" i="13" s="1"/>
  <c r="D48" i="13"/>
  <c r="B48" i="13"/>
  <c r="A48" i="13"/>
  <c r="C48" i="13" s="1"/>
  <c r="E47" i="13"/>
  <c r="F47" i="13" s="1"/>
  <c r="D47" i="13"/>
  <c r="B47" i="13"/>
  <c r="E46" i="13"/>
  <c r="D46" i="13"/>
  <c r="B46" i="13"/>
  <c r="D45" i="13"/>
  <c r="B45" i="13"/>
  <c r="A45" i="13"/>
  <c r="C45" i="13" s="1"/>
  <c r="F45" i="13" s="1"/>
  <c r="D44" i="13"/>
  <c r="B44" i="13"/>
  <c r="E41" i="13"/>
  <c r="D41" i="13"/>
  <c r="B41" i="13"/>
  <c r="A41" i="13"/>
  <c r="A50" i="13" s="1"/>
  <c r="C50" i="13" s="1"/>
  <c r="E40" i="13"/>
  <c r="F40" i="13" s="1"/>
  <c r="D40" i="13"/>
  <c r="B40" i="13"/>
  <c r="A40" i="13"/>
  <c r="C40" i="13" s="1"/>
  <c r="E39" i="13"/>
  <c r="F39" i="13" s="1"/>
  <c r="D39" i="13"/>
  <c r="C39" i="13"/>
  <c r="B39" i="13"/>
  <c r="A39" i="13"/>
  <c r="E38" i="13"/>
  <c r="F38" i="13" s="1"/>
  <c r="D38" i="13"/>
  <c r="C38" i="13"/>
  <c r="B38" i="13"/>
  <c r="A38" i="13"/>
  <c r="A47" i="13" s="1"/>
  <c r="C47" i="13" s="1"/>
  <c r="E37" i="13"/>
  <c r="D37" i="13"/>
  <c r="B37" i="13"/>
  <c r="A37" i="13"/>
  <c r="A46" i="13" s="1"/>
  <c r="C46" i="13" s="1"/>
  <c r="D36" i="13"/>
  <c r="C36" i="13"/>
  <c r="F36" i="13" s="1"/>
  <c r="B36" i="13"/>
  <c r="A36" i="13"/>
  <c r="D35" i="13"/>
  <c r="B35" i="13"/>
  <c r="A35" i="13"/>
  <c r="A44" i="13" s="1"/>
  <c r="C44" i="13" s="1"/>
  <c r="F44" i="13" s="1"/>
  <c r="E32" i="13"/>
  <c r="D32" i="13"/>
  <c r="C32" i="13"/>
  <c r="B32" i="13"/>
  <c r="E31" i="13"/>
  <c r="F31" i="13" s="1"/>
  <c r="D31" i="13"/>
  <c r="C31" i="13"/>
  <c r="B31" i="13"/>
  <c r="E30" i="13"/>
  <c r="D30" i="13"/>
  <c r="C30" i="13"/>
  <c r="B30" i="13"/>
  <c r="E29" i="13"/>
  <c r="F29" i="13" s="1"/>
  <c r="D29" i="13"/>
  <c r="C29" i="13"/>
  <c r="B29" i="13"/>
  <c r="E28" i="13"/>
  <c r="D28" i="13"/>
  <c r="C28" i="13"/>
  <c r="B28" i="13"/>
  <c r="E27" i="13"/>
  <c r="F27" i="13" s="1"/>
  <c r="D27" i="13"/>
  <c r="C27" i="13"/>
  <c r="B27" i="13"/>
  <c r="E24" i="13"/>
  <c r="F24" i="13" s="1"/>
  <c r="D24" i="13"/>
  <c r="C24" i="13"/>
  <c r="B24" i="13"/>
  <c r="E23" i="13"/>
  <c r="F23" i="13" s="1"/>
  <c r="D23" i="13"/>
  <c r="C23" i="13"/>
  <c r="B23" i="13"/>
  <c r="E22" i="13"/>
  <c r="F22" i="13" s="1"/>
  <c r="D22" i="13"/>
  <c r="C22" i="13"/>
  <c r="B22" i="13"/>
  <c r="E21" i="13"/>
  <c r="F21" i="13" s="1"/>
  <c r="D21" i="13"/>
  <c r="C21" i="13"/>
  <c r="B21" i="13"/>
  <c r="E20" i="13"/>
  <c r="F20" i="13" s="1"/>
  <c r="D20" i="13"/>
  <c r="C20" i="13"/>
  <c r="B20" i="13"/>
  <c r="E19" i="13"/>
  <c r="F19" i="13" s="1"/>
  <c r="D19" i="13"/>
  <c r="C19" i="13"/>
  <c r="B19" i="13"/>
  <c r="D18" i="13"/>
  <c r="C18" i="13"/>
  <c r="F18" i="13" s="1"/>
  <c r="B18" i="13"/>
  <c r="D17" i="13"/>
  <c r="C17" i="13"/>
  <c r="F17" i="13" s="1"/>
  <c r="B17" i="13"/>
  <c r="B15" i="13"/>
  <c r="E14" i="13"/>
  <c r="D14" i="13"/>
  <c r="C14" i="13"/>
  <c r="B14" i="13"/>
  <c r="E13" i="13"/>
  <c r="F13" i="13" s="1"/>
  <c r="D13" i="13"/>
  <c r="C13" i="13"/>
  <c r="B13" i="13"/>
  <c r="E12" i="13"/>
  <c r="D12" i="13"/>
  <c r="C12" i="13"/>
  <c r="B12" i="13"/>
  <c r="E11" i="13"/>
  <c r="F11" i="13" s="1"/>
  <c r="D11" i="13"/>
  <c r="C11" i="13"/>
  <c r="B11" i="13"/>
  <c r="E10" i="13"/>
  <c r="D10" i="13"/>
  <c r="C10" i="13"/>
  <c r="B10" i="13"/>
  <c r="E9" i="13"/>
  <c r="F9" i="13" s="1"/>
  <c r="D9" i="13"/>
  <c r="C9" i="13"/>
  <c r="B9" i="13"/>
  <c r="E8" i="13"/>
  <c r="D8" i="13"/>
  <c r="C8" i="13"/>
  <c r="B8" i="13"/>
  <c r="H6" i="13"/>
  <c r="F28" i="13" l="1"/>
  <c r="F46" i="13"/>
  <c r="F13" i="15"/>
  <c r="F22" i="14"/>
  <c r="F18" i="14"/>
  <c r="F11" i="15"/>
  <c r="F50" i="13"/>
  <c r="A46" i="16"/>
  <c r="C46" i="16" s="1"/>
  <c r="C41" i="16"/>
  <c r="F32" i="15"/>
  <c r="F27" i="14"/>
  <c r="F28" i="14"/>
  <c r="F36" i="14"/>
  <c r="F37" i="15"/>
  <c r="F8" i="13"/>
  <c r="F10" i="13"/>
  <c r="F12" i="13"/>
  <c r="F14" i="13"/>
  <c r="F30" i="13"/>
  <c r="F13" i="14"/>
  <c r="F14" i="14"/>
  <c r="F31" i="14"/>
  <c r="F32" i="14"/>
  <c r="F32" i="13"/>
  <c r="F31" i="16"/>
  <c r="F28" i="16"/>
  <c r="F30" i="16"/>
  <c r="F32" i="16"/>
  <c r="F11" i="16"/>
  <c r="F13" i="16"/>
  <c r="D81" i="16"/>
  <c r="D83" i="16"/>
  <c r="F10" i="16"/>
  <c r="F8" i="16"/>
  <c r="F40" i="16"/>
  <c r="A49" i="16"/>
  <c r="C49" i="16" s="1"/>
  <c r="F49" i="16" s="1"/>
  <c r="F38" i="16"/>
  <c r="A45" i="16"/>
  <c r="C45" i="16" s="1"/>
  <c r="A44" i="16"/>
  <c r="C44" i="16" s="1"/>
  <c r="A48" i="16"/>
  <c r="C48" i="16" s="1"/>
  <c r="F48" i="16" s="1"/>
  <c r="A47" i="16"/>
  <c r="C47" i="16" s="1"/>
  <c r="F47" i="16" s="1"/>
  <c r="C73" i="16"/>
  <c r="D83" i="15"/>
  <c r="F46" i="15"/>
  <c r="F40" i="15"/>
  <c r="F41" i="15"/>
  <c r="A45" i="15"/>
  <c r="C45" i="15" s="1"/>
  <c r="F45" i="15" s="1"/>
  <c r="F22" i="15"/>
  <c r="F28" i="15"/>
  <c r="C38" i="15"/>
  <c r="F38" i="15" s="1"/>
  <c r="A49" i="15"/>
  <c r="C49" i="15" s="1"/>
  <c r="F49" i="15" s="1"/>
  <c r="F24" i="15"/>
  <c r="F30" i="15"/>
  <c r="F36" i="15"/>
  <c r="C41" i="15"/>
  <c r="F12" i="15"/>
  <c r="F14" i="15"/>
  <c r="F10" i="15"/>
  <c r="F8" i="15"/>
  <c r="F39" i="15"/>
  <c r="F35" i="15"/>
  <c r="F47" i="15"/>
  <c r="A44" i="15"/>
  <c r="C44" i="15" s="1"/>
  <c r="F44" i="15" s="1"/>
  <c r="A48" i="15"/>
  <c r="C48" i="15" s="1"/>
  <c r="F48" i="15" s="1"/>
  <c r="D81" i="15"/>
  <c r="C73" i="15"/>
  <c r="D83" i="14"/>
  <c r="F46" i="14"/>
  <c r="F40" i="14"/>
  <c r="F41" i="14"/>
  <c r="A45" i="14"/>
  <c r="C45" i="14" s="1"/>
  <c r="F45" i="14" s="1"/>
  <c r="C37" i="14"/>
  <c r="F37" i="14" s="1"/>
  <c r="A49" i="14"/>
  <c r="C49" i="14" s="1"/>
  <c r="F49" i="14" s="1"/>
  <c r="C41" i="14"/>
  <c r="F8" i="14"/>
  <c r="F9" i="14"/>
  <c r="F10" i="14"/>
  <c r="F11" i="14"/>
  <c r="F12" i="14"/>
  <c r="F35" i="14"/>
  <c r="A44" i="14"/>
  <c r="C44" i="14" s="1"/>
  <c r="F44" i="14" s="1"/>
  <c r="A48" i="14"/>
  <c r="C48" i="14" s="1"/>
  <c r="F48" i="14" s="1"/>
  <c r="D81" i="14"/>
  <c r="A47" i="14"/>
  <c r="C47" i="14" s="1"/>
  <c r="F47" i="14" s="1"/>
  <c r="C73" i="14"/>
  <c r="D81" i="13"/>
  <c r="D83" i="13"/>
  <c r="F41" i="13"/>
  <c r="C35" i="13"/>
  <c r="F35" i="13" s="1"/>
  <c r="C37" i="13"/>
  <c r="F37" i="13" s="1"/>
  <c r="C41" i="13"/>
  <c r="C73" i="13"/>
  <c r="D73" i="12"/>
  <c r="D74" i="12" s="1"/>
  <c r="D76" i="12" s="1"/>
  <c r="D71" i="12"/>
  <c r="D69" i="12"/>
  <c r="F65" i="12"/>
  <c r="E51" i="12" s="1"/>
  <c r="F51" i="12" s="1"/>
  <c r="D60" i="12"/>
  <c r="D85" i="12" s="1"/>
  <c r="D86" i="12" s="1"/>
  <c r="C51" i="12"/>
  <c r="E50" i="12"/>
  <c r="D50" i="12"/>
  <c r="B50" i="12"/>
  <c r="E49" i="12"/>
  <c r="D49" i="12"/>
  <c r="B49" i="12"/>
  <c r="E48" i="12"/>
  <c r="D48" i="12"/>
  <c r="B48" i="12"/>
  <c r="E47" i="12"/>
  <c r="D47" i="12"/>
  <c r="B47" i="12"/>
  <c r="E46" i="12"/>
  <c r="D46" i="12"/>
  <c r="B46" i="12"/>
  <c r="D45" i="12"/>
  <c r="B45" i="12"/>
  <c r="D44" i="12"/>
  <c r="B44" i="12"/>
  <c r="E41" i="12"/>
  <c r="D41" i="12"/>
  <c r="C41" i="12"/>
  <c r="B41" i="12"/>
  <c r="A41" i="12"/>
  <c r="A50" i="12" s="1"/>
  <c r="C50" i="12" s="1"/>
  <c r="E40" i="12"/>
  <c r="D40" i="12"/>
  <c r="B40" i="12"/>
  <c r="A40" i="12"/>
  <c r="C40" i="12" s="1"/>
  <c r="E39" i="12"/>
  <c r="D39" i="12"/>
  <c r="B39" i="12"/>
  <c r="A39" i="12"/>
  <c r="C39" i="12" s="1"/>
  <c r="E38" i="12"/>
  <c r="D38" i="12"/>
  <c r="B38" i="12"/>
  <c r="A38" i="12"/>
  <c r="C38" i="12" s="1"/>
  <c r="E37" i="12"/>
  <c r="D37" i="12"/>
  <c r="C37" i="12"/>
  <c r="B37" i="12"/>
  <c r="A37" i="12"/>
  <c r="A46" i="12" s="1"/>
  <c r="C46" i="12" s="1"/>
  <c r="D36" i="12"/>
  <c r="C36" i="12"/>
  <c r="B36" i="12"/>
  <c r="A36" i="12"/>
  <c r="A45" i="12" s="1"/>
  <c r="C45" i="12" s="1"/>
  <c r="D35" i="12"/>
  <c r="B35" i="12"/>
  <c r="A35" i="12"/>
  <c r="C35" i="12" s="1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F29" i="12" s="1"/>
  <c r="D29" i="12"/>
  <c r="C29" i="12"/>
  <c r="B29" i="12"/>
  <c r="E28" i="12"/>
  <c r="D28" i="12"/>
  <c r="C28" i="12"/>
  <c r="B28" i="12"/>
  <c r="E27" i="12"/>
  <c r="F27" i="12" s="1"/>
  <c r="D27" i="12"/>
  <c r="C27" i="12"/>
  <c r="B27" i="12"/>
  <c r="E24" i="12"/>
  <c r="F24" i="12" s="1"/>
  <c r="D24" i="12"/>
  <c r="C24" i="12"/>
  <c r="B24" i="12"/>
  <c r="E23" i="12"/>
  <c r="F23" i="12" s="1"/>
  <c r="D23" i="12"/>
  <c r="C23" i="12"/>
  <c r="B23" i="12"/>
  <c r="E22" i="12"/>
  <c r="F22" i="12" s="1"/>
  <c r="D22" i="12"/>
  <c r="C22" i="12"/>
  <c r="B22" i="12"/>
  <c r="E21" i="12"/>
  <c r="D21" i="12"/>
  <c r="C21" i="12"/>
  <c r="B21" i="12"/>
  <c r="E20" i="12"/>
  <c r="F20" i="12" s="1"/>
  <c r="D20" i="12"/>
  <c r="C20" i="12"/>
  <c r="B20" i="12"/>
  <c r="E19" i="12"/>
  <c r="F19" i="12" s="1"/>
  <c r="D19" i="12"/>
  <c r="C19" i="12"/>
  <c r="B19" i="12"/>
  <c r="D18" i="12"/>
  <c r="C18" i="12"/>
  <c r="F18" i="12" s="1"/>
  <c r="B18" i="12"/>
  <c r="F17" i="12"/>
  <c r="D17" i="12"/>
  <c r="C17" i="12"/>
  <c r="B17" i="12"/>
  <c r="B15" i="12"/>
  <c r="E14" i="12"/>
  <c r="F14" i="12" s="1"/>
  <c r="D14" i="12"/>
  <c r="C14" i="12"/>
  <c r="B14" i="12"/>
  <c r="E13" i="12"/>
  <c r="D13" i="12"/>
  <c r="C13" i="12"/>
  <c r="B13" i="12"/>
  <c r="E12" i="12"/>
  <c r="F12" i="12" s="1"/>
  <c r="D12" i="12"/>
  <c r="C12" i="12"/>
  <c r="B12" i="12"/>
  <c r="E11" i="12"/>
  <c r="D11" i="12"/>
  <c r="C11" i="12"/>
  <c r="B11" i="12"/>
  <c r="E10" i="12"/>
  <c r="F10" i="12" s="1"/>
  <c r="D10" i="12"/>
  <c r="C10" i="12"/>
  <c r="B10" i="12"/>
  <c r="E9" i="12"/>
  <c r="D9" i="12"/>
  <c r="C9" i="12"/>
  <c r="B9" i="12"/>
  <c r="E8" i="12"/>
  <c r="F8" i="12" s="1"/>
  <c r="D8" i="12"/>
  <c r="C8" i="12"/>
  <c r="B8" i="12"/>
  <c r="H6" i="12"/>
  <c r="D52" i="7"/>
  <c r="D52" i="6"/>
  <c r="F31" i="12" l="1"/>
  <c r="F32" i="12"/>
  <c r="F56" i="13"/>
  <c r="H56" i="13" s="1"/>
  <c r="E45" i="16" s="1"/>
  <c r="F45" i="16" s="1"/>
  <c r="F40" i="12"/>
  <c r="F50" i="12"/>
  <c r="F53" i="13"/>
  <c r="C69" i="13" s="1"/>
  <c r="F21" i="12"/>
  <c r="F53" i="15"/>
  <c r="F64" i="15" s="1"/>
  <c r="C85" i="16"/>
  <c r="E85" i="16" s="1"/>
  <c r="E73" i="16"/>
  <c r="F56" i="15"/>
  <c r="C85" i="15"/>
  <c r="E85" i="15" s="1"/>
  <c r="E73" i="15"/>
  <c r="F54" i="15"/>
  <c r="F53" i="14"/>
  <c r="H53" i="14" s="1"/>
  <c r="F2" i="14" s="1"/>
  <c r="F56" i="14"/>
  <c r="F54" i="14"/>
  <c r="C85" i="14"/>
  <c r="E85" i="14" s="1"/>
  <c r="E73" i="14"/>
  <c r="F64" i="13"/>
  <c r="H53" i="13"/>
  <c r="C85" i="13"/>
  <c r="E85" i="13" s="1"/>
  <c r="E73" i="13"/>
  <c r="F54" i="13"/>
  <c r="D81" i="12"/>
  <c r="D83" i="12"/>
  <c r="F46" i="12"/>
  <c r="F37" i="12"/>
  <c r="F41" i="12"/>
  <c r="F28" i="12"/>
  <c r="F30" i="12"/>
  <c r="A49" i="12"/>
  <c r="C49" i="12" s="1"/>
  <c r="F49" i="12" s="1"/>
  <c r="F9" i="12"/>
  <c r="F11" i="12"/>
  <c r="F13" i="12"/>
  <c r="F36" i="12"/>
  <c r="F35" i="12"/>
  <c r="F38" i="12"/>
  <c r="F39" i="12"/>
  <c r="F45" i="12"/>
  <c r="A44" i="12"/>
  <c r="C44" i="12" s="1"/>
  <c r="F44" i="12" s="1"/>
  <c r="A48" i="12"/>
  <c r="C48" i="12" s="1"/>
  <c r="F48" i="12" s="1"/>
  <c r="A47" i="12"/>
  <c r="C47" i="12" s="1"/>
  <c r="F47" i="12" s="1"/>
  <c r="C73" i="12"/>
  <c r="C74" i="13" l="1"/>
  <c r="F55" i="15"/>
  <c r="C69" i="15"/>
  <c r="E69" i="15" s="1"/>
  <c r="E23" i="16" s="1"/>
  <c r="F23" i="16" s="1"/>
  <c r="H53" i="15"/>
  <c r="F2" i="15" s="1"/>
  <c r="F53" i="12"/>
  <c r="C69" i="12" s="1"/>
  <c r="F2" i="13"/>
  <c r="E18" i="16"/>
  <c r="F18" i="16" s="1"/>
  <c r="H55" i="15"/>
  <c r="O54" i="15"/>
  <c r="F63" i="15"/>
  <c r="H56" i="15"/>
  <c r="C74" i="15"/>
  <c r="H54" i="15"/>
  <c r="G2" i="15" s="1"/>
  <c r="C76" i="15"/>
  <c r="E76" i="15" s="1"/>
  <c r="E41" i="16" s="1"/>
  <c r="F41" i="16" s="1"/>
  <c r="C69" i="14"/>
  <c r="E69" i="14" s="1"/>
  <c r="E19" i="16" s="1"/>
  <c r="F19" i="16" s="1"/>
  <c r="F64" i="14"/>
  <c r="H54" i="14"/>
  <c r="G2" i="14" s="1"/>
  <c r="C76" i="14"/>
  <c r="E76" i="14" s="1"/>
  <c r="E37" i="16" s="1"/>
  <c r="F37" i="16" s="1"/>
  <c r="H56" i="14"/>
  <c r="C74" i="14"/>
  <c r="F55" i="14"/>
  <c r="E69" i="13"/>
  <c r="C81" i="13"/>
  <c r="E81" i="13" s="1"/>
  <c r="E74" i="13"/>
  <c r="C86" i="13"/>
  <c r="E86" i="13" s="1"/>
  <c r="H54" i="13"/>
  <c r="C76" i="13"/>
  <c r="E76" i="13" s="1"/>
  <c r="H58" i="13"/>
  <c r="H59" i="13" s="1"/>
  <c r="O58" i="13" s="1"/>
  <c r="H2" i="13"/>
  <c r="O55" i="13"/>
  <c r="F55" i="13"/>
  <c r="F54" i="12"/>
  <c r="C76" i="12" s="1"/>
  <c r="E76" i="12" s="1"/>
  <c r="F56" i="12"/>
  <c r="C85" i="12"/>
  <c r="E85" i="12" s="1"/>
  <c r="E73" i="12"/>
  <c r="F64" i="12"/>
  <c r="C81" i="15" l="1"/>
  <c r="E81" i="15" s="1"/>
  <c r="H53" i="12"/>
  <c r="H54" i="12"/>
  <c r="G2" i="12" s="1"/>
  <c r="F2" i="12"/>
  <c r="E17" i="16"/>
  <c r="F17" i="16" s="1"/>
  <c r="F53" i="16" s="1"/>
  <c r="F55" i="12"/>
  <c r="F63" i="12" s="1"/>
  <c r="G2" i="13"/>
  <c r="E36" i="16"/>
  <c r="F36" i="16" s="1"/>
  <c r="O56" i="15"/>
  <c r="C71" i="15"/>
  <c r="E63" i="15"/>
  <c r="F66" i="15"/>
  <c r="G63" i="15" s="1"/>
  <c r="H2" i="15"/>
  <c r="H58" i="15"/>
  <c r="H59" i="15" s="1"/>
  <c r="O58" i="15" s="1"/>
  <c r="O55" i="15"/>
  <c r="E74" i="15"/>
  <c r="C86" i="15"/>
  <c r="E86" i="15" s="1"/>
  <c r="C81" i="14"/>
  <c r="E81" i="14" s="1"/>
  <c r="H55" i="14"/>
  <c r="F63" i="14"/>
  <c r="O54" i="14"/>
  <c r="H2" i="14"/>
  <c r="H58" i="14"/>
  <c r="H59" i="14" s="1"/>
  <c r="O58" i="14" s="1"/>
  <c r="O55" i="14"/>
  <c r="E74" i="14"/>
  <c r="C86" i="14"/>
  <c r="E86" i="14" s="1"/>
  <c r="H55" i="13"/>
  <c r="F63" i="13"/>
  <c r="O54" i="13"/>
  <c r="E78" i="13"/>
  <c r="H56" i="12"/>
  <c r="E44" i="16" s="1"/>
  <c r="F44" i="16" s="1"/>
  <c r="C74" i="12"/>
  <c r="E69" i="12"/>
  <c r="C81" i="12"/>
  <c r="E81" i="12" s="1"/>
  <c r="H55" i="12"/>
  <c r="E35" i="16" l="1"/>
  <c r="F35" i="16" s="1"/>
  <c r="O54" i="12"/>
  <c r="E78" i="15"/>
  <c r="E50" i="16"/>
  <c r="F50" i="16" s="1"/>
  <c r="O57" i="15"/>
  <c r="O59" i="15" s="1"/>
  <c r="O60" i="15" s="1"/>
  <c r="O61" i="15" s="1"/>
  <c r="O62" i="15" s="1"/>
  <c r="F54" i="16"/>
  <c r="C76" i="16" s="1"/>
  <c r="E76" i="16" s="1"/>
  <c r="H53" i="16"/>
  <c r="F2" i="16" s="1"/>
  <c r="F64" i="16"/>
  <c r="C69" i="16"/>
  <c r="E78" i="14"/>
  <c r="E46" i="16"/>
  <c r="F46" i="16" s="1"/>
  <c r="C83" i="15"/>
  <c r="E83" i="15" s="1"/>
  <c r="E71" i="15"/>
  <c r="G66" i="15"/>
  <c r="G9" i="15"/>
  <c r="G18" i="15"/>
  <c r="G19" i="15"/>
  <c r="G14" i="15"/>
  <c r="G31" i="15"/>
  <c r="G29" i="15"/>
  <c r="G24" i="15"/>
  <c r="G51" i="15"/>
  <c r="G65" i="15"/>
  <c r="G49" i="15"/>
  <c r="G20" i="15"/>
  <c r="G46" i="15"/>
  <c r="G11" i="15"/>
  <c r="G37" i="15"/>
  <c r="G8" i="15"/>
  <c r="G21" i="15"/>
  <c r="G40" i="15"/>
  <c r="G30" i="15"/>
  <c r="G27" i="15"/>
  <c r="G38" i="15"/>
  <c r="G12" i="15"/>
  <c r="G28" i="15"/>
  <c r="G23" i="15"/>
  <c r="G13" i="15"/>
  <c r="G32" i="15"/>
  <c r="G50" i="15"/>
  <c r="G10" i="15"/>
  <c r="G22" i="15"/>
  <c r="G41" i="15"/>
  <c r="G36" i="15"/>
  <c r="G17" i="15"/>
  <c r="G48" i="15"/>
  <c r="G39" i="15"/>
  <c r="G44" i="15"/>
  <c r="G47" i="15"/>
  <c r="G53" i="15"/>
  <c r="G35" i="15"/>
  <c r="G45" i="15"/>
  <c r="G64" i="15"/>
  <c r="G55" i="15"/>
  <c r="G56" i="15"/>
  <c r="G54" i="15"/>
  <c r="C71" i="14"/>
  <c r="E63" i="14"/>
  <c r="F66" i="14"/>
  <c r="G63" i="14" s="1"/>
  <c r="O56" i="14"/>
  <c r="O57" i="14" s="1"/>
  <c r="O59" i="14" s="1"/>
  <c r="O56" i="13"/>
  <c r="O57" i="13" s="1"/>
  <c r="O59" i="13" s="1"/>
  <c r="C71" i="13"/>
  <c r="E63" i="13"/>
  <c r="F66" i="13"/>
  <c r="G63" i="13" s="1"/>
  <c r="E74" i="12"/>
  <c r="E78" i="12" s="1"/>
  <c r="C86" i="12"/>
  <c r="E86" i="12" s="1"/>
  <c r="O56" i="12"/>
  <c r="H2" i="12"/>
  <c r="H58" i="12"/>
  <c r="H59" i="12" s="1"/>
  <c r="O58" i="12" s="1"/>
  <c r="O55" i="12"/>
  <c r="C71" i="12"/>
  <c r="E63" i="12"/>
  <c r="F66" i="12"/>
  <c r="G63" i="12" s="1"/>
  <c r="F56" i="16" l="1"/>
  <c r="F55" i="16"/>
  <c r="F63" i="16" s="1"/>
  <c r="H54" i="16"/>
  <c r="G2" i="16" s="1"/>
  <c r="O57" i="12"/>
  <c r="O59" i="12" s="1"/>
  <c r="O60" i="12" s="1"/>
  <c r="H56" i="16"/>
  <c r="C74" i="16"/>
  <c r="H55" i="16"/>
  <c r="O54" i="16"/>
  <c r="C81" i="16"/>
  <c r="E81" i="16" s="1"/>
  <c r="E69" i="16"/>
  <c r="P62" i="15"/>
  <c r="E2" i="15"/>
  <c r="G66" i="14"/>
  <c r="G24" i="14"/>
  <c r="G10" i="14"/>
  <c r="G14" i="14"/>
  <c r="G31" i="14"/>
  <c r="G29" i="14"/>
  <c r="G38" i="14"/>
  <c r="G20" i="14"/>
  <c r="G22" i="14"/>
  <c r="G51" i="14"/>
  <c r="G65" i="14"/>
  <c r="G50" i="14"/>
  <c r="G12" i="14"/>
  <c r="G21" i="14"/>
  <c r="G19" i="14"/>
  <c r="G46" i="14"/>
  <c r="G49" i="14"/>
  <c r="G32" i="14"/>
  <c r="G9" i="14"/>
  <c r="G30" i="14"/>
  <c r="G8" i="14"/>
  <c r="G11" i="14"/>
  <c r="G17" i="14"/>
  <c r="G36" i="14"/>
  <c r="G39" i="14"/>
  <c r="G40" i="14"/>
  <c r="G28" i="14"/>
  <c r="G27" i="14"/>
  <c r="G41" i="14"/>
  <c r="G13" i="14"/>
  <c r="G23" i="14"/>
  <c r="G37" i="14"/>
  <c r="G45" i="14"/>
  <c r="G18" i="14"/>
  <c r="G44" i="14"/>
  <c r="G35" i="14"/>
  <c r="G47" i="14"/>
  <c r="G53" i="14"/>
  <c r="G48" i="14"/>
  <c r="G64" i="14"/>
  <c r="G54" i="14"/>
  <c r="G56" i="14"/>
  <c r="G55" i="14"/>
  <c r="O60" i="14"/>
  <c r="O61" i="14" s="1"/>
  <c r="O62" i="14" s="1"/>
  <c r="C83" i="14"/>
  <c r="E83" i="14" s="1"/>
  <c r="E71" i="14"/>
  <c r="O60" i="13"/>
  <c r="O61" i="13" s="1"/>
  <c r="O62" i="13" s="1"/>
  <c r="C83" i="13"/>
  <c r="E83" i="13" s="1"/>
  <c r="E71" i="13"/>
  <c r="G66" i="13"/>
  <c r="G24" i="13"/>
  <c r="G47" i="13"/>
  <c r="G13" i="13"/>
  <c r="G17" i="13"/>
  <c r="G23" i="13"/>
  <c r="G8" i="13"/>
  <c r="G21" i="13"/>
  <c r="G46" i="13"/>
  <c r="G44" i="13"/>
  <c r="G39" i="13"/>
  <c r="G20" i="13"/>
  <c r="G51" i="13"/>
  <c r="G38" i="13"/>
  <c r="G40" i="13"/>
  <c r="G12" i="13"/>
  <c r="G28" i="13"/>
  <c r="G65" i="13"/>
  <c r="G11" i="13"/>
  <c r="G49" i="13"/>
  <c r="G32" i="13"/>
  <c r="G19" i="13"/>
  <c r="G50" i="13"/>
  <c r="G30" i="13"/>
  <c r="G36" i="13"/>
  <c r="G10" i="13"/>
  <c r="G22" i="13"/>
  <c r="G27" i="13"/>
  <c r="G9" i="13"/>
  <c r="G45" i="13"/>
  <c r="G29" i="13"/>
  <c r="G18" i="13"/>
  <c r="G48" i="13"/>
  <c r="G14" i="13"/>
  <c r="G31" i="13"/>
  <c r="G37" i="13"/>
  <c r="G35" i="13"/>
  <c r="G56" i="13"/>
  <c r="G53" i="13"/>
  <c r="G41" i="13"/>
  <c r="G64" i="13"/>
  <c r="G54" i="13"/>
  <c r="G55" i="13"/>
  <c r="C83" i="12"/>
  <c r="E83" i="12" s="1"/>
  <c r="E71" i="12"/>
  <c r="G66" i="12"/>
  <c r="G9" i="12"/>
  <c r="G18" i="12"/>
  <c r="G50" i="12"/>
  <c r="G20" i="12"/>
  <c r="G12" i="12"/>
  <c r="G28" i="12"/>
  <c r="G51" i="12"/>
  <c r="G37" i="12"/>
  <c r="G11" i="12"/>
  <c r="G27" i="12"/>
  <c r="G29" i="12"/>
  <c r="G14" i="12"/>
  <c r="G31" i="12"/>
  <c r="G23" i="12"/>
  <c r="G40" i="12"/>
  <c r="G13" i="12"/>
  <c r="G32" i="12"/>
  <c r="G49" i="12"/>
  <c r="G46" i="12"/>
  <c r="G8" i="12"/>
  <c r="G21" i="12"/>
  <c r="G35" i="12"/>
  <c r="G24" i="12"/>
  <c r="G65" i="12"/>
  <c r="G17" i="12"/>
  <c r="G36" i="12"/>
  <c r="G19" i="12"/>
  <c r="G10" i="12"/>
  <c r="G22" i="12"/>
  <c r="G41" i="12"/>
  <c r="G30" i="12"/>
  <c r="G48" i="12"/>
  <c r="G38" i="12"/>
  <c r="G54" i="12"/>
  <c r="G39" i="12"/>
  <c r="G44" i="12"/>
  <c r="G53" i="12"/>
  <c r="G45" i="12"/>
  <c r="G47" i="12"/>
  <c r="G64" i="12"/>
  <c r="G56" i="12"/>
  <c r="G55" i="12"/>
  <c r="O61" i="12" l="1"/>
  <c r="O62" i="12" s="1"/>
  <c r="O56" i="16"/>
  <c r="E74" i="16"/>
  <c r="E78" i="16" s="1"/>
  <c r="C86" i="16"/>
  <c r="E86" i="16" s="1"/>
  <c r="E63" i="16"/>
  <c r="C71" i="16"/>
  <c r="F66" i="16"/>
  <c r="H2" i="16"/>
  <c r="H58" i="16"/>
  <c r="H59" i="16" s="1"/>
  <c r="O58" i="16" s="1"/>
  <c r="O55" i="16"/>
  <c r="P62" i="14"/>
  <c r="E2" i="14"/>
  <c r="P62" i="13"/>
  <c r="E2" i="13"/>
  <c r="P62" i="12"/>
  <c r="E2" i="12"/>
  <c r="O57" i="16" l="1"/>
  <c r="O59" i="16" s="1"/>
  <c r="O60" i="16" s="1"/>
  <c r="O61" i="16" s="1"/>
  <c r="O62" i="16" s="1"/>
  <c r="P62" i="16" s="1"/>
  <c r="C83" i="16"/>
  <c r="E83" i="16" s="1"/>
  <c r="E71" i="16"/>
  <c r="G63" i="16"/>
  <c r="G21" i="16"/>
  <c r="G11" i="16"/>
  <c r="G54" i="16"/>
  <c r="G45" i="16"/>
  <c r="G50" i="16"/>
  <c r="G48" i="16"/>
  <c r="G24" i="16"/>
  <c r="G36" i="16"/>
  <c r="G31" i="16"/>
  <c r="G56" i="16"/>
  <c r="G32" i="16"/>
  <c r="G19" i="16"/>
  <c r="G53" i="16"/>
  <c r="G55" i="16"/>
  <c r="G9" i="16"/>
  <c r="G8" i="16"/>
  <c r="G35" i="16"/>
  <c r="G17" i="16"/>
  <c r="G13" i="16"/>
  <c r="G65" i="16"/>
  <c r="G64" i="16"/>
  <c r="G37" i="16"/>
  <c r="G27" i="16"/>
  <c r="G49" i="16"/>
  <c r="G20" i="16"/>
  <c r="G10" i="16"/>
  <c r="G30" i="16"/>
  <c r="G46" i="16"/>
  <c r="G41" i="16"/>
  <c r="G39" i="16"/>
  <c r="G40" i="16"/>
  <c r="G44" i="16"/>
  <c r="G38" i="16"/>
  <c r="G18" i="16"/>
  <c r="G47" i="16"/>
  <c r="G23" i="16"/>
  <c r="G51" i="16"/>
  <c r="G29" i="16"/>
  <c r="G14" i="16"/>
  <c r="G66" i="16"/>
  <c r="G12" i="16"/>
  <c r="G22" i="16"/>
  <c r="G28" i="16"/>
  <c r="E2" i="16" l="1"/>
</calcChain>
</file>

<file path=xl/sharedStrings.xml><?xml version="1.0" encoding="utf-8"?>
<sst xmlns="http://schemas.openxmlformats.org/spreadsheetml/2006/main" count="1290" uniqueCount="315">
  <si>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</si>
  <si>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</si>
  <si>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</si>
  <si>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</si>
  <si>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</si>
  <si>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</si>
  <si>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</si>
  <si>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</si>
  <si>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</si>
  <si>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</si>
  <si>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</si>
  <si>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</si>
  <si>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</si>
  <si>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</si>
  <si>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</si>
  <si>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</si>
  <si>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</si>
  <si>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</si>
  <si>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FAS</t>
  </si>
  <si>
    <t>g</t>
  </si>
  <si>
    <t>EMPAQUE</t>
  </si>
  <si>
    <t>ud</t>
  </si>
  <si>
    <t>Unidad</t>
  </si>
  <si>
    <t>PESO TOTAL OBTENIDO</t>
  </si>
  <si>
    <t>TIEMPO TOTAL DE PREPARACION</t>
  </si>
  <si>
    <t>min</t>
  </si>
  <si>
    <t>CANTIDAD DE PORCIONES OBTENIDAS</t>
  </si>
  <si>
    <t>PESO DE CADA PORCIÓN</t>
  </si>
  <si>
    <t>MERMA</t>
  </si>
  <si>
    <t>PROCEDIMIENTO DE PREPARACION DE LA  RECETA</t>
  </si>
  <si>
    <t>Postres</t>
  </si>
  <si>
    <t>Jose Brizuela, chef</t>
  </si>
  <si>
    <t>Esteban Cartin, Gte Manufactura</t>
  </si>
  <si>
    <t># Codigo Netsuite</t>
  </si>
  <si>
    <t>Tiempo de Horneo:</t>
  </si>
  <si>
    <t>Horno:</t>
  </si>
  <si>
    <t>Temperatura de Horneo:</t>
  </si>
  <si>
    <t>Otros</t>
  </si>
  <si>
    <t xml:space="preserve">CONTROL DE CAMBIOS </t>
  </si>
  <si>
    <t>Emsamble</t>
  </si>
  <si>
    <t xml:space="preserve">Relleno de Suspiro con Manjar </t>
  </si>
  <si>
    <t>Relleno  # 1</t>
  </si>
  <si>
    <t>Relleno # 2</t>
  </si>
  <si>
    <t xml:space="preserve">Decoracion </t>
  </si>
  <si>
    <t>Color Rojo Navidad</t>
  </si>
  <si>
    <t xml:space="preserve">2 Dorados </t>
  </si>
  <si>
    <t>Almibar</t>
  </si>
  <si>
    <t>1 unidad</t>
  </si>
  <si>
    <t>2 unidades</t>
  </si>
  <si>
    <t xml:space="preserve">Circulos de Chocolate de 7,5  cm </t>
  </si>
  <si>
    <t>Circulos de chocolate de 5,5 cm</t>
  </si>
  <si>
    <t>EM10009</t>
  </si>
  <si>
    <t>QUEQUERA RED  BASE/DOMO 10 (CAJA:50)</t>
  </si>
  <si>
    <t>MAYCA</t>
  </si>
  <si>
    <t>EM10008</t>
  </si>
  <si>
    <t>ORLA CARTON 10" DORADA UND</t>
  </si>
  <si>
    <t>Mayca</t>
  </si>
  <si>
    <t>Ud</t>
  </si>
  <si>
    <t>EM10002</t>
  </si>
  <si>
    <t>Etiq.Blanca 1 1/4 * 3/4</t>
  </si>
  <si>
    <t>ETIPLAST</t>
  </si>
  <si>
    <t>0703020</t>
  </si>
  <si>
    <t>EM10248</t>
  </si>
  <si>
    <t>CINTA ADHESIVA TRANSPARENTE 2*100</t>
  </si>
  <si>
    <t>cm</t>
  </si>
  <si>
    <t>EM10124</t>
  </si>
  <si>
    <t xml:space="preserve">ETIQUETA BLANCA R-153 </t>
  </si>
  <si>
    <t>Cemusa</t>
  </si>
  <si>
    <t>0702123</t>
  </si>
  <si>
    <t>EM10011</t>
  </si>
  <si>
    <t>ETIQUETA BLANCA 2 5/8X1 15/16 PRE BLANCA</t>
  </si>
  <si>
    <t>Etiplast</t>
  </si>
  <si>
    <t>EM10314</t>
  </si>
  <si>
    <t>Etiqueta Edicion Especial</t>
  </si>
  <si>
    <t>Postre Nueces y Dulce Leche Navidad 2024 Industria</t>
  </si>
  <si>
    <t>SE00005</t>
  </si>
  <si>
    <t>SE00032</t>
  </si>
  <si>
    <t>1/4 Taza</t>
  </si>
  <si>
    <t>1/4 taza</t>
  </si>
  <si>
    <t>Molde # 10</t>
  </si>
  <si>
    <t xml:space="preserve">Circular </t>
  </si>
  <si>
    <t>3/4 taza</t>
  </si>
  <si>
    <t>Batido Rosquete Arrollado Spoon Kilo 80 g</t>
  </si>
  <si>
    <t>Molde Mini</t>
  </si>
  <si>
    <t>3 unidad</t>
  </si>
  <si>
    <t xml:space="preserve">Mousse de Manjar </t>
  </si>
  <si>
    <t>Relleno # 3</t>
  </si>
  <si>
    <t>Relleno # 4</t>
  </si>
  <si>
    <t xml:space="preserve"> Rosquete Arrollado Spoon Kilo 100 g</t>
  </si>
  <si>
    <t>Rosquete Arrollado Spoon Kilo 80 g</t>
  </si>
  <si>
    <t xml:space="preserve">Colocho Boquilla 127 Wilton </t>
  </si>
  <si>
    <t>En el Centro a Raz</t>
  </si>
  <si>
    <t>Por postre</t>
  </si>
  <si>
    <t xml:space="preserve">Etiqueta de Temporada ( Navidad ) </t>
  </si>
  <si>
    <t xml:space="preserve">3-Repetir el Proceso 2 veces mas </t>
  </si>
  <si>
    <t xml:space="preserve">5-Desmoldar y Decorar </t>
  </si>
  <si>
    <t xml:space="preserve">6-Colocar la Crema de Caramelo con la Boquilla 127 wilton en Borde, Agregar el relleno de suspiro con manjar en el centro y cubrir  </t>
  </si>
  <si>
    <t>7-Colocar las Monedas y la Nuez Entera</t>
  </si>
  <si>
    <t>Crema Dulce Leche</t>
  </si>
  <si>
    <t>SE00306</t>
  </si>
  <si>
    <t>Pecana Triturada Y Horneada</t>
  </si>
  <si>
    <t>MP10562</t>
  </si>
  <si>
    <t>Pecana Entera</t>
  </si>
  <si>
    <t>MANJAR DE LECHE CONDENSADA ( 6 KG )</t>
  </si>
  <si>
    <t>Gelatina Pura</t>
  </si>
  <si>
    <t>MP10037</t>
  </si>
  <si>
    <t>Yema De Huevo Pasteurizada</t>
  </si>
  <si>
    <t>SE00452</t>
  </si>
  <si>
    <t xml:space="preserve">2-Hornear por un lapso de  ?? a un tiempo de ?? En Horno ?? </t>
  </si>
  <si>
    <t>3-Desmoldar y dejar enfriar,</t>
  </si>
  <si>
    <t>Batidos</t>
  </si>
  <si>
    <t>MEZCLA P/ENGRASE MOLDES KILO</t>
  </si>
  <si>
    <t xml:space="preserve">1-En Molde 10 cm Colocar Papel de Horneo y engrasar y agregar 100 gramos de la mezcla de Batido de Arrollado Spoon </t>
  </si>
  <si>
    <t xml:space="preserve">Utilizar Boquilla 804 </t>
  </si>
  <si>
    <t>Arteco</t>
  </si>
  <si>
    <t>3/4 Taza</t>
  </si>
  <si>
    <t>Postre Nueces y Dulce Leche Navidad 2024 Locales</t>
  </si>
  <si>
    <t xml:space="preserve">1-En  un Molde 10 cm alto ,Colocar el Rosquete de 70 g en la Orla , Bañar con Almibar , y Color el Relleno de Suspiro de Manjar </t>
  </si>
  <si>
    <t xml:space="preserve">2-Colocar el Rosquette de 56g Y bañar con el Almibar ,Agregar el relleno y seguidamente la crema y de ultimo la nuez Pecana procesada </t>
  </si>
  <si>
    <t>4-Por ultimo colocar el Rosquette de 56 Y bañar con el Mousse de Manjar hasta cubrir el molde, refrigerar hasta poder utilizar 6 Horas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</si>
  <si>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</si>
  <si>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</si>
  <si>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</si>
  <si>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</si>
  <si>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</si>
  <si>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</si>
  <si>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</si>
  <si>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</si>
  <si>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</si>
  <si>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</si>
  <si>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</si>
  <si>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</si>
  <si>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</si>
  <si>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</si>
  <si>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</si>
  <si>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</si>
  <si>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</si>
  <si>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</si>
  <si>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</si>
  <si>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</si>
  <si>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</si>
  <si>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</si>
  <si>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</si>
  <si>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</si>
  <si>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</si>
  <si>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</si>
  <si>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</si>
  <si>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</si>
  <si>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</si>
  <si>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</si>
  <si>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</si>
  <si>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</si>
  <si>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</si>
  <si>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</si>
  <si>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</si>
  <si>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</si>
  <si>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</si>
  <si>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</si>
  <si>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</si>
  <si>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</si>
  <si>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</si>
  <si>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</si>
  <si>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</si>
  <si>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</si>
  <si>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</si>
  <si>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</si>
  <si>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</si>
  <si>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</si>
  <si>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</si>
  <si>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</si>
  <si>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</si>
  <si>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907000200</t>
  </si>
  <si>
    <t>902000019</t>
  </si>
  <si>
    <t>1110414</t>
  </si>
  <si>
    <t>11400046</t>
  </si>
  <si>
    <t>11300011</t>
  </si>
  <si>
    <t>11400066</t>
  </si>
  <si>
    <t>1212412</t>
  </si>
  <si>
    <t>Gramos</t>
  </si>
  <si>
    <t xml:space="preserve">1 unidad </t>
  </si>
  <si>
    <t>1730660</t>
  </si>
  <si>
    <t>1100022</t>
  </si>
  <si>
    <t>10415</t>
  </si>
  <si>
    <t xml:space="preserve">UND </t>
  </si>
  <si>
    <t>UND</t>
  </si>
  <si>
    <t>908000021</t>
  </si>
  <si>
    <t>Gramo</t>
  </si>
  <si>
    <t>96344</t>
  </si>
  <si>
    <t>905000098</t>
  </si>
  <si>
    <t>11900028</t>
  </si>
  <si>
    <t>121603</t>
  </si>
  <si>
    <t>1950692</t>
  </si>
  <si>
    <t>0702069</t>
  </si>
  <si>
    <t>703020</t>
  </si>
  <si>
    <t>701096</t>
  </si>
  <si>
    <t>ESP-RE-BAS-004</t>
  </si>
  <si>
    <t>09</t>
  </si>
  <si>
    <t>BATIDO ROSQUETE ARROLLADO SPOON KILO 907000200(SE00452)</t>
  </si>
  <si>
    <t>Enmanuel Madrigal, Chef</t>
  </si>
  <si>
    <t>Jeffry Rodriguez. Gte de Manufactura</t>
  </si>
  <si>
    <t xml:space="preserve">BATIDOS </t>
  </si>
  <si>
    <t>POSTRES</t>
  </si>
  <si>
    <t>95362</t>
  </si>
  <si>
    <t>SE00197</t>
  </si>
  <si>
    <t>BASE PREMEZCLA ARROLLADO SPOON KILO</t>
  </si>
  <si>
    <t>11300009</t>
  </si>
  <si>
    <t>MP10141</t>
  </si>
  <si>
    <t>CLARA HUEVO PASTE DEB-EL (CAJA:2.267 K)</t>
  </si>
  <si>
    <t>Innovo</t>
  </si>
  <si>
    <t>15 min</t>
  </si>
  <si>
    <t>Argental - Marshall</t>
  </si>
  <si>
    <t>Dicte</t>
  </si>
  <si>
    <t>uds</t>
  </si>
  <si>
    <t>175°C</t>
  </si>
  <si>
    <t>170°C</t>
  </si>
  <si>
    <r>
      <rPr>
        <b/>
        <sz val="11"/>
        <rFont val="Times New Roman"/>
        <family val="1"/>
      </rPr>
      <t>1-.</t>
    </r>
    <r>
      <rPr>
        <sz val="11"/>
        <rFont val="Times New Roman"/>
        <family val="1"/>
      </rPr>
      <t xml:space="preserve"> Poner a crecer la yema y la clara en la batidora con el azúcar, preservante y polvo de hornear a velocidad maxima, hasta obetener punto cinta por 40 minutos aproximadamente.</t>
    </r>
  </si>
  <si>
    <r>
      <rPr>
        <b/>
        <sz val="11"/>
        <rFont val="Times New Roman"/>
        <family val="1"/>
      </rPr>
      <t>2-.</t>
    </r>
    <r>
      <rPr>
        <sz val="11"/>
        <rFont val="Times New Roman"/>
        <family val="1"/>
      </rPr>
      <t xml:space="preserve"> Bajar la velocidad de la batidora a mínimo y agregar la harina. No batir mucho.</t>
    </r>
  </si>
  <si>
    <r>
      <rPr>
        <b/>
        <sz val="11"/>
        <rFont val="Times New Roman"/>
        <family val="1"/>
      </rPr>
      <t>3-.</t>
    </r>
    <r>
      <rPr>
        <sz val="11"/>
        <rFont val="Times New Roman"/>
        <family val="1"/>
      </rPr>
      <t xml:space="preserve"> La mezcla debe de quedar homogénea y esponjosa, limpiar los bordes de la batidora con una espatula. </t>
    </r>
  </si>
  <si>
    <r>
      <rPr>
        <b/>
        <sz val="11"/>
        <rFont val="Times New Roman"/>
        <family val="1"/>
      </rPr>
      <t xml:space="preserve">4-. </t>
    </r>
    <r>
      <rPr>
        <sz val="11"/>
        <rFont val="Times New Roman"/>
        <family val="1"/>
      </rPr>
      <t>Hornear por 15 minutos en Argental o Marshall a 175°C o en el Dicte 3 a 170°C por 15 minutos</t>
    </r>
  </si>
  <si>
    <t>CONTROL DE CAMBIOS</t>
  </si>
  <si>
    <t>Versión #09 : Se actualiza formato, tiempos y temperaturas de horneos</t>
  </si>
  <si>
    <t xml:space="preserve">ESP-RE-PRES-008 </t>
  </si>
  <si>
    <t>11</t>
  </si>
  <si>
    <t>Pre Mezcla Arrollado Spoon (95362)</t>
  </si>
  <si>
    <t>15/03/2023</t>
  </si>
  <si>
    <t>Javier Tong, Chef</t>
  </si>
  <si>
    <t>Esteban Cartin, Gte Manofactura.</t>
  </si>
  <si>
    <t>Premezcla</t>
  </si>
  <si>
    <t>HARINA HARISOL WINTER (SACO:25 KG)</t>
  </si>
  <si>
    <t>Nacarina</t>
  </si>
  <si>
    <t>510301</t>
  </si>
  <si>
    <t>AZUCAR BLANCO (INDUSTRIAL)</t>
  </si>
  <si>
    <t>Laica</t>
  </si>
  <si>
    <t>POLVO HORNEAR FLEISHMAN (PAQ:2.5 K)</t>
  </si>
  <si>
    <t>Fleishman</t>
  </si>
  <si>
    <t>1212410</t>
  </si>
  <si>
    <t>PRESERVANTE 1047S(PAQ=5 KILO)</t>
  </si>
  <si>
    <t>Alseal</t>
  </si>
  <si>
    <t>1950705</t>
  </si>
  <si>
    <t>BOLSA 8x12 TRANSPARENTE KILO</t>
  </si>
  <si>
    <t>Plasticos P</t>
  </si>
  <si>
    <t>1950704</t>
  </si>
  <si>
    <t xml:space="preserve">BOLSA 5x8 TRANSP (KILO) </t>
  </si>
  <si>
    <t>ETIQUETA BLANCA 2 5/8X1 15/16 (UND)</t>
  </si>
  <si>
    <t>60100010</t>
  </si>
  <si>
    <t>ETIQUETA ROJA LETRA ALERJENO (UND)</t>
  </si>
  <si>
    <t>Minuto</t>
  </si>
  <si>
    <t>Tanda</t>
  </si>
  <si>
    <t>1.- Pesar todos los ingredientes por separado.</t>
  </si>
  <si>
    <t>2.- En la bosa 8*12  pesar la harina.</t>
  </si>
  <si>
    <t>3.- En la bolsa 8*12 pesar el azucar.</t>
  </si>
  <si>
    <t>4.- En la bolsa 5*8 pesar el preservante y el la otra el polvo de hornear.</t>
  </si>
  <si>
    <t xml:space="preserve">5.- Colocar todas las bolsas dentro de la bolsa del azucar. </t>
  </si>
  <si>
    <t>6.- Etiquetar con fecha de vencimiento y alerjeno</t>
  </si>
  <si>
    <t>Revisión #9: Actualización de codigos y procedimiento.</t>
  </si>
  <si>
    <t>Revisión #10: Cambio de harina Nacarina</t>
  </si>
  <si>
    <t>Revisoin #11: Cambio de harina</t>
  </si>
  <si>
    <t xml:space="preserve">ESP-RE-DES-040 </t>
  </si>
  <si>
    <t>04</t>
  </si>
  <si>
    <t>Crema de Dulce de Leche(24500g) 96344(SE00032)</t>
  </si>
  <si>
    <t>Jeffry Rodriguez, Gerente de Manufactura</t>
  </si>
  <si>
    <t>Decoracion</t>
  </si>
  <si>
    <t>MP10165</t>
  </si>
  <si>
    <t>CREMA BETTER DULCE LECHE RICH (UND:4 K)</t>
  </si>
  <si>
    <t>Rich</t>
  </si>
  <si>
    <t>4 Galones</t>
  </si>
  <si>
    <t>MP10048</t>
  </si>
  <si>
    <t>CREMA PRESTIGE GRAND (UND:4 K)</t>
  </si>
  <si>
    <t>2 Galones</t>
  </si>
  <si>
    <t>AGUA POTABLE (PLANTA)</t>
  </si>
  <si>
    <t>Spoon</t>
  </si>
  <si>
    <t>MP10008</t>
  </si>
  <si>
    <t>PRESERVANTE 1047S (PAQ=5 KILO)</t>
  </si>
  <si>
    <t>Aseal</t>
  </si>
  <si>
    <t>1.- Colocar la crema de dulce de leche y la prestige en la top cream con el agua y preservante.</t>
  </si>
  <si>
    <t>2.- Batir por 12 minutos, mantener en refrigeracin a 5°C.</t>
  </si>
  <si>
    <t>Control de cambios</t>
  </si>
  <si>
    <t>4, Actualizacion de codigos</t>
  </si>
  <si>
    <t xml:space="preserve">ESP-RE-DES-133  </t>
  </si>
  <si>
    <t>01</t>
  </si>
  <si>
    <t>905000098(SE00306) Pecana triturada</t>
  </si>
  <si>
    <t>Juan Pablo Brenes, Chef</t>
  </si>
  <si>
    <t>Esteban Cartín. Gte de Manufactura</t>
  </si>
  <si>
    <t>Decoración</t>
  </si>
  <si>
    <t>NUECES IND</t>
  </si>
  <si>
    <t>1- Pasar por la trituradora con los engranes cerrados.</t>
  </si>
  <si>
    <t>ESP-RE-COCS-034</t>
  </si>
  <si>
    <t>10</t>
  </si>
  <si>
    <t>908000021(SE00005) - ALMIBAR</t>
  </si>
  <si>
    <t>Jeffry Rodriguez, gerente de manufactura</t>
  </si>
  <si>
    <t>SE00016</t>
  </si>
  <si>
    <t>AZUCAR BLANCO INDUSTRIAL KILO</t>
  </si>
  <si>
    <t>10100311</t>
  </si>
  <si>
    <t>MP10095</t>
  </si>
  <si>
    <t xml:space="preserve">Canela En Astilla </t>
  </si>
  <si>
    <t>PRIMA</t>
  </si>
  <si>
    <t>0810288</t>
  </si>
  <si>
    <t>MP10598</t>
  </si>
  <si>
    <t>Jugo de Naranja TB</t>
  </si>
  <si>
    <t>DOS PINOS</t>
  </si>
  <si>
    <t>ASEAL</t>
  </si>
  <si>
    <t>512000002</t>
  </si>
  <si>
    <t>EM10259</t>
  </si>
  <si>
    <t>PLASTICO  AUTOAD (UND: 18 * 2000 M)</t>
  </si>
  <si>
    <t>Porciones</t>
  </si>
  <si>
    <t>1 Colocar en una olla el agua, jugo de naranja, azúcar y mezclar bien. Añadir luego el preservante y disolverlo por completo.</t>
  </si>
  <si>
    <t>2 Llevar a fuego alto hasta obtener el herbor, dejar herbir unos 5 minutos.sacar la astilla de canela</t>
  </si>
  <si>
    <t>3 Despues de la cocción, retirar del fuego y colocar en un bote cubrir con plastico adhesivo y dejar enfirar. Guardar en Camaras de Refrige.</t>
  </si>
  <si>
    <t>09: Cambio código</t>
  </si>
  <si>
    <t>10: Actualizacion de codigos</t>
  </si>
  <si>
    <t xml:space="preserve">SE00651 Rosquete de Arrollado de 100 g </t>
  </si>
  <si>
    <t># Código Netsuite</t>
  </si>
  <si>
    <t>Ensamble</t>
  </si>
  <si>
    <t>BATIDO ARROLLADO SPOON 100G</t>
  </si>
  <si>
    <t>Empaque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</si>
</sst>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  <numFmt numFmtId="170" formatCode="_(* #,##0.000_);_(* \(#,##0.000\);_(* &quot;-&quot;??_);_(@_)"/>
  </numFmts>
  <fonts count="6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Tahoma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sz val="11"/>
      <color theme="1"/>
      <name val="Century Gothic"/>
      <family val="2"/>
    </font>
    <font>
      <b/>
      <sz val="14"/>
      <name val="Century Gothic"/>
      <family val="2"/>
    </font>
    <font>
      <b/>
      <sz val="10"/>
      <name val="Century Gothic"/>
      <family val="2"/>
    </font>
    <font>
      <b/>
      <sz val="10"/>
      <color rgb="FFFF0000"/>
      <name val="Century Gothic"/>
      <family val="2"/>
    </font>
    <font>
      <sz val="10"/>
      <color theme="1"/>
      <name val="Century Gothic"/>
      <family val="2"/>
    </font>
    <font>
      <b/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u/>
      <sz val="10"/>
      <name val="Arial"/>
      <family val="2"/>
    </font>
    <font>
      <b/>
      <u/>
      <sz val="10"/>
      <name val="Century Gothic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6"/>
      <color rgb="FFFF0000"/>
      <name val="Arial"/>
      <family val="2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Century Gothic"/>
      <family val="2"/>
    </font>
    <font>
      <b/>
      <sz val="10"/>
      <color theme="1"/>
      <name val="Century Gothic"/>
      <family val="2"/>
    </font>
    <font>
      <sz val="10"/>
      <color rgb="FF000000"/>
      <name val="Century Gothic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0"/>
      <color rgb="FFFF0000"/>
      <name val="Arial"/>
      <family val="2"/>
    </font>
    <font>
      <sz val="11"/>
      <color rgb="FF1F497D"/>
      <name val="Calibri"/>
      <family val="2"/>
    </font>
    <font>
      <sz val="10.5"/>
      <name val="Century Gothic"/>
      <family val="2"/>
    </font>
    <font>
      <b/>
      <sz val="10.5"/>
      <name val="Century Gothic"/>
      <family val="2"/>
    </font>
    <font>
      <sz val="9"/>
      <name val="Arial"/>
      <family val="2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1">
    <xf numFmtId="0" fontId="0" fillId="0" borderId="0"/>
    <xf numFmtId="0" fontId="2" fillId="0" borderId="0"/>
    <xf numFmtId="0" fontId="3" fillId="0" borderId="0"/>
    <xf numFmtId="0" fontId="1" fillId="0" borderId="0"/>
    <xf numFmtId="0" fontId="18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706">
    <xf numFmtId="0" fontId="0" fillId="0" borderId="0" xfId="0"/>
    <xf numFmtId="0" fontId="0" fillId="0" borderId="5" xfId="0" applyBorder="1"/>
    <xf numFmtId="0" fontId="3" fillId="0" borderId="5" xfId="2" applyBorder="1" applyAlignment="1">
      <alignment horizontal="center"/>
    </xf>
    <xf numFmtId="1" fontId="3" fillId="0" borderId="5" xfId="2" applyNumberFormat="1" applyBorder="1" applyAlignment="1">
      <alignment horizontal="center"/>
    </xf>
    <xf numFmtId="0" fontId="4" fillId="5" borderId="6" xfId="2" applyFont="1" applyFill="1" applyBorder="1" applyAlignment="1">
      <alignment horizontal="center"/>
    </xf>
    <xf numFmtId="0" fontId="7" fillId="0" borderId="5" xfId="2" applyFont="1" applyBorder="1" applyAlignment="1">
      <alignment horizontal="center"/>
    </xf>
    <xf numFmtId="0" fontId="3" fillId="0" borderId="16" xfId="2" applyBorder="1" applyAlignment="1">
      <alignment horizontal="center"/>
    </xf>
    <xf numFmtId="0" fontId="4" fillId="5" borderId="17" xfId="2" applyFont="1" applyFill="1" applyBorder="1" applyAlignment="1">
      <alignment horizontal="center"/>
    </xf>
    <xf numFmtId="1" fontId="3" fillId="0" borderId="8" xfId="2" applyNumberFormat="1" applyBorder="1" applyAlignment="1">
      <alignment horizontal="center"/>
    </xf>
    <xf numFmtId="0" fontId="11" fillId="0" borderId="2" xfId="0" applyFont="1" applyBorder="1" applyAlignment="1">
      <alignment horizontal="right"/>
    </xf>
    <xf numFmtId="0" fontId="11" fillId="0" borderId="3" xfId="0" applyFont="1" applyBorder="1" applyAlignment="1">
      <alignment horizontal="center"/>
    </xf>
    <xf numFmtId="0" fontId="11" fillId="0" borderId="5" xfId="0" applyFont="1" applyBorder="1" applyAlignment="1">
      <alignment horizontal="right"/>
    </xf>
    <xf numFmtId="0" fontId="11" fillId="0" borderId="6" xfId="0" applyFont="1" applyBorder="1" applyAlignment="1">
      <alignment horizontal="center"/>
    </xf>
    <xf numFmtId="0" fontId="11" fillId="0" borderId="8" xfId="0" applyFont="1" applyBorder="1" applyAlignment="1">
      <alignment horizontal="right"/>
    </xf>
    <xf numFmtId="14" fontId="14" fillId="2" borderId="11" xfId="1" applyNumberFormat="1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 wrapText="1"/>
    </xf>
    <xf numFmtId="1" fontId="13" fillId="4" borderId="5" xfId="0" applyNumberFormat="1" applyFont="1" applyFill="1" applyBorder="1" applyAlignment="1">
      <alignment horizontal="center" vertical="center"/>
    </xf>
    <xf numFmtId="1" fontId="13" fillId="4" borderId="5" xfId="0" applyNumberFormat="1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" fontId="9" fillId="0" borderId="16" xfId="0" applyNumberFormat="1" applyFont="1" applyBorder="1" applyAlignment="1">
      <alignment horizontal="center"/>
    </xf>
    <xf numFmtId="1" fontId="9" fillId="0" borderId="16" xfId="0" applyNumberFormat="1" applyFont="1" applyBorder="1" applyAlignment="1">
      <alignment horizontal="center" wrapText="1"/>
    </xf>
    <xf numFmtId="1" fontId="9" fillId="0" borderId="20" xfId="0" applyNumberFormat="1" applyFont="1" applyBorder="1" applyAlignment="1">
      <alignment horizontal="center" wrapText="1"/>
    </xf>
    <xf numFmtId="0" fontId="15" fillId="0" borderId="5" xfId="0" applyFont="1" applyBorder="1"/>
    <xf numFmtId="0" fontId="9" fillId="0" borderId="18" xfId="0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5" fillId="0" borderId="17" xfId="0" applyFont="1" applyBorder="1" applyAlignment="1">
      <alignment horizontal="center" vertical="center"/>
    </xf>
    <xf numFmtId="165" fontId="16" fillId="0" borderId="5" xfId="2" applyNumberFormat="1" applyFont="1" applyBorder="1"/>
    <xf numFmtId="165" fontId="16" fillId="0" borderId="5" xfId="2" applyNumberFormat="1" applyFont="1" applyBorder="1" applyAlignment="1">
      <alignment horizontal="center"/>
    </xf>
    <xf numFmtId="1" fontId="8" fillId="0" borderId="5" xfId="2" applyNumberFormat="1" applyFont="1" applyBorder="1" applyAlignment="1">
      <alignment horizontal="center"/>
    </xf>
    <xf numFmtId="1" fontId="8" fillId="0" borderId="5" xfId="2" applyNumberFormat="1" applyFont="1" applyBorder="1" applyAlignment="1">
      <alignment horizontal="center" wrapText="1"/>
    </xf>
    <xf numFmtId="49" fontId="8" fillId="5" borderId="4" xfId="2" applyNumberFormat="1" applyFont="1" applyFill="1" applyBorder="1" applyAlignment="1">
      <alignment horizontal="center"/>
    </xf>
    <xf numFmtId="49" fontId="8" fillId="5" borderId="15" xfId="2" applyNumberFormat="1" applyFont="1" applyFill="1" applyBorder="1" applyAlignment="1">
      <alignment horizontal="center"/>
    </xf>
    <xf numFmtId="49" fontId="17" fillId="5" borderId="5" xfId="2" applyNumberFormat="1" applyFont="1" applyFill="1" applyBorder="1"/>
    <xf numFmtId="0" fontId="8" fillId="0" borderId="5" xfId="2" applyFont="1" applyBorder="1" applyAlignment="1">
      <alignment horizontal="center"/>
    </xf>
    <xf numFmtId="165" fontId="8" fillId="0" borderId="22" xfId="2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12" fontId="8" fillId="0" borderId="5" xfId="2" applyNumberFormat="1" applyFont="1" applyBorder="1" applyAlignment="1">
      <alignment horizontal="center"/>
    </xf>
    <xf numFmtId="0" fontId="8" fillId="0" borderId="6" xfId="2" applyFont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9" fillId="4" borderId="0" xfId="0" applyFont="1" applyFill="1"/>
    <xf numFmtId="0" fontId="13" fillId="4" borderId="0" xfId="0" applyFont="1" applyFill="1" applyAlignment="1">
      <alignment horizontal="center"/>
    </xf>
    <xf numFmtId="1" fontId="13" fillId="4" borderId="0" xfId="0" applyNumberFormat="1" applyFont="1" applyFill="1" applyAlignment="1">
      <alignment horizontal="center"/>
    </xf>
    <xf numFmtId="164" fontId="9" fillId="4" borderId="0" xfId="0" applyNumberFormat="1" applyFont="1" applyFill="1" applyAlignment="1">
      <alignment horizontal="center" wrapText="1"/>
    </xf>
    <xf numFmtId="0" fontId="9" fillId="4" borderId="11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" fontId="9" fillId="0" borderId="5" xfId="0" applyNumberFormat="1" applyFont="1" applyBorder="1" applyAlignment="1">
      <alignment horizontal="center" vertical="center"/>
    </xf>
    <xf numFmtId="1" fontId="9" fillId="0" borderId="5" xfId="0" applyNumberFormat="1" applyFont="1" applyBorder="1" applyAlignment="1">
      <alignment horizontal="center" vertical="center" wrapText="1"/>
    </xf>
    <xf numFmtId="1" fontId="3" fillId="0" borderId="6" xfId="2" applyNumberFormat="1" applyBorder="1"/>
    <xf numFmtId="0" fontId="3" fillId="5" borderId="6" xfId="2" applyFill="1" applyBorder="1" applyAlignment="1">
      <alignment horizontal="center"/>
    </xf>
    <xf numFmtId="0" fontId="5" fillId="0" borderId="5" xfId="2" applyFont="1" applyBorder="1" applyAlignment="1">
      <alignment horizontal="center" vertical="center"/>
    </xf>
    <xf numFmtId="1" fontId="3" fillId="0" borderId="6" xfId="2" applyNumberFormat="1" applyBorder="1" applyAlignment="1">
      <alignment horizontal="center"/>
    </xf>
    <xf numFmtId="1" fontId="3" fillId="0" borderId="16" xfId="2" applyNumberFormat="1" applyBorder="1" applyAlignment="1">
      <alignment horizontal="center"/>
    </xf>
    <xf numFmtId="0" fontId="3" fillId="5" borderId="5" xfId="2" applyFill="1" applyBorder="1" applyAlignment="1">
      <alignment horizontal="center"/>
    </xf>
    <xf numFmtId="0" fontId="3" fillId="5" borderId="5" xfId="2" applyFill="1" applyBorder="1"/>
    <xf numFmtId="0" fontId="9" fillId="0" borderId="5" xfId="2" applyFont="1" applyBorder="1" applyAlignment="1">
      <alignment horizontal="center" vertical="center"/>
    </xf>
    <xf numFmtId="1" fontId="9" fillId="0" borderId="5" xfId="2" applyNumberFormat="1" applyFont="1" applyBorder="1" applyAlignment="1">
      <alignment horizontal="center"/>
    </xf>
    <xf numFmtId="0" fontId="3" fillId="5" borderId="0" xfId="2" applyFill="1" applyAlignment="1">
      <alignment horizontal="left"/>
    </xf>
    <xf numFmtId="0" fontId="9" fillId="0" borderId="5" xfId="2" applyFont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5" xfId="0" applyFill="1" applyBorder="1"/>
    <xf numFmtId="0" fontId="0" fillId="0" borderId="5" xfId="0" applyBorder="1" applyAlignment="1">
      <alignment horizontal="left"/>
    </xf>
    <xf numFmtId="0" fontId="3" fillId="0" borderId="5" xfId="2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1" fontId="3" fillId="0" borderId="13" xfId="2" applyNumberFormat="1" applyBorder="1" applyAlignment="1">
      <alignment horizontal="center"/>
    </xf>
    <xf numFmtId="1" fontId="3" fillId="0" borderId="38" xfId="2" applyNumberFormat="1" applyBorder="1" applyAlignment="1">
      <alignment horizontal="center"/>
    </xf>
    <xf numFmtId="1" fontId="3" fillId="0" borderId="22" xfId="2" applyNumberFormat="1" applyBorder="1" applyAlignment="1">
      <alignment horizontal="center"/>
    </xf>
    <xf numFmtId="0" fontId="0" fillId="0" borderId="0" xfId="0" applyAlignment="1">
      <alignment horizontal="center"/>
    </xf>
    <xf numFmtId="0" fontId="20" fillId="0" borderId="15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19" fillId="0" borderId="15" xfId="2" applyFont="1" applyBorder="1" applyAlignment="1">
      <alignment horizontal="left" vertical="center" wrapText="1"/>
    </xf>
    <xf numFmtId="0" fontId="0" fillId="0" borderId="15" xfId="0" applyBorder="1" applyAlignment="1">
      <alignment horizontal="left"/>
    </xf>
    <xf numFmtId="0" fontId="3" fillId="0" borderId="15" xfId="2" applyBorder="1" applyAlignment="1">
      <alignment horizontal="left" vertical="center" wrapText="1"/>
    </xf>
    <xf numFmtId="0" fontId="19" fillId="0" borderId="15" xfId="2" applyFont="1" applyBorder="1"/>
    <xf numFmtId="0" fontId="19" fillId="0" borderId="15" xfId="2" applyFont="1" applyBorder="1" applyAlignment="1">
      <alignment vertical="center" wrapText="1"/>
    </xf>
    <xf numFmtId="1" fontId="0" fillId="7" borderId="5" xfId="0" applyNumberForma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9" fillId="7" borderId="15" xfId="0" applyFont="1" applyFill="1" applyBorder="1" applyAlignment="1">
      <alignment horizontal="left" vertical="center"/>
    </xf>
    <xf numFmtId="0" fontId="3" fillId="7" borderId="5" xfId="2" applyFill="1" applyBorder="1" applyAlignment="1">
      <alignment horizontal="center"/>
    </xf>
    <xf numFmtId="1" fontId="3" fillId="7" borderId="5" xfId="2" applyNumberFormat="1" applyFill="1" applyBorder="1" applyAlignment="1">
      <alignment horizontal="center"/>
    </xf>
    <xf numFmtId="1" fontId="3" fillId="7" borderId="6" xfId="2" applyNumberFormat="1" applyFill="1" applyBorder="1" applyAlignment="1">
      <alignment horizontal="center"/>
    </xf>
    <xf numFmtId="0" fontId="15" fillId="7" borderId="5" xfId="0" applyFont="1" applyFill="1" applyBorder="1" applyAlignment="1">
      <alignment horizontal="center"/>
    </xf>
    <xf numFmtId="0" fontId="3" fillId="7" borderId="15" xfId="2" applyFill="1" applyBorder="1"/>
    <xf numFmtId="49" fontId="17" fillId="0" borderId="5" xfId="2" applyNumberFormat="1" applyFont="1" applyBorder="1"/>
    <xf numFmtId="1" fontId="0" fillId="0" borderId="5" xfId="0" applyNumberFormat="1" applyBorder="1"/>
    <xf numFmtId="0" fontId="3" fillId="7" borderId="15" xfId="2" applyFill="1" applyBorder="1" applyAlignment="1">
      <alignment horizontal="left" vertical="center" wrapText="1"/>
    </xf>
    <xf numFmtId="0" fontId="5" fillId="7" borderId="5" xfId="2" applyFont="1" applyFill="1" applyBorder="1" applyAlignment="1">
      <alignment horizontal="center" vertical="center"/>
    </xf>
    <xf numFmtId="0" fontId="8" fillId="0" borderId="5" xfId="8" applyFont="1" applyBorder="1" applyAlignment="1">
      <alignment horizontal="center"/>
    </xf>
    <xf numFmtId="1" fontId="16" fillId="0" borderId="5" xfId="8" applyNumberFormat="1" applyFont="1" applyBorder="1" applyAlignment="1">
      <alignment horizontal="center"/>
    </xf>
    <xf numFmtId="1" fontId="8" fillId="0" borderId="5" xfId="8" applyNumberFormat="1" applyFont="1" applyBorder="1" applyAlignment="1">
      <alignment horizontal="center"/>
    </xf>
    <xf numFmtId="0" fontId="6" fillId="7" borderId="15" xfId="3" applyFont="1" applyFill="1" applyBorder="1" applyAlignment="1">
      <alignment horizontal="left" vertical="top" wrapText="1"/>
    </xf>
    <xf numFmtId="0" fontId="3" fillId="7" borderId="6" xfId="2" applyFill="1" applyBorder="1" applyAlignment="1">
      <alignment horizontal="center"/>
    </xf>
    <xf numFmtId="0" fontId="3" fillId="7" borderId="15" xfId="2" applyFill="1" applyBorder="1" applyAlignment="1">
      <alignment vertical="center" wrapText="1"/>
    </xf>
    <xf numFmtId="0" fontId="17" fillId="5" borderId="0" xfId="0" applyFont="1" applyFill="1" applyAlignment="1">
      <alignment vertical="center"/>
    </xf>
    <xf numFmtId="0" fontId="21" fillId="8" borderId="5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43" fontId="21" fillId="0" borderId="5" xfId="11" applyFont="1" applyFill="1" applyBorder="1" applyAlignment="1">
      <alignment horizontal="center" vertical="center"/>
    </xf>
    <xf numFmtId="43" fontId="21" fillId="0" borderId="0" xfId="11" applyFont="1" applyFill="1" applyBorder="1" applyAlignment="1">
      <alignment horizontal="center" vertical="center"/>
    </xf>
    <xf numFmtId="43" fontId="23" fillId="0" borderId="0" xfId="11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167" fontId="26" fillId="0" borderId="0" xfId="0" applyNumberFormat="1" applyFont="1" applyAlignment="1">
      <alignment horizontal="center" vertical="center" wrapText="1"/>
    </xf>
    <xf numFmtId="0" fontId="21" fillId="9" borderId="46" xfId="0" applyFont="1" applyFill="1" applyBorder="1" applyAlignment="1">
      <alignment horizontal="center" vertical="center"/>
    </xf>
    <xf numFmtId="0" fontId="21" fillId="9" borderId="47" xfId="0" applyFont="1" applyFill="1" applyBorder="1" applyAlignment="1">
      <alignment horizontal="center" vertical="center"/>
    </xf>
    <xf numFmtId="0" fontId="21" fillId="9" borderId="47" xfId="0" applyFont="1" applyFill="1" applyBorder="1" applyAlignment="1">
      <alignment horizontal="center" vertical="center" wrapText="1"/>
    </xf>
    <xf numFmtId="0" fontId="21" fillId="9" borderId="48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2" fontId="27" fillId="0" borderId="0" xfId="0" applyNumberFormat="1" applyFont="1" applyAlignment="1">
      <alignment horizontal="center"/>
    </xf>
    <xf numFmtId="4" fontId="27" fillId="0" borderId="0" xfId="12" applyNumberFormat="1" applyFont="1" applyFill="1" applyAlignment="1">
      <alignment horizontal="center" vertical="center"/>
    </xf>
    <xf numFmtId="4" fontId="21" fillId="0" borderId="0" xfId="12" applyNumberFormat="1" applyFont="1" applyFill="1" applyAlignment="1">
      <alignment horizontal="center" vertical="center"/>
    </xf>
    <xf numFmtId="10" fontId="21" fillId="0" borderId="0" xfId="13" applyNumberFormat="1" applyFont="1" applyFill="1" applyAlignment="1">
      <alignment vertical="center"/>
    </xf>
    <xf numFmtId="49" fontId="21" fillId="0" borderId="0" xfId="0" applyNumberFormat="1" applyFont="1" applyAlignment="1">
      <alignment horizontal="center" vertical="center"/>
    </xf>
    <xf numFmtId="10" fontId="22" fillId="0" borderId="0" xfId="13" applyNumberFormat="1" applyFont="1" applyFill="1" applyAlignment="1">
      <alignment vertical="center"/>
    </xf>
    <xf numFmtId="0" fontId="17" fillId="0" borderId="0" xfId="0" applyFont="1"/>
    <xf numFmtId="49" fontId="21" fillId="0" borderId="0" xfId="0" applyNumberFormat="1" applyFont="1" applyAlignment="1">
      <alignment horizontal="center"/>
    </xf>
    <xf numFmtId="168" fontId="17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/>
    </xf>
    <xf numFmtId="43" fontId="17" fillId="0" borderId="0" xfId="11" applyFont="1" applyFill="1" applyAlignment="1">
      <alignment vertical="center"/>
    </xf>
    <xf numFmtId="49" fontId="28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1" fillId="0" borderId="0" xfId="0" applyFont="1" applyAlignment="1">
      <alignment horizontal="right" vertical="center"/>
    </xf>
    <xf numFmtId="4" fontId="21" fillId="0" borderId="0" xfId="11" applyNumberFormat="1" applyFont="1" applyFill="1" applyAlignment="1">
      <alignment vertical="center"/>
    </xf>
    <xf numFmtId="43" fontId="29" fillId="0" borderId="0" xfId="11" applyFont="1" applyFill="1" applyAlignment="1">
      <alignment horizontal="center" vertical="center"/>
    </xf>
    <xf numFmtId="10" fontId="22" fillId="9" borderId="49" xfId="13" applyNumberFormat="1" applyFont="1" applyFill="1" applyBorder="1" applyAlignment="1">
      <alignment vertical="center"/>
    </xf>
    <xf numFmtId="0" fontId="17" fillId="9" borderId="44" xfId="0" applyFont="1" applyFill="1" applyBorder="1" applyAlignment="1">
      <alignment vertical="center"/>
    </xf>
    <xf numFmtId="0" fontId="17" fillId="9" borderId="49" xfId="0" applyFont="1" applyFill="1" applyBorder="1" applyAlignment="1">
      <alignment vertical="center"/>
    </xf>
    <xf numFmtId="43" fontId="29" fillId="9" borderId="50" xfId="11" applyFont="1" applyFill="1" applyBorder="1" applyAlignment="1">
      <alignment horizontal="center" vertical="center"/>
    </xf>
    <xf numFmtId="43" fontId="31" fillId="0" borderId="0" xfId="11" applyFont="1" applyFill="1" applyBorder="1" applyAlignment="1">
      <alignment horizontal="right"/>
    </xf>
    <xf numFmtId="0" fontId="17" fillId="9" borderId="50" xfId="0" applyFont="1" applyFill="1" applyBorder="1" applyAlignment="1">
      <alignment vertical="center"/>
    </xf>
    <xf numFmtId="10" fontId="22" fillId="9" borderId="50" xfId="13" applyNumberFormat="1" applyFont="1" applyFill="1" applyBorder="1" applyAlignment="1">
      <alignment vertical="center"/>
    </xf>
    <xf numFmtId="0" fontId="30" fillId="0" borderId="0" xfId="0" applyFont="1" applyAlignment="1">
      <alignment horizontal="right"/>
    </xf>
    <xf numFmtId="0" fontId="30" fillId="0" borderId="0" xfId="0" applyFont="1"/>
    <xf numFmtId="9" fontId="30" fillId="0" borderId="0" xfId="0" applyNumberFormat="1" applyFont="1"/>
    <xf numFmtId="9" fontId="32" fillId="0" borderId="0" xfId="13" applyFont="1" applyFill="1" applyAlignment="1">
      <alignment horizontal="center"/>
    </xf>
    <xf numFmtId="0" fontId="29" fillId="0" borderId="0" xfId="0" applyFont="1" applyAlignment="1">
      <alignment horizontal="right" vertical="center"/>
    </xf>
    <xf numFmtId="4" fontId="29" fillId="0" borderId="0" xfId="11" applyNumberFormat="1" applyFont="1" applyFill="1" applyAlignment="1">
      <alignment vertical="center"/>
    </xf>
    <xf numFmtId="4" fontId="29" fillId="0" borderId="0" xfId="12" applyNumberFormat="1" applyFont="1" applyAlignment="1">
      <alignment horizontal="center" vertical="center"/>
    </xf>
    <xf numFmtId="0" fontId="33" fillId="0" borderId="0" xfId="0" applyFont="1" applyAlignment="1">
      <alignment horizontal="right"/>
    </xf>
    <xf numFmtId="0" fontId="34" fillId="0" borderId="0" xfId="0" applyFont="1" applyAlignment="1">
      <alignment horizontal="right"/>
    </xf>
    <xf numFmtId="0" fontId="34" fillId="0" borderId="11" xfId="0" applyFont="1" applyBorder="1" applyAlignment="1">
      <alignment horizontal="right"/>
    </xf>
    <xf numFmtId="43" fontId="35" fillId="3" borderId="51" xfId="11" applyFont="1" applyFill="1" applyBorder="1" applyAlignment="1">
      <alignment horizontal="right"/>
    </xf>
    <xf numFmtId="43" fontId="35" fillId="0" borderId="0" xfId="11" applyFont="1" applyFill="1" applyBorder="1" applyAlignment="1">
      <alignment horizontal="right"/>
    </xf>
    <xf numFmtId="43" fontId="21" fillId="0" borderId="5" xfId="11" applyFont="1" applyFill="1" applyBorder="1" applyAlignment="1">
      <alignment vertical="center"/>
    </xf>
    <xf numFmtId="0" fontId="36" fillId="0" borderId="0" xfId="0" applyFont="1" applyAlignment="1">
      <alignment horizontal="left" vertical="center"/>
    </xf>
    <xf numFmtId="4" fontId="29" fillId="0" borderId="0" xfId="12" applyNumberFormat="1" applyFont="1" applyFill="1" applyAlignment="1">
      <alignment horizontal="center" vertical="center"/>
    </xf>
    <xf numFmtId="10" fontId="37" fillId="0" borderId="0" xfId="13" applyNumberFormat="1" applyFont="1" applyFill="1" applyAlignment="1">
      <alignment horizontal="right"/>
    </xf>
    <xf numFmtId="169" fontId="21" fillId="9" borderId="5" xfId="11" applyNumberFormat="1" applyFont="1" applyFill="1" applyBorder="1" applyAlignment="1">
      <alignment vertical="center"/>
    </xf>
    <xf numFmtId="4" fontId="17" fillId="0" borderId="0" xfId="0" applyNumberFormat="1" applyFont="1" applyAlignment="1">
      <alignment horizontal="center" vertical="center"/>
    </xf>
    <xf numFmtId="43" fontId="21" fillId="10" borderId="5" xfId="11" applyFont="1" applyFill="1" applyBorder="1" applyAlignment="1">
      <alignment vertical="center"/>
    </xf>
    <xf numFmtId="166" fontId="38" fillId="0" borderId="0" xfId="0" applyNumberFormat="1" applyFont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4" fontId="21" fillId="0" borderId="0" xfId="0" applyNumberFormat="1" applyFont="1" applyAlignment="1">
      <alignment horizontal="center" vertical="center"/>
    </xf>
    <xf numFmtId="0" fontId="22" fillId="9" borderId="52" xfId="0" applyFont="1" applyFill="1" applyBorder="1" applyAlignment="1">
      <alignment vertical="center"/>
    </xf>
    <xf numFmtId="0" fontId="40" fillId="0" borderId="0" xfId="0" applyFont="1" applyAlignment="1">
      <alignment vertical="center"/>
    </xf>
    <xf numFmtId="2" fontId="37" fillId="0" borderId="0" xfId="11" applyNumberFormat="1" applyFont="1" applyFill="1" applyBorder="1" applyAlignment="1">
      <alignment horizontal="center"/>
    </xf>
    <xf numFmtId="2" fontId="34" fillId="0" borderId="0" xfId="11" applyNumberFormat="1" applyFont="1" applyFill="1" applyBorder="1" applyAlignment="1">
      <alignment horizontal="center"/>
    </xf>
    <xf numFmtId="0" fontId="17" fillId="9" borderId="52" xfId="0" applyFont="1" applyFill="1" applyBorder="1" applyAlignment="1">
      <alignment vertical="center"/>
    </xf>
    <xf numFmtId="10" fontId="17" fillId="0" borderId="0" xfId="13" applyNumberFormat="1" applyFont="1" applyFill="1" applyAlignment="1">
      <alignment vertical="center"/>
    </xf>
    <xf numFmtId="4" fontId="17" fillId="0" borderId="0" xfId="11" applyNumberFormat="1" applyFont="1" applyFill="1" applyAlignment="1">
      <alignment vertical="center"/>
    </xf>
    <xf numFmtId="43" fontId="35" fillId="9" borderId="44" xfId="11" applyFont="1" applyFill="1" applyBorder="1" applyAlignment="1">
      <alignment horizontal="right"/>
    </xf>
    <xf numFmtId="0" fontId="21" fillId="9" borderId="45" xfId="0" applyFont="1" applyFill="1" applyBorder="1" applyAlignment="1">
      <alignment horizontal="right" vertical="center"/>
    </xf>
    <xf numFmtId="10" fontId="41" fillId="0" borderId="0" xfId="11" applyNumberFormat="1" applyFont="1" applyFill="1" applyAlignment="1">
      <alignment vertical="center"/>
    </xf>
    <xf numFmtId="10" fontId="22" fillId="0" borderId="0" xfId="13" applyNumberFormat="1" applyFont="1" applyFill="1" applyBorder="1" applyAlignment="1">
      <alignment vertical="center"/>
    </xf>
    <xf numFmtId="166" fontId="42" fillId="0" borderId="0" xfId="0" applyNumberFormat="1" applyFont="1" applyAlignment="1">
      <alignment horizontal="center" vertical="center"/>
    </xf>
    <xf numFmtId="0" fontId="17" fillId="5" borderId="51" xfId="0" applyFont="1" applyFill="1" applyBorder="1" applyAlignment="1">
      <alignment horizontal="center" vertical="center"/>
    </xf>
    <xf numFmtId="43" fontId="43" fillId="0" borderId="0" xfId="11" applyFont="1" applyFill="1" applyAlignment="1">
      <alignment vertical="center"/>
    </xf>
    <xf numFmtId="4" fontId="44" fillId="0" borderId="0" xfId="12" applyNumberFormat="1" applyFont="1" applyFill="1" applyAlignment="1">
      <alignment horizontal="center" vertical="center" wrapText="1"/>
    </xf>
    <xf numFmtId="9" fontId="17" fillId="0" borderId="0" xfId="11" applyNumberFormat="1" applyFont="1" applyFill="1" applyAlignment="1">
      <alignment vertical="center"/>
    </xf>
    <xf numFmtId="0" fontId="29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8" fillId="0" borderId="0" xfId="0" applyFont="1" applyAlignment="1">
      <alignment horizontal="right" vertical="center"/>
    </xf>
    <xf numFmtId="4" fontId="28" fillId="0" borderId="0" xfId="11" applyNumberFormat="1" applyFont="1" applyFill="1" applyAlignment="1">
      <alignment vertical="center"/>
    </xf>
    <xf numFmtId="4" fontId="21" fillId="12" borderId="51" xfId="11" applyNumberFormat="1" applyFont="1" applyFill="1" applyBorder="1" applyAlignment="1">
      <alignment horizontal="center" vertical="center"/>
    </xf>
    <xf numFmtId="0" fontId="45" fillId="0" borderId="0" xfId="0" applyFont="1" applyAlignment="1">
      <alignment vertical="center"/>
    </xf>
    <xf numFmtId="43" fontId="45" fillId="0" borderId="0" xfId="11" applyFont="1" applyFill="1" applyAlignment="1">
      <alignment vertical="center"/>
    </xf>
    <xf numFmtId="9" fontId="45" fillId="0" borderId="0" xfId="11" applyNumberFormat="1" applyFont="1" applyFill="1" applyAlignment="1">
      <alignment vertical="center"/>
    </xf>
    <xf numFmtId="4" fontId="21" fillId="0" borderId="0" xfId="11" applyNumberFormat="1" applyFont="1" applyFill="1" applyAlignment="1">
      <alignment horizontal="center" vertical="center"/>
    </xf>
    <xf numFmtId="10" fontId="38" fillId="0" borderId="0" xfId="13" applyNumberFormat="1" applyFont="1" applyFill="1" applyAlignment="1">
      <alignment vertical="center"/>
    </xf>
    <xf numFmtId="43" fontId="38" fillId="0" borderId="0" xfId="11" applyFont="1" applyFill="1" applyBorder="1" applyAlignment="1">
      <alignment vertical="center"/>
    </xf>
    <xf numFmtId="4" fontId="17" fillId="0" borderId="0" xfId="0" applyNumberFormat="1" applyFont="1" applyAlignment="1">
      <alignment horizontal="center"/>
    </xf>
    <xf numFmtId="43" fontId="17" fillId="0" borderId="0" xfId="11" applyFont="1" applyFill="1" applyBorder="1"/>
    <xf numFmtId="10" fontId="38" fillId="0" borderId="0" xfId="13" applyNumberFormat="1" applyFont="1" applyFill="1" applyBorder="1" applyAlignment="1">
      <alignment vertical="center"/>
    </xf>
    <xf numFmtId="0" fontId="38" fillId="0" borderId="0" xfId="0" applyFont="1" applyAlignment="1">
      <alignment horizontal="right"/>
    </xf>
    <xf numFmtId="43" fontId="17" fillId="0" borderId="0" xfId="11" applyFont="1" applyFill="1" applyBorder="1" applyAlignment="1">
      <alignment horizontal="center"/>
    </xf>
    <xf numFmtId="9" fontId="48" fillId="0" borderId="0" xfId="0" applyNumberFormat="1" applyFont="1" applyAlignment="1">
      <alignment horizontal="left"/>
    </xf>
    <xf numFmtId="4" fontId="21" fillId="0" borderId="0" xfId="0" applyNumberFormat="1" applyFont="1" applyAlignment="1">
      <alignment horizontal="center"/>
    </xf>
    <xf numFmtId="166" fontId="21" fillId="0" borderId="0" xfId="0" applyNumberFormat="1" applyFont="1"/>
    <xf numFmtId="0" fontId="9" fillId="13" borderId="15" xfId="0" applyFont="1" applyFill="1" applyBorder="1" applyAlignment="1">
      <alignment horizontal="left" vertical="center"/>
    </xf>
    <xf numFmtId="0" fontId="9" fillId="14" borderId="15" xfId="0" applyFont="1" applyFill="1" applyBorder="1" applyAlignment="1">
      <alignment horizontal="left" vertical="center"/>
    </xf>
    <xf numFmtId="0" fontId="3" fillId="15" borderId="15" xfId="2" applyFill="1" applyBorder="1" applyAlignment="1">
      <alignment horizontal="left" vertical="center" wrapText="1"/>
    </xf>
    <xf numFmtId="0" fontId="3" fillId="15" borderId="5" xfId="2" applyFill="1" applyBorder="1" applyAlignment="1">
      <alignment horizontal="left" vertical="center" wrapText="1"/>
    </xf>
    <xf numFmtId="0" fontId="3" fillId="15" borderId="5" xfId="2" applyFill="1" applyBorder="1" applyAlignment="1">
      <alignment horizontal="center"/>
    </xf>
    <xf numFmtId="1" fontId="0" fillId="13" borderId="5" xfId="0" applyNumberFormat="1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1" fontId="0" fillId="16" borderId="5" xfId="0" applyNumberFormat="1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15" xfId="0" applyFill="1" applyBorder="1" applyAlignment="1">
      <alignment horizontal="left"/>
    </xf>
    <xf numFmtId="0" fontId="3" fillId="16" borderId="5" xfId="2" applyFill="1" applyBorder="1" applyAlignment="1">
      <alignment horizontal="center"/>
    </xf>
    <xf numFmtId="1" fontId="0" fillId="17" borderId="5" xfId="0" applyNumberFormat="1" applyFill="1" applyBorder="1" applyAlignment="1">
      <alignment horizontal="center"/>
    </xf>
    <xf numFmtId="0" fontId="0" fillId="17" borderId="5" xfId="0" applyFill="1" applyBorder="1" applyAlignment="1">
      <alignment horizontal="center"/>
    </xf>
    <xf numFmtId="0" fontId="0" fillId="17" borderId="5" xfId="0" applyFill="1" applyBorder="1"/>
    <xf numFmtId="0" fontId="3" fillId="17" borderId="5" xfId="2" applyFill="1" applyBorder="1" applyAlignment="1">
      <alignment horizontal="center"/>
    </xf>
    <xf numFmtId="0" fontId="0" fillId="17" borderId="0" xfId="0" applyFill="1"/>
    <xf numFmtId="0" fontId="17" fillId="18" borderId="0" xfId="0" applyFont="1" applyFill="1" applyAlignment="1">
      <alignment vertical="center"/>
    </xf>
    <xf numFmtId="2" fontId="27" fillId="18" borderId="0" xfId="0" applyNumberFormat="1" applyFont="1" applyFill="1" applyAlignment="1">
      <alignment horizontal="center"/>
    </xf>
    <xf numFmtId="0" fontId="13" fillId="2" borderId="2" xfId="1" applyFont="1" applyFill="1" applyBorder="1" applyAlignment="1">
      <alignment horizontal="right"/>
    </xf>
    <xf numFmtId="0" fontId="9" fillId="2" borderId="3" xfId="1" applyFont="1" applyFill="1" applyBorder="1" applyAlignment="1">
      <alignment horizontal="center"/>
    </xf>
    <xf numFmtId="0" fontId="9" fillId="2" borderId="0" xfId="0" applyFont="1" applyFill="1"/>
    <xf numFmtId="0" fontId="13" fillId="2" borderId="5" xfId="1" applyFont="1" applyFill="1" applyBorder="1" applyAlignment="1">
      <alignment horizontal="right"/>
    </xf>
    <xf numFmtId="49" fontId="9" fillId="2" borderId="6" xfId="1" applyNumberFormat="1" applyFont="1" applyFill="1" applyBorder="1" applyAlignment="1">
      <alignment horizontal="center"/>
    </xf>
    <xf numFmtId="0" fontId="9" fillId="2" borderId="18" xfId="1" applyFont="1" applyFill="1" applyBorder="1" applyAlignment="1">
      <alignment horizontal="right"/>
    </xf>
    <xf numFmtId="0" fontId="9" fillId="2" borderId="30" xfId="1" applyFont="1" applyFill="1" applyBorder="1" applyAlignment="1">
      <alignment horizontal="right"/>
    </xf>
    <xf numFmtId="14" fontId="51" fillId="2" borderId="45" xfId="1" applyNumberFormat="1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1" fontId="13" fillId="4" borderId="8" xfId="0" applyNumberFormat="1" applyFont="1" applyFill="1" applyBorder="1" applyAlignment="1">
      <alignment horizontal="center"/>
    </xf>
    <xf numFmtId="1" fontId="13" fillId="4" borderId="8" xfId="0" applyNumberFormat="1" applyFont="1" applyFill="1" applyBorder="1" applyAlignment="1">
      <alignment horizontal="center" wrapText="1"/>
    </xf>
    <xf numFmtId="0" fontId="13" fillId="4" borderId="31" xfId="0" applyFont="1" applyFill="1" applyBorder="1" applyAlignment="1">
      <alignment horizontal="center"/>
    </xf>
    <xf numFmtId="0" fontId="52" fillId="0" borderId="4" xfId="0" applyFont="1" applyBorder="1" applyAlignment="1">
      <alignment horizontal="center" vertical="center"/>
    </xf>
    <xf numFmtId="0" fontId="52" fillId="0" borderId="15" xfId="0" applyFont="1" applyBorder="1" applyAlignment="1">
      <alignment horizontal="center" vertical="center"/>
    </xf>
    <xf numFmtId="0" fontId="53" fillId="0" borderId="5" xfId="0" applyFont="1" applyBorder="1"/>
    <xf numFmtId="0" fontId="7" fillId="0" borderId="5" xfId="0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0" fontId="13" fillId="5" borderId="6" xfId="0" applyFont="1" applyFill="1" applyBorder="1" applyAlignment="1">
      <alignment horizontal="center"/>
    </xf>
    <xf numFmtId="49" fontId="8" fillId="0" borderId="4" xfId="2" applyNumberFormat="1" applyFont="1" applyBorder="1" applyAlignment="1">
      <alignment horizontal="center"/>
    </xf>
    <xf numFmtId="49" fontId="8" fillId="0" borderId="15" xfId="2" applyNumberFormat="1" applyFont="1" applyBorder="1" applyAlignment="1">
      <alignment horizontal="center"/>
    </xf>
    <xf numFmtId="16" fontId="8" fillId="0" borderId="5" xfId="2" applyNumberFormat="1" applyFont="1" applyBorder="1" applyAlignment="1">
      <alignment horizontal="center"/>
    </xf>
    <xf numFmtId="0" fontId="9" fillId="0" borderId="4" xfId="0" quotePrefix="1" applyFont="1" applyBorder="1" applyAlignment="1">
      <alignment horizontal="right"/>
    </xf>
    <xf numFmtId="0" fontId="9" fillId="0" borderId="15" xfId="0" quotePrefix="1" applyFont="1" applyBorder="1" applyAlignment="1">
      <alignment horizontal="right"/>
    </xf>
    <xf numFmtId="0" fontId="9" fillId="0" borderId="5" xfId="0" quotePrefix="1" applyFont="1" applyBorder="1"/>
    <xf numFmtId="0" fontId="8" fillId="0" borderId="5" xfId="0" applyFont="1" applyBorder="1"/>
    <xf numFmtId="1" fontId="9" fillId="0" borderId="5" xfId="0" applyNumberFormat="1" applyFont="1" applyBorder="1" applyAlignment="1">
      <alignment horizontal="center" wrapText="1"/>
    </xf>
    <xf numFmtId="0" fontId="9" fillId="0" borderId="6" xfId="0" applyFont="1" applyBorder="1" applyAlignment="1">
      <alignment horizontal="center"/>
    </xf>
    <xf numFmtId="49" fontId="54" fillId="2" borderId="10" xfId="0" applyNumberFormat="1" applyFont="1" applyFill="1" applyBorder="1" applyAlignment="1">
      <alignment horizontal="center" vertical="center"/>
    </xf>
    <xf numFmtId="49" fontId="54" fillId="2" borderId="0" xfId="0" applyNumberFormat="1" applyFont="1" applyFill="1" applyAlignment="1">
      <alignment horizontal="center" vertical="center"/>
    </xf>
    <xf numFmtId="1" fontId="9" fillId="2" borderId="0" xfId="0" applyNumberFormat="1" applyFont="1" applyFill="1" applyAlignment="1">
      <alignment horizontal="center"/>
    </xf>
    <xf numFmtId="164" fontId="9" fillId="2" borderId="0" xfId="0" applyNumberFormat="1" applyFont="1" applyFill="1" applyAlignment="1">
      <alignment horizontal="center" wrapText="1"/>
    </xf>
    <xf numFmtId="0" fontId="9" fillId="2" borderId="11" xfId="0" applyFont="1" applyFill="1" applyBorder="1" applyAlignment="1">
      <alignment horizontal="center"/>
    </xf>
    <xf numFmtId="0" fontId="9" fillId="2" borderId="0" xfId="0" applyFont="1" applyFill="1" applyAlignment="1">
      <alignment horizontal="left" indent="1"/>
    </xf>
    <xf numFmtId="0" fontId="9" fillId="4" borderId="43" xfId="0" applyFont="1" applyFill="1" applyBorder="1" applyAlignment="1">
      <alignment horizontal="center"/>
    </xf>
    <xf numFmtId="0" fontId="9" fillId="4" borderId="44" xfId="0" applyFont="1" applyFill="1" applyBorder="1" applyAlignment="1">
      <alignment horizontal="center"/>
    </xf>
    <xf numFmtId="0" fontId="9" fillId="4" borderId="44" xfId="0" applyFont="1" applyFill="1" applyBorder="1"/>
    <xf numFmtId="0" fontId="13" fillId="4" borderId="44" xfId="0" applyFont="1" applyFill="1" applyBorder="1" applyAlignment="1">
      <alignment horizontal="center"/>
    </xf>
    <xf numFmtId="1" fontId="13" fillId="4" borderId="44" xfId="0" applyNumberFormat="1" applyFont="1" applyFill="1" applyBorder="1" applyAlignment="1">
      <alignment horizontal="center"/>
    </xf>
    <xf numFmtId="164" fontId="9" fillId="4" borderId="44" xfId="0" applyNumberFormat="1" applyFont="1" applyFill="1" applyBorder="1" applyAlignment="1">
      <alignment horizontal="center" wrapText="1"/>
    </xf>
    <xf numFmtId="0" fontId="9" fillId="4" borderId="45" xfId="0" applyFont="1" applyFill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60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164" fontId="9" fillId="0" borderId="5" xfId="0" applyNumberFormat="1" applyFont="1" applyBorder="1" applyAlignment="1">
      <alignment horizontal="center" vertical="center"/>
    </xf>
    <xf numFmtId="164" fontId="9" fillId="0" borderId="22" xfId="0" applyNumberFormat="1" applyFont="1" applyBorder="1" applyAlignment="1">
      <alignment horizontal="center" vertical="center"/>
    </xf>
    <xf numFmtId="164" fontId="9" fillId="0" borderId="13" xfId="0" applyNumberFormat="1" applyFont="1" applyBorder="1"/>
    <xf numFmtId="164" fontId="9" fillId="0" borderId="22" xfId="0" applyNumberFormat="1" applyFont="1" applyBorder="1"/>
    <xf numFmtId="9" fontId="9" fillId="2" borderId="0" xfId="9" applyFont="1" applyFill="1"/>
    <xf numFmtId="1" fontId="9" fillId="0" borderId="8" xfId="0" applyNumberFormat="1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56" fillId="20" borderId="10" xfId="2" applyFont="1" applyFill="1" applyBorder="1" applyAlignment="1">
      <alignment vertical="center"/>
    </xf>
    <xf numFmtId="0" fontId="56" fillId="20" borderId="0" xfId="2" applyFont="1" applyFill="1" applyAlignment="1">
      <alignment vertical="center"/>
    </xf>
    <xf numFmtId="0" fontId="4" fillId="2" borderId="2" xfId="1" applyFont="1" applyFill="1" applyBorder="1" applyAlignment="1">
      <alignment horizontal="right"/>
    </xf>
    <xf numFmtId="0" fontId="3" fillId="2" borderId="3" xfId="1" applyFont="1" applyFill="1" applyBorder="1" applyAlignment="1">
      <alignment horizontal="left"/>
    </xf>
    <xf numFmtId="0" fontId="3" fillId="2" borderId="0" xfId="0" applyFont="1" applyFill="1"/>
    <xf numFmtId="0" fontId="4" fillId="2" borderId="5" xfId="1" applyFont="1" applyFill="1" applyBorder="1" applyAlignment="1">
      <alignment horizontal="right"/>
    </xf>
    <xf numFmtId="49" fontId="3" fillId="2" borderId="6" xfId="1" applyNumberFormat="1" applyFont="1" applyFill="1" applyBorder="1" applyAlignment="1">
      <alignment horizontal="center"/>
    </xf>
    <xf numFmtId="0" fontId="9" fillId="2" borderId="40" xfId="1" applyFont="1" applyFill="1" applyBorder="1" applyAlignment="1">
      <alignment horizontal="right"/>
    </xf>
    <xf numFmtId="0" fontId="9" fillId="2" borderId="7" xfId="1" applyFont="1" applyFill="1" applyBorder="1" applyAlignment="1">
      <alignment horizontal="right"/>
    </xf>
    <xf numFmtId="14" fontId="59" fillId="2" borderId="11" xfId="1" applyNumberFormat="1" applyFont="1" applyFill="1" applyBorder="1" applyAlignment="1">
      <alignment vertical="center" wrapText="1"/>
    </xf>
    <xf numFmtId="0" fontId="13" fillId="4" borderId="9" xfId="0" applyFont="1" applyFill="1" applyBorder="1" applyAlignment="1">
      <alignment horizontal="center"/>
    </xf>
    <xf numFmtId="49" fontId="8" fillId="0" borderId="65" xfId="0" applyNumberFormat="1" applyFont="1" applyBorder="1" applyAlignment="1">
      <alignment horizontal="right"/>
    </xf>
    <xf numFmtId="49" fontId="17" fillId="0" borderId="26" xfId="0" applyNumberFormat="1" applyFont="1" applyBorder="1"/>
    <xf numFmtId="0" fontId="8" fillId="0" borderId="26" xfId="0" applyFont="1" applyBorder="1" applyAlignment="1">
      <alignment horizontal="center"/>
    </xf>
    <xf numFmtId="1" fontId="8" fillId="0" borderId="26" xfId="0" applyNumberFormat="1" applyFont="1" applyBorder="1" applyAlignment="1">
      <alignment horizontal="center"/>
    </xf>
    <xf numFmtId="1" fontId="8" fillId="0" borderId="26" xfId="0" applyNumberFormat="1" applyFont="1" applyBorder="1" applyAlignment="1">
      <alignment horizontal="center" wrapText="1"/>
    </xf>
    <xf numFmtId="1" fontId="7" fillId="0" borderId="26" xfId="0" applyNumberFormat="1" applyFont="1" applyBorder="1" applyAlignment="1">
      <alignment horizontal="center"/>
    </xf>
    <xf numFmtId="1" fontId="8" fillId="0" borderId="6" xfId="0" applyNumberFormat="1" applyFont="1" applyBorder="1" applyAlignment="1">
      <alignment horizontal="center" wrapText="1"/>
    </xf>
    <xf numFmtId="16" fontId="8" fillId="0" borderId="67" xfId="0" applyNumberFormat="1" applyFont="1" applyBorder="1" applyAlignment="1">
      <alignment horizontal="center"/>
    </xf>
    <xf numFmtId="1" fontId="8" fillId="0" borderId="67" xfId="0" applyNumberFormat="1" applyFont="1" applyBorder="1" applyAlignment="1">
      <alignment horizontal="center"/>
    </xf>
    <xf numFmtId="1" fontId="8" fillId="0" borderId="67" xfId="0" applyNumberFormat="1" applyFont="1" applyBorder="1" applyAlignment="1">
      <alignment horizontal="center" wrapText="1"/>
    </xf>
    <xf numFmtId="1" fontId="7" fillId="0" borderId="67" xfId="0" applyNumberFormat="1" applyFont="1" applyBorder="1" applyAlignment="1">
      <alignment horizontal="center"/>
    </xf>
    <xf numFmtId="1" fontId="8" fillId="0" borderId="22" xfId="0" applyNumberFormat="1" applyFont="1" applyBorder="1" applyAlignment="1">
      <alignment horizontal="center" wrapText="1"/>
    </xf>
    <xf numFmtId="49" fontId="8" fillId="0" borderId="67" xfId="2" applyNumberFormat="1" applyFont="1" applyBorder="1" applyAlignment="1">
      <alignment horizontal="center"/>
    </xf>
    <xf numFmtId="49" fontId="17" fillId="0" borderId="67" xfId="2" applyNumberFormat="1" applyFont="1" applyBorder="1"/>
    <xf numFmtId="0" fontId="0" fillId="5" borderId="67" xfId="0" quotePrefix="1" applyFill="1" applyBorder="1" applyAlignment="1">
      <alignment horizontal="center"/>
    </xf>
    <xf numFmtId="0" fontId="0" fillId="5" borderId="67" xfId="0" applyFill="1" applyBorder="1" applyAlignment="1">
      <alignment vertical="center"/>
    </xf>
    <xf numFmtId="0" fontId="8" fillId="0" borderId="67" xfId="0" applyFont="1" applyBorder="1" applyAlignment="1">
      <alignment horizontal="center"/>
    </xf>
    <xf numFmtId="2" fontId="8" fillId="0" borderId="67" xfId="0" applyNumberFormat="1" applyFont="1" applyBorder="1" applyAlignment="1">
      <alignment horizontal="center" wrapText="1"/>
    </xf>
    <xf numFmtId="0" fontId="49" fillId="5" borderId="67" xfId="0" applyFont="1" applyFill="1" applyBorder="1" applyAlignment="1">
      <alignment horizontal="center"/>
    </xf>
    <xf numFmtId="0" fontId="0" fillId="5" borderId="67" xfId="0" applyFill="1" applyBorder="1" applyAlignment="1">
      <alignment horizontal="left"/>
    </xf>
    <xf numFmtId="0" fontId="0" fillId="0" borderId="67" xfId="0" applyBorder="1" applyAlignment="1">
      <alignment horizontal="center"/>
    </xf>
    <xf numFmtId="0" fontId="0" fillId="0" borderId="67" xfId="0" applyBorder="1"/>
    <xf numFmtId="16" fontId="9" fillId="0" borderId="67" xfId="0" applyNumberFormat="1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49" fontId="5" fillId="2" borderId="10" xfId="0" applyNumberFormat="1" applyFont="1" applyFill="1" applyBorder="1" applyAlignment="1">
      <alignment horizontal="center" vertical="center"/>
    </xf>
    <xf numFmtId="0" fontId="60" fillId="0" borderId="0" xfId="0" applyFont="1" applyAlignment="1">
      <alignment vertical="center"/>
    </xf>
    <xf numFmtId="1" fontId="3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 wrapText="1"/>
    </xf>
    <xf numFmtId="0" fontId="3" fillId="2" borderId="11" xfId="0" applyFont="1" applyFill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0" fontId="9" fillId="0" borderId="37" xfId="0" applyFont="1" applyBorder="1" applyAlignment="1">
      <alignment horizontal="center"/>
    </xf>
    <xf numFmtId="9" fontId="3" fillId="2" borderId="0" xfId="9" applyFont="1" applyFill="1"/>
    <xf numFmtId="0" fontId="9" fillId="2" borderId="16" xfId="1" applyFont="1" applyFill="1" applyBorder="1" applyAlignment="1">
      <alignment horizontal="right"/>
    </xf>
    <xf numFmtId="0" fontId="9" fillId="2" borderId="26" xfId="1" applyFont="1" applyFill="1" applyBorder="1" applyAlignment="1">
      <alignment horizontal="right"/>
    </xf>
    <xf numFmtId="14" fontId="59" fillId="2" borderId="45" xfId="1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6" fontId="8" fillId="2" borderId="5" xfId="0" applyNumberFormat="1" applyFont="1" applyFill="1" applyBorder="1" applyAlignment="1">
      <alignment horizontal="center"/>
    </xf>
    <xf numFmtId="1" fontId="7" fillId="2" borderId="5" xfId="0" applyNumberFormat="1" applyFont="1" applyFill="1" applyBorder="1" applyAlignment="1">
      <alignment horizontal="center"/>
    </xf>
    <xf numFmtId="1" fontId="8" fillId="2" borderId="5" xfId="0" applyNumberFormat="1" applyFont="1" applyFill="1" applyBorder="1" applyAlignment="1">
      <alignment horizontal="center" wrapText="1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9" fontId="9" fillId="2" borderId="0" xfId="13" applyFont="1" applyFill="1"/>
    <xf numFmtId="0" fontId="54" fillId="2" borderId="0" xfId="0" applyFont="1" applyFill="1" applyAlignment="1">
      <alignment vertical="center"/>
    </xf>
    <xf numFmtId="0" fontId="63" fillId="2" borderId="3" xfId="1" applyFont="1" applyFill="1" applyBorder="1" applyAlignment="1">
      <alignment horizontal="center"/>
    </xf>
    <xf numFmtId="0" fontId="9" fillId="2" borderId="5" xfId="1" applyFont="1" applyFill="1" applyBorder="1" applyAlignment="1">
      <alignment horizontal="right"/>
    </xf>
    <xf numFmtId="14" fontId="59" fillId="2" borderId="0" xfId="1" applyNumberFormat="1" applyFont="1" applyFill="1" applyAlignment="1">
      <alignment horizontal="center" vertical="center" wrapText="1"/>
    </xf>
    <xf numFmtId="16" fontId="9" fillId="0" borderId="16" xfId="2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center"/>
    </xf>
    <xf numFmtId="49" fontId="9" fillId="0" borderId="15" xfId="0" applyNumberFormat="1" applyFont="1" applyBorder="1" applyAlignment="1">
      <alignment horizontal="center"/>
    </xf>
    <xf numFmtId="49" fontId="17" fillId="0" borderId="5" xfId="0" applyNumberFormat="1" applyFont="1" applyBorder="1"/>
    <xf numFmtId="16" fontId="9" fillId="0" borderId="16" xfId="0" applyNumberFormat="1" applyFont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49" fontId="8" fillId="0" borderId="5" xfId="0" applyNumberFormat="1" applyFont="1" applyBorder="1" applyAlignment="1">
      <alignment horizontal="center"/>
    </xf>
    <xf numFmtId="16" fontId="8" fillId="0" borderId="5" xfId="0" applyNumberFormat="1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1" fontId="8" fillId="0" borderId="5" xfId="0" applyNumberFormat="1" applyFont="1" applyBorder="1" applyAlignment="1">
      <alignment horizontal="center" wrapText="1"/>
    </xf>
    <xf numFmtId="0" fontId="8" fillId="0" borderId="15" xfId="0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 wrapText="1"/>
    </xf>
    <xf numFmtId="0" fontId="9" fillId="0" borderId="4" xfId="0" quotePrefix="1" applyFont="1" applyBorder="1" applyAlignment="1">
      <alignment horizontal="center"/>
    </xf>
    <xf numFmtId="0" fontId="9" fillId="0" borderId="15" xfId="0" quotePrefix="1" applyFont="1" applyBorder="1" applyAlignment="1">
      <alignment horizontal="center"/>
    </xf>
    <xf numFmtId="0" fontId="17" fillId="0" borderId="5" xfId="0" quotePrefix="1" applyFont="1" applyBorder="1"/>
    <xf numFmtId="0" fontId="13" fillId="2" borderId="3" xfId="1" applyFont="1" applyFill="1" applyBorder="1" applyAlignment="1">
      <alignment horizontal="left"/>
    </xf>
    <xf numFmtId="49" fontId="13" fillId="2" borderId="6" xfId="1" applyNumberFormat="1" applyFont="1" applyFill="1" applyBorder="1" applyAlignment="1">
      <alignment horizontal="center"/>
    </xf>
    <xf numFmtId="0" fontId="9" fillId="8" borderId="0" xfId="0" applyFont="1" applyFill="1" applyAlignment="1">
      <alignment horizontal="center"/>
    </xf>
    <xf numFmtId="1" fontId="13" fillId="4" borderId="26" xfId="0" applyNumberFormat="1" applyFont="1" applyFill="1" applyBorder="1" applyAlignment="1">
      <alignment horizontal="center"/>
    </xf>
    <xf numFmtId="1" fontId="13" fillId="4" borderId="26" xfId="0" applyNumberFormat="1" applyFont="1" applyFill="1" applyBorder="1" applyAlignment="1">
      <alignment horizontal="center" wrapText="1"/>
    </xf>
    <xf numFmtId="0" fontId="13" fillId="0" borderId="5" xfId="0" applyFont="1" applyBorder="1"/>
    <xf numFmtId="16" fontId="9" fillId="0" borderId="5" xfId="0" applyNumberFormat="1" applyFont="1" applyBorder="1" applyAlignment="1">
      <alignment horizontal="center"/>
    </xf>
    <xf numFmtId="0" fontId="9" fillId="8" borderId="16" xfId="0" applyFont="1" applyFill="1" applyBorder="1" applyAlignment="1">
      <alignment horizontal="center"/>
    </xf>
    <xf numFmtId="0" fontId="9" fillId="0" borderId="5" xfId="0" quotePrefix="1" applyFont="1" applyBorder="1" applyAlignment="1">
      <alignment horizontal="center"/>
    </xf>
    <xf numFmtId="0" fontId="9" fillId="0" borderId="5" xfId="0" applyFont="1" applyBorder="1" applyAlignment="1">
      <alignment wrapText="1"/>
    </xf>
    <xf numFmtId="0" fontId="9" fillId="0" borderId="0" xfId="0" quotePrefix="1" applyFont="1" applyAlignment="1">
      <alignment horizontal="center"/>
    </xf>
    <xf numFmtId="0" fontId="9" fillId="0" borderId="0" xfId="0" quotePrefix="1" applyFont="1"/>
    <xf numFmtId="49" fontId="9" fillId="0" borderId="26" xfId="0" applyNumberFormat="1" applyFont="1" applyBorder="1" applyAlignment="1">
      <alignment horizontal="center"/>
    </xf>
    <xf numFmtId="0" fontId="9" fillId="0" borderId="26" xfId="0" applyFont="1" applyBorder="1" applyAlignment="1">
      <alignment wrapText="1"/>
    </xf>
    <xf numFmtId="16" fontId="9" fillId="0" borderId="26" xfId="0" applyNumberFormat="1" applyFont="1" applyBorder="1" applyAlignment="1">
      <alignment horizontal="center"/>
    </xf>
    <xf numFmtId="1" fontId="9" fillId="0" borderId="71" xfId="0" applyNumberFormat="1" applyFont="1" applyBorder="1" applyAlignment="1">
      <alignment horizontal="center"/>
    </xf>
    <xf numFmtId="1" fontId="9" fillId="0" borderId="71" xfId="0" applyNumberFormat="1" applyFont="1" applyBorder="1" applyAlignment="1">
      <alignment horizontal="center" wrapText="1"/>
    </xf>
    <xf numFmtId="0" fontId="9" fillId="0" borderId="71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13" fillId="4" borderId="3" xfId="2" applyFont="1" applyFill="1" applyBorder="1" applyAlignment="1">
      <alignment horizontal="center" vertical="center" wrapText="1"/>
    </xf>
    <xf numFmtId="1" fontId="13" fillId="4" borderId="8" xfId="2" applyNumberFormat="1" applyFont="1" applyFill="1" applyBorder="1" applyAlignment="1">
      <alignment horizontal="center"/>
    </xf>
    <xf numFmtId="1" fontId="13" fillId="4" borderId="8" xfId="2" applyNumberFormat="1" applyFont="1" applyFill="1" applyBorder="1" applyAlignment="1">
      <alignment horizontal="center" wrapText="1"/>
    </xf>
    <xf numFmtId="0" fontId="13" fillId="4" borderId="9" xfId="2" applyFont="1" applyFill="1" applyBorder="1" applyAlignment="1">
      <alignment horizontal="center"/>
    </xf>
    <xf numFmtId="0" fontId="16" fillId="0" borderId="4" xfId="2" applyFont="1" applyBorder="1" applyAlignment="1">
      <alignment horizontal="center" vertical="center"/>
    </xf>
    <xf numFmtId="0" fontId="16" fillId="0" borderId="15" xfId="2" applyFont="1" applyBorder="1" applyAlignment="1">
      <alignment horizontal="center" vertical="center"/>
    </xf>
    <xf numFmtId="0" fontId="64" fillId="0" borderId="5" xfId="2" applyFont="1" applyBorder="1" applyAlignment="1">
      <alignment vertical="center"/>
    </xf>
    <xf numFmtId="0" fontId="16" fillId="0" borderId="5" xfId="2" applyFont="1" applyBorder="1" applyAlignment="1">
      <alignment horizontal="center" vertical="center"/>
    </xf>
    <xf numFmtId="1" fontId="16" fillId="0" borderId="5" xfId="2" applyNumberFormat="1" applyFont="1" applyBorder="1" applyAlignment="1">
      <alignment horizontal="center"/>
    </xf>
    <xf numFmtId="1" fontId="16" fillId="0" borderId="5" xfId="2" applyNumberFormat="1" applyFont="1" applyBorder="1" applyAlignment="1">
      <alignment horizontal="center" wrapText="1"/>
    </xf>
    <xf numFmtId="0" fontId="9" fillId="0" borderId="16" xfId="0" applyFont="1" applyBorder="1" applyAlignment="1">
      <alignment horizontal="center" wrapText="1"/>
    </xf>
    <xf numFmtId="12" fontId="9" fillId="0" borderId="16" xfId="0" applyNumberFormat="1" applyFont="1" applyBorder="1" applyAlignment="1">
      <alignment horizontal="center"/>
    </xf>
    <xf numFmtId="0" fontId="3" fillId="0" borderId="5" xfId="14" applyBorder="1" applyAlignment="1">
      <alignment horizontal="center"/>
    </xf>
    <xf numFmtId="0" fontId="3" fillId="0" borderId="5" xfId="14" applyBorder="1"/>
    <xf numFmtId="0" fontId="52" fillId="0" borderId="5" xfId="0" applyFont="1" applyBorder="1" applyAlignment="1">
      <alignment horizontal="center" vertical="center"/>
    </xf>
    <xf numFmtId="0" fontId="53" fillId="5" borderId="5" xfId="2" applyFont="1" applyFill="1" applyBorder="1" applyAlignment="1">
      <alignment horizontal="left"/>
    </xf>
    <xf numFmtId="0" fontId="9" fillId="5" borderId="5" xfId="2" applyFont="1" applyFill="1" applyBorder="1" applyAlignment="1">
      <alignment horizontal="center"/>
    </xf>
    <xf numFmtId="165" fontId="8" fillId="0" borderId="5" xfId="2" applyNumberFormat="1" applyFont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15" fillId="5" borderId="18" xfId="0" applyFont="1" applyFill="1" applyBorder="1" applyAlignment="1">
      <alignment horizontal="center"/>
    </xf>
    <xf numFmtId="0" fontId="15" fillId="5" borderId="16" xfId="0" applyFont="1" applyFill="1" applyBorder="1"/>
    <xf numFmtId="0" fontId="9" fillId="5" borderId="15" xfId="0" applyFont="1" applyFill="1" applyBorder="1" applyAlignment="1">
      <alignment horizontal="center"/>
    </xf>
    <xf numFmtId="1" fontId="9" fillId="5" borderId="16" xfId="0" applyNumberFormat="1" applyFont="1" applyFill="1" applyBorder="1" applyAlignment="1">
      <alignment horizontal="center"/>
    </xf>
    <xf numFmtId="1" fontId="9" fillId="5" borderId="16" xfId="0" applyNumberFormat="1" applyFont="1" applyFill="1" applyBorder="1" applyAlignment="1">
      <alignment horizontal="center" wrapText="1"/>
    </xf>
    <xf numFmtId="49" fontId="16" fillId="0" borderId="21" xfId="2" applyNumberFormat="1" applyFont="1" applyBorder="1" applyAlignment="1">
      <alignment horizontal="center"/>
    </xf>
    <xf numFmtId="49" fontId="16" fillId="0" borderId="38" xfId="2" applyNumberFormat="1" applyFont="1" applyBorder="1" applyAlignment="1">
      <alignment horizontal="center"/>
    </xf>
    <xf numFmtId="0" fontId="65" fillId="5" borderId="5" xfId="2" applyFont="1" applyFill="1" applyBorder="1" applyAlignment="1">
      <alignment vertical="center"/>
    </xf>
    <xf numFmtId="0" fontId="16" fillId="0" borderId="15" xfId="2" applyFont="1" applyBorder="1" applyAlignment="1">
      <alignment horizontal="center"/>
    </xf>
    <xf numFmtId="49" fontId="8" fillId="0" borderId="4" xfId="0" applyNumberFormat="1" applyFont="1" applyBorder="1" applyAlignment="1">
      <alignment horizontal="center"/>
    </xf>
    <xf numFmtId="49" fontId="8" fillId="0" borderId="15" xfId="0" applyNumberFormat="1" applyFont="1" applyBorder="1" applyAlignment="1">
      <alignment horizontal="center"/>
    </xf>
    <xf numFmtId="49" fontId="21" fillId="0" borderId="5" xfId="0" applyNumberFormat="1" applyFont="1" applyBorder="1"/>
    <xf numFmtId="0" fontId="8" fillId="0" borderId="5" xfId="0" applyFont="1" applyBorder="1" applyAlignment="1">
      <alignment horizontal="center"/>
    </xf>
    <xf numFmtId="170" fontId="13" fillId="5" borderId="5" xfId="11" applyNumberFormat="1" applyFont="1" applyFill="1" applyBorder="1" applyAlignment="1">
      <alignment horizontal="center"/>
    </xf>
    <xf numFmtId="0" fontId="66" fillId="0" borderId="4" xfId="0" applyFont="1" applyBorder="1" applyAlignment="1">
      <alignment horizontal="center"/>
    </xf>
    <xf numFmtId="0" fontId="66" fillId="0" borderId="15" xfId="0" applyFont="1" applyBorder="1" applyAlignment="1">
      <alignment horizontal="center"/>
    </xf>
    <xf numFmtId="0" fontId="45" fillId="0" borderId="5" xfId="0" applyFont="1" applyBorder="1"/>
    <xf numFmtId="49" fontId="54" fillId="2" borderId="10" xfId="2" applyNumberFormat="1" applyFont="1" applyFill="1" applyBorder="1" applyAlignment="1">
      <alignment horizontal="center" vertical="center"/>
    </xf>
    <xf numFmtId="49" fontId="54" fillId="2" borderId="0" xfId="2" applyNumberFormat="1" applyFont="1" applyFill="1" applyAlignment="1">
      <alignment horizontal="center" vertical="center"/>
    </xf>
    <xf numFmtId="0" fontId="9" fillId="2" borderId="0" xfId="2" applyFont="1" applyFill="1"/>
    <xf numFmtId="1" fontId="9" fillId="2" borderId="0" xfId="2" applyNumberFormat="1" applyFont="1" applyFill="1" applyAlignment="1">
      <alignment horizontal="center"/>
    </xf>
    <xf numFmtId="164" fontId="9" fillId="2" borderId="0" xfId="2" applyNumberFormat="1" applyFont="1" applyFill="1" applyAlignment="1">
      <alignment horizontal="center" wrapText="1"/>
    </xf>
    <xf numFmtId="0" fontId="9" fillId="2" borderId="11" xfId="2" applyFont="1" applyFill="1" applyBorder="1" applyAlignment="1">
      <alignment horizontal="center"/>
    </xf>
    <xf numFmtId="0" fontId="9" fillId="4" borderId="43" xfId="2" applyFont="1" applyFill="1" applyBorder="1" applyAlignment="1">
      <alignment horizontal="center"/>
    </xf>
    <xf numFmtId="0" fontId="9" fillId="4" borderId="44" xfId="2" applyFont="1" applyFill="1" applyBorder="1" applyAlignment="1">
      <alignment horizontal="center"/>
    </xf>
    <xf numFmtId="0" fontId="9" fillId="4" borderId="44" xfId="2" applyFont="1" applyFill="1" applyBorder="1"/>
    <xf numFmtId="0" fontId="13" fillId="4" borderId="44" xfId="2" applyFont="1" applyFill="1" applyBorder="1" applyAlignment="1">
      <alignment horizontal="center"/>
    </xf>
    <xf numFmtId="1" fontId="13" fillId="4" borderId="44" xfId="2" applyNumberFormat="1" applyFont="1" applyFill="1" applyBorder="1" applyAlignment="1">
      <alignment horizontal="center"/>
    </xf>
    <xf numFmtId="164" fontId="9" fillId="4" borderId="44" xfId="2" applyNumberFormat="1" applyFont="1" applyFill="1" applyBorder="1" applyAlignment="1">
      <alignment horizontal="center" wrapText="1"/>
    </xf>
    <xf numFmtId="0" fontId="9" fillId="4" borderId="45" xfId="2" applyFont="1" applyFill="1" applyBorder="1" applyAlignment="1">
      <alignment horizontal="center"/>
    </xf>
    <xf numFmtId="0" fontId="9" fillId="0" borderId="7" xfId="0" applyFont="1" applyBorder="1" applyAlignment="1">
      <alignment horizontal="left" wrapText="1"/>
    </xf>
    <xf numFmtId="0" fontId="9" fillId="0" borderId="39" xfId="0" applyFont="1" applyBorder="1" applyAlignment="1">
      <alignment horizontal="left" wrapText="1"/>
    </xf>
    <xf numFmtId="0" fontId="9" fillId="0" borderId="8" xfId="0" applyFont="1" applyBorder="1" applyAlignment="1">
      <alignment horizontal="left" wrapText="1"/>
    </xf>
    <xf numFmtId="0" fontId="9" fillId="0" borderId="9" xfId="0" applyFont="1" applyBorder="1" applyAlignment="1">
      <alignment horizontal="left" wrapText="1"/>
    </xf>
    <xf numFmtId="0" fontId="13" fillId="0" borderId="21" xfId="0" applyFont="1" applyBorder="1" applyAlignment="1">
      <alignment horizontal="right"/>
    </xf>
    <xf numFmtId="0" fontId="13" fillId="0" borderId="38" xfId="0" applyFont="1" applyBorder="1" applyAlignment="1">
      <alignment horizontal="right"/>
    </xf>
    <xf numFmtId="0" fontId="13" fillId="0" borderId="15" xfId="0" applyFont="1" applyBorder="1" applyAlignment="1">
      <alignment horizontal="right"/>
    </xf>
    <xf numFmtId="164" fontId="9" fillId="0" borderId="5" xfId="0" applyNumberFormat="1" applyFont="1" applyBorder="1" applyAlignment="1">
      <alignment horizontal="right" wrapText="1"/>
    </xf>
    <xf numFmtId="164" fontId="9" fillId="0" borderId="13" xfId="0" applyNumberFormat="1" applyFont="1" applyBorder="1" applyAlignment="1">
      <alignment horizontal="center"/>
    </xf>
    <xf numFmtId="164" fontId="9" fillId="0" borderId="22" xfId="0" applyNumberFormat="1" applyFont="1" applyBorder="1" applyAlignment="1">
      <alignment horizontal="center"/>
    </xf>
    <xf numFmtId="0" fontId="13" fillId="0" borderId="41" xfId="0" applyFont="1" applyBorder="1" applyAlignment="1">
      <alignment horizontal="right"/>
    </xf>
    <xf numFmtId="0" fontId="13" fillId="0" borderId="42" xfId="0" applyFont="1" applyBorder="1" applyAlignment="1">
      <alignment horizontal="right"/>
    </xf>
    <xf numFmtId="0" fontId="13" fillId="0" borderId="39" xfId="0" applyFont="1" applyBorder="1" applyAlignment="1">
      <alignment horizontal="right"/>
    </xf>
    <xf numFmtId="0" fontId="9" fillId="0" borderId="8" xfId="0" applyFont="1" applyBorder="1" applyAlignment="1">
      <alignment horizontal="right"/>
    </xf>
    <xf numFmtId="164" fontId="9" fillId="0" borderId="23" xfId="0" applyNumberFormat="1" applyFont="1" applyBorder="1" applyAlignment="1">
      <alignment horizontal="center"/>
    </xf>
    <xf numFmtId="164" fontId="9" fillId="0" borderId="24" xfId="0" applyNumberFormat="1" applyFont="1" applyBorder="1" applyAlignment="1">
      <alignment horizontal="center"/>
    </xf>
    <xf numFmtId="0" fontId="9" fillId="0" borderId="13" xfId="0" applyFont="1" applyBorder="1" applyAlignment="1">
      <alignment horizontal="left" wrapText="1"/>
    </xf>
    <xf numFmtId="0" fontId="9" fillId="0" borderId="38" xfId="0" applyFont="1" applyBorder="1" applyAlignment="1">
      <alignment horizontal="left" wrapText="1"/>
    </xf>
    <xf numFmtId="0" fontId="9" fillId="0" borderId="15" xfId="0" applyFont="1" applyBorder="1" applyAlignment="1">
      <alignment horizontal="left" wrapText="1"/>
    </xf>
    <xf numFmtId="0" fontId="9" fillId="0" borderId="7" xfId="0" applyFont="1" applyBorder="1" applyAlignment="1">
      <alignment horizontal="left"/>
    </xf>
    <xf numFmtId="0" fontId="9" fillId="0" borderId="39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13" fillId="6" borderId="21" xfId="0" applyFont="1" applyFill="1" applyBorder="1" applyAlignment="1">
      <alignment horizontal="center"/>
    </xf>
    <xf numFmtId="0" fontId="13" fillId="6" borderId="38" xfId="0" applyFont="1" applyFill="1" applyBorder="1" applyAlignment="1">
      <alignment horizontal="center"/>
    </xf>
    <xf numFmtId="0" fontId="13" fillId="6" borderId="22" xfId="0" applyFont="1" applyFill="1" applyBorder="1" applyAlignment="1">
      <alignment horizontal="center"/>
    </xf>
    <xf numFmtId="0" fontId="13" fillId="0" borderId="7" xfId="0" applyFont="1" applyBorder="1" applyAlignment="1">
      <alignment horizontal="left" wrapText="1"/>
    </xf>
    <xf numFmtId="0" fontId="13" fillId="0" borderId="39" xfId="0" applyFont="1" applyBorder="1" applyAlignment="1">
      <alignment horizontal="left" wrapText="1"/>
    </xf>
    <xf numFmtId="0" fontId="13" fillId="0" borderId="8" xfId="0" applyFont="1" applyBorder="1" applyAlignment="1">
      <alignment horizontal="left" wrapText="1"/>
    </xf>
    <xf numFmtId="0" fontId="13" fillId="0" borderId="9" xfId="0" applyFont="1" applyBorder="1" applyAlignment="1">
      <alignment horizontal="left" wrapText="1"/>
    </xf>
    <xf numFmtId="0" fontId="10" fillId="2" borderId="2" xfId="1" applyFont="1" applyFill="1" applyBorder="1" applyAlignment="1">
      <alignment horizontal="center"/>
    </xf>
    <xf numFmtId="0" fontId="10" fillId="2" borderId="26" xfId="1" applyFont="1" applyFill="1" applyBorder="1" applyAlignment="1">
      <alignment horizontal="center"/>
    </xf>
    <xf numFmtId="0" fontId="12" fillId="3" borderId="27" xfId="1" applyFont="1" applyFill="1" applyBorder="1" applyAlignment="1">
      <alignment horizontal="center" vertical="center" wrapText="1"/>
    </xf>
    <xf numFmtId="0" fontId="12" fillId="3" borderId="28" xfId="1" applyFont="1" applyFill="1" applyBorder="1" applyAlignment="1">
      <alignment horizontal="center" vertical="center" wrapText="1"/>
    </xf>
    <xf numFmtId="0" fontId="12" fillId="3" borderId="29" xfId="1" applyFont="1" applyFill="1" applyBorder="1" applyAlignment="1">
      <alignment horizontal="center" vertical="center" wrapText="1"/>
    </xf>
    <xf numFmtId="0" fontId="13" fillId="2" borderId="30" xfId="1" applyFont="1" applyFill="1" applyBorder="1" applyAlignment="1">
      <alignment horizontal="right" vertical="top" wrapText="1"/>
    </xf>
    <xf numFmtId="0" fontId="13" fillId="2" borderId="32" xfId="1" applyFont="1" applyFill="1" applyBorder="1" applyAlignment="1">
      <alignment horizontal="right" vertical="top" wrapText="1"/>
    </xf>
    <xf numFmtId="0" fontId="13" fillId="2" borderId="34" xfId="1" applyFont="1" applyFill="1" applyBorder="1" applyAlignment="1">
      <alignment horizontal="right" vertical="top" wrapText="1"/>
    </xf>
    <xf numFmtId="0" fontId="13" fillId="0" borderId="27" xfId="0" applyFont="1" applyBorder="1" applyAlignment="1">
      <alignment horizontal="right"/>
    </xf>
    <xf numFmtId="0" fontId="13" fillId="0" borderId="28" xfId="0" applyFont="1" applyBorder="1" applyAlignment="1">
      <alignment horizontal="right"/>
    </xf>
    <xf numFmtId="0" fontId="13" fillId="0" borderId="36" xfId="0" applyFont="1" applyBorder="1" applyAlignment="1">
      <alignment horizontal="right"/>
    </xf>
    <xf numFmtId="164" fontId="9" fillId="0" borderId="2" xfId="0" applyNumberFormat="1" applyFont="1" applyBorder="1" applyAlignment="1">
      <alignment horizontal="right"/>
    </xf>
    <xf numFmtId="0" fontId="9" fillId="2" borderId="37" xfId="0" applyFont="1" applyFill="1" applyBorder="1" applyAlignment="1">
      <alignment horizontal="center"/>
    </xf>
    <xf numFmtId="0" fontId="9" fillId="2" borderId="29" xfId="0" applyFont="1" applyFill="1" applyBorder="1" applyAlignment="1">
      <alignment horizontal="center"/>
    </xf>
    <xf numFmtId="0" fontId="9" fillId="2" borderId="25" xfId="1" applyFont="1" applyFill="1" applyBorder="1" applyAlignment="1">
      <alignment horizontal="center"/>
    </xf>
    <xf numFmtId="0" fontId="9" fillId="2" borderId="14" xfId="1" applyFont="1" applyFill="1" applyBorder="1" applyAlignment="1">
      <alignment horizontal="center"/>
    </xf>
    <xf numFmtId="0" fontId="9" fillId="2" borderId="10" xfId="1" applyFont="1" applyFill="1" applyBorder="1" applyAlignment="1">
      <alignment horizontal="center"/>
    </xf>
    <xf numFmtId="0" fontId="9" fillId="2" borderId="0" xfId="1" applyFont="1" applyFill="1" applyAlignment="1">
      <alignment horizontal="center"/>
    </xf>
    <xf numFmtId="0" fontId="9" fillId="2" borderId="19" xfId="1" applyFont="1" applyFill="1" applyBorder="1" applyAlignment="1">
      <alignment horizontal="center"/>
    </xf>
    <xf numFmtId="0" fontId="9" fillId="2" borderId="12" xfId="1" applyFont="1" applyFill="1" applyBorder="1" applyAlignment="1">
      <alignment horizontal="center"/>
    </xf>
    <xf numFmtId="0" fontId="12" fillId="2" borderId="10" xfId="1" applyFont="1" applyFill="1" applyBorder="1" applyAlignment="1">
      <alignment horizontal="right" vertical="center"/>
    </xf>
    <xf numFmtId="0" fontId="12" fillId="2" borderId="0" xfId="1" applyFont="1" applyFill="1" applyAlignment="1">
      <alignment horizontal="right" vertical="center"/>
    </xf>
    <xf numFmtId="0" fontId="14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14" fontId="9" fillId="2" borderId="31" xfId="1" applyNumberFormat="1" applyFont="1" applyFill="1" applyBorder="1" applyAlignment="1">
      <alignment horizontal="center" vertical="center" wrapText="1"/>
    </xf>
    <xf numFmtId="14" fontId="9" fillId="2" borderId="33" xfId="1" applyNumberFormat="1" applyFont="1" applyFill="1" applyBorder="1" applyAlignment="1">
      <alignment horizontal="center" vertical="center" wrapText="1"/>
    </xf>
    <xf numFmtId="14" fontId="9" fillId="2" borderId="35" xfId="1" applyNumberFormat="1" applyFont="1" applyFill="1" applyBorder="1" applyAlignment="1">
      <alignment horizontal="center" vertical="center" wrapText="1"/>
    </xf>
    <xf numFmtId="0" fontId="9" fillId="2" borderId="5" xfId="1" applyFont="1" applyFill="1" applyBorder="1" applyAlignment="1">
      <alignment horizontal="left"/>
    </xf>
    <xf numFmtId="0" fontId="9" fillId="2" borderId="8" xfId="1" applyFont="1" applyFill="1" applyBorder="1" applyAlignment="1">
      <alignment horizontal="left"/>
    </xf>
    <xf numFmtId="1" fontId="3" fillId="0" borderId="13" xfId="2" applyNumberFormat="1" applyBorder="1" applyAlignment="1">
      <alignment horizontal="center"/>
    </xf>
    <xf numFmtId="1" fontId="3" fillId="0" borderId="38" xfId="2" applyNumberFormat="1" applyBorder="1" applyAlignment="1">
      <alignment horizontal="center"/>
    </xf>
    <xf numFmtId="1" fontId="3" fillId="0" borderId="22" xfId="2" applyNumberFormat="1" applyBorder="1" applyAlignment="1">
      <alignment horizontal="center"/>
    </xf>
    <xf numFmtId="0" fontId="9" fillId="0" borderId="5" xfId="0" applyFont="1" applyBorder="1" applyAlignment="1">
      <alignment horizontal="right"/>
    </xf>
    <xf numFmtId="0" fontId="13" fillId="4" borderId="10" xfId="0" applyFont="1" applyFill="1" applyBorder="1" applyAlignment="1">
      <alignment horizontal="left"/>
    </xf>
    <xf numFmtId="0" fontId="13" fillId="4" borderId="0" xfId="0" applyFont="1" applyFill="1" applyAlignment="1">
      <alignment horizontal="left"/>
    </xf>
    <xf numFmtId="0" fontId="13" fillId="4" borderId="1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36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21" xfId="0" applyFont="1" applyBorder="1" applyAlignment="1">
      <alignment horizontal="left"/>
    </xf>
    <xf numFmtId="0" fontId="9" fillId="0" borderId="38" xfId="0" applyFont="1" applyBorder="1" applyAlignment="1">
      <alignment horizontal="left"/>
    </xf>
    <xf numFmtId="0" fontId="9" fillId="0" borderId="22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11" fillId="0" borderId="13" xfId="0" applyFont="1" applyBorder="1"/>
    <xf numFmtId="0" fontId="11" fillId="0" borderId="38" xfId="0" applyFont="1" applyBorder="1"/>
    <xf numFmtId="0" fontId="11" fillId="0" borderId="15" xfId="0" applyFont="1" applyBorder="1"/>
    <xf numFmtId="0" fontId="9" fillId="0" borderId="40" xfId="0" applyFont="1" applyBorder="1" applyAlignment="1">
      <alignment horizontal="left" wrapText="1"/>
    </xf>
    <xf numFmtId="0" fontId="9" fillId="0" borderId="18" xfId="0" applyFont="1" applyBorder="1" applyAlignment="1">
      <alignment horizontal="left" wrapText="1"/>
    </xf>
    <xf numFmtId="0" fontId="9" fillId="0" borderId="16" xfId="0" applyFont="1" applyBorder="1" applyAlignment="1">
      <alignment horizontal="left" wrapText="1"/>
    </xf>
    <xf numFmtId="0" fontId="9" fillId="0" borderId="17" xfId="0" applyFont="1" applyBorder="1" applyAlignment="1">
      <alignment horizontal="left" wrapText="1"/>
    </xf>
    <xf numFmtId="0" fontId="29" fillId="0" borderId="0" xfId="0" applyFont="1" applyAlignment="1">
      <alignment horizontal="center" vertical="center"/>
    </xf>
    <xf numFmtId="0" fontId="46" fillId="0" borderId="43" xfId="0" applyFont="1" applyBorder="1" applyAlignment="1">
      <alignment horizontal="right" vertical="center"/>
    </xf>
    <xf numFmtId="0" fontId="46" fillId="0" borderId="44" xfId="0" applyFont="1" applyBorder="1" applyAlignment="1">
      <alignment horizontal="right" vertical="center"/>
    </xf>
    <xf numFmtId="0" fontId="46" fillId="0" borderId="45" xfId="0" applyFont="1" applyBorder="1" applyAlignment="1">
      <alignment horizontal="right" vertical="center"/>
    </xf>
    <xf numFmtId="0" fontId="47" fillId="0" borderId="0" xfId="0" applyFont="1" applyAlignment="1">
      <alignment horizontal="right"/>
    </xf>
    <xf numFmtId="0" fontId="37" fillId="0" borderId="12" xfId="0" applyFont="1" applyBorder="1" applyAlignment="1">
      <alignment horizontal="right"/>
    </xf>
    <xf numFmtId="0" fontId="29" fillId="0" borderId="0" xfId="0" applyFont="1" applyAlignment="1">
      <alignment horizontal="right" vertical="center"/>
    </xf>
    <xf numFmtId="0" fontId="35" fillId="9" borderId="43" xfId="0" applyFont="1" applyFill="1" applyBorder="1" applyAlignment="1">
      <alignment horizontal="right"/>
    </xf>
    <xf numFmtId="0" fontId="35" fillId="9" borderId="44" xfId="0" applyFont="1" applyFill="1" applyBorder="1" applyAlignment="1">
      <alignment horizontal="right"/>
    </xf>
    <xf numFmtId="0" fontId="17" fillId="0" borderId="0" xfId="0" applyFont="1" applyAlignment="1">
      <alignment horizontal="right" vertical="center"/>
    </xf>
    <xf numFmtId="0" fontId="21" fillId="0" borderId="12" xfId="0" applyFont="1" applyBorder="1" applyAlignment="1">
      <alignment horizontal="right" vertical="center"/>
    </xf>
    <xf numFmtId="0" fontId="21" fillId="0" borderId="53" xfId="0" applyFont="1" applyBorder="1" applyAlignment="1">
      <alignment horizontal="right" vertical="center"/>
    </xf>
    <xf numFmtId="0" fontId="21" fillId="11" borderId="43" xfId="0" applyFont="1" applyFill="1" applyBorder="1" applyAlignment="1">
      <alignment horizontal="right" vertical="center"/>
    </xf>
    <xf numFmtId="0" fontId="21" fillId="11" borderId="44" xfId="0" applyFont="1" applyFill="1" applyBorder="1" applyAlignment="1">
      <alignment horizontal="right" vertical="center"/>
    </xf>
    <xf numFmtId="0" fontId="21" fillId="11" borderId="45" xfId="0" applyFont="1" applyFill="1" applyBorder="1" applyAlignment="1">
      <alignment horizontal="right" vertical="center"/>
    </xf>
    <xf numFmtId="4" fontId="44" fillId="0" borderId="0" xfId="12" applyNumberFormat="1" applyFont="1" applyFill="1" applyAlignment="1">
      <alignment horizontal="center" vertical="center" wrapText="1"/>
    </xf>
    <xf numFmtId="0" fontId="38" fillId="0" borderId="5" xfId="0" applyFont="1" applyBorder="1" applyAlignment="1">
      <alignment horizontal="right" vertical="center"/>
    </xf>
    <xf numFmtId="0" fontId="39" fillId="0" borderId="10" xfId="0" applyFont="1" applyBorder="1" applyAlignment="1">
      <alignment horizontal="right"/>
    </xf>
    <xf numFmtId="0" fontId="39" fillId="0" borderId="0" xfId="0" applyFont="1" applyAlignment="1">
      <alignment horizontal="right"/>
    </xf>
    <xf numFmtId="0" fontId="39" fillId="0" borderId="11" xfId="0" applyFont="1" applyBorder="1" applyAlignment="1">
      <alignment horizontal="right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right" vertical="center"/>
    </xf>
    <xf numFmtId="0" fontId="30" fillId="0" borderId="25" xfId="0" applyFont="1" applyBorder="1" applyAlignment="1">
      <alignment horizontal="right"/>
    </xf>
    <xf numFmtId="0" fontId="30" fillId="0" borderId="14" xfId="0" applyFont="1" applyBorder="1" applyAlignment="1">
      <alignment horizontal="right"/>
    </xf>
    <xf numFmtId="0" fontId="17" fillId="0" borderId="5" xfId="0" applyFont="1" applyBorder="1" applyAlignment="1">
      <alignment horizontal="right" vertical="center"/>
    </xf>
    <xf numFmtId="0" fontId="30" fillId="0" borderId="0" xfId="0" applyFont="1" applyAlignment="1">
      <alignment horizontal="right"/>
    </xf>
    <xf numFmtId="0" fontId="24" fillId="0" borderId="12" xfId="0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25" fillId="0" borderId="45" xfId="0" applyFont="1" applyBorder="1" applyAlignment="1">
      <alignment horizontal="center" vertical="center" wrapText="1"/>
    </xf>
    <xf numFmtId="0" fontId="26" fillId="0" borderId="44" xfId="0" applyFont="1" applyBorder="1" applyAlignment="1">
      <alignment horizontal="right" vertical="center" wrapText="1"/>
    </xf>
    <xf numFmtId="14" fontId="9" fillId="2" borderId="17" xfId="1" applyNumberFormat="1" applyFont="1" applyFill="1" applyBorder="1" applyAlignment="1">
      <alignment horizontal="center" vertical="center" wrapText="1"/>
    </xf>
    <xf numFmtId="0" fontId="9" fillId="2" borderId="37" xfId="1" applyFont="1" applyFill="1" applyBorder="1" applyAlignment="1">
      <alignment horizontal="left"/>
    </xf>
    <xf numFmtId="0" fontId="9" fillId="2" borderId="28" xfId="1" applyFont="1" applyFill="1" applyBorder="1" applyAlignment="1">
      <alignment horizontal="left"/>
    </xf>
    <xf numFmtId="0" fontId="9" fillId="2" borderId="36" xfId="1" applyFont="1" applyFill="1" applyBorder="1" applyAlignment="1">
      <alignment horizontal="left"/>
    </xf>
    <xf numFmtId="0" fontId="9" fillId="2" borderId="13" xfId="1" applyFont="1" applyFill="1" applyBorder="1" applyAlignment="1">
      <alignment horizontal="left"/>
    </xf>
    <xf numFmtId="0" fontId="9" fillId="2" borderId="38" xfId="1" applyFont="1" applyFill="1" applyBorder="1" applyAlignment="1">
      <alignment horizontal="left"/>
    </xf>
    <xf numFmtId="0" fontId="9" fillId="2" borderId="15" xfId="1" applyFont="1" applyFill="1" applyBorder="1" applyAlignment="1">
      <alignment horizontal="left"/>
    </xf>
    <xf numFmtId="0" fontId="9" fillId="2" borderId="58" xfId="1" applyFont="1" applyFill="1" applyBorder="1" applyAlignment="1">
      <alignment horizontal="center"/>
    </xf>
    <xf numFmtId="0" fontId="9" fillId="2" borderId="59" xfId="1" applyFont="1" applyFill="1" applyBorder="1" applyAlignment="1">
      <alignment horizontal="center"/>
    </xf>
    <xf numFmtId="0" fontId="12" fillId="3" borderId="43" xfId="1" applyFont="1" applyFill="1" applyBorder="1" applyAlignment="1">
      <alignment horizontal="center" vertical="center" wrapText="1"/>
    </xf>
    <xf numFmtId="0" fontId="12" fillId="3" borderId="44" xfId="1" applyFont="1" applyFill="1" applyBorder="1" applyAlignment="1">
      <alignment horizontal="center" vertical="center" wrapText="1"/>
    </xf>
    <xf numFmtId="0" fontId="12" fillId="3" borderId="45" xfId="1" applyFont="1" applyFill="1" applyBorder="1" applyAlignment="1">
      <alignment horizontal="center" vertical="center" wrapText="1"/>
    </xf>
    <xf numFmtId="0" fontId="13" fillId="2" borderId="18" xfId="1" applyFont="1" applyFill="1" applyBorder="1" applyAlignment="1">
      <alignment horizontal="right" vertical="top" wrapText="1"/>
    </xf>
    <xf numFmtId="0" fontId="57" fillId="2" borderId="0" xfId="1" applyFont="1" applyFill="1" applyAlignment="1">
      <alignment horizontal="right"/>
    </xf>
    <xf numFmtId="0" fontId="59" fillId="2" borderId="12" xfId="1" applyFont="1" applyFill="1" applyBorder="1" applyAlignment="1">
      <alignment horizontal="center"/>
    </xf>
    <xf numFmtId="0" fontId="57" fillId="2" borderId="0" xfId="1" applyFont="1" applyFill="1"/>
    <xf numFmtId="0" fontId="13" fillId="4" borderId="1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4" borderId="56" xfId="0" applyFont="1" applyFill="1" applyBorder="1" applyAlignment="1">
      <alignment horizontal="center" vertical="center" wrapText="1"/>
    </xf>
    <xf numFmtId="0" fontId="13" fillId="4" borderId="57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0" borderId="58" xfId="0" applyFont="1" applyBorder="1" applyAlignment="1">
      <alignment horizontal="right"/>
    </xf>
    <xf numFmtId="0" fontId="13" fillId="0" borderId="59" xfId="0" applyFont="1" applyBorder="1" applyAlignment="1">
      <alignment horizontal="right"/>
    </xf>
    <xf numFmtId="0" fontId="13" fillId="0" borderId="18" xfId="0" applyFont="1" applyBorder="1" applyAlignment="1">
      <alignment horizontal="right"/>
    </xf>
    <xf numFmtId="164" fontId="9" fillId="0" borderId="16" xfId="0" applyNumberFormat="1" applyFont="1" applyBorder="1" applyAlignment="1">
      <alignment horizontal="right"/>
    </xf>
    <xf numFmtId="0" fontId="9" fillId="2" borderId="20" xfId="0" applyFont="1" applyFill="1" applyBorder="1" applyAlignment="1">
      <alignment horizontal="center"/>
    </xf>
    <xf numFmtId="0" fontId="9" fillId="2" borderId="60" xfId="0" applyFont="1" applyFill="1" applyBorder="1" applyAlignment="1">
      <alignment horizontal="center"/>
    </xf>
    <xf numFmtId="164" fontId="9" fillId="0" borderId="13" xfId="0" applyNumberFormat="1" applyFont="1" applyBorder="1" applyAlignment="1">
      <alignment horizontal="right" wrapText="1"/>
    </xf>
    <xf numFmtId="164" fontId="9" fillId="0" borderId="15" xfId="0" applyNumberFormat="1" applyFont="1" applyBorder="1" applyAlignment="1">
      <alignment horizontal="right" wrapText="1"/>
    </xf>
    <xf numFmtId="0" fontId="7" fillId="0" borderId="21" xfId="2" applyFont="1" applyBorder="1" applyAlignment="1">
      <alignment horizontal="left"/>
    </xf>
    <xf numFmtId="0" fontId="7" fillId="0" borderId="38" xfId="2" applyFont="1" applyBorder="1" applyAlignment="1">
      <alignment horizontal="left"/>
    </xf>
    <xf numFmtId="0" fontId="7" fillId="0" borderId="22" xfId="2" applyFont="1" applyBorder="1" applyAlignment="1">
      <alignment horizontal="left"/>
    </xf>
    <xf numFmtId="0" fontId="13" fillId="0" borderId="7" xfId="0" applyFont="1" applyBorder="1" applyAlignment="1">
      <alignment horizontal="right"/>
    </xf>
    <xf numFmtId="0" fontId="13" fillId="0" borderId="8" xfId="0" applyFont="1" applyBorder="1" applyAlignment="1">
      <alignment horizontal="right"/>
    </xf>
    <xf numFmtId="0" fontId="13" fillId="4" borderId="43" xfId="0" applyFont="1" applyFill="1" applyBorder="1" applyAlignment="1">
      <alignment horizontal="left"/>
    </xf>
    <xf numFmtId="0" fontId="13" fillId="4" borderId="44" xfId="0" applyFont="1" applyFill="1" applyBorder="1" applyAlignment="1">
      <alignment horizontal="left"/>
    </xf>
    <xf numFmtId="0" fontId="13" fillId="4" borderId="45" xfId="0" applyFont="1" applyFill="1" applyBorder="1" applyAlignment="1">
      <alignment horizontal="left"/>
    </xf>
    <xf numFmtId="14" fontId="13" fillId="2" borderId="31" xfId="1" applyNumberFormat="1" applyFont="1" applyFill="1" applyBorder="1" applyAlignment="1">
      <alignment horizontal="center" vertical="center" wrapText="1"/>
    </xf>
    <xf numFmtId="14" fontId="13" fillId="2" borderId="33" xfId="1" applyNumberFormat="1" applyFont="1" applyFill="1" applyBorder="1" applyAlignment="1">
      <alignment horizontal="center" vertical="center" wrapText="1"/>
    </xf>
    <xf numFmtId="14" fontId="13" fillId="2" borderId="35" xfId="1" applyNumberFormat="1" applyFont="1" applyFill="1" applyBorder="1" applyAlignment="1">
      <alignment horizontal="center" vertical="center" wrapText="1"/>
    </xf>
    <xf numFmtId="0" fontId="9" fillId="2" borderId="23" xfId="1" applyFont="1" applyFill="1" applyBorder="1" applyAlignment="1">
      <alignment horizontal="left"/>
    </xf>
    <xf numFmtId="0" fontId="9" fillId="2" borderId="42" xfId="1" applyFont="1" applyFill="1" applyBorder="1" applyAlignment="1">
      <alignment horizontal="left"/>
    </xf>
    <xf numFmtId="0" fontId="9" fillId="2" borderId="39" xfId="1" applyFont="1" applyFill="1" applyBorder="1" applyAlignment="1">
      <alignment horizontal="left"/>
    </xf>
    <xf numFmtId="0" fontId="13" fillId="4" borderId="37" xfId="0" applyFont="1" applyFill="1" applyBorder="1" applyAlignment="1">
      <alignment horizontal="center" vertical="center"/>
    </xf>
    <xf numFmtId="0" fontId="13" fillId="4" borderId="36" xfId="0" applyFont="1" applyFill="1" applyBorder="1" applyAlignment="1">
      <alignment horizontal="center" vertical="center"/>
    </xf>
    <xf numFmtId="0" fontId="10" fillId="2" borderId="37" xfId="1" applyFont="1" applyFill="1" applyBorder="1" applyAlignment="1">
      <alignment horizontal="center"/>
    </xf>
    <xf numFmtId="0" fontId="10" fillId="2" borderId="28" xfId="1" applyFont="1" applyFill="1" applyBorder="1" applyAlignment="1">
      <alignment horizontal="center"/>
    </xf>
    <xf numFmtId="0" fontId="10" fillId="2" borderId="36" xfId="1" applyFont="1" applyFill="1" applyBorder="1" applyAlignment="1">
      <alignment horizontal="center"/>
    </xf>
    <xf numFmtId="0" fontId="10" fillId="2" borderId="23" xfId="1" applyFont="1" applyFill="1" applyBorder="1" applyAlignment="1">
      <alignment horizontal="center"/>
    </xf>
    <xf numFmtId="0" fontId="10" fillId="2" borderId="42" xfId="1" applyFont="1" applyFill="1" applyBorder="1" applyAlignment="1">
      <alignment horizontal="center"/>
    </xf>
    <xf numFmtId="0" fontId="10" fillId="2" borderId="39" xfId="1" applyFont="1" applyFill="1" applyBorder="1" applyAlignment="1">
      <alignment horizontal="center"/>
    </xf>
    <xf numFmtId="0" fontId="13" fillId="4" borderId="69" xfId="0" applyFont="1" applyFill="1" applyBorder="1" applyAlignment="1">
      <alignment horizontal="center" vertical="center"/>
    </xf>
    <xf numFmtId="0" fontId="13" fillId="4" borderId="70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 wrapText="1"/>
    </xf>
    <xf numFmtId="0" fontId="13" fillId="4" borderId="56" xfId="0" applyFont="1" applyFill="1" applyBorder="1" applyAlignment="1">
      <alignment horizontal="center" vertical="center"/>
    </xf>
    <xf numFmtId="0" fontId="13" fillId="4" borderId="71" xfId="0" applyFont="1" applyFill="1" applyBorder="1" applyAlignment="1">
      <alignment horizontal="center" vertical="center"/>
    </xf>
    <xf numFmtId="164" fontId="9" fillId="0" borderId="37" xfId="0" applyNumberFormat="1" applyFont="1" applyBorder="1" applyAlignment="1">
      <alignment horizontal="right"/>
    </xf>
    <xf numFmtId="164" fontId="9" fillId="0" borderId="36" xfId="0" applyNumberFormat="1" applyFont="1" applyBorder="1" applyAlignment="1">
      <alignment horizontal="right"/>
    </xf>
    <xf numFmtId="0" fontId="9" fillId="0" borderId="13" xfId="0" applyFont="1" applyBorder="1" applyAlignment="1">
      <alignment horizontal="right"/>
    </xf>
    <xf numFmtId="0" fontId="9" fillId="0" borderId="15" xfId="0" applyFont="1" applyBorder="1" applyAlignment="1">
      <alignment horizontal="right"/>
    </xf>
    <xf numFmtId="0" fontId="8" fillId="0" borderId="5" xfId="0" applyFont="1" applyBorder="1" applyAlignment="1">
      <alignment horizontal="left"/>
    </xf>
    <xf numFmtId="0" fontId="9" fillId="0" borderId="23" xfId="0" applyFont="1" applyBorder="1" applyAlignment="1">
      <alignment horizontal="right"/>
    </xf>
    <xf numFmtId="0" fontId="9" fillId="0" borderId="39" xfId="0" applyFont="1" applyBorder="1" applyAlignment="1">
      <alignment horizontal="right"/>
    </xf>
    <xf numFmtId="0" fontId="13" fillId="4" borderId="25" xfId="0" applyFont="1" applyFill="1" applyBorder="1" applyAlignment="1">
      <alignment horizontal="left"/>
    </xf>
    <xf numFmtId="0" fontId="13" fillId="4" borderId="14" xfId="0" applyFont="1" applyFill="1" applyBorder="1" applyAlignment="1">
      <alignment horizontal="left"/>
    </xf>
    <xf numFmtId="0" fontId="13" fillId="4" borderId="68" xfId="0" applyFont="1" applyFill="1" applyBorder="1" applyAlignment="1">
      <alignment horizontal="left"/>
    </xf>
    <xf numFmtId="0" fontId="8" fillId="0" borderId="5" xfId="0" applyFont="1" applyBorder="1" applyAlignment="1">
      <alignment horizontal="left" wrapText="1"/>
    </xf>
    <xf numFmtId="0" fontId="9" fillId="0" borderId="41" xfId="0" applyFont="1" applyBorder="1" applyAlignment="1">
      <alignment horizontal="left"/>
    </xf>
    <xf numFmtId="0" fontId="9" fillId="0" borderId="42" xfId="0" applyFont="1" applyBorder="1" applyAlignment="1">
      <alignment horizontal="left"/>
    </xf>
    <xf numFmtId="0" fontId="9" fillId="0" borderId="24" xfId="0" applyFont="1" applyBorder="1" applyAlignment="1">
      <alignment horizontal="left"/>
    </xf>
    <xf numFmtId="0" fontId="9" fillId="2" borderId="54" xfId="1" applyFont="1" applyFill="1" applyBorder="1" applyAlignment="1">
      <alignment horizontal="left"/>
    </xf>
    <xf numFmtId="0" fontId="9" fillId="2" borderId="55" xfId="1" applyFont="1" applyFill="1" applyBorder="1" applyAlignment="1">
      <alignment horizontal="left"/>
    </xf>
    <xf numFmtId="0" fontId="9" fillId="2" borderId="30" xfId="1" applyFont="1" applyFill="1" applyBorder="1" applyAlignment="1">
      <alignment horizontal="left"/>
    </xf>
    <xf numFmtId="0" fontId="57" fillId="2" borderId="43" xfId="1" applyFont="1" applyFill="1" applyBorder="1" applyAlignment="1">
      <alignment horizontal="right"/>
    </xf>
    <xf numFmtId="0" fontId="57" fillId="2" borderId="44" xfId="1" applyFont="1" applyFill="1" applyBorder="1" applyAlignment="1">
      <alignment horizontal="right"/>
    </xf>
    <xf numFmtId="0" fontId="59" fillId="2" borderId="44" xfId="1" applyFont="1" applyFill="1" applyBorder="1" applyAlignment="1">
      <alignment horizontal="center"/>
    </xf>
    <xf numFmtId="0" fontId="57" fillId="2" borderId="44" xfId="1" applyFont="1" applyFill="1" applyBorder="1"/>
    <xf numFmtId="0" fontId="13" fillId="4" borderId="65" xfId="0" applyFont="1" applyFill="1" applyBorder="1" applyAlignment="1">
      <alignment horizontal="center" vertical="center"/>
    </xf>
    <xf numFmtId="0" fontId="9" fillId="0" borderId="40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0" fontId="13" fillId="22" borderId="72" xfId="1" applyFont="1" applyFill="1" applyBorder="1" applyAlignment="1">
      <alignment horizontal="center"/>
    </xf>
    <xf numFmtId="0" fontId="13" fillId="22" borderId="14" xfId="1" applyFont="1" applyFill="1" applyBorder="1" applyAlignment="1">
      <alignment horizontal="center"/>
    </xf>
    <xf numFmtId="0" fontId="9" fillId="2" borderId="73" xfId="1" applyFont="1" applyFill="1" applyBorder="1" applyAlignment="1">
      <alignment horizontal="left"/>
    </xf>
    <xf numFmtId="0" fontId="9" fillId="2" borderId="0" xfId="1" applyFont="1" applyFill="1" applyAlignment="1">
      <alignment horizontal="left"/>
    </xf>
    <xf numFmtId="0" fontId="13" fillId="0" borderId="4" xfId="0" applyFont="1" applyBorder="1" applyAlignment="1">
      <alignment horizontal="left" wrapText="1"/>
    </xf>
    <xf numFmtId="0" fontId="13" fillId="0" borderId="15" xfId="0" applyFont="1" applyBorder="1" applyAlignment="1">
      <alignment horizontal="left" wrapText="1"/>
    </xf>
    <xf numFmtId="0" fontId="13" fillId="0" borderId="5" xfId="0" applyFont="1" applyBorder="1" applyAlignment="1">
      <alignment horizontal="left" wrapText="1"/>
    </xf>
    <xf numFmtId="0" fontId="13" fillId="0" borderId="6" xfId="0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0" fontId="9" fillId="0" borderId="5" xfId="0" applyFont="1" applyBorder="1" applyAlignment="1">
      <alignment horizontal="left" wrapText="1"/>
    </xf>
    <xf numFmtId="0" fontId="9" fillId="0" borderId="6" xfId="0" applyFont="1" applyBorder="1" applyAlignment="1">
      <alignment horizontal="left" wrapText="1"/>
    </xf>
    <xf numFmtId="0" fontId="13" fillId="0" borderId="21" xfId="2" applyFont="1" applyBorder="1" applyAlignment="1">
      <alignment horizontal="right"/>
    </xf>
    <xf numFmtId="0" fontId="13" fillId="0" borderId="38" xfId="2" applyFont="1" applyBorder="1" applyAlignment="1">
      <alignment horizontal="right"/>
    </xf>
    <xf numFmtId="0" fontId="13" fillId="0" borderId="15" xfId="2" applyFont="1" applyBorder="1" applyAlignment="1">
      <alignment horizontal="right"/>
    </xf>
    <xf numFmtId="0" fontId="9" fillId="0" borderId="5" xfId="2" applyFont="1" applyBorder="1" applyAlignment="1">
      <alignment horizontal="right"/>
    </xf>
    <xf numFmtId="164" fontId="9" fillId="0" borderId="13" xfId="2" applyNumberFormat="1" applyFont="1" applyBorder="1" applyAlignment="1">
      <alignment horizontal="center"/>
    </xf>
    <xf numFmtId="164" fontId="9" fillId="0" borderId="22" xfId="2" applyNumberFormat="1" applyFont="1" applyBorder="1" applyAlignment="1">
      <alignment horizontal="center"/>
    </xf>
    <xf numFmtId="164" fontId="9" fillId="0" borderId="13" xfId="2" applyNumberFormat="1" applyFont="1" applyBorder="1" applyAlignment="1">
      <alignment horizontal="right" wrapText="1"/>
    </xf>
    <xf numFmtId="164" fontId="9" fillId="0" borderId="15" xfId="2" applyNumberFormat="1" applyFont="1" applyBorder="1" applyAlignment="1">
      <alignment horizontal="right" wrapText="1"/>
    </xf>
    <xf numFmtId="164" fontId="9" fillId="0" borderId="13" xfId="0" applyNumberFormat="1" applyFont="1" applyBorder="1" applyAlignment="1">
      <alignment horizontal="center" wrapText="1"/>
    </xf>
    <xf numFmtId="164" fontId="9" fillId="0" borderId="22" xfId="0" applyNumberFormat="1" applyFont="1" applyBorder="1" applyAlignment="1">
      <alignment horizontal="center" wrapText="1"/>
    </xf>
    <xf numFmtId="0" fontId="13" fillId="0" borderId="7" xfId="2" applyFont="1" applyBorder="1" applyAlignment="1">
      <alignment horizontal="right"/>
    </xf>
    <xf numFmtId="0" fontId="13" fillId="0" borderId="39" xfId="2" applyFont="1" applyBorder="1" applyAlignment="1">
      <alignment horizontal="right"/>
    </xf>
    <xf numFmtId="0" fontId="13" fillId="0" borderId="8" xfId="2" applyFont="1" applyBorder="1" applyAlignment="1">
      <alignment horizontal="right"/>
    </xf>
    <xf numFmtId="0" fontId="9" fillId="0" borderId="8" xfId="2" applyFont="1" applyBorder="1" applyAlignment="1">
      <alignment horizontal="right"/>
    </xf>
    <xf numFmtId="0" fontId="13" fillId="4" borderId="43" xfId="2" applyFont="1" applyFill="1" applyBorder="1" applyAlignment="1">
      <alignment horizontal="left"/>
    </xf>
    <xf numFmtId="0" fontId="13" fillId="4" borderId="44" xfId="2" applyFont="1" applyFill="1" applyBorder="1" applyAlignment="1">
      <alignment horizontal="left"/>
    </xf>
    <xf numFmtId="0" fontId="13" fillId="4" borderId="45" xfId="2" applyFont="1" applyFill="1" applyBorder="1" applyAlignment="1">
      <alignment horizontal="left"/>
    </xf>
    <xf numFmtId="0" fontId="13" fillId="0" borderId="58" xfId="2" applyFont="1" applyBorder="1" applyAlignment="1">
      <alignment horizontal="right"/>
    </xf>
    <xf numFmtId="0" fontId="13" fillId="0" borderId="59" xfId="2" applyFont="1" applyBorder="1" applyAlignment="1">
      <alignment horizontal="right"/>
    </xf>
    <xf numFmtId="0" fontId="13" fillId="0" borderId="18" xfId="2" applyFont="1" applyBorder="1" applyAlignment="1">
      <alignment horizontal="right"/>
    </xf>
    <xf numFmtId="164" fontId="9" fillId="0" borderId="16" xfId="2" applyNumberFormat="1" applyFont="1" applyBorder="1" applyAlignment="1">
      <alignment horizontal="right"/>
    </xf>
    <xf numFmtId="0" fontId="9" fillId="2" borderId="20" xfId="2" applyFont="1" applyFill="1" applyBorder="1" applyAlignment="1">
      <alignment horizontal="center"/>
    </xf>
    <xf numFmtId="0" fontId="9" fillId="2" borderId="60" xfId="2" applyFont="1" applyFill="1" applyBorder="1" applyAlignment="1">
      <alignment horizontal="center"/>
    </xf>
    <xf numFmtId="0" fontId="13" fillId="4" borderId="1" xfId="2" applyFont="1" applyFill="1" applyBorder="1" applyAlignment="1">
      <alignment horizontal="center" vertical="center"/>
    </xf>
    <xf numFmtId="0" fontId="13" fillId="4" borderId="7" xfId="2" applyFont="1" applyFill="1" applyBorder="1" applyAlignment="1">
      <alignment horizontal="center" vertical="center"/>
    </xf>
    <xf numFmtId="0" fontId="13" fillId="4" borderId="1" xfId="2" applyFont="1" applyFill="1" applyBorder="1" applyAlignment="1">
      <alignment horizontal="center" vertical="center" wrapText="1"/>
    </xf>
    <xf numFmtId="0" fontId="13" fillId="4" borderId="7" xfId="2" applyFont="1" applyFill="1" applyBorder="1" applyAlignment="1">
      <alignment horizontal="center" vertical="center" wrapText="1"/>
    </xf>
    <xf numFmtId="0" fontId="13" fillId="4" borderId="2" xfId="2" applyFont="1" applyFill="1" applyBorder="1" applyAlignment="1">
      <alignment horizontal="center" vertical="center"/>
    </xf>
    <xf numFmtId="0" fontId="13" fillId="4" borderId="8" xfId="2" applyFont="1" applyFill="1" applyBorder="1" applyAlignment="1">
      <alignment horizontal="center" vertical="center"/>
    </xf>
    <xf numFmtId="0" fontId="10" fillId="2" borderId="30" xfId="1" applyFont="1" applyFill="1" applyBorder="1" applyAlignment="1">
      <alignment horizontal="center"/>
    </xf>
    <xf numFmtId="0" fontId="50" fillId="2" borderId="43" xfId="1" applyFont="1" applyFill="1" applyBorder="1" applyAlignment="1">
      <alignment horizontal="right" vertical="center"/>
    </xf>
    <xf numFmtId="0" fontId="50" fillId="2" borderId="44" xfId="1" applyFont="1" applyFill="1" applyBorder="1" applyAlignment="1">
      <alignment horizontal="right" vertical="center"/>
    </xf>
    <xf numFmtId="0" fontId="51" fillId="2" borderId="44" xfId="1" applyFont="1" applyFill="1" applyBorder="1" applyAlignment="1">
      <alignment horizontal="center" vertical="center"/>
    </xf>
    <xf numFmtId="0" fontId="50" fillId="2" borderId="44" xfId="1" applyFont="1" applyFill="1" applyBorder="1" applyAlignment="1">
      <alignment horizontal="center" vertical="center"/>
    </xf>
    <xf numFmtId="0" fontId="8" fillId="0" borderId="61" xfId="2" applyFont="1" applyBorder="1" applyAlignment="1">
      <alignment horizontal="left" vertical="center"/>
    </xf>
    <xf numFmtId="0" fontId="8" fillId="0" borderId="55" xfId="2" applyFont="1" applyBorder="1" applyAlignment="1">
      <alignment horizontal="left" vertical="center"/>
    </xf>
    <xf numFmtId="0" fontId="8" fillId="0" borderId="62" xfId="2" applyFont="1" applyBorder="1" applyAlignment="1">
      <alignment horizontal="left" vertical="center"/>
    </xf>
    <xf numFmtId="0" fontId="55" fillId="19" borderId="43" xfId="2" applyFont="1" applyFill="1" applyBorder="1" applyAlignment="1">
      <alignment horizontal="left" vertical="center"/>
    </xf>
    <xf numFmtId="0" fontId="55" fillId="19" borderId="44" xfId="2" applyFont="1" applyFill="1" applyBorder="1" applyAlignment="1">
      <alignment horizontal="left" vertical="center"/>
    </xf>
    <xf numFmtId="0" fontId="55" fillId="19" borderId="45" xfId="2" applyFont="1" applyFill="1" applyBorder="1" applyAlignment="1">
      <alignment horizontal="left" vertical="center"/>
    </xf>
    <xf numFmtId="0" fontId="8" fillId="0" borderId="58" xfId="2" applyFont="1" applyBorder="1" applyAlignment="1">
      <alignment horizontal="left" vertical="center" wrapText="1"/>
    </xf>
    <xf numFmtId="0" fontId="8" fillId="0" borderId="59" xfId="2" applyFont="1" applyBorder="1" applyAlignment="1">
      <alignment horizontal="left" vertical="center" wrapText="1"/>
    </xf>
    <xf numFmtId="0" fontId="8" fillId="0" borderId="60" xfId="2" applyFont="1" applyBorder="1" applyAlignment="1">
      <alignment horizontal="left" vertical="center" wrapText="1"/>
    </xf>
    <xf numFmtId="0" fontId="8" fillId="0" borderId="58" xfId="2" applyFont="1" applyBorder="1" applyAlignment="1">
      <alignment horizontal="left" vertical="center"/>
    </xf>
    <xf numFmtId="0" fontId="8" fillId="0" borderId="59" xfId="2" applyFont="1" applyBorder="1" applyAlignment="1">
      <alignment horizontal="left" vertical="center"/>
    </xf>
    <xf numFmtId="0" fontId="8" fillId="0" borderId="60" xfId="2" applyFont="1" applyBorder="1" applyAlignment="1">
      <alignment horizontal="left" vertical="center"/>
    </xf>
    <xf numFmtId="0" fontId="8" fillId="0" borderId="21" xfId="2" applyFont="1" applyBorder="1" applyAlignment="1">
      <alignment horizontal="left" vertical="center"/>
    </xf>
    <xf numFmtId="0" fontId="8" fillId="0" borderId="38" xfId="2" applyFont="1" applyBorder="1" applyAlignment="1">
      <alignment horizontal="left" vertical="center"/>
    </xf>
    <xf numFmtId="0" fontId="8" fillId="0" borderId="22" xfId="2" applyFont="1" applyBorder="1" applyAlignment="1">
      <alignment horizontal="left" vertical="center"/>
    </xf>
    <xf numFmtId="0" fontId="8" fillId="0" borderId="21" xfId="2" applyFont="1" applyBorder="1" applyAlignment="1">
      <alignment horizontal="center" vertical="center"/>
    </xf>
    <xf numFmtId="0" fontId="8" fillId="0" borderId="38" xfId="2" applyFont="1" applyBorder="1" applyAlignment="1">
      <alignment horizontal="center" vertical="center"/>
    </xf>
    <xf numFmtId="0" fontId="8" fillId="0" borderId="22" xfId="2" applyFont="1" applyBorder="1" applyAlignment="1">
      <alignment horizontal="center" vertical="center"/>
    </xf>
    <xf numFmtId="14" fontId="3" fillId="2" borderId="6" xfId="1" applyNumberFormat="1" applyFont="1" applyFill="1" applyBorder="1" applyAlignment="1">
      <alignment horizontal="center" vertical="center" wrapText="1"/>
    </xf>
    <xf numFmtId="14" fontId="3" fillId="2" borderId="9" xfId="1" applyNumberFormat="1" applyFont="1" applyFill="1" applyBorder="1" applyAlignment="1">
      <alignment horizontal="center" vertical="center" wrapText="1"/>
    </xf>
    <xf numFmtId="0" fontId="9" fillId="2" borderId="20" xfId="1" applyFont="1" applyFill="1" applyBorder="1" applyAlignment="1">
      <alignment horizontal="left"/>
    </xf>
    <xf numFmtId="0" fontId="9" fillId="2" borderId="59" xfId="1" applyFont="1" applyFill="1" applyBorder="1" applyAlignment="1">
      <alignment horizontal="left"/>
    </xf>
    <xf numFmtId="0" fontId="9" fillId="2" borderId="18" xfId="1" applyFont="1" applyFill="1" applyBorder="1" applyAlignment="1">
      <alignment horizontal="left"/>
    </xf>
    <xf numFmtId="0" fontId="3" fillId="2" borderId="63" xfId="1" applyFont="1" applyFill="1" applyBorder="1" applyAlignment="1">
      <alignment horizontal="center"/>
    </xf>
    <xf numFmtId="0" fontId="3" fillId="2" borderId="64" xfId="1" applyFont="1" applyFill="1" applyBorder="1" applyAlignment="1">
      <alignment horizontal="center"/>
    </xf>
    <xf numFmtId="0" fontId="3" fillId="2" borderId="66" xfId="1" applyFont="1" applyFill="1" applyBorder="1" applyAlignment="1">
      <alignment horizontal="center"/>
    </xf>
    <xf numFmtId="0" fontId="57" fillId="2" borderId="1" xfId="1" applyFont="1" applyFill="1" applyBorder="1" applyAlignment="1">
      <alignment horizontal="center"/>
    </xf>
    <xf numFmtId="0" fontId="57" fillId="2" borderId="2" xfId="1" applyFont="1" applyFill="1" applyBorder="1" applyAlignment="1">
      <alignment horizontal="center"/>
    </xf>
    <xf numFmtId="0" fontId="57" fillId="2" borderId="65" xfId="1" applyFont="1" applyFill="1" applyBorder="1" applyAlignment="1">
      <alignment horizontal="center"/>
    </xf>
    <xf numFmtId="0" fontId="57" fillId="2" borderId="26" xfId="1" applyFont="1" applyFill="1" applyBorder="1" applyAlignment="1">
      <alignment horizontal="center"/>
    </xf>
    <xf numFmtId="0" fontId="58" fillId="3" borderId="46" xfId="1" applyFont="1" applyFill="1" applyBorder="1" applyAlignment="1">
      <alignment horizontal="center" vertical="center" wrapText="1"/>
    </xf>
    <xf numFmtId="0" fontId="58" fillId="3" borderId="47" xfId="1" applyFont="1" applyFill="1" applyBorder="1" applyAlignment="1">
      <alignment horizontal="center" vertical="center" wrapText="1"/>
    </xf>
    <xf numFmtId="0" fontId="58" fillId="3" borderId="48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right" vertical="top" wrapText="1"/>
    </xf>
    <xf numFmtId="0" fontId="4" fillId="2" borderId="5" xfId="1" applyFont="1" applyFill="1" applyBorder="1" applyAlignment="1">
      <alignment horizontal="right" vertical="top" wrapText="1"/>
    </xf>
    <xf numFmtId="0" fontId="4" fillId="2" borderId="8" xfId="1" applyFont="1" applyFill="1" applyBorder="1" applyAlignment="1">
      <alignment horizontal="right" vertical="top" wrapText="1"/>
    </xf>
    <xf numFmtId="0" fontId="57" fillId="2" borderId="10" xfId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7" fillId="0" borderId="68" xfId="0" applyFont="1" applyBorder="1" applyAlignment="1">
      <alignment horizontal="left"/>
    </xf>
    <xf numFmtId="0" fontId="61" fillId="0" borderId="7" xfId="0" applyFont="1" applyBorder="1" applyAlignment="1">
      <alignment horizontal="left"/>
    </xf>
    <xf numFmtId="0" fontId="61" fillId="0" borderId="8" xfId="0" applyFont="1" applyBorder="1" applyAlignment="1">
      <alignment horizontal="left"/>
    </xf>
    <xf numFmtId="0" fontId="61" fillId="0" borderId="9" xfId="0" applyFont="1" applyBorder="1" applyAlignment="1">
      <alignment horizontal="left"/>
    </xf>
    <xf numFmtId="0" fontId="62" fillId="21" borderId="7" xfId="0" applyFont="1" applyFill="1" applyBorder="1" applyAlignment="1">
      <alignment horizontal="left"/>
    </xf>
    <xf numFmtId="0" fontId="62" fillId="21" borderId="8" xfId="0" applyFont="1" applyFill="1" applyBorder="1" applyAlignment="1">
      <alignment horizontal="left"/>
    </xf>
    <xf numFmtId="0" fontId="62" fillId="21" borderId="9" xfId="0" applyFont="1" applyFill="1" applyBorder="1" applyAlignment="1">
      <alignment horizontal="left"/>
    </xf>
  </cellXfs>
  <cellStyles count="21">
    <cellStyle name="Millares" xfId="11" builtinId="3"/>
    <cellStyle name="Millares [0]" xfId="12" builtinId="6"/>
    <cellStyle name="Millares [0] 2" xfId="5" xr:uid="{5646DCB0-6043-4A61-B39A-88C6103E5C96}"/>
    <cellStyle name="Millares [0] 2 2" xfId="15" xr:uid="{B7530CEC-BCE5-4355-AC27-369CBC2F2C08}"/>
    <cellStyle name="Millares [0] 3" xfId="19" xr:uid="{5E1563DD-B69A-4F94-875E-08A1F81EE844}"/>
    <cellStyle name="Millares 2" xfId="6" xr:uid="{0B78BA11-F876-4567-9AB3-00E745F6378E}"/>
    <cellStyle name="Millares 2 2" xfId="16" xr:uid="{5E70FEB4-8237-46DF-9287-E07056BBD63C}"/>
    <cellStyle name="Millares 3" xfId="7" xr:uid="{CBAD2710-9496-4DFB-9AEC-53E9DB70EE94}"/>
    <cellStyle name="Millares 3 2" xfId="17" xr:uid="{CC049057-AC54-43D4-AB73-0AD8BF636AA7}"/>
    <cellStyle name="Millares 4" xfId="18" xr:uid="{FDE94208-7B89-461D-9C68-6B2375F3ABCA}"/>
    <cellStyle name="Normal" xfId="0" builtinId="0"/>
    <cellStyle name="Normal 2" xfId="2" xr:uid="{34948D3F-EF1B-4A09-9A26-C23F66AA46FE}"/>
    <cellStyle name="Normal 2 2" xfId="8" xr:uid="{91A6A884-A4C9-48FE-822A-E000ADB5B1BF}"/>
    <cellStyle name="Normal 3" xfId="4" xr:uid="{5060F9C3-5748-46CA-92A7-ED405902C890}"/>
    <cellStyle name="Normal 3 2" xfId="14" xr:uid="{6827639D-113C-479F-A654-3F7DB260294C}"/>
    <cellStyle name="Normal 4" xfId="20" xr:uid="{9D87E640-29DC-49C8-97A3-86BDADBCC3F1}"/>
    <cellStyle name="Normal 5 3" xfId="3" xr:uid="{82FA82CA-8DB0-414F-89EE-7A027DE23AB2}"/>
    <cellStyle name="Normal_CRITERIOS DE EVALUACION PT DE GB 2" xfId="1" xr:uid="{5F3441B1-FC25-4967-868F-7BA01E44F471}"/>
    <cellStyle name="Porcentaje" xfId="13" builtinId="5"/>
    <cellStyle name="Porcentaje 2" xfId="9" xr:uid="{BA46EADD-40D7-4426-91A2-144818FBEADB}"/>
    <cellStyle name="Porcentaje 2 2" xfId="10" xr:uid="{EB9197A8-B439-4028-9C2C-DCB6F22835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30481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4478C937-6981-4478-94A8-A26CDF797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91441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E5D766CD-DEAE-4863-8088-24BCA86D2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30481</xdr:rowOff>
    </xdr:to>
    <xdr:pic>
      <xdr:nvPicPr>
        <xdr:cNvPr id="4" name="Imagen 5">
          <a:extLst>
            <a:ext uri="{FF2B5EF4-FFF2-40B4-BE49-F238E27FC236}">
              <a16:creationId xmlns:a16="http://schemas.microsoft.com/office/drawing/2014/main" id="{0DB678F3-77F6-4066-A681-39F958256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30481</xdr:rowOff>
    </xdr:to>
    <xdr:pic>
      <xdr:nvPicPr>
        <xdr:cNvPr id="3" name="Imagen 5">
          <a:extLst>
            <a:ext uri="{FF2B5EF4-FFF2-40B4-BE49-F238E27FC236}">
              <a16:creationId xmlns:a16="http://schemas.microsoft.com/office/drawing/2014/main" id="{8E3FECB4-41E2-4C0D-93AD-76FD80403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91441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D9830C07-79F1-46EC-82D8-57B45884B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30481</xdr:rowOff>
    </xdr:to>
    <xdr:pic>
      <xdr:nvPicPr>
        <xdr:cNvPr id="12" name="Imagen 5">
          <a:extLst>
            <a:ext uri="{FF2B5EF4-FFF2-40B4-BE49-F238E27FC236}">
              <a16:creationId xmlns:a16="http://schemas.microsoft.com/office/drawing/2014/main" id="{F7E50835-B164-4529-B600-AF7102CE8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30481</xdr:rowOff>
    </xdr:to>
    <xdr:pic>
      <xdr:nvPicPr>
        <xdr:cNvPr id="7" name="Imagen 5">
          <a:extLst>
            <a:ext uri="{FF2B5EF4-FFF2-40B4-BE49-F238E27FC236}">
              <a16:creationId xmlns:a16="http://schemas.microsoft.com/office/drawing/2014/main" id="{04A122D6-9F7B-4C50-9F4E-1E0C2F1E5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30481</xdr:rowOff>
    </xdr:to>
    <xdr:pic>
      <xdr:nvPicPr>
        <xdr:cNvPr id="9" name="Imagen 5">
          <a:extLst>
            <a:ext uri="{FF2B5EF4-FFF2-40B4-BE49-F238E27FC236}">
              <a16:creationId xmlns:a16="http://schemas.microsoft.com/office/drawing/2014/main" id="{A9307FDC-B58A-496C-B86D-F43518990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30481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16C4083-5F37-4754-AB76-29F7BC964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30481</xdr:rowOff>
    </xdr:to>
    <xdr:pic>
      <xdr:nvPicPr>
        <xdr:cNvPr id="10" name="Imagen 5">
          <a:extLst>
            <a:ext uri="{FF2B5EF4-FFF2-40B4-BE49-F238E27FC236}">
              <a16:creationId xmlns:a16="http://schemas.microsoft.com/office/drawing/2014/main" id="{CB6AC4E1-ACE3-4AD3-A0AC-D5034DE22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30481</xdr:rowOff>
    </xdr:to>
    <xdr:pic>
      <xdr:nvPicPr>
        <xdr:cNvPr id="13" name="Imagen 5">
          <a:extLst>
            <a:ext uri="{FF2B5EF4-FFF2-40B4-BE49-F238E27FC236}">
              <a16:creationId xmlns:a16="http://schemas.microsoft.com/office/drawing/2014/main" id="{320F4F7F-4BAE-47D9-A4B3-01BD33B32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1</xdr:rowOff>
    </xdr:from>
    <xdr:ext cx="962025" cy="914400"/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F56AD012-3A56-442B-A1BD-F38D112DC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76200" y="1"/>
          <a:ext cx="96202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76200</xdr:colOff>
      <xdr:row>0</xdr:row>
      <xdr:rowOff>1</xdr:rowOff>
    </xdr:from>
    <xdr:ext cx="1476375" cy="1051796"/>
    <xdr:pic>
      <xdr:nvPicPr>
        <xdr:cNvPr id="3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AA6C3FAA-5CA7-424D-BD35-0B0B32158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76200" y="1"/>
          <a:ext cx="1476375" cy="10517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0</xdr:rowOff>
    </xdr:from>
    <xdr:to>
      <xdr:col>2</xdr:col>
      <xdr:colOff>866775</xdr:colOff>
      <xdr:row>4</xdr:row>
      <xdr:rowOff>59657</xdr:rowOff>
    </xdr:to>
    <xdr:pic>
      <xdr:nvPicPr>
        <xdr:cNvPr id="2" name="Picture 3" descr="LOGO FINAL">
          <a:extLst>
            <a:ext uri="{FF2B5EF4-FFF2-40B4-BE49-F238E27FC236}">
              <a16:creationId xmlns:a16="http://schemas.microsoft.com/office/drawing/2014/main" id="{5973DE2F-2C71-48BB-9462-AD3AC0ECD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600075" y="0"/>
          <a:ext cx="2009775" cy="12693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57150</xdr:rowOff>
    </xdr:from>
    <xdr:to>
      <xdr:col>1</xdr:col>
      <xdr:colOff>123825</xdr:colOff>
      <xdr:row>5</xdr:row>
      <xdr:rowOff>43143</xdr:rowOff>
    </xdr:to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58C2405A-E9C4-4D4E-B6C5-034FDC81F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57150" y="57150"/>
          <a:ext cx="1152525" cy="986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76200</xdr:rowOff>
    </xdr:from>
    <xdr:ext cx="914400" cy="990600"/>
    <xdr:pic>
      <xdr:nvPicPr>
        <xdr:cNvPr id="2" name="Picture 11" descr="LOGO FINAL">
          <a:extLst>
            <a:ext uri="{FF2B5EF4-FFF2-40B4-BE49-F238E27FC236}">
              <a16:creationId xmlns:a16="http://schemas.microsoft.com/office/drawing/2014/main" id="{1F1B570B-C156-4B5F-9ECA-E8BDFD687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29" r="11829"/>
        <a:stretch>
          <a:fillRect/>
        </a:stretch>
      </xdr:blipFill>
      <xdr:spPr bwMode="auto">
        <a:xfrm>
          <a:off x="95250" y="76200"/>
          <a:ext cx="9144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76200</xdr:rowOff>
    </xdr:from>
    <xdr:ext cx="914400" cy="990600"/>
    <xdr:pic>
      <xdr:nvPicPr>
        <xdr:cNvPr id="3" name="Picture 11" descr="LOGO FINAL">
          <a:extLst>
            <a:ext uri="{FF2B5EF4-FFF2-40B4-BE49-F238E27FC236}">
              <a16:creationId xmlns:a16="http://schemas.microsoft.com/office/drawing/2014/main" id="{6161BB8C-7B6A-4FF0-B1E4-8A032CB9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29" r="11829"/>
        <a:stretch>
          <a:fillRect/>
        </a:stretch>
      </xdr:blipFill>
      <xdr:spPr bwMode="auto">
        <a:xfrm>
          <a:off x="95250" y="76200"/>
          <a:ext cx="9144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76200</xdr:rowOff>
    </xdr:from>
    <xdr:ext cx="914400" cy="990600"/>
    <xdr:pic>
      <xdr:nvPicPr>
        <xdr:cNvPr id="4" name="Picture 11" descr="LOGO FINAL">
          <a:extLst>
            <a:ext uri="{FF2B5EF4-FFF2-40B4-BE49-F238E27FC236}">
              <a16:creationId xmlns:a16="http://schemas.microsoft.com/office/drawing/2014/main" id="{1D4DEFDA-4715-4768-85FC-BF589B99B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29" r="11829"/>
        <a:stretch>
          <a:fillRect/>
        </a:stretch>
      </xdr:blipFill>
      <xdr:spPr bwMode="auto">
        <a:xfrm>
          <a:off x="95250" y="76200"/>
          <a:ext cx="9144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95249</xdr:colOff>
      <xdr:row>0</xdr:row>
      <xdr:rowOff>76200</xdr:rowOff>
    </xdr:from>
    <xdr:ext cx="1693333" cy="990600"/>
    <xdr:pic>
      <xdr:nvPicPr>
        <xdr:cNvPr id="5" name="Picture 11" descr="LOGO FINAL">
          <a:extLst>
            <a:ext uri="{FF2B5EF4-FFF2-40B4-BE49-F238E27FC236}">
              <a16:creationId xmlns:a16="http://schemas.microsoft.com/office/drawing/2014/main" id="{F91B2E76-98EB-4D2A-B0D7-253EAA19F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29" r="11829"/>
        <a:stretch>
          <a:fillRect/>
        </a:stretch>
      </xdr:blipFill>
      <xdr:spPr bwMode="auto">
        <a:xfrm>
          <a:off x="95249" y="76200"/>
          <a:ext cx="1693333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190500</xdr:rowOff>
    </xdr:from>
    <xdr:to>
      <xdr:col>0</xdr:col>
      <xdr:colOff>904875</xdr:colOff>
      <xdr:row>3</xdr:row>
      <xdr:rowOff>171450</xdr:rowOff>
    </xdr:to>
    <xdr:pic>
      <xdr:nvPicPr>
        <xdr:cNvPr id="2" name="Picture 9" descr="Nueva imagen">
          <a:extLst>
            <a:ext uri="{FF2B5EF4-FFF2-40B4-BE49-F238E27FC236}">
              <a16:creationId xmlns:a16="http://schemas.microsoft.com/office/drawing/2014/main" id="{FDB3E383-27B0-4D23-B1B8-EB40461AA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0"/>
          <a:ext cx="8572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66675</xdr:rowOff>
    </xdr:from>
    <xdr:to>
      <xdr:col>0</xdr:col>
      <xdr:colOff>1019175</xdr:colOff>
      <xdr:row>5</xdr:row>
      <xdr:rowOff>228600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BA64C9DF-2E3F-453C-8506-54D050C40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66675"/>
          <a:ext cx="9715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190500</xdr:rowOff>
    </xdr:from>
    <xdr:to>
      <xdr:col>0</xdr:col>
      <xdr:colOff>904875</xdr:colOff>
      <xdr:row>3</xdr:row>
      <xdr:rowOff>171450</xdr:rowOff>
    </xdr:to>
    <xdr:pic>
      <xdr:nvPicPr>
        <xdr:cNvPr id="4" name="Picture 9" descr="Nueva imagen">
          <a:extLst>
            <a:ext uri="{FF2B5EF4-FFF2-40B4-BE49-F238E27FC236}">
              <a16:creationId xmlns:a16="http://schemas.microsoft.com/office/drawing/2014/main" id="{67763401-60EC-48F7-9560-7948F2F34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0"/>
          <a:ext cx="8572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66675</xdr:rowOff>
    </xdr:from>
    <xdr:to>
      <xdr:col>0</xdr:col>
      <xdr:colOff>1019175</xdr:colOff>
      <xdr:row>5</xdr:row>
      <xdr:rowOff>228600</xdr:rowOff>
    </xdr:to>
    <xdr:pic>
      <xdr:nvPicPr>
        <xdr:cNvPr id="5" name="Imagen 12">
          <a:extLst>
            <a:ext uri="{FF2B5EF4-FFF2-40B4-BE49-F238E27FC236}">
              <a16:creationId xmlns:a16="http://schemas.microsoft.com/office/drawing/2014/main" id="{CB8A4966-9FA0-4BB2-9AA5-E0F46AEA3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66675"/>
          <a:ext cx="9715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024F5-C452-484F-84DC-B9F856166704}">
  <sheetPr>
    <pageSetUpPr fitToPage="1"/>
  </sheetPr>
  <dimension ref="A1:I70"/>
  <sheetViews>
    <sheetView topLeftCell="A2" workbookViewId="0">
      <selection activeCell="C10" sqref="C10"/>
    </sheetView>
  </sheetViews>
  <sheetFormatPr baseColWidth="10" defaultRowHeight="15" x14ac:dyDescent="0.25"/>
  <cols>
    <col min="2" max="2" width="12" customWidth="1"/>
    <col min="3" max="3" width="44.5703125" customWidth="1"/>
    <col min="8" max="8" width="17.5703125" customWidth="1"/>
    <col min="9" max="9" width="17.28515625" customWidth="1"/>
  </cols>
  <sheetData>
    <row r="1" spans="1:9" ht="16.5" x14ac:dyDescent="0.3">
      <c r="A1" s="453"/>
      <c r="B1" s="454"/>
      <c r="C1" s="439" t="s">
        <v>0</v>
      </c>
      <c r="D1" s="439"/>
      <c r="E1" s="439"/>
      <c r="F1" s="439"/>
      <c r="G1" s="439"/>
      <c r="H1" s="9" t="s">
        <v>1</v>
      </c>
      <c r="I1" s="10"/>
    </row>
    <row r="2" spans="1:9" ht="17.25" thickBot="1" x14ac:dyDescent="0.35">
      <c r="A2" s="455"/>
      <c r="B2" s="456"/>
      <c r="C2" s="440" t="s">
        <v>2</v>
      </c>
      <c r="D2" s="440"/>
      <c r="E2" s="440"/>
      <c r="F2" s="440"/>
      <c r="G2" s="440"/>
      <c r="H2" s="11" t="s">
        <v>3</v>
      </c>
      <c r="I2" s="12"/>
    </row>
    <row r="3" spans="1:9" ht="18" x14ac:dyDescent="0.25">
      <c r="A3" s="455"/>
      <c r="B3" s="456"/>
      <c r="C3" s="441" t="s">
        <v>74</v>
      </c>
      <c r="D3" s="442"/>
      <c r="E3" s="442"/>
      <c r="F3" s="442"/>
      <c r="G3" s="443"/>
      <c r="H3" s="444" t="s">
        <v>4</v>
      </c>
      <c r="I3" s="466"/>
    </row>
    <row r="4" spans="1:9" ht="16.5" x14ac:dyDescent="0.3">
      <c r="A4" s="455"/>
      <c r="B4" s="456"/>
      <c r="C4" s="11" t="s">
        <v>5</v>
      </c>
      <c r="D4" s="469" t="s">
        <v>31</v>
      </c>
      <c r="E4" s="469"/>
      <c r="F4" s="469"/>
      <c r="G4" s="469"/>
      <c r="H4" s="445"/>
      <c r="I4" s="467"/>
    </row>
    <row r="5" spans="1:9" ht="17.25" thickBot="1" x14ac:dyDescent="0.35">
      <c r="A5" s="457"/>
      <c r="B5" s="458"/>
      <c r="C5" s="13" t="s">
        <v>6</v>
      </c>
      <c r="D5" s="470" t="s">
        <v>32</v>
      </c>
      <c r="E5" s="470"/>
      <c r="F5" s="470"/>
      <c r="G5" s="470"/>
      <c r="H5" s="446"/>
      <c r="I5" s="468"/>
    </row>
    <row r="6" spans="1:9" ht="18" x14ac:dyDescent="0.25">
      <c r="A6" s="459" t="s">
        <v>7</v>
      </c>
      <c r="B6" s="460"/>
      <c r="C6" s="460"/>
      <c r="D6" s="461" t="s">
        <v>30</v>
      </c>
      <c r="E6" s="461"/>
      <c r="F6" s="461"/>
      <c r="G6" s="462" t="s">
        <v>8</v>
      </c>
      <c r="H6" s="462"/>
      <c r="I6" s="14" t="s">
        <v>30</v>
      </c>
    </row>
    <row r="7" spans="1:9" ht="22.15" customHeight="1" x14ac:dyDescent="0.25">
      <c r="A7" s="463" t="s">
        <v>9</v>
      </c>
      <c r="B7" s="464" t="s">
        <v>33</v>
      </c>
      <c r="C7" s="463" t="s">
        <v>10</v>
      </c>
      <c r="D7" s="463" t="s">
        <v>11</v>
      </c>
      <c r="E7" s="463" t="s">
        <v>12</v>
      </c>
      <c r="F7" s="463"/>
      <c r="G7" s="463" t="s">
        <v>13</v>
      </c>
      <c r="H7" s="463"/>
      <c r="I7" s="16" t="s">
        <v>14</v>
      </c>
    </row>
    <row r="8" spans="1:9" ht="25.5" x14ac:dyDescent="0.25">
      <c r="A8" s="463"/>
      <c r="B8" s="465"/>
      <c r="C8" s="463"/>
      <c r="D8" s="463"/>
      <c r="E8" s="17" t="s">
        <v>15</v>
      </c>
      <c r="F8" s="18" t="s">
        <v>16</v>
      </c>
      <c r="G8" s="17" t="s">
        <v>15</v>
      </c>
      <c r="H8" s="18" t="s">
        <v>16</v>
      </c>
      <c r="I8" s="15" t="s">
        <v>17</v>
      </c>
    </row>
    <row r="9" spans="1:9" x14ac:dyDescent="0.25">
      <c r="A9" s="52"/>
      <c r="B9" s="52"/>
      <c r="C9" s="75" t="s">
        <v>39</v>
      </c>
      <c r="D9" s="52"/>
      <c r="E9" s="53"/>
      <c r="F9" s="54"/>
      <c r="G9" s="53"/>
      <c r="H9" s="54"/>
      <c r="I9" s="52"/>
    </row>
    <row r="10" spans="1:9" x14ac:dyDescent="0.25">
      <c r="A10" s="52"/>
      <c r="B10" s="52"/>
      <c r="C10" s="76" t="s">
        <v>88</v>
      </c>
      <c r="D10" s="52" t="s">
        <v>18</v>
      </c>
      <c r="E10" s="53">
        <v>70</v>
      </c>
      <c r="F10" s="54" t="s">
        <v>19</v>
      </c>
      <c r="G10" s="53" t="s">
        <v>47</v>
      </c>
      <c r="H10" s="54" t="s">
        <v>79</v>
      </c>
      <c r="I10" s="52" t="s">
        <v>80</v>
      </c>
    </row>
    <row r="11" spans="1:9" x14ac:dyDescent="0.25">
      <c r="A11" s="52"/>
      <c r="B11" s="52"/>
      <c r="C11" s="76" t="s">
        <v>89</v>
      </c>
      <c r="D11" s="52" t="s">
        <v>18</v>
      </c>
      <c r="E11" s="53">
        <v>56</v>
      </c>
      <c r="F11" s="54" t="s">
        <v>19</v>
      </c>
      <c r="G11" s="53" t="s">
        <v>84</v>
      </c>
      <c r="H11" s="54" t="s">
        <v>83</v>
      </c>
      <c r="I11" s="52" t="s">
        <v>80</v>
      </c>
    </row>
    <row r="12" spans="1:9" x14ac:dyDescent="0.25">
      <c r="A12" s="57"/>
      <c r="B12" s="19"/>
      <c r="C12" s="77" t="s">
        <v>41</v>
      </c>
      <c r="D12" s="2"/>
      <c r="E12" s="2"/>
      <c r="F12" s="2"/>
      <c r="G12" s="3"/>
      <c r="H12" s="3"/>
      <c r="I12" s="55"/>
    </row>
    <row r="13" spans="1:9" x14ac:dyDescent="0.25">
      <c r="A13" s="26">
        <v>908000021</v>
      </c>
      <c r="B13" s="27" t="s">
        <v>75</v>
      </c>
      <c r="C13" s="78" t="s">
        <v>46</v>
      </c>
      <c r="D13" s="2" t="s">
        <v>18</v>
      </c>
      <c r="E13" s="2">
        <v>30</v>
      </c>
      <c r="F13" s="2" t="s">
        <v>19</v>
      </c>
      <c r="G13" s="3"/>
      <c r="H13" s="3"/>
      <c r="I13" s="58" t="s">
        <v>77</v>
      </c>
    </row>
    <row r="14" spans="1:9" x14ac:dyDescent="0.25">
      <c r="A14" s="93"/>
      <c r="B14" s="88"/>
      <c r="C14" s="92" t="s">
        <v>40</v>
      </c>
      <c r="D14" s="85" t="s">
        <v>18</v>
      </c>
      <c r="E14" s="85">
        <v>180</v>
      </c>
      <c r="F14" s="85" t="s">
        <v>19</v>
      </c>
      <c r="G14" s="86"/>
      <c r="H14" s="86"/>
      <c r="I14" s="87" t="s">
        <v>81</v>
      </c>
    </row>
    <row r="15" spans="1:9" x14ac:dyDescent="0.25">
      <c r="A15" s="26"/>
      <c r="B15" s="27"/>
      <c r="C15" s="80" t="s">
        <v>42</v>
      </c>
      <c r="D15" s="2"/>
      <c r="E15" s="2"/>
      <c r="F15" s="2" t="s">
        <v>19</v>
      </c>
      <c r="G15" s="3"/>
      <c r="H15" s="3"/>
      <c r="I15" s="58"/>
    </row>
    <row r="16" spans="1:9" x14ac:dyDescent="0.25">
      <c r="A16" s="82"/>
      <c r="B16" s="83"/>
      <c r="C16" s="84" t="s">
        <v>89</v>
      </c>
      <c r="D16" s="85"/>
      <c r="E16" s="85">
        <v>56</v>
      </c>
      <c r="F16" s="85" t="s">
        <v>19</v>
      </c>
      <c r="G16" s="86"/>
      <c r="H16" s="86"/>
      <c r="I16" s="87"/>
    </row>
    <row r="17" spans="1:9" x14ac:dyDescent="0.25">
      <c r="A17" s="26">
        <v>908000021</v>
      </c>
      <c r="B17" s="27" t="s">
        <v>75</v>
      </c>
      <c r="C17" s="78" t="s">
        <v>46</v>
      </c>
      <c r="D17" s="2" t="s">
        <v>18</v>
      </c>
      <c r="E17" s="2">
        <v>30</v>
      </c>
      <c r="F17" s="2" t="s">
        <v>19</v>
      </c>
      <c r="G17" s="3"/>
      <c r="H17" s="3"/>
      <c r="I17" s="58"/>
    </row>
    <row r="18" spans="1:9" x14ac:dyDescent="0.25">
      <c r="A18" s="26"/>
      <c r="B18" s="27"/>
      <c r="C18" s="79" t="s">
        <v>40</v>
      </c>
      <c r="D18" s="2" t="s">
        <v>18</v>
      </c>
      <c r="E18" s="2">
        <v>100</v>
      </c>
      <c r="F18" s="2" t="s">
        <v>19</v>
      </c>
      <c r="G18" s="3"/>
      <c r="H18" s="3"/>
      <c r="I18" s="58" t="s">
        <v>81</v>
      </c>
    </row>
    <row r="19" spans="1:9" x14ac:dyDescent="0.25">
      <c r="A19" s="26">
        <v>96344</v>
      </c>
      <c r="B19" s="27" t="s">
        <v>76</v>
      </c>
      <c r="C19" s="1" t="s">
        <v>98</v>
      </c>
      <c r="D19" s="2" t="s">
        <v>18</v>
      </c>
      <c r="E19" s="2">
        <v>25</v>
      </c>
      <c r="F19" s="2" t="s">
        <v>19</v>
      </c>
      <c r="G19" s="3"/>
      <c r="H19" s="3" t="s">
        <v>113</v>
      </c>
      <c r="I19" s="58" t="s">
        <v>114</v>
      </c>
    </row>
    <row r="20" spans="1:9" x14ac:dyDescent="0.25">
      <c r="A20" s="26">
        <v>905000098</v>
      </c>
      <c r="B20" s="27" t="s">
        <v>99</v>
      </c>
      <c r="C20" s="1" t="s">
        <v>100</v>
      </c>
      <c r="D20" s="2" t="s">
        <v>18</v>
      </c>
      <c r="E20" s="2">
        <v>25</v>
      </c>
      <c r="F20" s="2" t="s">
        <v>19</v>
      </c>
      <c r="G20" s="3"/>
      <c r="H20" s="2"/>
      <c r="I20" s="58" t="s">
        <v>78</v>
      </c>
    </row>
    <row r="21" spans="1:9" x14ac:dyDescent="0.25">
      <c r="A21" s="26"/>
      <c r="B21" s="27"/>
      <c r="C21" s="80" t="s">
        <v>86</v>
      </c>
      <c r="D21" s="2"/>
      <c r="E21" s="2"/>
      <c r="F21" s="2" t="s">
        <v>19</v>
      </c>
      <c r="G21" s="3"/>
      <c r="H21" s="3"/>
      <c r="I21" s="58"/>
    </row>
    <row r="22" spans="1:9" x14ac:dyDescent="0.25">
      <c r="A22" s="82"/>
      <c r="B22" s="83"/>
      <c r="C22" s="84" t="s">
        <v>89</v>
      </c>
      <c r="D22" s="85"/>
      <c r="E22" s="85">
        <v>56</v>
      </c>
      <c r="F22" s="85" t="s">
        <v>19</v>
      </c>
      <c r="G22" s="86" t="s">
        <v>47</v>
      </c>
      <c r="H22" s="86"/>
      <c r="I22" s="87"/>
    </row>
    <row r="23" spans="1:9" x14ac:dyDescent="0.25">
      <c r="A23" s="26">
        <v>908000021</v>
      </c>
      <c r="B23" s="27" t="s">
        <v>75</v>
      </c>
      <c r="C23" s="78" t="s">
        <v>46</v>
      </c>
      <c r="D23" s="2" t="s">
        <v>18</v>
      </c>
      <c r="E23" s="2">
        <v>30</v>
      </c>
      <c r="F23" s="2" t="s">
        <v>19</v>
      </c>
      <c r="G23" s="3"/>
      <c r="H23" s="3"/>
      <c r="I23" s="58"/>
    </row>
    <row r="24" spans="1:9" x14ac:dyDescent="0.25">
      <c r="A24" s="26"/>
      <c r="B24" s="27"/>
      <c r="C24" s="69" t="s">
        <v>40</v>
      </c>
      <c r="D24" s="2" t="s">
        <v>18</v>
      </c>
      <c r="E24" s="2">
        <v>100</v>
      </c>
      <c r="F24" s="2" t="s">
        <v>19</v>
      </c>
      <c r="G24" s="3"/>
      <c r="H24" s="3"/>
      <c r="I24" s="58" t="s">
        <v>81</v>
      </c>
    </row>
    <row r="25" spans="1:9" x14ac:dyDescent="0.25">
      <c r="A25" s="26">
        <v>96344</v>
      </c>
      <c r="B25" s="27" t="s">
        <v>76</v>
      </c>
      <c r="C25" s="1" t="s">
        <v>98</v>
      </c>
      <c r="D25" s="2" t="s">
        <v>18</v>
      </c>
      <c r="E25" s="2">
        <v>25</v>
      </c>
      <c r="F25" s="2" t="s">
        <v>19</v>
      </c>
      <c r="G25" s="3"/>
      <c r="H25" s="3" t="s">
        <v>113</v>
      </c>
      <c r="I25" s="58" t="s">
        <v>114</v>
      </c>
    </row>
    <row r="26" spans="1:9" x14ac:dyDescent="0.25">
      <c r="A26" s="26">
        <v>905000098</v>
      </c>
      <c r="B26" s="27" t="s">
        <v>99</v>
      </c>
      <c r="C26" s="1" t="s">
        <v>100</v>
      </c>
      <c r="D26" s="2" t="s">
        <v>18</v>
      </c>
      <c r="E26" s="2">
        <v>25</v>
      </c>
      <c r="F26" s="2" t="s">
        <v>19</v>
      </c>
      <c r="G26" s="3"/>
      <c r="H26" s="2"/>
      <c r="I26" s="58" t="s">
        <v>78</v>
      </c>
    </row>
    <row r="27" spans="1:9" x14ac:dyDescent="0.25">
      <c r="A27" s="26"/>
      <c r="B27" s="27"/>
      <c r="C27" s="80" t="s">
        <v>87</v>
      </c>
      <c r="D27" s="2"/>
      <c r="E27" s="2"/>
      <c r="F27" s="2"/>
      <c r="G27" s="3"/>
      <c r="H27" s="3"/>
      <c r="I27" s="58"/>
    </row>
    <row r="28" spans="1:9" x14ac:dyDescent="0.25">
      <c r="A28" s="82"/>
      <c r="B28" s="83"/>
      <c r="C28" s="84" t="s">
        <v>89</v>
      </c>
      <c r="D28" s="85"/>
      <c r="E28" s="85">
        <v>56</v>
      </c>
      <c r="F28" s="85" t="s">
        <v>19</v>
      </c>
      <c r="G28" s="86" t="s">
        <v>179</v>
      </c>
      <c r="H28" s="86"/>
      <c r="I28" s="87"/>
    </row>
    <row r="29" spans="1:9" x14ac:dyDescent="0.25">
      <c r="A29" s="85"/>
      <c r="B29" s="88"/>
      <c r="C29" s="89" t="s">
        <v>85</v>
      </c>
      <c r="D29" s="85"/>
      <c r="E29" s="85">
        <v>350</v>
      </c>
      <c r="F29" s="85" t="s">
        <v>19</v>
      </c>
      <c r="G29" s="86"/>
      <c r="H29" s="85"/>
      <c r="I29" s="87"/>
    </row>
    <row r="30" spans="1:9" x14ac:dyDescent="0.25">
      <c r="A30" s="2"/>
      <c r="B30" s="19"/>
      <c r="C30" s="81" t="s">
        <v>43</v>
      </c>
      <c r="D30" s="2"/>
      <c r="E30" s="2"/>
      <c r="F30" s="2"/>
      <c r="G30" s="3"/>
      <c r="H30" s="2"/>
      <c r="I30" s="56"/>
    </row>
    <row r="31" spans="1:9" x14ac:dyDescent="0.25">
      <c r="A31" s="26">
        <v>96344</v>
      </c>
      <c r="B31" s="27" t="s">
        <v>76</v>
      </c>
      <c r="C31" t="s">
        <v>98</v>
      </c>
      <c r="D31" s="2" t="s">
        <v>18</v>
      </c>
      <c r="E31" s="2">
        <v>40</v>
      </c>
      <c r="F31" s="2" t="s">
        <v>19</v>
      </c>
      <c r="G31" s="471" t="s">
        <v>90</v>
      </c>
      <c r="H31" s="472"/>
      <c r="I31" s="473"/>
    </row>
    <row r="32" spans="1:9" x14ac:dyDescent="0.25">
      <c r="A32" s="26"/>
      <c r="B32" s="27"/>
      <c r="C32" s="79" t="s">
        <v>40</v>
      </c>
      <c r="D32" s="2" t="s">
        <v>18</v>
      </c>
      <c r="E32" s="2">
        <v>100</v>
      </c>
      <c r="F32" s="2" t="s">
        <v>19</v>
      </c>
      <c r="G32" s="71"/>
      <c r="H32" s="72" t="s">
        <v>91</v>
      </c>
      <c r="I32" s="73" t="s">
        <v>115</v>
      </c>
    </row>
    <row r="33" spans="1:9" ht="15" customHeight="1" x14ac:dyDescent="0.25">
      <c r="A33" s="39">
        <v>11900028</v>
      </c>
      <c r="B33" s="74" t="s">
        <v>101</v>
      </c>
      <c r="C33" t="s">
        <v>102</v>
      </c>
      <c r="D33" s="2" t="s">
        <v>18</v>
      </c>
      <c r="E33" s="2">
        <v>5</v>
      </c>
      <c r="F33" s="2" t="s">
        <v>21</v>
      </c>
      <c r="G33" s="3"/>
      <c r="H33" s="2" t="s">
        <v>92</v>
      </c>
      <c r="I33" s="58"/>
    </row>
    <row r="34" spans="1:9" x14ac:dyDescent="0.25">
      <c r="A34" s="85"/>
      <c r="B34" s="88"/>
      <c r="C34" s="97" t="s">
        <v>49</v>
      </c>
      <c r="D34" s="85"/>
      <c r="E34" s="85">
        <v>6</v>
      </c>
      <c r="F34" s="85" t="s">
        <v>19</v>
      </c>
      <c r="G34" s="86" t="s">
        <v>47</v>
      </c>
      <c r="H34" s="85" t="s">
        <v>44</v>
      </c>
      <c r="I34" s="98"/>
    </row>
    <row r="35" spans="1:9" x14ac:dyDescent="0.25">
      <c r="A35" s="85"/>
      <c r="B35" s="88"/>
      <c r="C35" s="99" t="s">
        <v>50</v>
      </c>
      <c r="D35" s="85"/>
      <c r="E35" s="85">
        <v>4</v>
      </c>
      <c r="F35" s="85" t="s">
        <v>19</v>
      </c>
      <c r="G35" s="86" t="s">
        <v>48</v>
      </c>
      <c r="H35" s="85" t="s">
        <v>45</v>
      </c>
      <c r="I35" s="98"/>
    </row>
    <row r="36" spans="1:9" x14ac:dyDescent="0.25">
      <c r="A36" s="85"/>
      <c r="B36" s="88"/>
      <c r="C36" s="99" t="s">
        <v>50</v>
      </c>
      <c r="D36" s="85"/>
      <c r="E36" s="85">
        <v>4</v>
      </c>
      <c r="F36" s="85" t="s">
        <v>19</v>
      </c>
      <c r="G36" s="86" t="s">
        <v>48</v>
      </c>
      <c r="H36" s="85" t="s">
        <v>44</v>
      </c>
      <c r="I36" s="98"/>
    </row>
    <row r="37" spans="1:9" x14ac:dyDescent="0.25">
      <c r="A37" s="57"/>
      <c r="B37" s="19"/>
      <c r="C37" s="80" t="s">
        <v>20</v>
      </c>
      <c r="D37" s="2"/>
      <c r="E37" s="3"/>
      <c r="F37" s="2"/>
      <c r="G37" s="3"/>
      <c r="H37" s="2"/>
      <c r="I37" s="56"/>
    </row>
    <row r="38" spans="1:9" x14ac:dyDescent="0.25">
      <c r="A38" s="19"/>
      <c r="B38" s="19"/>
      <c r="C38" s="24"/>
      <c r="D38" s="25"/>
      <c r="E38" s="21"/>
      <c r="F38" s="22"/>
      <c r="G38" s="3"/>
      <c r="H38" s="2"/>
      <c r="I38" s="4"/>
    </row>
    <row r="39" spans="1:9" x14ac:dyDescent="0.25">
      <c r="A39" s="60">
        <v>121603</v>
      </c>
      <c r="B39" s="60" t="s">
        <v>51</v>
      </c>
      <c r="C39" s="61" t="s">
        <v>52</v>
      </c>
      <c r="D39" s="62" t="s">
        <v>53</v>
      </c>
      <c r="E39" s="63">
        <v>1</v>
      </c>
      <c r="F39" s="63" t="s">
        <v>21</v>
      </c>
      <c r="G39" s="59"/>
      <c r="H39" s="6"/>
      <c r="I39" s="7"/>
    </row>
    <row r="40" spans="1:9" x14ac:dyDescent="0.25">
      <c r="A40" s="60">
        <v>1950692</v>
      </c>
      <c r="B40" s="60" t="s">
        <v>54</v>
      </c>
      <c r="C40" s="64" t="s">
        <v>55</v>
      </c>
      <c r="D40" s="62" t="s">
        <v>56</v>
      </c>
      <c r="E40" s="63">
        <v>1</v>
      </c>
      <c r="F40" s="63" t="s">
        <v>57</v>
      </c>
      <c r="G40" s="59"/>
      <c r="H40" s="6"/>
      <c r="I40" s="7"/>
    </row>
    <row r="41" spans="1:9" x14ac:dyDescent="0.25">
      <c r="A41" s="26">
        <v>702069</v>
      </c>
      <c r="B41" s="27" t="s">
        <v>58</v>
      </c>
      <c r="C41" s="1" t="s">
        <v>59</v>
      </c>
      <c r="D41" s="65" t="s">
        <v>60</v>
      </c>
      <c r="E41" s="32">
        <v>1</v>
      </c>
      <c r="F41" s="33" t="s">
        <v>21</v>
      </c>
      <c r="G41" s="3"/>
      <c r="H41" s="2"/>
      <c r="I41" s="4"/>
    </row>
    <row r="42" spans="1:9" x14ac:dyDescent="0.25">
      <c r="A42" s="34" t="s">
        <v>61</v>
      </c>
      <c r="B42" s="35" t="s">
        <v>62</v>
      </c>
      <c r="C42" s="36" t="s">
        <v>63</v>
      </c>
      <c r="D42" s="37" t="s">
        <v>56</v>
      </c>
      <c r="E42" s="32">
        <v>60</v>
      </c>
      <c r="F42" s="33" t="s">
        <v>64</v>
      </c>
      <c r="G42" s="59"/>
      <c r="H42" s="23"/>
      <c r="I42" s="28"/>
    </row>
    <row r="43" spans="1:9" x14ac:dyDescent="0.25">
      <c r="A43" s="66">
        <v>701096</v>
      </c>
      <c r="B43" s="66" t="s">
        <v>65</v>
      </c>
      <c r="C43" s="67" t="s">
        <v>66</v>
      </c>
      <c r="D43" s="37" t="s">
        <v>67</v>
      </c>
      <c r="E43" s="32">
        <v>1</v>
      </c>
      <c r="F43" s="33" t="s">
        <v>21</v>
      </c>
      <c r="G43" s="59"/>
      <c r="H43" s="23"/>
      <c r="I43" s="51"/>
    </row>
    <row r="44" spans="1:9" ht="15.75" x14ac:dyDescent="0.25">
      <c r="A44" s="34" t="s">
        <v>68</v>
      </c>
      <c r="B44" s="35" t="s">
        <v>69</v>
      </c>
      <c r="C44" s="36" t="s">
        <v>70</v>
      </c>
      <c r="D44" s="5" t="s">
        <v>71</v>
      </c>
      <c r="E44" s="32">
        <v>1</v>
      </c>
      <c r="F44" s="33" t="s">
        <v>21</v>
      </c>
      <c r="G44" s="21"/>
      <c r="H44" s="23"/>
      <c r="I44" s="29"/>
    </row>
    <row r="45" spans="1:9" ht="0.6" customHeight="1" x14ac:dyDescent="0.25">
      <c r="A45" s="39">
        <v>60100120</v>
      </c>
      <c r="B45" s="27" t="s">
        <v>72</v>
      </c>
      <c r="C45" t="s">
        <v>73</v>
      </c>
      <c r="D45" s="5" t="s">
        <v>60</v>
      </c>
      <c r="E45" s="32">
        <v>1</v>
      </c>
      <c r="F45" s="33" t="s">
        <v>21</v>
      </c>
      <c r="G45" s="30"/>
      <c r="H45" s="31"/>
      <c r="I45" s="38"/>
    </row>
    <row r="46" spans="1:9" ht="15.75" x14ac:dyDescent="0.25">
      <c r="A46" s="34"/>
      <c r="B46" s="35"/>
      <c r="C46" s="36" t="s">
        <v>93</v>
      </c>
      <c r="D46" s="5"/>
      <c r="E46" s="32">
        <v>1</v>
      </c>
      <c r="F46" s="33" t="s">
        <v>21</v>
      </c>
      <c r="G46" s="40"/>
      <c r="H46" s="37"/>
      <c r="I46" s="41"/>
    </row>
    <row r="47" spans="1:9" ht="15.75" thickBot="1" x14ac:dyDescent="0.3">
      <c r="A47" s="42"/>
      <c r="B47" s="43"/>
      <c r="C47" s="44"/>
      <c r="D47" s="45" t="s">
        <v>15</v>
      </c>
      <c r="E47" s="46" t="s">
        <v>22</v>
      </c>
      <c r="F47" s="47"/>
      <c r="G47" s="44"/>
      <c r="H47" s="44"/>
      <c r="I47" s="48"/>
    </row>
    <row r="48" spans="1:9" x14ac:dyDescent="0.25">
      <c r="A48" s="447" t="s">
        <v>23</v>
      </c>
      <c r="B48" s="448"/>
      <c r="C48" s="449"/>
      <c r="D48" s="3">
        <v>1244</v>
      </c>
      <c r="E48" s="49" t="s">
        <v>19</v>
      </c>
      <c r="F48" s="450" t="s">
        <v>34</v>
      </c>
      <c r="G48" s="450"/>
      <c r="H48" s="451"/>
      <c r="I48" s="452"/>
    </row>
    <row r="49" spans="1:9" x14ac:dyDescent="0.25">
      <c r="A49" s="413" t="s">
        <v>24</v>
      </c>
      <c r="B49" s="414"/>
      <c r="C49" s="415"/>
      <c r="D49" s="2">
        <v>25</v>
      </c>
      <c r="E49" s="20" t="s">
        <v>25</v>
      </c>
      <c r="F49" s="474" t="s">
        <v>35</v>
      </c>
      <c r="G49" s="474"/>
      <c r="H49" s="417"/>
      <c r="I49" s="418"/>
    </row>
    <row r="50" spans="1:9" x14ac:dyDescent="0.25">
      <c r="A50" s="413" t="s">
        <v>26</v>
      </c>
      <c r="B50" s="414"/>
      <c r="C50" s="415"/>
      <c r="D50" s="3">
        <v>1</v>
      </c>
      <c r="E50" s="20" t="s">
        <v>21</v>
      </c>
      <c r="F50" s="474" t="s">
        <v>36</v>
      </c>
      <c r="G50" s="474"/>
      <c r="H50" s="417"/>
      <c r="I50" s="418"/>
    </row>
    <row r="51" spans="1:9" x14ac:dyDescent="0.25">
      <c r="A51" s="413" t="s">
        <v>27</v>
      </c>
      <c r="B51" s="414"/>
      <c r="C51" s="415"/>
      <c r="D51" s="3">
        <v>1244</v>
      </c>
      <c r="E51" s="19" t="s">
        <v>19</v>
      </c>
      <c r="F51" s="416" t="s">
        <v>37</v>
      </c>
      <c r="G51" s="416"/>
      <c r="H51" s="417"/>
      <c r="I51" s="418"/>
    </row>
    <row r="52" spans="1:9" ht="15.75" thickBot="1" x14ac:dyDescent="0.3">
      <c r="A52" s="419" t="s">
        <v>28</v>
      </c>
      <c r="B52" s="420"/>
      <c r="C52" s="421"/>
      <c r="D52" s="8">
        <f>SUM(E10:E36)-D48</f>
        <v>129</v>
      </c>
      <c r="E52" s="50" t="s">
        <v>19</v>
      </c>
      <c r="F52" s="422"/>
      <c r="G52" s="422"/>
      <c r="H52" s="423"/>
      <c r="I52" s="424"/>
    </row>
    <row r="53" spans="1:9" ht="15.75" thickBot="1" x14ac:dyDescent="0.3">
      <c r="A53" s="475" t="s">
        <v>29</v>
      </c>
      <c r="B53" s="476"/>
      <c r="C53" s="476"/>
      <c r="D53" s="476"/>
      <c r="E53" s="476"/>
      <c r="F53" s="476"/>
      <c r="G53" s="476"/>
      <c r="H53" s="476"/>
      <c r="I53" s="477"/>
    </row>
    <row r="54" spans="1:9" x14ac:dyDescent="0.25">
      <c r="A54" s="478" t="s">
        <v>117</v>
      </c>
      <c r="B54" s="479"/>
      <c r="C54" s="480"/>
      <c r="D54" s="480"/>
      <c r="E54" s="480"/>
      <c r="F54" s="480"/>
      <c r="G54" s="480"/>
      <c r="H54" s="480"/>
      <c r="I54" s="481"/>
    </row>
    <row r="55" spans="1:9" ht="14.45" customHeight="1" x14ac:dyDescent="0.25">
      <c r="A55" s="482" t="s">
        <v>118</v>
      </c>
      <c r="B55" s="483"/>
      <c r="C55" s="483"/>
      <c r="D55" s="483"/>
      <c r="E55" s="483"/>
      <c r="F55" s="483"/>
      <c r="G55" s="483"/>
      <c r="H55" s="483"/>
      <c r="I55" s="484"/>
    </row>
    <row r="56" spans="1:9" x14ac:dyDescent="0.25">
      <c r="A56" s="485" t="s">
        <v>94</v>
      </c>
      <c r="B56" s="486"/>
      <c r="C56" s="487"/>
      <c r="D56" s="487"/>
      <c r="E56" s="487"/>
      <c r="F56" s="487"/>
      <c r="G56" s="487"/>
      <c r="H56" s="487"/>
      <c r="I56" s="488"/>
    </row>
    <row r="57" spans="1:9" ht="16.5" x14ac:dyDescent="0.3">
      <c r="A57" s="489" t="s">
        <v>119</v>
      </c>
      <c r="B57" s="490"/>
      <c r="C57" s="490"/>
      <c r="D57" s="490"/>
      <c r="E57" s="490"/>
      <c r="F57" s="490"/>
      <c r="G57" s="490"/>
      <c r="H57" s="490"/>
      <c r="I57" s="491"/>
    </row>
    <row r="58" spans="1:9" x14ac:dyDescent="0.25">
      <c r="A58" s="492" t="s">
        <v>95</v>
      </c>
      <c r="B58" s="493"/>
      <c r="C58" s="494"/>
      <c r="D58" s="494"/>
      <c r="E58" s="494"/>
      <c r="F58" s="494"/>
      <c r="G58" s="494"/>
      <c r="H58" s="494"/>
      <c r="I58" s="495"/>
    </row>
    <row r="59" spans="1:9" x14ac:dyDescent="0.25">
      <c r="A59" s="425" t="s">
        <v>96</v>
      </c>
      <c r="B59" s="426"/>
      <c r="C59" s="426"/>
      <c r="D59" s="426"/>
      <c r="E59" s="426"/>
      <c r="F59" s="426"/>
      <c r="G59" s="426"/>
      <c r="H59" s="426"/>
      <c r="I59" s="427"/>
    </row>
    <row r="60" spans="1:9" x14ac:dyDescent="0.25">
      <c r="A60" s="425" t="s">
        <v>97</v>
      </c>
      <c r="B60" s="426"/>
      <c r="C60" s="426"/>
      <c r="D60" s="426"/>
      <c r="E60" s="426"/>
      <c r="F60" s="426"/>
      <c r="G60" s="426"/>
      <c r="H60" s="426"/>
      <c r="I60" s="427"/>
    </row>
    <row r="61" spans="1:9" ht="15.75" thickBot="1" x14ac:dyDescent="0.3">
      <c r="A61" s="428"/>
      <c r="B61" s="429"/>
      <c r="C61" s="430"/>
      <c r="D61" s="430"/>
      <c r="E61" s="430"/>
      <c r="F61" s="430"/>
      <c r="G61" s="430"/>
      <c r="H61" s="430"/>
      <c r="I61" s="431"/>
    </row>
    <row r="62" spans="1:9" x14ac:dyDescent="0.25">
      <c r="A62" s="432" t="s">
        <v>38</v>
      </c>
      <c r="B62" s="433"/>
      <c r="C62" s="433"/>
      <c r="D62" s="433"/>
      <c r="E62" s="433"/>
      <c r="F62" s="433"/>
      <c r="G62" s="433"/>
      <c r="H62" s="433"/>
      <c r="I62" s="434"/>
    </row>
    <row r="63" spans="1:9" ht="15.75" thickBot="1" x14ac:dyDescent="0.3">
      <c r="A63" s="435"/>
      <c r="B63" s="436"/>
      <c r="C63" s="437"/>
      <c r="D63" s="437"/>
      <c r="E63" s="437"/>
      <c r="F63" s="437"/>
      <c r="G63" s="437"/>
      <c r="H63" s="437"/>
      <c r="I63" s="438"/>
    </row>
    <row r="64" spans="1:9" ht="15.75" thickBot="1" x14ac:dyDescent="0.3">
      <c r="A64" s="409"/>
      <c r="B64" s="410"/>
      <c r="C64" s="411"/>
      <c r="D64" s="411"/>
      <c r="E64" s="411"/>
      <c r="F64" s="411"/>
      <c r="G64" s="411"/>
      <c r="H64" s="411"/>
      <c r="I64" s="412"/>
    </row>
    <row r="65" spans="1:9" ht="15.75" thickBot="1" x14ac:dyDescent="0.3">
      <c r="A65" s="409"/>
      <c r="B65" s="410"/>
      <c r="C65" s="411"/>
      <c r="D65" s="411"/>
      <c r="E65" s="411"/>
      <c r="F65" s="411"/>
      <c r="G65" s="411"/>
      <c r="H65" s="411"/>
      <c r="I65" s="412"/>
    </row>
    <row r="66" spans="1:9" ht="15.75" thickBot="1" x14ac:dyDescent="0.3">
      <c r="A66" s="409"/>
      <c r="B66" s="410"/>
      <c r="C66" s="411"/>
      <c r="D66" s="411"/>
      <c r="E66" s="411"/>
      <c r="F66" s="411"/>
      <c r="G66" s="411"/>
      <c r="H66" s="411"/>
      <c r="I66" s="412"/>
    </row>
    <row r="67" spans="1:9" ht="15.75" thickBot="1" x14ac:dyDescent="0.3">
      <c r="A67" s="409"/>
      <c r="B67" s="410"/>
      <c r="C67" s="411"/>
      <c r="D67" s="411"/>
      <c r="E67" s="411"/>
      <c r="F67" s="411"/>
      <c r="G67" s="411"/>
      <c r="H67" s="411"/>
      <c r="I67" s="412"/>
    </row>
    <row r="68" spans="1:9" ht="15.75" thickBot="1" x14ac:dyDescent="0.3">
      <c r="A68" s="409"/>
      <c r="B68" s="410"/>
      <c r="C68" s="411"/>
      <c r="D68" s="411"/>
      <c r="E68" s="411"/>
      <c r="F68" s="411"/>
      <c r="G68" s="411"/>
      <c r="H68" s="411"/>
      <c r="I68" s="412"/>
    </row>
    <row r="69" spans="1:9" ht="15.75" thickBot="1" x14ac:dyDescent="0.3">
      <c r="A69" s="409"/>
      <c r="B69" s="410"/>
      <c r="C69" s="411"/>
      <c r="D69" s="411"/>
      <c r="E69" s="411"/>
      <c r="F69" s="411"/>
      <c r="G69" s="411"/>
      <c r="H69" s="411"/>
      <c r="I69" s="412"/>
    </row>
    <row r="70" spans="1:9" ht="15.75" thickBot="1" x14ac:dyDescent="0.3">
      <c r="A70" s="409"/>
      <c r="B70" s="410"/>
      <c r="C70" s="411"/>
      <c r="D70" s="411"/>
      <c r="E70" s="411"/>
      <c r="F70" s="411"/>
      <c r="G70" s="411"/>
      <c r="H70" s="411"/>
      <c r="I70" s="412"/>
    </row>
  </sheetData>
  <mergeCells count="51">
    <mergeCell ref="G31:I31"/>
    <mergeCell ref="A59:I59"/>
    <mergeCell ref="A49:C49"/>
    <mergeCell ref="F49:G49"/>
    <mergeCell ref="H49:I49"/>
    <mergeCell ref="A53:I53"/>
    <mergeCell ref="A54:I54"/>
    <mergeCell ref="A55:I55"/>
    <mergeCell ref="A56:I56"/>
    <mergeCell ref="A57:I57"/>
    <mergeCell ref="A58:I58"/>
    <mergeCell ref="A50:C50"/>
    <mergeCell ref="F50:G50"/>
    <mergeCell ref="H50:I50"/>
    <mergeCell ref="E7:F7"/>
    <mergeCell ref="I3:I5"/>
    <mergeCell ref="D4:G4"/>
    <mergeCell ref="D5:G5"/>
    <mergeCell ref="G7:H7"/>
    <mergeCell ref="C1:G1"/>
    <mergeCell ref="C2:G2"/>
    <mergeCell ref="C3:G3"/>
    <mergeCell ref="H3:H5"/>
    <mergeCell ref="A68:I68"/>
    <mergeCell ref="A48:C48"/>
    <mergeCell ref="F48:G48"/>
    <mergeCell ref="H48:I48"/>
    <mergeCell ref="A1:B5"/>
    <mergeCell ref="A6:C6"/>
    <mergeCell ref="D6:F6"/>
    <mergeCell ref="G6:H6"/>
    <mergeCell ref="A7:A8"/>
    <mergeCell ref="B7:B8"/>
    <mergeCell ref="C7:C8"/>
    <mergeCell ref="D7:D8"/>
    <mergeCell ref="A69:I69"/>
    <mergeCell ref="A70:I70"/>
    <mergeCell ref="A51:C51"/>
    <mergeCell ref="F51:G51"/>
    <mergeCell ref="H51:I51"/>
    <mergeCell ref="A52:C52"/>
    <mergeCell ref="F52:G52"/>
    <mergeCell ref="H52:I52"/>
    <mergeCell ref="A66:I66"/>
    <mergeCell ref="A67:I67"/>
    <mergeCell ref="A60:I60"/>
    <mergeCell ref="A61:I61"/>
    <mergeCell ref="A62:I62"/>
    <mergeCell ref="A63:I63"/>
    <mergeCell ref="A64:I64"/>
    <mergeCell ref="A65:I65"/>
  </mergeCells>
  <pageMargins left="0.7" right="0.7" top="0.75" bottom="0.75" header="0.3" footer="0.3"/>
  <pageSetup paperSize="9" scale="5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3C20-6E98-4D6A-AFB3-40D0F3E5D6E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7BA57-B4AE-49BF-A9BE-B257D77A2807}">
  <dimension ref="A1:I70"/>
  <sheetViews>
    <sheetView topLeftCell="A15" workbookViewId="0">
      <selection activeCell="C13" sqref="C13"/>
    </sheetView>
  </sheetViews>
  <sheetFormatPr baseColWidth="10" defaultRowHeight="15" x14ac:dyDescent="0.25"/>
  <cols>
    <col min="2" max="2" width="12" customWidth="1"/>
    <col min="3" max="3" width="44.5703125" customWidth="1"/>
    <col min="8" max="8" width="17.5703125" customWidth="1"/>
    <col min="9" max="9" width="17.28515625" customWidth="1"/>
  </cols>
  <sheetData>
    <row r="1" spans="1:9" ht="16.5" x14ac:dyDescent="0.3">
      <c r="A1" s="453"/>
      <c r="B1" s="454"/>
      <c r="C1" s="439" t="s">
        <v>0</v>
      </c>
      <c r="D1" s="439"/>
      <c r="E1" s="439"/>
      <c r="F1" s="439"/>
      <c r="G1" s="439"/>
      <c r="H1" s="9" t="s">
        <v>1</v>
      </c>
      <c r="I1" s="10"/>
    </row>
    <row r="2" spans="1:9" ht="17.25" thickBot="1" x14ac:dyDescent="0.35">
      <c r="A2" s="455"/>
      <c r="B2" s="456"/>
      <c r="C2" s="440" t="s">
        <v>2</v>
      </c>
      <c r="D2" s="440"/>
      <c r="E2" s="440"/>
      <c r="F2" s="440"/>
      <c r="G2" s="440"/>
      <c r="H2" s="11" t="s">
        <v>3</v>
      </c>
      <c r="I2" s="12"/>
    </row>
    <row r="3" spans="1:9" ht="18" x14ac:dyDescent="0.25">
      <c r="A3" s="455"/>
      <c r="B3" s="456"/>
      <c r="C3" s="441" t="s">
        <v>116</v>
      </c>
      <c r="D3" s="442"/>
      <c r="E3" s="442"/>
      <c r="F3" s="442"/>
      <c r="G3" s="443"/>
      <c r="H3" s="444" t="s">
        <v>4</v>
      </c>
      <c r="I3" s="466"/>
    </row>
    <row r="4" spans="1:9" ht="16.5" x14ac:dyDescent="0.3">
      <c r="A4" s="455"/>
      <c r="B4" s="456"/>
      <c r="C4" s="11" t="s">
        <v>5</v>
      </c>
      <c r="D4" s="469" t="s">
        <v>31</v>
      </c>
      <c r="E4" s="469"/>
      <c r="F4" s="469"/>
      <c r="G4" s="469"/>
      <c r="H4" s="445"/>
      <c r="I4" s="467"/>
    </row>
    <row r="5" spans="1:9" ht="17.25" thickBot="1" x14ac:dyDescent="0.35">
      <c r="A5" s="457"/>
      <c r="B5" s="458"/>
      <c r="C5" s="13" t="s">
        <v>6</v>
      </c>
      <c r="D5" s="470" t="s">
        <v>32</v>
      </c>
      <c r="E5" s="470"/>
      <c r="F5" s="470"/>
      <c r="G5" s="470"/>
      <c r="H5" s="446"/>
      <c r="I5" s="468"/>
    </row>
    <row r="6" spans="1:9" ht="18" x14ac:dyDescent="0.25">
      <c r="A6" s="459" t="s">
        <v>7</v>
      </c>
      <c r="B6" s="460"/>
      <c r="C6" s="460"/>
      <c r="D6" s="461" t="s">
        <v>30</v>
      </c>
      <c r="E6" s="461"/>
      <c r="F6" s="461"/>
      <c r="G6" s="462" t="s">
        <v>8</v>
      </c>
      <c r="H6" s="462"/>
      <c r="I6" s="14" t="s">
        <v>30</v>
      </c>
    </row>
    <row r="7" spans="1:9" ht="22.15" customHeight="1" x14ac:dyDescent="0.25">
      <c r="A7" s="463" t="s">
        <v>9</v>
      </c>
      <c r="B7" s="464" t="s">
        <v>33</v>
      </c>
      <c r="C7" s="463" t="s">
        <v>10</v>
      </c>
      <c r="D7" s="463" t="s">
        <v>11</v>
      </c>
      <c r="E7" s="463" t="s">
        <v>12</v>
      </c>
      <c r="F7" s="463"/>
      <c r="G7" s="463" t="s">
        <v>13</v>
      </c>
      <c r="H7" s="463"/>
      <c r="I7" s="16" t="s">
        <v>14</v>
      </c>
    </row>
    <row r="8" spans="1:9" ht="25.5" x14ac:dyDescent="0.25">
      <c r="A8" s="463"/>
      <c r="B8" s="465"/>
      <c r="C8" s="463"/>
      <c r="D8" s="463"/>
      <c r="E8" s="17" t="s">
        <v>15</v>
      </c>
      <c r="F8" s="18" t="s">
        <v>16</v>
      </c>
      <c r="G8" s="17" t="s">
        <v>15</v>
      </c>
      <c r="H8" s="18" t="s">
        <v>16</v>
      </c>
      <c r="I8" s="15" t="s">
        <v>17</v>
      </c>
    </row>
    <row r="9" spans="1:9" x14ac:dyDescent="0.25">
      <c r="A9" s="52"/>
      <c r="B9" s="52"/>
      <c r="C9" s="75" t="s">
        <v>39</v>
      </c>
      <c r="D9" s="52"/>
      <c r="E9" s="53"/>
      <c r="F9" s="54"/>
      <c r="G9" s="53"/>
      <c r="H9" s="54"/>
      <c r="I9" s="52"/>
    </row>
    <row r="10" spans="1:9" x14ac:dyDescent="0.25">
      <c r="A10" s="52"/>
      <c r="B10" s="52"/>
      <c r="C10" s="197" t="s">
        <v>88</v>
      </c>
      <c r="D10" s="52" t="s">
        <v>18</v>
      </c>
      <c r="E10" s="53">
        <v>70</v>
      </c>
      <c r="F10" s="54" t="s">
        <v>19</v>
      </c>
      <c r="G10" s="53" t="s">
        <v>47</v>
      </c>
      <c r="H10" s="54" t="s">
        <v>79</v>
      </c>
      <c r="I10" s="52" t="s">
        <v>80</v>
      </c>
    </row>
    <row r="11" spans="1:9" x14ac:dyDescent="0.25">
      <c r="A11" s="52"/>
      <c r="B11" s="52"/>
      <c r="C11" s="198" t="s">
        <v>89</v>
      </c>
      <c r="D11" s="52" t="s">
        <v>18</v>
      </c>
      <c r="E11" s="53">
        <v>56</v>
      </c>
      <c r="F11" s="54" t="s">
        <v>19</v>
      </c>
      <c r="G11" s="53" t="s">
        <v>47</v>
      </c>
      <c r="H11" s="54" t="s">
        <v>83</v>
      </c>
      <c r="I11" s="52" t="s">
        <v>80</v>
      </c>
    </row>
    <row r="12" spans="1:9" x14ac:dyDescent="0.25">
      <c r="A12" s="57"/>
      <c r="B12" s="19"/>
      <c r="C12" s="77" t="s">
        <v>41</v>
      </c>
      <c r="D12" s="2"/>
      <c r="E12" s="2"/>
      <c r="F12" s="2"/>
      <c r="G12" s="3"/>
      <c r="H12" s="3"/>
      <c r="I12" s="55"/>
    </row>
    <row r="13" spans="1:9" x14ac:dyDescent="0.25">
      <c r="A13" s="204">
        <v>908000021</v>
      </c>
      <c r="B13" s="205" t="s">
        <v>75</v>
      </c>
      <c r="C13" s="206" t="s">
        <v>46</v>
      </c>
      <c r="D13" s="207" t="s">
        <v>18</v>
      </c>
      <c r="E13" s="207">
        <v>30</v>
      </c>
      <c r="F13" s="2" t="s">
        <v>19</v>
      </c>
      <c r="G13" s="3"/>
      <c r="H13" s="3"/>
      <c r="I13" s="58" t="s">
        <v>77</v>
      </c>
    </row>
    <row r="14" spans="1:9" x14ac:dyDescent="0.25">
      <c r="A14" s="93"/>
      <c r="B14" s="88"/>
      <c r="C14" s="199" t="s">
        <v>40</v>
      </c>
      <c r="D14" s="85" t="s">
        <v>18</v>
      </c>
      <c r="E14" s="201">
        <v>180</v>
      </c>
      <c r="F14" s="85" t="s">
        <v>19</v>
      </c>
      <c r="G14" s="86"/>
      <c r="H14" s="86"/>
      <c r="I14" s="87" t="s">
        <v>81</v>
      </c>
    </row>
    <row r="15" spans="1:9" x14ac:dyDescent="0.25">
      <c r="A15" s="26"/>
      <c r="B15" s="27"/>
      <c r="C15" s="80" t="s">
        <v>42</v>
      </c>
      <c r="D15" s="2"/>
      <c r="E15" s="2"/>
      <c r="F15" s="2" t="s">
        <v>19</v>
      </c>
      <c r="G15" s="3"/>
      <c r="H15" s="3"/>
      <c r="I15" s="58"/>
    </row>
    <row r="16" spans="1:9" x14ac:dyDescent="0.25">
      <c r="A16" s="82"/>
      <c r="B16" s="83"/>
      <c r="C16" s="198" t="s">
        <v>89</v>
      </c>
      <c r="D16" s="85"/>
      <c r="E16" s="85">
        <v>56</v>
      </c>
      <c r="F16" s="85" t="s">
        <v>19</v>
      </c>
      <c r="G16" s="86"/>
      <c r="H16" s="86"/>
      <c r="I16" s="87"/>
    </row>
    <row r="17" spans="1:9" x14ac:dyDescent="0.25">
      <c r="A17" s="202">
        <v>908000021</v>
      </c>
      <c r="B17" s="203" t="s">
        <v>75</v>
      </c>
      <c r="C17" s="206" t="s">
        <v>46</v>
      </c>
      <c r="D17" s="207" t="s">
        <v>18</v>
      </c>
      <c r="E17" s="207">
        <v>30</v>
      </c>
      <c r="F17" s="2" t="s">
        <v>19</v>
      </c>
      <c r="G17" s="3"/>
      <c r="H17" s="3"/>
      <c r="I17" s="58"/>
    </row>
    <row r="18" spans="1:9" x14ac:dyDescent="0.25">
      <c r="A18" s="26"/>
      <c r="B18" s="27"/>
      <c r="C18" s="199" t="s">
        <v>40</v>
      </c>
      <c r="D18" s="2" t="s">
        <v>18</v>
      </c>
      <c r="E18" s="201">
        <v>100</v>
      </c>
      <c r="F18" s="2" t="s">
        <v>19</v>
      </c>
      <c r="G18" s="3"/>
      <c r="H18" s="3"/>
      <c r="I18" s="58" t="s">
        <v>81</v>
      </c>
    </row>
    <row r="19" spans="1:9" x14ac:dyDescent="0.25">
      <c r="A19" s="208">
        <v>96344</v>
      </c>
      <c r="B19" s="209" t="s">
        <v>76</v>
      </c>
      <c r="C19" s="210" t="s">
        <v>98</v>
      </c>
      <c r="D19" s="211" t="s">
        <v>18</v>
      </c>
      <c r="E19" s="211">
        <v>25</v>
      </c>
      <c r="F19" s="2" t="s">
        <v>19</v>
      </c>
      <c r="G19" s="3"/>
      <c r="H19" s="3" t="s">
        <v>113</v>
      </c>
      <c r="I19" s="58" t="s">
        <v>114</v>
      </c>
    </row>
    <row r="20" spans="1:9" x14ac:dyDescent="0.25">
      <c r="A20" s="26">
        <v>905000098</v>
      </c>
      <c r="B20" s="27" t="s">
        <v>99</v>
      </c>
      <c r="C20" s="1" t="s">
        <v>100</v>
      </c>
      <c r="D20" s="2" t="s">
        <v>18</v>
      </c>
      <c r="E20" s="2">
        <v>25</v>
      </c>
      <c r="F20" s="2" t="s">
        <v>19</v>
      </c>
      <c r="G20" s="3"/>
      <c r="H20" s="2"/>
      <c r="I20" s="58" t="s">
        <v>78</v>
      </c>
    </row>
    <row r="21" spans="1:9" x14ac:dyDescent="0.25">
      <c r="A21" s="26"/>
      <c r="B21" s="27"/>
      <c r="C21" s="80" t="s">
        <v>86</v>
      </c>
      <c r="D21" s="2"/>
      <c r="E21" s="2"/>
      <c r="F21" s="2" t="s">
        <v>19</v>
      </c>
      <c r="G21" s="3"/>
      <c r="H21" s="3"/>
      <c r="I21" s="58"/>
    </row>
    <row r="22" spans="1:9" x14ac:dyDescent="0.25">
      <c r="A22" s="82"/>
      <c r="B22" s="83"/>
      <c r="C22" s="198" t="s">
        <v>82</v>
      </c>
      <c r="D22" s="85"/>
      <c r="E22" s="85">
        <v>56</v>
      </c>
      <c r="F22" s="85" t="s">
        <v>19</v>
      </c>
      <c r="G22" s="86"/>
      <c r="H22" s="86"/>
      <c r="I22" s="87"/>
    </row>
    <row r="23" spans="1:9" x14ac:dyDescent="0.25">
      <c r="A23" s="204">
        <v>908000021</v>
      </c>
      <c r="B23" s="205" t="s">
        <v>75</v>
      </c>
      <c r="C23" s="206" t="s">
        <v>46</v>
      </c>
      <c r="D23" s="207" t="s">
        <v>18</v>
      </c>
      <c r="E23" s="207">
        <v>30</v>
      </c>
      <c r="F23" s="2" t="s">
        <v>19</v>
      </c>
      <c r="G23" s="3"/>
      <c r="H23" s="3"/>
      <c r="I23" s="58"/>
    </row>
    <row r="24" spans="1:9" x14ac:dyDescent="0.25">
      <c r="A24" s="26"/>
      <c r="B24" s="27"/>
      <c r="C24" s="200" t="s">
        <v>40</v>
      </c>
      <c r="D24" s="2" t="s">
        <v>18</v>
      </c>
      <c r="E24" s="201">
        <v>100</v>
      </c>
      <c r="F24" s="2" t="s">
        <v>19</v>
      </c>
      <c r="G24" s="3"/>
      <c r="H24" s="3"/>
      <c r="I24" s="58" t="s">
        <v>81</v>
      </c>
    </row>
    <row r="25" spans="1:9" x14ac:dyDescent="0.25">
      <c r="A25" s="208">
        <v>96344</v>
      </c>
      <c r="B25" s="209" t="s">
        <v>76</v>
      </c>
      <c r="C25" s="210" t="s">
        <v>98</v>
      </c>
      <c r="D25" s="211" t="s">
        <v>18</v>
      </c>
      <c r="E25" s="211">
        <v>25</v>
      </c>
      <c r="F25" s="2" t="s">
        <v>19</v>
      </c>
      <c r="G25" s="3"/>
      <c r="H25" s="3" t="s">
        <v>113</v>
      </c>
      <c r="I25" s="58" t="s">
        <v>114</v>
      </c>
    </row>
    <row r="26" spans="1:9" x14ac:dyDescent="0.25">
      <c r="A26" s="26">
        <v>905000098</v>
      </c>
      <c r="B26" s="27" t="s">
        <v>99</v>
      </c>
      <c r="C26" s="1" t="s">
        <v>100</v>
      </c>
      <c r="D26" s="2" t="s">
        <v>18</v>
      </c>
      <c r="E26" s="2">
        <v>25</v>
      </c>
      <c r="F26" s="2" t="s">
        <v>19</v>
      </c>
      <c r="G26" s="3"/>
      <c r="H26" s="2"/>
      <c r="I26" s="58" t="s">
        <v>78</v>
      </c>
    </row>
    <row r="27" spans="1:9" x14ac:dyDescent="0.25">
      <c r="A27" s="26"/>
      <c r="B27" s="27"/>
      <c r="C27" s="80" t="s">
        <v>87</v>
      </c>
      <c r="D27" s="2"/>
      <c r="E27" s="2"/>
      <c r="F27" s="2"/>
      <c r="G27" s="3"/>
      <c r="H27" s="3"/>
      <c r="I27" s="58"/>
    </row>
    <row r="28" spans="1:9" x14ac:dyDescent="0.25">
      <c r="A28" s="82"/>
      <c r="B28" s="83"/>
      <c r="C28" s="198" t="s">
        <v>82</v>
      </c>
      <c r="D28" s="85"/>
      <c r="E28" s="85">
        <v>56</v>
      </c>
      <c r="F28" s="85" t="s">
        <v>19</v>
      </c>
      <c r="G28" s="86"/>
      <c r="H28" s="86"/>
      <c r="I28" s="87"/>
    </row>
    <row r="29" spans="1:9" x14ac:dyDescent="0.25">
      <c r="A29" s="85"/>
      <c r="B29" s="88"/>
      <c r="C29" s="89" t="s">
        <v>85</v>
      </c>
      <c r="D29" s="85"/>
      <c r="E29" s="85">
        <v>350</v>
      </c>
      <c r="F29" s="85" t="s">
        <v>19</v>
      </c>
      <c r="G29" s="86"/>
      <c r="H29" s="85"/>
      <c r="I29" s="87"/>
    </row>
    <row r="30" spans="1:9" x14ac:dyDescent="0.25">
      <c r="A30" s="2"/>
      <c r="B30" s="19"/>
      <c r="C30" s="81" t="s">
        <v>43</v>
      </c>
      <c r="D30" s="2"/>
      <c r="E30" s="2"/>
      <c r="F30" s="2"/>
      <c r="G30" s="3"/>
      <c r="H30" s="2"/>
      <c r="I30" s="56"/>
    </row>
    <row r="31" spans="1:9" x14ac:dyDescent="0.25">
      <c r="A31" s="208">
        <v>96344</v>
      </c>
      <c r="B31" s="209" t="s">
        <v>76</v>
      </c>
      <c r="C31" s="212" t="s">
        <v>98</v>
      </c>
      <c r="D31" s="211" t="s">
        <v>18</v>
      </c>
      <c r="E31" s="211">
        <v>40</v>
      </c>
      <c r="F31" s="2" t="s">
        <v>19</v>
      </c>
      <c r="G31" s="471" t="s">
        <v>90</v>
      </c>
      <c r="H31" s="472"/>
      <c r="I31" s="473"/>
    </row>
    <row r="32" spans="1:9" x14ac:dyDescent="0.25">
      <c r="A32" s="26"/>
      <c r="B32" s="27"/>
      <c r="C32" s="199" t="s">
        <v>40</v>
      </c>
      <c r="D32" s="2" t="s">
        <v>18</v>
      </c>
      <c r="E32" s="201">
        <v>100</v>
      </c>
      <c r="F32" s="2" t="s">
        <v>19</v>
      </c>
      <c r="G32" s="71"/>
      <c r="H32" s="72" t="s">
        <v>91</v>
      </c>
      <c r="I32" s="73" t="s">
        <v>115</v>
      </c>
    </row>
    <row r="33" spans="1:9" ht="15" customHeight="1" x14ac:dyDescent="0.25">
      <c r="A33" s="39">
        <v>11900028</v>
      </c>
      <c r="B33" s="74" t="s">
        <v>101</v>
      </c>
      <c r="C33" t="s">
        <v>102</v>
      </c>
      <c r="D33" s="2" t="s">
        <v>18</v>
      </c>
      <c r="E33" s="2">
        <v>5</v>
      </c>
      <c r="F33" s="2" t="s">
        <v>21</v>
      </c>
      <c r="G33" s="3"/>
      <c r="H33" s="2" t="s">
        <v>92</v>
      </c>
      <c r="I33" s="58"/>
    </row>
    <row r="34" spans="1:9" x14ac:dyDescent="0.25">
      <c r="A34" s="85"/>
      <c r="B34" s="88"/>
      <c r="C34" s="97" t="s">
        <v>49</v>
      </c>
      <c r="D34" s="85"/>
      <c r="E34" s="85">
        <v>6</v>
      </c>
      <c r="F34" s="85" t="s">
        <v>19</v>
      </c>
      <c r="G34" s="86" t="s">
        <v>47</v>
      </c>
      <c r="H34" s="85" t="s">
        <v>44</v>
      </c>
      <c r="I34" s="98"/>
    </row>
    <row r="35" spans="1:9" x14ac:dyDescent="0.25">
      <c r="A35" s="85"/>
      <c r="B35" s="88"/>
      <c r="C35" s="99" t="s">
        <v>50</v>
      </c>
      <c r="D35" s="85"/>
      <c r="E35" s="85">
        <v>4</v>
      </c>
      <c r="F35" s="85" t="s">
        <v>19</v>
      </c>
      <c r="G35" s="86" t="s">
        <v>48</v>
      </c>
      <c r="H35" s="85" t="s">
        <v>45</v>
      </c>
      <c r="I35" s="98"/>
    </row>
    <row r="36" spans="1:9" x14ac:dyDescent="0.25">
      <c r="A36" s="85"/>
      <c r="B36" s="88"/>
      <c r="C36" s="99" t="s">
        <v>50</v>
      </c>
      <c r="D36" s="85"/>
      <c r="E36" s="85">
        <v>4</v>
      </c>
      <c r="F36" s="85" t="s">
        <v>19</v>
      </c>
      <c r="G36" s="86" t="s">
        <v>48</v>
      </c>
      <c r="H36" s="85" t="s">
        <v>44</v>
      </c>
      <c r="I36" s="98"/>
    </row>
    <row r="37" spans="1:9" x14ac:dyDescent="0.25">
      <c r="A37" s="57"/>
      <c r="B37" s="19"/>
      <c r="C37" s="80" t="s">
        <v>20</v>
      </c>
      <c r="D37" s="2"/>
      <c r="E37" s="3"/>
      <c r="F37" s="2"/>
      <c r="G37" s="3"/>
      <c r="H37" s="2"/>
      <c r="I37" s="56"/>
    </row>
    <row r="38" spans="1:9" x14ac:dyDescent="0.25">
      <c r="A38" s="19"/>
      <c r="B38" s="19"/>
      <c r="C38" s="24"/>
      <c r="D38" s="25"/>
      <c r="E38" s="21"/>
      <c r="F38" s="22"/>
      <c r="G38" s="3"/>
      <c r="H38" s="2"/>
      <c r="I38" s="4"/>
    </row>
    <row r="39" spans="1:9" x14ac:dyDescent="0.25">
      <c r="A39" s="60">
        <v>121603</v>
      </c>
      <c r="B39" s="60" t="s">
        <v>51</v>
      </c>
      <c r="C39" s="61" t="s">
        <v>52</v>
      </c>
      <c r="D39" s="62" t="s">
        <v>53</v>
      </c>
      <c r="E39" s="63">
        <v>1</v>
      </c>
      <c r="F39" s="63" t="s">
        <v>21</v>
      </c>
      <c r="G39" s="59"/>
      <c r="H39" s="6"/>
      <c r="I39" s="7"/>
    </row>
    <row r="40" spans="1:9" x14ac:dyDescent="0.25">
      <c r="A40" s="60">
        <v>1950692</v>
      </c>
      <c r="B40" s="60" t="s">
        <v>54</v>
      </c>
      <c r="C40" s="64" t="s">
        <v>55</v>
      </c>
      <c r="D40" s="62" t="s">
        <v>56</v>
      </c>
      <c r="E40" s="63">
        <v>1</v>
      </c>
      <c r="F40" s="63" t="s">
        <v>57</v>
      </c>
      <c r="G40" s="59"/>
      <c r="H40" s="6"/>
      <c r="I40" s="7"/>
    </row>
    <row r="41" spans="1:9" x14ac:dyDescent="0.25">
      <c r="A41" s="26">
        <v>702069</v>
      </c>
      <c r="B41" s="27" t="s">
        <v>58</v>
      </c>
      <c r="C41" s="1" t="s">
        <v>59</v>
      </c>
      <c r="D41" s="65" t="s">
        <v>60</v>
      </c>
      <c r="E41" s="32">
        <v>1</v>
      </c>
      <c r="F41" s="33" t="s">
        <v>21</v>
      </c>
      <c r="G41" s="3"/>
      <c r="H41" s="2"/>
      <c r="I41" s="4"/>
    </row>
    <row r="42" spans="1:9" x14ac:dyDescent="0.25">
      <c r="A42" s="34" t="s">
        <v>61</v>
      </c>
      <c r="B42" s="35" t="s">
        <v>62</v>
      </c>
      <c r="C42" s="36" t="s">
        <v>63</v>
      </c>
      <c r="D42" s="37" t="s">
        <v>56</v>
      </c>
      <c r="E42" s="32">
        <v>60</v>
      </c>
      <c r="F42" s="33" t="s">
        <v>64</v>
      </c>
      <c r="G42" s="59"/>
      <c r="H42" s="23"/>
      <c r="I42" s="28"/>
    </row>
    <row r="43" spans="1:9" x14ac:dyDescent="0.25">
      <c r="A43" s="66">
        <v>701096</v>
      </c>
      <c r="B43" s="66" t="s">
        <v>65</v>
      </c>
      <c r="C43" s="67" t="s">
        <v>66</v>
      </c>
      <c r="D43" s="37" t="s">
        <v>67</v>
      </c>
      <c r="E43" s="32">
        <v>1</v>
      </c>
      <c r="F43" s="33" t="s">
        <v>21</v>
      </c>
      <c r="G43" s="59"/>
      <c r="H43" s="23"/>
      <c r="I43" s="51"/>
    </row>
    <row r="44" spans="1:9" ht="15.75" x14ac:dyDescent="0.25">
      <c r="A44" s="34" t="s">
        <v>68</v>
      </c>
      <c r="B44" s="35" t="s">
        <v>69</v>
      </c>
      <c r="C44" s="36" t="s">
        <v>70</v>
      </c>
      <c r="D44" s="5" t="s">
        <v>71</v>
      </c>
      <c r="E44" s="32">
        <v>1</v>
      </c>
      <c r="F44" s="33" t="s">
        <v>21</v>
      </c>
      <c r="G44" s="21"/>
      <c r="H44" s="23"/>
      <c r="I44" s="29"/>
    </row>
    <row r="45" spans="1:9" ht="0.6" customHeight="1" x14ac:dyDescent="0.25">
      <c r="A45" s="39">
        <v>60100120</v>
      </c>
      <c r="B45" s="27" t="s">
        <v>72</v>
      </c>
      <c r="C45" t="s">
        <v>73</v>
      </c>
      <c r="D45" s="5" t="s">
        <v>60</v>
      </c>
      <c r="E45" s="32">
        <v>1</v>
      </c>
      <c r="F45" s="33" t="s">
        <v>21</v>
      </c>
      <c r="G45" s="30"/>
      <c r="H45" s="31"/>
      <c r="I45" s="38"/>
    </row>
    <row r="46" spans="1:9" ht="15.75" x14ac:dyDescent="0.25">
      <c r="A46" s="34"/>
      <c r="B46" s="35"/>
      <c r="C46" s="36" t="s">
        <v>93</v>
      </c>
      <c r="D46" s="5"/>
      <c r="E46" s="32">
        <v>1</v>
      </c>
      <c r="F46" s="33" t="s">
        <v>21</v>
      </c>
      <c r="G46" s="40"/>
      <c r="H46" s="37"/>
      <c r="I46" s="41"/>
    </row>
    <row r="47" spans="1:9" ht="15.75" thickBot="1" x14ac:dyDescent="0.3">
      <c r="A47" s="42"/>
      <c r="B47" s="43"/>
      <c r="C47" s="44"/>
      <c r="D47" s="45" t="s">
        <v>15</v>
      </c>
      <c r="E47" s="46" t="s">
        <v>22</v>
      </c>
      <c r="F47" s="47"/>
      <c r="G47" s="44"/>
      <c r="H47" s="44"/>
      <c r="I47" s="48"/>
    </row>
    <row r="48" spans="1:9" x14ac:dyDescent="0.25">
      <c r="A48" s="447" t="s">
        <v>23</v>
      </c>
      <c r="B48" s="448"/>
      <c r="C48" s="449"/>
      <c r="D48" s="3">
        <v>1244</v>
      </c>
      <c r="E48" s="49" t="s">
        <v>19</v>
      </c>
      <c r="F48" s="450" t="s">
        <v>34</v>
      </c>
      <c r="G48" s="450"/>
      <c r="H48" s="451"/>
      <c r="I48" s="452"/>
    </row>
    <row r="49" spans="1:9" x14ac:dyDescent="0.25">
      <c r="A49" s="413" t="s">
        <v>24</v>
      </c>
      <c r="B49" s="414"/>
      <c r="C49" s="415"/>
      <c r="D49" s="2">
        <v>5</v>
      </c>
      <c r="E49" s="20" t="s">
        <v>25</v>
      </c>
      <c r="F49" s="474" t="s">
        <v>35</v>
      </c>
      <c r="G49" s="474"/>
      <c r="H49" s="417"/>
      <c r="I49" s="418"/>
    </row>
    <row r="50" spans="1:9" x14ac:dyDescent="0.25">
      <c r="A50" s="413" t="s">
        <v>26</v>
      </c>
      <c r="B50" s="414"/>
      <c r="C50" s="415"/>
      <c r="D50" s="3">
        <v>1</v>
      </c>
      <c r="E50" s="20" t="s">
        <v>21</v>
      </c>
      <c r="F50" s="474" t="s">
        <v>36</v>
      </c>
      <c r="G50" s="474"/>
      <c r="H50" s="417"/>
      <c r="I50" s="418"/>
    </row>
    <row r="51" spans="1:9" x14ac:dyDescent="0.25">
      <c r="A51" s="413" t="s">
        <v>27</v>
      </c>
      <c r="B51" s="414"/>
      <c r="C51" s="415"/>
      <c r="D51" s="3">
        <v>1244</v>
      </c>
      <c r="E51" s="19" t="s">
        <v>19</v>
      </c>
      <c r="F51" s="416" t="s">
        <v>37</v>
      </c>
      <c r="G51" s="416"/>
      <c r="H51" s="417"/>
      <c r="I51" s="418"/>
    </row>
    <row r="52" spans="1:9" ht="15.75" thickBot="1" x14ac:dyDescent="0.3">
      <c r="A52" s="419" t="s">
        <v>28</v>
      </c>
      <c r="B52" s="420"/>
      <c r="C52" s="421"/>
      <c r="D52" s="8">
        <f>SUM(E10:E36)-D48</f>
        <v>129</v>
      </c>
      <c r="E52" s="50" t="s">
        <v>19</v>
      </c>
      <c r="F52" s="422"/>
      <c r="G52" s="422"/>
      <c r="H52" s="423"/>
      <c r="I52" s="424"/>
    </row>
    <row r="53" spans="1:9" ht="15.75" thickBot="1" x14ac:dyDescent="0.3">
      <c r="A53" s="475" t="s">
        <v>29</v>
      </c>
      <c r="B53" s="476"/>
      <c r="C53" s="476"/>
      <c r="D53" s="476"/>
      <c r="E53" s="476"/>
      <c r="F53" s="476"/>
      <c r="G53" s="476"/>
      <c r="H53" s="476"/>
      <c r="I53" s="477"/>
    </row>
    <row r="54" spans="1:9" x14ac:dyDescent="0.25">
      <c r="A54" s="478" t="s">
        <v>117</v>
      </c>
      <c r="B54" s="479"/>
      <c r="C54" s="480"/>
      <c r="D54" s="480"/>
      <c r="E54" s="480"/>
      <c r="F54" s="480"/>
      <c r="G54" s="480"/>
      <c r="H54" s="480"/>
      <c r="I54" s="481"/>
    </row>
    <row r="55" spans="1:9" ht="14.45" customHeight="1" x14ac:dyDescent="0.25">
      <c r="A55" s="482" t="s">
        <v>118</v>
      </c>
      <c r="B55" s="483"/>
      <c r="C55" s="483"/>
      <c r="D55" s="483"/>
      <c r="E55" s="483"/>
      <c r="F55" s="483"/>
      <c r="G55" s="483"/>
      <c r="H55" s="483"/>
      <c r="I55" s="484"/>
    </row>
    <row r="56" spans="1:9" x14ac:dyDescent="0.25">
      <c r="A56" s="485" t="s">
        <v>94</v>
      </c>
      <c r="B56" s="486"/>
      <c r="C56" s="487"/>
      <c r="D56" s="487"/>
      <c r="E56" s="487"/>
      <c r="F56" s="487"/>
      <c r="G56" s="487"/>
      <c r="H56" s="487"/>
      <c r="I56" s="488"/>
    </row>
    <row r="57" spans="1:9" ht="16.5" x14ac:dyDescent="0.3">
      <c r="A57" s="489" t="s">
        <v>119</v>
      </c>
      <c r="B57" s="490"/>
      <c r="C57" s="490"/>
      <c r="D57" s="490"/>
      <c r="E57" s="490"/>
      <c r="F57" s="490"/>
      <c r="G57" s="490"/>
      <c r="H57" s="490"/>
      <c r="I57" s="491"/>
    </row>
    <row r="58" spans="1:9" x14ac:dyDescent="0.25">
      <c r="A58" s="492" t="s">
        <v>95</v>
      </c>
      <c r="B58" s="493"/>
      <c r="C58" s="494"/>
      <c r="D58" s="494"/>
      <c r="E58" s="494"/>
      <c r="F58" s="494"/>
      <c r="G58" s="494"/>
      <c r="H58" s="494"/>
      <c r="I58" s="495"/>
    </row>
    <row r="59" spans="1:9" x14ac:dyDescent="0.25">
      <c r="A59" s="425" t="s">
        <v>96</v>
      </c>
      <c r="B59" s="426"/>
      <c r="C59" s="426"/>
      <c r="D59" s="426"/>
      <c r="E59" s="426"/>
      <c r="F59" s="426"/>
      <c r="G59" s="426"/>
      <c r="H59" s="426"/>
      <c r="I59" s="427"/>
    </row>
    <row r="60" spans="1:9" x14ac:dyDescent="0.25">
      <c r="A60" s="425" t="s">
        <v>97</v>
      </c>
      <c r="B60" s="426"/>
      <c r="C60" s="426"/>
      <c r="D60" s="426"/>
      <c r="E60" s="426"/>
      <c r="F60" s="426"/>
      <c r="G60" s="426"/>
      <c r="H60" s="426"/>
      <c r="I60" s="427"/>
    </row>
    <row r="61" spans="1:9" ht="15.75" thickBot="1" x14ac:dyDescent="0.3">
      <c r="A61" s="428"/>
      <c r="B61" s="429"/>
      <c r="C61" s="430"/>
      <c r="D61" s="430"/>
      <c r="E61" s="430"/>
      <c r="F61" s="430"/>
      <c r="G61" s="430"/>
      <c r="H61" s="430"/>
      <c r="I61" s="431"/>
    </row>
    <row r="62" spans="1:9" x14ac:dyDescent="0.25">
      <c r="A62" s="432" t="s">
        <v>38</v>
      </c>
      <c r="B62" s="433"/>
      <c r="C62" s="433"/>
      <c r="D62" s="433"/>
      <c r="E62" s="433"/>
      <c r="F62" s="433"/>
      <c r="G62" s="433"/>
      <c r="H62" s="433"/>
      <c r="I62" s="434"/>
    </row>
    <row r="63" spans="1:9" ht="15.75" thickBot="1" x14ac:dyDescent="0.3">
      <c r="A63" s="435"/>
      <c r="B63" s="436"/>
      <c r="C63" s="437"/>
      <c r="D63" s="437"/>
      <c r="E63" s="437"/>
      <c r="F63" s="437"/>
      <c r="G63" s="437"/>
      <c r="H63" s="437"/>
      <c r="I63" s="438"/>
    </row>
    <row r="64" spans="1:9" ht="15.75" thickBot="1" x14ac:dyDescent="0.3">
      <c r="A64" s="409"/>
      <c r="B64" s="410"/>
      <c r="C64" s="411"/>
      <c r="D64" s="411"/>
      <c r="E64" s="411"/>
      <c r="F64" s="411"/>
      <c r="G64" s="411"/>
      <c r="H64" s="411"/>
      <c r="I64" s="412"/>
    </row>
    <row r="65" spans="1:9" ht="15.75" thickBot="1" x14ac:dyDescent="0.3">
      <c r="A65" s="409"/>
      <c r="B65" s="410"/>
      <c r="C65" s="411"/>
      <c r="D65" s="411"/>
      <c r="E65" s="411"/>
      <c r="F65" s="411"/>
      <c r="G65" s="411"/>
      <c r="H65" s="411"/>
      <c r="I65" s="412"/>
    </row>
    <row r="66" spans="1:9" ht="15.75" thickBot="1" x14ac:dyDescent="0.3">
      <c r="A66" s="409"/>
      <c r="B66" s="410"/>
      <c r="C66" s="411"/>
      <c r="D66" s="411"/>
      <c r="E66" s="411"/>
      <c r="F66" s="411"/>
      <c r="G66" s="411"/>
      <c r="H66" s="411"/>
      <c r="I66" s="412"/>
    </row>
    <row r="67" spans="1:9" ht="15.75" thickBot="1" x14ac:dyDescent="0.3">
      <c r="A67" s="409"/>
      <c r="B67" s="410"/>
      <c r="C67" s="411"/>
      <c r="D67" s="411"/>
      <c r="E67" s="411"/>
      <c r="F67" s="411"/>
      <c r="G67" s="411"/>
      <c r="H67" s="411"/>
      <c r="I67" s="412"/>
    </row>
    <row r="68" spans="1:9" ht="15.75" thickBot="1" x14ac:dyDescent="0.3">
      <c r="A68" s="409"/>
      <c r="B68" s="410"/>
      <c r="C68" s="411"/>
      <c r="D68" s="411"/>
      <c r="E68" s="411"/>
      <c r="F68" s="411"/>
      <c r="G68" s="411"/>
      <c r="H68" s="411"/>
      <c r="I68" s="412"/>
    </row>
    <row r="69" spans="1:9" ht="15.75" thickBot="1" x14ac:dyDescent="0.3">
      <c r="A69" s="409"/>
      <c r="B69" s="410"/>
      <c r="C69" s="411"/>
      <c r="D69" s="411"/>
      <c r="E69" s="411"/>
      <c r="F69" s="411"/>
      <c r="G69" s="411"/>
      <c r="H69" s="411"/>
      <c r="I69" s="412"/>
    </row>
    <row r="70" spans="1:9" ht="15.75" thickBot="1" x14ac:dyDescent="0.3">
      <c r="A70" s="409"/>
      <c r="B70" s="410"/>
      <c r="C70" s="411"/>
      <c r="D70" s="411"/>
      <c r="E70" s="411"/>
      <c r="F70" s="411"/>
      <c r="G70" s="411"/>
      <c r="H70" s="411"/>
      <c r="I70" s="412"/>
    </row>
  </sheetData>
  <mergeCells count="51">
    <mergeCell ref="A69:I69"/>
    <mergeCell ref="F51:G51"/>
    <mergeCell ref="H51:I51"/>
    <mergeCell ref="A66:I66"/>
    <mergeCell ref="A67:I67"/>
    <mergeCell ref="A68:I68"/>
    <mergeCell ref="A63:I63"/>
    <mergeCell ref="A64:I64"/>
    <mergeCell ref="A65:I65"/>
    <mergeCell ref="A57:I57"/>
    <mergeCell ref="A58:I58"/>
    <mergeCell ref="A59:I59"/>
    <mergeCell ref="A62:I62"/>
    <mergeCell ref="A56:I56"/>
    <mergeCell ref="A60:I60"/>
    <mergeCell ref="A61:I61"/>
    <mergeCell ref="F49:G49"/>
    <mergeCell ref="A49:C49"/>
    <mergeCell ref="C7:C8"/>
    <mergeCell ref="H49:I49"/>
    <mergeCell ref="G31:I31"/>
    <mergeCell ref="B7:B8"/>
    <mergeCell ref="E7:F7"/>
    <mergeCell ref="G7:H7"/>
    <mergeCell ref="A48:C48"/>
    <mergeCell ref="D7:D8"/>
    <mergeCell ref="F48:G48"/>
    <mergeCell ref="H48:I48"/>
    <mergeCell ref="A50:C50"/>
    <mergeCell ref="F50:G50"/>
    <mergeCell ref="H50:I50"/>
    <mergeCell ref="A51:C51"/>
    <mergeCell ref="A52:C52"/>
    <mergeCell ref="F52:G52"/>
    <mergeCell ref="H52:I52"/>
    <mergeCell ref="A70:I70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A53:I53"/>
    <mergeCell ref="A54:I54"/>
    <mergeCell ref="A55:I5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3CCD9-9F62-47D3-BDA5-83D7AF92CC00}">
  <dimension ref="A1:Q91"/>
  <sheetViews>
    <sheetView topLeftCell="A5" workbookViewId="0">
      <selection activeCell="B10" sqref="B10"/>
    </sheetView>
  </sheetViews>
  <sheetFormatPr baseColWidth="10" defaultColWidth="8.42578125" defaultRowHeight="12.75" x14ac:dyDescent="0.25"/>
  <cols>
    <col min="1" max="1" width="10" style="105" bestFit="1" customWidth="1"/>
    <col min="2" max="2" width="44.28515625" style="105" bestFit="1" customWidth="1"/>
    <col min="3" max="3" width="10.42578125" style="105" bestFit="1" customWidth="1"/>
    <col min="4" max="4" width="10.42578125" style="105" customWidth="1"/>
    <col min="5" max="5" width="9.7109375" style="105" bestFit="1" customWidth="1"/>
    <col min="6" max="6" width="9.5703125" style="105" bestFit="1" customWidth="1"/>
    <col min="7" max="7" width="9.5703125" style="187" bestFit="1" customWidth="1"/>
    <col min="8" max="8" width="10.42578125" style="178" bestFit="1" customWidth="1"/>
    <col min="9" max="9" width="4.5703125" style="178" customWidth="1"/>
    <col min="10" max="10" width="1.85546875" style="104" customWidth="1"/>
    <col min="11" max="11" width="7" style="105" bestFit="1" customWidth="1"/>
    <col min="12" max="12" width="6.28515625" style="105" customWidth="1"/>
    <col min="13" max="13" width="20.42578125" style="105" customWidth="1"/>
    <col min="14" max="14" width="6.42578125" style="105" bestFit="1" customWidth="1"/>
    <col min="15" max="15" width="9.42578125" style="105" customWidth="1"/>
    <col min="16" max="16" width="8.42578125" style="105"/>
    <col min="17" max="17" width="3.28515625" style="105" customWidth="1"/>
    <col min="18" max="256" width="8.42578125" style="105"/>
    <col min="257" max="257" width="10" style="105" bestFit="1" customWidth="1"/>
    <col min="258" max="258" width="44.28515625" style="105" bestFit="1" customWidth="1"/>
    <col min="259" max="259" width="10.42578125" style="105" bestFit="1" customWidth="1"/>
    <col min="260" max="260" width="10.42578125" style="105" customWidth="1"/>
    <col min="261" max="261" width="9.7109375" style="105" bestFit="1" customWidth="1"/>
    <col min="262" max="263" width="9.5703125" style="105" bestFit="1" customWidth="1"/>
    <col min="264" max="264" width="10.42578125" style="105" bestFit="1" customWidth="1"/>
    <col min="265" max="265" width="4.5703125" style="105" customWidth="1"/>
    <col min="266" max="266" width="1.85546875" style="105" customWidth="1"/>
    <col min="267" max="267" width="7" style="105" bestFit="1" customWidth="1"/>
    <col min="268" max="268" width="6.28515625" style="105" customWidth="1"/>
    <col min="269" max="269" width="20.42578125" style="105" customWidth="1"/>
    <col min="270" max="270" width="6.42578125" style="105" bestFit="1" customWidth="1"/>
    <col min="271" max="272" width="8.42578125" style="105"/>
    <col min="273" max="273" width="3.28515625" style="105" customWidth="1"/>
    <col min="274" max="512" width="8.42578125" style="105"/>
    <col min="513" max="513" width="10" style="105" bestFit="1" customWidth="1"/>
    <col min="514" max="514" width="44.28515625" style="105" bestFit="1" customWidth="1"/>
    <col min="515" max="515" width="10.42578125" style="105" bestFit="1" customWidth="1"/>
    <col min="516" max="516" width="10.42578125" style="105" customWidth="1"/>
    <col min="517" max="517" width="9.7109375" style="105" bestFit="1" customWidth="1"/>
    <col min="518" max="519" width="9.5703125" style="105" bestFit="1" customWidth="1"/>
    <col min="520" max="520" width="10.42578125" style="105" bestFit="1" customWidth="1"/>
    <col min="521" max="521" width="4.5703125" style="105" customWidth="1"/>
    <col min="522" max="522" width="1.85546875" style="105" customWidth="1"/>
    <col min="523" max="523" width="7" style="105" bestFit="1" customWidth="1"/>
    <col min="524" max="524" width="6.28515625" style="105" customWidth="1"/>
    <col min="525" max="525" width="20.42578125" style="105" customWidth="1"/>
    <col min="526" max="526" width="6.42578125" style="105" bestFit="1" customWidth="1"/>
    <col min="527" max="528" width="8.42578125" style="105"/>
    <col min="529" max="529" width="3.28515625" style="105" customWidth="1"/>
    <col min="530" max="768" width="8.42578125" style="105"/>
    <col min="769" max="769" width="10" style="105" bestFit="1" customWidth="1"/>
    <col min="770" max="770" width="44.28515625" style="105" bestFit="1" customWidth="1"/>
    <col min="771" max="771" width="10.42578125" style="105" bestFit="1" customWidth="1"/>
    <col min="772" max="772" width="10.42578125" style="105" customWidth="1"/>
    <col min="773" max="773" width="9.7109375" style="105" bestFit="1" customWidth="1"/>
    <col min="774" max="775" width="9.5703125" style="105" bestFit="1" customWidth="1"/>
    <col min="776" max="776" width="10.42578125" style="105" bestFit="1" customWidth="1"/>
    <col min="777" max="777" width="4.5703125" style="105" customWidth="1"/>
    <col min="778" max="778" width="1.85546875" style="105" customWidth="1"/>
    <col min="779" max="779" width="7" style="105" bestFit="1" customWidth="1"/>
    <col min="780" max="780" width="6.28515625" style="105" customWidth="1"/>
    <col min="781" max="781" width="20.42578125" style="105" customWidth="1"/>
    <col min="782" max="782" width="6.42578125" style="105" bestFit="1" customWidth="1"/>
    <col min="783" max="784" width="8.42578125" style="105"/>
    <col min="785" max="785" width="3.28515625" style="105" customWidth="1"/>
    <col min="786" max="1024" width="8.42578125" style="105"/>
    <col min="1025" max="1025" width="10" style="105" bestFit="1" customWidth="1"/>
    <col min="1026" max="1026" width="44.28515625" style="105" bestFit="1" customWidth="1"/>
    <col min="1027" max="1027" width="10.42578125" style="105" bestFit="1" customWidth="1"/>
    <col min="1028" max="1028" width="10.42578125" style="105" customWidth="1"/>
    <col min="1029" max="1029" width="9.7109375" style="105" bestFit="1" customWidth="1"/>
    <col min="1030" max="1031" width="9.5703125" style="105" bestFit="1" customWidth="1"/>
    <col min="1032" max="1032" width="10.42578125" style="105" bestFit="1" customWidth="1"/>
    <col min="1033" max="1033" width="4.5703125" style="105" customWidth="1"/>
    <col min="1034" max="1034" width="1.85546875" style="105" customWidth="1"/>
    <col min="1035" max="1035" width="7" style="105" bestFit="1" customWidth="1"/>
    <col min="1036" max="1036" width="6.28515625" style="105" customWidth="1"/>
    <col min="1037" max="1037" width="20.42578125" style="105" customWidth="1"/>
    <col min="1038" max="1038" width="6.42578125" style="105" bestFit="1" customWidth="1"/>
    <col min="1039" max="1040" width="8.42578125" style="105"/>
    <col min="1041" max="1041" width="3.28515625" style="105" customWidth="1"/>
    <col min="1042" max="1280" width="8.42578125" style="105"/>
    <col min="1281" max="1281" width="10" style="105" bestFit="1" customWidth="1"/>
    <col min="1282" max="1282" width="44.28515625" style="105" bestFit="1" customWidth="1"/>
    <col min="1283" max="1283" width="10.42578125" style="105" bestFit="1" customWidth="1"/>
    <col min="1284" max="1284" width="10.42578125" style="105" customWidth="1"/>
    <col min="1285" max="1285" width="9.7109375" style="105" bestFit="1" customWidth="1"/>
    <col min="1286" max="1287" width="9.5703125" style="105" bestFit="1" customWidth="1"/>
    <col min="1288" max="1288" width="10.42578125" style="105" bestFit="1" customWidth="1"/>
    <col min="1289" max="1289" width="4.5703125" style="105" customWidth="1"/>
    <col min="1290" max="1290" width="1.85546875" style="105" customWidth="1"/>
    <col min="1291" max="1291" width="7" style="105" bestFit="1" customWidth="1"/>
    <col min="1292" max="1292" width="6.28515625" style="105" customWidth="1"/>
    <col min="1293" max="1293" width="20.42578125" style="105" customWidth="1"/>
    <col min="1294" max="1294" width="6.42578125" style="105" bestFit="1" customWidth="1"/>
    <col min="1295" max="1296" width="8.42578125" style="105"/>
    <col min="1297" max="1297" width="3.28515625" style="105" customWidth="1"/>
    <col min="1298" max="1536" width="8.42578125" style="105"/>
    <col min="1537" max="1537" width="10" style="105" bestFit="1" customWidth="1"/>
    <col min="1538" max="1538" width="44.28515625" style="105" bestFit="1" customWidth="1"/>
    <col min="1539" max="1539" width="10.42578125" style="105" bestFit="1" customWidth="1"/>
    <col min="1540" max="1540" width="10.42578125" style="105" customWidth="1"/>
    <col min="1541" max="1541" width="9.7109375" style="105" bestFit="1" customWidth="1"/>
    <col min="1542" max="1543" width="9.5703125" style="105" bestFit="1" customWidth="1"/>
    <col min="1544" max="1544" width="10.42578125" style="105" bestFit="1" customWidth="1"/>
    <col min="1545" max="1545" width="4.5703125" style="105" customWidth="1"/>
    <col min="1546" max="1546" width="1.85546875" style="105" customWidth="1"/>
    <col min="1547" max="1547" width="7" style="105" bestFit="1" customWidth="1"/>
    <col min="1548" max="1548" width="6.28515625" style="105" customWidth="1"/>
    <col min="1549" max="1549" width="20.42578125" style="105" customWidth="1"/>
    <col min="1550" max="1550" width="6.42578125" style="105" bestFit="1" customWidth="1"/>
    <col min="1551" max="1552" width="8.42578125" style="105"/>
    <col min="1553" max="1553" width="3.28515625" style="105" customWidth="1"/>
    <col min="1554" max="1792" width="8.42578125" style="105"/>
    <col min="1793" max="1793" width="10" style="105" bestFit="1" customWidth="1"/>
    <col min="1794" max="1794" width="44.28515625" style="105" bestFit="1" customWidth="1"/>
    <col min="1795" max="1795" width="10.42578125" style="105" bestFit="1" customWidth="1"/>
    <col min="1796" max="1796" width="10.42578125" style="105" customWidth="1"/>
    <col min="1797" max="1797" width="9.7109375" style="105" bestFit="1" customWidth="1"/>
    <col min="1798" max="1799" width="9.5703125" style="105" bestFit="1" customWidth="1"/>
    <col min="1800" max="1800" width="10.42578125" style="105" bestFit="1" customWidth="1"/>
    <col min="1801" max="1801" width="4.5703125" style="105" customWidth="1"/>
    <col min="1802" max="1802" width="1.85546875" style="105" customWidth="1"/>
    <col min="1803" max="1803" width="7" style="105" bestFit="1" customWidth="1"/>
    <col min="1804" max="1804" width="6.28515625" style="105" customWidth="1"/>
    <col min="1805" max="1805" width="20.42578125" style="105" customWidth="1"/>
    <col min="1806" max="1806" width="6.42578125" style="105" bestFit="1" customWidth="1"/>
    <col min="1807" max="1808" width="8.42578125" style="105"/>
    <col min="1809" max="1809" width="3.28515625" style="105" customWidth="1"/>
    <col min="1810" max="2048" width="8.42578125" style="105"/>
    <col min="2049" max="2049" width="10" style="105" bestFit="1" customWidth="1"/>
    <col min="2050" max="2050" width="44.28515625" style="105" bestFit="1" customWidth="1"/>
    <col min="2051" max="2051" width="10.42578125" style="105" bestFit="1" customWidth="1"/>
    <col min="2052" max="2052" width="10.42578125" style="105" customWidth="1"/>
    <col min="2053" max="2053" width="9.7109375" style="105" bestFit="1" customWidth="1"/>
    <col min="2054" max="2055" width="9.5703125" style="105" bestFit="1" customWidth="1"/>
    <col min="2056" max="2056" width="10.42578125" style="105" bestFit="1" customWidth="1"/>
    <col min="2057" max="2057" width="4.5703125" style="105" customWidth="1"/>
    <col min="2058" max="2058" width="1.85546875" style="105" customWidth="1"/>
    <col min="2059" max="2059" width="7" style="105" bestFit="1" customWidth="1"/>
    <col min="2060" max="2060" width="6.28515625" style="105" customWidth="1"/>
    <col min="2061" max="2061" width="20.42578125" style="105" customWidth="1"/>
    <col min="2062" max="2062" width="6.42578125" style="105" bestFit="1" customWidth="1"/>
    <col min="2063" max="2064" width="8.42578125" style="105"/>
    <col min="2065" max="2065" width="3.28515625" style="105" customWidth="1"/>
    <col min="2066" max="2304" width="8.42578125" style="105"/>
    <col min="2305" max="2305" width="10" style="105" bestFit="1" customWidth="1"/>
    <col min="2306" max="2306" width="44.28515625" style="105" bestFit="1" customWidth="1"/>
    <col min="2307" max="2307" width="10.42578125" style="105" bestFit="1" customWidth="1"/>
    <col min="2308" max="2308" width="10.42578125" style="105" customWidth="1"/>
    <col min="2309" max="2309" width="9.7109375" style="105" bestFit="1" customWidth="1"/>
    <col min="2310" max="2311" width="9.5703125" style="105" bestFit="1" customWidth="1"/>
    <col min="2312" max="2312" width="10.42578125" style="105" bestFit="1" customWidth="1"/>
    <col min="2313" max="2313" width="4.5703125" style="105" customWidth="1"/>
    <col min="2314" max="2314" width="1.85546875" style="105" customWidth="1"/>
    <col min="2315" max="2315" width="7" style="105" bestFit="1" customWidth="1"/>
    <col min="2316" max="2316" width="6.28515625" style="105" customWidth="1"/>
    <col min="2317" max="2317" width="20.42578125" style="105" customWidth="1"/>
    <col min="2318" max="2318" width="6.42578125" style="105" bestFit="1" customWidth="1"/>
    <col min="2319" max="2320" width="8.42578125" style="105"/>
    <col min="2321" max="2321" width="3.28515625" style="105" customWidth="1"/>
    <col min="2322" max="2560" width="8.42578125" style="105"/>
    <col min="2561" max="2561" width="10" style="105" bestFit="1" customWidth="1"/>
    <col min="2562" max="2562" width="44.28515625" style="105" bestFit="1" customWidth="1"/>
    <col min="2563" max="2563" width="10.42578125" style="105" bestFit="1" customWidth="1"/>
    <col min="2564" max="2564" width="10.42578125" style="105" customWidth="1"/>
    <col min="2565" max="2565" width="9.7109375" style="105" bestFit="1" customWidth="1"/>
    <col min="2566" max="2567" width="9.5703125" style="105" bestFit="1" customWidth="1"/>
    <col min="2568" max="2568" width="10.42578125" style="105" bestFit="1" customWidth="1"/>
    <col min="2569" max="2569" width="4.5703125" style="105" customWidth="1"/>
    <col min="2570" max="2570" width="1.85546875" style="105" customWidth="1"/>
    <col min="2571" max="2571" width="7" style="105" bestFit="1" customWidth="1"/>
    <col min="2572" max="2572" width="6.28515625" style="105" customWidth="1"/>
    <col min="2573" max="2573" width="20.42578125" style="105" customWidth="1"/>
    <col min="2574" max="2574" width="6.42578125" style="105" bestFit="1" customWidth="1"/>
    <col min="2575" max="2576" width="8.42578125" style="105"/>
    <col min="2577" max="2577" width="3.28515625" style="105" customWidth="1"/>
    <col min="2578" max="2816" width="8.42578125" style="105"/>
    <col min="2817" max="2817" width="10" style="105" bestFit="1" customWidth="1"/>
    <col min="2818" max="2818" width="44.28515625" style="105" bestFit="1" customWidth="1"/>
    <col min="2819" max="2819" width="10.42578125" style="105" bestFit="1" customWidth="1"/>
    <col min="2820" max="2820" width="10.42578125" style="105" customWidth="1"/>
    <col min="2821" max="2821" width="9.7109375" style="105" bestFit="1" customWidth="1"/>
    <col min="2822" max="2823" width="9.5703125" style="105" bestFit="1" customWidth="1"/>
    <col min="2824" max="2824" width="10.42578125" style="105" bestFit="1" customWidth="1"/>
    <col min="2825" max="2825" width="4.5703125" style="105" customWidth="1"/>
    <col min="2826" max="2826" width="1.85546875" style="105" customWidth="1"/>
    <col min="2827" max="2827" width="7" style="105" bestFit="1" customWidth="1"/>
    <col min="2828" max="2828" width="6.28515625" style="105" customWidth="1"/>
    <col min="2829" max="2829" width="20.42578125" style="105" customWidth="1"/>
    <col min="2830" max="2830" width="6.42578125" style="105" bestFit="1" customWidth="1"/>
    <col min="2831" max="2832" width="8.42578125" style="105"/>
    <col min="2833" max="2833" width="3.28515625" style="105" customWidth="1"/>
    <col min="2834" max="3072" width="8.42578125" style="105"/>
    <col min="3073" max="3073" width="10" style="105" bestFit="1" customWidth="1"/>
    <col min="3074" max="3074" width="44.28515625" style="105" bestFit="1" customWidth="1"/>
    <col min="3075" max="3075" width="10.42578125" style="105" bestFit="1" customWidth="1"/>
    <col min="3076" max="3076" width="10.42578125" style="105" customWidth="1"/>
    <col min="3077" max="3077" width="9.7109375" style="105" bestFit="1" customWidth="1"/>
    <col min="3078" max="3079" width="9.5703125" style="105" bestFit="1" customWidth="1"/>
    <col min="3080" max="3080" width="10.42578125" style="105" bestFit="1" customWidth="1"/>
    <col min="3081" max="3081" width="4.5703125" style="105" customWidth="1"/>
    <col min="3082" max="3082" width="1.85546875" style="105" customWidth="1"/>
    <col min="3083" max="3083" width="7" style="105" bestFit="1" customWidth="1"/>
    <col min="3084" max="3084" width="6.28515625" style="105" customWidth="1"/>
    <col min="3085" max="3085" width="20.42578125" style="105" customWidth="1"/>
    <col min="3086" max="3086" width="6.42578125" style="105" bestFit="1" customWidth="1"/>
    <col min="3087" max="3088" width="8.42578125" style="105"/>
    <col min="3089" max="3089" width="3.28515625" style="105" customWidth="1"/>
    <col min="3090" max="3328" width="8.42578125" style="105"/>
    <col min="3329" max="3329" width="10" style="105" bestFit="1" customWidth="1"/>
    <col min="3330" max="3330" width="44.28515625" style="105" bestFit="1" customWidth="1"/>
    <col min="3331" max="3331" width="10.42578125" style="105" bestFit="1" customWidth="1"/>
    <col min="3332" max="3332" width="10.42578125" style="105" customWidth="1"/>
    <col min="3333" max="3333" width="9.7109375" style="105" bestFit="1" customWidth="1"/>
    <col min="3334" max="3335" width="9.5703125" style="105" bestFit="1" customWidth="1"/>
    <col min="3336" max="3336" width="10.42578125" style="105" bestFit="1" customWidth="1"/>
    <col min="3337" max="3337" width="4.5703125" style="105" customWidth="1"/>
    <col min="3338" max="3338" width="1.85546875" style="105" customWidth="1"/>
    <col min="3339" max="3339" width="7" style="105" bestFit="1" customWidth="1"/>
    <col min="3340" max="3340" width="6.28515625" style="105" customWidth="1"/>
    <col min="3341" max="3341" width="20.42578125" style="105" customWidth="1"/>
    <col min="3342" max="3342" width="6.42578125" style="105" bestFit="1" customWidth="1"/>
    <col min="3343" max="3344" width="8.42578125" style="105"/>
    <col min="3345" max="3345" width="3.28515625" style="105" customWidth="1"/>
    <col min="3346" max="3584" width="8.42578125" style="105"/>
    <col min="3585" max="3585" width="10" style="105" bestFit="1" customWidth="1"/>
    <col min="3586" max="3586" width="44.28515625" style="105" bestFit="1" customWidth="1"/>
    <col min="3587" max="3587" width="10.42578125" style="105" bestFit="1" customWidth="1"/>
    <col min="3588" max="3588" width="10.42578125" style="105" customWidth="1"/>
    <col min="3589" max="3589" width="9.7109375" style="105" bestFit="1" customWidth="1"/>
    <col min="3590" max="3591" width="9.5703125" style="105" bestFit="1" customWidth="1"/>
    <col min="3592" max="3592" width="10.42578125" style="105" bestFit="1" customWidth="1"/>
    <col min="3593" max="3593" width="4.5703125" style="105" customWidth="1"/>
    <col min="3594" max="3594" width="1.85546875" style="105" customWidth="1"/>
    <col min="3595" max="3595" width="7" style="105" bestFit="1" customWidth="1"/>
    <col min="3596" max="3596" width="6.28515625" style="105" customWidth="1"/>
    <col min="3597" max="3597" width="20.42578125" style="105" customWidth="1"/>
    <col min="3598" max="3598" width="6.42578125" style="105" bestFit="1" customWidth="1"/>
    <col min="3599" max="3600" width="8.42578125" style="105"/>
    <col min="3601" max="3601" width="3.28515625" style="105" customWidth="1"/>
    <col min="3602" max="3840" width="8.42578125" style="105"/>
    <col min="3841" max="3841" width="10" style="105" bestFit="1" customWidth="1"/>
    <col min="3842" max="3842" width="44.28515625" style="105" bestFit="1" customWidth="1"/>
    <col min="3843" max="3843" width="10.42578125" style="105" bestFit="1" customWidth="1"/>
    <col min="3844" max="3844" width="10.42578125" style="105" customWidth="1"/>
    <col min="3845" max="3845" width="9.7109375" style="105" bestFit="1" customWidth="1"/>
    <col min="3846" max="3847" width="9.5703125" style="105" bestFit="1" customWidth="1"/>
    <col min="3848" max="3848" width="10.42578125" style="105" bestFit="1" customWidth="1"/>
    <col min="3849" max="3849" width="4.5703125" style="105" customWidth="1"/>
    <col min="3850" max="3850" width="1.85546875" style="105" customWidth="1"/>
    <col min="3851" max="3851" width="7" style="105" bestFit="1" customWidth="1"/>
    <col min="3852" max="3852" width="6.28515625" style="105" customWidth="1"/>
    <col min="3853" max="3853" width="20.42578125" style="105" customWidth="1"/>
    <col min="3854" max="3854" width="6.42578125" style="105" bestFit="1" customWidth="1"/>
    <col min="3855" max="3856" width="8.42578125" style="105"/>
    <col min="3857" max="3857" width="3.28515625" style="105" customWidth="1"/>
    <col min="3858" max="4096" width="8.42578125" style="105"/>
    <col min="4097" max="4097" width="10" style="105" bestFit="1" customWidth="1"/>
    <col min="4098" max="4098" width="44.28515625" style="105" bestFit="1" customWidth="1"/>
    <col min="4099" max="4099" width="10.42578125" style="105" bestFit="1" customWidth="1"/>
    <col min="4100" max="4100" width="10.42578125" style="105" customWidth="1"/>
    <col min="4101" max="4101" width="9.7109375" style="105" bestFit="1" customWidth="1"/>
    <col min="4102" max="4103" width="9.5703125" style="105" bestFit="1" customWidth="1"/>
    <col min="4104" max="4104" width="10.42578125" style="105" bestFit="1" customWidth="1"/>
    <col min="4105" max="4105" width="4.5703125" style="105" customWidth="1"/>
    <col min="4106" max="4106" width="1.85546875" style="105" customWidth="1"/>
    <col min="4107" max="4107" width="7" style="105" bestFit="1" customWidth="1"/>
    <col min="4108" max="4108" width="6.28515625" style="105" customWidth="1"/>
    <col min="4109" max="4109" width="20.42578125" style="105" customWidth="1"/>
    <col min="4110" max="4110" width="6.42578125" style="105" bestFit="1" customWidth="1"/>
    <col min="4111" max="4112" width="8.42578125" style="105"/>
    <col min="4113" max="4113" width="3.28515625" style="105" customWidth="1"/>
    <col min="4114" max="4352" width="8.42578125" style="105"/>
    <col min="4353" max="4353" width="10" style="105" bestFit="1" customWidth="1"/>
    <col min="4354" max="4354" width="44.28515625" style="105" bestFit="1" customWidth="1"/>
    <col min="4355" max="4355" width="10.42578125" style="105" bestFit="1" customWidth="1"/>
    <col min="4356" max="4356" width="10.42578125" style="105" customWidth="1"/>
    <col min="4357" max="4357" width="9.7109375" style="105" bestFit="1" customWidth="1"/>
    <col min="4358" max="4359" width="9.5703125" style="105" bestFit="1" customWidth="1"/>
    <col min="4360" max="4360" width="10.42578125" style="105" bestFit="1" customWidth="1"/>
    <col min="4361" max="4361" width="4.5703125" style="105" customWidth="1"/>
    <col min="4362" max="4362" width="1.85546875" style="105" customWidth="1"/>
    <col min="4363" max="4363" width="7" style="105" bestFit="1" customWidth="1"/>
    <col min="4364" max="4364" width="6.28515625" style="105" customWidth="1"/>
    <col min="4365" max="4365" width="20.42578125" style="105" customWidth="1"/>
    <col min="4366" max="4366" width="6.42578125" style="105" bestFit="1" customWidth="1"/>
    <col min="4367" max="4368" width="8.42578125" style="105"/>
    <col min="4369" max="4369" width="3.28515625" style="105" customWidth="1"/>
    <col min="4370" max="4608" width="8.42578125" style="105"/>
    <col min="4609" max="4609" width="10" style="105" bestFit="1" customWidth="1"/>
    <col min="4610" max="4610" width="44.28515625" style="105" bestFit="1" customWidth="1"/>
    <col min="4611" max="4611" width="10.42578125" style="105" bestFit="1" customWidth="1"/>
    <col min="4612" max="4612" width="10.42578125" style="105" customWidth="1"/>
    <col min="4613" max="4613" width="9.7109375" style="105" bestFit="1" customWidth="1"/>
    <col min="4614" max="4615" width="9.5703125" style="105" bestFit="1" customWidth="1"/>
    <col min="4616" max="4616" width="10.42578125" style="105" bestFit="1" customWidth="1"/>
    <col min="4617" max="4617" width="4.5703125" style="105" customWidth="1"/>
    <col min="4618" max="4618" width="1.85546875" style="105" customWidth="1"/>
    <col min="4619" max="4619" width="7" style="105" bestFit="1" customWidth="1"/>
    <col min="4620" max="4620" width="6.28515625" style="105" customWidth="1"/>
    <col min="4621" max="4621" width="20.42578125" style="105" customWidth="1"/>
    <col min="4622" max="4622" width="6.42578125" style="105" bestFit="1" customWidth="1"/>
    <col min="4623" max="4624" width="8.42578125" style="105"/>
    <col min="4625" max="4625" width="3.28515625" style="105" customWidth="1"/>
    <col min="4626" max="4864" width="8.42578125" style="105"/>
    <col min="4865" max="4865" width="10" style="105" bestFit="1" customWidth="1"/>
    <col min="4866" max="4866" width="44.28515625" style="105" bestFit="1" customWidth="1"/>
    <col min="4867" max="4867" width="10.42578125" style="105" bestFit="1" customWidth="1"/>
    <col min="4868" max="4868" width="10.42578125" style="105" customWidth="1"/>
    <col min="4869" max="4869" width="9.7109375" style="105" bestFit="1" customWidth="1"/>
    <col min="4870" max="4871" width="9.5703125" style="105" bestFit="1" customWidth="1"/>
    <col min="4872" max="4872" width="10.42578125" style="105" bestFit="1" customWidth="1"/>
    <col min="4873" max="4873" width="4.5703125" style="105" customWidth="1"/>
    <col min="4874" max="4874" width="1.85546875" style="105" customWidth="1"/>
    <col min="4875" max="4875" width="7" style="105" bestFit="1" customWidth="1"/>
    <col min="4876" max="4876" width="6.28515625" style="105" customWidth="1"/>
    <col min="4877" max="4877" width="20.42578125" style="105" customWidth="1"/>
    <col min="4878" max="4878" width="6.42578125" style="105" bestFit="1" customWidth="1"/>
    <col min="4879" max="4880" width="8.42578125" style="105"/>
    <col min="4881" max="4881" width="3.28515625" style="105" customWidth="1"/>
    <col min="4882" max="5120" width="8.42578125" style="105"/>
    <col min="5121" max="5121" width="10" style="105" bestFit="1" customWidth="1"/>
    <col min="5122" max="5122" width="44.28515625" style="105" bestFit="1" customWidth="1"/>
    <col min="5123" max="5123" width="10.42578125" style="105" bestFit="1" customWidth="1"/>
    <col min="5124" max="5124" width="10.42578125" style="105" customWidth="1"/>
    <col min="5125" max="5125" width="9.7109375" style="105" bestFit="1" customWidth="1"/>
    <col min="5126" max="5127" width="9.5703125" style="105" bestFit="1" customWidth="1"/>
    <col min="5128" max="5128" width="10.42578125" style="105" bestFit="1" customWidth="1"/>
    <col min="5129" max="5129" width="4.5703125" style="105" customWidth="1"/>
    <col min="5130" max="5130" width="1.85546875" style="105" customWidth="1"/>
    <col min="5131" max="5131" width="7" style="105" bestFit="1" customWidth="1"/>
    <col min="5132" max="5132" width="6.28515625" style="105" customWidth="1"/>
    <col min="5133" max="5133" width="20.42578125" style="105" customWidth="1"/>
    <col min="5134" max="5134" width="6.42578125" style="105" bestFit="1" customWidth="1"/>
    <col min="5135" max="5136" width="8.42578125" style="105"/>
    <col min="5137" max="5137" width="3.28515625" style="105" customWidth="1"/>
    <col min="5138" max="5376" width="8.42578125" style="105"/>
    <col min="5377" max="5377" width="10" style="105" bestFit="1" customWidth="1"/>
    <col min="5378" max="5378" width="44.28515625" style="105" bestFit="1" customWidth="1"/>
    <col min="5379" max="5379" width="10.42578125" style="105" bestFit="1" customWidth="1"/>
    <col min="5380" max="5380" width="10.42578125" style="105" customWidth="1"/>
    <col min="5381" max="5381" width="9.7109375" style="105" bestFit="1" customWidth="1"/>
    <col min="5382" max="5383" width="9.5703125" style="105" bestFit="1" customWidth="1"/>
    <col min="5384" max="5384" width="10.42578125" style="105" bestFit="1" customWidth="1"/>
    <col min="5385" max="5385" width="4.5703125" style="105" customWidth="1"/>
    <col min="5386" max="5386" width="1.85546875" style="105" customWidth="1"/>
    <col min="5387" max="5387" width="7" style="105" bestFit="1" customWidth="1"/>
    <col min="5388" max="5388" width="6.28515625" style="105" customWidth="1"/>
    <col min="5389" max="5389" width="20.42578125" style="105" customWidth="1"/>
    <col min="5390" max="5390" width="6.42578125" style="105" bestFit="1" customWidth="1"/>
    <col min="5391" max="5392" width="8.42578125" style="105"/>
    <col min="5393" max="5393" width="3.28515625" style="105" customWidth="1"/>
    <col min="5394" max="5632" width="8.42578125" style="105"/>
    <col min="5633" max="5633" width="10" style="105" bestFit="1" customWidth="1"/>
    <col min="5634" max="5634" width="44.28515625" style="105" bestFit="1" customWidth="1"/>
    <col min="5635" max="5635" width="10.42578125" style="105" bestFit="1" customWidth="1"/>
    <col min="5636" max="5636" width="10.42578125" style="105" customWidth="1"/>
    <col min="5637" max="5637" width="9.7109375" style="105" bestFit="1" customWidth="1"/>
    <col min="5638" max="5639" width="9.5703125" style="105" bestFit="1" customWidth="1"/>
    <col min="5640" max="5640" width="10.42578125" style="105" bestFit="1" customWidth="1"/>
    <col min="5641" max="5641" width="4.5703125" style="105" customWidth="1"/>
    <col min="5642" max="5642" width="1.85546875" style="105" customWidth="1"/>
    <col min="5643" max="5643" width="7" style="105" bestFit="1" customWidth="1"/>
    <col min="5644" max="5644" width="6.28515625" style="105" customWidth="1"/>
    <col min="5645" max="5645" width="20.42578125" style="105" customWidth="1"/>
    <col min="5646" max="5646" width="6.42578125" style="105" bestFit="1" customWidth="1"/>
    <col min="5647" max="5648" width="8.42578125" style="105"/>
    <col min="5649" max="5649" width="3.28515625" style="105" customWidth="1"/>
    <col min="5650" max="5888" width="8.42578125" style="105"/>
    <col min="5889" max="5889" width="10" style="105" bestFit="1" customWidth="1"/>
    <col min="5890" max="5890" width="44.28515625" style="105" bestFit="1" customWidth="1"/>
    <col min="5891" max="5891" width="10.42578125" style="105" bestFit="1" customWidth="1"/>
    <col min="5892" max="5892" width="10.42578125" style="105" customWidth="1"/>
    <col min="5893" max="5893" width="9.7109375" style="105" bestFit="1" customWidth="1"/>
    <col min="5894" max="5895" width="9.5703125" style="105" bestFit="1" customWidth="1"/>
    <col min="5896" max="5896" width="10.42578125" style="105" bestFit="1" customWidth="1"/>
    <col min="5897" max="5897" width="4.5703125" style="105" customWidth="1"/>
    <col min="5898" max="5898" width="1.85546875" style="105" customWidth="1"/>
    <col min="5899" max="5899" width="7" style="105" bestFit="1" customWidth="1"/>
    <col min="5900" max="5900" width="6.28515625" style="105" customWidth="1"/>
    <col min="5901" max="5901" width="20.42578125" style="105" customWidth="1"/>
    <col min="5902" max="5902" width="6.42578125" style="105" bestFit="1" customWidth="1"/>
    <col min="5903" max="5904" width="8.42578125" style="105"/>
    <col min="5905" max="5905" width="3.28515625" style="105" customWidth="1"/>
    <col min="5906" max="6144" width="8.42578125" style="105"/>
    <col min="6145" max="6145" width="10" style="105" bestFit="1" customWidth="1"/>
    <col min="6146" max="6146" width="44.28515625" style="105" bestFit="1" customWidth="1"/>
    <col min="6147" max="6147" width="10.42578125" style="105" bestFit="1" customWidth="1"/>
    <col min="6148" max="6148" width="10.42578125" style="105" customWidth="1"/>
    <col min="6149" max="6149" width="9.7109375" style="105" bestFit="1" customWidth="1"/>
    <col min="6150" max="6151" width="9.5703125" style="105" bestFit="1" customWidth="1"/>
    <col min="6152" max="6152" width="10.42578125" style="105" bestFit="1" customWidth="1"/>
    <col min="6153" max="6153" width="4.5703125" style="105" customWidth="1"/>
    <col min="6154" max="6154" width="1.85546875" style="105" customWidth="1"/>
    <col min="6155" max="6155" width="7" style="105" bestFit="1" customWidth="1"/>
    <col min="6156" max="6156" width="6.28515625" style="105" customWidth="1"/>
    <col min="6157" max="6157" width="20.42578125" style="105" customWidth="1"/>
    <col min="6158" max="6158" width="6.42578125" style="105" bestFit="1" customWidth="1"/>
    <col min="6159" max="6160" width="8.42578125" style="105"/>
    <col min="6161" max="6161" width="3.28515625" style="105" customWidth="1"/>
    <col min="6162" max="6400" width="8.42578125" style="105"/>
    <col min="6401" max="6401" width="10" style="105" bestFit="1" customWidth="1"/>
    <col min="6402" max="6402" width="44.28515625" style="105" bestFit="1" customWidth="1"/>
    <col min="6403" max="6403" width="10.42578125" style="105" bestFit="1" customWidth="1"/>
    <col min="6404" max="6404" width="10.42578125" style="105" customWidth="1"/>
    <col min="6405" max="6405" width="9.7109375" style="105" bestFit="1" customWidth="1"/>
    <col min="6406" max="6407" width="9.5703125" style="105" bestFit="1" customWidth="1"/>
    <col min="6408" max="6408" width="10.42578125" style="105" bestFit="1" customWidth="1"/>
    <col min="6409" max="6409" width="4.5703125" style="105" customWidth="1"/>
    <col min="6410" max="6410" width="1.85546875" style="105" customWidth="1"/>
    <col min="6411" max="6411" width="7" style="105" bestFit="1" customWidth="1"/>
    <col min="6412" max="6412" width="6.28515625" style="105" customWidth="1"/>
    <col min="6413" max="6413" width="20.42578125" style="105" customWidth="1"/>
    <col min="6414" max="6414" width="6.42578125" style="105" bestFit="1" customWidth="1"/>
    <col min="6415" max="6416" width="8.42578125" style="105"/>
    <col min="6417" max="6417" width="3.28515625" style="105" customWidth="1"/>
    <col min="6418" max="6656" width="8.42578125" style="105"/>
    <col min="6657" max="6657" width="10" style="105" bestFit="1" customWidth="1"/>
    <col min="6658" max="6658" width="44.28515625" style="105" bestFit="1" customWidth="1"/>
    <col min="6659" max="6659" width="10.42578125" style="105" bestFit="1" customWidth="1"/>
    <col min="6660" max="6660" width="10.42578125" style="105" customWidth="1"/>
    <col min="6661" max="6661" width="9.7109375" style="105" bestFit="1" customWidth="1"/>
    <col min="6662" max="6663" width="9.5703125" style="105" bestFit="1" customWidth="1"/>
    <col min="6664" max="6664" width="10.42578125" style="105" bestFit="1" customWidth="1"/>
    <col min="6665" max="6665" width="4.5703125" style="105" customWidth="1"/>
    <col min="6666" max="6666" width="1.85546875" style="105" customWidth="1"/>
    <col min="6667" max="6667" width="7" style="105" bestFit="1" customWidth="1"/>
    <col min="6668" max="6668" width="6.28515625" style="105" customWidth="1"/>
    <col min="6669" max="6669" width="20.42578125" style="105" customWidth="1"/>
    <col min="6670" max="6670" width="6.42578125" style="105" bestFit="1" customWidth="1"/>
    <col min="6671" max="6672" width="8.42578125" style="105"/>
    <col min="6673" max="6673" width="3.28515625" style="105" customWidth="1"/>
    <col min="6674" max="6912" width="8.42578125" style="105"/>
    <col min="6913" max="6913" width="10" style="105" bestFit="1" customWidth="1"/>
    <col min="6914" max="6914" width="44.28515625" style="105" bestFit="1" customWidth="1"/>
    <col min="6915" max="6915" width="10.42578125" style="105" bestFit="1" customWidth="1"/>
    <col min="6916" max="6916" width="10.42578125" style="105" customWidth="1"/>
    <col min="6917" max="6917" width="9.7109375" style="105" bestFit="1" customWidth="1"/>
    <col min="6918" max="6919" width="9.5703125" style="105" bestFit="1" customWidth="1"/>
    <col min="6920" max="6920" width="10.42578125" style="105" bestFit="1" customWidth="1"/>
    <col min="6921" max="6921" width="4.5703125" style="105" customWidth="1"/>
    <col min="6922" max="6922" width="1.85546875" style="105" customWidth="1"/>
    <col min="6923" max="6923" width="7" style="105" bestFit="1" customWidth="1"/>
    <col min="6924" max="6924" width="6.28515625" style="105" customWidth="1"/>
    <col min="6925" max="6925" width="20.42578125" style="105" customWidth="1"/>
    <col min="6926" max="6926" width="6.42578125" style="105" bestFit="1" customWidth="1"/>
    <col min="6927" max="6928" width="8.42578125" style="105"/>
    <col min="6929" max="6929" width="3.28515625" style="105" customWidth="1"/>
    <col min="6930" max="7168" width="8.42578125" style="105"/>
    <col min="7169" max="7169" width="10" style="105" bestFit="1" customWidth="1"/>
    <col min="7170" max="7170" width="44.28515625" style="105" bestFit="1" customWidth="1"/>
    <col min="7171" max="7171" width="10.42578125" style="105" bestFit="1" customWidth="1"/>
    <col min="7172" max="7172" width="10.42578125" style="105" customWidth="1"/>
    <col min="7173" max="7173" width="9.7109375" style="105" bestFit="1" customWidth="1"/>
    <col min="7174" max="7175" width="9.5703125" style="105" bestFit="1" customWidth="1"/>
    <col min="7176" max="7176" width="10.42578125" style="105" bestFit="1" customWidth="1"/>
    <col min="7177" max="7177" width="4.5703125" style="105" customWidth="1"/>
    <col min="7178" max="7178" width="1.85546875" style="105" customWidth="1"/>
    <col min="7179" max="7179" width="7" style="105" bestFit="1" customWidth="1"/>
    <col min="7180" max="7180" width="6.28515625" style="105" customWidth="1"/>
    <col min="7181" max="7181" width="20.42578125" style="105" customWidth="1"/>
    <col min="7182" max="7182" width="6.42578125" style="105" bestFit="1" customWidth="1"/>
    <col min="7183" max="7184" width="8.42578125" style="105"/>
    <col min="7185" max="7185" width="3.28515625" style="105" customWidth="1"/>
    <col min="7186" max="7424" width="8.42578125" style="105"/>
    <col min="7425" max="7425" width="10" style="105" bestFit="1" customWidth="1"/>
    <col min="7426" max="7426" width="44.28515625" style="105" bestFit="1" customWidth="1"/>
    <col min="7427" max="7427" width="10.42578125" style="105" bestFit="1" customWidth="1"/>
    <col min="7428" max="7428" width="10.42578125" style="105" customWidth="1"/>
    <col min="7429" max="7429" width="9.7109375" style="105" bestFit="1" customWidth="1"/>
    <col min="7430" max="7431" width="9.5703125" style="105" bestFit="1" customWidth="1"/>
    <col min="7432" max="7432" width="10.42578125" style="105" bestFit="1" customWidth="1"/>
    <col min="7433" max="7433" width="4.5703125" style="105" customWidth="1"/>
    <col min="7434" max="7434" width="1.85546875" style="105" customWidth="1"/>
    <col min="7435" max="7435" width="7" style="105" bestFit="1" customWidth="1"/>
    <col min="7436" max="7436" width="6.28515625" style="105" customWidth="1"/>
    <col min="7437" max="7437" width="20.42578125" style="105" customWidth="1"/>
    <col min="7438" max="7438" width="6.42578125" style="105" bestFit="1" customWidth="1"/>
    <col min="7439" max="7440" width="8.42578125" style="105"/>
    <col min="7441" max="7441" width="3.28515625" style="105" customWidth="1"/>
    <col min="7442" max="7680" width="8.42578125" style="105"/>
    <col min="7681" max="7681" width="10" style="105" bestFit="1" customWidth="1"/>
    <col min="7682" max="7682" width="44.28515625" style="105" bestFit="1" customWidth="1"/>
    <col min="7683" max="7683" width="10.42578125" style="105" bestFit="1" customWidth="1"/>
    <col min="7684" max="7684" width="10.42578125" style="105" customWidth="1"/>
    <col min="7685" max="7685" width="9.7109375" style="105" bestFit="1" customWidth="1"/>
    <col min="7686" max="7687" width="9.5703125" style="105" bestFit="1" customWidth="1"/>
    <col min="7688" max="7688" width="10.42578125" style="105" bestFit="1" customWidth="1"/>
    <col min="7689" max="7689" width="4.5703125" style="105" customWidth="1"/>
    <col min="7690" max="7690" width="1.85546875" style="105" customWidth="1"/>
    <col min="7691" max="7691" width="7" style="105" bestFit="1" customWidth="1"/>
    <col min="7692" max="7692" width="6.28515625" style="105" customWidth="1"/>
    <col min="7693" max="7693" width="20.42578125" style="105" customWidth="1"/>
    <col min="7694" max="7694" width="6.42578125" style="105" bestFit="1" customWidth="1"/>
    <col min="7695" max="7696" width="8.42578125" style="105"/>
    <col min="7697" max="7697" width="3.28515625" style="105" customWidth="1"/>
    <col min="7698" max="7936" width="8.42578125" style="105"/>
    <col min="7937" max="7937" width="10" style="105" bestFit="1" customWidth="1"/>
    <col min="7938" max="7938" width="44.28515625" style="105" bestFit="1" customWidth="1"/>
    <col min="7939" max="7939" width="10.42578125" style="105" bestFit="1" customWidth="1"/>
    <col min="7940" max="7940" width="10.42578125" style="105" customWidth="1"/>
    <col min="7941" max="7941" width="9.7109375" style="105" bestFit="1" customWidth="1"/>
    <col min="7942" max="7943" width="9.5703125" style="105" bestFit="1" customWidth="1"/>
    <col min="7944" max="7944" width="10.42578125" style="105" bestFit="1" customWidth="1"/>
    <col min="7945" max="7945" width="4.5703125" style="105" customWidth="1"/>
    <col min="7946" max="7946" width="1.85546875" style="105" customWidth="1"/>
    <col min="7947" max="7947" width="7" style="105" bestFit="1" customWidth="1"/>
    <col min="7948" max="7948" width="6.28515625" style="105" customWidth="1"/>
    <col min="7949" max="7949" width="20.42578125" style="105" customWidth="1"/>
    <col min="7950" max="7950" width="6.42578125" style="105" bestFit="1" customWidth="1"/>
    <col min="7951" max="7952" width="8.42578125" style="105"/>
    <col min="7953" max="7953" width="3.28515625" style="105" customWidth="1"/>
    <col min="7954" max="8192" width="8.42578125" style="105"/>
    <col min="8193" max="8193" width="10" style="105" bestFit="1" customWidth="1"/>
    <col min="8194" max="8194" width="44.28515625" style="105" bestFit="1" customWidth="1"/>
    <col min="8195" max="8195" width="10.42578125" style="105" bestFit="1" customWidth="1"/>
    <col min="8196" max="8196" width="10.42578125" style="105" customWidth="1"/>
    <col min="8197" max="8197" width="9.7109375" style="105" bestFit="1" customWidth="1"/>
    <col min="8198" max="8199" width="9.5703125" style="105" bestFit="1" customWidth="1"/>
    <col min="8200" max="8200" width="10.42578125" style="105" bestFit="1" customWidth="1"/>
    <col min="8201" max="8201" width="4.5703125" style="105" customWidth="1"/>
    <col min="8202" max="8202" width="1.85546875" style="105" customWidth="1"/>
    <col min="8203" max="8203" width="7" style="105" bestFit="1" customWidth="1"/>
    <col min="8204" max="8204" width="6.28515625" style="105" customWidth="1"/>
    <col min="8205" max="8205" width="20.42578125" style="105" customWidth="1"/>
    <col min="8206" max="8206" width="6.42578125" style="105" bestFit="1" customWidth="1"/>
    <col min="8207" max="8208" width="8.42578125" style="105"/>
    <col min="8209" max="8209" width="3.28515625" style="105" customWidth="1"/>
    <col min="8210" max="8448" width="8.42578125" style="105"/>
    <col min="8449" max="8449" width="10" style="105" bestFit="1" customWidth="1"/>
    <col min="8450" max="8450" width="44.28515625" style="105" bestFit="1" customWidth="1"/>
    <col min="8451" max="8451" width="10.42578125" style="105" bestFit="1" customWidth="1"/>
    <col min="8452" max="8452" width="10.42578125" style="105" customWidth="1"/>
    <col min="8453" max="8453" width="9.7109375" style="105" bestFit="1" customWidth="1"/>
    <col min="8454" max="8455" width="9.5703125" style="105" bestFit="1" customWidth="1"/>
    <col min="8456" max="8456" width="10.42578125" style="105" bestFit="1" customWidth="1"/>
    <col min="8457" max="8457" width="4.5703125" style="105" customWidth="1"/>
    <col min="8458" max="8458" width="1.85546875" style="105" customWidth="1"/>
    <col min="8459" max="8459" width="7" style="105" bestFit="1" customWidth="1"/>
    <col min="8460" max="8460" width="6.28515625" style="105" customWidth="1"/>
    <col min="8461" max="8461" width="20.42578125" style="105" customWidth="1"/>
    <col min="8462" max="8462" width="6.42578125" style="105" bestFit="1" customWidth="1"/>
    <col min="8463" max="8464" width="8.42578125" style="105"/>
    <col min="8465" max="8465" width="3.28515625" style="105" customWidth="1"/>
    <col min="8466" max="8704" width="8.42578125" style="105"/>
    <col min="8705" max="8705" width="10" style="105" bestFit="1" customWidth="1"/>
    <col min="8706" max="8706" width="44.28515625" style="105" bestFit="1" customWidth="1"/>
    <col min="8707" max="8707" width="10.42578125" style="105" bestFit="1" customWidth="1"/>
    <col min="8708" max="8708" width="10.42578125" style="105" customWidth="1"/>
    <col min="8709" max="8709" width="9.7109375" style="105" bestFit="1" customWidth="1"/>
    <col min="8710" max="8711" width="9.5703125" style="105" bestFit="1" customWidth="1"/>
    <col min="8712" max="8712" width="10.42578125" style="105" bestFit="1" customWidth="1"/>
    <col min="8713" max="8713" width="4.5703125" style="105" customWidth="1"/>
    <col min="8714" max="8714" width="1.85546875" style="105" customWidth="1"/>
    <col min="8715" max="8715" width="7" style="105" bestFit="1" customWidth="1"/>
    <col min="8716" max="8716" width="6.28515625" style="105" customWidth="1"/>
    <col min="8717" max="8717" width="20.42578125" style="105" customWidth="1"/>
    <col min="8718" max="8718" width="6.42578125" style="105" bestFit="1" customWidth="1"/>
    <col min="8719" max="8720" width="8.42578125" style="105"/>
    <col min="8721" max="8721" width="3.28515625" style="105" customWidth="1"/>
    <col min="8722" max="8960" width="8.42578125" style="105"/>
    <col min="8961" max="8961" width="10" style="105" bestFit="1" customWidth="1"/>
    <col min="8962" max="8962" width="44.28515625" style="105" bestFit="1" customWidth="1"/>
    <col min="8963" max="8963" width="10.42578125" style="105" bestFit="1" customWidth="1"/>
    <col min="8964" max="8964" width="10.42578125" style="105" customWidth="1"/>
    <col min="8965" max="8965" width="9.7109375" style="105" bestFit="1" customWidth="1"/>
    <col min="8966" max="8967" width="9.5703125" style="105" bestFit="1" customWidth="1"/>
    <col min="8968" max="8968" width="10.42578125" style="105" bestFit="1" customWidth="1"/>
    <col min="8969" max="8969" width="4.5703125" style="105" customWidth="1"/>
    <col min="8970" max="8970" width="1.85546875" style="105" customWidth="1"/>
    <col min="8971" max="8971" width="7" style="105" bestFit="1" customWidth="1"/>
    <col min="8972" max="8972" width="6.28515625" style="105" customWidth="1"/>
    <col min="8973" max="8973" width="20.42578125" style="105" customWidth="1"/>
    <col min="8974" max="8974" width="6.42578125" style="105" bestFit="1" customWidth="1"/>
    <col min="8975" max="8976" width="8.42578125" style="105"/>
    <col min="8977" max="8977" width="3.28515625" style="105" customWidth="1"/>
    <col min="8978" max="9216" width="8.42578125" style="105"/>
    <col min="9217" max="9217" width="10" style="105" bestFit="1" customWidth="1"/>
    <col min="9218" max="9218" width="44.28515625" style="105" bestFit="1" customWidth="1"/>
    <col min="9219" max="9219" width="10.42578125" style="105" bestFit="1" customWidth="1"/>
    <col min="9220" max="9220" width="10.42578125" style="105" customWidth="1"/>
    <col min="9221" max="9221" width="9.7109375" style="105" bestFit="1" customWidth="1"/>
    <col min="9222" max="9223" width="9.5703125" style="105" bestFit="1" customWidth="1"/>
    <col min="9224" max="9224" width="10.42578125" style="105" bestFit="1" customWidth="1"/>
    <col min="9225" max="9225" width="4.5703125" style="105" customWidth="1"/>
    <col min="9226" max="9226" width="1.85546875" style="105" customWidth="1"/>
    <col min="9227" max="9227" width="7" style="105" bestFit="1" customWidth="1"/>
    <col min="9228" max="9228" width="6.28515625" style="105" customWidth="1"/>
    <col min="9229" max="9229" width="20.42578125" style="105" customWidth="1"/>
    <col min="9230" max="9230" width="6.42578125" style="105" bestFit="1" customWidth="1"/>
    <col min="9231" max="9232" width="8.42578125" style="105"/>
    <col min="9233" max="9233" width="3.28515625" style="105" customWidth="1"/>
    <col min="9234" max="9472" width="8.42578125" style="105"/>
    <col min="9473" max="9473" width="10" style="105" bestFit="1" customWidth="1"/>
    <col min="9474" max="9474" width="44.28515625" style="105" bestFit="1" customWidth="1"/>
    <col min="9475" max="9475" width="10.42578125" style="105" bestFit="1" customWidth="1"/>
    <col min="9476" max="9476" width="10.42578125" style="105" customWidth="1"/>
    <col min="9477" max="9477" width="9.7109375" style="105" bestFit="1" customWidth="1"/>
    <col min="9478" max="9479" width="9.5703125" style="105" bestFit="1" customWidth="1"/>
    <col min="9480" max="9480" width="10.42578125" style="105" bestFit="1" customWidth="1"/>
    <col min="9481" max="9481" width="4.5703125" style="105" customWidth="1"/>
    <col min="9482" max="9482" width="1.85546875" style="105" customWidth="1"/>
    <col min="9483" max="9483" width="7" style="105" bestFit="1" customWidth="1"/>
    <col min="9484" max="9484" width="6.28515625" style="105" customWidth="1"/>
    <col min="9485" max="9485" width="20.42578125" style="105" customWidth="1"/>
    <col min="9486" max="9486" width="6.42578125" style="105" bestFit="1" customWidth="1"/>
    <col min="9487" max="9488" width="8.42578125" style="105"/>
    <col min="9489" max="9489" width="3.28515625" style="105" customWidth="1"/>
    <col min="9490" max="9728" width="8.42578125" style="105"/>
    <col min="9729" max="9729" width="10" style="105" bestFit="1" customWidth="1"/>
    <col min="9730" max="9730" width="44.28515625" style="105" bestFit="1" customWidth="1"/>
    <col min="9731" max="9731" width="10.42578125" style="105" bestFit="1" customWidth="1"/>
    <col min="9732" max="9732" width="10.42578125" style="105" customWidth="1"/>
    <col min="9733" max="9733" width="9.7109375" style="105" bestFit="1" customWidth="1"/>
    <col min="9734" max="9735" width="9.5703125" style="105" bestFit="1" customWidth="1"/>
    <col min="9736" max="9736" width="10.42578125" style="105" bestFit="1" customWidth="1"/>
    <col min="9737" max="9737" width="4.5703125" style="105" customWidth="1"/>
    <col min="9738" max="9738" width="1.85546875" style="105" customWidth="1"/>
    <col min="9739" max="9739" width="7" style="105" bestFit="1" customWidth="1"/>
    <col min="9740" max="9740" width="6.28515625" style="105" customWidth="1"/>
    <col min="9741" max="9741" width="20.42578125" style="105" customWidth="1"/>
    <col min="9742" max="9742" width="6.42578125" style="105" bestFit="1" customWidth="1"/>
    <col min="9743" max="9744" width="8.42578125" style="105"/>
    <col min="9745" max="9745" width="3.28515625" style="105" customWidth="1"/>
    <col min="9746" max="9984" width="8.42578125" style="105"/>
    <col min="9985" max="9985" width="10" style="105" bestFit="1" customWidth="1"/>
    <col min="9986" max="9986" width="44.28515625" style="105" bestFit="1" customWidth="1"/>
    <col min="9987" max="9987" width="10.42578125" style="105" bestFit="1" customWidth="1"/>
    <col min="9988" max="9988" width="10.42578125" style="105" customWidth="1"/>
    <col min="9989" max="9989" width="9.7109375" style="105" bestFit="1" customWidth="1"/>
    <col min="9990" max="9991" width="9.5703125" style="105" bestFit="1" customWidth="1"/>
    <col min="9992" max="9992" width="10.42578125" style="105" bestFit="1" customWidth="1"/>
    <col min="9993" max="9993" width="4.5703125" style="105" customWidth="1"/>
    <col min="9994" max="9994" width="1.85546875" style="105" customWidth="1"/>
    <col min="9995" max="9995" width="7" style="105" bestFit="1" customWidth="1"/>
    <col min="9996" max="9996" width="6.28515625" style="105" customWidth="1"/>
    <col min="9997" max="9997" width="20.42578125" style="105" customWidth="1"/>
    <col min="9998" max="9998" width="6.42578125" style="105" bestFit="1" customWidth="1"/>
    <col min="9999" max="10000" width="8.42578125" style="105"/>
    <col min="10001" max="10001" width="3.28515625" style="105" customWidth="1"/>
    <col min="10002" max="10240" width="8.42578125" style="105"/>
    <col min="10241" max="10241" width="10" style="105" bestFit="1" customWidth="1"/>
    <col min="10242" max="10242" width="44.28515625" style="105" bestFit="1" customWidth="1"/>
    <col min="10243" max="10243" width="10.42578125" style="105" bestFit="1" customWidth="1"/>
    <col min="10244" max="10244" width="10.42578125" style="105" customWidth="1"/>
    <col min="10245" max="10245" width="9.7109375" style="105" bestFit="1" customWidth="1"/>
    <col min="10246" max="10247" width="9.5703125" style="105" bestFit="1" customWidth="1"/>
    <col min="10248" max="10248" width="10.42578125" style="105" bestFit="1" customWidth="1"/>
    <col min="10249" max="10249" width="4.5703125" style="105" customWidth="1"/>
    <col min="10250" max="10250" width="1.85546875" style="105" customWidth="1"/>
    <col min="10251" max="10251" width="7" style="105" bestFit="1" customWidth="1"/>
    <col min="10252" max="10252" width="6.28515625" style="105" customWidth="1"/>
    <col min="10253" max="10253" width="20.42578125" style="105" customWidth="1"/>
    <col min="10254" max="10254" width="6.42578125" style="105" bestFit="1" customWidth="1"/>
    <col min="10255" max="10256" width="8.42578125" style="105"/>
    <col min="10257" max="10257" width="3.28515625" style="105" customWidth="1"/>
    <col min="10258" max="10496" width="8.42578125" style="105"/>
    <col min="10497" max="10497" width="10" style="105" bestFit="1" customWidth="1"/>
    <col min="10498" max="10498" width="44.28515625" style="105" bestFit="1" customWidth="1"/>
    <col min="10499" max="10499" width="10.42578125" style="105" bestFit="1" customWidth="1"/>
    <col min="10500" max="10500" width="10.42578125" style="105" customWidth="1"/>
    <col min="10501" max="10501" width="9.7109375" style="105" bestFit="1" customWidth="1"/>
    <col min="10502" max="10503" width="9.5703125" style="105" bestFit="1" customWidth="1"/>
    <col min="10504" max="10504" width="10.42578125" style="105" bestFit="1" customWidth="1"/>
    <col min="10505" max="10505" width="4.5703125" style="105" customWidth="1"/>
    <col min="10506" max="10506" width="1.85546875" style="105" customWidth="1"/>
    <col min="10507" max="10507" width="7" style="105" bestFit="1" customWidth="1"/>
    <col min="10508" max="10508" width="6.28515625" style="105" customWidth="1"/>
    <col min="10509" max="10509" width="20.42578125" style="105" customWidth="1"/>
    <col min="10510" max="10510" width="6.42578125" style="105" bestFit="1" customWidth="1"/>
    <col min="10511" max="10512" width="8.42578125" style="105"/>
    <col min="10513" max="10513" width="3.28515625" style="105" customWidth="1"/>
    <col min="10514" max="10752" width="8.42578125" style="105"/>
    <col min="10753" max="10753" width="10" style="105" bestFit="1" customWidth="1"/>
    <col min="10754" max="10754" width="44.28515625" style="105" bestFit="1" customWidth="1"/>
    <col min="10755" max="10755" width="10.42578125" style="105" bestFit="1" customWidth="1"/>
    <col min="10756" max="10756" width="10.42578125" style="105" customWidth="1"/>
    <col min="10757" max="10757" width="9.7109375" style="105" bestFit="1" customWidth="1"/>
    <col min="10758" max="10759" width="9.5703125" style="105" bestFit="1" customWidth="1"/>
    <col min="10760" max="10760" width="10.42578125" style="105" bestFit="1" customWidth="1"/>
    <col min="10761" max="10761" width="4.5703125" style="105" customWidth="1"/>
    <col min="10762" max="10762" width="1.85546875" style="105" customWidth="1"/>
    <col min="10763" max="10763" width="7" style="105" bestFit="1" customWidth="1"/>
    <col min="10764" max="10764" width="6.28515625" style="105" customWidth="1"/>
    <col min="10765" max="10765" width="20.42578125" style="105" customWidth="1"/>
    <col min="10766" max="10766" width="6.42578125" style="105" bestFit="1" customWidth="1"/>
    <col min="10767" max="10768" width="8.42578125" style="105"/>
    <col min="10769" max="10769" width="3.28515625" style="105" customWidth="1"/>
    <col min="10770" max="11008" width="8.42578125" style="105"/>
    <col min="11009" max="11009" width="10" style="105" bestFit="1" customWidth="1"/>
    <col min="11010" max="11010" width="44.28515625" style="105" bestFit="1" customWidth="1"/>
    <col min="11011" max="11011" width="10.42578125" style="105" bestFit="1" customWidth="1"/>
    <col min="11012" max="11012" width="10.42578125" style="105" customWidth="1"/>
    <col min="11013" max="11013" width="9.7109375" style="105" bestFit="1" customWidth="1"/>
    <col min="11014" max="11015" width="9.5703125" style="105" bestFit="1" customWidth="1"/>
    <col min="11016" max="11016" width="10.42578125" style="105" bestFit="1" customWidth="1"/>
    <col min="11017" max="11017" width="4.5703125" style="105" customWidth="1"/>
    <col min="11018" max="11018" width="1.85546875" style="105" customWidth="1"/>
    <col min="11019" max="11019" width="7" style="105" bestFit="1" customWidth="1"/>
    <col min="11020" max="11020" width="6.28515625" style="105" customWidth="1"/>
    <col min="11021" max="11021" width="20.42578125" style="105" customWidth="1"/>
    <col min="11022" max="11022" width="6.42578125" style="105" bestFit="1" customWidth="1"/>
    <col min="11023" max="11024" width="8.42578125" style="105"/>
    <col min="11025" max="11025" width="3.28515625" style="105" customWidth="1"/>
    <col min="11026" max="11264" width="8.42578125" style="105"/>
    <col min="11265" max="11265" width="10" style="105" bestFit="1" customWidth="1"/>
    <col min="11266" max="11266" width="44.28515625" style="105" bestFit="1" customWidth="1"/>
    <col min="11267" max="11267" width="10.42578125" style="105" bestFit="1" customWidth="1"/>
    <col min="11268" max="11268" width="10.42578125" style="105" customWidth="1"/>
    <col min="11269" max="11269" width="9.7109375" style="105" bestFit="1" customWidth="1"/>
    <col min="11270" max="11271" width="9.5703125" style="105" bestFit="1" customWidth="1"/>
    <col min="11272" max="11272" width="10.42578125" style="105" bestFit="1" customWidth="1"/>
    <col min="11273" max="11273" width="4.5703125" style="105" customWidth="1"/>
    <col min="11274" max="11274" width="1.85546875" style="105" customWidth="1"/>
    <col min="11275" max="11275" width="7" style="105" bestFit="1" customWidth="1"/>
    <col min="11276" max="11276" width="6.28515625" style="105" customWidth="1"/>
    <col min="11277" max="11277" width="20.42578125" style="105" customWidth="1"/>
    <col min="11278" max="11278" width="6.42578125" style="105" bestFit="1" customWidth="1"/>
    <col min="11279" max="11280" width="8.42578125" style="105"/>
    <col min="11281" max="11281" width="3.28515625" style="105" customWidth="1"/>
    <col min="11282" max="11520" width="8.42578125" style="105"/>
    <col min="11521" max="11521" width="10" style="105" bestFit="1" customWidth="1"/>
    <col min="11522" max="11522" width="44.28515625" style="105" bestFit="1" customWidth="1"/>
    <col min="11523" max="11523" width="10.42578125" style="105" bestFit="1" customWidth="1"/>
    <col min="11524" max="11524" width="10.42578125" style="105" customWidth="1"/>
    <col min="11525" max="11525" width="9.7109375" style="105" bestFit="1" customWidth="1"/>
    <col min="11526" max="11527" width="9.5703125" style="105" bestFit="1" customWidth="1"/>
    <col min="11528" max="11528" width="10.42578125" style="105" bestFit="1" customWidth="1"/>
    <col min="11529" max="11529" width="4.5703125" style="105" customWidth="1"/>
    <col min="11530" max="11530" width="1.85546875" style="105" customWidth="1"/>
    <col min="11531" max="11531" width="7" style="105" bestFit="1" customWidth="1"/>
    <col min="11532" max="11532" width="6.28515625" style="105" customWidth="1"/>
    <col min="11533" max="11533" width="20.42578125" style="105" customWidth="1"/>
    <col min="11534" max="11534" width="6.42578125" style="105" bestFit="1" customWidth="1"/>
    <col min="11535" max="11536" width="8.42578125" style="105"/>
    <col min="11537" max="11537" width="3.28515625" style="105" customWidth="1"/>
    <col min="11538" max="11776" width="8.42578125" style="105"/>
    <col min="11777" max="11777" width="10" style="105" bestFit="1" customWidth="1"/>
    <col min="11778" max="11778" width="44.28515625" style="105" bestFit="1" customWidth="1"/>
    <col min="11779" max="11779" width="10.42578125" style="105" bestFit="1" customWidth="1"/>
    <col min="11780" max="11780" width="10.42578125" style="105" customWidth="1"/>
    <col min="11781" max="11781" width="9.7109375" style="105" bestFit="1" customWidth="1"/>
    <col min="11782" max="11783" width="9.5703125" style="105" bestFit="1" customWidth="1"/>
    <col min="11784" max="11784" width="10.42578125" style="105" bestFit="1" customWidth="1"/>
    <col min="11785" max="11785" width="4.5703125" style="105" customWidth="1"/>
    <col min="11786" max="11786" width="1.85546875" style="105" customWidth="1"/>
    <col min="11787" max="11787" width="7" style="105" bestFit="1" customWidth="1"/>
    <col min="11788" max="11788" width="6.28515625" style="105" customWidth="1"/>
    <col min="11789" max="11789" width="20.42578125" style="105" customWidth="1"/>
    <col min="11790" max="11790" width="6.42578125" style="105" bestFit="1" customWidth="1"/>
    <col min="11791" max="11792" width="8.42578125" style="105"/>
    <col min="11793" max="11793" width="3.28515625" style="105" customWidth="1"/>
    <col min="11794" max="12032" width="8.42578125" style="105"/>
    <col min="12033" max="12033" width="10" style="105" bestFit="1" customWidth="1"/>
    <col min="12034" max="12034" width="44.28515625" style="105" bestFit="1" customWidth="1"/>
    <col min="12035" max="12035" width="10.42578125" style="105" bestFit="1" customWidth="1"/>
    <col min="12036" max="12036" width="10.42578125" style="105" customWidth="1"/>
    <col min="12037" max="12037" width="9.7109375" style="105" bestFit="1" customWidth="1"/>
    <col min="12038" max="12039" width="9.5703125" style="105" bestFit="1" customWidth="1"/>
    <col min="12040" max="12040" width="10.42578125" style="105" bestFit="1" customWidth="1"/>
    <col min="12041" max="12041" width="4.5703125" style="105" customWidth="1"/>
    <col min="12042" max="12042" width="1.85546875" style="105" customWidth="1"/>
    <col min="12043" max="12043" width="7" style="105" bestFit="1" customWidth="1"/>
    <col min="12044" max="12044" width="6.28515625" style="105" customWidth="1"/>
    <col min="12045" max="12045" width="20.42578125" style="105" customWidth="1"/>
    <col min="12046" max="12046" width="6.42578125" style="105" bestFit="1" customWidth="1"/>
    <col min="12047" max="12048" width="8.42578125" style="105"/>
    <col min="12049" max="12049" width="3.28515625" style="105" customWidth="1"/>
    <col min="12050" max="12288" width="8.42578125" style="105"/>
    <col min="12289" max="12289" width="10" style="105" bestFit="1" customWidth="1"/>
    <col min="12290" max="12290" width="44.28515625" style="105" bestFit="1" customWidth="1"/>
    <col min="12291" max="12291" width="10.42578125" style="105" bestFit="1" customWidth="1"/>
    <col min="12292" max="12292" width="10.42578125" style="105" customWidth="1"/>
    <col min="12293" max="12293" width="9.7109375" style="105" bestFit="1" customWidth="1"/>
    <col min="12294" max="12295" width="9.5703125" style="105" bestFit="1" customWidth="1"/>
    <col min="12296" max="12296" width="10.42578125" style="105" bestFit="1" customWidth="1"/>
    <col min="12297" max="12297" width="4.5703125" style="105" customWidth="1"/>
    <col min="12298" max="12298" width="1.85546875" style="105" customWidth="1"/>
    <col min="12299" max="12299" width="7" style="105" bestFit="1" customWidth="1"/>
    <col min="12300" max="12300" width="6.28515625" style="105" customWidth="1"/>
    <col min="12301" max="12301" width="20.42578125" style="105" customWidth="1"/>
    <col min="12302" max="12302" width="6.42578125" style="105" bestFit="1" customWidth="1"/>
    <col min="12303" max="12304" width="8.42578125" style="105"/>
    <col min="12305" max="12305" width="3.28515625" style="105" customWidth="1"/>
    <col min="12306" max="12544" width="8.42578125" style="105"/>
    <col min="12545" max="12545" width="10" style="105" bestFit="1" customWidth="1"/>
    <col min="12546" max="12546" width="44.28515625" style="105" bestFit="1" customWidth="1"/>
    <col min="12547" max="12547" width="10.42578125" style="105" bestFit="1" customWidth="1"/>
    <col min="12548" max="12548" width="10.42578125" style="105" customWidth="1"/>
    <col min="12549" max="12549" width="9.7109375" style="105" bestFit="1" customWidth="1"/>
    <col min="12550" max="12551" width="9.5703125" style="105" bestFit="1" customWidth="1"/>
    <col min="12552" max="12552" width="10.42578125" style="105" bestFit="1" customWidth="1"/>
    <col min="12553" max="12553" width="4.5703125" style="105" customWidth="1"/>
    <col min="12554" max="12554" width="1.85546875" style="105" customWidth="1"/>
    <col min="12555" max="12555" width="7" style="105" bestFit="1" customWidth="1"/>
    <col min="12556" max="12556" width="6.28515625" style="105" customWidth="1"/>
    <col min="12557" max="12557" width="20.42578125" style="105" customWidth="1"/>
    <col min="12558" max="12558" width="6.42578125" style="105" bestFit="1" customWidth="1"/>
    <col min="12559" max="12560" width="8.42578125" style="105"/>
    <col min="12561" max="12561" width="3.28515625" style="105" customWidth="1"/>
    <col min="12562" max="12800" width="8.42578125" style="105"/>
    <col min="12801" max="12801" width="10" style="105" bestFit="1" customWidth="1"/>
    <col min="12802" max="12802" width="44.28515625" style="105" bestFit="1" customWidth="1"/>
    <col min="12803" max="12803" width="10.42578125" style="105" bestFit="1" customWidth="1"/>
    <col min="12804" max="12804" width="10.42578125" style="105" customWidth="1"/>
    <col min="12805" max="12805" width="9.7109375" style="105" bestFit="1" customWidth="1"/>
    <col min="12806" max="12807" width="9.5703125" style="105" bestFit="1" customWidth="1"/>
    <col min="12808" max="12808" width="10.42578125" style="105" bestFit="1" customWidth="1"/>
    <col min="12809" max="12809" width="4.5703125" style="105" customWidth="1"/>
    <col min="12810" max="12810" width="1.85546875" style="105" customWidth="1"/>
    <col min="12811" max="12811" width="7" style="105" bestFit="1" customWidth="1"/>
    <col min="12812" max="12812" width="6.28515625" style="105" customWidth="1"/>
    <col min="12813" max="12813" width="20.42578125" style="105" customWidth="1"/>
    <col min="12814" max="12814" width="6.42578125" style="105" bestFit="1" customWidth="1"/>
    <col min="12815" max="12816" width="8.42578125" style="105"/>
    <col min="12817" max="12817" width="3.28515625" style="105" customWidth="1"/>
    <col min="12818" max="13056" width="8.42578125" style="105"/>
    <col min="13057" max="13057" width="10" style="105" bestFit="1" customWidth="1"/>
    <col min="13058" max="13058" width="44.28515625" style="105" bestFit="1" customWidth="1"/>
    <col min="13059" max="13059" width="10.42578125" style="105" bestFit="1" customWidth="1"/>
    <col min="13060" max="13060" width="10.42578125" style="105" customWidth="1"/>
    <col min="13061" max="13061" width="9.7109375" style="105" bestFit="1" customWidth="1"/>
    <col min="13062" max="13063" width="9.5703125" style="105" bestFit="1" customWidth="1"/>
    <col min="13064" max="13064" width="10.42578125" style="105" bestFit="1" customWidth="1"/>
    <col min="13065" max="13065" width="4.5703125" style="105" customWidth="1"/>
    <col min="13066" max="13066" width="1.85546875" style="105" customWidth="1"/>
    <col min="13067" max="13067" width="7" style="105" bestFit="1" customWidth="1"/>
    <col min="13068" max="13068" width="6.28515625" style="105" customWidth="1"/>
    <col min="13069" max="13069" width="20.42578125" style="105" customWidth="1"/>
    <col min="13070" max="13070" width="6.42578125" style="105" bestFit="1" customWidth="1"/>
    <col min="13071" max="13072" width="8.42578125" style="105"/>
    <col min="13073" max="13073" width="3.28515625" style="105" customWidth="1"/>
    <col min="13074" max="13312" width="8.42578125" style="105"/>
    <col min="13313" max="13313" width="10" style="105" bestFit="1" customWidth="1"/>
    <col min="13314" max="13314" width="44.28515625" style="105" bestFit="1" customWidth="1"/>
    <col min="13315" max="13315" width="10.42578125" style="105" bestFit="1" customWidth="1"/>
    <col min="13316" max="13316" width="10.42578125" style="105" customWidth="1"/>
    <col min="13317" max="13317" width="9.7109375" style="105" bestFit="1" customWidth="1"/>
    <col min="13318" max="13319" width="9.5703125" style="105" bestFit="1" customWidth="1"/>
    <col min="13320" max="13320" width="10.42578125" style="105" bestFit="1" customWidth="1"/>
    <col min="13321" max="13321" width="4.5703125" style="105" customWidth="1"/>
    <col min="13322" max="13322" width="1.85546875" style="105" customWidth="1"/>
    <col min="13323" max="13323" width="7" style="105" bestFit="1" customWidth="1"/>
    <col min="13324" max="13324" width="6.28515625" style="105" customWidth="1"/>
    <col min="13325" max="13325" width="20.42578125" style="105" customWidth="1"/>
    <col min="13326" max="13326" width="6.42578125" style="105" bestFit="1" customWidth="1"/>
    <col min="13327" max="13328" width="8.42578125" style="105"/>
    <col min="13329" max="13329" width="3.28515625" style="105" customWidth="1"/>
    <col min="13330" max="13568" width="8.42578125" style="105"/>
    <col min="13569" max="13569" width="10" style="105" bestFit="1" customWidth="1"/>
    <col min="13570" max="13570" width="44.28515625" style="105" bestFit="1" customWidth="1"/>
    <col min="13571" max="13571" width="10.42578125" style="105" bestFit="1" customWidth="1"/>
    <col min="13572" max="13572" width="10.42578125" style="105" customWidth="1"/>
    <col min="13573" max="13573" width="9.7109375" style="105" bestFit="1" customWidth="1"/>
    <col min="13574" max="13575" width="9.5703125" style="105" bestFit="1" customWidth="1"/>
    <col min="13576" max="13576" width="10.42578125" style="105" bestFit="1" customWidth="1"/>
    <col min="13577" max="13577" width="4.5703125" style="105" customWidth="1"/>
    <col min="13578" max="13578" width="1.85546875" style="105" customWidth="1"/>
    <col min="13579" max="13579" width="7" style="105" bestFit="1" customWidth="1"/>
    <col min="13580" max="13580" width="6.28515625" style="105" customWidth="1"/>
    <col min="13581" max="13581" width="20.42578125" style="105" customWidth="1"/>
    <col min="13582" max="13582" width="6.42578125" style="105" bestFit="1" customWidth="1"/>
    <col min="13583" max="13584" width="8.42578125" style="105"/>
    <col min="13585" max="13585" width="3.28515625" style="105" customWidth="1"/>
    <col min="13586" max="13824" width="8.42578125" style="105"/>
    <col min="13825" max="13825" width="10" style="105" bestFit="1" customWidth="1"/>
    <col min="13826" max="13826" width="44.28515625" style="105" bestFit="1" customWidth="1"/>
    <col min="13827" max="13827" width="10.42578125" style="105" bestFit="1" customWidth="1"/>
    <col min="13828" max="13828" width="10.42578125" style="105" customWidth="1"/>
    <col min="13829" max="13829" width="9.7109375" style="105" bestFit="1" customWidth="1"/>
    <col min="13830" max="13831" width="9.5703125" style="105" bestFit="1" customWidth="1"/>
    <col min="13832" max="13832" width="10.42578125" style="105" bestFit="1" customWidth="1"/>
    <col min="13833" max="13833" width="4.5703125" style="105" customWidth="1"/>
    <col min="13834" max="13834" width="1.85546875" style="105" customWidth="1"/>
    <col min="13835" max="13835" width="7" style="105" bestFit="1" customWidth="1"/>
    <col min="13836" max="13836" width="6.28515625" style="105" customWidth="1"/>
    <col min="13837" max="13837" width="20.42578125" style="105" customWidth="1"/>
    <col min="13838" max="13838" width="6.42578125" style="105" bestFit="1" customWidth="1"/>
    <col min="13839" max="13840" width="8.42578125" style="105"/>
    <col min="13841" max="13841" width="3.28515625" style="105" customWidth="1"/>
    <col min="13842" max="14080" width="8.42578125" style="105"/>
    <col min="14081" max="14081" width="10" style="105" bestFit="1" customWidth="1"/>
    <col min="14082" max="14082" width="44.28515625" style="105" bestFit="1" customWidth="1"/>
    <col min="14083" max="14083" width="10.42578125" style="105" bestFit="1" customWidth="1"/>
    <col min="14084" max="14084" width="10.42578125" style="105" customWidth="1"/>
    <col min="14085" max="14085" width="9.7109375" style="105" bestFit="1" customWidth="1"/>
    <col min="14086" max="14087" width="9.5703125" style="105" bestFit="1" customWidth="1"/>
    <col min="14088" max="14088" width="10.42578125" style="105" bestFit="1" customWidth="1"/>
    <col min="14089" max="14089" width="4.5703125" style="105" customWidth="1"/>
    <col min="14090" max="14090" width="1.85546875" style="105" customWidth="1"/>
    <col min="14091" max="14091" width="7" style="105" bestFit="1" customWidth="1"/>
    <col min="14092" max="14092" width="6.28515625" style="105" customWidth="1"/>
    <col min="14093" max="14093" width="20.42578125" style="105" customWidth="1"/>
    <col min="14094" max="14094" width="6.42578125" style="105" bestFit="1" customWidth="1"/>
    <col min="14095" max="14096" width="8.42578125" style="105"/>
    <col min="14097" max="14097" width="3.28515625" style="105" customWidth="1"/>
    <col min="14098" max="14336" width="8.42578125" style="105"/>
    <col min="14337" max="14337" width="10" style="105" bestFit="1" customWidth="1"/>
    <col min="14338" max="14338" width="44.28515625" style="105" bestFit="1" customWidth="1"/>
    <col min="14339" max="14339" width="10.42578125" style="105" bestFit="1" customWidth="1"/>
    <col min="14340" max="14340" width="10.42578125" style="105" customWidth="1"/>
    <col min="14341" max="14341" width="9.7109375" style="105" bestFit="1" customWidth="1"/>
    <col min="14342" max="14343" width="9.5703125" style="105" bestFit="1" customWidth="1"/>
    <col min="14344" max="14344" width="10.42578125" style="105" bestFit="1" customWidth="1"/>
    <col min="14345" max="14345" width="4.5703125" style="105" customWidth="1"/>
    <col min="14346" max="14346" width="1.85546875" style="105" customWidth="1"/>
    <col min="14347" max="14347" width="7" style="105" bestFit="1" customWidth="1"/>
    <col min="14348" max="14348" width="6.28515625" style="105" customWidth="1"/>
    <col min="14349" max="14349" width="20.42578125" style="105" customWidth="1"/>
    <col min="14350" max="14350" width="6.42578125" style="105" bestFit="1" customWidth="1"/>
    <col min="14351" max="14352" width="8.42578125" style="105"/>
    <col min="14353" max="14353" width="3.28515625" style="105" customWidth="1"/>
    <col min="14354" max="14592" width="8.42578125" style="105"/>
    <col min="14593" max="14593" width="10" style="105" bestFit="1" customWidth="1"/>
    <col min="14594" max="14594" width="44.28515625" style="105" bestFit="1" customWidth="1"/>
    <col min="14595" max="14595" width="10.42578125" style="105" bestFit="1" customWidth="1"/>
    <col min="14596" max="14596" width="10.42578125" style="105" customWidth="1"/>
    <col min="14597" max="14597" width="9.7109375" style="105" bestFit="1" customWidth="1"/>
    <col min="14598" max="14599" width="9.5703125" style="105" bestFit="1" customWidth="1"/>
    <col min="14600" max="14600" width="10.42578125" style="105" bestFit="1" customWidth="1"/>
    <col min="14601" max="14601" width="4.5703125" style="105" customWidth="1"/>
    <col min="14602" max="14602" width="1.85546875" style="105" customWidth="1"/>
    <col min="14603" max="14603" width="7" style="105" bestFit="1" customWidth="1"/>
    <col min="14604" max="14604" width="6.28515625" style="105" customWidth="1"/>
    <col min="14605" max="14605" width="20.42578125" style="105" customWidth="1"/>
    <col min="14606" max="14606" width="6.42578125" style="105" bestFit="1" customWidth="1"/>
    <col min="14607" max="14608" width="8.42578125" style="105"/>
    <col min="14609" max="14609" width="3.28515625" style="105" customWidth="1"/>
    <col min="14610" max="14848" width="8.42578125" style="105"/>
    <col min="14849" max="14849" width="10" style="105" bestFit="1" customWidth="1"/>
    <col min="14850" max="14850" width="44.28515625" style="105" bestFit="1" customWidth="1"/>
    <col min="14851" max="14851" width="10.42578125" style="105" bestFit="1" customWidth="1"/>
    <col min="14852" max="14852" width="10.42578125" style="105" customWidth="1"/>
    <col min="14853" max="14853" width="9.7109375" style="105" bestFit="1" customWidth="1"/>
    <col min="14854" max="14855" width="9.5703125" style="105" bestFit="1" customWidth="1"/>
    <col min="14856" max="14856" width="10.42578125" style="105" bestFit="1" customWidth="1"/>
    <col min="14857" max="14857" width="4.5703125" style="105" customWidth="1"/>
    <col min="14858" max="14858" width="1.85546875" style="105" customWidth="1"/>
    <col min="14859" max="14859" width="7" style="105" bestFit="1" customWidth="1"/>
    <col min="14860" max="14860" width="6.28515625" style="105" customWidth="1"/>
    <col min="14861" max="14861" width="20.42578125" style="105" customWidth="1"/>
    <col min="14862" max="14862" width="6.42578125" style="105" bestFit="1" customWidth="1"/>
    <col min="14863" max="14864" width="8.42578125" style="105"/>
    <col min="14865" max="14865" width="3.28515625" style="105" customWidth="1"/>
    <col min="14866" max="15104" width="8.42578125" style="105"/>
    <col min="15105" max="15105" width="10" style="105" bestFit="1" customWidth="1"/>
    <col min="15106" max="15106" width="44.28515625" style="105" bestFit="1" customWidth="1"/>
    <col min="15107" max="15107" width="10.42578125" style="105" bestFit="1" customWidth="1"/>
    <col min="15108" max="15108" width="10.42578125" style="105" customWidth="1"/>
    <col min="15109" max="15109" width="9.7109375" style="105" bestFit="1" customWidth="1"/>
    <col min="15110" max="15111" width="9.5703125" style="105" bestFit="1" customWidth="1"/>
    <col min="15112" max="15112" width="10.42578125" style="105" bestFit="1" customWidth="1"/>
    <col min="15113" max="15113" width="4.5703125" style="105" customWidth="1"/>
    <col min="15114" max="15114" width="1.85546875" style="105" customWidth="1"/>
    <col min="15115" max="15115" width="7" style="105" bestFit="1" customWidth="1"/>
    <col min="15116" max="15116" width="6.28515625" style="105" customWidth="1"/>
    <col min="15117" max="15117" width="20.42578125" style="105" customWidth="1"/>
    <col min="15118" max="15118" width="6.42578125" style="105" bestFit="1" customWidth="1"/>
    <col min="15119" max="15120" width="8.42578125" style="105"/>
    <col min="15121" max="15121" width="3.28515625" style="105" customWidth="1"/>
    <col min="15122" max="15360" width="8.42578125" style="105"/>
    <col min="15361" max="15361" width="10" style="105" bestFit="1" customWidth="1"/>
    <col min="15362" max="15362" width="44.28515625" style="105" bestFit="1" customWidth="1"/>
    <col min="15363" max="15363" width="10.42578125" style="105" bestFit="1" customWidth="1"/>
    <col min="15364" max="15364" width="10.42578125" style="105" customWidth="1"/>
    <col min="15365" max="15365" width="9.7109375" style="105" bestFit="1" customWidth="1"/>
    <col min="15366" max="15367" width="9.5703125" style="105" bestFit="1" customWidth="1"/>
    <col min="15368" max="15368" width="10.42578125" style="105" bestFit="1" customWidth="1"/>
    <col min="15369" max="15369" width="4.5703125" style="105" customWidth="1"/>
    <col min="15370" max="15370" width="1.85546875" style="105" customWidth="1"/>
    <col min="15371" max="15371" width="7" style="105" bestFit="1" customWidth="1"/>
    <col min="15372" max="15372" width="6.28515625" style="105" customWidth="1"/>
    <col min="15373" max="15373" width="20.42578125" style="105" customWidth="1"/>
    <col min="15374" max="15374" width="6.42578125" style="105" bestFit="1" customWidth="1"/>
    <col min="15375" max="15376" width="8.42578125" style="105"/>
    <col min="15377" max="15377" width="3.28515625" style="105" customWidth="1"/>
    <col min="15378" max="15616" width="8.42578125" style="105"/>
    <col min="15617" max="15617" width="10" style="105" bestFit="1" customWidth="1"/>
    <col min="15618" max="15618" width="44.28515625" style="105" bestFit="1" customWidth="1"/>
    <col min="15619" max="15619" width="10.42578125" style="105" bestFit="1" customWidth="1"/>
    <col min="15620" max="15620" width="10.42578125" style="105" customWidth="1"/>
    <col min="15621" max="15621" width="9.7109375" style="105" bestFit="1" customWidth="1"/>
    <col min="15622" max="15623" width="9.5703125" style="105" bestFit="1" customWidth="1"/>
    <col min="15624" max="15624" width="10.42578125" style="105" bestFit="1" customWidth="1"/>
    <col min="15625" max="15625" width="4.5703125" style="105" customWidth="1"/>
    <col min="15626" max="15626" width="1.85546875" style="105" customWidth="1"/>
    <col min="15627" max="15627" width="7" style="105" bestFit="1" customWidth="1"/>
    <col min="15628" max="15628" width="6.28515625" style="105" customWidth="1"/>
    <col min="15629" max="15629" width="20.42578125" style="105" customWidth="1"/>
    <col min="15630" max="15630" width="6.42578125" style="105" bestFit="1" customWidth="1"/>
    <col min="15631" max="15632" width="8.42578125" style="105"/>
    <col min="15633" max="15633" width="3.28515625" style="105" customWidth="1"/>
    <col min="15634" max="15872" width="8.42578125" style="105"/>
    <col min="15873" max="15873" width="10" style="105" bestFit="1" customWidth="1"/>
    <col min="15874" max="15874" width="44.28515625" style="105" bestFit="1" customWidth="1"/>
    <col min="15875" max="15875" width="10.42578125" style="105" bestFit="1" customWidth="1"/>
    <col min="15876" max="15876" width="10.42578125" style="105" customWidth="1"/>
    <col min="15877" max="15877" width="9.7109375" style="105" bestFit="1" customWidth="1"/>
    <col min="15878" max="15879" width="9.5703125" style="105" bestFit="1" customWidth="1"/>
    <col min="15880" max="15880" width="10.42578125" style="105" bestFit="1" customWidth="1"/>
    <col min="15881" max="15881" width="4.5703125" style="105" customWidth="1"/>
    <col min="15882" max="15882" width="1.85546875" style="105" customWidth="1"/>
    <col min="15883" max="15883" width="7" style="105" bestFit="1" customWidth="1"/>
    <col min="15884" max="15884" width="6.28515625" style="105" customWidth="1"/>
    <col min="15885" max="15885" width="20.42578125" style="105" customWidth="1"/>
    <col min="15886" max="15886" width="6.42578125" style="105" bestFit="1" customWidth="1"/>
    <col min="15887" max="15888" width="8.42578125" style="105"/>
    <col min="15889" max="15889" width="3.28515625" style="105" customWidth="1"/>
    <col min="15890" max="16128" width="8.42578125" style="105"/>
    <col min="16129" max="16129" width="10" style="105" bestFit="1" customWidth="1"/>
    <col min="16130" max="16130" width="44.28515625" style="105" bestFit="1" customWidth="1"/>
    <col min="16131" max="16131" width="10.42578125" style="105" bestFit="1" customWidth="1"/>
    <col min="16132" max="16132" width="10.42578125" style="105" customWidth="1"/>
    <col min="16133" max="16133" width="9.7109375" style="105" bestFit="1" customWidth="1"/>
    <col min="16134" max="16135" width="9.5703125" style="105" bestFit="1" customWidth="1"/>
    <col min="16136" max="16136" width="10.42578125" style="105" bestFit="1" customWidth="1"/>
    <col min="16137" max="16137" width="4.5703125" style="105" customWidth="1"/>
    <col min="16138" max="16138" width="1.85546875" style="105" customWidth="1"/>
    <col min="16139" max="16139" width="7" style="105" bestFit="1" customWidth="1"/>
    <col min="16140" max="16140" width="6.28515625" style="105" customWidth="1"/>
    <col min="16141" max="16141" width="20.42578125" style="105" customWidth="1"/>
    <col min="16142" max="16142" width="6.42578125" style="105" bestFit="1" customWidth="1"/>
    <col min="16143" max="16144" width="8.42578125" style="105"/>
    <col min="16145" max="16145" width="3.28515625" style="105" customWidth="1"/>
    <col min="16146" max="16384" width="8.42578125" style="105"/>
  </cols>
  <sheetData>
    <row r="1" spans="1:13" ht="27.75" customHeight="1" x14ac:dyDescent="0.25">
      <c r="A1" s="100"/>
      <c r="B1" s="100"/>
      <c r="C1" s="100"/>
      <c r="D1" s="100"/>
      <c r="E1" s="101" t="s">
        <v>120</v>
      </c>
      <c r="F1" s="102" t="s">
        <v>121</v>
      </c>
      <c r="G1" s="102" t="s">
        <v>122</v>
      </c>
      <c r="H1" s="102" t="s">
        <v>123</v>
      </c>
      <c r="I1" s="103"/>
    </row>
    <row r="2" spans="1:13" ht="30.75" customHeight="1" x14ac:dyDescent="0.25">
      <c r="A2" s="100"/>
      <c r="B2" s="100"/>
      <c r="C2" s="100"/>
      <c r="D2" s="100"/>
      <c r="E2" s="106">
        <f>IFERROR(O62,"")</f>
        <v>5617.2605595206542</v>
      </c>
      <c r="F2" s="106">
        <f>IFERROR(H53,"")</f>
        <v>3528.757356521739</v>
      </c>
      <c r="G2" s="106">
        <f>IFERROR(H54,"")</f>
        <v>540.32823622000024</v>
      </c>
      <c r="H2" s="106">
        <f>IFERROR(H56,"")</f>
        <v>793.60229389507435</v>
      </c>
      <c r="I2" s="107"/>
    </row>
    <row r="3" spans="1:13" ht="15" customHeight="1" x14ac:dyDescent="0.25">
      <c r="A3" s="100"/>
      <c r="B3" s="100"/>
      <c r="C3" s="100"/>
      <c r="D3" s="100"/>
      <c r="E3" s="100"/>
      <c r="F3" s="108"/>
      <c r="G3" s="108"/>
      <c r="H3" s="108"/>
      <c r="I3" s="108"/>
    </row>
    <row r="4" spans="1:13" ht="24.75" customHeight="1" thickBot="1" x14ac:dyDescent="0.3">
      <c r="A4" s="522"/>
      <c r="B4" s="522"/>
      <c r="C4" s="522"/>
      <c r="D4" s="522"/>
      <c r="E4" s="522"/>
      <c r="F4" s="522"/>
      <c r="G4" s="522"/>
      <c r="H4" s="522"/>
      <c r="I4" s="109"/>
    </row>
    <row r="5" spans="1:13" ht="19.5" customHeight="1" thickBot="1" x14ac:dyDescent="0.3">
      <c r="A5" s="523" t="s">
        <v>124</v>
      </c>
      <c r="B5" s="524"/>
      <c r="C5" s="524"/>
      <c r="D5" s="524"/>
      <c r="E5" s="524"/>
      <c r="F5" s="524"/>
      <c r="G5" s="524"/>
      <c r="H5" s="525"/>
      <c r="I5" s="110"/>
    </row>
    <row r="6" spans="1:13" ht="19.5" thickBot="1" x14ac:dyDescent="0.3">
      <c r="A6" s="110"/>
      <c r="B6" s="110"/>
      <c r="C6" s="110"/>
      <c r="D6" s="110"/>
      <c r="E6" s="110"/>
      <c r="F6" s="526" t="s">
        <v>125</v>
      </c>
      <c r="G6" s="526"/>
      <c r="H6" s="111">
        <f ca="1">TODAY()</f>
        <v>45715</v>
      </c>
      <c r="I6" s="111"/>
    </row>
    <row r="7" spans="1:13" ht="26.25" thickBot="1" x14ac:dyDescent="0.3">
      <c r="A7" s="112" t="s">
        <v>126</v>
      </c>
      <c r="B7" s="113" t="s">
        <v>127</v>
      </c>
      <c r="C7" s="113" t="s">
        <v>126</v>
      </c>
      <c r="D7" s="114" t="s">
        <v>128</v>
      </c>
      <c r="E7" s="114" t="s">
        <v>129</v>
      </c>
      <c r="F7" s="114" t="s">
        <v>130</v>
      </c>
      <c r="G7" s="114" t="s">
        <v>131</v>
      </c>
      <c r="H7" s="115" t="s">
        <v>132</v>
      </c>
      <c r="I7" s="116"/>
    </row>
    <row r="8" spans="1:13" ht="13.5" x14ac:dyDescent="0.25">
      <c r="A8" s="117">
        <v>5</v>
      </c>
      <c r="B8" s="105" t="s">
        <v>102</v>
      </c>
      <c r="C8" s="118">
        <f>+A8</f>
        <v>5</v>
      </c>
      <c r="D8" s="119" t="s">
        <v>178</v>
      </c>
      <c r="E8" s="119">
        <v>8.35</v>
      </c>
      <c r="F8" s="119">
        <f>IFERROR(C8*E8,"")</f>
        <v>41.75</v>
      </c>
      <c r="G8" s="120">
        <f t="shared" ref="G8:G14" si="0">IFERROR(F8/$F$66,"")</f>
        <v>9.3932928615831097E-3</v>
      </c>
      <c r="H8" s="121" t="s">
        <v>189</v>
      </c>
      <c r="I8" s="121"/>
      <c r="J8" s="122"/>
    </row>
    <row r="9" spans="1:13" ht="13.5" x14ac:dyDescent="0.25">
      <c r="A9" s="117">
        <v>1</v>
      </c>
      <c r="B9" s="105" t="s">
        <v>49</v>
      </c>
      <c r="C9" s="118">
        <f t="shared" ref="C9:C14" si="1">+A9</f>
        <v>1</v>
      </c>
      <c r="D9" s="119" t="s">
        <v>184</v>
      </c>
      <c r="E9" s="119">
        <v>115</v>
      </c>
      <c r="F9" s="119">
        <f t="shared" ref="F9:F14" si="2">IFERROR(C9*E9,"")</f>
        <v>115</v>
      </c>
      <c r="G9" s="120">
        <f t="shared" si="0"/>
        <v>2.5873740816336709E-2</v>
      </c>
      <c r="H9" s="121"/>
      <c r="I9" s="121"/>
      <c r="J9" s="122"/>
    </row>
    <row r="10" spans="1:13" ht="13.5" x14ac:dyDescent="0.25">
      <c r="A10" s="117">
        <v>3</v>
      </c>
      <c r="B10" s="105" t="s">
        <v>50</v>
      </c>
      <c r="C10" s="118">
        <f t="shared" si="1"/>
        <v>3</v>
      </c>
      <c r="D10" s="119" t="s">
        <v>184</v>
      </c>
      <c r="E10" s="119">
        <v>85</v>
      </c>
      <c r="F10" s="119">
        <f t="shared" si="2"/>
        <v>255</v>
      </c>
      <c r="G10" s="120">
        <f t="shared" si="0"/>
        <v>5.7372207897094442E-2</v>
      </c>
      <c r="H10" s="121"/>
      <c r="I10" s="121"/>
      <c r="J10" s="122"/>
    </row>
    <row r="11" spans="1:13" ht="13.5" hidden="1" x14ac:dyDescent="0.25">
      <c r="A11" s="117"/>
      <c r="B11" s="105" t="str">
        <f>IFERROR(VLOOKUP(H11,'[1]Consolidado MP Planta'!$A$2:$M$823,3,0),"")</f>
        <v/>
      </c>
      <c r="C11" s="118">
        <f t="shared" si="1"/>
        <v>0</v>
      </c>
      <c r="D11" s="119" t="str">
        <f>IFERROR(VLOOKUP(H11,'[1]Consolidado MP Planta'!$A$2:$M$823,13,0),"")</f>
        <v/>
      </c>
      <c r="E11" s="119" t="str">
        <f>IFERROR(VLOOKUP(H11,'[1]Consolidado MP Planta'!$A$2:$M$823,12,0),"")</f>
        <v/>
      </c>
      <c r="F11" s="119" t="str">
        <f t="shared" si="2"/>
        <v/>
      </c>
      <c r="G11" s="120" t="str">
        <f t="shared" si="0"/>
        <v/>
      </c>
      <c r="H11" s="121"/>
      <c r="I11" s="121"/>
      <c r="J11" s="122"/>
    </row>
    <row r="12" spans="1:13" ht="13.5" hidden="1" x14ac:dyDescent="0.25">
      <c r="A12" s="117"/>
      <c r="B12" s="105" t="str">
        <f>IFERROR(VLOOKUP(H12,'[1]Consolidado MP Planta'!$A$2:$M$823,3,0),"")</f>
        <v/>
      </c>
      <c r="C12" s="118">
        <f t="shared" si="1"/>
        <v>0</v>
      </c>
      <c r="D12" s="119" t="str">
        <f>IFERROR(VLOOKUP(H12,'[1]Consolidado MP Planta'!$A$2:$M$823,13,0),"")</f>
        <v/>
      </c>
      <c r="E12" s="119" t="str">
        <f>IFERROR(VLOOKUP(H12,'[1]Consolidado MP Planta'!$A$2:$M$823,12,0),"")</f>
        <v/>
      </c>
      <c r="F12" s="119" t="str">
        <f t="shared" si="2"/>
        <v/>
      </c>
      <c r="G12" s="120" t="str">
        <f t="shared" si="0"/>
        <v/>
      </c>
      <c r="H12" s="121"/>
      <c r="I12" s="121"/>
      <c r="J12" s="122"/>
    </row>
    <row r="13" spans="1:13" ht="13.5" hidden="1" x14ac:dyDescent="0.25">
      <c r="A13" s="117"/>
      <c r="B13" s="105" t="str">
        <f>IFERROR(VLOOKUP(H13,'[1]Consolidado MP Planta'!$A$2:$M$823,3,0),"")</f>
        <v/>
      </c>
      <c r="C13" s="118">
        <f t="shared" si="1"/>
        <v>0</v>
      </c>
      <c r="D13" s="119" t="str">
        <f>IFERROR(VLOOKUP(H13,'[1]Consolidado MP Planta'!$A$2:$M$823,13,0),"")</f>
        <v/>
      </c>
      <c r="E13" s="119" t="str">
        <f>IFERROR(VLOOKUP(H13,'[1]Consolidado MP Planta'!$A$2:$M$823,12,0),"")</f>
        <v/>
      </c>
      <c r="F13" s="119" t="str">
        <f t="shared" si="2"/>
        <v/>
      </c>
      <c r="G13" s="120" t="str">
        <f t="shared" si="0"/>
        <v/>
      </c>
      <c r="H13" s="121"/>
      <c r="I13" s="121"/>
      <c r="J13" s="122"/>
    </row>
    <row r="14" spans="1:13" ht="13.5" hidden="1" x14ac:dyDescent="0.25">
      <c r="A14" s="117"/>
      <c r="B14" s="105" t="str">
        <f>IFERROR(VLOOKUP(H14,'[1]Consolidado MP Planta'!$A$2:$M$823,3,0),"")</f>
        <v/>
      </c>
      <c r="C14" s="118">
        <f t="shared" si="1"/>
        <v>0</v>
      </c>
      <c r="D14" s="119" t="str">
        <f>IFERROR(VLOOKUP(H14,'[1]Consolidado MP Planta'!$A$2:$M$823,13,0),"")</f>
        <v/>
      </c>
      <c r="E14" s="119" t="str">
        <f>IFERROR(VLOOKUP(H14,'[1]Consolidado MP Planta'!$A$2:$M$823,12,0),"")</f>
        <v/>
      </c>
      <c r="F14" s="119" t="str">
        <f t="shared" si="2"/>
        <v/>
      </c>
      <c r="G14" s="120" t="str">
        <f t="shared" si="0"/>
        <v/>
      </c>
      <c r="H14" s="121"/>
      <c r="I14" s="121"/>
      <c r="J14" s="122"/>
    </row>
    <row r="15" spans="1:13" ht="14.25" thickBot="1" x14ac:dyDescent="0.3">
      <c r="A15" s="117"/>
      <c r="B15" s="105" t="str">
        <f>IFERROR(VLOOKUP(H15,'[2]ARTICULOS MP PLANTA'!$A$2:$G$589,2,0),"")</f>
        <v/>
      </c>
      <c r="C15" s="118"/>
      <c r="D15" s="119"/>
      <c r="E15" s="119"/>
      <c r="F15" s="119"/>
      <c r="G15" s="120"/>
      <c r="H15" s="121"/>
      <c r="I15" s="121"/>
      <c r="J15" s="122"/>
    </row>
    <row r="16" spans="1:13" ht="26.25" thickBot="1" x14ac:dyDescent="0.3">
      <c r="A16" s="112" t="s">
        <v>126</v>
      </c>
      <c r="B16" s="113" t="s">
        <v>133</v>
      </c>
      <c r="C16" s="113" t="s">
        <v>126</v>
      </c>
      <c r="D16" s="114" t="s">
        <v>128</v>
      </c>
      <c r="E16" s="114" t="s">
        <v>129</v>
      </c>
      <c r="F16" s="114" t="s">
        <v>130</v>
      </c>
      <c r="G16" s="114" t="s">
        <v>131</v>
      </c>
      <c r="H16" s="115" t="s">
        <v>132</v>
      </c>
      <c r="I16" s="116"/>
      <c r="J16" s="122"/>
      <c r="M16" s="105">
        <f>174/1000</f>
        <v>0.17399999999999999</v>
      </c>
    </row>
    <row r="17" spans="1:12" ht="13.5" x14ac:dyDescent="0.25">
      <c r="A17" s="214">
        <v>1</v>
      </c>
      <c r="B17" s="213" t="s">
        <v>88</v>
      </c>
      <c r="C17" s="118">
        <f>+A17</f>
        <v>1</v>
      </c>
      <c r="D17" s="118" t="s">
        <v>183</v>
      </c>
      <c r="E17" s="119">
        <f>+'Costo Rosqute Arr 100'!H53</f>
        <v>187.2</v>
      </c>
      <c r="F17" s="119">
        <f>IFERROR(E17*C17,"")</f>
        <v>187.2</v>
      </c>
      <c r="G17" s="120">
        <f t="shared" ref="G17:G24" si="3">IFERROR(F17/$F$66,"")</f>
        <v>4.2117950267984622E-2</v>
      </c>
      <c r="H17" s="121"/>
      <c r="I17" s="121"/>
      <c r="J17" s="122"/>
    </row>
    <row r="18" spans="1:12" ht="13.5" x14ac:dyDescent="0.25">
      <c r="A18" s="214">
        <v>3</v>
      </c>
      <c r="B18" s="213" t="s">
        <v>89</v>
      </c>
      <c r="C18" s="118">
        <f t="shared" ref="C18:C24" si="4">+A18</f>
        <v>3</v>
      </c>
      <c r="D18" s="118" t="s">
        <v>184</v>
      </c>
      <c r="E18" s="119">
        <f>+'Costo Rosquete Arrollado 80'!H53</f>
        <v>151.79999999999998</v>
      </c>
      <c r="F18" s="119">
        <f t="shared" ref="F18:F24" si="5">IFERROR(E18*C18,"")</f>
        <v>455.4</v>
      </c>
      <c r="G18" s="120">
        <f t="shared" si="3"/>
        <v>0.10246001363269337</v>
      </c>
      <c r="H18" s="121"/>
      <c r="I18" s="121"/>
      <c r="J18" s="122"/>
    </row>
    <row r="19" spans="1:12" ht="13.5" x14ac:dyDescent="0.25">
      <c r="A19" s="214">
        <v>300</v>
      </c>
      <c r="B19" s="213" t="s">
        <v>40</v>
      </c>
      <c r="C19" s="118">
        <f>+A19</f>
        <v>300</v>
      </c>
      <c r="D19" s="118" t="s">
        <v>178</v>
      </c>
      <c r="E19" s="119">
        <f>+'Costo Relleno suspiro'!E69</f>
        <v>2.2121565217391308</v>
      </c>
      <c r="F19" s="119">
        <f>IFERROR(E19*C19,"")</f>
        <v>663.64695652173918</v>
      </c>
      <c r="G19" s="120">
        <f t="shared" si="3"/>
        <v>0.14931329866603615</v>
      </c>
      <c r="H19" s="121"/>
      <c r="I19" s="121"/>
      <c r="J19" s="122"/>
    </row>
    <row r="20" spans="1:12" ht="13.5" x14ac:dyDescent="0.25">
      <c r="A20" s="214">
        <v>90</v>
      </c>
      <c r="B20" s="213" t="str">
        <f>IFERROR(VLOOKUP(H20,[1]SEMIELABORADOS!$A$2:$M$6000,2,0),"")</f>
        <v>ALMIBAR KILO</v>
      </c>
      <c r="C20" s="118">
        <f>+A20</f>
        <v>90</v>
      </c>
      <c r="D20" s="118" t="str">
        <f>IFERROR(VLOOKUP(H20,[1]SEMIELABORADOS!$A$2:$M$6000,6,0),"")</f>
        <v>Gramo</v>
      </c>
      <c r="E20" s="119">
        <v>0.19</v>
      </c>
      <c r="F20" s="119">
        <f>IFERROR(E20*C20,"")</f>
        <v>17.100000000000001</v>
      </c>
      <c r="G20" s="120">
        <f t="shared" si="3"/>
        <v>3.8473127648639806E-3</v>
      </c>
      <c r="H20" s="121" t="s">
        <v>185</v>
      </c>
      <c r="I20" s="121"/>
      <c r="J20" s="122"/>
    </row>
    <row r="21" spans="1:12" ht="13.5" x14ac:dyDescent="0.25">
      <c r="A21" s="214">
        <v>90</v>
      </c>
      <c r="B21" s="213" t="str">
        <f>IFERROR(VLOOKUP(H21,[1]SEMIELABORADOS!$A$2:$M$6000,2,0),"")</f>
        <v>CREMA DULCE LECHE KILO</v>
      </c>
      <c r="C21" s="118">
        <f>+A21</f>
        <v>90</v>
      </c>
      <c r="D21" s="118" t="str">
        <f>IFERROR(VLOOKUP(H21,[1]SEMIELABORADOS!$A$2:$M$6000,6,0),"")</f>
        <v>Gramo</v>
      </c>
      <c r="E21" s="119">
        <v>2.41</v>
      </c>
      <c r="F21" s="119">
        <f>IFERROR(E21*C21,"")</f>
        <v>216.9</v>
      </c>
      <c r="G21" s="120">
        <f t="shared" si="3"/>
        <v>4.8800125070116808E-2</v>
      </c>
      <c r="H21" s="121" t="s">
        <v>187</v>
      </c>
      <c r="I21" s="121"/>
      <c r="J21" s="122"/>
    </row>
    <row r="22" spans="1:12" ht="13.5" x14ac:dyDescent="0.25">
      <c r="A22" s="117">
        <v>50</v>
      </c>
      <c r="B22" s="105" t="str">
        <f>IFERROR(VLOOKUP(H22,[1]SEMIELABORADOS!$A$2:$M$6000,2,0),"")</f>
        <v>PECANA TRITURADA KILO</v>
      </c>
      <c r="C22" s="118">
        <f t="shared" si="4"/>
        <v>50</v>
      </c>
      <c r="D22" s="118" t="str">
        <f>IFERROR(VLOOKUP(H22,[1]SEMIELABORADOS!$A$2:$M$6000,6,0),"")</f>
        <v>Gramo</v>
      </c>
      <c r="E22" s="119">
        <v>8.9499999999999993</v>
      </c>
      <c r="F22" s="119">
        <f t="shared" si="5"/>
        <v>447.49999999999994</v>
      </c>
      <c r="G22" s="120">
        <f t="shared" si="3"/>
        <v>0.10068260013313632</v>
      </c>
      <c r="H22" s="121" t="s">
        <v>188</v>
      </c>
      <c r="I22" s="121"/>
      <c r="J22" s="122"/>
    </row>
    <row r="23" spans="1:12" ht="13.5" x14ac:dyDescent="0.25">
      <c r="A23" s="117">
        <v>530</v>
      </c>
      <c r="B23" s="105" t="s">
        <v>85</v>
      </c>
      <c r="C23" s="118">
        <f t="shared" si="4"/>
        <v>530</v>
      </c>
      <c r="D23" s="118" t="s">
        <v>178</v>
      </c>
      <c r="E23" s="119">
        <f>+'Costo Mousse de Manjar'!E69</f>
        <v>2.1306799999999999</v>
      </c>
      <c r="F23" s="119">
        <f t="shared" si="5"/>
        <v>1129.2603999999999</v>
      </c>
      <c r="G23" s="120">
        <f t="shared" si="3"/>
        <v>0.25407122525002362</v>
      </c>
      <c r="H23" s="121"/>
      <c r="I23" s="121"/>
      <c r="J23" s="122"/>
    </row>
    <row r="24" spans="1:12" ht="13.5" x14ac:dyDescent="0.25">
      <c r="A24" s="117"/>
      <c r="B24" s="105" t="str">
        <f>IFERROR(VLOOKUP(H24,[1]SEMIELABORADOS!$A$2:$M$6000,2,0),"")</f>
        <v/>
      </c>
      <c r="C24" s="118">
        <f t="shared" si="4"/>
        <v>0</v>
      </c>
      <c r="D24" s="118" t="str">
        <f>IFERROR(VLOOKUP(H24,[1]SEMIELABORADOS!$A$2:$M$6000,6,0),"")</f>
        <v/>
      </c>
      <c r="E24" s="119" t="str">
        <f>IFERROR(VLOOKUP(H24,[1]SEMIELABORADOS!$A$2:$H$65536,8,0),"")</f>
        <v/>
      </c>
      <c r="F24" s="119" t="str">
        <f t="shared" si="5"/>
        <v/>
      </c>
      <c r="G24" s="120" t="str">
        <f t="shared" si="3"/>
        <v/>
      </c>
      <c r="H24" s="121"/>
      <c r="I24" s="121"/>
      <c r="J24" s="122"/>
    </row>
    <row r="25" spans="1:12" ht="14.25" thickBot="1" x14ac:dyDescent="0.3">
      <c r="A25" s="117"/>
      <c r="C25" s="118"/>
      <c r="D25" s="118"/>
      <c r="E25" s="119"/>
      <c r="F25" s="119"/>
      <c r="G25" s="120"/>
      <c r="H25" s="121"/>
      <c r="I25" s="121"/>
      <c r="J25" s="122"/>
    </row>
    <row r="26" spans="1:12" ht="26.25" thickBot="1" x14ac:dyDescent="0.3">
      <c r="A26" s="112" t="s">
        <v>126</v>
      </c>
      <c r="B26" s="113" t="s">
        <v>20</v>
      </c>
      <c r="C26" s="113" t="s">
        <v>126</v>
      </c>
      <c r="D26" s="114" t="s">
        <v>128</v>
      </c>
      <c r="E26" s="114" t="s">
        <v>129</v>
      </c>
      <c r="F26" s="114" t="s">
        <v>130</v>
      </c>
      <c r="G26" s="114" t="s">
        <v>131</v>
      </c>
      <c r="H26" s="115" t="s">
        <v>132</v>
      </c>
      <c r="I26" s="116"/>
    </row>
    <row r="27" spans="1:12" ht="13.5" x14ac:dyDescent="0.25">
      <c r="A27" s="117">
        <v>1</v>
      </c>
      <c r="B27" s="123" t="str">
        <f>IFERROR(VLOOKUP(H27,'[1]Consolidado MP Planta'!$A$2:$M$823,3,0),"")</f>
        <v>QUEQUERA RED  BASE/DOMO 10 (CAJA:50)</v>
      </c>
      <c r="C27" s="118">
        <f t="shared" ref="C27:C32" si="6">+A27</f>
        <v>1</v>
      </c>
      <c r="D27" s="119" t="str">
        <f>IFERROR(VLOOKUP(H27,'[1]Consolidado MP Planta'!$A$2:$M$823,13,0),"")</f>
        <v>UND</v>
      </c>
      <c r="E27" s="119">
        <v>385</v>
      </c>
      <c r="F27" s="119">
        <f t="shared" ref="F27:F32" si="7">IFERROR(C27*E27,"")</f>
        <v>385</v>
      </c>
      <c r="G27" s="120">
        <f t="shared" ref="G27:G32" si="8">IFERROR(F27/$F$66,"")</f>
        <v>8.6620784472083767E-2</v>
      </c>
      <c r="H27" s="124" t="s">
        <v>190</v>
      </c>
      <c r="I27" s="124"/>
      <c r="J27" s="122"/>
      <c r="K27" s="516"/>
      <c r="L27" s="516"/>
    </row>
    <row r="28" spans="1:12" ht="13.5" x14ac:dyDescent="0.25">
      <c r="A28" s="117">
        <v>1</v>
      </c>
      <c r="B28" s="123" t="str">
        <f>IFERROR(VLOOKUP(H28,'[1]Consolidado MP Planta'!$A$2:$M$823,3,0),"")</f>
        <v>ORLA CARTON 10" DORADA (UND)</v>
      </c>
      <c r="C28" s="118">
        <f t="shared" si="6"/>
        <v>1</v>
      </c>
      <c r="D28" s="119" t="str">
        <f>IFERROR(VLOOKUP(H28,'[1]Consolidado MP Planta'!$A$2:$M$823,13,0),"")</f>
        <v>Und</v>
      </c>
      <c r="E28" s="119">
        <v>137</v>
      </c>
      <c r="F28" s="119">
        <f t="shared" si="7"/>
        <v>137</v>
      </c>
      <c r="G28" s="120">
        <f t="shared" si="8"/>
        <v>3.082349992902721E-2</v>
      </c>
      <c r="H28" s="124" t="s">
        <v>191</v>
      </c>
      <c r="I28" s="124"/>
      <c r="J28" s="122"/>
      <c r="K28" s="516"/>
      <c r="L28" s="516"/>
    </row>
    <row r="29" spans="1:12" ht="13.5" x14ac:dyDescent="0.25">
      <c r="A29" s="117">
        <v>1</v>
      </c>
      <c r="B29" s="123" t="str">
        <f>IFERROR(VLOOKUP(H29,'[1]Consolidado MP Planta'!$A$2:$M$823,3,0),"")</f>
        <v>ETIQ.BLANCA 1 1/4 * 3/4 (UND)</v>
      </c>
      <c r="C29" s="118">
        <f t="shared" si="6"/>
        <v>1</v>
      </c>
      <c r="D29" s="119" t="str">
        <f>IFERROR(VLOOKUP(H29,'[1]Consolidado MP Planta'!$A$2:$M$823,13,0),"")</f>
        <v>Und</v>
      </c>
      <c r="E29" s="119">
        <f>IFERROR(VLOOKUP(H29,'[1]Consolidado MP Planta'!$A$2:$M$823,12,0),"")</f>
        <v>0.57999999999999996</v>
      </c>
      <c r="F29" s="119">
        <f t="shared" si="7"/>
        <v>0.57999999999999996</v>
      </c>
      <c r="G29" s="120">
        <f t="shared" si="8"/>
        <v>1.3049364933456775E-4</v>
      </c>
      <c r="H29" s="124" t="s">
        <v>192</v>
      </c>
      <c r="I29" s="124"/>
      <c r="J29" s="122"/>
      <c r="K29" s="516"/>
      <c r="L29" s="516"/>
    </row>
    <row r="30" spans="1:12" ht="13.5" x14ac:dyDescent="0.25">
      <c r="A30" s="117">
        <v>60</v>
      </c>
      <c r="B30" s="123" t="str">
        <f>IFERROR(VLOOKUP(H30,'[1]Consolidado MP Planta'!$A$2:$M$823,3,0),"")</f>
        <v>CINTA ADHESIVA TRANSPARENT 2*100 M (UND)</v>
      </c>
      <c r="C30" s="118">
        <f t="shared" si="6"/>
        <v>60</v>
      </c>
      <c r="D30" s="119" t="str">
        <f>IFERROR(VLOOKUP(H30,'[1]Consolidado MP Planta'!$A$2:$M$823,13,0),"")</f>
        <v>Cm</v>
      </c>
      <c r="E30" s="119">
        <f>IFERROR(VLOOKUP(H30,'[1]Consolidado MP Planta'!$A$2:$M$823,12,0),"")</f>
        <v>0.17499999999999999</v>
      </c>
      <c r="F30" s="119">
        <f t="shared" si="7"/>
        <v>10.5</v>
      </c>
      <c r="G30" s="120">
        <f t="shared" si="8"/>
        <v>2.3623850310568301E-3</v>
      </c>
      <c r="H30" s="124" t="s">
        <v>193</v>
      </c>
      <c r="I30" s="124"/>
      <c r="J30" s="122"/>
      <c r="K30" s="516"/>
      <c r="L30" s="516"/>
    </row>
    <row r="31" spans="1:12" ht="13.5" x14ac:dyDescent="0.25">
      <c r="A31" s="117">
        <v>1</v>
      </c>
      <c r="B31" s="123" t="str">
        <f>IFERROR(VLOOKUP(H31,'[1]Consolidado MP Planta'!$A$2:$M$823,3,0),"")</f>
        <v>ETIQUETA BLANCA R-153 (UND)</v>
      </c>
      <c r="C31" s="118">
        <f t="shared" si="6"/>
        <v>1</v>
      </c>
      <c r="D31" s="119" t="str">
        <f>IFERROR(VLOOKUP(H31,'[1]Consolidado MP Planta'!$A$2:$M$823,13,0),"")</f>
        <v>Und</v>
      </c>
      <c r="E31" s="119">
        <f>IFERROR(VLOOKUP(H31,'[1]Consolidado MP Planta'!$A$2:$M$823,12,0),"")</f>
        <v>0.39</v>
      </c>
      <c r="F31" s="119">
        <f t="shared" si="7"/>
        <v>0.39</v>
      </c>
      <c r="G31" s="120">
        <f t="shared" si="8"/>
        <v>8.7745729724967973E-5</v>
      </c>
      <c r="H31" s="124" t="s">
        <v>194</v>
      </c>
      <c r="I31" s="124"/>
      <c r="J31" s="122"/>
      <c r="K31" s="125"/>
      <c r="L31" s="126"/>
    </row>
    <row r="32" spans="1:12" ht="13.5" x14ac:dyDescent="0.25">
      <c r="A32" s="117">
        <v>1</v>
      </c>
      <c r="B32" s="123" t="str">
        <f>IFERROR(VLOOKUP(H32,'[1]Consolidado MP Planta'!$A$2:$M$823,3,0),"")</f>
        <v>ETIQUETA BLANCA 2 5/8X1 15/16 (UND)</v>
      </c>
      <c r="C32" s="118">
        <f t="shared" si="6"/>
        <v>1</v>
      </c>
      <c r="D32" s="119" t="str">
        <f>IFERROR(VLOOKUP(H32,'[1]Consolidado MP Planta'!$A$2:$M$823,13,0),"")</f>
        <v>Und</v>
      </c>
      <c r="E32" s="119">
        <f>IFERROR(VLOOKUP(H32,'[1]Consolidado MP Planta'!$A$2:$M$823,12,0),"")</f>
        <v>2.1280000000000001</v>
      </c>
      <c r="F32" s="119">
        <f t="shared" si="7"/>
        <v>2.1280000000000001</v>
      </c>
      <c r="G32" s="120">
        <f t="shared" si="8"/>
        <v>4.7877669962751758E-4</v>
      </c>
      <c r="H32" s="124" t="s">
        <v>68</v>
      </c>
      <c r="I32" s="124"/>
      <c r="J32" s="122"/>
    </row>
    <row r="33" spans="1:13" ht="14.25" thickBot="1" x14ac:dyDescent="0.3">
      <c r="A33" s="117"/>
      <c r="B33" s="123"/>
      <c r="C33" s="118"/>
      <c r="D33" s="119"/>
      <c r="E33" s="119"/>
      <c r="F33" s="119"/>
      <c r="G33" s="120"/>
      <c r="H33" s="124"/>
      <c r="I33" s="124"/>
      <c r="J33" s="122"/>
    </row>
    <row r="34" spans="1:13" ht="26.25" thickBot="1" x14ac:dyDescent="0.25">
      <c r="A34" s="112" t="s">
        <v>126</v>
      </c>
      <c r="B34" s="113" t="s">
        <v>134</v>
      </c>
      <c r="C34" s="113" t="s">
        <v>126</v>
      </c>
      <c r="D34" s="114" t="s">
        <v>128</v>
      </c>
      <c r="E34" s="114" t="s">
        <v>129</v>
      </c>
      <c r="F34" s="114" t="s">
        <v>130</v>
      </c>
      <c r="G34" s="114" t="s">
        <v>131</v>
      </c>
      <c r="H34" s="115" t="s">
        <v>132</v>
      </c>
      <c r="I34" s="124"/>
      <c r="J34" s="122"/>
    </row>
    <row r="35" spans="1:13" ht="13.5" x14ac:dyDescent="0.25">
      <c r="A35" s="117">
        <f>+A17</f>
        <v>1</v>
      </c>
      <c r="B35" s="123" t="s">
        <v>88</v>
      </c>
      <c r="C35" s="118">
        <f>+A35</f>
        <v>1</v>
      </c>
      <c r="D35" s="119" t="s">
        <v>183</v>
      </c>
      <c r="E35" s="119">
        <f>+'Costo Rosqute Arr 100'!H54</f>
        <v>1.1000000000000001</v>
      </c>
      <c r="F35" s="119">
        <f>IFERROR(E35*C35,"")</f>
        <v>1.1000000000000001</v>
      </c>
      <c r="G35" s="120">
        <f t="shared" ref="G35:G41" si="9">IFERROR(F35/$F$66,"")</f>
        <v>2.4748795563452508E-4</v>
      </c>
      <c r="H35" s="124"/>
      <c r="I35" s="124"/>
      <c r="J35" s="122"/>
    </row>
    <row r="36" spans="1:13" ht="13.5" x14ac:dyDescent="0.25">
      <c r="A36" s="117">
        <f t="shared" ref="A36:A41" si="10">+A18</f>
        <v>3</v>
      </c>
      <c r="B36" s="123" t="s">
        <v>89</v>
      </c>
      <c r="C36" s="118">
        <f t="shared" ref="C36:C41" si="11">+A36</f>
        <v>3</v>
      </c>
      <c r="D36" s="119" t="s">
        <v>183</v>
      </c>
      <c r="E36" s="119">
        <f>+'Costo Rosquete Arrollado 80'!H54</f>
        <v>0.9</v>
      </c>
      <c r="F36" s="119">
        <f t="shared" ref="F36:F41" si="12">IFERROR(E36*C36,"")</f>
        <v>2.7</v>
      </c>
      <c r="G36" s="120">
        <f t="shared" si="9"/>
        <v>6.0747043655747066E-4</v>
      </c>
      <c r="H36" s="124"/>
      <c r="I36" s="124"/>
      <c r="J36" s="122"/>
    </row>
    <row r="37" spans="1:13" ht="13.5" x14ac:dyDescent="0.25">
      <c r="A37" s="117">
        <f t="shared" si="10"/>
        <v>300</v>
      </c>
      <c r="B37" s="123" t="s">
        <v>40</v>
      </c>
      <c r="C37" s="118">
        <f t="shared" si="11"/>
        <v>300</v>
      </c>
      <c r="D37" s="119" t="s">
        <v>186</v>
      </c>
      <c r="E37" s="119">
        <f>+'Costo Relleno suspiro'!E76</f>
        <v>0</v>
      </c>
      <c r="F37" s="119">
        <f t="shared" si="12"/>
        <v>0</v>
      </c>
      <c r="G37" s="120">
        <f t="shared" si="9"/>
        <v>0</v>
      </c>
      <c r="H37" s="124"/>
      <c r="I37" s="124"/>
      <c r="J37" s="122"/>
    </row>
    <row r="38" spans="1:13" ht="13.5" x14ac:dyDescent="0.25">
      <c r="A38" s="117">
        <f t="shared" si="10"/>
        <v>90</v>
      </c>
      <c r="B38" s="123" t="str">
        <f>IFERROR(VLOOKUP(H38,[1]SEMIELABORADOS!$A$2:$M$6000,2,0),"")</f>
        <v>ALMIBAR KILO</v>
      </c>
      <c r="C38" s="118">
        <f>+A38</f>
        <v>90</v>
      </c>
      <c r="D38" s="119" t="str">
        <f>IFERROR(VLOOKUP(H38,[1]SEMIELABORADOS!$A$2:$M$6000,6,0),"")</f>
        <v>Gramo</v>
      </c>
      <c r="E38" s="119">
        <f>IFERROR(VLOOKUP(H38,[1]SEMIELABORADOS!$A$2:$M$65536,10,0),"")</f>
        <v>1.0250838E-2</v>
      </c>
      <c r="F38" s="119">
        <f>IFERROR(E38*C38,"")</f>
        <v>0.92257542000000003</v>
      </c>
      <c r="G38" s="120">
        <f t="shared" si="9"/>
        <v>2.0756936783133029E-4</v>
      </c>
      <c r="H38" s="124" t="s">
        <v>185</v>
      </c>
      <c r="I38" s="124"/>
      <c r="J38" s="122"/>
    </row>
    <row r="39" spans="1:13" ht="13.5" x14ac:dyDescent="0.25">
      <c r="A39" s="117">
        <f t="shared" si="10"/>
        <v>90</v>
      </c>
      <c r="B39" s="123" t="str">
        <f>IFERROR(VLOOKUP(H39,[1]SEMIELABORADOS!$A$2:$M$6000,2,0),"")</f>
        <v>CREMA DULCE LECHE KILO</v>
      </c>
      <c r="C39" s="118">
        <f>+A39</f>
        <v>90</v>
      </c>
      <c r="D39" s="119" t="str">
        <f>IFERROR(VLOOKUP(H39,[1]SEMIELABORADOS!$A$2:$M$6000,6,0),"")</f>
        <v>Gramo</v>
      </c>
      <c r="E39" s="119">
        <f>IFERROR(VLOOKUP(H39,[1]SEMIELABORADOS!$A$2:$M$65536,10,0),"")</f>
        <v>8.5119999999999998E-5</v>
      </c>
      <c r="F39" s="119">
        <f>IFERROR(E39*C39,"")</f>
        <v>7.6607999999999997E-3</v>
      </c>
      <c r="G39" s="120">
        <f t="shared" si="9"/>
        <v>1.7235961186590632E-6</v>
      </c>
      <c r="H39" s="121" t="s">
        <v>187</v>
      </c>
      <c r="I39" s="124"/>
      <c r="J39" s="122"/>
    </row>
    <row r="40" spans="1:13" ht="13.5" x14ac:dyDescent="0.25">
      <c r="A40" s="117">
        <f t="shared" si="10"/>
        <v>50</v>
      </c>
      <c r="B40" s="123" t="str">
        <f>IFERROR(VLOOKUP(H40,[1]SEMIELABORADOS!$A$2:$M$6000,2,0),"")</f>
        <v>PECANA TRITURADA KILO</v>
      </c>
      <c r="C40" s="118">
        <f t="shared" si="11"/>
        <v>50</v>
      </c>
      <c r="D40" s="119" t="str">
        <f>IFERROR(VLOOKUP(H40,[1]SEMIELABORADOS!$A$2:$M$6000,6,0),"")</f>
        <v>Gramo</v>
      </c>
      <c r="E40" s="119">
        <f>IFERROR(VLOOKUP(H40,[1]SEMIELABORADOS!$A$2:$M$65536,10,0),"")</f>
        <v>0</v>
      </c>
      <c r="F40" s="119">
        <f t="shared" si="12"/>
        <v>0</v>
      </c>
      <c r="G40" s="120">
        <f t="shared" si="9"/>
        <v>0</v>
      </c>
      <c r="H40" s="124" t="s">
        <v>188</v>
      </c>
      <c r="I40" s="124"/>
      <c r="J40" s="122"/>
    </row>
    <row r="41" spans="1:13" ht="13.5" x14ac:dyDescent="0.25">
      <c r="A41" s="117">
        <f t="shared" si="10"/>
        <v>530</v>
      </c>
      <c r="B41" s="123" t="s">
        <v>85</v>
      </c>
      <c r="C41" s="118">
        <f t="shared" si="11"/>
        <v>530</v>
      </c>
      <c r="D41" s="119" t="s">
        <v>186</v>
      </c>
      <c r="E41" s="119">
        <f>+'Costo Mousse de Manjar'!E76</f>
        <v>0</v>
      </c>
      <c r="F41" s="119">
        <f t="shared" si="12"/>
        <v>0</v>
      </c>
      <c r="G41" s="120">
        <f t="shared" si="9"/>
        <v>0</v>
      </c>
      <c r="H41" s="124"/>
      <c r="I41" s="124"/>
      <c r="J41" s="122"/>
    </row>
    <row r="42" spans="1:13" ht="14.25" thickBot="1" x14ac:dyDescent="0.3">
      <c r="A42" s="117"/>
      <c r="B42" s="123"/>
      <c r="C42" s="118"/>
      <c r="D42" s="119"/>
      <c r="E42" s="119"/>
      <c r="F42" s="119"/>
      <c r="G42" s="120"/>
      <c r="H42" s="124"/>
      <c r="I42" s="124"/>
      <c r="J42" s="122"/>
    </row>
    <row r="43" spans="1:13" ht="26.25" thickBot="1" x14ac:dyDescent="0.3">
      <c r="A43" s="112" t="s">
        <v>126</v>
      </c>
      <c r="B43" s="113" t="s">
        <v>135</v>
      </c>
      <c r="C43" s="113" t="s">
        <v>126</v>
      </c>
      <c r="D43" s="114" t="s">
        <v>128</v>
      </c>
      <c r="E43" s="114" t="s">
        <v>129</v>
      </c>
      <c r="F43" s="114" t="s">
        <v>130</v>
      </c>
      <c r="G43" s="114" t="s">
        <v>131</v>
      </c>
      <c r="H43" s="115" t="s">
        <v>132</v>
      </c>
      <c r="I43" s="116"/>
      <c r="J43" s="122"/>
    </row>
    <row r="44" spans="1:13" ht="13.5" x14ac:dyDescent="0.25">
      <c r="A44" s="117">
        <f>+A35</f>
        <v>1</v>
      </c>
      <c r="B44" s="123" t="s">
        <v>88</v>
      </c>
      <c r="C44" s="118">
        <f>+A44</f>
        <v>1</v>
      </c>
      <c r="D44" s="119" t="s">
        <v>183</v>
      </c>
      <c r="E44" s="119">
        <f>+'Costo Rosqute Arr 100'!H56</f>
        <v>52.75</v>
      </c>
      <c r="F44" s="119">
        <f>IFERROR(E44*C44,"")</f>
        <v>52.75</v>
      </c>
      <c r="G44" s="120">
        <f>IFERROR(F44/$F$66,"")</f>
        <v>1.186817241792836E-2</v>
      </c>
      <c r="H44" s="124"/>
      <c r="I44" s="116"/>
      <c r="J44" s="122"/>
    </row>
    <row r="45" spans="1:13" ht="13.5" x14ac:dyDescent="0.25">
      <c r="A45" s="117">
        <f t="shared" ref="A45:A50" si="13">+A36</f>
        <v>3</v>
      </c>
      <c r="B45" s="123" t="s">
        <v>89</v>
      </c>
      <c r="C45" s="118">
        <f t="shared" ref="C45:C50" si="14">+A45</f>
        <v>3</v>
      </c>
      <c r="D45" s="119" t="s">
        <v>183</v>
      </c>
      <c r="E45" s="119">
        <f>+'Costo Rosquete Arrollado 80'!H56</f>
        <v>48.55</v>
      </c>
      <c r="F45" s="119">
        <f t="shared" ref="F45:F50" si="15">IFERROR(E45*C45,"")</f>
        <v>145.64999999999998</v>
      </c>
      <c r="G45" s="120">
        <f t="shared" ref="G45:G50" si="16">IFERROR(F45/$F$66,"")</f>
        <v>3.2769655216516883E-2</v>
      </c>
      <c r="H45" s="124"/>
      <c r="I45" s="116"/>
      <c r="J45" s="122"/>
      <c r="M45" s="127"/>
    </row>
    <row r="46" spans="1:13" ht="13.5" x14ac:dyDescent="0.25">
      <c r="A46" s="117">
        <f t="shared" si="13"/>
        <v>300</v>
      </c>
      <c r="B46" s="123" t="s">
        <v>40</v>
      </c>
      <c r="C46" s="118">
        <f t="shared" si="14"/>
        <v>300</v>
      </c>
      <c r="D46" s="119" t="s">
        <v>186</v>
      </c>
      <c r="E46" s="119">
        <f>+'Costo Relleno suspiro'!E74</f>
        <v>0.26521739130434785</v>
      </c>
      <c r="F46" s="119">
        <f t="shared" si="15"/>
        <v>79.565217391304358</v>
      </c>
      <c r="G46" s="120">
        <f t="shared" si="16"/>
        <v>1.7901302719809522E-2</v>
      </c>
      <c r="H46" s="124"/>
      <c r="I46" s="116"/>
      <c r="J46" s="122"/>
    </row>
    <row r="47" spans="1:13" ht="13.5" x14ac:dyDescent="0.25">
      <c r="A47" s="117">
        <f t="shared" si="13"/>
        <v>90</v>
      </c>
      <c r="B47" s="123" t="str">
        <f>IFERROR(VLOOKUP(H47,[1]SEMIELABORADOS!$A$2:$M$6000,2,0),"")</f>
        <v>ALMIBAR KILO</v>
      </c>
      <c r="C47" s="118">
        <f t="shared" si="14"/>
        <v>90</v>
      </c>
      <c r="D47" s="119" t="str">
        <f>IFERROR(VLOOKUP(H47,[1]SEMIELABORADOS!$A$2:$M$6000,6,0),"")</f>
        <v>Gramo</v>
      </c>
      <c r="E47" s="119">
        <f>IFERROR(VLOOKUP(H47,[1]SEMIELABORADOS!$A$2:$M$65536,12,0),"")</f>
        <v>6.0354056714541172E-2</v>
      </c>
      <c r="F47" s="119">
        <f t="shared" si="15"/>
        <v>5.4318651043087058</v>
      </c>
      <c r="G47" s="120">
        <f t="shared" si="16"/>
        <v>1.2221101726798888E-3</v>
      </c>
      <c r="H47" s="124" t="s">
        <v>185</v>
      </c>
      <c r="I47" s="116"/>
      <c r="J47" s="122"/>
    </row>
    <row r="48" spans="1:13" ht="13.5" x14ac:dyDescent="0.25">
      <c r="A48" s="117">
        <f t="shared" si="13"/>
        <v>90</v>
      </c>
      <c r="B48" s="123" t="str">
        <f>IFERROR(VLOOKUP(H48,[1]SEMIELABORADOS!$A$2:$M$6000,2,0),"")</f>
        <v>CREMA DULCE LECHE KILO</v>
      </c>
      <c r="C48" s="118">
        <f t="shared" si="14"/>
        <v>90</v>
      </c>
      <c r="D48" s="119" t="str">
        <f>IFERROR(VLOOKUP(H48,[1]SEMIELABORADOS!$A$2:$M$6000,6,0),"")</f>
        <v>Gramo</v>
      </c>
      <c r="E48" s="119">
        <f>IFERROR(VLOOKUP(H48,[1]SEMIELABORADOS!$A$2:$M$65536,12,0),"")</f>
        <v>0.48247311132734694</v>
      </c>
      <c r="F48" s="119">
        <f t="shared" si="15"/>
        <v>43.422580019461222</v>
      </c>
      <c r="G48" s="120">
        <f t="shared" si="16"/>
        <v>9.7696050521754851E-3</v>
      </c>
      <c r="H48" s="121" t="s">
        <v>187</v>
      </c>
      <c r="I48" s="116"/>
      <c r="J48" s="122"/>
    </row>
    <row r="49" spans="1:17" ht="13.5" x14ac:dyDescent="0.25">
      <c r="A49" s="117">
        <f t="shared" si="13"/>
        <v>50</v>
      </c>
      <c r="B49" s="123" t="str">
        <f>IFERROR(VLOOKUP(H49,[1]SEMIELABORADOS!$A$2:$M$6000,2,0),"")</f>
        <v>PECANA TRITURADA KILO</v>
      </c>
      <c r="C49" s="118">
        <f t="shared" si="14"/>
        <v>50</v>
      </c>
      <c r="D49" s="119" t="str">
        <f>IFERROR(VLOOKUP(H49,[1]SEMIELABORADOS!$A$2:$M$6000,6,0),"")</f>
        <v>Gramo</v>
      </c>
      <c r="E49" s="119">
        <f>IFERROR(VLOOKUP(H49,[1]SEMIELABORADOS!$A$2:$M$65536,12,0),"")</f>
        <v>2.6526276000000001E-3</v>
      </c>
      <c r="F49" s="119">
        <f t="shared" si="15"/>
        <v>0.13263137999999999</v>
      </c>
      <c r="G49" s="120">
        <f t="shared" si="16"/>
        <v>2.984060826289621E-5</v>
      </c>
      <c r="H49" s="124" t="s">
        <v>188</v>
      </c>
      <c r="I49" s="116"/>
      <c r="J49" s="122"/>
    </row>
    <row r="50" spans="1:17" ht="13.5" x14ac:dyDescent="0.25">
      <c r="A50" s="117">
        <f t="shared" si="13"/>
        <v>530</v>
      </c>
      <c r="B50" s="123" t="s">
        <v>85</v>
      </c>
      <c r="C50" s="118">
        <f t="shared" si="14"/>
        <v>530</v>
      </c>
      <c r="D50" s="119" t="s">
        <v>186</v>
      </c>
      <c r="E50" s="119">
        <f>+'Costo Mousse de Manjar'!E74</f>
        <v>0.30499999999999999</v>
      </c>
      <c r="F50" s="119">
        <f t="shared" si="15"/>
        <v>161.65</v>
      </c>
      <c r="G50" s="120">
        <f t="shared" si="16"/>
        <v>3.6369480025746345E-2</v>
      </c>
      <c r="H50" s="123"/>
      <c r="I50" s="116"/>
      <c r="J50" s="122"/>
    </row>
    <row r="51" spans="1:17" ht="13.5" x14ac:dyDescent="0.25">
      <c r="A51" s="117">
        <v>1</v>
      </c>
      <c r="B51" s="123" t="s">
        <v>136</v>
      </c>
      <c r="C51" s="118">
        <f>+A51</f>
        <v>1</v>
      </c>
      <c r="D51" s="118" t="s">
        <v>137</v>
      </c>
      <c r="E51" s="119">
        <f>+F65</f>
        <v>305</v>
      </c>
      <c r="F51" s="119">
        <f>IFERROR(C51*E51,"")</f>
        <v>305</v>
      </c>
      <c r="G51" s="120">
        <f>IFERROR(F51/$F$66,"")</f>
        <v>6.8621660425936495E-2</v>
      </c>
      <c r="H51" s="128"/>
      <c r="I51" s="128"/>
      <c r="J51" s="122"/>
    </row>
    <row r="52" spans="1:17" ht="14.25" thickBot="1" x14ac:dyDescent="0.3">
      <c r="A52" s="117"/>
      <c r="B52" s="123"/>
      <c r="C52" s="118"/>
      <c r="D52" s="118"/>
      <c r="E52" s="119"/>
      <c r="F52" s="119"/>
      <c r="G52" s="120"/>
      <c r="H52" s="128"/>
      <c r="I52" s="128"/>
      <c r="J52" s="122"/>
    </row>
    <row r="53" spans="1:17" ht="13.5" thickBot="1" x14ac:dyDescent="0.3">
      <c r="A53" s="129"/>
      <c r="B53" s="517" t="s">
        <v>138</v>
      </c>
      <c r="C53" s="517"/>
      <c r="D53" s="517"/>
      <c r="E53" s="517"/>
      <c r="F53" s="131">
        <f>SUM(F8:F14,F17:F24)</f>
        <v>3528.757356521739</v>
      </c>
      <c r="G53" s="120">
        <f>+F53/$F$66</f>
        <v>0.79393176735986914</v>
      </c>
      <c r="H53" s="132">
        <f>+F53/$D$60</f>
        <v>3528.757356521739</v>
      </c>
      <c r="I53" s="132"/>
      <c r="J53" s="133"/>
      <c r="K53" s="134"/>
      <c r="L53" s="134"/>
      <c r="M53" s="134"/>
      <c r="N53" s="134"/>
      <c r="O53" s="134"/>
      <c r="P53" s="134"/>
      <c r="Q53" s="135"/>
    </row>
    <row r="54" spans="1:17" x14ac:dyDescent="0.2">
      <c r="A54" s="129"/>
      <c r="B54" s="517" t="s">
        <v>139</v>
      </c>
      <c r="C54" s="517"/>
      <c r="D54" s="517"/>
      <c r="E54" s="517"/>
      <c r="F54" s="131">
        <f>SUM(F27:F32,F35:F41)</f>
        <v>540.32823622000024</v>
      </c>
      <c r="G54" s="120">
        <f>+F54/$F$66</f>
        <v>0.12156793686699691</v>
      </c>
      <c r="H54" s="132">
        <f>+F54/$D$60</f>
        <v>540.32823622000024</v>
      </c>
      <c r="I54" s="132"/>
      <c r="J54" s="136"/>
      <c r="K54" s="518" t="s">
        <v>140</v>
      </c>
      <c r="L54" s="519"/>
      <c r="M54" s="519"/>
      <c r="N54" s="519"/>
      <c r="O54" s="137">
        <f>+F55</f>
        <v>4069.0855927417392</v>
      </c>
      <c r="P54" s="137"/>
      <c r="Q54" s="138"/>
    </row>
    <row r="55" spans="1:17" x14ac:dyDescent="0.2">
      <c r="A55" s="129"/>
      <c r="B55" s="517" t="s">
        <v>141</v>
      </c>
      <c r="C55" s="517"/>
      <c r="D55" s="517"/>
      <c r="E55" s="517"/>
      <c r="F55" s="131">
        <f>+F53+F54</f>
        <v>4069.0855927417392</v>
      </c>
      <c r="G55" s="120">
        <f>+F55/$F$66</f>
        <v>0.915499704226866</v>
      </c>
      <c r="H55" s="132">
        <f>+F55/$D$60</f>
        <v>4069.0855927417392</v>
      </c>
      <c r="I55" s="132"/>
      <c r="J55" s="139"/>
      <c r="K55" s="140"/>
      <c r="M55" s="141" t="s">
        <v>142</v>
      </c>
      <c r="N55" s="142"/>
      <c r="O55" s="137">
        <f>+H56</f>
        <v>793.60229389507435</v>
      </c>
      <c r="P55" s="137"/>
      <c r="Q55" s="138"/>
    </row>
    <row r="56" spans="1:17" ht="13.5" thickBot="1" x14ac:dyDescent="0.25">
      <c r="A56" s="129"/>
      <c r="B56" s="130"/>
      <c r="C56" s="517" t="s">
        <v>143</v>
      </c>
      <c r="D56" s="517"/>
      <c r="E56" s="517"/>
      <c r="F56" s="131">
        <f>SUM(F44:F51)</f>
        <v>793.60229389507435</v>
      </c>
      <c r="G56" s="120">
        <f>+F56/$F$66</f>
        <v>0.17855182663905589</v>
      </c>
      <c r="H56" s="132">
        <f>+F56/$D$60</f>
        <v>793.60229389507435</v>
      </c>
      <c r="I56" s="132"/>
      <c r="J56" s="139"/>
      <c r="K56" s="140"/>
      <c r="L56" s="140"/>
      <c r="M56" s="140" t="s">
        <v>144</v>
      </c>
      <c r="N56" s="143"/>
      <c r="O56" s="137">
        <f>O54*N56</f>
        <v>0</v>
      </c>
      <c r="P56" s="137"/>
      <c r="Q56" s="138"/>
    </row>
    <row r="57" spans="1:17" ht="13.5" thickBot="1" x14ac:dyDescent="0.25">
      <c r="A57" s="129"/>
      <c r="B57" s="144"/>
      <c r="C57" s="144"/>
      <c r="D57" s="144"/>
      <c r="E57" s="144"/>
      <c r="F57" s="145"/>
      <c r="G57" s="120"/>
      <c r="H57" s="146"/>
      <c r="I57" s="132"/>
      <c r="J57" s="139"/>
      <c r="K57" s="147"/>
      <c r="M57" s="148" t="s">
        <v>145</v>
      </c>
      <c r="N57" s="149"/>
      <c r="O57" s="150">
        <f>SUM(O54:O56)</f>
        <v>4862.6878866368133</v>
      </c>
      <c r="P57" s="151"/>
      <c r="Q57" s="138"/>
    </row>
    <row r="58" spans="1:17" x14ac:dyDescent="0.2">
      <c r="B58" s="520" t="s">
        <v>146</v>
      </c>
      <c r="C58" s="520"/>
      <c r="D58" s="152">
        <v>1244</v>
      </c>
      <c r="E58" s="153"/>
      <c r="G58" s="120"/>
      <c r="H58" s="146">
        <f>+H56/61</f>
        <v>13.009873670411055</v>
      </c>
      <c r="I58" s="154"/>
      <c r="J58" s="139"/>
      <c r="K58" s="147"/>
      <c r="L58" s="140"/>
      <c r="M58" s="140" t="s">
        <v>147</v>
      </c>
      <c r="N58" s="155"/>
      <c r="O58" s="137">
        <f>+H59</f>
        <v>754.57267288384116</v>
      </c>
      <c r="P58" s="137"/>
      <c r="Q58" s="138"/>
    </row>
    <row r="59" spans="1:17" x14ac:dyDescent="0.2">
      <c r="B59" s="520" t="s">
        <v>148</v>
      </c>
      <c r="C59" s="520"/>
      <c r="D59" s="156">
        <v>1244</v>
      </c>
      <c r="E59" s="153"/>
      <c r="G59" s="120"/>
      <c r="H59" s="146">
        <f>+H58*58</f>
        <v>754.57267288384116</v>
      </c>
      <c r="I59" s="154"/>
      <c r="J59" s="139"/>
      <c r="K59" s="147"/>
      <c r="L59" s="140"/>
      <c r="M59" s="521" t="s">
        <v>145</v>
      </c>
      <c r="N59" s="521"/>
      <c r="O59" s="137">
        <f>SUM(O57:O58)</f>
        <v>5617.2605595206542</v>
      </c>
      <c r="P59" s="137"/>
      <c r="Q59" s="138"/>
    </row>
    <row r="60" spans="1:17" ht="13.5" thickBot="1" x14ac:dyDescent="0.25">
      <c r="B60" s="512" t="s">
        <v>149</v>
      </c>
      <c r="C60" s="512"/>
      <c r="D60" s="152">
        <f>+D58/D59</f>
        <v>1</v>
      </c>
      <c r="E60" s="153"/>
      <c r="F60" s="157"/>
      <c r="G60" s="120"/>
      <c r="H60" s="146"/>
      <c r="I60" s="154"/>
      <c r="J60" s="139"/>
      <c r="K60" s="147"/>
      <c r="L60" s="521"/>
      <c r="M60" s="521"/>
      <c r="N60" s="155"/>
      <c r="O60" s="137">
        <f>+O59*N60</f>
        <v>0</v>
      </c>
      <c r="P60" s="137"/>
      <c r="Q60" s="138"/>
    </row>
    <row r="61" spans="1:17" ht="13.5" thickBot="1" x14ac:dyDescent="0.25">
      <c r="B61" s="512" t="s">
        <v>150</v>
      </c>
      <c r="C61" s="512"/>
      <c r="D61" s="158"/>
      <c r="E61" s="153"/>
      <c r="F61" s="157"/>
      <c r="G61" s="120"/>
      <c r="H61" s="146"/>
      <c r="I61" s="154"/>
      <c r="J61" s="139"/>
      <c r="K61" s="513" t="s">
        <v>151</v>
      </c>
      <c r="L61" s="514"/>
      <c r="M61" s="514"/>
      <c r="N61" s="515"/>
      <c r="O61" s="150">
        <f>SUM(O59:O60)</f>
        <v>5617.2605595206542</v>
      </c>
      <c r="P61" s="159" t="s">
        <v>152</v>
      </c>
      <c r="Q61" s="138"/>
    </row>
    <row r="62" spans="1:17" ht="13.5" thickBot="1" x14ac:dyDescent="0.25">
      <c r="C62" s="129" t="s">
        <v>153</v>
      </c>
      <c r="D62" s="160"/>
      <c r="E62" s="103" t="s">
        <v>154</v>
      </c>
      <c r="F62" s="161" t="s">
        <v>155</v>
      </c>
      <c r="G62" s="120"/>
      <c r="H62" s="146"/>
      <c r="I62" s="154"/>
      <c r="J62" s="162"/>
      <c r="K62" s="163"/>
      <c r="L62" s="501" t="s">
        <v>156</v>
      </c>
      <c r="M62" s="501"/>
      <c r="N62" s="501"/>
      <c r="O62" s="164">
        <f>+O61/D60</f>
        <v>5617.2605595206542</v>
      </c>
      <c r="P62" s="165">
        <f>+O62/D59</f>
        <v>4.5154827648879854</v>
      </c>
      <c r="Q62" s="166"/>
    </row>
    <row r="63" spans="1:17" ht="13.5" thickBot="1" x14ac:dyDescent="0.25">
      <c r="B63" s="502" t="s">
        <v>141</v>
      </c>
      <c r="C63" s="502"/>
      <c r="D63" s="502"/>
      <c r="E63" s="167">
        <f>+F63/F63</f>
        <v>1</v>
      </c>
      <c r="F63" s="168">
        <f>SUM(F55)</f>
        <v>4069.0855927417392</v>
      </c>
      <c r="G63" s="120">
        <f>+F63/$F$66</f>
        <v>0.915499704226866</v>
      </c>
      <c r="H63" s="146"/>
      <c r="I63" s="154"/>
      <c r="K63" s="503"/>
      <c r="L63" s="504"/>
      <c r="M63" s="504"/>
      <c r="N63" s="504"/>
      <c r="O63" s="169"/>
      <c r="P63" s="170"/>
    </row>
    <row r="64" spans="1:17" ht="13.5" thickBot="1" x14ac:dyDescent="0.3">
      <c r="B64" s="505" t="s">
        <v>157</v>
      </c>
      <c r="C64" s="505"/>
      <c r="D64" s="505"/>
      <c r="E64" s="171">
        <v>0.02</v>
      </c>
      <c r="F64" s="168">
        <f>+F53*E64</f>
        <v>70.575147130434786</v>
      </c>
      <c r="G64" s="120">
        <f>+F64/$F$66</f>
        <v>1.5878635347197384E-2</v>
      </c>
      <c r="H64" s="132"/>
      <c r="I64" s="154"/>
      <c r="J64" s="172"/>
      <c r="O64" s="173"/>
      <c r="P64" s="130"/>
    </row>
    <row r="65" spans="2:13" ht="13.5" thickBot="1" x14ac:dyDescent="0.3">
      <c r="B65" s="506" t="s">
        <v>158</v>
      </c>
      <c r="C65" s="507"/>
      <c r="D65" s="174">
        <v>5</v>
      </c>
      <c r="E65" s="175">
        <v>61</v>
      </c>
      <c r="F65" s="168">
        <f>+E65*D65</f>
        <v>305</v>
      </c>
      <c r="G65" s="120">
        <f>+F65/$F$66</f>
        <v>6.8621660425936495E-2</v>
      </c>
      <c r="H65" s="132"/>
      <c r="I65" s="132"/>
      <c r="J65" s="122"/>
    </row>
    <row r="66" spans="2:13" ht="13.5" thickBot="1" x14ac:dyDescent="0.3">
      <c r="B66" s="508" t="s">
        <v>159</v>
      </c>
      <c r="C66" s="509"/>
      <c r="D66" s="509"/>
      <c r="E66" s="510"/>
      <c r="F66" s="145">
        <f>SUM(F63:F65)</f>
        <v>4444.6607398721744</v>
      </c>
      <c r="G66" s="120">
        <f>+F66/$F$66</f>
        <v>1</v>
      </c>
      <c r="H66" s="511"/>
      <c r="I66" s="132"/>
      <c r="J66" s="122"/>
      <c r="M66" s="105" t="s">
        <v>160</v>
      </c>
    </row>
    <row r="67" spans="2:13" x14ac:dyDescent="0.25">
      <c r="C67" s="127"/>
      <c r="D67" s="127"/>
      <c r="E67" s="177"/>
      <c r="F67" s="168"/>
      <c r="G67" s="120"/>
      <c r="H67" s="511"/>
      <c r="I67" s="176"/>
      <c r="J67" s="105"/>
      <c r="M67" s="105" t="s">
        <v>161</v>
      </c>
    </row>
    <row r="68" spans="2:13" ht="13.5" thickBot="1" x14ac:dyDescent="0.3">
      <c r="B68" s="496" t="s">
        <v>162</v>
      </c>
      <c r="C68" s="496"/>
      <c r="D68" s="496"/>
      <c r="E68" s="496"/>
      <c r="F68" s="496"/>
      <c r="G68" s="120"/>
      <c r="H68" s="179"/>
      <c r="I68" s="176"/>
      <c r="J68" s="105"/>
      <c r="M68" s="105" t="s">
        <v>163</v>
      </c>
    </row>
    <row r="69" spans="2:13" ht="13.5" thickBot="1" x14ac:dyDescent="0.3">
      <c r="B69" s="180" t="s">
        <v>164</v>
      </c>
      <c r="C69" s="181">
        <f>+F53</f>
        <v>3528.757356521739</v>
      </c>
      <c r="D69" s="181">
        <f>+D58</f>
        <v>1244</v>
      </c>
      <c r="E69" s="182">
        <f>+C69/D69</f>
        <v>2.8366216692296935</v>
      </c>
      <c r="F69" s="120"/>
      <c r="G69" s="179"/>
      <c r="H69" s="122"/>
      <c r="I69" s="179"/>
      <c r="J69" s="105"/>
    </row>
    <row r="70" spans="2:13" x14ac:dyDescent="0.25">
      <c r="B70" s="183"/>
      <c r="C70" s="184"/>
      <c r="D70" s="185"/>
      <c r="E70" s="168"/>
      <c r="F70" s="120"/>
      <c r="G70" s="179"/>
      <c r="H70" s="122"/>
      <c r="I70" s="122"/>
      <c r="J70" s="105"/>
    </row>
    <row r="71" spans="2:13" x14ac:dyDescent="0.25">
      <c r="B71" s="180" t="s">
        <v>165</v>
      </c>
      <c r="C71" s="181">
        <f>SUM(F63:F64)</f>
        <v>4139.6607398721744</v>
      </c>
      <c r="D71" s="181">
        <f>+D58</f>
        <v>1244</v>
      </c>
      <c r="E71" s="186">
        <f>+C71/D71</f>
        <v>3.3277015593827768</v>
      </c>
      <c r="F71" s="120"/>
      <c r="G71" s="179"/>
      <c r="H71" s="122"/>
      <c r="I71" s="122"/>
      <c r="J71" s="105"/>
    </row>
    <row r="72" spans="2:13" x14ac:dyDescent="0.25">
      <c r="B72" s="180"/>
      <c r="C72" s="181"/>
      <c r="D72" s="181"/>
      <c r="E72" s="186"/>
      <c r="F72" s="120"/>
      <c r="G72" s="179"/>
      <c r="H72" s="122"/>
      <c r="I72" s="122"/>
      <c r="J72" s="105"/>
    </row>
    <row r="73" spans="2:13" ht="13.5" thickBot="1" x14ac:dyDescent="0.3">
      <c r="B73" s="180" t="s">
        <v>166</v>
      </c>
      <c r="C73" s="181">
        <f>+F65</f>
        <v>305</v>
      </c>
      <c r="D73" s="181">
        <f>+D58</f>
        <v>1244</v>
      </c>
      <c r="E73" s="186">
        <f>+C73/D73</f>
        <v>0.24517684887459806</v>
      </c>
      <c r="F73" s="120"/>
      <c r="G73" s="179"/>
      <c r="H73" s="122"/>
      <c r="I73" s="122"/>
      <c r="J73" s="105"/>
    </row>
    <row r="74" spans="2:13" ht="13.5" thickBot="1" x14ac:dyDescent="0.3">
      <c r="B74" s="180" t="s">
        <v>167</v>
      </c>
      <c r="C74" s="181">
        <f>+F56</f>
        <v>793.60229389507435</v>
      </c>
      <c r="D74" s="181">
        <f>+D73</f>
        <v>1244</v>
      </c>
      <c r="E74" s="182">
        <f>+C74/D74</f>
        <v>0.63794396615359672</v>
      </c>
      <c r="F74" s="120"/>
      <c r="G74" s="179"/>
      <c r="H74" s="122"/>
      <c r="I74" s="122"/>
      <c r="J74" s="105"/>
    </row>
    <row r="75" spans="2:13" ht="13.5" thickBot="1" x14ac:dyDescent="0.3">
      <c r="B75" s="144"/>
      <c r="C75" s="145"/>
      <c r="D75" s="145"/>
      <c r="E75" s="186"/>
      <c r="F75" s="120"/>
      <c r="G75" s="179"/>
      <c r="H75" s="122"/>
      <c r="I75" s="122"/>
      <c r="J75" s="105"/>
    </row>
    <row r="76" spans="2:13" ht="13.5" thickBot="1" x14ac:dyDescent="0.3">
      <c r="B76" s="180" t="s">
        <v>168</v>
      </c>
      <c r="C76" s="181">
        <f>+F54</f>
        <v>540.32823622000024</v>
      </c>
      <c r="D76" s="181">
        <f>+D74</f>
        <v>1244</v>
      </c>
      <c r="E76" s="182">
        <f>+C76/D76</f>
        <v>0.43434745676848896</v>
      </c>
      <c r="F76" s="120"/>
      <c r="G76" s="179"/>
      <c r="H76" s="122"/>
      <c r="I76" s="122"/>
      <c r="J76" s="122"/>
    </row>
    <row r="77" spans="2:13" ht="13.5" thickBot="1" x14ac:dyDescent="0.3">
      <c r="B77" s="144"/>
      <c r="C77" s="145"/>
      <c r="D77" s="145"/>
      <c r="E77" s="186"/>
      <c r="F77" s="120"/>
      <c r="G77" s="179"/>
      <c r="H77" s="122"/>
      <c r="I77" s="122"/>
    </row>
    <row r="78" spans="2:13" ht="13.5" thickBot="1" x14ac:dyDescent="0.3">
      <c r="B78" s="497" t="s">
        <v>169</v>
      </c>
      <c r="C78" s="498"/>
      <c r="D78" s="499"/>
      <c r="E78" s="182">
        <f>+E69+E74</f>
        <v>3.4745656353832901</v>
      </c>
      <c r="G78" s="120"/>
      <c r="H78" s="179"/>
      <c r="I78" s="122"/>
      <c r="J78" s="186"/>
    </row>
    <row r="79" spans="2:13" x14ac:dyDescent="0.25">
      <c r="I79" s="179"/>
      <c r="J79" s="105"/>
    </row>
    <row r="80" spans="2:13" ht="13.5" thickBot="1" x14ac:dyDescent="0.3">
      <c r="B80" s="496" t="s">
        <v>170</v>
      </c>
      <c r="C80" s="496"/>
      <c r="D80" s="496"/>
      <c r="E80" s="496"/>
      <c r="F80" s="496"/>
      <c r="G80" s="120"/>
      <c r="H80" s="179"/>
      <c r="J80" s="105"/>
    </row>
    <row r="81" spans="1:10" ht="13.5" thickBot="1" x14ac:dyDescent="0.3">
      <c r="B81" s="180" t="s">
        <v>164</v>
      </c>
      <c r="C81" s="181">
        <f>+C69</f>
        <v>3528.757356521739</v>
      </c>
      <c r="D81" s="181">
        <f>+D60</f>
        <v>1</v>
      </c>
      <c r="E81" s="182">
        <f>+C81/D81</f>
        <v>3528.757356521739</v>
      </c>
      <c r="F81" s="120"/>
      <c r="G81" s="179"/>
      <c r="H81" s="122"/>
      <c r="I81" s="179"/>
      <c r="J81" s="105"/>
    </row>
    <row r="82" spans="1:10" x14ac:dyDescent="0.25">
      <c r="B82" s="183"/>
      <c r="C82" s="184"/>
      <c r="D82" s="185"/>
      <c r="E82" s="168"/>
      <c r="F82" s="120"/>
      <c r="G82" s="179"/>
      <c r="H82" s="122"/>
      <c r="I82" s="122"/>
      <c r="J82" s="105"/>
    </row>
    <row r="83" spans="1:10" x14ac:dyDescent="0.25">
      <c r="B83" s="180" t="s">
        <v>165</v>
      </c>
      <c r="C83" s="181">
        <f>+C71</f>
        <v>4139.6607398721744</v>
      </c>
      <c r="D83" s="181">
        <f>+D60</f>
        <v>1</v>
      </c>
      <c r="E83" s="186">
        <f>+C83/D83</f>
        <v>4139.6607398721744</v>
      </c>
      <c r="F83" s="120"/>
      <c r="G83" s="179"/>
      <c r="H83" s="122"/>
      <c r="I83" s="122"/>
      <c r="J83" s="105"/>
    </row>
    <row r="84" spans="1:10" x14ac:dyDescent="0.25">
      <c r="B84" s="180"/>
      <c r="C84" s="181"/>
      <c r="D84" s="181"/>
      <c r="E84" s="186"/>
      <c r="F84" s="120"/>
      <c r="G84" s="179"/>
      <c r="H84" s="122"/>
      <c r="I84" s="122"/>
      <c r="J84" s="105"/>
    </row>
    <row r="85" spans="1:10" ht="13.5" thickBot="1" x14ac:dyDescent="0.3">
      <c r="B85" s="180" t="s">
        <v>167</v>
      </c>
      <c r="C85" s="181">
        <f>+C73</f>
        <v>305</v>
      </c>
      <c r="D85" s="181">
        <f>+D60</f>
        <v>1</v>
      </c>
      <c r="E85" s="186">
        <f>+C85/D85</f>
        <v>305</v>
      </c>
      <c r="F85" s="188"/>
      <c r="G85" s="178"/>
      <c r="H85" s="104"/>
      <c r="I85" s="122"/>
    </row>
    <row r="86" spans="1:10" ht="13.5" thickBot="1" x14ac:dyDescent="0.3">
      <c r="B86" s="180" t="s">
        <v>167</v>
      </c>
      <c r="C86" s="181">
        <f>+C74</f>
        <v>793.60229389507435</v>
      </c>
      <c r="D86" s="181">
        <f>+D85</f>
        <v>1</v>
      </c>
      <c r="E86" s="182">
        <f>+C86/D86</f>
        <v>793.60229389507435</v>
      </c>
      <c r="F86" s="187"/>
      <c r="G86" s="178"/>
      <c r="H86" s="104"/>
      <c r="I86" s="104"/>
    </row>
    <row r="87" spans="1:10" x14ac:dyDescent="0.25">
      <c r="I87" s="104"/>
    </row>
    <row r="88" spans="1:10" x14ac:dyDescent="0.2">
      <c r="A88" s="500"/>
      <c r="B88" s="500"/>
      <c r="C88" s="189"/>
      <c r="D88" s="189"/>
      <c r="E88" s="190"/>
      <c r="G88" s="191"/>
    </row>
    <row r="89" spans="1:10" x14ac:dyDescent="0.2">
      <c r="A89" s="123"/>
      <c r="B89" s="192"/>
      <c r="C89" s="193"/>
      <c r="D89" s="193"/>
      <c r="E89" s="194"/>
      <c r="G89" s="191"/>
    </row>
    <row r="90" spans="1:10" x14ac:dyDescent="0.2">
      <c r="A90" s="123"/>
      <c r="B90" s="192"/>
      <c r="C90" s="195"/>
      <c r="D90" s="195"/>
      <c r="E90" s="123"/>
      <c r="G90" s="191"/>
    </row>
    <row r="91" spans="1:10" x14ac:dyDescent="0.2">
      <c r="A91" s="123"/>
      <c r="B91" s="192"/>
      <c r="C91" s="196"/>
      <c r="D91" s="196"/>
      <c r="E91" s="123"/>
      <c r="G91" s="191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92C2-2DB4-4B06-9C96-1429D3E77F94}">
  <dimension ref="A1:I26"/>
  <sheetViews>
    <sheetView workbookViewId="0">
      <selection activeCell="C12" sqref="C12"/>
    </sheetView>
  </sheetViews>
  <sheetFormatPr baseColWidth="10" defaultColWidth="11.42578125" defaultRowHeight="15" x14ac:dyDescent="0.25"/>
  <cols>
    <col min="1" max="1" width="19.5703125" customWidth="1"/>
    <col min="2" max="2" width="12.7109375" customWidth="1"/>
    <col min="3" max="3" width="35.7109375" customWidth="1"/>
    <col min="8" max="8" width="14.42578125" customWidth="1"/>
    <col min="9" max="9" width="17.140625" customWidth="1"/>
  </cols>
  <sheetData>
    <row r="1" spans="1:9" ht="15.75" x14ac:dyDescent="0.25">
      <c r="A1" s="453"/>
      <c r="B1" s="454"/>
      <c r="C1" s="439" t="s">
        <v>0</v>
      </c>
      <c r="D1" s="439"/>
      <c r="E1" s="439"/>
      <c r="F1" s="439"/>
      <c r="G1" s="439"/>
      <c r="H1" s="215" t="s">
        <v>1</v>
      </c>
      <c r="I1" s="322" t="s">
        <v>278</v>
      </c>
    </row>
    <row r="2" spans="1:9" ht="16.5" thickBot="1" x14ac:dyDescent="0.3">
      <c r="A2" s="455"/>
      <c r="B2" s="456"/>
      <c r="C2" s="440" t="s">
        <v>2</v>
      </c>
      <c r="D2" s="440"/>
      <c r="E2" s="440"/>
      <c r="F2" s="440"/>
      <c r="G2" s="440"/>
      <c r="H2" s="218" t="s">
        <v>3</v>
      </c>
      <c r="I2" s="272" t="s">
        <v>279</v>
      </c>
    </row>
    <row r="3" spans="1:9" ht="18.75" thickBot="1" x14ac:dyDescent="0.3">
      <c r="A3" s="455"/>
      <c r="B3" s="456"/>
      <c r="C3" s="536" t="s">
        <v>280</v>
      </c>
      <c r="D3" s="537"/>
      <c r="E3" s="537"/>
      <c r="F3" s="537"/>
      <c r="G3" s="538"/>
      <c r="H3" s="444" t="s">
        <v>4</v>
      </c>
      <c r="I3" s="466">
        <v>44006</v>
      </c>
    </row>
    <row r="4" spans="1:9" x14ac:dyDescent="0.25">
      <c r="A4" s="455"/>
      <c r="B4" s="456"/>
      <c r="C4" s="309" t="s">
        <v>5</v>
      </c>
      <c r="D4" s="528" t="s">
        <v>281</v>
      </c>
      <c r="E4" s="529"/>
      <c r="F4" s="529"/>
      <c r="G4" s="530"/>
      <c r="H4" s="445"/>
      <c r="I4" s="467"/>
    </row>
    <row r="5" spans="1:9" x14ac:dyDescent="0.25">
      <c r="A5" s="534"/>
      <c r="B5" s="535"/>
      <c r="C5" s="323" t="s">
        <v>6</v>
      </c>
      <c r="D5" s="531" t="s">
        <v>282</v>
      </c>
      <c r="E5" s="532"/>
      <c r="F5" s="532"/>
      <c r="G5" s="533"/>
      <c r="H5" s="539"/>
      <c r="I5" s="527"/>
    </row>
    <row r="6" spans="1:9" ht="18.75" thickBot="1" x14ac:dyDescent="0.3">
      <c r="A6" s="540" t="s">
        <v>7</v>
      </c>
      <c r="B6" s="540"/>
      <c r="C6" s="540"/>
      <c r="D6" s="541" t="s">
        <v>283</v>
      </c>
      <c r="E6" s="541"/>
      <c r="F6" s="541"/>
      <c r="G6" s="542" t="s">
        <v>8</v>
      </c>
      <c r="H6" s="542"/>
      <c r="I6" s="324" t="s">
        <v>283</v>
      </c>
    </row>
    <row r="7" spans="1:9" ht="25.5" x14ac:dyDescent="0.25">
      <c r="A7" s="543" t="s">
        <v>9</v>
      </c>
      <c r="B7" s="545" t="s">
        <v>33</v>
      </c>
      <c r="C7" s="547" t="s">
        <v>10</v>
      </c>
      <c r="D7" s="547" t="s">
        <v>11</v>
      </c>
      <c r="E7" s="547" t="s">
        <v>12</v>
      </c>
      <c r="F7" s="547"/>
      <c r="G7" s="547" t="s">
        <v>13</v>
      </c>
      <c r="H7" s="547"/>
      <c r="I7" s="223" t="s">
        <v>14</v>
      </c>
    </row>
    <row r="8" spans="1:9" ht="27" thickBot="1" x14ac:dyDescent="0.3">
      <c r="A8" s="544"/>
      <c r="B8" s="546"/>
      <c r="C8" s="548"/>
      <c r="D8" s="548"/>
      <c r="E8" s="224" t="s">
        <v>15</v>
      </c>
      <c r="F8" s="225" t="s">
        <v>16</v>
      </c>
      <c r="G8" s="224" t="s">
        <v>15</v>
      </c>
      <c r="H8" s="225" t="s">
        <v>16</v>
      </c>
      <c r="I8" s="226" t="s">
        <v>17</v>
      </c>
    </row>
    <row r="9" spans="1:9" x14ac:dyDescent="0.25">
      <c r="A9" s="74">
        <v>11900028</v>
      </c>
      <c r="B9" s="74" t="s">
        <v>101</v>
      </c>
      <c r="C9" t="s">
        <v>102</v>
      </c>
      <c r="D9" s="325" t="s">
        <v>284</v>
      </c>
      <c r="E9" s="20">
        <v>10000</v>
      </c>
      <c r="F9" s="240" t="s">
        <v>19</v>
      </c>
      <c r="G9" s="231"/>
      <c r="H9" s="20"/>
      <c r="I9" s="232"/>
    </row>
    <row r="10" spans="1:9" x14ac:dyDescent="0.25">
      <c r="A10" s="326"/>
      <c r="B10" s="327"/>
      <c r="C10" s="328"/>
      <c r="D10" s="329"/>
      <c r="E10" s="317"/>
      <c r="F10" s="240"/>
      <c r="G10" s="21"/>
      <c r="H10" s="317"/>
      <c r="I10" s="330"/>
    </row>
    <row r="11" spans="1:9" x14ac:dyDescent="0.25">
      <c r="A11" s="74"/>
      <c r="B11" s="74"/>
      <c r="D11" s="329"/>
      <c r="E11" s="21"/>
      <c r="F11" s="240"/>
      <c r="G11" s="21"/>
      <c r="H11" s="317"/>
      <c r="I11" s="318"/>
    </row>
    <row r="12" spans="1:9" x14ac:dyDescent="0.25">
      <c r="A12" s="331"/>
      <c r="B12" s="331"/>
      <c r="C12" s="328"/>
      <c r="D12" s="332"/>
      <c r="E12" s="333"/>
      <c r="F12" s="334"/>
      <c r="G12" s="21"/>
      <c r="H12" s="317"/>
      <c r="I12" s="318"/>
    </row>
    <row r="13" spans="1:9" ht="15.75" x14ac:dyDescent="0.25">
      <c r="A13" s="74"/>
      <c r="B13" s="74"/>
      <c r="D13" s="335"/>
      <c r="E13" s="336"/>
      <c r="F13" s="337"/>
      <c r="G13" s="21"/>
      <c r="H13" s="317"/>
      <c r="I13" s="318"/>
    </row>
    <row r="14" spans="1:9" ht="15.75" x14ac:dyDescent="0.25">
      <c r="A14" s="338"/>
      <c r="B14" s="339"/>
      <c r="C14" s="340"/>
      <c r="D14" s="335"/>
      <c r="E14" s="336"/>
      <c r="F14" s="337"/>
      <c r="G14" s="240"/>
      <c r="H14" s="240"/>
      <c r="I14" s="241"/>
    </row>
    <row r="15" spans="1:9" ht="15.75" thickBot="1" x14ac:dyDescent="0.3">
      <c r="A15" s="242"/>
      <c r="B15" s="243"/>
      <c r="C15" s="217"/>
      <c r="D15" s="217"/>
      <c r="E15" s="244"/>
      <c r="F15" s="245"/>
      <c r="G15" s="217"/>
      <c r="H15" s="217"/>
      <c r="I15" s="246"/>
    </row>
    <row r="16" spans="1:9" ht="15.75" thickBot="1" x14ac:dyDescent="0.3">
      <c r="A16" s="248"/>
      <c r="B16" s="249"/>
      <c r="C16" s="250"/>
      <c r="D16" s="251" t="s">
        <v>15</v>
      </c>
      <c r="E16" s="252" t="s">
        <v>22</v>
      </c>
      <c r="F16" s="253"/>
      <c r="G16" s="250"/>
      <c r="H16" s="250"/>
      <c r="I16" s="254"/>
    </row>
    <row r="17" spans="1:9" x14ac:dyDescent="0.25">
      <c r="A17" s="549" t="s">
        <v>23</v>
      </c>
      <c r="B17" s="550"/>
      <c r="C17" s="551"/>
      <c r="D17" s="21">
        <v>9500</v>
      </c>
      <c r="E17" s="255" t="s">
        <v>19</v>
      </c>
      <c r="F17" s="552" t="s">
        <v>34</v>
      </c>
      <c r="G17" s="552"/>
      <c r="H17" s="553"/>
      <c r="I17" s="554"/>
    </row>
    <row r="18" spans="1:9" x14ac:dyDescent="0.25">
      <c r="A18" s="413" t="s">
        <v>24</v>
      </c>
      <c r="B18" s="414"/>
      <c r="C18" s="415"/>
      <c r="D18" s="20">
        <v>10</v>
      </c>
      <c r="E18" s="20" t="s">
        <v>25</v>
      </c>
      <c r="F18" s="474" t="s">
        <v>35</v>
      </c>
      <c r="G18" s="474"/>
      <c r="H18" s="417"/>
      <c r="I18" s="418"/>
    </row>
    <row r="19" spans="1:9" x14ac:dyDescent="0.25">
      <c r="A19" s="413" t="s">
        <v>26</v>
      </c>
      <c r="B19" s="414"/>
      <c r="C19" s="415"/>
      <c r="D19" s="231">
        <f>+D17/D20</f>
        <v>1</v>
      </c>
      <c r="E19" s="20" t="s">
        <v>21</v>
      </c>
      <c r="F19" s="474" t="s">
        <v>36</v>
      </c>
      <c r="G19" s="474"/>
      <c r="H19" s="417"/>
      <c r="I19" s="418"/>
    </row>
    <row r="20" spans="1:9" x14ac:dyDescent="0.25">
      <c r="A20" s="413" t="s">
        <v>27</v>
      </c>
      <c r="B20" s="414"/>
      <c r="C20" s="415"/>
      <c r="D20" s="231">
        <v>9500</v>
      </c>
      <c r="E20" s="20" t="s">
        <v>19</v>
      </c>
      <c r="F20" s="555" t="s">
        <v>37</v>
      </c>
      <c r="G20" s="556"/>
      <c r="H20" s="417"/>
      <c r="I20" s="418"/>
    </row>
    <row r="21" spans="1:9" ht="15.75" thickBot="1" x14ac:dyDescent="0.3">
      <c r="A21" s="560" t="s">
        <v>28</v>
      </c>
      <c r="B21" s="421"/>
      <c r="C21" s="561"/>
      <c r="D21" s="264">
        <f>SUM(E9)-D17</f>
        <v>500</v>
      </c>
      <c r="E21" s="265" t="s">
        <v>19</v>
      </c>
      <c r="F21" s="422"/>
      <c r="G21" s="422"/>
      <c r="H21" s="423"/>
      <c r="I21" s="424"/>
    </row>
    <row r="22" spans="1:9" ht="15.75" thickBot="1" x14ac:dyDescent="0.3">
      <c r="A22" s="562" t="s">
        <v>29</v>
      </c>
      <c r="B22" s="563"/>
      <c r="C22" s="563"/>
      <c r="D22" s="563"/>
      <c r="E22" s="563"/>
      <c r="F22" s="563"/>
      <c r="G22" s="563"/>
      <c r="H22" s="563"/>
      <c r="I22" s="564"/>
    </row>
    <row r="23" spans="1:9" ht="15.75" x14ac:dyDescent="0.25">
      <c r="A23" s="557" t="s">
        <v>285</v>
      </c>
      <c r="B23" s="558"/>
      <c r="C23" s="558"/>
      <c r="D23" s="558"/>
      <c r="E23" s="558"/>
      <c r="F23" s="558"/>
      <c r="G23" s="558"/>
      <c r="H23" s="558"/>
      <c r="I23" s="559"/>
    </row>
    <row r="24" spans="1:9" ht="15.75" x14ac:dyDescent="0.25">
      <c r="A24" s="557"/>
      <c r="B24" s="558"/>
      <c r="C24" s="558"/>
      <c r="D24" s="558"/>
      <c r="E24" s="558"/>
      <c r="F24" s="558"/>
      <c r="G24" s="558"/>
      <c r="H24" s="558"/>
      <c r="I24" s="559"/>
    </row>
    <row r="25" spans="1:9" ht="15.75" x14ac:dyDescent="0.25">
      <c r="A25" s="557"/>
      <c r="B25" s="558"/>
      <c r="C25" s="558"/>
      <c r="D25" s="558"/>
      <c r="E25" s="558"/>
      <c r="F25" s="558"/>
      <c r="G25" s="558"/>
      <c r="H25" s="558"/>
      <c r="I25" s="559"/>
    </row>
    <row r="26" spans="1:9" ht="15.75" thickBot="1" x14ac:dyDescent="0.3">
      <c r="A26" s="428"/>
      <c r="B26" s="429"/>
      <c r="C26" s="430"/>
      <c r="D26" s="430"/>
      <c r="E26" s="430"/>
      <c r="F26" s="430"/>
      <c r="G26" s="430"/>
      <c r="H26" s="430"/>
      <c r="I26" s="431"/>
    </row>
  </sheetData>
  <mergeCells count="37">
    <mergeCell ref="A25:I25"/>
    <mergeCell ref="A26:I26"/>
    <mergeCell ref="A21:C21"/>
    <mergeCell ref="F21:G21"/>
    <mergeCell ref="H21:I21"/>
    <mergeCell ref="A22:I22"/>
    <mergeCell ref="A23:I23"/>
    <mergeCell ref="A24:I24"/>
    <mergeCell ref="A19:C19"/>
    <mergeCell ref="F19:G19"/>
    <mergeCell ref="H19:I19"/>
    <mergeCell ref="A20:C20"/>
    <mergeCell ref="F20:G20"/>
    <mergeCell ref="H20:I20"/>
    <mergeCell ref="A17:C17"/>
    <mergeCell ref="F17:G17"/>
    <mergeCell ref="H17:I17"/>
    <mergeCell ref="A18:C18"/>
    <mergeCell ref="F18:G18"/>
    <mergeCell ref="H18:I1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BFEB-7530-457E-B130-BADEDDCDE8AD}">
  <dimension ref="A1:N41"/>
  <sheetViews>
    <sheetView workbookViewId="0">
      <selection activeCell="D11" sqref="D11"/>
    </sheetView>
  </sheetViews>
  <sheetFormatPr baseColWidth="10" defaultColWidth="9.140625" defaultRowHeight="13.5" x14ac:dyDescent="0.25"/>
  <cols>
    <col min="1" max="1" width="10" style="217" bestFit="1" customWidth="1"/>
    <col min="2" max="2" width="16.140625" style="217" customWidth="1"/>
    <col min="3" max="3" width="16.42578125" style="217" customWidth="1"/>
    <col min="4" max="4" width="38.140625" style="217" customWidth="1"/>
    <col min="5" max="5" width="15" style="217" bestFit="1" customWidth="1"/>
    <col min="6" max="6" width="9.85546875" style="217" bestFit="1" customWidth="1"/>
    <col min="7" max="8" width="11.85546875" style="217" customWidth="1"/>
    <col min="9" max="9" width="14.28515625" style="217" customWidth="1"/>
    <col min="10" max="10" width="22.28515625" style="217" customWidth="1"/>
    <col min="11" max="256" width="9.140625" style="217"/>
    <col min="257" max="257" width="10" style="217" bestFit="1" customWidth="1"/>
    <col min="258" max="258" width="16.140625" style="217" customWidth="1"/>
    <col min="259" max="259" width="16.42578125" style="217" customWidth="1"/>
    <col min="260" max="260" width="38.140625" style="217" customWidth="1"/>
    <col min="261" max="261" width="15" style="217" bestFit="1" customWidth="1"/>
    <col min="262" max="262" width="9.85546875" style="217" bestFit="1" customWidth="1"/>
    <col min="263" max="264" width="11.85546875" style="217" customWidth="1"/>
    <col min="265" max="265" width="14.28515625" style="217" customWidth="1"/>
    <col min="266" max="266" width="22.28515625" style="217" customWidth="1"/>
    <col min="267" max="512" width="9.140625" style="217"/>
    <col min="513" max="513" width="10" style="217" bestFit="1" customWidth="1"/>
    <col min="514" max="514" width="16.140625" style="217" customWidth="1"/>
    <col min="515" max="515" width="16.42578125" style="217" customWidth="1"/>
    <col min="516" max="516" width="38.140625" style="217" customWidth="1"/>
    <col min="517" max="517" width="15" style="217" bestFit="1" customWidth="1"/>
    <col min="518" max="518" width="9.85546875" style="217" bestFit="1" customWidth="1"/>
    <col min="519" max="520" width="11.85546875" style="217" customWidth="1"/>
    <col min="521" max="521" width="14.28515625" style="217" customWidth="1"/>
    <col min="522" max="522" width="22.28515625" style="217" customWidth="1"/>
    <col min="523" max="768" width="9.140625" style="217"/>
    <col min="769" max="769" width="10" style="217" bestFit="1" customWidth="1"/>
    <col min="770" max="770" width="16.140625" style="217" customWidth="1"/>
    <col min="771" max="771" width="16.42578125" style="217" customWidth="1"/>
    <col min="772" max="772" width="38.140625" style="217" customWidth="1"/>
    <col min="773" max="773" width="15" style="217" bestFit="1" customWidth="1"/>
    <col min="774" max="774" width="9.85546875" style="217" bestFit="1" customWidth="1"/>
    <col min="775" max="776" width="11.85546875" style="217" customWidth="1"/>
    <col min="777" max="777" width="14.28515625" style="217" customWidth="1"/>
    <col min="778" max="778" width="22.28515625" style="217" customWidth="1"/>
    <col min="779" max="1024" width="9.140625" style="217"/>
    <col min="1025" max="1025" width="10" style="217" bestFit="1" customWidth="1"/>
    <col min="1026" max="1026" width="16.140625" style="217" customWidth="1"/>
    <col min="1027" max="1027" width="16.42578125" style="217" customWidth="1"/>
    <col min="1028" max="1028" width="38.140625" style="217" customWidth="1"/>
    <col min="1029" max="1029" width="15" style="217" bestFit="1" customWidth="1"/>
    <col min="1030" max="1030" width="9.85546875" style="217" bestFit="1" customWidth="1"/>
    <col min="1031" max="1032" width="11.85546875" style="217" customWidth="1"/>
    <col min="1033" max="1033" width="14.28515625" style="217" customWidth="1"/>
    <col min="1034" max="1034" width="22.28515625" style="217" customWidth="1"/>
    <col min="1035" max="1280" width="9.140625" style="217"/>
    <col min="1281" max="1281" width="10" style="217" bestFit="1" customWidth="1"/>
    <col min="1282" max="1282" width="16.140625" style="217" customWidth="1"/>
    <col min="1283" max="1283" width="16.42578125" style="217" customWidth="1"/>
    <col min="1284" max="1284" width="38.140625" style="217" customWidth="1"/>
    <col min="1285" max="1285" width="15" style="217" bestFit="1" customWidth="1"/>
    <col min="1286" max="1286" width="9.85546875" style="217" bestFit="1" customWidth="1"/>
    <col min="1287" max="1288" width="11.85546875" style="217" customWidth="1"/>
    <col min="1289" max="1289" width="14.28515625" style="217" customWidth="1"/>
    <col min="1290" max="1290" width="22.28515625" style="217" customWidth="1"/>
    <col min="1291" max="1536" width="9.140625" style="217"/>
    <col min="1537" max="1537" width="10" style="217" bestFit="1" customWidth="1"/>
    <col min="1538" max="1538" width="16.140625" style="217" customWidth="1"/>
    <col min="1539" max="1539" width="16.42578125" style="217" customWidth="1"/>
    <col min="1540" max="1540" width="38.140625" style="217" customWidth="1"/>
    <col min="1541" max="1541" width="15" style="217" bestFit="1" customWidth="1"/>
    <col min="1542" max="1542" width="9.85546875" style="217" bestFit="1" customWidth="1"/>
    <col min="1543" max="1544" width="11.85546875" style="217" customWidth="1"/>
    <col min="1545" max="1545" width="14.28515625" style="217" customWidth="1"/>
    <col min="1546" max="1546" width="22.28515625" style="217" customWidth="1"/>
    <col min="1547" max="1792" width="9.140625" style="217"/>
    <col min="1793" max="1793" width="10" style="217" bestFit="1" customWidth="1"/>
    <col min="1794" max="1794" width="16.140625" style="217" customWidth="1"/>
    <col min="1795" max="1795" width="16.42578125" style="217" customWidth="1"/>
    <col min="1796" max="1796" width="38.140625" style="217" customWidth="1"/>
    <col min="1797" max="1797" width="15" style="217" bestFit="1" customWidth="1"/>
    <col min="1798" max="1798" width="9.85546875" style="217" bestFit="1" customWidth="1"/>
    <col min="1799" max="1800" width="11.85546875" style="217" customWidth="1"/>
    <col min="1801" max="1801" width="14.28515625" style="217" customWidth="1"/>
    <col min="1802" max="1802" width="22.28515625" style="217" customWidth="1"/>
    <col min="1803" max="2048" width="9.140625" style="217"/>
    <col min="2049" max="2049" width="10" style="217" bestFit="1" customWidth="1"/>
    <col min="2050" max="2050" width="16.140625" style="217" customWidth="1"/>
    <col min="2051" max="2051" width="16.42578125" style="217" customWidth="1"/>
    <col min="2052" max="2052" width="38.140625" style="217" customWidth="1"/>
    <col min="2053" max="2053" width="15" style="217" bestFit="1" customWidth="1"/>
    <col min="2054" max="2054" width="9.85546875" style="217" bestFit="1" customWidth="1"/>
    <col min="2055" max="2056" width="11.85546875" style="217" customWidth="1"/>
    <col min="2057" max="2057" width="14.28515625" style="217" customWidth="1"/>
    <col min="2058" max="2058" width="22.28515625" style="217" customWidth="1"/>
    <col min="2059" max="2304" width="9.140625" style="217"/>
    <col min="2305" max="2305" width="10" style="217" bestFit="1" customWidth="1"/>
    <col min="2306" max="2306" width="16.140625" style="217" customWidth="1"/>
    <col min="2307" max="2307" width="16.42578125" style="217" customWidth="1"/>
    <col min="2308" max="2308" width="38.140625" style="217" customWidth="1"/>
    <col min="2309" max="2309" width="15" style="217" bestFit="1" customWidth="1"/>
    <col min="2310" max="2310" width="9.85546875" style="217" bestFit="1" customWidth="1"/>
    <col min="2311" max="2312" width="11.85546875" style="217" customWidth="1"/>
    <col min="2313" max="2313" width="14.28515625" style="217" customWidth="1"/>
    <col min="2314" max="2314" width="22.28515625" style="217" customWidth="1"/>
    <col min="2315" max="2560" width="9.140625" style="217"/>
    <col min="2561" max="2561" width="10" style="217" bestFit="1" customWidth="1"/>
    <col min="2562" max="2562" width="16.140625" style="217" customWidth="1"/>
    <col min="2563" max="2563" width="16.42578125" style="217" customWidth="1"/>
    <col min="2564" max="2564" width="38.140625" style="217" customWidth="1"/>
    <col min="2565" max="2565" width="15" style="217" bestFit="1" customWidth="1"/>
    <col min="2566" max="2566" width="9.85546875" style="217" bestFit="1" customWidth="1"/>
    <col min="2567" max="2568" width="11.85546875" style="217" customWidth="1"/>
    <col min="2569" max="2569" width="14.28515625" style="217" customWidth="1"/>
    <col min="2570" max="2570" width="22.28515625" style="217" customWidth="1"/>
    <col min="2571" max="2816" width="9.140625" style="217"/>
    <col min="2817" max="2817" width="10" style="217" bestFit="1" customWidth="1"/>
    <col min="2818" max="2818" width="16.140625" style="217" customWidth="1"/>
    <col min="2819" max="2819" width="16.42578125" style="217" customWidth="1"/>
    <col min="2820" max="2820" width="38.140625" style="217" customWidth="1"/>
    <col min="2821" max="2821" width="15" style="217" bestFit="1" customWidth="1"/>
    <col min="2822" max="2822" width="9.85546875" style="217" bestFit="1" customWidth="1"/>
    <col min="2823" max="2824" width="11.85546875" style="217" customWidth="1"/>
    <col min="2825" max="2825" width="14.28515625" style="217" customWidth="1"/>
    <col min="2826" max="2826" width="22.28515625" style="217" customWidth="1"/>
    <col min="2827" max="3072" width="9.140625" style="217"/>
    <col min="3073" max="3073" width="10" style="217" bestFit="1" customWidth="1"/>
    <col min="3074" max="3074" width="16.140625" style="217" customWidth="1"/>
    <col min="3075" max="3075" width="16.42578125" style="217" customWidth="1"/>
    <col min="3076" max="3076" width="38.140625" style="217" customWidth="1"/>
    <col min="3077" max="3077" width="15" style="217" bestFit="1" customWidth="1"/>
    <col min="3078" max="3078" width="9.85546875" style="217" bestFit="1" customWidth="1"/>
    <col min="3079" max="3080" width="11.85546875" style="217" customWidth="1"/>
    <col min="3081" max="3081" width="14.28515625" style="217" customWidth="1"/>
    <col min="3082" max="3082" width="22.28515625" style="217" customWidth="1"/>
    <col min="3083" max="3328" width="9.140625" style="217"/>
    <col min="3329" max="3329" width="10" style="217" bestFit="1" customWidth="1"/>
    <col min="3330" max="3330" width="16.140625" style="217" customWidth="1"/>
    <col min="3331" max="3331" width="16.42578125" style="217" customWidth="1"/>
    <col min="3332" max="3332" width="38.140625" style="217" customWidth="1"/>
    <col min="3333" max="3333" width="15" style="217" bestFit="1" customWidth="1"/>
    <col min="3334" max="3334" width="9.85546875" style="217" bestFit="1" customWidth="1"/>
    <col min="3335" max="3336" width="11.85546875" style="217" customWidth="1"/>
    <col min="3337" max="3337" width="14.28515625" style="217" customWidth="1"/>
    <col min="3338" max="3338" width="22.28515625" style="217" customWidth="1"/>
    <col min="3339" max="3584" width="9.140625" style="217"/>
    <col min="3585" max="3585" width="10" style="217" bestFit="1" customWidth="1"/>
    <col min="3586" max="3586" width="16.140625" style="217" customWidth="1"/>
    <col min="3587" max="3587" width="16.42578125" style="217" customWidth="1"/>
    <col min="3588" max="3588" width="38.140625" style="217" customWidth="1"/>
    <col min="3589" max="3589" width="15" style="217" bestFit="1" customWidth="1"/>
    <col min="3590" max="3590" width="9.85546875" style="217" bestFit="1" customWidth="1"/>
    <col min="3591" max="3592" width="11.85546875" style="217" customWidth="1"/>
    <col min="3593" max="3593" width="14.28515625" style="217" customWidth="1"/>
    <col min="3594" max="3594" width="22.28515625" style="217" customWidth="1"/>
    <col min="3595" max="3840" width="9.140625" style="217"/>
    <col min="3841" max="3841" width="10" style="217" bestFit="1" customWidth="1"/>
    <col min="3842" max="3842" width="16.140625" style="217" customWidth="1"/>
    <col min="3843" max="3843" width="16.42578125" style="217" customWidth="1"/>
    <col min="3844" max="3844" width="38.140625" style="217" customWidth="1"/>
    <col min="3845" max="3845" width="15" style="217" bestFit="1" customWidth="1"/>
    <col min="3846" max="3846" width="9.85546875" style="217" bestFit="1" customWidth="1"/>
    <col min="3847" max="3848" width="11.85546875" style="217" customWidth="1"/>
    <col min="3849" max="3849" width="14.28515625" style="217" customWidth="1"/>
    <col min="3850" max="3850" width="22.28515625" style="217" customWidth="1"/>
    <col min="3851" max="4096" width="9.140625" style="217"/>
    <col min="4097" max="4097" width="10" style="217" bestFit="1" customWidth="1"/>
    <col min="4098" max="4098" width="16.140625" style="217" customWidth="1"/>
    <col min="4099" max="4099" width="16.42578125" style="217" customWidth="1"/>
    <col min="4100" max="4100" width="38.140625" style="217" customWidth="1"/>
    <col min="4101" max="4101" width="15" style="217" bestFit="1" customWidth="1"/>
    <col min="4102" max="4102" width="9.85546875" style="217" bestFit="1" customWidth="1"/>
    <col min="4103" max="4104" width="11.85546875" style="217" customWidth="1"/>
    <col min="4105" max="4105" width="14.28515625" style="217" customWidth="1"/>
    <col min="4106" max="4106" width="22.28515625" style="217" customWidth="1"/>
    <col min="4107" max="4352" width="9.140625" style="217"/>
    <col min="4353" max="4353" width="10" style="217" bestFit="1" customWidth="1"/>
    <col min="4354" max="4354" width="16.140625" style="217" customWidth="1"/>
    <col min="4355" max="4355" width="16.42578125" style="217" customWidth="1"/>
    <col min="4356" max="4356" width="38.140625" style="217" customWidth="1"/>
    <col min="4357" max="4357" width="15" style="217" bestFit="1" customWidth="1"/>
    <col min="4358" max="4358" width="9.85546875" style="217" bestFit="1" customWidth="1"/>
    <col min="4359" max="4360" width="11.85546875" style="217" customWidth="1"/>
    <col min="4361" max="4361" width="14.28515625" style="217" customWidth="1"/>
    <col min="4362" max="4362" width="22.28515625" style="217" customWidth="1"/>
    <col min="4363" max="4608" width="9.140625" style="217"/>
    <col min="4609" max="4609" width="10" style="217" bestFit="1" customWidth="1"/>
    <col min="4610" max="4610" width="16.140625" style="217" customWidth="1"/>
    <col min="4611" max="4611" width="16.42578125" style="217" customWidth="1"/>
    <col min="4612" max="4612" width="38.140625" style="217" customWidth="1"/>
    <col min="4613" max="4613" width="15" style="217" bestFit="1" customWidth="1"/>
    <col min="4614" max="4614" width="9.85546875" style="217" bestFit="1" customWidth="1"/>
    <col min="4615" max="4616" width="11.85546875" style="217" customWidth="1"/>
    <col min="4617" max="4617" width="14.28515625" style="217" customWidth="1"/>
    <col min="4618" max="4618" width="22.28515625" style="217" customWidth="1"/>
    <col min="4619" max="4864" width="9.140625" style="217"/>
    <col min="4865" max="4865" width="10" style="217" bestFit="1" customWidth="1"/>
    <col min="4866" max="4866" width="16.140625" style="217" customWidth="1"/>
    <col min="4867" max="4867" width="16.42578125" style="217" customWidth="1"/>
    <col min="4868" max="4868" width="38.140625" style="217" customWidth="1"/>
    <col min="4869" max="4869" width="15" style="217" bestFit="1" customWidth="1"/>
    <col min="4870" max="4870" width="9.85546875" style="217" bestFit="1" customWidth="1"/>
    <col min="4871" max="4872" width="11.85546875" style="217" customWidth="1"/>
    <col min="4873" max="4873" width="14.28515625" style="217" customWidth="1"/>
    <col min="4874" max="4874" width="22.28515625" style="217" customWidth="1"/>
    <col min="4875" max="5120" width="9.140625" style="217"/>
    <col min="5121" max="5121" width="10" style="217" bestFit="1" customWidth="1"/>
    <col min="5122" max="5122" width="16.140625" style="217" customWidth="1"/>
    <col min="5123" max="5123" width="16.42578125" style="217" customWidth="1"/>
    <col min="5124" max="5124" width="38.140625" style="217" customWidth="1"/>
    <col min="5125" max="5125" width="15" style="217" bestFit="1" customWidth="1"/>
    <col min="5126" max="5126" width="9.85546875" style="217" bestFit="1" customWidth="1"/>
    <col min="5127" max="5128" width="11.85546875" style="217" customWidth="1"/>
    <col min="5129" max="5129" width="14.28515625" style="217" customWidth="1"/>
    <col min="5130" max="5130" width="22.28515625" style="217" customWidth="1"/>
    <col min="5131" max="5376" width="9.140625" style="217"/>
    <col min="5377" max="5377" width="10" style="217" bestFit="1" customWidth="1"/>
    <col min="5378" max="5378" width="16.140625" style="217" customWidth="1"/>
    <col min="5379" max="5379" width="16.42578125" style="217" customWidth="1"/>
    <col min="5380" max="5380" width="38.140625" style="217" customWidth="1"/>
    <col min="5381" max="5381" width="15" style="217" bestFit="1" customWidth="1"/>
    <col min="5382" max="5382" width="9.85546875" style="217" bestFit="1" customWidth="1"/>
    <col min="5383" max="5384" width="11.85546875" style="217" customWidth="1"/>
    <col min="5385" max="5385" width="14.28515625" style="217" customWidth="1"/>
    <col min="5386" max="5386" width="22.28515625" style="217" customWidth="1"/>
    <col min="5387" max="5632" width="9.140625" style="217"/>
    <col min="5633" max="5633" width="10" style="217" bestFit="1" customWidth="1"/>
    <col min="5634" max="5634" width="16.140625" style="217" customWidth="1"/>
    <col min="5635" max="5635" width="16.42578125" style="217" customWidth="1"/>
    <col min="5636" max="5636" width="38.140625" style="217" customWidth="1"/>
    <col min="5637" max="5637" width="15" style="217" bestFit="1" customWidth="1"/>
    <col min="5638" max="5638" width="9.85546875" style="217" bestFit="1" customWidth="1"/>
    <col min="5639" max="5640" width="11.85546875" style="217" customWidth="1"/>
    <col min="5641" max="5641" width="14.28515625" style="217" customWidth="1"/>
    <col min="5642" max="5642" width="22.28515625" style="217" customWidth="1"/>
    <col min="5643" max="5888" width="9.140625" style="217"/>
    <col min="5889" max="5889" width="10" style="217" bestFit="1" customWidth="1"/>
    <col min="5890" max="5890" width="16.140625" style="217" customWidth="1"/>
    <col min="5891" max="5891" width="16.42578125" style="217" customWidth="1"/>
    <col min="5892" max="5892" width="38.140625" style="217" customWidth="1"/>
    <col min="5893" max="5893" width="15" style="217" bestFit="1" customWidth="1"/>
    <col min="5894" max="5894" width="9.85546875" style="217" bestFit="1" customWidth="1"/>
    <col min="5895" max="5896" width="11.85546875" style="217" customWidth="1"/>
    <col min="5897" max="5897" width="14.28515625" style="217" customWidth="1"/>
    <col min="5898" max="5898" width="22.28515625" style="217" customWidth="1"/>
    <col min="5899" max="6144" width="9.140625" style="217"/>
    <col min="6145" max="6145" width="10" style="217" bestFit="1" customWidth="1"/>
    <col min="6146" max="6146" width="16.140625" style="217" customWidth="1"/>
    <col min="6147" max="6147" width="16.42578125" style="217" customWidth="1"/>
    <col min="6148" max="6148" width="38.140625" style="217" customWidth="1"/>
    <col min="6149" max="6149" width="15" style="217" bestFit="1" customWidth="1"/>
    <col min="6150" max="6150" width="9.85546875" style="217" bestFit="1" customWidth="1"/>
    <col min="6151" max="6152" width="11.85546875" style="217" customWidth="1"/>
    <col min="6153" max="6153" width="14.28515625" style="217" customWidth="1"/>
    <col min="6154" max="6154" width="22.28515625" style="217" customWidth="1"/>
    <col min="6155" max="6400" width="9.140625" style="217"/>
    <col min="6401" max="6401" width="10" style="217" bestFit="1" customWidth="1"/>
    <col min="6402" max="6402" width="16.140625" style="217" customWidth="1"/>
    <col min="6403" max="6403" width="16.42578125" style="217" customWidth="1"/>
    <col min="6404" max="6404" width="38.140625" style="217" customWidth="1"/>
    <col min="6405" max="6405" width="15" style="217" bestFit="1" customWidth="1"/>
    <col min="6406" max="6406" width="9.85546875" style="217" bestFit="1" customWidth="1"/>
    <col min="6407" max="6408" width="11.85546875" style="217" customWidth="1"/>
    <col min="6409" max="6409" width="14.28515625" style="217" customWidth="1"/>
    <col min="6410" max="6410" width="22.28515625" style="217" customWidth="1"/>
    <col min="6411" max="6656" width="9.140625" style="217"/>
    <col min="6657" max="6657" width="10" style="217" bestFit="1" customWidth="1"/>
    <col min="6658" max="6658" width="16.140625" style="217" customWidth="1"/>
    <col min="6659" max="6659" width="16.42578125" style="217" customWidth="1"/>
    <col min="6660" max="6660" width="38.140625" style="217" customWidth="1"/>
    <col min="6661" max="6661" width="15" style="217" bestFit="1" customWidth="1"/>
    <col min="6662" max="6662" width="9.85546875" style="217" bestFit="1" customWidth="1"/>
    <col min="6663" max="6664" width="11.85546875" style="217" customWidth="1"/>
    <col min="6665" max="6665" width="14.28515625" style="217" customWidth="1"/>
    <col min="6666" max="6666" width="22.28515625" style="217" customWidth="1"/>
    <col min="6667" max="6912" width="9.140625" style="217"/>
    <col min="6913" max="6913" width="10" style="217" bestFit="1" customWidth="1"/>
    <col min="6914" max="6914" width="16.140625" style="217" customWidth="1"/>
    <col min="6915" max="6915" width="16.42578125" style="217" customWidth="1"/>
    <col min="6916" max="6916" width="38.140625" style="217" customWidth="1"/>
    <col min="6917" max="6917" width="15" style="217" bestFit="1" customWidth="1"/>
    <col min="6918" max="6918" width="9.85546875" style="217" bestFit="1" customWidth="1"/>
    <col min="6919" max="6920" width="11.85546875" style="217" customWidth="1"/>
    <col min="6921" max="6921" width="14.28515625" style="217" customWidth="1"/>
    <col min="6922" max="6922" width="22.28515625" style="217" customWidth="1"/>
    <col min="6923" max="7168" width="9.140625" style="217"/>
    <col min="7169" max="7169" width="10" style="217" bestFit="1" customWidth="1"/>
    <col min="7170" max="7170" width="16.140625" style="217" customWidth="1"/>
    <col min="7171" max="7171" width="16.42578125" style="217" customWidth="1"/>
    <col min="7172" max="7172" width="38.140625" style="217" customWidth="1"/>
    <col min="7173" max="7173" width="15" style="217" bestFit="1" customWidth="1"/>
    <col min="7174" max="7174" width="9.85546875" style="217" bestFit="1" customWidth="1"/>
    <col min="7175" max="7176" width="11.85546875" style="217" customWidth="1"/>
    <col min="7177" max="7177" width="14.28515625" style="217" customWidth="1"/>
    <col min="7178" max="7178" width="22.28515625" style="217" customWidth="1"/>
    <col min="7179" max="7424" width="9.140625" style="217"/>
    <col min="7425" max="7425" width="10" style="217" bestFit="1" customWidth="1"/>
    <col min="7426" max="7426" width="16.140625" style="217" customWidth="1"/>
    <col min="7427" max="7427" width="16.42578125" style="217" customWidth="1"/>
    <col min="7428" max="7428" width="38.140625" style="217" customWidth="1"/>
    <col min="7429" max="7429" width="15" style="217" bestFit="1" customWidth="1"/>
    <col min="7430" max="7430" width="9.85546875" style="217" bestFit="1" customWidth="1"/>
    <col min="7431" max="7432" width="11.85546875" style="217" customWidth="1"/>
    <col min="7433" max="7433" width="14.28515625" style="217" customWidth="1"/>
    <col min="7434" max="7434" width="22.28515625" style="217" customWidth="1"/>
    <col min="7435" max="7680" width="9.140625" style="217"/>
    <col min="7681" max="7681" width="10" style="217" bestFit="1" customWidth="1"/>
    <col min="7682" max="7682" width="16.140625" style="217" customWidth="1"/>
    <col min="7683" max="7683" width="16.42578125" style="217" customWidth="1"/>
    <col min="7684" max="7684" width="38.140625" style="217" customWidth="1"/>
    <col min="7685" max="7685" width="15" style="217" bestFit="1" customWidth="1"/>
    <col min="7686" max="7686" width="9.85546875" style="217" bestFit="1" customWidth="1"/>
    <col min="7687" max="7688" width="11.85546875" style="217" customWidth="1"/>
    <col min="7689" max="7689" width="14.28515625" style="217" customWidth="1"/>
    <col min="7690" max="7690" width="22.28515625" style="217" customWidth="1"/>
    <col min="7691" max="7936" width="9.140625" style="217"/>
    <col min="7937" max="7937" width="10" style="217" bestFit="1" customWidth="1"/>
    <col min="7938" max="7938" width="16.140625" style="217" customWidth="1"/>
    <col min="7939" max="7939" width="16.42578125" style="217" customWidth="1"/>
    <col min="7940" max="7940" width="38.140625" style="217" customWidth="1"/>
    <col min="7941" max="7941" width="15" style="217" bestFit="1" customWidth="1"/>
    <col min="7942" max="7942" width="9.85546875" style="217" bestFit="1" customWidth="1"/>
    <col min="7943" max="7944" width="11.85546875" style="217" customWidth="1"/>
    <col min="7945" max="7945" width="14.28515625" style="217" customWidth="1"/>
    <col min="7946" max="7946" width="22.28515625" style="217" customWidth="1"/>
    <col min="7947" max="8192" width="9.140625" style="217"/>
    <col min="8193" max="8193" width="10" style="217" bestFit="1" customWidth="1"/>
    <col min="8194" max="8194" width="16.140625" style="217" customWidth="1"/>
    <col min="8195" max="8195" width="16.42578125" style="217" customWidth="1"/>
    <col min="8196" max="8196" width="38.140625" style="217" customWidth="1"/>
    <col min="8197" max="8197" width="15" style="217" bestFit="1" customWidth="1"/>
    <col min="8198" max="8198" width="9.85546875" style="217" bestFit="1" customWidth="1"/>
    <col min="8199" max="8200" width="11.85546875" style="217" customWidth="1"/>
    <col min="8201" max="8201" width="14.28515625" style="217" customWidth="1"/>
    <col min="8202" max="8202" width="22.28515625" style="217" customWidth="1"/>
    <col min="8203" max="8448" width="9.140625" style="217"/>
    <col min="8449" max="8449" width="10" style="217" bestFit="1" customWidth="1"/>
    <col min="8450" max="8450" width="16.140625" style="217" customWidth="1"/>
    <col min="8451" max="8451" width="16.42578125" style="217" customWidth="1"/>
    <col min="8452" max="8452" width="38.140625" style="217" customWidth="1"/>
    <col min="8453" max="8453" width="15" style="217" bestFit="1" customWidth="1"/>
    <col min="8454" max="8454" width="9.85546875" style="217" bestFit="1" customWidth="1"/>
    <col min="8455" max="8456" width="11.85546875" style="217" customWidth="1"/>
    <col min="8457" max="8457" width="14.28515625" style="217" customWidth="1"/>
    <col min="8458" max="8458" width="22.28515625" style="217" customWidth="1"/>
    <col min="8459" max="8704" width="9.140625" style="217"/>
    <col min="8705" max="8705" width="10" style="217" bestFit="1" customWidth="1"/>
    <col min="8706" max="8706" width="16.140625" style="217" customWidth="1"/>
    <col min="8707" max="8707" width="16.42578125" style="217" customWidth="1"/>
    <col min="8708" max="8708" width="38.140625" style="217" customWidth="1"/>
    <col min="8709" max="8709" width="15" style="217" bestFit="1" customWidth="1"/>
    <col min="8710" max="8710" width="9.85546875" style="217" bestFit="1" customWidth="1"/>
    <col min="8711" max="8712" width="11.85546875" style="217" customWidth="1"/>
    <col min="8713" max="8713" width="14.28515625" style="217" customWidth="1"/>
    <col min="8714" max="8714" width="22.28515625" style="217" customWidth="1"/>
    <col min="8715" max="8960" width="9.140625" style="217"/>
    <col min="8961" max="8961" width="10" style="217" bestFit="1" customWidth="1"/>
    <col min="8962" max="8962" width="16.140625" style="217" customWidth="1"/>
    <col min="8963" max="8963" width="16.42578125" style="217" customWidth="1"/>
    <col min="8964" max="8964" width="38.140625" style="217" customWidth="1"/>
    <col min="8965" max="8965" width="15" style="217" bestFit="1" customWidth="1"/>
    <col min="8966" max="8966" width="9.85546875" style="217" bestFit="1" customWidth="1"/>
    <col min="8967" max="8968" width="11.85546875" style="217" customWidth="1"/>
    <col min="8969" max="8969" width="14.28515625" style="217" customWidth="1"/>
    <col min="8970" max="8970" width="22.28515625" style="217" customWidth="1"/>
    <col min="8971" max="9216" width="9.140625" style="217"/>
    <col min="9217" max="9217" width="10" style="217" bestFit="1" customWidth="1"/>
    <col min="9218" max="9218" width="16.140625" style="217" customWidth="1"/>
    <col min="9219" max="9219" width="16.42578125" style="217" customWidth="1"/>
    <col min="9220" max="9220" width="38.140625" style="217" customWidth="1"/>
    <col min="9221" max="9221" width="15" style="217" bestFit="1" customWidth="1"/>
    <col min="9222" max="9222" width="9.85546875" style="217" bestFit="1" customWidth="1"/>
    <col min="9223" max="9224" width="11.85546875" style="217" customWidth="1"/>
    <col min="9225" max="9225" width="14.28515625" style="217" customWidth="1"/>
    <col min="9226" max="9226" width="22.28515625" style="217" customWidth="1"/>
    <col min="9227" max="9472" width="9.140625" style="217"/>
    <col min="9473" max="9473" width="10" style="217" bestFit="1" customWidth="1"/>
    <col min="9474" max="9474" width="16.140625" style="217" customWidth="1"/>
    <col min="9475" max="9475" width="16.42578125" style="217" customWidth="1"/>
    <col min="9476" max="9476" width="38.140625" style="217" customWidth="1"/>
    <col min="9477" max="9477" width="15" style="217" bestFit="1" customWidth="1"/>
    <col min="9478" max="9478" width="9.85546875" style="217" bestFit="1" customWidth="1"/>
    <col min="9479" max="9480" width="11.85546875" style="217" customWidth="1"/>
    <col min="9481" max="9481" width="14.28515625" style="217" customWidth="1"/>
    <col min="9482" max="9482" width="22.28515625" style="217" customWidth="1"/>
    <col min="9483" max="9728" width="9.140625" style="217"/>
    <col min="9729" max="9729" width="10" style="217" bestFit="1" customWidth="1"/>
    <col min="9730" max="9730" width="16.140625" style="217" customWidth="1"/>
    <col min="9731" max="9731" width="16.42578125" style="217" customWidth="1"/>
    <col min="9732" max="9732" width="38.140625" style="217" customWidth="1"/>
    <col min="9733" max="9733" width="15" style="217" bestFit="1" customWidth="1"/>
    <col min="9734" max="9734" width="9.85546875" style="217" bestFit="1" customWidth="1"/>
    <col min="9735" max="9736" width="11.85546875" style="217" customWidth="1"/>
    <col min="9737" max="9737" width="14.28515625" style="217" customWidth="1"/>
    <col min="9738" max="9738" width="22.28515625" style="217" customWidth="1"/>
    <col min="9739" max="9984" width="9.140625" style="217"/>
    <col min="9985" max="9985" width="10" style="217" bestFit="1" customWidth="1"/>
    <col min="9986" max="9986" width="16.140625" style="217" customWidth="1"/>
    <col min="9987" max="9987" width="16.42578125" style="217" customWidth="1"/>
    <col min="9988" max="9988" width="38.140625" style="217" customWidth="1"/>
    <col min="9989" max="9989" width="15" style="217" bestFit="1" customWidth="1"/>
    <col min="9990" max="9990" width="9.85546875" style="217" bestFit="1" customWidth="1"/>
    <col min="9991" max="9992" width="11.85546875" style="217" customWidth="1"/>
    <col min="9993" max="9993" width="14.28515625" style="217" customWidth="1"/>
    <col min="9994" max="9994" width="22.28515625" style="217" customWidth="1"/>
    <col min="9995" max="10240" width="9.140625" style="217"/>
    <col min="10241" max="10241" width="10" style="217" bestFit="1" customWidth="1"/>
    <col min="10242" max="10242" width="16.140625" style="217" customWidth="1"/>
    <col min="10243" max="10243" width="16.42578125" style="217" customWidth="1"/>
    <col min="10244" max="10244" width="38.140625" style="217" customWidth="1"/>
    <col min="10245" max="10245" width="15" style="217" bestFit="1" customWidth="1"/>
    <col min="10246" max="10246" width="9.85546875" style="217" bestFit="1" customWidth="1"/>
    <col min="10247" max="10248" width="11.85546875" style="217" customWidth="1"/>
    <col min="10249" max="10249" width="14.28515625" style="217" customWidth="1"/>
    <col min="10250" max="10250" width="22.28515625" style="217" customWidth="1"/>
    <col min="10251" max="10496" width="9.140625" style="217"/>
    <col min="10497" max="10497" width="10" style="217" bestFit="1" customWidth="1"/>
    <col min="10498" max="10498" width="16.140625" style="217" customWidth="1"/>
    <col min="10499" max="10499" width="16.42578125" style="217" customWidth="1"/>
    <col min="10500" max="10500" width="38.140625" style="217" customWidth="1"/>
    <col min="10501" max="10501" width="15" style="217" bestFit="1" customWidth="1"/>
    <col min="10502" max="10502" width="9.85546875" style="217" bestFit="1" customWidth="1"/>
    <col min="10503" max="10504" width="11.85546875" style="217" customWidth="1"/>
    <col min="10505" max="10505" width="14.28515625" style="217" customWidth="1"/>
    <col min="10506" max="10506" width="22.28515625" style="217" customWidth="1"/>
    <col min="10507" max="10752" width="9.140625" style="217"/>
    <col min="10753" max="10753" width="10" style="217" bestFit="1" customWidth="1"/>
    <col min="10754" max="10754" width="16.140625" style="217" customWidth="1"/>
    <col min="10755" max="10755" width="16.42578125" style="217" customWidth="1"/>
    <col min="10756" max="10756" width="38.140625" style="217" customWidth="1"/>
    <col min="10757" max="10757" width="15" style="217" bestFit="1" customWidth="1"/>
    <col min="10758" max="10758" width="9.85546875" style="217" bestFit="1" customWidth="1"/>
    <col min="10759" max="10760" width="11.85546875" style="217" customWidth="1"/>
    <col min="10761" max="10761" width="14.28515625" style="217" customWidth="1"/>
    <col min="10762" max="10762" width="22.28515625" style="217" customWidth="1"/>
    <col min="10763" max="11008" width="9.140625" style="217"/>
    <col min="11009" max="11009" width="10" style="217" bestFit="1" customWidth="1"/>
    <col min="11010" max="11010" width="16.140625" style="217" customWidth="1"/>
    <col min="11011" max="11011" width="16.42578125" style="217" customWidth="1"/>
    <col min="11012" max="11012" width="38.140625" style="217" customWidth="1"/>
    <col min="11013" max="11013" width="15" style="217" bestFit="1" customWidth="1"/>
    <col min="11014" max="11014" width="9.85546875" style="217" bestFit="1" customWidth="1"/>
    <col min="11015" max="11016" width="11.85546875" style="217" customWidth="1"/>
    <col min="11017" max="11017" width="14.28515625" style="217" customWidth="1"/>
    <col min="11018" max="11018" width="22.28515625" style="217" customWidth="1"/>
    <col min="11019" max="11264" width="9.140625" style="217"/>
    <col min="11265" max="11265" width="10" style="217" bestFit="1" customWidth="1"/>
    <col min="11266" max="11266" width="16.140625" style="217" customWidth="1"/>
    <col min="11267" max="11267" width="16.42578125" style="217" customWidth="1"/>
    <col min="11268" max="11268" width="38.140625" style="217" customWidth="1"/>
    <col min="11269" max="11269" width="15" style="217" bestFit="1" customWidth="1"/>
    <col min="11270" max="11270" width="9.85546875" style="217" bestFit="1" customWidth="1"/>
    <col min="11271" max="11272" width="11.85546875" style="217" customWidth="1"/>
    <col min="11273" max="11273" width="14.28515625" style="217" customWidth="1"/>
    <col min="11274" max="11274" width="22.28515625" style="217" customWidth="1"/>
    <col min="11275" max="11520" width="9.140625" style="217"/>
    <col min="11521" max="11521" width="10" style="217" bestFit="1" customWidth="1"/>
    <col min="11522" max="11522" width="16.140625" style="217" customWidth="1"/>
    <col min="11523" max="11523" width="16.42578125" style="217" customWidth="1"/>
    <col min="11524" max="11524" width="38.140625" style="217" customWidth="1"/>
    <col min="11525" max="11525" width="15" style="217" bestFit="1" customWidth="1"/>
    <col min="11526" max="11526" width="9.85546875" style="217" bestFit="1" customWidth="1"/>
    <col min="11527" max="11528" width="11.85546875" style="217" customWidth="1"/>
    <col min="11529" max="11529" width="14.28515625" style="217" customWidth="1"/>
    <col min="11530" max="11530" width="22.28515625" style="217" customWidth="1"/>
    <col min="11531" max="11776" width="9.140625" style="217"/>
    <col min="11777" max="11777" width="10" style="217" bestFit="1" customWidth="1"/>
    <col min="11778" max="11778" width="16.140625" style="217" customWidth="1"/>
    <col min="11779" max="11779" width="16.42578125" style="217" customWidth="1"/>
    <col min="11780" max="11780" width="38.140625" style="217" customWidth="1"/>
    <col min="11781" max="11781" width="15" style="217" bestFit="1" customWidth="1"/>
    <col min="11782" max="11782" width="9.85546875" style="217" bestFit="1" customWidth="1"/>
    <col min="11783" max="11784" width="11.85546875" style="217" customWidth="1"/>
    <col min="11785" max="11785" width="14.28515625" style="217" customWidth="1"/>
    <col min="11786" max="11786" width="22.28515625" style="217" customWidth="1"/>
    <col min="11787" max="12032" width="9.140625" style="217"/>
    <col min="12033" max="12033" width="10" style="217" bestFit="1" customWidth="1"/>
    <col min="12034" max="12034" width="16.140625" style="217" customWidth="1"/>
    <col min="12035" max="12035" width="16.42578125" style="217" customWidth="1"/>
    <col min="12036" max="12036" width="38.140625" style="217" customWidth="1"/>
    <col min="12037" max="12037" width="15" style="217" bestFit="1" customWidth="1"/>
    <col min="12038" max="12038" width="9.85546875" style="217" bestFit="1" customWidth="1"/>
    <col min="12039" max="12040" width="11.85546875" style="217" customWidth="1"/>
    <col min="12041" max="12041" width="14.28515625" style="217" customWidth="1"/>
    <col min="12042" max="12042" width="22.28515625" style="217" customWidth="1"/>
    <col min="12043" max="12288" width="9.140625" style="217"/>
    <col min="12289" max="12289" width="10" style="217" bestFit="1" customWidth="1"/>
    <col min="12290" max="12290" width="16.140625" style="217" customWidth="1"/>
    <col min="12291" max="12291" width="16.42578125" style="217" customWidth="1"/>
    <col min="12292" max="12292" width="38.140625" style="217" customWidth="1"/>
    <col min="12293" max="12293" width="15" style="217" bestFit="1" customWidth="1"/>
    <col min="12294" max="12294" width="9.85546875" style="217" bestFit="1" customWidth="1"/>
    <col min="12295" max="12296" width="11.85546875" style="217" customWidth="1"/>
    <col min="12297" max="12297" width="14.28515625" style="217" customWidth="1"/>
    <col min="12298" max="12298" width="22.28515625" style="217" customWidth="1"/>
    <col min="12299" max="12544" width="9.140625" style="217"/>
    <col min="12545" max="12545" width="10" style="217" bestFit="1" customWidth="1"/>
    <col min="12546" max="12546" width="16.140625" style="217" customWidth="1"/>
    <col min="12547" max="12547" width="16.42578125" style="217" customWidth="1"/>
    <col min="12548" max="12548" width="38.140625" style="217" customWidth="1"/>
    <col min="12549" max="12549" width="15" style="217" bestFit="1" customWidth="1"/>
    <col min="12550" max="12550" width="9.85546875" style="217" bestFit="1" customWidth="1"/>
    <col min="12551" max="12552" width="11.85546875" style="217" customWidth="1"/>
    <col min="12553" max="12553" width="14.28515625" style="217" customWidth="1"/>
    <col min="12554" max="12554" width="22.28515625" style="217" customWidth="1"/>
    <col min="12555" max="12800" width="9.140625" style="217"/>
    <col min="12801" max="12801" width="10" style="217" bestFit="1" customWidth="1"/>
    <col min="12802" max="12802" width="16.140625" style="217" customWidth="1"/>
    <col min="12803" max="12803" width="16.42578125" style="217" customWidth="1"/>
    <col min="12804" max="12804" width="38.140625" style="217" customWidth="1"/>
    <col min="12805" max="12805" width="15" style="217" bestFit="1" customWidth="1"/>
    <col min="12806" max="12806" width="9.85546875" style="217" bestFit="1" customWidth="1"/>
    <col min="12807" max="12808" width="11.85546875" style="217" customWidth="1"/>
    <col min="12809" max="12809" width="14.28515625" style="217" customWidth="1"/>
    <col min="12810" max="12810" width="22.28515625" style="217" customWidth="1"/>
    <col min="12811" max="13056" width="9.140625" style="217"/>
    <col min="13057" max="13057" width="10" style="217" bestFit="1" customWidth="1"/>
    <col min="13058" max="13058" width="16.140625" style="217" customWidth="1"/>
    <col min="13059" max="13059" width="16.42578125" style="217" customWidth="1"/>
    <col min="13060" max="13060" width="38.140625" style="217" customWidth="1"/>
    <col min="13061" max="13061" width="15" style="217" bestFit="1" customWidth="1"/>
    <col min="13062" max="13062" width="9.85546875" style="217" bestFit="1" customWidth="1"/>
    <col min="13063" max="13064" width="11.85546875" style="217" customWidth="1"/>
    <col min="13065" max="13065" width="14.28515625" style="217" customWidth="1"/>
    <col min="13066" max="13066" width="22.28515625" style="217" customWidth="1"/>
    <col min="13067" max="13312" width="9.140625" style="217"/>
    <col min="13313" max="13313" width="10" style="217" bestFit="1" customWidth="1"/>
    <col min="13314" max="13314" width="16.140625" style="217" customWidth="1"/>
    <col min="13315" max="13315" width="16.42578125" style="217" customWidth="1"/>
    <col min="13316" max="13316" width="38.140625" style="217" customWidth="1"/>
    <col min="13317" max="13317" width="15" style="217" bestFit="1" customWidth="1"/>
    <col min="13318" max="13318" width="9.85546875" style="217" bestFit="1" customWidth="1"/>
    <col min="13319" max="13320" width="11.85546875" style="217" customWidth="1"/>
    <col min="13321" max="13321" width="14.28515625" style="217" customWidth="1"/>
    <col min="13322" max="13322" width="22.28515625" style="217" customWidth="1"/>
    <col min="13323" max="13568" width="9.140625" style="217"/>
    <col min="13569" max="13569" width="10" style="217" bestFit="1" customWidth="1"/>
    <col min="13570" max="13570" width="16.140625" style="217" customWidth="1"/>
    <col min="13571" max="13571" width="16.42578125" style="217" customWidth="1"/>
    <col min="13572" max="13572" width="38.140625" style="217" customWidth="1"/>
    <col min="13573" max="13573" width="15" style="217" bestFit="1" customWidth="1"/>
    <col min="13574" max="13574" width="9.85546875" style="217" bestFit="1" customWidth="1"/>
    <col min="13575" max="13576" width="11.85546875" style="217" customWidth="1"/>
    <col min="13577" max="13577" width="14.28515625" style="217" customWidth="1"/>
    <col min="13578" max="13578" width="22.28515625" style="217" customWidth="1"/>
    <col min="13579" max="13824" width="9.140625" style="217"/>
    <col min="13825" max="13825" width="10" style="217" bestFit="1" customWidth="1"/>
    <col min="13826" max="13826" width="16.140625" style="217" customWidth="1"/>
    <col min="13827" max="13827" width="16.42578125" style="217" customWidth="1"/>
    <col min="13828" max="13828" width="38.140625" style="217" customWidth="1"/>
    <col min="13829" max="13829" width="15" style="217" bestFit="1" customWidth="1"/>
    <col min="13830" max="13830" width="9.85546875" style="217" bestFit="1" customWidth="1"/>
    <col min="13831" max="13832" width="11.85546875" style="217" customWidth="1"/>
    <col min="13833" max="13833" width="14.28515625" style="217" customWidth="1"/>
    <col min="13834" max="13834" width="22.28515625" style="217" customWidth="1"/>
    <col min="13835" max="14080" width="9.140625" style="217"/>
    <col min="14081" max="14081" width="10" style="217" bestFit="1" customWidth="1"/>
    <col min="14082" max="14082" width="16.140625" style="217" customWidth="1"/>
    <col min="14083" max="14083" width="16.42578125" style="217" customWidth="1"/>
    <col min="14084" max="14084" width="38.140625" style="217" customWidth="1"/>
    <col min="14085" max="14085" width="15" style="217" bestFit="1" customWidth="1"/>
    <col min="14086" max="14086" width="9.85546875" style="217" bestFit="1" customWidth="1"/>
    <col min="14087" max="14088" width="11.85546875" style="217" customWidth="1"/>
    <col min="14089" max="14089" width="14.28515625" style="217" customWidth="1"/>
    <col min="14090" max="14090" width="22.28515625" style="217" customWidth="1"/>
    <col min="14091" max="14336" width="9.140625" style="217"/>
    <col min="14337" max="14337" width="10" style="217" bestFit="1" customWidth="1"/>
    <col min="14338" max="14338" width="16.140625" style="217" customWidth="1"/>
    <col min="14339" max="14339" width="16.42578125" style="217" customWidth="1"/>
    <col min="14340" max="14340" width="38.140625" style="217" customWidth="1"/>
    <col min="14341" max="14341" width="15" style="217" bestFit="1" customWidth="1"/>
    <col min="14342" max="14342" width="9.85546875" style="217" bestFit="1" customWidth="1"/>
    <col min="14343" max="14344" width="11.85546875" style="217" customWidth="1"/>
    <col min="14345" max="14345" width="14.28515625" style="217" customWidth="1"/>
    <col min="14346" max="14346" width="22.28515625" style="217" customWidth="1"/>
    <col min="14347" max="14592" width="9.140625" style="217"/>
    <col min="14593" max="14593" width="10" style="217" bestFit="1" customWidth="1"/>
    <col min="14594" max="14594" width="16.140625" style="217" customWidth="1"/>
    <col min="14595" max="14595" width="16.42578125" style="217" customWidth="1"/>
    <col min="14596" max="14596" width="38.140625" style="217" customWidth="1"/>
    <col min="14597" max="14597" width="15" style="217" bestFit="1" customWidth="1"/>
    <col min="14598" max="14598" width="9.85546875" style="217" bestFit="1" customWidth="1"/>
    <col min="14599" max="14600" width="11.85546875" style="217" customWidth="1"/>
    <col min="14601" max="14601" width="14.28515625" style="217" customWidth="1"/>
    <col min="14602" max="14602" width="22.28515625" style="217" customWidth="1"/>
    <col min="14603" max="14848" width="9.140625" style="217"/>
    <col min="14849" max="14849" width="10" style="217" bestFit="1" customWidth="1"/>
    <col min="14850" max="14850" width="16.140625" style="217" customWidth="1"/>
    <col min="14851" max="14851" width="16.42578125" style="217" customWidth="1"/>
    <col min="14852" max="14852" width="38.140625" style="217" customWidth="1"/>
    <col min="14853" max="14853" width="15" style="217" bestFit="1" customWidth="1"/>
    <col min="14854" max="14854" width="9.85546875" style="217" bestFit="1" customWidth="1"/>
    <col min="14855" max="14856" width="11.85546875" style="217" customWidth="1"/>
    <col min="14857" max="14857" width="14.28515625" style="217" customWidth="1"/>
    <col min="14858" max="14858" width="22.28515625" style="217" customWidth="1"/>
    <col min="14859" max="15104" width="9.140625" style="217"/>
    <col min="15105" max="15105" width="10" style="217" bestFit="1" customWidth="1"/>
    <col min="15106" max="15106" width="16.140625" style="217" customWidth="1"/>
    <col min="15107" max="15107" width="16.42578125" style="217" customWidth="1"/>
    <col min="15108" max="15108" width="38.140625" style="217" customWidth="1"/>
    <col min="15109" max="15109" width="15" style="217" bestFit="1" customWidth="1"/>
    <col min="15110" max="15110" width="9.85546875" style="217" bestFit="1" customWidth="1"/>
    <col min="15111" max="15112" width="11.85546875" style="217" customWidth="1"/>
    <col min="15113" max="15113" width="14.28515625" style="217" customWidth="1"/>
    <col min="15114" max="15114" width="22.28515625" style="217" customWidth="1"/>
    <col min="15115" max="15360" width="9.140625" style="217"/>
    <col min="15361" max="15361" width="10" style="217" bestFit="1" customWidth="1"/>
    <col min="15362" max="15362" width="16.140625" style="217" customWidth="1"/>
    <col min="15363" max="15363" width="16.42578125" style="217" customWidth="1"/>
    <col min="15364" max="15364" width="38.140625" style="217" customWidth="1"/>
    <col min="15365" max="15365" width="15" style="217" bestFit="1" customWidth="1"/>
    <col min="15366" max="15366" width="9.85546875" style="217" bestFit="1" customWidth="1"/>
    <col min="15367" max="15368" width="11.85546875" style="217" customWidth="1"/>
    <col min="15369" max="15369" width="14.28515625" style="217" customWidth="1"/>
    <col min="15370" max="15370" width="22.28515625" style="217" customWidth="1"/>
    <col min="15371" max="15616" width="9.140625" style="217"/>
    <col min="15617" max="15617" width="10" style="217" bestFit="1" customWidth="1"/>
    <col min="15618" max="15618" width="16.140625" style="217" customWidth="1"/>
    <col min="15619" max="15619" width="16.42578125" style="217" customWidth="1"/>
    <col min="15620" max="15620" width="38.140625" style="217" customWidth="1"/>
    <col min="15621" max="15621" width="15" style="217" bestFit="1" customWidth="1"/>
    <col min="15622" max="15622" width="9.85546875" style="217" bestFit="1" customWidth="1"/>
    <col min="15623" max="15624" width="11.85546875" style="217" customWidth="1"/>
    <col min="15625" max="15625" width="14.28515625" style="217" customWidth="1"/>
    <col min="15626" max="15626" width="22.28515625" style="217" customWidth="1"/>
    <col min="15627" max="15872" width="9.140625" style="217"/>
    <col min="15873" max="15873" width="10" style="217" bestFit="1" customWidth="1"/>
    <col min="15874" max="15874" width="16.140625" style="217" customWidth="1"/>
    <col min="15875" max="15875" width="16.42578125" style="217" customWidth="1"/>
    <col min="15876" max="15876" width="38.140625" style="217" customWidth="1"/>
    <col min="15877" max="15877" width="15" style="217" bestFit="1" customWidth="1"/>
    <col min="15878" max="15878" width="9.85546875" style="217" bestFit="1" customWidth="1"/>
    <col min="15879" max="15880" width="11.85546875" style="217" customWidth="1"/>
    <col min="15881" max="15881" width="14.28515625" style="217" customWidth="1"/>
    <col min="15882" max="15882" width="22.28515625" style="217" customWidth="1"/>
    <col min="15883" max="16128" width="9.140625" style="217"/>
    <col min="16129" max="16129" width="10" style="217" bestFit="1" customWidth="1"/>
    <col min="16130" max="16130" width="16.140625" style="217" customWidth="1"/>
    <col min="16131" max="16131" width="16.42578125" style="217" customWidth="1"/>
    <col min="16132" max="16132" width="38.140625" style="217" customWidth="1"/>
    <col min="16133" max="16133" width="15" style="217" bestFit="1" customWidth="1"/>
    <col min="16134" max="16134" width="9.85546875" style="217" bestFit="1" customWidth="1"/>
    <col min="16135" max="16136" width="11.85546875" style="217" customWidth="1"/>
    <col min="16137" max="16137" width="14.28515625" style="217" customWidth="1"/>
    <col min="16138" max="16138" width="22.28515625" style="217" customWidth="1"/>
    <col min="16139" max="16384" width="9.140625" style="217"/>
  </cols>
  <sheetData>
    <row r="1" spans="1:10" ht="15.75" x14ac:dyDescent="0.25">
      <c r="B1" s="453"/>
      <c r="C1" s="454"/>
      <c r="D1" s="573" t="s">
        <v>0</v>
      </c>
      <c r="E1" s="574"/>
      <c r="F1" s="574"/>
      <c r="G1" s="574"/>
      <c r="H1" s="575"/>
      <c r="I1" s="215" t="s">
        <v>1</v>
      </c>
      <c r="J1" s="341" t="s">
        <v>286</v>
      </c>
    </row>
    <row r="2" spans="1:10" ht="16.5" thickBot="1" x14ac:dyDescent="0.3">
      <c r="B2" s="455"/>
      <c r="C2" s="456"/>
      <c r="D2" s="576" t="s">
        <v>2</v>
      </c>
      <c r="E2" s="577"/>
      <c r="F2" s="577"/>
      <c r="G2" s="577"/>
      <c r="H2" s="578"/>
      <c r="I2" s="218" t="s">
        <v>3</v>
      </c>
      <c r="J2" s="342" t="s">
        <v>287</v>
      </c>
    </row>
    <row r="3" spans="1:10" ht="50.1" customHeight="1" thickBot="1" x14ac:dyDescent="0.3">
      <c r="B3" s="455"/>
      <c r="C3" s="456"/>
      <c r="D3" s="536" t="s">
        <v>288</v>
      </c>
      <c r="E3" s="537"/>
      <c r="F3" s="537"/>
      <c r="G3" s="537"/>
      <c r="H3" s="538"/>
      <c r="I3" s="444" t="s">
        <v>4</v>
      </c>
      <c r="J3" s="565">
        <v>44091</v>
      </c>
    </row>
    <row r="4" spans="1:10" x14ac:dyDescent="0.25">
      <c r="B4" s="455"/>
      <c r="C4" s="456"/>
      <c r="D4" s="309" t="s">
        <v>5</v>
      </c>
      <c r="E4" s="528" t="s">
        <v>225</v>
      </c>
      <c r="F4" s="529"/>
      <c r="G4" s="529"/>
      <c r="H4" s="530"/>
      <c r="I4" s="445"/>
      <c r="J4" s="566"/>
    </row>
    <row r="5" spans="1:10" ht="15" customHeight="1" thickBot="1" x14ac:dyDescent="0.3">
      <c r="B5" s="457"/>
      <c r="C5" s="458"/>
      <c r="D5" s="323" t="s">
        <v>6</v>
      </c>
      <c r="E5" s="568" t="s">
        <v>289</v>
      </c>
      <c r="F5" s="569"/>
      <c r="G5" s="569"/>
      <c r="H5" s="570"/>
      <c r="I5" s="446"/>
      <c r="J5" s="567"/>
    </row>
    <row r="6" spans="1:10" x14ac:dyDescent="0.25">
      <c r="A6" s="343"/>
      <c r="B6" s="579" t="s">
        <v>9</v>
      </c>
      <c r="C6" s="545" t="s">
        <v>33</v>
      </c>
      <c r="D6" s="582" t="s">
        <v>10</v>
      </c>
      <c r="E6" s="582" t="s">
        <v>11</v>
      </c>
      <c r="F6" s="571" t="s">
        <v>12</v>
      </c>
      <c r="G6" s="572"/>
      <c r="H6" s="571" t="s">
        <v>13</v>
      </c>
      <c r="I6" s="572"/>
      <c r="J6" s="223" t="s">
        <v>14</v>
      </c>
    </row>
    <row r="7" spans="1:10" ht="27" thickBot="1" x14ac:dyDescent="0.3">
      <c r="A7" s="343"/>
      <c r="B7" s="580"/>
      <c r="C7" s="581"/>
      <c r="D7" s="583"/>
      <c r="E7" s="583"/>
      <c r="F7" s="344" t="s">
        <v>15</v>
      </c>
      <c r="G7" s="345" t="s">
        <v>16</v>
      </c>
      <c r="H7" s="224" t="s">
        <v>15</v>
      </c>
      <c r="I7" s="225" t="s">
        <v>16</v>
      </c>
      <c r="J7" s="276" t="s">
        <v>17</v>
      </c>
    </row>
    <row r="8" spans="1:10" x14ac:dyDescent="0.25">
      <c r="A8" s="343"/>
      <c r="B8" s="20"/>
      <c r="C8" s="20"/>
      <c r="D8" s="346"/>
      <c r="E8" s="347"/>
      <c r="F8" s="231"/>
      <c r="G8" s="240"/>
      <c r="H8" s="21"/>
      <c r="I8" s="317"/>
      <c r="J8" s="318"/>
    </row>
    <row r="9" spans="1:10" ht="15" x14ac:dyDescent="0.25">
      <c r="A9" s="343"/>
      <c r="B9" s="27" t="s">
        <v>182</v>
      </c>
      <c r="C9" s="27"/>
      <c r="D9" s="1" t="s">
        <v>269</v>
      </c>
      <c r="E9" s="332" t="s">
        <v>18</v>
      </c>
      <c r="F9" s="333">
        <v>21400</v>
      </c>
      <c r="G9" s="334" t="s">
        <v>19</v>
      </c>
      <c r="H9" s="21"/>
      <c r="I9" s="348"/>
      <c r="J9" s="318"/>
    </row>
    <row r="10" spans="1:10" ht="15" x14ac:dyDescent="0.25">
      <c r="A10" s="343"/>
      <c r="B10" s="27">
        <v>90100131</v>
      </c>
      <c r="C10" s="27" t="s">
        <v>290</v>
      </c>
      <c r="D10" s="1" t="s">
        <v>291</v>
      </c>
      <c r="E10" s="332" t="s">
        <v>18</v>
      </c>
      <c r="F10" s="333">
        <v>8000</v>
      </c>
      <c r="G10" s="334" t="s">
        <v>19</v>
      </c>
      <c r="H10" s="21"/>
      <c r="I10" s="348"/>
      <c r="J10" s="318"/>
    </row>
    <row r="11" spans="1:10" ht="15" x14ac:dyDescent="0.25">
      <c r="A11" s="343"/>
      <c r="B11" s="27" t="s">
        <v>292</v>
      </c>
      <c r="C11" s="27" t="s">
        <v>293</v>
      </c>
      <c r="D11" s="1" t="s">
        <v>294</v>
      </c>
      <c r="E11" s="332" t="s">
        <v>295</v>
      </c>
      <c r="F11" s="333">
        <v>5</v>
      </c>
      <c r="G11" s="334" t="s">
        <v>19</v>
      </c>
      <c r="H11" s="21"/>
      <c r="I11" s="348"/>
      <c r="J11" s="318"/>
    </row>
    <row r="12" spans="1:10" ht="15" x14ac:dyDescent="0.25">
      <c r="A12" s="343"/>
      <c r="B12" s="27" t="s">
        <v>296</v>
      </c>
      <c r="C12" s="27" t="s">
        <v>297</v>
      </c>
      <c r="D12" s="68" t="s">
        <v>298</v>
      </c>
      <c r="E12" s="332" t="s">
        <v>299</v>
      </c>
      <c r="F12" s="333">
        <v>2000</v>
      </c>
      <c r="G12" s="334" t="s">
        <v>19</v>
      </c>
      <c r="H12" s="21"/>
      <c r="I12" s="348"/>
      <c r="J12" s="318"/>
    </row>
    <row r="13" spans="1:10" ht="15" x14ac:dyDescent="0.25">
      <c r="A13" s="343"/>
      <c r="B13" s="27" t="s">
        <v>235</v>
      </c>
      <c r="C13" s="27" t="s">
        <v>271</v>
      </c>
      <c r="D13" s="1" t="s">
        <v>272</v>
      </c>
      <c r="E13" s="332" t="s">
        <v>300</v>
      </c>
      <c r="F13" s="333">
        <v>66</v>
      </c>
      <c r="G13" s="334" t="s">
        <v>19</v>
      </c>
      <c r="H13" s="21"/>
      <c r="I13" s="348"/>
      <c r="J13" s="318"/>
    </row>
    <row r="14" spans="1:10" ht="15" x14ac:dyDescent="0.25">
      <c r="B14" s="331"/>
      <c r="C14" s="331"/>
      <c r="D14" s="328"/>
      <c r="E14" s="332"/>
      <c r="F14" s="333"/>
      <c r="G14" s="334"/>
      <c r="H14" s="21"/>
      <c r="I14" s="317"/>
      <c r="J14" s="318"/>
    </row>
    <row r="15" spans="1:10" ht="15" x14ac:dyDescent="0.25">
      <c r="B15" s="27" t="s">
        <v>301</v>
      </c>
      <c r="C15" s="27" t="s">
        <v>302</v>
      </c>
      <c r="D15" s="1" t="s">
        <v>303</v>
      </c>
      <c r="E15" s="332"/>
      <c r="F15" s="333">
        <v>400</v>
      </c>
      <c r="G15" s="334" t="s">
        <v>64</v>
      </c>
      <c r="H15" s="21"/>
      <c r="I15" s="317"/>
      <c r="J15" s="318"/>
    </row>
    <row r="16" spans="1:10" ht="15" x14ac:dyDescent="0.25">
      <c r="B16" s="27" t="s">
        <v>68</v>
      </c>
      <c r="C16" s="27" t="s">
        <v>69</v>
      </c>
      <c r="D16" s="1" t="s">
        <v>243</v>
      </c>
      <c r="E16" s="332"/>
      <c r="F16" s="333">
        <v>2</v>
      </c>
      <c r="G16" s="334" t="s">
        <v>21</v>
      </c>
      <c r="H16" s="21"/>
      <c r="I16" s="317"/>
      <c r="J16" s="318"/>
    </row>
    <row r="17" spans="2:14" x14ac:dyDescent="0.25">
      <c r="B17" s="349"/>
      <c r="C17" s="349"/>
      <c r="D17" s="238"/>
      <c r="E17" s="347"/>
      <c r="F17" s="231"/>
      <c r="G17" s="240"/>
      <c r="H17" s="21"/>
      <c r="I17" s="317"/>
      <c r="J17" s="318"/>
    </row>
    <row r="18" spans="2:14" x14ac:dyDescent="0.25">
      <c r="B18" s="20"/>
      <c r="C18" s="20"/>
      <c r="D18" s="350"/>
      <c r="E18" s="347"/>
      <c r="F18" s="231"/>
      <c r="G18" s="240"/>
      <c r="H18" s="21"/>
      <c r="I18" s="317"/>
      <c r="J18" s="318"/>
    </row>
    <row r="19" spans="2:14" x14ac:dyDescent="0.25">
      <c r="B19" s="349"/>
      <c r="C19" s="349"/>
      <c r="D19" s="238"/>
      <c r="E19" s="347"/>
      <c r="F19" s="231"/>
      <c r="G19" s="240"/>
      <c r="H19" s="21"/>
      <c r="I19" s="317"/>
      <c r="J19" s="318"/>
    </row>
    <row r="20" spans="2:14" x14ac:dyDescent="0.25">
      <c r="B20" s="349"/>
      <c r="C20" s="349"/>
      <c r="D20" s="238"/>
      <c r="E20" s="347"/>
      <c r="F20" s="231"/>
      <c r="G20" s="240"/>
      <c r="H20" s="21"/>
      <c r="I20" s="317"/>
      <c r="J20" s="318"/>
    </row>
    <row r="21" spans="2:14" x14ac:dyDescent="0.25">
      <c r="B21" s="349"/>
      <c r="C21" s="349"/>
      <c r="D21" s="238"/>
      <c r="E21" s="347"/>
      <c r="F21" s="231"/>
      <c r="G21" s="240"/>
      <c r="H21" s="21"/>
      <c r="I21" s="317"/>
      <c r="J21" s="318"/>
    </row>
    <row r="22" spans="2:14" x14ac:dyDescent="0.25">
      <c r="B22" s="349"/>
      <c r="C22" s="349"/>
      <c r="D22" s="238"/>
      <c r="E22" s="347"/>
      <c r="F22" s="231"/>
      <c r="G22" s="240"/>
      <c r="H22" s="21"/>
      <c r="I22" s="317"/>
      <c r="J22" s="318"/>
    </row>
    <row r="23" spans="2:14" x14ac:dyDescent="0.25">
      <c r="B23" s="349"/>
      <c r="C23" s="349"/>
      <c r="D23" s="238"/>
      <c r="E23" s="347"/>
      <c r="F23" s="231"/>
      <c r="G23" s="240"/>
      <c r="H23" s="21"/>
      <c r="I23" s="317"/>
      <c r="J23" s="318"/>
    </row>
    <row r="24" spans="2:14" x14ac:dyDescent="0.25">
      <c r="B24" s="351"/>
      <c r="C24" s="351"/>
      <c r="D24" s="352"/>
      <c r="E24" s="347"/>
      <c r="F24" s="231"/>
      <c r="G24" s="240"/>
      <c r="H24" s="21"/>
      <c r="I24" s="317"/>
      <c r="J24" s="318"/>
    </row>
    <row r="25" spans="2:14" x14ac:dyDescent="0.25">
      <c r="B25" s="349"/>
      <c r="C25" s="349"/>
      <c r="D25" s="238"/>
      <c r="E25" s="347"/>
      <c r="F25" s="231"/>
      <c r="G25" s="240"/>
      <c r="H25" s="21"/>
      <c r="I25" s="317"/>
      <c r="J25" s="318"/>
    </row>
    <row r="26" spans="2:14" ht="14.25" thickBot="1" x14ac:dyDescent="0.3">
      <c r="B26" s="353"/>
      <c r="C26" s="353"/>
      <c r="D26" s="354"/>
      <c r="E26" s="355"/>
      <c r="F26" s="356"/>
      <c r="G26" s="357"/>
      <c r="H26" s="356"/>
      <c r="I26" s="358"/>
      <c r="J26" s="359"/>
    </row>
    <row r="27" spans="2:14" ht="14.25" thickBot="1" x14ac:dyDescent="0.3">
      <c r="B27" s="248"/>
      <c r="C27" s="249"/>
      <c r="D27" s="250"/>
      <c r="E27" s="251"/>
      <c r="F27" s="252"/>
      <c r="G27" s="253"/>
      <c r="H27" s="250"/>
      <c r="I27" s="250"/>
      <c r="J27" s="254"/>
      <c r="M27" s="247"/>
    </row>
    <row r="28" spans="2:14" x14ac:dyDescent="0.25">
      <c r="B28" s="447" t="s">
        <v>23</v>
      </c>
      <c r="C28" s="448"/>
      <c r="D28" s="449"/>
      <c r="E28" s="21">
        <v>31300</v>
      </c>
      <c r="F28" s="255" t="s">
        <v>19</v>
      </c>
      <c r="G28" s="584" t="s">
        <v>34</v>
      </c>
      <c r="H28" s="585"/>
      <c r="I28" s="451"/>
      <c r="J28" s="452"/>
      <c r="M28" s="247"/>
    </row>
    <row r="29" spans="2:14" x14ac:dyDescent="0.25">
      <c r="B29" s="413" t="s">
        <v>24</v>
      </c>
      <c r="C29" s="414"/>
      <c r="D29" s="415"/>
      <c r="E29" s="20">
        <v>15</v>
      </c>
      <c r="F29" s="20" t="s">
        <v>25</v>
      </c>
      <c r="G29" s="586" t="s">
        <v>35</v>
      </c>
      <c r="H29" s="587"/>
      <c r="I29" s="417"/>
      <c r="J29" s="418"/>
      <c r="M29" s="247"/>
    </row>
    <row r="30" spans="2:14" x14ac:dyDescent="0.25">
      <c r="B30" s="413" t="s">
        <v>26</v>
      </c>
      <c r="C30" s="414"/>
      <c r="D30" s="415"/>
      <c r="E30" s="20">
        <f>+E28/E31</f>
        <v>1</v>
      </c>
      <c r="F30" s="20" t="s">
        <v>304</v>
      </c>
      <c r="G30" s="586" t="s">
        <v>36</v>
      </c>
      <c r="H30" s="587"/>
      <c r="I30" s="417"/>
      <c r="J30" s="418"/>
      <c r="M30" s="247"/>
    </row>
    <row r="31" spans="2:14" x14ac:dyDescent="0.25">
      <c r="B31" s="413" t="s">
        <v>27</v>
      </c>
      <c r="C31" s="414"/>
      <c r="D31" s="415"/>
      <c r="E31" s="20">
        <v>31300</v>
      </c>
      <c r="F31" s="20" t="s">
        <v>19</v>
      </c>
      <c r="G31" s="555" t="s">
        <v>37</v>
      </c>
      <c r="H31" s="556"/>
      <c r="I31" s="417"/>
      <c r="J31" s="418"/>
      <c r="M31" s="247"/>
      <c r="N31" s="320"/>
    </row>
    <row r="32" spans="2:14" ht="14.25" thickBot="1" x14ac:dyDescent="0.3">
      <c r="B32" s="419" t="s">
        <v>28</v>
      </c>
      <c r="C32" s="420"/>
      <c r="D32" s="421"/>
      <c r="E32" s="264">
        <f>(SUM(F9:F13))-E28</f>
        <v>171</v>
      </c>
      <c r="F32" s="265" t="s">
        <v>19</v>
      </c>
      <c r="G32" s="589"/>
      <c r="H32" s="590"/>
      <c r="I32" s="423"/>
      <c r="J32" s="424"/>
      <c r="M32" s="247"/>
    </row>
    <row r="33" spans="2:10" x14ac:dyDescent="0.25">
      <c r="B33" s="591" t="s">
        <v>29</v>
      </c>
      <c r="C33" s="592"/>
      <c r="D33" s="592"/>
      <c r="E33" s="592"/>
      <c r="F33" s="592"/>
      <c r="G33" s="592"/>
      <c r="H33" s="592"/>
      <c r="I33" s="592"/>
      <c r="J33" s="593"/>
    </row>
    <row r="34" spans="2:10" ht="16.5" customHeight="1" x14ac:dyDescent="0.25">
      <c r="B34" s="588" t="s">
        <v>305</v>
      </c>
      <c r="C34" s="588"/>
      <c r="D34" s="588"/>
      <c r="E34" s="588"/>
      <c r="F34" s="588"/>
      <c r="G34" s="588"/>
      <c r="H34" s="588"/>
      <c r="I34" s="588"/>
      <c r="J34" s="588"/>
    </row>
    <row r="35" spans="2:10" ht="33" customHeight="1" x14ac:dyDescent="0.25">
      <c r="B35" s="588" t="s">
        <v>306</v>
      </c>
      <c r="C35" s="588"/>
      <c r="D35" s="588"/>
      <c r="E35" s="588"/>
      <c r="F35" s="588"/>
      <c r="G35" s="588"/>
      <c r="H35" s="588"/>
      <c r="I35" s="588"/>
      <c r="J35" s="588"/>
    </row>
    <row r="36" spans="2:10" ht="27.75" customHeight="1" x14ac:dyDescent="0.25">
      <c r="B36" s="594" t="s">
        <v>307</v>
      </c>
      <c r="C36" s="594"/>
      <c r="D36" s="594"/>
      <c r="E36" s="594"/>
      <c r="F36" s="594"/>
      <c r="G36" s="594"/>
      <c r="H36" s="594"/>
      <c r="I36" s="594"/>
      <c r="J36" s="594"/>
    </row>
    <row r="37" spans="2:10" x14ac:dyDescent="0.25">
      <c r="B37" s="482"/>
      <c r="C37" s="483"/>
      <c r="D37" s="483"/>
      <c r="E37" s="483"/>
      <c r="F37" s="483"/>
      <c r="G37" s="483"/>
      <c r="H37" s="483"/>
      <c r="I37" s="483"/>
      <c r="J37" s="484"/>
    </row>
    <row r="38" spans="2:10" x14ac:dyDescent="0.25">
      <c r="B38" s="432" t="s">
        <v>276</v>
      </c>
      <c r="C38" s="433"/>
      <c r="D38" s="433"/>
      <c r="E38" s="433"/>
      <c r="F38" s="433"/>
      <c r="G38" s="433"/>
      <c r="H38" s="433"/>
      <c r="I38" s="433"/>
      <c r="J38" s="434"/>
    </row>
    <row r="39" spans="2:10" ht="14.25" thickBot="1" x14ac:dyDescent="0.3">
      <c r="B39" s="595" t="s">
        <v>308</v>
      </c>
      <c r="C39" s="596"/>
      <c r="D39" s="596"/>
      <c r="E39" s="596"/>
      <c r="F39" s="596"/>
      <c r="G39" s="596"/>
      <c r="H39" s="596"/>
      <c r="I39" s="596"/>
      <c r="J39" s="597"/>
    </row>
    <row r="40" spans="2:10" ht="14.25" thickBot="1" x14ac:dyDescent="0.3">
      <c r="B40" s="595" t="s">
        <v>309</v>
      </c>
      <c r="C40" s="596"/>
      <c r="D40" s="596"/>
      <c r="E40" s="596"/>
      <c r="F40" s="596"/>
      <c r="G40" s="596"/>
      <c r="H40" s="596"/>
      <c r="I40" s="596"/>
      <c r="J40" s="597"/>
    </row>
    <row r="41" spans="2:10" x14ac:dyDescent="0.25">
      <c r="B41" s="321"/>
      <c r="C41" s="321"/>
      <c r="D41" s="321"/>
    </row>
  </sheetData>
  <mergeCells count="37">
    <mergeCell ref="B36:J36"/>
    <mergeCell ref="B37:J37"/>
    <mergeCell ref="B38:J38"/>
    <mergeCell ref="B39:J39"/>
    <mergeCell ref="B40:J40"/>
    <mergeCell ref="B35:J35"/>
    <mergeCell ref="B30:D30"/>
    <mergeCell ref="G30:H30"/>
    <mergeCell ref="I30:J30"/>
    <mergeCell ref="B31:D31"/>
    <mergeCell ref="G31:H31"/>
    <mergeCell ref="I31:J31"/>
    <mergeCell ref="B32:D32"/>
    <mergeCell ref="G32:H32"/>
    <mergeCell ref="I32:J32"/>
    <mergeCell ref="B33:J33"/>
    <mergeCell ref="B34:J34"/>
    <mergeCell ref="B28:D28"/>
    <mergeCell ref="G28:H28"/>
    <mergeCell ref="I28:J28"/>
    <mergeCell ref="B29:D29"/>
    <mergeCell ref="G29:H29"/>
    <mergeCell ref="I29:J29"/>
    <mergeCell ref="J3:J5"/>
    <mergeCell ref="E4:H4"/>
    <mergeCell ref="E5:H5"/>
    <mergeCell ref="H6:I6"/>
    <mergeCell ref="B1:C5"/>
    <mergeCell ref="D1:H1"/>
    <mergeCell ref="D2:H2"/>
    <mergeCell ref="D3:H3"/>
    <mergeCell ref="I3:I5"/>
    <mergeCell ref="B6:B7"/>
    <mergeCell ref="C6:C7"/>
    <mergeCell ref="D6:D7"/>
    <mergeCell ref="E6:E7"/>
    <mergeCell ref="F6:G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34F63-CD34-4B12-BA6B-7FDE69C91E93}">
  <dimension ref="A1:M27"/>
  <sheetViews>
    <sheetView workbookViewId="0">
      <selection activeCell="C7" sqref="C7:C8"/>
    </sheetView>
  </sheetViews>
  <sheetFormatPr baseColWidth="10" defaultColWidth="11.28515625" defaultRowHeight="13.5" x14ac:dyDescent="0.25"/>
  <cols>
    <col min="1" max="1" width="16.28515625" style="217" customWidth="1"/>
    <col min="2" max="2" width="11.85546875" style="217" customWidth="1"/>
    <col min="3" max="3" width="46.5703125" style="217" customWidth="1"/>
    <col min="4" max="7" width="11.28515625" style="217"/>
    <col min="8" max="9" width="16.7109375" style="217" customWidth="1"/>
    <col min="10" max="256" width="11.28515625" style="217"/>
    <col min="257" max="257" width="16.28515625" style="217" customWidth="1"/>
    <col min="258" max="258" width="11.85546875" style="217" customWidth="1"/>
    <col min="259" max="259" width="46.5703125" style="217" customWidth="1"/>
    <col min="260" max="263" width="11.28515625" style="217"/>
    <col min="264" max="265" width="16.7109375" style="217" customWidth="1"/>
    <col min="266" max="512" width="11.28515625" style="217"/>
    <col min="513" max="513" width="16.28515625" style="217" customWidth="1"/>
    <col min="514" max="514" width="11.85546875" style="217" customWidth="1"/>
    <col min="515" max="515" width="46.5703125" style="217" customWidth="1"/>
    <col min="516" max="519" width="11.28515625" style="217"/>
    <col min="520" max="521" width="16.7109375" style="217" customWidth="1"/>
    <col min="522" max="768" width="11.28515625" style="217"/>
    <col min="769" max="769" width="16.28515625" style="217" customWidth="1"/>
    <col min="770" max="770" width="11.85546875" style="217" customWidth="1"/>
    <col min="771" max="771" width="46.5703125" style="217" customWidth="1"/>
    <col min="772" max="775" width="11.28515625" style="217"/>
    <col min="776" max="777" width="16.7109375" style="217" customWidth="1"/>
    <col min="778" max="1024" width="11.28515625" style="217"/>
    <col min="1025" max="1025" width="16.28515625" style="217" customWidth="1"/>
    <col min="1026" max="1026" width="11.85546875" style="217" customWidth="1"/>
    <col min="1027" max="1027" width="46.5703125" style="217" customWidth="1"/>
    <col min="1028" max="1031" width="11.28515625" style="217"/>
    <col min="1032" max="1033" width="16.7109375" style="217" customWidth="1"/>
    <col min="1034" max="1280" width="11.28515625" style="217"/>
    <col min="1281" max="1281" width="16.28515625" style="217" customWidth="1"/>
    <col min="1282" max="1282" width="11.85546875" style="217" customWidth="1"/>
    <col min="1283" max="1283" width="46.5703125" style="217" customWidth="1"/>
    <col min="1284" max="1287" width="11.28515625" style="217"/>
    <col min="1288" max="1289" width="16.7109375" style="217" customWidth="1"/>
    <col min="1290" max="1536" width="11.28515625" style="217"/>
    <col min="1537" max="1537" width="16.28515625" style="217" customWidth="1"/>
    <col min="1538" max="1538" width="11.85546875" style="217" customWidth="1"/>
    <col min="1539" max="1539" width="46.5703125" style="217" customWidth="1"/>
    <col min="1540" max="1543" width="11.28515625" style="217"/>
    <col min="1544" max="1545" width="16.7109375" style="217" customWidth="1"/>
    <col min="1546" max="1792" width="11.28515625" style="217"/>
    <col min="1793" max="1793" width="16.28515625" style="217" customWidth="1"/>
    <col min="1794" max="1794" width="11.85546875" style="217" customWidth="1"/>
    <col min="1795" max="1795" width="46.5703125" style="217" customWidth="1"/>
    <col min="1796" max="1799" width="11.28515625" style="217"/>
    <col min="1800" max="1801" width="16.7109375" style="217" customWidth="1"/>
    <col min="1802" max="2048" width="11.28515625" style="217"/>
    <col min="2049" max="2049" width="16.28515625" style="217" customWidth="1"/>
    <col min="2050" max="2050" width="11.85546875" style="217" customWidth="1"/>
    <col min="2051" max="2051" width="46.5703125" style="217" customWidth="1"/>
    <col min="2052" max="2055" width="11.28515625" style="217"/>
    <col min="2056" max="2057" width="16.7109375" style="217" customWidth="1"/>
    <col min="2058" max="2304" width="11.28515625" style="217"/>
    <col min="2305" max="2305" width="16.28515625" style="217" customWidth="1"/>
    <col min="2306" max="2306" width="11.85546875" style="217" customWidth="1"/>
    <col min="2307" max="2307" width="46.5703125" style="217" customWidth="1"/>
    <col min="2308" max="2311" width="11.28515625" style="217"/>
    <col min="2312" max="2313" width="16.7109375" style="217" customWidth="1"/>
    <col min="2314" max="2560" width="11.28515625" style="217"/>
    <col min="2561" max="2561" width="16.28515625" style="217" customWidth="1"/>
    <col min="2562" max="2562" width="11.85546875" style="217" customWidth="1"/>
    <col min="2563" max="2563" width="46.5703125" style="217" customWidth="1"/>
    <col min="2564" max="2567" width="11.28515625" style="217"/>
    <col min="2568" max="2569" width="16.7109375" style="217" customWidth="1"/>
    <col min="2570" max="2816" width="11.28515625" style="217"/>
    <col min="2817" max="2817" width="16.28515625" style="217" customWidth="1"/>
    <col min="2818" max="2818" width="11.85546875" style="217" customWidth="1"/>
    <col min="2819" max="2819" width="46.5703125" style="217" customWidth="1"/>
    <col min="2820" max="2823" width="11.28515625" style="217"/>
    <col min="2824" max="2825" width="16.7109375" style="217" customWidth="1"/>
    <col min="2826" max="3072" width="11.28515625" style="217"/>
    <col min="3073" max="3073" width="16.28515625" style="217" customWidth="1"/>
    <col min="3074" max="3074" width="11.85546875" style="217" customWidth="1"/>
    <col min="3075" max="3075" width="46.5703125" style="217" customWidth="1"/>
    <col min="3076" max="3079" width="11.28515625" style="217"/>
    <col min="3080" max="3081" width="16.7109375" style="217" customWidth="1"/>
    <col min="3082" max="3328" width="11.28515625" style="217"/>
    <col min="3329" max="3329" width="16.28515625" style="217" customWidth="1"/>
    <col min="3330" max="3330" width="11.85546875" style="217" customWidth="1"/>
    <col min="3331" max="3331" width="46.5703125" style="217" customWidth="1"/>
    <col min="3332" max="3335" width="11.28515625" style="217"/>
    <col min="3336" max="3337" width="16.7109375" style="217" customWidth="1"/>
    <col min="3338" max="3584" width="11.28515625" style="217"/>
    <col min="3585" max="3585" width="16.28515625" style="217" customWidth="1"/>
    <col min="3586" max="3586" width="11.85546875" style="217" customWidth="1"/>
    <col min="3587" max="3587" width="46.5703125" style="217" customWidth="1"/>
    <col min="3588" max="3591" width="11.28515625" style="217"/>
    <col min="3592" max="3593" width="16.7109375" style="217" customWidth="1"/>
    <col min="3594" max="3840" width="11.28515625" style="217"/>
    <col min="3841" max="3841" width="16.28515625" style="217" customWidth="1"/>
    <col min="3842" max="3842" width="11.85546875" style="217" customWidth="1"/>
    <col min="3843" max="3843" width="46.5703125" style="217" customWidth="1"/>
    <col min="3844" max="3847" width="11.28515625" style="217"/>
    <col min="3848" max="3849" width="16.7109375" style="217" customWidth="1"/>
    <col min="3850" max="4096" width="11.28515625" style="217"/>
    <col min="4097" max="4097" width="16.28515625" style="217" customWidth="1"/>
    <col min="4098" max="4098" width="11.85546875" style="217" customWidth="1"/>
    <col min="4099" max="4099" width="46.5703125" style="217" customWidth="1"/>
    <col min="4100" max="4103" width="11.28515625" style="217"/>
    <col min="4104" max="4105" width="16.7109375" style="217" customWidth="1"/>
    <col min="4106" max="4352" width="11.28515625" style="217"/>
    <col min="4353" max="4353" width="16.28515625" style="217" customWidth="1"/>
    <col min="4354" max="4354" width="11.85546875" style="217" customWidth="1"/>
    <col min="4355" max="4355" width="46.5703125" style="217" customWidth="1"/>
    <col min="4356" max="4359" width="11.28515625" style="217"/>
    <col min="4360" max="4361" width="16.7109375" style="217" customWidth="1"/>
    <col min="4362" max="4608" width="11.28515625" style="217"/>
    <col min="4609" max="4609" width="16.28515625" style="217" customWidth="1"/>
    <col min="4610" max="4610" width="11.85546875" style="217" customWidth="1"/>
    <col min="4611" max="4611" width="46.5703125" style="217" customWidth="1"/>
    <col min="4612" max="4615" width="11.28515625" style="217"/>
    <col min="4616" max="4617" width="16.7109375" style="217" customWidth="1"/>
    <col min="4618" max="4864" width="11.28515625" style="217"/>
    <col min="4865" max="4865" width="16.28515625" style="217" customWidth="1"/>
    <col min="4866" max="4866" width="11.85546875" style="217" customWidth="1"/>
    <col min="4867" max="4867" width="46.5703125" style="217" customWidth="1"/>
    <col min="4868" max="4871" width="11.28515625" style="217"/>
    <col min="4872" max="4873" width="16.7109375" style="217" customWidth="1"/>
    <col min="4874" max="5120" width="11.28515625" style="217"/>
    <col min="5121" max="5121" width="16.28515625" style="217" customWidth="1"/>
    <col min="5122" max="5122" width="11.85546875" style="217" customWidth="1"/>
    <col min="5123" max="5123" width="46.5703125" style="217" customWidth="1"/>
    <col min="5124" max="5127" width="11.28515625" style="217"/>
    <col min="5128" max="5129" width="16.7109375" style="217" customWidth="1"/>
    <col min="5130" max="5376" width="11.28515625" style="217"/>
    <col min="5377" max="5377" width="16.28515625" style="217" customWidth="1"/>
    <col min="5378" max="5378" width="11.85546875" style="217" customWidth="1"/>
    <col min="5379" max="5379" width="46.5703125" style="217" customWidth="1"/>
    <col min="5380" max="5383" width="11.28515625" style="217"/>
    <col min="5384" max="5385" width="16.7109375" style="217" customWidth="1"/>
    <col min="5386" max="5632" width="11.28515625" style="217"/>
    <col min="5633" max="5633" width="16.28515625" style="217" customWidth="1"/>
    <col min="5634" max="5634" width="11.85546875" style="217" customWidth="1"/>
    <col min="5635" max="5635" width="46.5703125" style="217" customWidth="1"/>
    <col min="5636" max="5639" width="11.28515625" style="217"/>
    <col min="5640" max="5641" width="16.7109375" style="217" customWidth="1"/>
    <col min="5642" max="5888" width="11.28515625" style="217"/>
    <col min="5889" max="5889" width="16.28515625" style="217" customWidth="1"/>
    <col min="5890" max="5890" width="11.85546875" style="217" customWidth="1"/>
    <col min="5891" max="5891" width="46.5703125" style="217" customWidth="1"/>
    <col min="5892" max="5895" width="11.28515625" style="217"/>
    <col min="5896" max="5897" width="16.7109375" style="217" customWidth="1"/>
    <col min="5898" max="6144" width="11.28515625" style="217"/>
    <col min="6145" max="6145" width="16.28515625" style="217" customWidth="1"/>
    <col min="6146" max="6146" width="11.85546875" style="217" customWidth="1"/>
    <col min="6147" max="6147" width="46.5703125" style="217" customWidth="1"/>
    <col min="6148" max="6151" width="11.28515625" style="217"/>
    <col min="6152" max="6153" width="16.7109375" style="217" customWidth="1"/>
    <col min="6154" max="6400" width="11.28515625" style="217"/>
    <col min="6401" max="6401" width="16.28515625" style="217" customWidth="1"/>
    <col min="6402" max="6402" width="11.85546875" style="217" customWidth="1"/>
    <col min="6403" max="6403" width="46.5703125" style="217" customWidth="1"/>
    <col min="6404" max="6407" width="11.28515625" style="217"/>
    <col min="6408" max="6409" width="16.7109375" style="217" customWidth="1"/>
    <col min="6410" max="6656" width="11.28515625" style="217"/>
    <col min="6657" max="6657" width="16.28515625" style="217" customWidth="1"/>
    <col min="6658" max="6658" width="11.85546875" style="217" customWidth="1"/>
    <col min="6659" max="6659" width="46.5703125" style="217" customWidth="1"/>
    <col min="6660" max="6663" width="11.28515625" style="217"/>
    <col min="6664" max="6665" width="16.7109375" style="217" customWidth="1"/>
    <col min="6666" max="6912" width="11.28515625" style="217"/>
    <col min="6913" max="6913" width="16.28515625" style="217" customWidth="1"/>
    <col min="6914" max="6914" width="11.85546875" style="217" customWidth="1"/>
    <col min="6915" max="6915" width="46.5703125" style="217" customWidth="1"/>
    <col min="6916" max="6919" width="11.28515625" style="217"/>
    <col min="6920" max="6921" width="16.7109375" style="217" customWidth="1"/>
    <col min="6922" max="7168" width="11.28515625" style="217"/>
    <col min="7169" max="7169" width="16.28515625" style="217" customWidth="1"/>
    <col min="7170" max="7170" width="11.85546875" style="217" customWidth="1"/>
    <col min="7171" max="7171" width="46.5703125" style="217" customWidth="1"/>
    <col min="7172" max="7175" width="11.28515625" style="217"/>
    <col min="7176" max="7177" width="16.7109375" style="217" customWidth="1"/>
    <col min="7178" max="7424" width="11.28515625" style="217"/>
    <col min="7425" max="7425" width="16.28515625" style="217" customWidth="1"/>
    <col min="7426" max="7426" width="11.85546875" style="217" customWidth="1"/>
    <col min="7427" max="7427" width="46.5703125" style="217" customWidth="1"/>
    <col min="7428" max="7431" width="11.28515625" style="217"/>
    <col min="7432" max="7433" width="16.7109375" style="217" customWidth="1"/>
    <col min="7434" max="7680" width="11.28515625" style="217"/>
    <col min="7681" max="7681" width="16.28515625" style="217" customWidth="1"/>
    <col min="7682" max="7682" width="11.85546875" style="217" customWidth="1"/>
    <col min="7683" max="7683" width="46.5703125" style="217" customWidth="1"/>
    <col min="7684" max="7687" width="11.28515625" style="217"/>
    <col min="7688" max="7689" width="16.7109375" style="217" customWidth="1"/>
    <col min="7690" max="7936" width="11.28515625" style="217"/>
    <col min="7937" max="7937" width="16.28515625" style="217" customWidth="1"/>
    <col min="7938" max="7938" width="11.85546875" style="217" customWidth="1"/>
    <col min="7939" max="7939" width="46.5703125" style="217" customWidth="1"/>
    <col min="7940" max="7943" width="11.28515625" style="217"/>
    <col min="7944" max="7945" width="16.7109375" style="217" customWidth="1"/>
    <col min="7946" max="8192" width="11.28515625" style="217"/>
    <col min="8193" max="8193" width="16.28515625" style="217" customWidth="1"/>
    <col min="8194" max="8194" width="11.85546875" style="217" customWidth="1"/>
    <col min="8195" max="8195" width="46.5703125" style="217" customWidth="1"/>
    <col min="8196" max="8199" width="11.28515625" style="217"/>
    <col min="8200" max="8201" width="16.7109375" style="217" customWidth="1"/>
    <col min="8202" max="8448" width="11.28515625" style="217"/>
    <col min="8449" max="8449" width="16.28515625" style="217" customWidth="1"/>
    <col min="8450" max="8450" width="11.85546875" style="217" customWidth="1"/>
    <col min="8451" max="8451" width="46.5703125" style="217" customWidth="1"/>
    <col min="8452" max="8455" width="11.28515625" style="217"/>
    <col min="8456" max="8457" width="16.7109375" style="217" customWidth="1"/>
    <col min="8458" max="8704" width="11.28515625" style="217"/>
    <col min="8705" max="8705" width="16.28515625" style="217" customWidth="1"/>
    <col min="8706" max="8706" width="11.85546875" style="217" customWidth="1"/>
    <col min="8707" max="8707" width="46.5703125" style="217" customWidth="1"/>
    <col min="8708" max="8711" width="11.28515625" style="217"/>
    <col min="8712" max="8713" width="16.7109375" style="217" customWidth="1"/>
    <col min="8714" max="8960" width="11.28515625" style="217"/>
    <col min="8961" max="8961" width="16.28515625" style="217" customWidth="1"/>
    <col min="8962" max="8962" width="11.85546875" style="217" customWidth="1"/>
    <col min="8963" max="8963" width="46.5703125" style="217" customWidth="1"/>
    <col min="8964" max="8967" width="11.28515625" style="217"/>
    <col min="8968" max="8969" width="16.7109375" style="217" customWidth="1"/>
    <col min="8970" max="9216" width="11.28515625" style="217"/>
    <col min="9217" max="9217" width="16.28515625" style="217" customWidth="1"/>
    <col min="9218" max="9218" width="11.85546875" style="217" customWidth="1"/>
    <col min="9219" max="9219" width="46.5703125" style="217" customWidth="1"/>
    <col min="9220" max="9223" width="11.28515625" style="217"/>
    <col min="9224" max="9225" width="16.7109375" style="217" customWidth="1"/>
    <col min="9226" max="9472" width="11.28515625" style="217"/>
    <col min="9473" max="9473" width="16.28515625" style="217" customWidth="1"/>
    <col min="9474" max="9474" width="11.85546875" style="217" customWidth="1"/>
    <col min="9475" max="9475" width="46.5703125" style="217" customWidth="1"/>
    <col min="9476" max="9479" width="11.28515625" style="217"/>
    <col min="9480" max="9481" width="16.7109375" style="217" customWidth="1"/>
    <col min="9482" max="9728" width="11.28515625" style="217"/>
    <col min="9729" max="9729" width="16.28515625" style="217" customWidth="1"/>
    <col min="9730" max="9730" width="11.85546875" style="217" customWidth="1"/>
    <col min="9731" max="9731" width="46.5703125" style="217" customWidth="1"/>
    <col min="9732" max="9735" width="11.28515625" style="217"/>
    <col min="9736" max="9737" width="16.7109375" style="217" customWidth="1"/>
    <col min="9738" max="9984" width="11.28515625" style="217"/>
    <col min="9985" max="9985" width="16.28515625" style="217" customWidth="1"/>
    <col min="9986" max="9986" width="11.85546875" style="217" customWidth="1"/>
    <col min="9987" max="9987" width="46.5703125" style="217" customWidth="1"/>
    <col min="9988" max="9991" width="11.28515625" style="217"/>
    <col min="9992" max="9993" width="16.7109375" style="217" customWidth="1"/>
    <col min="9994" max="10240" width="11.28515625" style="217"/>
    <col min="10241" max="10241" width="16.28515625" style="217" customWidth="1"/>
    <col min="10242" max="10242" width="11.85546875" style="217" customWidth="1"/>
    <col min="10243" max="10243" width="46.5703125" style="217" customWidth="1"/>
    <col min="10244" max="10247" width="11.28515625" style="217"/>
    <col min="10248" max="10249" width="16.7109375" style="217" customWidth="1"/>
    <col min="10250" max="10496" width="11.28515625" style="217"/>
    <col min="10497" max="10497" width="16.28515625" style="217" customWidth="1"/>
    <col min="10498" max="10498" width="11.85546875" style="217" customWidth="1"/>
    <col min="10499" max="10499" width="46.5703125" style="217" customWidth="1"/>
    <col min="10500" max="10503" width="11.28515625" style="217"/>
    <col min="10504" max="10505" width="16.7109375" style="217" customWidth="1"/>
    <col min="10506" max="10752" width="11.28515625" style="217"/>
    <col min="10753" max="10753" width="16.28515625" style="217" customWidth="1"/>
    <col min="10754" max="10754" width="11.85546875" style="217" customWidth="1"/>
    <col min="10755" max="10755" width="46.5703125" style="217" customWidth="1"/>
    <col min="10756" max="10759" width="11.28515625" style="217"/>
    <col min="10760" max="10761" width="16.7109375" style="217" customWidth="1"/>
    <col min="10762" max="11008" width="11.28515625" style="217"/>
    <col min="11009" max="11009" width="16.28515625" style="217" customWidth="1"/>
    <col min="11010" max="11010" width="11.85546875" style="217" customWidth="1"/>
    <col min="11011" max="11011" width="46.5703125" style="217" customWidth="1"/>
    <col min="11012" max="11015" width="11.28515625" style="217"/>
    <col min="11016" max="11017" width="16.7109375" style="217" customWidth="1"/>
    <col min="11018" max="11264" width="11.28515625" style="217"/>
    <col min="11265" max="11265" width="16.28515625" style="217" customWidth="1"/>
    <col min="11266" max="11266" width="11.85546875" style="217" customWidth="1"/>
    <col min="11267" max="11267" width="46.5703125" style="217" customWidth="1"/>
    <col min="11268" max="11271" width="11.28515625" style="217"/>
    <col min="11272" max="11273" width="16.7109375" style="217" customWidth="1"/>
    <col min="11274" max="11520" width="11.28515625" style="217"/>
    <col min="11521" max="11521" width="16.28515625" style="217" customWidth="1"/>
    <col min="11522" max="11522" width="11.85546875" style="217" customWidth="1"/>
    <col min="11523" max="11523" width="46.5703125" style="217" customWidth="1"/>
    <col min="11524" max="11527" width="11.28515625" style="217"/>
    <col min="11528" max="11529" width="16.7109375" style="217" customWidth="1"/>
    <col min="11530" max="11776" width="11.28515625" style="217"/>
    <col min="11777" max="11777" width="16.28515625" style="217" customWidth="1"/>
    <col min="11778" max="11778" width="11.85546875" style="217" customWidth="1"/>
    <col min="11779" max="11779" width="46.5703125" style="217" customWidth="1"/>
    <col min="11780" max="11783" width="11.28515625" style="217"/>
    <col min="11784" max="11785" width="16.7109375" style="217" customWidth="1"/>
    <col min="11786" max="12032" width="11.28515625" style="217"/>
    <col min="12033" max="12033" width="16.28515625" style="217" customWidth="1"/>
    <col min="12034" max="12034" width="11.85546875" style="217" customWidth="1"/>
    <col min="12035" max="12035" width="46.5703125" style="217" customWidth="1"/>
    <col min="12036" max="12039" width="11.28515625" style="217"/>
    <col min="12040" max="12041" width="16.7109375" style="217" customWidth="1"/>
    <col min="12042" max="12288" width="11.28515625" style="217"/>
    <col min="12289" max="12289" width="16.28515625" style="217" customWidth="1"/>
    <col min="12290" max="12290" width="11.85546875" style="217" customWidth="1"/>
    <col min="12291" max="12291" width="46.5703125" style="217" customWidth="1"/>
    <col min="12292" max="12295" width="11.28515625" style="217"/>
    <col min="12296" max="12297" width="16.7109375" style="217" customWidth="1"/>
    <col min="12298" max="12544" width="11.28515625" style="217"/>
    <col min="12545" max="12545" width="16.28515625" style="217" customWidth="1"/>
    <col min="12546" max="12546" width="11.85546875" style="217" customWidth="1"/>
    <col min="12547" max="12547" width="46.5703125" style="217" customWidth="1"/>
    <col min="12548" max="12551" width="11.28515625" style="217"/>
    <col min="12552" max="12553" width="16.7109375" style="217" customWidth="1"/>
    <col min="12554" max="12800" width="11.28515625" style="217"/>
    <col min="12801" max="12801" width="16.28515625" style="217" customWidth="1"/>
    <col min="12802" max="12802" width="11.85546875" style="217" customWidth="1"/>
    <col min="12803" max="12803" width="46.5703125" style="217" customWidth="1"/>
    <col min="12804" max="12807" width="11.28515625" style="217"/>
    <col min="12808" max="12809" width="16.7109375" style="217" customWidth="1"/>
    <col min="12810" max="13056" width="11.28515625" style="217"/>
    <col min="13057" max="13057" width="16.28515625" style="217" customWidth="1"/>
    <col min="13058" max="13058" width="11.85546875" style="217" customWidth="1"/>
    <col min="13059" max="13059" width="46.5703125" style="217" customWidth="1"/>
    <col min="13060" max="13063" width="11.28515625" style="217"/>
    <col min="13064" max="13065" width="16.7109375" style="217" customWidth="1"/>
    <col min="13066" max="13312" width="11.28515625" style="217"/>
    <col min="13313" max="13313" width="16.28515625" style="217" customWidth="1"/>
    <col min="13314" max="13314" width="11.85546875" style="217" customWidth="1"/>
    <col min="13315" max="13315" width="46.5703125" style="217" customWidth="1"/>
    <col min="13316" max="13319" width="11.28515625" style="217"/>
    <col min="13320" max="13321" width="16.7109375" style="217" customWidth="1"/>
    <col min="13322" max="13568" width="11.28515625" style="217"/>
    <col min="13569" max="13569" width="16.28515625" style="217" customWidth="1"/>
    <col min="13570" max="13570" width="11.85546875" style="217" customWidth="1"/>
    <col min="13571" max="13571" width="46.5703125" style="217" customWidth="1"/>
    <col min="13572" max="13575" width="11.28515625" style="217"/>
    <col min="13576" max="13577" width="16.7109375" style="217" customWidth="1"/>
    <col min="13578" max="13824" width="11.28515625" style="217"/>
    <col min="13825" max="13825" width="16.28515625" style="217" customWidth="1"/>
    <col min="13826" max="13826" width="11.85546875" style="217" customWidth="1"/>
    <col min="13827" max="13827" width="46.5703125" style="217" customWidth="1"/>
    <col min="13828" max="13831" width="11.28515625" style="217"/>
    <col min="13832" max="13833" width="16.7109375" style="217" customWidth="1"/>
    <col min="13834" max="14080" width="11.28515625" style="217"/>
    <col min="14081" max="14081" width="16.28515625" style="217" customWidth="1"/>
    <col min="14082" max="14082" width="11.85546875" style="217" customWidth="1"/>
    <col min="14083" max="14083" width="46.5703125" style="217" customWidth="1"/>
    <col min="14084" max="14087" width="11.28515625" style="217"/>
    <col min="14088" max="14089" width="16.7109375" style="217" customWidth="1"/>
    <col min="14090" max="14336" width="11.28515625" style="217"/>
    <col min="14337" max="14337" width="16.28515625" style="217" customWidth="1"/>
    <col min="14338" max="14338" width="11.85546875" style="217" customWidth="1"/>
    <col min="14339" max="14339" width="46.5703125" style="217" customWidth="1"/>
    <col min="14340" max="14343" width="11.28515625" style="217"/>
    <col min="14344" max="14345" width="16.7109375" style="217" customWidth="1"/>
    <col min="14346" max="14592" width="11.28515625" style="217"/>
    <col min="14593" max="14593" width="16.28515625" style="217" customWidth="1"/>
    <col min="14594" max="14594" width="11.85546875" style="217" customWidth="1"/>
    <col min="14595" max="14595" width="46.5703125" style="217" customWidth="1"/>
    <col min="14596" max="14599" width="11.28515625" style="217"/>
    <col min="14600" max="14601" width="16.7109375" style="217" customWidth="1"/>
    <col min="14602" max="14848" width="11.28515625" style="217"/>
    <col min="14849" max="14849" width="16.28515625" style="217" customWidth="1"/>
    <col min="14850" max="14850" width="11.85546875" style="217" customWidth="1"/>
    <col min="14851" max="14851" width="46.5703125" style="217" customWidth="1"/>
    <col min="14852" max="14855" width="11.28515625" style="217"/>
    <col min="14856" max="14857" width="16.7109375" style="217" customWidth="1"/>
    <col min="14858" max="15104" width="11.28515625" style="217"/>
    <col min="15105" max="15105" width="16.28515625" style="217" customWidth="1"/>
    <col min="15106" max="15106" width="11.85546875" style="217" customWidth="1"/>
    <col min="15107" max="15107" width="46.5703125" style="217" customWidth="1"/>
    <col min="15108" max="15111" width="11.28515625" style="217"/>
    <col min="15112" max="15113" width="16.7109375" style="217" customWidth="1"/>
    <col min="15114" max="15360" width="11.28515625" style="217"/>
    <col min="15361" max="15361" width="16.28515625" style="217" customWidth="1"/>
    <col min="15362" max="15362" width="11.85546875" style="217" customWidth="1"/>
    <col min="15363" max="15363" width="46.5703125" style="217" customWidth="1"/>
    <col min="15364" max="15367" width="11.28515625" style="217"/>
    <col min="15368" max="15369" width="16.7109375" style="217" customWidth="1"/>
    <col min="15370" max="15616" width="11.28515625" style="217"/>
    <col min="15617" max="15617" width="16.28515625" style="217" customWidth="1"/>
    <col min="15618" max="15618" width="11.85546875" style="217" customWidth="1"/>
    <col min="15619" max="15619" width="46.5703125" style="217" customWidth="1"/>
    <col min="15620" max="15623" width="11.28515625" style="217"/>
    <col min="15624" max="15625" width="16.7109375" style="217" customWidth="1"/>
    <col min="15626" max="15872" width="11.28515625" style="217"/>
    <col min="15873" max="15873" width="16.28515625" style="217" customWidth="1"/>
    <col min="15874" max="15874" width="11.85546875" style="217" customWidth="1"/>
    <col min="15875" max="15875" width="46.5703125" style="217" customWidth="1"/>
    <col min="15876" max="15879" width="11.28515625" style="217"/>
    <col min="15880" max="15881" width="16.7109375" style="217" customWidth="1"/>
    <col min="15882" max="16128" width="11.28515625" style="217"/>
    <col min="16129" max="16129" width="16.28515625" style="217" customWidth="1"/>
    <col min="16130" max="16130" width="11.85546875" style="217" customWidth="1"/>
    <col min="16131" max="16131" width="46.5703125" style="217" customWidth="1"/>
    <col min="16132" max="16135" width="11.28515625" style="217"/>
    <col min="16136" max="16137" width="16.7109375" style="217" customWidth="1"/>
    <col min="16138" max="16384" width="11.28515625" style="217"/>
  </cols>
  <sheetData>
    <row r="1" spans="1:12" ht="15.75" x14ac:dyDescent="0.25">
      <c r="A1" s="453"/>
      <c r="B1" s="454"/>
      <c r="C1" s="439" t="s">
        <v>0</v>
      </c>
      <c r="D1" s="439"/>
      <c r="E1" s="439"/>
      <c r="F1" s="439"/>
      <c r="G1" s="439"/>
      <c r="H1" s="215" t="s">
        <v>1</v>
      </c>
      <c r="I1" s="216" t="s">
        <v>257</v>
      </c>
    </row>
    <row r="2" spans="1:12" ht="16.5" thickBot="1" x14ac:dyDescent="0.3">
      <c r="A2" s="455"/>
      <c r="B2" s="456"/>
      <c r="C2" s="440" t="s">
        <v>2</v>
      </c>
      <c r="D2" s="440"/>
      <c r="E2" s="440"/>
      <c r="F2" s="440"/>
      <c r="G2" s="440"/>
      <c r="H2" s="218" t="s">
        <v>3</v>
      </c>
      <c r="I2" s="219" t="s">
        <v>258</v>
      </c>
    </row>
    <row r="3" spans="1:12" ht="18.75" thickBot="1" x14ac:dyDescent="0.3">
      <c r="A3" s="455"/>
      <c r="B3" s="456"/>
      <c r="C3" s="536" t="s">
        <v>259</v>
      </c>
      <c r="D3" s="537"/>
      <c r="E3" s="537"/>
      <c r="F3" s="537"/>
      <c r="G3" s="538"/>
      <c r="H3" s="444" t="s">
        <v>4</v>
      </c>
      <c r="I3" s="466">
        <v>44096</v>
      </c>
    </row>
    <row r="4" spans="1:12" x14ac:dyDescent="0.25">
      <c r="A4" s="455"/>
      <c r="B4" s="456"/>
      <c r="C4" s="309" t="s">
        <v>5</v>
      </c>
      <c r="D4" s="528" t="s">
        <v>225</v>
      </c>
      <c r="E4" s="529"/>
      <c r="F4" s="529"/>
      <c r="G4" s="530"/>
      <c r="H4" s="445"/>
      <c r="I4" s="467"/>
    </row>
    <row r="5" spans="1:12" ht="14.25" thickBot="1" x14ac:dyDescent="0.3">
      <c r="A5" s="457"/>
      <c r="B5" s="458"/>
      <c r="C5" s="310" t="s">
        <v>6</v>
      </c>
      <c r="D5" s="598" t="s">
        <v>260</v>
      </c>
      <c r="E5" s="599"/>
      <c r="F5" s="599"/>
      <c r="G5" s="600"/>
      <c r="H5" s="445"/>
      <c r="I5" s="467"/>
    </row>
    <row r="6" spans="1:12" s="270" customFormat="1" ht="18.75" thickBot="1" x14ac:dyDescent="0.3">
      <c r="A6" s="601" t="s">
        <v>7</v>
      </c>
      <c r="B6" s="602"/>
      <c r="C6" s="602"/>
      <c r="D6" s="603" t="s">
        <v>261</v>
      </c>
      <c r="E6" s="603"/>
      <c r="F6" s="603"/>
      <c r="G6" s="604" t="s">
        <v>8</v>
      </c>
      <c r="H6" s="604"/>
      <c r="I6" s="311" t="s">
        <v>261</v>
      </c>
    </row>
    <row r="7" spans="1:12" ht="25.5" x14ac:dyDescent="0.25">
      <c r="A7" s="543" t="s">
        <v>9</v>
      </c>
      <c r="B7" s="545" t="s">
        <v>33</v>
      </c>
      <c r="C7" s="547" t="s">
        <v>10</v>
      </c>
      <c r="D7" s="547" t="s">
        <v>11</v>
      </c>
      <c r="E7" s="547" t="s">
        <v>12</v>
      </c>
      <c r="F7" s="547"/>
      <c r="G7" s="547" t="s">
        <v>13</v>
      </c>
      <c r="H7" s="547"/>
      <c r="I7" s="223" t="s">
        <v>14</v>
      </c>
    </row>
    <row r="8" spans="1:12" ht="27" thickBot="1" x14ac:dyDescent="0.3">
      <c r="A8" s="605"/>
      <c r="B8" s="581"/>
      <c r="C8" s="464"/>
      <c r="D8" s="548"/>
      <c r="E8" s="224" t="s">
        <v>15</v>
      </c>
      <c r="F8" s="225" t="s">
        <v>16</v>
      </c>
      <c r="G8" s="224" t="s">
        <v>15</v>
      </c>
      <c r="H8" s="225" t="s">
        <v>16</v>
      </c>
      <c r="I8" s="276" t="s">
        <v>17</v>
      </c>
    </row>
    <row r="9" spans="1:12" ht="15.75" x14ac:dyDescent="0.25">
      <c r="A9" s="312">
        <v>11400029</v>
      </c>
      <c r="B9" s="312" t="s">
        <v>262</v>
      </c>
      <c r="C9" s="313" t="s">
        <v>263</v>
      </c>
      <c r="D9" s="314" t="s">
        <v>264</v>
      </c>
      <c r="E9" s="315">
        <v>16000</v>
      </c>
      <c r="F9" s="316" t="s">
        <v>19</v>
      </c>
      <c r="G9" s="21" t="s">
        <v>265</v>
      </c>
      <c r="H9" s="317"/>
      <c r="I9" s="318"/>
    </row>
    <row r="10" spans="1:12" ht="15.75" x14ac:dyDescent="0.25">
      <c r="A10" s="312">
        <v>11400031</v>
      </c>
      <c r="B10" s="312" t="s">
        <v>266</v>
      </c>
      <c r="C10" s="313" t="s">
        <v>267</v>
      </c>
      <c r="D10" s="314" t="s">
        <v>264</v>
      </c>
      <c r="E10" s="315">
        <v>8000</v>
      </c>
      <c r="F10" s="316" t="s">
        <v>19</v>
      </c>
      <c r="G10" s="21" t="s">
        <v>268</v>
      </c>
      <c r="H10" s="317"/>
      <c r="I10" s="318"/>
    </row>
    <row r="11" spans="1:12" ht="15.75" x14ac:dyDescent="0.25">
      <c r="A11" s="27" t="s">
        <v>182</v>
      </c>
      <c r="B11" s="27"/>
      <c r="C11" s="1" t="s">
        <v>269</v>
      </c>
      <c r="D11" s="314" t="s">
        <v>270</v>
      </c>
      <c r="E11" s="315">
        <v>1000</v>
      </c>
      <c r="F11" s="316" t="s">
        <v>19</v>
      </c>
      <c r="G11" s="21"/>
      <c r="H11" s="317"/>
      <c r="I11" s="241"/>
    </row>
    <row r="12" spans="1:12" ht="15.75" x14ac:dyDescent="0.25">
      <c r="A12" s="312">
        <v>1212410</v>
      </c>
      <c r="B12" s="312" t="s">
        <v>271</v>
      </c>
      <c r="C12" s="313" t="s">
        <v>272</v>
      </c>
      <c r="D12" s="314" t="s">
        <v>273</v>
      </c>
      <c r="E12" s="319">
        <v>22</v>
      </c>
      <c r="F12" s="316" t="s">
        <v>19</v>
      </c>
      <c r="G12" s="231"/>
      <c r="H12" s="20"/>
      <c r="I12" s="241"/>
    </row>
    <row r="13" spans="1:12" ht="15" x14ac:dyDescent="0.25">
      <c r="A13" s="312">
        <v>702123</v>
      </c>
      <c r="B13" s="312" t="s">
        <v>69</v>
      </c>
      <c r="C13" s="313" t="s">
        <v>243</v>
      </c>
      <c r="D13" s="239"/>
      <c r="E13" s="240">
        <v>1</v>
      </c>
      <c r="F13" s="240" t="s">
        <v>21</v>
      </c>
      <c r="G13" s="240"/>
      <c r="H13" s="240"/>
      <c r="I13" s="241"/>
    </row>
    <row r="14" spans="1:12" ht="14.25" thickBot="1" x14ac:dyDescent="0.3">
      <c r="A14" s="242"/>
      <c r="B14" s="243"/>
      <c r="E14" s="244"/>
      <c r="F14" s="245"/>
      <c r="I14" s="246"/>
      <c r="L14" s="247"/>
    </row>
    <row r="15" spans="1:12" ht="14.25" thickBot="1" x14ac:dyDescent="0.3">
      <c r="A15" s="248"/>
      <c r="B15" s="249"/>
      <c r="C15" s="250"/>
      <c r="D15" s="251" t="s">
        <v>15</v>
      </c>
      <c r="E15" s="252" t="s">
        <v>22</v>
      </c>
      <c r="F15" s="253"/>
      <c r="G15" s="250"/>
      <c r="H15" s="250"/>
      <c r="I15" s="254"/>
      <c r="L15" s="247"/>
    </row>
    <row r="16" spans="1:12" x14ac:dyDescent="0.25">
      <c r="A16" s="549" t="s">
        <v>23</v>
      </c>
      <c r="B16" s="550"/>
      <c r="C16" s="551"/>
      <c r="D16" s="21">
        <v>24500</v>
      </c>
      <c r="E16" s="255" t="s">
        <v>19</v>
      </c>
      <c r="F16" s="552" t="s">
        <v>34</v>
      </c>
      <c r="G16" s="552"/>
      <c r="H16" s="553"/>
      <c r="I16" s="554"/>
      <c r="L16" s="247"/>
    </row>
    <row r="17" spans="1:13" x14ac:dyDescent="0.25">
      <c r="A17" s="413" t="s">
        <v>24</v>
      </c>
      <c r="B17" s="414"/>
      <c r="C17" s="415"/>
      <c r="D17" s="20">
        <v>5</v>
      </c>
      <c r="E17" s="20" t="s">
        <v>25</v>
      </c>
      <c r="F17" s="474" t="s">
        <v>35</v>
      </c>
      <c r="G17" s="474"/>
      <c r="H17" s="417"/>
      <c r="I17" s="418"/>
      <c r="L17" s="247"/>
    </row>
    <row r="18" spans="1:13" x14ac:dyDescent="0.25">
      <c r="A18" s="413" t="s">
        <v>26</v>
      </c>
      <c r="B18" s="414"/>
      <c r="C18" s="415"/>
      <c r="D18" s="20">
        <v>1</v>
      </c>
      <c r="E18" s="20" t="s">
        <v>21</v>
      </c>
      <c r="F18" s="474" t="s">
        <v>36</v>
      </c>
      <c r="G18" s="474"/>
      <c r="H18" s="417"/>
      <c r="I18" s="418"/>
      <c r="L18" s="247"/>
    </row>
    <row r="19" spans="1:13" x14ac:dyDescent="0.25">
      <c r="A19" s="413" t="s">
        <v>27</v>
      </c>
      <c r="B19" s="414"/>
      <c r="C19" s="415"/>
      <c r="D19" s="231">
        <f>D16</f>
        <v>24500</v>
      </c>
      <c r="E19" s="20" t="s">
        <v>19</v>
      </c>
      <c r="F19" s="555" t="s">
        <v>37</v>
      </c>
      <c r="G19" s="556"/>
      <c r="H19" s="417"/>
      <c r="I19" s="418"/>
      <c r="L19" s="247"/>
      <c r="M19" s="320"/>
    </row>
    <row r="20" spans="1:13" ht="14.25" thickBot="1" x14ac:dyDescent="0.3">
      <c r="A20" s="560" t="s">
        <v>28</v>
      </c>
      <c r="B20" s="421"/>
      <c r="C20" s="561"/>
      <c r="D20" s="265">
        <v>500</v>
      </c>
      <c r="E20" s="265" t="s">
        <v>19</v>
      </c>
      <c r="F20" s="422"/>
      <c r="G20" s="422"/>
      <c r="H20" s="423"/>
      <c r="I20" s="424"/>
      <c r="L20" s="247"/>
    </row>
    <row r="21" spans="1:13" ht="14.25" thickBot="1" x14ac:dyDescent="0.3">
      <c r="A21" s="562" t="s">
        <v>29</v>
      </c>
      <c r="B21" s="563"/>
      <c r="C21" s="563"/>
      <c r="D21" s="563"/>
      <c r="E21" s="563"/>
      <c r="F21" s="563"/>
      <c r="G21" s="563"/>
      <c r="H21" s="563"/>
      <c r="I21" s="564"/>
    </row>
    <row r="22" spans="1:13" x14ac:dyDescent="0.25">
      <c r="A22" s="606" t="s">
        <v>274</v>
      </c>
      <c r="B22" s="607"/>
      <c r="C22" s="608"/>
      <c r="D22" s="608"/>
      <c r="E22" s="608"/>
      <c r="F22" s="608"/>
      <c r="G22" s="608"/>
      <c r="H22" s="608"/>
      <c r="I22" s="609"/>
    </row>
    <row r="23" spans="1:13" x14ac:dyDescent="0.25">
      <c r="A23" s="606" t="s">
        <v>275</v>
      </c>
      <c r="B23" s="607"/>
      <c r="C23" s="608"/>
      <c r="D23" s="608"/>
      <c r="E23" s="608"/>
      <c r="F23" s="608"/>
      <c r="G23" s="608"/>
      <c r="H23" s="608"/>
      <c r="I23" s="609"/>
    </row>
    <row r="24" spans="1:13" x14ac:dyDescent="0.25">
      <c r="A24" s="482"/>
      <c r="B24" s="483"/>
      <c r="C24" s="483"/>
      <c r="D24" s="483"/>
      <c r="E24" s="483"/>
      <c r="F24" s="483"/>
      <c r="G24" s="483"/>
      <c r="H24" s="483"/>
      <c r="I24" s="484"/>
    </row>
    <row r="25" spans="1:13" ht="14.25" thickBot="1" x14ac:dyDescent="0.3">
      <c r="A25" s="428"/>
      <c r="B25" s="429"/>
      <c r="C25" s="430"/>
      <c r="D25" s="430"/>
      <c r="E25" s="430"/>
      <c r="F25" s="430"/>
      <c r="G25" s="430"/>
      <c r="H25" s="430"/>
      <c r="I25" s="431"/>
    </row>
    <row r="26" spans="1:13" ht="14.25" thickBot="1" x14ac:dyDescent="0.3">
      <c r="A26" s="562" t="s">
        <v>276</v>
      </c>
      <c r="B26" s="563"/>
      <c r="C26" s="563"/>
      <c r="D26" s="563"/>
      <c r="E26" s="563"/>
      <c r="F26" s="563"/>
      <c r="G26" s="563"/>
      <c r="H26" s="563"/>
      <c r="I26" s="564"/>
    </row>
    <row r="27" spans="1:13" x14ac:dyDescent="0.25">
      <c r="A27" s="321" t="s">
        <v>277</v>
      </c>
      <c r="B27" s="321"/>
      <c r="C27" s="321"/>
    </row>
  </sheetData>
  <mergeCells count="38">
    <mergeCell ref="A24:I24"/>
    <mergeCell ref="A25:I25"/>
    <mergeCell ref="A26:I26"/>
    <mergeCell ref="A20:C20"/>
    <mergeCell ref="F20:G20"/>
    <mergeCell ref="H20:I20"/>
    <mergeCell ref="A21:I21"/>
    <mergeCell ref="A22:I22"/>
    <mergeCell ref="A23:I23"/>
    <mergeCell ref="A18:C18"/>
    <mergeCell ref="F18:G18"/>
    <mergeCell ref="H18:I18"/>
    <mergeCell ref="A19:C19"/>
    <mergeCell ref="F19:G19"/>
    <mergeCell ref="H19:I19"/>
    <mergeCell ref="A16:C16"/>
    <mergeCell ref="F16:G16"/>
    <mergeCell ref="H16:I16"/>
    <mergeCell ref="A17:C17"/>
    <mergeCell ref="F17:G17"/>
    <mergeCell ref="H17:I1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A01D1-39F4-46A3-9270-0B0AC5619948}">
  <dimension ref="A1:Q91"/>
  <sheetViews>
    <sheetView topLeftCell="A60" workbookViewId="0">
      <selection activeCell="B66" sqref="B66:E66"/>
    </sheetView>
  </sheetViews>
  <sheetFormatPr baseColWidth="10" defaultColWidth="8.42578125" defaultRowHeight="12.75" x14ac:dyDescent="0.25"/>
  <cols>
    <col min="1" max="1" width="10" style="105" bestFit="1" customWidth="1"/>
    <col min="2" max="2" width="44.28515625" style="105" bestFit="1" customWidth="1"/>
    <col min="3" max="3" width="10.42578125" style="105" bestFit="1" customWidth="1"/>
    <col min="4" max="4" width="10.42578125" style="105" customWidth="1"/>
    <col min="5" max="5" width="9.7109375" style="105" bestFit="1" customWidth="1"/>
    <col min="6" max="6" width="9.5703125" style="105" bestFit="1" customWidth="1"/>
    <col min="7" max="7" width="9.5703125" style="187" bestFit="1" customWidth="1"/>
    <col min="8" max="8" width="10.42578125" style="178" bestFit="1" customWidth="1"/>
    <col min="9" max="9" width="4.5703125" style="178" customWidth="1"/>
    <col min="10" max="10" width="1.85546875" style="104" customWidth="1"/>
    <col min="11" max="11" width="7" style="105" bestFit="1" customWidth="1"/>
    <col min="12" max="12" width="6.28515625" style="105" customWidth="1"/>
    <col min="13" max="13" width="20.42578125" style="105" customWidth="1"/>
    <col min="14" max="14" width="6.42578125" style="105" bestFit="1" customWidth="1"/>
    <col min="15" max="16" width="8.42578125" style="105"/>
    <col min="17" max="17" width="3.28515625" style="105" customWidth="1"/>
    <col min="18" max="256" width="8.42578125" style="105"/>
    <col min="257" max="257" width="10" style="105" bestFit="1" customWidth="1"/>
    <col min="258" max="258" width="44.28515625" style="105" bestFit="1" customWidth="1"/>
    <col min="259" max="259" width="10.42578125" style="105" bestFit="1" customWidth="1"/>
    <col min="260" max="260" width="10.42578125" style="105" customWidth="1"/>
    <col min="261" max="261" width="9.7109375" style="105" bestFit="1" customWidth="1"/>
    <col min="262" max="263" width="9.5703125" style="105" bestFit="1" customWidth="1"/>
    <col min="264" max="264" width="10.42578125" style="105" bestFit="1" customWidth="1"/>
    <col min="265" max="265" width="4.5703125" style="105" customWidth="1"/>
    <col min="266" max="266" width="1.85546875" style="105" customWidth="1"/>
    <col min="267" max="267" width="7" style="105" bestFit="1" customWidth="1"/>
    <col min="268" max="268" width="6.28515625" style="105" customWidth="1"/>
    <col min="269" max="269" width="20.42578125" style="105" customWidth="1"/>
    <col min="270" max="270" width="6.42578125" style="105" bestFit="1" customWidth="1"/>
    <col min="271" max="272" width="8.42578125" style="105"/>
    <col min="273" max="273" width="3.28515625" style="105" customWidth="1"/>
    <col min="274" max="512" width="8.42578125" style="105"/>
    <col min="513" max="513" width="10" style="105" bestFit="1" customWidth="1"/>
    <col min="514" max="514" width="44.28515625" style="105" bestFit="1" customWidth="1"/>
    <col min="515" max="515" width="10.42578125" style="105" bestFit="1" customWidth="1"/>
    <col min="516" max="516" width="10.42578125" style="105" customWidth="1"/>
    <col min="517" max="517" width="9.7109375" style="105" bestFit="1" customWidth="1"/>
    <col min="518" max="519" width="9.5703125" style="105" bestFit="1" customWidth="1"/>
    <col min="520" max="520" width="10.42578125" style="105" bestFit="1" customWidth="1"/>
    <col min="521" max="521" width="4.5703125" style="105" customWidth="1"/>
    <col min="522" max="522" width="1.85546875" style="105" customWidth="1"/>
    <col min="523" max="523" width="7" style="105" bestFit="1" customWidth="1"/>
    <col min="524" max="524" width="6.28515625" style="105" customWidth="1"/>
    <col min="525" max="525" width="20.42578125" style="105" customWidth="1"/>
    <col min="526" max="526" width="6.42578125" style="105" bestFit="1" customWidth="1"/>
    <col min="527" max="528" width="8.42578125" style="105"/>
    <col min="529" max="529" width="3.28515625" style="105" customWidth="1"/>
    <col min="530" max="768" width="8.42578125" style="105"/>
    <col min="769" max="769" width="10" style="105" bestFit="1" customWidth="1"/>
    <col min="770" max="770" width="44.28515625" style="105" bestFit="1" customWidth="1"/>
    <col min="771" max="771" width="10.42578125" style="105" bestFit="1" customWidth="1"/>
    <col min="772" max="772" width="10.42578125" style="105" customWidth="1"/>
    <col min="773" max="773" width="9.7109375" style="105" bestFit="1" customWidth="1"/>
    <col min="774" max="775" width="9.5703125" style="105" bestFit="1" customWidth="1"/>
    <col min="776" max="776" width="10.42578125" style="105" bestFit="1" customWidth="1"/>
    <col min="777" max="777" width="4.5703125" style="105" customWidth="1"/>
    <col min="778" max="778" width="1.85546875" style="105" customWidth="1"/>
    <col min="779" max="779" width="7" style="105" bestFit="1" customWidth="1"/>
    <col min="780" max="780" width="6.28515625" style="105" customWidth="1"/>
    <col min="781" max="781" width="20.42578125" style="105" customWidth="1"/>
    <col min="782" max="782" width="6.42578125" style="105" bestFit="1" customWidth="1"/>
    <col min="783" max="784" width="8.42578125" style="105"/>
    <col min="785" max="785" width="3.28515625" style="105" customWidth="1"/>
    <col min="786" max="1024" width="8.42578125" style="105"/>
    <col min="1025" max="1025" width="10" style="105" bestFit="1" customWidth="1"/>
    <col min="1026" max="1026" width="44.28515625" style="105" bestFit="1" customWidth="1"/>
    <col min="1027" max="1027" width="10.42578125" style="105" bestFit="1" customWidth="1"/>
    <col min="1028" max="1028" width="10.42578125" style="105" customWidth="1"/>
    <col min="1029" max="1029" width="9.7109375" style="105" bestFit="1" customWidth="1"/>
    <col min="1030" max="1031" width="9.5703125" style="105" bestFit="1" customWidth="1"/>
    <col min="1032" max="1032" width="10.42578125" style="105" bestFit="1" customWidth="1"/>
    <col min="1033" max="1033" width="4.5703125" style="105" customWidth="1"/>
    <col min="1034" max="1034" width="1.85546875" style="105" customWidth="1"/>
    <col min="1035" max="1035" width="7" style="105" bestFit="1" customWidth="1"/>
    <col min="1036" max="1036" width="6.28515625" style="105" customWidth="1"/>
    <col min="1037" max="1037" width="20.42578125" style="105" customWidth="1"/>
    <col min="1038" max="1038" width="6.42578125" style="105" bestFit="1" customWidth="1"/>
    <col min="1039" max="1040" width="8.42578125" style="105"/>
    <col min="1041" max="1041" width="3.28515625" style="105" customWidth="1"/>
    <col min="1042" max="1280" width="8.42578125" style="105"/>
    <col min="1281" max="1281" width="10" style="105" bestFit="1" customWidth="1"/>
    <col min="1282" max="1282" width="44.28515625" style="105" bestFit="1" customWidth="1"/>
    <col min="1283" max="1283" width="10.42578125" style="105" bestFit="1" customWidth="1"/>
    <col min="1284" max="1284" width="10.42578125" style="105" customWidth="1"/>
    <col min="1285" max="1285" width="9.7109375" style="105" bestFit="1" customWidth="1"/>
    <col min="1286" max="1287" width="9.5703125" style="105" bestFit="1" customWidth="1"/>
    <col min="1288" max="1288" width="10.42578125" style="105" bestFit="1" customWidth="1"/>
    <col min="1289" max="1289" width="4.5703125" style="105" customWidth="1"/>
    <col min="1290" max="1290" width="1.85546875" style="105" customWidth="1"/>
    <col min="1291" max="1291" width="7" style="105" bestFit="1" customWidth="1"/>
    <col min="1292" max="1292" width="6.28515625" style="105" customWidth="1"/>
    <col min="1293" max="1293" width="20.42578125" style="105" customWidth="1"/>
    <col min="1294" max="1294" width="6.42578125" style="105" bestFit="1" customWidth="1"/>
    <col min="1295" max="1296" width="8.42578125" style="105"/>
    <col min="1297" max="1297" width="3.28515625" style="105" customWidth="1"/>
    <col min="1298" max="1536" width="8.42578125" style="105"/>
    <col min="1537" max="1537" width="10" style="105" bestFit="1" customWidth="1"/>
    <col min="1538" max="1538" width="44.28515625" style="105" bestFit="1" customWidth="1"/>
    <col min="1539" max="1539" width="10.42578125" style="105" bestFit="1" customWidth="1"/>
    <col min="1540" max="1540" width="10.42578125" style="105" customWidth="1"/>
    <col min="1541" max="1541" width="9.7109375" style="105" bestFit="1" customWidth="1"/>
    <col min="1542" max="1543" width="9.5703125" style="105" bestFit="1" customWidth="1"/>
    <col min="1544" max="1544" width="10.42578125" style="105" bestFit="1" customWidth="1"/>
    <col min="1545" max="1545" width="4.5703125" style="105" customWidth="1"/>
    <col min="1546" max="1546" width="1.85546875" style="105" customWidth="1"/>
    <col min="1547" max="1547" width="7" style="105" bestFit="1" customWidth="1"/>
    <col min="1548" max="1548" width="6.28515625" style="105" customWidth="1"/>
    <col min="1549" max="1549" width="20.42578125" style="105" customWidth="1"/>
    <col min="1550" max="1550" width="6.42578125" style="105" bestFit="1" customWidth="1"/>
    <col min="1551" max="1552" width="8.42578125" style="105"/>
    <col min="1553" max="1553" width="3.28515625" style="105" customWidth="1"/>
    <col min="1554" max="1792" width="8.42578125" style="105"/>
    <col min="1793" max="1793" width="10" style="105" bestFit="1" customWidth="1"/>
    <col min="1794" max="1794" width="44.28515625" style="105" bestFit="1" customWidth="1"/>
    <col min="1795" max="1795" width="10.42578125" style="105" bestFit="1" customWidth="1"/>
    <col min="1796" max="1796" width="10.42578125" style="105" customWidth="1"/>
    <col min="1797" max="1797" width="9.7109375" style="105" bestFit="1" customWidth="1"/>
    <col min="1798" max="1799" width="9.5703125" style="105" bestFit="1" customWidth="1"/>
    <col min="1800" max="1800" width="10.42578125" style="105" bestFit="1" customWidth="1"/>
    <col min="1801" max="1801" width="4.5703125" style="105" customWidth="1"/>
    <col min="1802" max="1802" width="1.85546875" style="105" customWidth="1"/>
    <col min="1803" max="1803" width="7" style="105" bestFit="1" customWidth="1"/>
    <col min="1804" max="1804" width="6.28515625" style="105" customWidth="1"/>
    <col min="1805" max="1805" width="20.42578125" style="105" customWidth="1"/>
    <col min="1806" max="1806" width="6.42578125" style="105" bestFit="1" customWidth="1"/>
    <col min="1807" max="1808" width="8.42578125" style="105"/>
    <col min="1809" max="1809" width="3.28515625" style="105" customWidth="1"/>
    <col min="1810" max="2048" width="8.42578125" style="105"/>
    <col min="2049" max="2049" width="10" style="105" bestFit="1" customWidth="1"/>
    <col min="2050" max="2050" width="44.28515625" style="105" bestFit="1" customWidth="1"/>
    <col min="2051" max="2051" width="10.42578125" style="105" bestFit="1" customWidth="1"/>
    <col min="2052" max="2052" width="10.42578125" style="105" customWidth="1"/>
    <col min="2053" max="2053" width="9.7109375" style="105" bestFit="1" customWidth="1"/>
    <col min="2054" max="2055" width="9.5703125" style="105" bestFit="1" customWidth="1"/>
    <col min="2056" max="2056" width="10.42578125" style="105" bestFit="1" customWidth="1"/>
    <col min="2057" max="2057" width="4.5703125" style="105" customWidth="1"/>
    <col min="2058" max="2058" width="1.85546875" style="105" customWidth="1"/>
    <col min="2059" max="2059" width="7" style="105" bestFit="1" customWidth="1"/>
    <col min="2060" max="2060" width="6.28515625" style="105" customWidth="1"/>
    <col min="2061" max="2061" width="20.42578125" style="105" customWidth="1"/>
    <col min="2062" max="2062" width="6.42578125" style="105" bestFit="1" customWidth="1"/>
    <col min="2063" max="2064" width="8.42578125" style="105"/>
    <col min="2065" max="2065" width="3.28515625" style="105" customWidth="1"/>
    <col min="2066" max="2304" width="8.42578125" style="105"/>
    <col min="2305" max="2305" width="10" style="105" bestFit="1" customWidth="1"/>
    <col min="2306" max="2306" width="44.28515625" style="105" bestFit="1" customWidth="1"/>
    <col min="2307" max="2307" width="10.42578125" style="105" bestFit="1" customWidth="1"/>
    <col min="2308" max="2308" width="10.42578125" style="105" customWidth="1"/>
    <col min="2309" max="2309" width="9.7109375" style="105" bestFit="1" customWidth="1"/>
    <col min="2310" max="2311" width="9.5703125" style="105" bestFit="1" customWidth="1"/>
    <col min="2312" max="2312" width="10.42578125" style="105" bestFit="1" customWidth="1"/>
    <col min="2313" max="2313" width="4.5703125" style="105" customWidth="1"/>
    <col min="2314" max="2314" width="1.85546875" style="105" customWidth="1"/>
    <col min="2315" max="2315" width="7" style="105" bestFit="1" customWidth="1"/>
    <col min="2316" max="2316" width="6.28515625" style="105" customWidth="1"/>
    <col min="2317" max="2317" width="20.42578125" style="105" customWidth="1"/>
    <col min="2318" max="2318" width="6.42578125" style="105" bestFit="1" customWidth="1"/>
    <col min="2319" max="2320" width="8.42578125" style="105"/>
    <col min="2321" max="2321" width="3.28515625" style="105" customWidth="1"/>
    <col min="2322" max="2560" width="8.42578125" style="105"/>
    <col min="2561" max="2561" width="10" style="105" bestFit="1" customWidth="1"/>
    <col min="2562" max="2562" width="44.28515625" style="105" bestFit="1" customWidth="1"/>
    <col min="2563" max="2563" width="10.42578125" style="105" bestFit="1" customWidth="1"/>
    <col min="2564" max="2564" width="10.42578125" style="105" customWidth="1"/>
    <col min="2565" max="2565" width="9.7109375" style="105" bestFit="1" customWidth="1"/>
    <col min="2566" max="2567" width="9.5703125" style="105" bestFit="1" customWidth="1"/>
    <col min="2568" max="2568" width="10.42578125" style="105" bestFit="1" customWidth="1"/>
    <col min="2569" max="2569" width="4.5703125" style="105" customWidth="1"/>
    <col min="2570" max="2570" width="1.85546875" style="105" customWidth="1"/>
    <col min="2571" max="2571" width="7" style="105" bestFit="1" customWidth="1"/>
    <col min="2572" max="2572" width="6.28515625" style="105" customWidth="1"/>
    <col min="2573" max="2573" width="20.42578125" style="105" customWidth="1"/>
    <col min="2574" max="2574" width="6.42578125" style="105" bestFit="1" customWidth="1"/>
    <col min="2575" max="2576" width="8.42578125" style="105"/>
    <col min="2577" max="2577" width="3.28515625" style="105" customWidth="1"/>
    <col min="2578" max="2816" width="8.42578125" style="105"/>
    <col min="2817" max="2817" width="10" style="105" bestFit="1" customWidth="1"/>
    <col min="2818" max="2818" width="44.28515625" style="105" bestFit="1" customWidth="1"/>
    <col min="2819" max="2819" width="10.42578125" style="105" bestFit="1" customWidth="1"/>
    <col min="2820" max="2820" width="10.42578125" style="105" customWidth="1"/>
    <col min="2821" max="2821" width="9.7109375" style="105" bestFit="1" customWidth="1"/>
    <col min="2822" max="2823" width="9.5703125" style="105" bestFit="1" customWidth="1"/>
    <col min="2824" max="2824" width="10.42578125" style="105" bestFit="1" customWidth="1"/>
    <col min="2825" max="2825" width="4.5703125" style="105" customWidth="1"/>
    <col min="2826" max="2826" width="1.85546875" style="105" customWidth="1"/>
    <col min="2827" max="2827" width="7" style="105" bestFit="1" customWidth="1"/>
    <col min="2828" max="2828" width="6.28515625" style="105" customWidth="1"/>
    <col min="2829" max="2829" width="20.42578125" style="105" customWidth="1"/>
    <col min="2830" max="2830" width="6.42578125" style="105" bestFit="1" customWidth="1"/>
    <col min="2831" max="2832" width="8.42578125" style="105"/>
    <col min="2833" max="2833" width="3.28515625" style="105" customWidth="1"/>
    <col min="2834" max="3072" width="8.42578125" style="105"/>
    <col min="3073" max="3073" width="10" style="105" bestFit="1" customWidth="1"/>
    <col min="3074" max="3074" width="44.28515625" style="105" bestFit="1" customWidth="1"/>
    <col min="3075" max="3075" width="10.42578125" style="105" bestFit="1" customWidth="1"/>
    <col min="3076" max="3076" width="10.42578125" style="105" customWidth="1"/>
    <col min="3077" max="3077" width="9.7109375" style="105" bestFit="1" customWidth="1"/>
    <col min="3078" max="3079" width="9.5703125" style="105" bestFit="1" customWidth="1"/>
    <col min="3080" max="3080" width="10.42578125" style="105" bestFit="1" customWidth="1"/>
    <col min="3081" max="3081" width="4.5703125" style="105" customWidth="1"/>
    <col min="3082" max="3082" width="1.85546875" style="105" customWidth="1"/>
    <col min="3083" max="3083" width="7" style="105" bestFit="1" customWidth="1"/>
    <col min="3084" max="3084" width="6.28515625" style="105" customWidth="1"/>
    <col min="3085" max="3085" width="20.42578125" style="105" customWidth="1"/>
    <col min="3086" max="3086" width="6.42578125" style="105" bestFit="1" customWidth="1"/>
    <col min="3087" max="3088" width="8.42578125" style="105"/>
    <col min="3089" max="3089" width="3.28515625" style="105" customWidth="1"/>
    <col min="3090" max="3328" width="8.42578125" style="105"/>
    <col min="3329" max="3329" width="10" style="105" bestFit="1" customWidth="1"/>
    <col min="3330" max="3330" width="44.28515625" style="105" bestFit="1" customWidth="1"/>
    <col min="3331" max="3331" width="10.42578125" style="105" bestFit="1" customWidth="1"/>
    <col min="3332" max="3332" width="10.42578125" style="105" customWidth="1"/>
    <col min="3333" max="3333" width="9.7109375" style="105" bestFit="1" customWidth="1"/>
    <col min="3334" max="3335" width="9.5703125" style="105" bestFit="1" customWidth="1"/>
    <col min="3336" max="3336" width="10.42578125" style="105" bestFit="1" customWidth="1"/>
    <col min="3337" max="3337" width="4.5703125" style="105" customWidth="1"/>
    <col min="3338" max="3338" width="1.85546875" style="105" customWidth="1"/>
    <col min="3339" max="3339" width="7" style="105" bestFit="1" customWidth="1"/>
    <col min="3340" max="3340" width="6.28515625" style="105" customWidth="1"/>
    <col min="3341" max="3341" width="20.42578125" style="105" customWidth="1"/>
    <col min="3342" max="3342" width="6.42578125" style="105" bestFit="1" customWidth="1"/>
    <col min="3343" max="3344" width="8.42578125" style="105"/>
    <col min="3345" max="3345" width="3.28515625" style="105" customWidth="1"/>
    <col min="3346" max="3584" width="8.42578125" style="105"/>
    <col min="3585" max="3585" width="10" style="105" bestFit="1" customWidth="1"/>
    <col min="3586" max="3586" width="44.28515625" style="105" bestFit="1" customWidth="1"/>
    <col min="3587" max="3587" width="10.42578125" style="105" bestFit="1" customWidth="1"/>
    <col min="3588" max="3588" width="10.42578125" style="105" customWidth="1"/>
    <col min="3589" max="3589" width="9.7109375" style="105" bestFit="1" customWidth="1"/>
    <col min="3590" max="3591" width="9.5703125" style="105" bestFit="1" customWidth="1"/>
    <col min="3592" max="3592" width="10.42578125" style="105" bestFit="1" customWidth="1"/>
    <col min="3593" max="3593" width="4.5703125" style="105" customWidth="1"/>
    <col min="3594" max="3594" width="1.85546875" style="105" customWidth="1"/>
    <col min="3595" max="3595" width="7" style="105" bestFit="1" customWidth="1"/>
    <col min="3596" max="3596" width="6.28515625" style="105" customWidth="1"/>
    <col min="3597" max="3597" width="20.42578125" style="105" customWidth="1"/>
    <col min="3598" max="3598" width="6.42578125" style="105" bestFit="1" customWidth="1"/>
    <col min="3599" max="3600" width="8.42578125" style="105"/>
    <col min="3601" max="3601" width="3.28515625" style="105" customWidth="1"/>
    <col min="3602" max="3840" width="8.42578125" style="105"/>
    <col min="3841" max="3841" width="10" style="105" bestFit="1" customWidth="1"/>
    <col min="3842" max="3842" width="44.28515625" style="105" bestFit="1" customWidth="1"/>
    <col min="3843" max="3843" width="10.42578125" style="105" bestFit="1" customWidth="1"/>
    <col min="3844" max="3844" width="10.42578125" style="105" customWidth="1"/>
    <col min="3845" max="3845" width="9.7109375" style="105" bestFit="1" customWidth="1"/>
    <col min="3846" max="3847" width="9.5703125" style="105" bestFit="1" customWidth="1"/>
    <col min="3848" max="3848" width="10.42578125" style="105" bestFit="1" customWidth="1"/>
    <col min="3849" max="3849" width="4.5703125" style="105" customWidth="1"/>
    <col min="3850" max="3850" width="1.85546875" style="105" customWidth="1"/>
    <col min="3851" max="3851" width="7" style="105" bestFit="1" customWidth="1"/>
    <col min="3852" max="3852" width="6.28515625" style="105" customWidth="1"/>
    <col min="3853" max="3853" width="20.42578125" style="105" customWidth="1"/>
    <col min="3854" max="3854" width="6.42578125" style="105" bestFit="1" customWidth="1"/>
    <col min="3855" max="3856" width="8.42578125" style="105"/>
    <col min="3857" max="3857" width="3.28515625" style="105" customWidth="1"/>
    <col min="3858" max="4096" width="8.42578125" style="105"/>
    <col min="4097" max="4097" width="10" style="105" bestFit="1" customWidth="1"/>
    <col min="4098" max="4098" width="44.28515625" style="105" bestFit="1" customWidth="1"/>
    <col min="4099" max="4099" width="10.42578125" style="105" bestFit="1" customWidth="1"/>
    <col min="4100" max="4100" width="10.42578125" style="105" customWidth="1"/>
    <col min="4101" max="4101" width="9.7109375" style="105" bestFit="1" customWidth="1"/>
    <col min="4102" max="4103" width="9.5703125" style="105" bestFit="1" customWidth="1"/>
    <col min="4104" max="4104" width="10.42578125" style="105" bestFit="1" customWidth="1"/>
    <col min="4105" max="4105" width="4.5703125" style="105" customWidth="1"/>
    <col min="4106" max="4106" width="1.85546875" style="105" customWidth="1"/>
    <col min="4107" max="4107" width="7" style="105" bestFit="1" customWidth="1"/>
    <col min="4108" max="4108" width="6.28515625" style="105" customWidth="1"/>
    <col min="4109" max="4109" width="20.42578125" style="105" customWidth="1"/>
    <col min="4110" max="4110" width="6.42578125" style="105" bestFit="1" customWidth="1"/>
    <col min="4111" max="4112" width="8.42578125" style="105"/>
    <col min="4113" max="4113" width="3.28515625" style="105" customWidth="1"/>
    <col min="4114" max="4352" width="8.42578125" style="105"/>
    <col min="4353" max="4353" width="10" style="105" bestFit="1" customWidth="1"/>
    <col min="4354" max="4354" width="44.28515625" style="105" bestFit="1" customWidth="1"/>
    <col min="4355" max="4355" width="10.42578125" style="105" bestFit="1" customWidth="1"/>
    <col min="4356" max="4356" width="10.42578125" style="105" customWidth="1"/>
    <col min="4357" max="4357" width="9.7109375" style="105" bestFit="1" customWidth="1"/>
    <col min="4358" max="4359" width="9.5703125" style="105" bestFit="1" customWidth="1"/>
    <col min="4360" max="4360" width="10.42578125" style="105" bestFit="1" customWidth="1"/>
    <col min="4361" max="4361" width="4.5703125" style="105" customWidth="1"/>
    <col min="4362" max="4362" width="1.85546875" style="105" customWidth="1"/>
    <col min="4363" max="4363" width="7" style="105" bestFit="1" customWidth="1"/>
    <col min="4364" max="4364" width="6.28515625" style="105" customWidth="1"/>
    <col min="4365" max="4365" width="20.42578125" style="105" customWidth="1"/>
    <col min="4366" max="4366" width="6.42578125" style="105" bestFit="1" customWidth="1"/>
    <col min="4367" max="4368" width="8.42578125" style="105"/>
    <col min="4369" max="4369" width="3.28515625" style="105" customWidth="1"/>
    <col min="4370" max="4608" width="8.42578125" style="105"/>
    <col min="4609" max="4609" width="10" style="105" bestFit="1" customWidth="1"/>
    <col min="4610" max="4610" width="44.28515625" style="105" bestFit="1" customWidth="1"/>
    <col min="4611" max="4611" width="10.42578125" style="105" bestFit="1" customWidth="1"/>
    <col min="4612" max="4612" width="10.42578125" style="105" customWidth="1"/>
    <col min="4613" max="4613" width="9.7109375" style="105" bestFit="1" customWidth="1"/>
    <col min="4614" max="4615" width="9.5703125" style="105" bestFit="1" customWidth="1"/>
    <col min="4616" max="4616" width="10.42578125" style="105" bestFit="1" customWidth="1"/>
    <col min="4617" max="4617" width="4.5703125" style="105" customWidth="1"/>
    <col min="4618" max="4618" width="1.85546875" style="105" customWidth="1"/>
    <col min="4619" max="4619" width="7" style="105" bestFit="1" customWidth="1"/>
    <col min="4620" max="4620" width="6.28515625" style="105" customWidth="1"/>
    <col min="4621" max="4621" width="20.42578125" style="105" customWidth="1"/>
    <col min="4622" max="4622" width="6.42578125" style="105" bestFit="1" customWidth="1"/>
    <col min="4623" max="4624" width="8.42578125" style="105"/>
    <col min="4625" max="4625" width="3.28515625" style="105" customWidth="1"/>
    <col min="4626" max="4864" width="8.42578125" style="105"/>
    <col min="4865" max="4865" width="10" style="105" bestFit="1" customWidth="1"/>
    <col min="4866" max="4866" width="44.28515625" style="105" bestFit="1" customWidth="1"/>
    <col min="4867" max="4867" width="10.42578125" style="105" bestFit="1" customWidth="1"/>
    <col min="4868" max="4868" width="10.42578125" style="105" customWidth="1"/>
    <col min="4869" max="4869" width="9.7109375" style="105" bestFit="1" customWidth="1"/>
    <col min="4870" max="4871" width="9.5703125" style="105" bestFit="1" customWidth="1"/>
    <col min="4872" max="4872" width="10.42578125" style="105" bestFit="1" customWidth="1"/>
    <col min="4873" max="4873" width="4.5703125" style="105" customWidth="1"/>
    <col min="4874" max="4874" width="1.85546875" style="105" customWidth="1"/>
    <col min="4875" max="4875" width="7" style="105" bestFit="1" customWidth="1"/>
    <col min="4876" max="4876" width="6.28515625" style="105" customWidth="1"/>
    <col min="4877" max="4877" width="20.42578125" style="105" customWidth="1"/>
    <col min="4878" max="4878" width="6.42578125" style="105" bestFit="1" customWidth="1"/>
    <col min="4879" max="4880" width="8.42578125" style="105"/>
    <col min="4881" max="4881" width="3.28515625" style="105" customWidth="1"/>
    <col min="4882" max="5120" width="8.42578125" style="105"/>
    <col min="5121" max="5121" width="10" style="105" bestFit="1" customWidth="1"/>
    <col min="5122" max="5122" width="44.28515625" style="105" bestFit="1" customWidth="1"/>
    <col min="5123" max="5123" width="10.42578125" style="105" bestFit="1" customWidth="1"/>
    <col min="5124" max="5124" width="10.42578125" style="105" customWidth="1"/>
    <col min="5125" max="5125" width="9.7109375" style="105" bestFit="1" customWidth="1"/>
    <col min="5126" max="5127" width="9.5703125" style="105" bestFit="1" customWidth="1"/>
    <col min="5128" max="5128" width="10.42578125" style="105" bestFit="1" customWidth="1"/>
    <col min="5129" max="5129" width="4.5703125" style="105" customWidth="1"/>
    <col min="5130" max="5130" width="1.85546875" style="105" customWidth="1"/>
    <col min="5131" max="5131" width="7" style="105" bestFit="1" customWidth="1"/>
    <col min="5132" max="5132" width="6.28515625" style="105" customWidth="1"/>
    <col min="5133" max="5133" width="20.42578125" style="105" customWidth="1"/>
    <col min="5134" max="5134" width="6.42578125" style="105" bestFit="1" customWidth="1"/>
    <col min="5135" max="5136" width="8.42578125" style="105"/>
    <col min="5137" max="5137" width="3.28515625" style="105" customWidth="1"/>
    <col min="5138" max="5376" width="8.42578125" style="105"/>
    <col min="5377" max="5377" width="10" style="105" bestFit="1" customWidth="1"/>
    <col min="5378" max="5378" width="44.28515625" style="105" bestFit="1" customWidth="1"/>
    <col min="5379" max="5379" width="10.42578125" style="105" bestFit="1" customWidth="1"/>
    <col min="5380" max="5380" width="10.42578125" style="105" customWidth="1"/>
    <col min="5381" max="5381" width="9.7109375" style="105" bestFit="1" customWidth="1"/>
    <col min="5382" max="5383" width="9.5703125" style="105" bestFit="1" customWidth="1"/>
    <col min="5384" max="5384" width="10.42578125" style="105" bestFit="1" customWidth="1"/>
    <col min="5385" max="5385" width="4.5703125" style="105" customWidth="1"/>
    <col min="5386" max="5386" width="1.85546875" style="105" customWidth="1"/>
    <col min="5387" max="5387" width="7" style="105" bestFit="1" customWidth="1"/>
    <col min="5388" max="5388" width="6.28515625" style="105" customWidth="1"/>
    <col min="5389" max="5389" width="20.42578125" style="105" customWidth="1"/>
    <col min="5390" max="5390" width="6.42578125" style="105" bestFit="1" customWidth="1"/>
    <col min="5391" max="5392" width="8.42578125" style="105"/>
    <col min="5393" max="5393" width="3.28515625" style="105" customWidth="1"/>
    <col min="5394" max="5632" width="8.42578125" style="105"/>
    <col min="5633" max="5633" width="10" style="105" bestFit="1" customWidth="1"/>
    <col min="5634" max="5634" width="44.28515625" style="105" bestFit="1" customWidth="1"/>
    <col min="5635" max="5635" width="10.42578125" style="105" bestFit="1" customWidth="1"/>
    <col min="5636" max="5636" width="10.42578125" style="105" customWidth="1"/>
    <col min="5637" max="5637" width="9.7109375" style="105" bestFit="1" customWidth="1"/>
    <col min="5638" max="5639" width="9.5703125" style="105" bestFit="1" customWidth="1"/>
    <col min="5640" max="5640" width="10.42578125" style="105" bestFit="1" customWidth="1"/>
    <col min="5641" max="5641" width="4.5703125" style="105" customWidth="1"/>
    <col min="5642" max="5642" width="1.85546875" style="105" customWidth="1"/>
    <col min="5643" max="5643" width="7" style="105" bestFit="1" customWidth="1"/>
    <col min="5644" max="5644" width="6.28515625" style="105" customWidth="1"/>
    <col min="5645" max="5645" width="20.42578125" style="105" customWidth="1"/>
    <col min="5646" max="5646" width="6.42578125" style="105" bestFit="1" customWidth="1"/>
    <col min="5647" max="5648" width="8.42578125" style="105"/>
    <col min="5649" max="5649" width="3.28515625" style="105" customWidth="1"/>
    <col min="5650" max="5888" width="8.42578125" style="105"/>
    <col min="5889" max="5889" width="10" style="105" bestFit="1" customWidth="1"/>
    <col min="5890" max="5890" width="44.28515625" style="105" bestFit="1" customWidth="1"/>
    <col min="5891" max="5891" width="10.42578125" style="105" bestFit="1" customWidth="1"/>
    <col min="5892" max="5892" width="10.42578125" style="105" customWidth="1"/>
    <col min="5893" max="5893" width="9.7109375" style="105" bestFit="1" customWidth="1"/>
    <col min="5894" max="5895" width="9.5703125" style="105" bestFit="1" customWidth="1"/>
    <col min="5896" max="5896" width="10.42578125" style="105" bestFit="1" customWidth="1"/>
    <col min="5897" max="5897" width="4.5703125" style="105" customWidth="1"/>
    <col min="5898" max="5898" width="1.85546875" style="105" customWidth="1"/>
    <col min="5899" max="5899" width="7" style="105" bestFit="1" customWidth="1"/>
    <col min="5900" max="5900" width="6.28515625" style="105" customWidth="1"/>
    <col min="5901" max="5901" width="20.42578125" style="105" customWidth="1"/>
    <col min="5902" max="5902" width="6.42578125" style="105" bestFit="1" customWidth="1"/>
    <col min="5903" max="5904" width="8.42578125" style="105"/>
    <col min="5905" max="5905" width="3.28515625" style="105" customWidth="1"/>
    <col min="5906" max="6144" width="8.42578125" style="105"/>
    <col min="6145" max="6145" width="10" style="105" bestFit="1" customWidth="1"/>
    <col min="6146" max="6146" width="44.28515625" style="105" bestFit="1" customWidth="1"/>
    <col min="6147" max="6147" width="10.42578125" style="105" bestFit="1" customWidth="1"/>
    <col min="6148" max="6148" width="10.42578125" style="105" customWidth="1"/>
    <col min="6149" max="6149" width="9.7109375" style="105" bestFit="1" customWidth="1"/>
    <col min="6150" max="6151" width="9.5703125" style="105" bestFit="1" customWidth="1"/>
    <col min="6152" max="6152" width="10.42578125" style="105" bestFit="1" customWidth="1"/>
    <col min="6153" max="6153" width="4.5703125" style="105" customWidth="1"/>
    <col min="6154" max="6154" width="1.85546875" style="105" customWidth="1"/>
    <col min="6155" max="6155" width="7" style="105" bestFit="1" customWidth="1"/>
    <col min="6156" max="6156" width="6.28515625" style="105" customWidth="1"/>
    <col min="6157" max="6157" width="20.42578125" style="105" customWidth="1"/>
    <col min="6158" max="6158" width="6.42578125" style="105" bestFit="1" customWidth="1"/>
    <col min="6159" max="6160" width="8.42578125" style="105"/>
    <col min="6161" max="6161" width="3.28515625" style="105" customWidth="1"/>
    <col min="6162" max="6400" width="8.42578125" style="105"/>
    <col min="6401" max="6401" width="10" style="105" bestFit="1" customWidth="1"/>
    <col min="6402" max="6402" width="44.28515625" style="105" bestFit="1" customWidth="1"/>
    <col min="6403" max="6403" width="10.42578125" style="105" bestFit="1" customWidth="1"/>
    <col min="6404" max="6404" width="10.42578125" style="105" customWidth="1"/>
    <col min="6405" max="6405" width="9.7109375" style="105" bestFit="1" customWidth="1"/>
    <col min="6406" max="6407" width="9.5703125" style="105" bestFit="1" customWidth="1"/>
    <col min="6408" max="6408" width="10.42578125" style="105" bestFit="1" customWidth="1"/>
    <col min="6409" max="6409" width="4.5703125" style="105" customWidth="1"/>
    <col min="6410" max="6410" width="1.85546875" style="105" customWidth="1"/>
    <col min="6411" max="6411" width="7" style="105" bestFit="1" customWidth="1"/>
    <col min="6412" max="6412" width="6.28515625" style="105" customWidth="1"/>
    <col min="6413" max="6413" width="20.42578125" style="105" customWidth="1"/>
    <col min="6414" max="6414" width="6.42578125" style="105" bestFit="1" customWidth="1"/>
    <col min="6415" max="6416" width="8.42578125" style="105"/>
    <col min="6417" max="6417" width="3.28515625" style="105" customWidth="1"/>
    <col min="6418" max="6656" width="8.42578125" style="105"/>
    <col min="6657" max="6657" width="10" style="105" bestFit="1" customWidth="1"/>
    <col min="6658" max="6658" width="44.28515625" style="105" bestFit="1" customWidth="1"/>
    <col min="6659" max="6659" width="10.42578125" style="105" bestFit="1" customWidth="1"/>
    <col min="6660" max="6660" width="10.42578125" style="105" customWidth="1"/>
    <col min="6661" max="6661" width="9.7109375" style="105" bestFit="1" customWidth="1"/>
    <col min="6662" max="6663" width="9.5703125" style="105" bestFit="1" customWidth="1"/>
    <col min="6664" max="6664" width="10.42578125" style="105" bestFit="1" customWidth="1"/>
    <col min="6665" max="6665" width="4.5703125" style="105" customWidth="1"/>
    <col min="6666" max="6666" width="1.85546875" style="105" customWidth="1"/>
    <col min="6667" max="6667" width="7" style="105" bestFit="1" customWidth="1"/>
    <col min="6668" max="6668" width="6.28515625" style="105" customWidth="1"/>
    <col min="6669" max="6669" width="20.42578125" style="105" customWidth="1"/>
    <col min="6670" max="6670" width="6.42578125" style="105" bestFit="1" customWidth="1"/>
    <col min="6671" max="6672" width="8.42578125" style="105"/>
    <col min="6673" max="6673" width="3.28515625" style="105" customWidth="1"/>
    <col min="6674" max="6912" width="8.42578125" style="105"/>
    <col min="6913" max="6913" width="10" style="105" bestFit="1" customWidth="1"/>
    <col min="6914" max="6914" width="44.28515625" style="105" bestFit="1" customWidth="1"/>
    <col min="6915" max="6915" width="10.42578125" style="105" bestFit="1" customWidth="1"/>
    <col min="6916" max="6916" width="10.42578125" style="105" customWidth="1"/>
    <col min="6917" max="6917" width="9.7109375" style="105" bestFit="1" customWidth="1"/>
    <col min="6918" max="6919" width="9.5703125" style="105" bestFit="1" customWidth="1"/>
    <col min="6920" max="6920" width="10.42578125" style="105" bestFit="1" customWidth="1"/>
    <col min="6921" max="6921" width="4.5703125" style="105" customWidth="1"/>
    <col min="6922" max="6922" width="1.85546875" style="105" customWidth="1"/>
    <col min="6923" max="6923" width="7" style="105" bestFit="1" customWidth="1"/>
    <col min="6924" max="6924" width="6.28515625" style="105" customWidth="1"/>
    <col min="6925" max="6925" width="20.42578125" style="105" customWidth="1"/>
    <col min="6926" max="6926" width="6.42578125" style="105" bestFit="1" customWidth="1"/>
    <col min="6927" max="6928" width="8.42578125" style="105"/>
    <col min="6929" max="6929" width="3.28515625" style="105" customWidth="1"/>
    <col min="6930" max="7168" width="8.42578125" style="105"/>
    <col min="7169" max="7169" width="10" style="105" bestFit="1" customWidth="1"/>
    <col min="7170" max="7170" width="44.28515625" style="105" bestFit="1" customWidth="1"/>
    <col min="7171" max="7171" width="10.42578125" style="105" bestFit="1" customWidth="1"/>
    <col min="7172" max="7172" width="10.42578125" style="105" customWidth="1"/>
    <col min="7173" max="7173" width="9.7109375" style="105" bestFit="1" customWidth="1"/>
    <col min="7174" max="7175" width="9.5703125" style="105" bestFit="1" customWidth="1"/>
    <col min="7176" max="7176" width="10.42578125" style="105" bestFit="1" customWidth="1"/>
    <col min="7177" max="7177" width="4.5703125" style="105" customWidth="1"/>
    <col min="7178" max="7178" width="1.85546875" style="105" customWidth="1"/>
    <col min="7179" max="7179" width="7" style="105" bestFit="1" customWidth="1"/>
    <col min="7180" max="7180" width="6.28515625" style="105" customWidth="1"/>
    <col min="7181" max="7181" width="20.42578125" style="105" customWidth="1"/>
    <col min="7182" max="7182" width="6.42578125" style="105" bestFit="1" customWidth="1"/>
    <col min="7183" max="7184" width="8.42578125" style="105"/>
    <col min="7185" max="7185" width="3.28515625" style="105" customWidth="1"/>
    <col min="7186" max="7424" width="8.42578125" style="105"/>
    <col min="7425" max="7425" width="10" style="105" bestFit="1" customWidth="1"/>
    <col min="7426" max="7426" width="44.28515625" style="105" bestFit="1" customWidth="1"/>
    <col min="7427" max="7427" width="10.42578125" style="105" bestFit="1" customWidth="1"/>
    <col min="7428" max="7428" width="10.42578125" style="105" customWidth="1"/>
    <col min="7429" max="7429" width="9.7109375" style="105" bestFit="1" customWidth="1"/>
    <col min="7430" max="7431" width="9.5703125" style="105" bestFit="1" customWidth="1"/>
    <col min="7432" max="7432" width="10.42578125" style="105" bestFit="1" customWidth="1"/>
    <col min="7433" max="7433" width="4.5703125" style="105" customWidth="1"/>
    <col min="7434" max="7434" width="1.85546875" style="105" customWidth="1"/>
    <col min="7435" max="7435" width="7" style="105" bestFit="1" customWidth="1"/>
    <col min="7436" max="7436" width="6.28515625" style="105" customWidth="1"/>
    <col min="7437" max="7437" width="20.42578125" style="105" customWidth="1"/>
    <col min="7438" max="7438" width="6.42578125" style="105" bestFit="1" customWidth="1"/>
    <col min="7439" max="7440" width="8.42578125" style="105"/>
    <col min="7441" max="7441" width="3.28515625" style="105" customWidth="1"/>
    <col min="7442" max="7680" width="8.42578125" style="105"/>
    <col min="7681" max="7681" width="10" style="105" bestFit="1" customWidth="1"/>
    <col min="7682" max="7682" width="44.28515625" style="105" bestFit="1" customWidth="1"/>
    <col min="7683" max="7683" width="10.42578125" style="105" bestFit="1" customWidth="1"/>
    <col min="7684" max="7684" width="10.42578125" style="105" customWidth="1"/>
    <col min="7685" max="7685" width="9.7109375" style="105" bestFit="1" customWidth="1"/>
    <col min="7686" max="7687" width="9.5703125" style="105" bestFit="1" customWidth="1"/>
    <col min="7688" max="7688" width="10.42578125" style="105" bestFit="1" customWidth="1"/>
    <col min="7689" max="7689" width="4.5703125" style="105" customWidth="1"/>
    <col min="7690" max="7690" width="1.85546875" style="105" customWidth="1"/>
    <col min="7691" max="7691" width="7" style="105" bestFit="1" customWidth="1"/>
    <col min="7692" max="7692" width="6.28515625" style="105" customWidth="1"/>
    <col min="7693" max="7693" width="20.42578125" style="105" customWidth="1"/>
    <col min="7694" max="7694" width="6.42578125" style="105" bestFit="1" customWidth="1"/>
    <col min="7695" max="7696" width="8.42578125" style="105"/>
    <col min="7697" max="7697" width="3.28515625" style="105" customWidth="1"/>
    <col min="7698" max="7936" width="8.42578125" style="105"/>
    <col min="7937" max="7937" width="10" style="105" bestFit="1" customWidth="1"/>
    <col min="7938" max="7938" width="44.28515625" style="105" bestFit="1" customWidth="1"/>
    <col min="7939" max="7939" width="10.42578125" style="105" bestFit="1" customWidth="1"/>
    <col min="7940" max="7940" width="10.42578125" style="105" customWidth="1"/>
    <col min="7941" max="7941" width="9.7109375" style="105" bestFit="1" customWidth="1"/>
    <col min="7942" max="7943" width="9.5703125" style="105" bestFit="1" customWidth="1"/>
    <col min="7944" max="7944" width="10.42578125" style="105" bestFit="1" customWidth="1"/>
    <col min="7945" max="7945" width="4.5703125" style="105" customWidth="1"/>
    <col min="7946" max="7946" width="1.85546875" style="105" customWidth="1"/>
    <col min="7947" max="7947" width="7" style="105" bestFit="1" customWidth="1"/>
    <col min="7948" max="7948" width="6.28515625" style="105" customWidth="1"/>
    <col min="7949" max="7949" width="20.42578125" style="105" customWidth="1"/>
    <col min="7950" max="7950" width="6.42578125" style="105" bestFit="1" customWidth="1"/>
    <col min="7951" max="7952" width="8.42578125" style="105"/>
    <col min="7953" max="7953" width="3.28515625" style="105" customWidth="1"/>
    <col min="7954" max="8192" width="8.42578125" style="105"/>
    <col min="8193" max="8193" width="10" style="105" bestFit="1" customWidth="1"/>
    <col min="8194" max="8194" width="44.28515625" style="105" bestFit="1" customWidth="1"/>
    <col min="8195" max="8195" width="10.42578125" style="105" bestFit="1" customWidth="1"/>
    <col min="8196" max="8196" width="10.42578125" style="105" customWidth="1"/>
    <col min="8197" max="8197" width="9.7109375" style="105" bestFit="1" customWidth="1"/>
    <col min="8198" max="8199" width="9.5703125" style="105" bestFit="1" customWidth="1"/>
    <col min="8200" max="8200" width="10.42578125" style="105" bestFit="1" customWidth="1"/>
    <col min="8201" max="8201" width="4.5703125" style="105" customWidth="1"/>
    <col min="8202" max="8202" width="1.85546875" style="105" customWidth="1"/>
    <col min="8203" max="8203" width="7" style="105" bestFit="1" customWidth="1"/>
    <col min="8204" max="8204" width="6.28515625" style="105" customWidth="1"/>
    <col min="8205" max="8205" width="20.42578125" style="105" customWidth="1"/>
    <col min="8206" max="8206" width="6.42578125" style="105" bestFit="1" customWidth="1"/>
    <col min="8207" max="8208" width="8.42578125" style="105"/>
    <col min="8209" max="8209" width="3.28515625" style="105" customWidth="1"/>
    <col min="8210" max="8448" width="8.42578125" style="105"/>
    <col min="8449" max="8449" width="10" style="105" bestFit="1" customWidth="1"/>
    <col min="8450" max="8450" width="44.28515625" style="105" bestFit="1" customWidth="1"/>
    <col min="8451" max="8451" width="10.42578125" style="105" bestFit="1" customWidth="1"/>
    <col min="8452" max="8452" width="10.42578125" style="105" customWidth="1"/>
    <col min="8453" max="8453" width="9.7109375" style="105" bestFit="1" customWidth="1"/>
    <col min="8454" max="8455" width="9.5703125" style="105" bestFit="1" customWidth="1"/>
    <col min="8456" max="8456" width="10.42578125" style="105" bestFit="1" customWidth="1"/>
    <col min="8457" max="8457" width="4.5703125" style="105" customWidth="1"/>
    <col min="8458" max="8458" width="1.85546875" style="105" customWidth="1"/>
    <col min="8459" max="8459" width="7" style="105" bestFit="1" customWidth="1"/>
    <col min="8460" max="8460" width="6.28515625" style="105" customWidth="1"/>
    <col min="8461" max="8461" width="20.42578125" style="105" customWidth="1"/>
    <col min="8462" max="8462" width="6.42578125" style="105" bestFit="1" customWidth="1"/>
    <col min="8463" max="8464" width="8.42578125" style="105"/>
    <col min="8465" max="8465" width="3.28515625" style="105" customWidth="1"/>
    <col min="8466" max="8704" width="8.42578125" style="105"/>
    <col min="8705" max="8705" width="10" style="105" bestFit="1" customWidth="1"/>
    <col min="8706" max="8706" width="44.28515625" style="105" bestFit="1" customWidth="1"/>
    <col min="8707" max="8707" width="10.42578125" style="105" bestFit="1" customWidth="1"/>
    <col min="8708" max="8708" width="10.42578125" style="105" customWidth="1"/>
    <col min="8709" max="8709" width="9.7109375" style="105" bestFit="1" customWidth="1"/>
    <col min="8710" max="8711" width="9.5703125" style="105" bestFit="1" customWidth="1"/>
    <col min="8712" max="8712" width="10.42578125" style="105" bestFit="1" customWidth="1"/>
    <col min="8713" max="8713" width="4.5703125" style="105" customWidth="1"/>
    <col min="8714" max="8714" width="1.85546875" style="105" customWidth="1"/>
    <col min="8715" max="8715" width="7" style="105" bestFit="1" customWidth="1"/>
    <col min="8716" max="8716" width="6.28515625" style="105" customWidth="1"/>
    <col min="8717" max="8717" width="20.42578125" style="105" customWidth="1"/>
    <col min="8718" max="8718" width="6.42578125" style="105" bestFit="1" customWidth="1"/>
    <col min="8719" max="8720" width="8.42578125" style="105"/>
    <col min="8721" max="8721" width="3.28515625" style="105" customWidth="1"/>
    <col min="8722" max="8960" width="8.42578125" style="105"/>
    <col min="8961" max="8961" width="10" style="105" bestFit="1" customWidth="1"/>
    <col min="8962" max="8962" width="44.28515625" style="105" bestFit="1" customWidth="1"/>
    <col min="8963" max="8963" width="10.42578125" style="105" bestFit="1" customWidth="1"/>
    <col min="8964" max="8964" width="10.42578125" style="105" customWidth="1"/>
    <col min="8965" max="8965" width="9.7109375" style="105" bestFit="1" customWidth="1"/>
    <col min="8966" max="8967" width="9.5703125" style="105" bestFit="1" customWidth="1"/>
    <col min="8968" max="8968" width="10.42578125" style="105" bestFit="1" customWidth="1"/>
    <col min="8969" max="8969" width="4.5703125" style="105" customWidth="1"/>
    <col min="8970" max="8970" width="1.85546875" style="105" customWidth="1"/>
    <col min="8971" max="8971" width="7" style="105" bestFit="1" customWidth="1"/>
    <col min="8972" max="8972" width="6.28515625" style="105" customWidth="1"/>
    <col min="8973" max="8973" width="20.42578125" style="105" customWidth="1"/>
    <col min="8974" max="8974" width="6.42578125" style="105" bestFit="1" customWidth="1"/>
    <col min="8975" max="8976" width="8.42578125" style="105"/>
    <col min="8977" max="8977" width="3.28515625" style="105" customWidth="1"/>
    <col min="8978" max="9216" width="8.42578125" style="105"/>
    <col min="9217" max="9217" width="10" style="105" bestFit="1" customWidth="1"/>
    <col min="9218" max="9218" width="44.28515625" style="105" bestFit="1" customWidth="1"/>
    <col min="9219" max="9219" width="10.42578125" style="105" bestFit="1" customWidth="1"/>
    <col min="9220" max="9220" width="10.42578125" style="105" customWidth="1"/>
    <col min="9221" max="9221" width="9.7109375" style="105" bestFit="1" customWidth="1"/>
    <col min="9222" max="9223" width="9.5703125" style="105" bestFit="1" customWidth="1"/>
    <col min="9224" max="9224" width="10.42578125" style="105" bestFit="1" customWidth="1"/>
    <col min="9225" max="9225" width="4.5703125" style="105" customWidth="1"/>
    <col min="9226" max="9226" width="1.85546875" style="105" customWidth="1"/>
    <col min="9227" max="9227" width="7" style="105" bestFit="1" customWidth="1"/>
    <col min="9228" max="9228" width="6.28515625" style="105" customWidth="1"/>
    <col min="9229" max="9229" width="20.42578125" style="105" customWidth="1"/>
    <col min="9230" max="9230" width="6.42578125" style="105" bestFit="1" customWidth="1"/>
    <col min="9231" max="9232" width="8.42578125" style="105"/>
    <col min="9233" max="9233" width="3.28515625" style="105" customWidth="1"/>
    <col min="9234" max="9472" width="8.42578125" style="105"/>
    <col min="9473" max="9473" width="10" style="105" bestFit="1" customWidth="1"/>
    <col min="9474" max="9474" width="44.28515625" style="105" bestFit="1" customWidth="1"/>
    <col min="9475" max="9475" width="10.42578125" style="105" bestFit="1" customWidth="1"/>
    <col min="9476" max="9476" width="10.42578125" style="105" customWidth="1"/>
    <col min="9477" max="9477" width="9.7109375" style="105" bestFit="1" customWidth="1"/>
    <col min="9478" max="9479" width="9.5703125" style="105" bestFit="1" customWidth="1"/>
    <col min="9480" max="9480" width="10.42578125" style="105" bestFit="1" customWidth="1"/>
    <col min="9481" max="9481" width="4.5703125" style="105" customWidth="1"/>
    <col min="9482" max="9482" width="1.85546875" style="105" customWidth="1"/>
    <col min="9483" max="9483" width="7" style="105" bestFit="1" customWidth="1"/>
    <col min="9484" max="9484" width="6.28515625" style="105" customWidth="1"/>
    <col min="9485" max="9485" width="20.42578125" style="105" customWidth="1"/>
    <col min="9486" max="9486" width="6.42578125" style="105" bestFit="1" customWidth="1"/>
    <col min="9487" max="9488" width="8.42578125" style="105"/>
    <col min="9489" max="9489" width="3.28515625" style="105" customWidth="1"/>
    <col min="9490" max="9728" width="8.42578125" style="105"/>
    <col min="9729" max="9729" width="10" style="105" bestFit="1" customWidth="1"/>
    <col min="9730" max="9730" width="44.28515625" style="105" bestFit="1" customWidth="1"/>
    <col min="9731" max="9731" width="10.42578125" style="105" bestFit="1" customWidth="1"/>
    <col min="9732" max="9732" width="10.42578125" style="105" customWidth="1"/>
    <col min="9733" max="9733" width="9.7109375" style="105" bestFit="1" customWidth="1"/>
    <col min="9734" max="9735" width="9.5703125" style="105" bestFit="1" customWidth="1"/>
    <col min="9736" max="9736" width="10.42578125" style="105" bestFit="1" customWidth="1"/>
    <col min="9737" max="9737" width="4.5703125" style="105" customWidth="1"/>
    <col min="9738" max="9738" width="1.85546875" style="105" customWidth="1"/>
    <col min="9739" max="9739" width="7" style="105" bestFit="1" customWidth="1"/>
    <col min="9740" max="9740" width="6.28515625" style="105" customWidth="1"/>
    <col min="9741" max="9741" width="20.42578125" style="105" customWidth="1"/>
    <col min="9742" max="9742" width="6.42578125" style="105" bestFit="1" customWidth="1"/>
    <col min="9743" max="9744" width="8.42578125" style="105"/>
    <col min="9745" max="9745" width="3.28515625" style="105" customWidth="1"/>
    <col min="9746" max="9984" width="8.42578125" style="105"/>
    <col min="9985" max="9985" width="10" style="105" bestFit="1" customWidth="1"/>
    <col min="9986" max="9986" width="44.28515625" style="105" bestFit="1" customWidth="1"/>
    <col min="9987" max="9987" width="10.42578125" style="105" bestFit="1" customWidth="1"/>
    <col min="9988" max="9988" width="10.42578125" style="105" customWidth="1"/>
    <col min="9989" max="9989" width="9.7109375" style="105" bestFit="1" customWidth="1"/>
    <col min="9990" max="9991" width="9.5703125" style="105" bestFit="1" customWidth="1"/>
    <col min="9992" max="9992" width="10.42578125" style="105" bestFit="1" customWidth="1"/>
    <col min="9993" max="9993" width="4.5703125" style="105" customWidth="1"/>
    <col min="9994" max="9994" width="1.85546875" style="105" customWidth="1"/>
    <col min="9995" max="9995" width="7" style="105" bestFit="1" customWidth="1"/>
    <col min="9996" max="9996" width="6.28515625" style="105" customWidth="1"/>
    <col min="9997" max="9997" width="20.42578125" style="105" customWidth="1"/>
    <col min="9998" max="9998" width="6.42578125" style="105" bestFit="1" customWidth="1"/>
    <col min="9999" max="10000" width="8.42578125" style="105"/>
    <col min="10001" max="10001" width="3.28515625" style="105" customWidth="1"/>
    <col min="10002" max="10240" width="8.42578125" style="105"/>
    <col min="10241" max="10241" width="10" style="105" bestFit="1" customWidth="1"/>
    <col min="10242" max="10242" width="44.28515625" style="105" bestFit="1" customWidth="1"/>
    <col min="10243" max="10243" width="10.42578125" style="105" bestFit="1" customWidth="1"/>
    <col min="10244" max="10244" width="10.42578125" style="105" customWidth="1"/>
    <col min="10245" max="10245" width="9.7109375" style="105" bestFit="1" customWidth="1"/>
    <col min="10246" max="10247" width="9.5703125" style="105" bestFit="1" customWidth="1"/>
    <col min="10248" max="10248" width="10.42578125" style="105" bestFit="1" customWidth="1"/>
    <col min="10249" max="10249" width="4.5703125" style="105" customWidth="1"/>
    <col min="10250" max="10250" width="1.85546875" style="105" customWidth="1"/>
    <col min="10251" max="10251" width="7" style="105" bestFit="1" customWidth="1"/>
    <col min="10252" max="10252" width="6.28515625" style="105" customWidth="1"/>
    <col min="10253" max="10253" width="20.42578125" style="105" customWidth="1"/>
    <col min="10254" max="10254" width="6.42578125" style="105" bestFit="1" customWidth="1"/>
    <col min="10255" max="10256" width="8.42578125" style="105"/>
    <col min="10257" max="10257" width="3.28515625" style="105" customWidth="1"/>
    <col min="10258" max="10496" width="8.42578125" style="105"/>
    <col min="10497" max="10497" width="10" style="105" bestFit="1" customWidth="1"/>
    <col min="10498" max="10498" width="44.28515625" style="105" bestFit="1" customWidth="1"/>
    <col min="10499" max="10499" width="10.42578125" style="105" bestFit="1" customWidth="1"/>
    <col min="10500" max="10500" width="10.42578125" style="105" customWidth="1"/>
    <col min="10501" max="10501" width="9.7109375" style="105" bestFit="1" customWidth="1"/>
    <col min="10502" max="10503" width="9.5703125" style="105" bestFit="1" customWidth="1"/>
    <col min="10504" max="10504" width="10.42578125" style="105" bestFit="1" customWidth="1"/>
    <col min="10505" max="10505" width="4.5703125" style="105" customWidth="1"/>
    <col min="10506" max="10506" width="1.85546875" style="105" customWidth="1"/>
    <col min="10507" max="10507" width="7" style="105" bestFit="1" customWidth="1"/>
    <col min="10508" max="10508" width="6.28515625" style="105" customWidth="1"/>
    <col min="10509" max="10509" width="20.42578125" style="105" customWidth="1"/>
    <col min="10510" max="10510" width="6.42578125" style="105" bestFit="1" customWidth="1"/>
    <col min="10511" max="10512" width="8.42578125" style="105"/>
    <col min="10513" max="10513" width="3.28515625" style="105" customWidth="1"/>
    <col min="10514" max="10752" width="8.42578125" style="105"/>
    <col min="10753" max="10753" width="10" style="105" bestFit="1" customWidth="1"/>
    <col min="10754" max="10754" width="44.28515625" style="105" bestFit="1" customWidth="1"/>
    <col min="10755" max="10755" width="10.42578125" style="105" bestFit="1" customWidth="1"/>
    <col min="10756" max="10756" width="10.42578125" style="105" customWidth="1"/>
    <col min="10757" max="10757" width="9.7109375" style="105" bestFit="1" customWidth="1"/>
    <col min="10758" max="10759" width="9.5703125" style="105" bestFit="1" customWidth="1"/>
    <col min="10760" max="10760" width="10.42578125" style="105" bestFit="1" customWidth="1"/>
    <col min="10761" max="10761" width="4.5703125" style="105" customWidth="1"/>
    <col min="10762" max="10762" width="1.85546875" style="105" customWidth="1"/>
    <col min="10763" max="10763" width="7" style="105" bestFit="1" customWidth="1"/>
    <col min="10764" max="10764" width="6.28515625" style="105" customWidth="1"/>
    <col min="10765" max="10765" width="20.42578125" style="105" customWidth="1"/>
    <col min="10766" max="10766" width="6.42578125" style="105" bestFit="1" customWidth="1"/>
    <col min="10767" max="10768" width="8.42578125" style="105"/>
    <col min="10769" max="10769" width="3.28515625" style="105" customWidth="1"/>
    <col min="10770" max="11008" width="8.42578125" style="105"/>
    <col min="11009" max="11009" width="10" style="105" bestFit="1" customWidth="1"/>
    <col min="11010" max="11010" width="44.28515625" style="105" bestFit="1" customWidth="1"/>
    <col min="11011" max="11011" width="10.42578125" style="105" bestFit="1" customWidth="1"/>
    <col min="11012" max="11012" width="10.42578125" style="105" customWidth="1"/>
    <col min="11013" max="11013" width="9.7109375" style="105" bestFit="1" customWidth="1"/>
    <col min="11014" max="11015" width="9.5703125" style="105" bestFit="1" customWidth="1"/>
    <col min="11016" max="11016" width="10.42578125" style="105" bestFit="1" customWidth="1"/>
    <col min="11017" max="11017" width="4.5703125" style="105" customWidth="1"/>
    <col min="11018" max="11018" width="1.85546875" style="105" customWidth="1"/>
    <col min="11019" max="11019" width="7" style="105" bestFit="1" customWidth="1"/>
    <col min="11020" max="11020" width="6.28515625" style="105" customWidth="1"/>
    <col min="11021" max="11021" width="20.42578125" style="105" customWidth="1"/>
    <col min="11022" max="11022" width="6.42578125" style="105" bestFit="1" customWidth="1"/>
    <col min="11023" max="11024" width="8.42578125" style="105"/>
    <col min="11025" max="11025" width="3.28515625" style="105" customWidth="1"/>
    <col min="11026" max="11264" width="8.42578125" style="105"/>
    <col min="11265" max="11265" width="10" style="105" bestFit="1" customWidth="1"/>
    <col min="11266" max="11266" width="44.28515625" style="105" bestFit="1" customWidth="1"/>
    <col min="11267" max="11267" width="10.42578125" style="105" bestFit="1" customWidth="1"/>
    <col min="11268" max="11268" width="10.42578125" style="105" customWidth="1"/>
    <col min="11269" max="11269" width="9.7109375" style="105" bestFit="1" customWidth="1"/>
    <col min="11270" max="11271" width="9.5703125" style="105" bestFit="1" customWidth="1"/>
    <col min="11272" max="11272" width="10.42578125" style="105" bestFit="1" customWidth="1"/>
    <col min="11273" max="11273" width="4.5703125" style="105" customWidth="1"/>
    <col min="11274" max="11274" width="1.85546875" style="105" customWidth="1"/>
    <col min="11275" max="11275" width="7" style="105" bestFit="1" customWidth="1"/>
    <col min="11276" max="11276" width="6.28515625" style="105" customWidth="1"/>
    <col min="11277" max="11277" width="20.42578125" style="105" customWidth="1"/>
    <col min="11278" max="11278" width="6.42578125" style="105" bestFit="1" customWidth="1"/>
    <col min="11279" max="11280" width="8.42578125" style="105"/>
    <col min="11281" max="11281" width="3.28515625" style="105" customWidth="1"/>
    <col min="11282" max="11520" width="8.42578125" style="105"/>
    <col min="11521" max="11521" width="10" style="105" bestFit="1" customWidth="1"/>
    <col min="11522" max="11522" width="44.28515625" style="105" bestFit="1" customWidth="1"/>
    <col min="11523" max="11523" width="10.42578125" style="105" bestFit="1" customWidth="1"/>
    <col min="11524" max="11524" width="10.42578125" style="105" customWidth="1"/>
    <col min="11525" max="11525" width="9.7109375" style="105" bestFit="1" customWidth="1"/>
    <col min="11526" max="11527" width="9.5703125" style="105" bestFit="1" customWidth="1"/>
    <col min="11528" max="11528" width="10.42578125" style="105" bestFit="1" customWidth="1"/>
    <col min="11529" max="11529" width="4.5703125" style="105" customWidth="1"/>
    <col min="11530" max="11530" width="1.85546875" style="105" customWidth="1"/>
    <col min="11531" max="11531" width="7" style="105" bestFit="1" customWidth="1"/>
    <col min="11532" max="11532" width="6.28515625" style="105" customWidth="1"/>
    <col min="11533" max="11533" width="20.42578125" style="105" customWidth="1"/>
    <col min="11534" max="11534" width="6.42578125" style="105" bestFit="1" customWidth="1"/>
    <col min="11535" max="11536" width="8.42578125" style="105"/>
    <col min="11537" max="11537" width="3.28515625" style="105" customWidth="1"/>
    <col min="11538" max="11776" width="8.42578125" style="105"/>
    <col min="11777" max="11777" width="10" style="105" bestFit="1" customWidth="1"/>
    <col min="11778" max="11778" width="44.28515625" style="105" bestFit="1" customWidth="1"/>
    <col min="11779" max="11779" width="10.42578125" style="105" bestFit="1" customWidth="1"/>
    <col min="11780" max="11780" width="10.42578125" style="105" customWidth="1"/>
    <col min="11781" max="11781" width="9.7109375" style="105" bestFit="1" customWidth="1"/>
    <col min="11782" max="11783" width="9.5703125" style="105" bestFit="1" customWidth="1"/>
    <col min="11784" max="11784" width="10.42578125" style="105" bestFit="1" customWidth="1"/>
    <col min="11785" max="11785" width="4.5703125" style="105" customWidth="1"/>
    <col min="11786" max="11786" width="1.85546875" style="105" customWidth="1"/>
    <col min="11787" max="11787" width="7" style="105" bestFit="1" customWidth="1"/>
    <col min="11788" max="11788" width="6.28515625" style="105" customWidth="1"/>
    <col min="11789" max="11789" width="20.42578125" style="105" customWidth="1"/>
    <col min="11790" max="11790" width="6.42578125" style="105" bestFit="1" customWidth="1"/>
    <col min="11791" max="11792" width="8.42578125" style="105"/>
    <col min="11793" max="11793" width="3.28515625" style="105" customWidth="1"/>
    <col min="11794" max="12032" width="8.42578125" style="105"/>
    <col min="12033" max="12033" width="10" style="105" bestFit="1" customWidth="1"/>
    <col min="12034" max="12034" width="44.28515625" style="105" bestFit="1" customWidth="1"/>
    <col min="12035" max="12035" width="10.42578125" style="105" bestFit="1" customWidth="1"/>
    <col min="12036" max="12036" width="10.42578125" style="105" customWidth="1"/>
    <col min="12037" max="12037" width="9.7109375" style="105" bestFit="1" customWidth="1"/>
    <col min="12038" max="12039" width="9.5703125" style="105" bestFit="1" customWidth="1"/>
    <col min="12040" max="12040" width="10.42578125" style="105" bestFit="1" customWidth="1"/>
    <col min="12041" max="12041" width="4.5703125" style="105" customWidth="1"/>
    <col min="12042" max="12042" width="1.85546875" style="105" customWidth="1"/>
    <col min="12043" max="12043" width="7" style="105" bestFit="1" customWidth="1"/>
    <col min="12044" max="12044" width="6.28515625" style="105" customWidth="1"/>
    <col min="12045" max="12045" width="20.42578125" style="105" customWidth="1"/>
    <col min="12046" max="12046" width="6.42578125" style="105" bestFit="1" customWidth="1"/>
    <col min="12047" max="12048" width="8.42578125" style="105"/>
    <col min="12049" max="12049" width="3.28515625" style="105" customWidth="1"/>
    <col min="12050" max="12288" width="8.42578125" style="105"/>
    <col min="12289" max="12289" width="10" style="105" bestFit="1" customWidth="1"/>
    <col min="12290" max="12290" width="44.28515625" style="105" bestFit="1" customWidth="1"/>
    <col min="12291" max="12291" width="10.42578125" style="105" bestFit="1" customWidth="1"/>
    <col min="12292" max="12292" width="10.42578125" style="105" customWidth="1"/>
    <col min="12293" max="12293" width="9.7109375" style="105" bestFit="1" customWidth="1"/>
    <col min="12294" max="12295" width="9.5703125" style="105" bestFit="1" customWidth="1"/>
    <col min="12296" max="12296" width="10.42578125" style="105" bestFit="1" customWidth="1"/>
    <col min="12297" max="12297" width="4.5703125" style="105" customWidth="1"/>
    <col min="12298" max="12298" width="1.85546875" style="105" customWidth="1"/>
    <col min="12299" max="12299" width="7" style="105" bestFit="1" customWidth="1"/>
    <col min="12300" max="12300" width="6.28515625" style="105" customWidth="1"/>
    <col min="12301" max="12301" width="20.42578125" style="105" customWidth="1"/>
    <col min="12302" max="12302" width="6.42578125" style="105" bestFit="1" customWidth="1"/>
    <col min="12303" max="12304" width="8.42578125" style="105"/>
    <col min="12305" max="12305" width="3.28515625" style="105" customWidth="1"/>
    <col min="12306" max="12544" width="8.42578125" style="105"/>
    <col min="12545" max="12545" width="10" style="105" bestFit="1" customWidth="1"/>
    <col min="12546" max="12546" width="44.28515625" style="105" bestFit="1" customWidth="1"/>
    <col min="12547" max="12547" width="10.42578125" style="105" bestFit="1" customWidth="1"/>
    <col min="12548" max="12548" width="10.42578125" style="105" customWidth="1"/>
    <col min="12549" max="12549" width="9.7109375" style="105" bestFit="1" customWidth="1"/>
    <col min="12550" max="12551" width="9.5703125" style="105" bestFit="1" customWidth="1"/>
    <col min="12552" max="12552" width="10.42578125" style="105" bestFit="1" customWidth="1"/>
    <col min="12553" max="12553" width="4.5703125" style="105" customWidth="1"/>
    <col min="12554" max="12554" width="1.85546875" style="105" customWidth="1"/>
    <col min="12555" max="12555" width="7" style="105" bestFit="1" customWidth="1"/>
    <col min="12556" max="12556" width="6.28515625" style="105" customWidth="1"/>
    <col min="12557" max="12557" width="20.42578125" style="105" customWidth="1"/>
    <col min="12558" max="12558" width="6.42578125" style="105" bestFit="1" customWidth="1"/>
    <col min="12559" max="12560" width="8.42578125" style="105"/>
    <col min="12561" max="12561" width="3.28515625" style="105" customWidth="1"/>
    <col min="12562" max="12800" width="8.42578125" style="105"/>
    <col min="12801" max="12801" width="10" style="105" bestFit="1" customWidth="1"/>
    <col min="12802" max="12802" width="44.28515625" style="105" bestFit="1" customWidth="1"/>
    <col min="12803" max="12803" width="10.42578125" style="105" bestFit="1" customWidth="1"/>
    <col min="12804" max="12804" width="10.42578125" style="105" customWidth="1"/>
    <col min="12805" max="12805" width="9.7109375" style="105" bestFit="1" customWidth="1"/>
    <col min="12806" max="12807" width="9.5703125" style="105" bestFit="1" customWidth="1"/>
    <col min="12808" max="12808" width="10.42578125" style="105" bestFit="1" customWidth="1"/>
    <col min="12809" max="12809" width="4.5703125" style="105" customWidth="1"/>
    <col min="12810" max="12810" width="1.85546875" style="105" customWidth="1"/>
    <col min="12811" max="12811" width="7" style="105" bestFit="1" customWidth="1"/>
    <col min="12812" max="12812" width="6.28515625" style="105" customWidth="1"/>
    <col min="12813" max="12813" width="20.42578125" style="105" customWidth="1"/>
    <col min="12814" max="12814" width="6.42578125" style="105" bestFit="1" customWidth="1"/>
    <col min="12815" max="12816" width="8.42578125" style="105"/>
    <col min="12817" max="12817" width="3.28515625" style="105" customWidth="1"/>
    <col min="12818" max="13056" width="8.42578125" style="105"/>
    <col min="13057" max="13057" width="10" style="105" bestFit="1" customWidth="1"/>
    <col min="13058" max="13058" width="44.28515625" style="105" bestFit="1" customWidth="1"/>
    <col min="13059" max="13059" width="10.42578125" style="105" bestFit="1" customWidth="1"/>
    <col min="13060" max="13060" width="10.42578125" style="105" customWidth="1"/>
    <col min="13061" max="13061" width="9.7109375" style="105" bestFit="1" customWidth="1"/>
    <col min="13062" max="13063" width="9.5703125" style="105" bestFit="1" customWidth="1"/>
    <col min="13064" max="13064" width="10.42578125" style="105" bestFit="1" customWidth="1"/>
    <col min="13065" max="13065" width="4.5703125" style="105" customWidth="1"/>
    <col min="13066" max="13066" width="1.85546875" style="105" customWidth="1"/>
    <col min="13067" max="13067" width="7" style="105" bestFit="1" customWidth="1"/>
    <col min="13068" max="13068" width="6.28515625" style="105" customWidth="1"/>
    <col min="13069" max="13069" width="20.42578125" style="105" customWidth="1"/>
    <col min="13070" max="13070" width="6.42578125" style="105" bestFit="1" customWidth="1"/>
    <col min="13071" max="13072" width="8.42578125" style="105"/>
    <col min="13073" max="13073" width="3.28515625" style="105" customWidth="1"/>
    <col min="13074" max="13312" width="8.42578125" style="105"/>
    <col min="13313" max="13313" width="10" style="105" bestFit="1" customWidth="1"/>
    <col min="13314" max="13314" width="44.28515625" style="105" bestFit="1" customWidth="1"/>
    <col min="13315" max="13315" width="10.42578125" style="105" bestFit="1" customWidth="1"/>
    <col min="13316" max="13316" width="10.42578125" style="105" customWidth="1"/>
    <col min="13317" max="13317" width="9.7109375" style="105" bestFit="1" customWidth="1"/>
    <col min="13318" max="13319" width="9.5703125" style="105" bestFit="1" customWidth="1"/>
    <col min="13320" max="13320" width="10.42578125" style="105" bestFit="1" customWidth="1"/>
    <col min="13321" max="13321" width="4.5703125" style="105" customWidth="1"/>
    <col min="13322" max="13322" width="1.85546875" style="105" customWidth="1"/>
    <col min="13323" max="13323" width="7" style="105" bestFit="1" customWidth="1"/>
    <col min="13324" max="13324" width="6.28515625" style="105" customWidth="1"/>
    <col min="13325" max="13325" width="20.42578125" style="105" customWidth="1"/>
    <col min="13326" max="13326" width="6.42578125" style="105" bestFit="1" customWidth="1"/>
    <col min="13327" max="13328" width="8.42578125" style="105"/>
    <col min="13329" max="13329" width="3.28515625" style="105" customWidth="1"/>
    <col min="13330" max="13568" width="8.42578125" style="105"/>
    <col min="13569" max="13569" width="10" style="105" bestFit="1" customWidth="1"/>
    <col min="13570" max="13570" width="44.28515625" style="105" bestFit="1" customWidth="1"/>
    <col min="13571" max="13571" width="10.42578125" style="105" bestFit="1" customWidth="1"/>
    <col min="13572" max="13572" width="10.42578125" style="105" customWidth="1"/>
    <col min="13573" max="13573" width="9.7109375" style="105" bestFit="1" customWidth="1"/>
    <col min="13574" max="13575" width="9.5703125" style="105" bestFit="1" customWidth="1"/>
    <col min="13576" max="13576" width="10.42578125" style="105" bestFit="1" customWidth="1"/>
    <col min="13577" max="13577" width="4.5703125" style="105" customWidth="1"/>
    <col min="13578" max="13578" width="1.85546875" style="105" customWidth="1"/>
    <col min="13579" max="13579" width="7" style="105" bestFit="1" customWidth="1"/>
    <col min="13580" max="13580" width="6.28515625" style="105" customWidth="1"/>
    <col min="13581" max="13581" width="20.42578125" style="105" customWidth="1"/>
    <col min="13582" max="13582" width="6.42578125" style="105" bestFit="1" customWidth="1"/>
    <col min="13583" max="13584" width="8.42578125" style="105"/>
    <col min="13585" max="13585" width="3.28515625" style="105" customWidth="1"/>
    <col min="13586" max="13824" width="8.42578125" style="105"/>
    <col min="13825" max="13825" width="10" style="105" bestFit="1" customWidth="1"/>
    <col min="13826" max="13826" width="44.28515625" style="105" bestFit="1" customWidth="1"/>
    <col min="13827" max="13827" width="10.42578125" style="105" bestFit="1" customWidth="1"/>
    <col min="13828" max="13828" width="10.42578125" style="105" customWidth="1"/>
    <col min="13829" max="13829" width="9.7109375" style="105" bestFit="1" customWidth="1"/>
    <col min="13830" max="13831" width="9.5703125" style="105" bestFit="1" customWidth="1"/>
    <col min="13832" max="13832" width="10.42578125" style="105" bestFit="1" customWidth="1"/>
    <col min="13833" max="13833" width="4.5703125" style="105" customWidth="1"/>
    <col min="13834" max="13834" width="1.85546875" style="105" customWidth="1"/>
    <col min="13835" max="13835" width="7" style="105" bestFit="1" customWidth="1"/>
    <col min="13836" max="13836" width="6.28515625" style="105" customWidth="1"/>
    <col min="13837" max="13837" width="20.42578125" style="105" customWidth="1"/>
    <col min="13838" max="13838" width="6.42578125" style="105" bestFit="1" customWidth="1"/>
    <col min="13839" max="13840" width="8.42578125" style="105"/>
    <col min="13841" max="13841" width="3.28515625" style="105" customWidth="1"/>
    <col min="13842" max="14080" width="8.42578125" style="105"/>
    <col min="14081" max="14081" width="10" style="105" bestFit="1" customWidth="1"/>
    <col min="14082" max="14082" width="44.28515625" style="105" bestFit="1" customWidth="1"/>
    <col min="14083" max="14083" width="10.42578125" style="105" bestFit="1" customWidth="1"/>
    <col min="14084" max="14084" width="10.42578125" style="105" customWidth="1"/>
    <col min="14085" max="14085" width="9.7109375" style="105" bestFit="1" customWidth="1"/>
    <col min="14086" max="14087" width="9.5703125" style="105" bestFit="1" customWidth="1"/>
    <col min="14088" max="14088" width="10.42578125" style="105" bestFit="1" customWidth="1"/>
    <col min="14089" max="14089" width="4.5703125" style="105" customWidth="1"/>
    <col min="14090" max="14090" width="1.85546875" style="105" customWidth="1"/>
    <col min="14091" max="14091" width="7" style="105" bestFit="1" customWidth="1"/>
    <col min="14092" max="14092" width="6.28515625" style="105" customWidth="1"/>
    <col min="14093" max="14093" width="20.42578125" style="105" customWidth="1"/>
    <col min="14094" max="14094" width="6.42578125" style="105" bestFit="1" customWidth="1"/>
    <col min="14095" max="14096" width="8.42578125" style="105"/>
    <col min="14097" max="14097" width="3.28515625" style="105" customWidth="1"/>
    <col min="14098" max="14336" width="8.42578125" style="105"/>
    <col min="14337" max="14337" width="10" style="105" bestFit="1" customWidth="1"/>
    <col min="14338" max="14338" width="44.28515625" style="105" bestFit="1" customWidth="1"/>
    <col min="14339" max="14339" width="10.42578125" style="105" bestFit="1" customWidth="1"/>
    <col min="14340" max="14340" width="10.42578125" style="105" customWidth="1"/>
    <col min="14341" max="14341" width="9.7109375" style="105" bestFit="1" customWidth="1"/>
    <col min="14342" max="14343" width="9.5703125" style="105" bestFit="1" customWidth="1"/>
    <col min="14344" max="14344" width="10.42578125" style="105" bestFit="1" customWidth="1"/>
    <col min="14345" max="14345" width="4.5703125" style="105" customWidth="1"/>
    <col min="14346" max="14346" width="1.85546875" style="105" customWidth="1"/>
    <col min="14347" max="14347" width="7" style="105" bestFit="1" customWidth="1"/>
    <col min="14348" max="14348" width="6.28515625" style="105" customWidth="1"/>
    <col min="14349" max="14349" width="20.42578125" style="105" customWidth="1"/>
    <col min="14350" max="14350" width="6.42578125" style="105" bestFit="1" customWidth="1"/>
    <col min="14351" max="14352" width="8.42578125" style="105"/>
    <col min="14353" max="14353" width="3.28515625" style="105" customWidth="1"/>
    <col min="14354" max="14592" width="8.42578125" style="105"/>
    <col min="14593" max="14593" width="10" style="105" bestFit="1" customWidth="1"/>
    <col min="14594" max="14594" width="44.28515625" style="105" bestFit="1" customWidth="1"/>
    <col min="14595" max="14595" width="10.42578125" style="105" bestFit="1" customWidth="1"/>
    <col min="14596" max="14596" width="10.42578125" style="105" customWidth="1"/>
    <col min="14597" max="14597" width="9.7109375" style="105" bestFit="1" customWidth="1"/>
    <col min="14598" max="14599" width="9.5703125" style="105" bestFit="1" customWidth="1"/>
    <col min="14600" max="14600" width="10.42578125" style="105" bestFit="1" customWidth="1"/>
    <col min="14601" max="14601" width="4.5703125" style="105" customWidth="1"/>
    <col min="14602" max="14602" width="1.85546875" style="105" customWidth="1"/>
    <col min="14603" max="14603" width="7" style="105" bestFit="1" customWidth="1"/>
    <col min="14604" max="14604" width="6.28515625" style="105" customWidth="1"/>
    <col min="14605" max="14605" width="20.42578125" style="105" customWidth="1"/>
    <col min="14606" max="14606" width="6.42578125" style="105" bestFit="1" customWidth="1"/>
    <col min="14607" max="14608" width="8.42578125" style="105"/>
    <col min="14609" max="14609" width="3.28515625" style="105" customWidth="1"/>
    <col min="14610" max="14848" width="8.42578125" style="105"/>
    <col min="14849" max="14849" width="10" style="105" bestFit="1" customWidth="1"/>
    <col min="14850" max="14850" width="44.28515625" style="105" bestFit="1" customWidth="1"/>
    <col min="14851" max="14851" width="10.42578125" style="105" bestFit="1" customWidth="1"/>
    <col min="14852" max="14852" width="10.42578125" style="105" customWidth="1"/>
    <col min="14853" max="14853" width="9.7109375" style="105" bestFit="1" customWidth="1"/>
    <col min="14854" max="14855" width="9.5703125" style="105" bestFit="1" customWidth="1"/>
    <col min="14856" max="14856" width="10.42578125" style="105" bestFit="1" customWidth="1"/>
    <col min="14857" max="14857" width="4.5703125" style="105" customWidth="1"/>
    <col min="14858" max="14858" width="1.85546875" style="105" customWidth="1"/>
    <col min="14859" max="14859" width="7" style="105" bestFit="1" customWidth="1"/>
    <col min="14860" max="14860" width="6.28515625" style="105" customWidth="1"/>
    <col min="14861" max="14861" width="20.42578125" style="105" customWidth="1"/>
    <col min="14862" max="14862" width="6.42578125" style="105" bestFit="1" customWidth="1"/>
    <col min="14863" max="14864" width="8.42578125" style="105"/>
    <col min="14865" max="14865" width="3.28515625" style="105" customWidth="1"/>
    <col min="14866" max="15104" width="8.42578125" style="105"/>
    <col min="15105" max="15105" width="10" style="105" bestFit="1" customWidth="1"/>
    <col min="15106" max="15106" width="44.28515625" style="105" bestFit="1" customWidth="1"/>
    <col min="15107" max="15107" width="10.42578125" style="105" bestFit="1" customWidth="1"/>
    <col min="15108" max="15108" width="10.42578125" style="105" customWidth="1"/>
    <col min="15109" max="15109" width="9.7109375" style="105" bestFit="1" customWidth="1"/>
    <col min="15110" max="15111" width="9.5703125" style="105" bestFit="1" customWidth="1"/>
    <col min="15112" max="15112" width="10.42578125" style="105" bestFit="1" customWidth="1"/>
    <col min="15113" max="15113" width="4.5703125" style="105" customWidth="1"/>
    <col min="15114" max="15114" width="1.85546875" style="105" customWidth="1"/>
    <col min="15115" max="15115" width="7" style="105" bestFit="1" customWidth="1"/>
    <col min="15116" max="15116" width="6.28515625" style="105" customWidth="1"/>
    <col min="15117" max="15117" width="20.42578125" style="105" customWidth="1"/>
    <col min="15118" max="15118" width="6.42578125" style="105" bestFit="1" customWidth="1"/>
    <col min="15119" max="15120" width="8.42578125" style="105"/>
    <col min="15121" max="15121" width="3.28515625" style="105" customWidth="1"/>
    <col min="15122" max="15360" width="8.42578125" style="105"/>
    <col min="15361" max="15361" width="10" style="105" bestFit="1" customWidth="1"/>
    <col min="15362" max="15362" width="44.28515625" style="105" bestFit="1" customWidth="1"/>
    <col min="15363" max="15363" width="10.42578125" style="105" bestFit="1" customWidth="1"/>
    <col min="15364" max="15364" width="10.42578125" style="105" customWidth="1"/>
    <col min="15365" max="15365" width="9.7109375" style="105" bestFit="1" customWidth="1"/>
    <col min="15366" max="15367" width="9.5703125" style="105" bestFit="1" customWidth="1"/>
    <col min="15368" max="15368" width="10.42578125" style="105" bestFit="1" customWidth="1"/>
    <col min="15369" max="15369" width="4.5703125" style="105" customWidth="1"/>
    <col min="15370" max="15370" width="1.85546875" style="105" customWidth="1"/>
    <col min="15371" max="15371" width="7" style="105" bestFit="1" customWidth="1"/>
    <col min="15372" max="15372" width="6.28515625" style="105" customWidth="1"/>
    <col min="15373" max="15373" width="20.42578125" style="105" customWidth="1"/>
    <col min="15374" max="15374" width="6.42578125" style="105" bestFit="1" customWidth="1"/>
    <col min="15375" max="15376" width="8.42578125" style="105"/>
    <col min="15377" max="15377" width="3.28515625" style="105" customWidth="1"/>
    <col min="15378" max="15616" width="8.42578125" style="105"/>
    <col min="15617" max="15617" width="10" style="105" bestFit="1" customWidth="1"/>
    <col min="15618" max="15618" width="44.28515625" style="105" bestFit="1" customWidth="1"/>
    <col min="15619" max="15619" width="10.42578125" style="105" bestFit="1" customWidth="1"/>
    <col min="15620" max="15620" width="10.42578125" style="105" customWidth="1"/>
    <col min="15621" max="15621" width="9.7109375" style="105" bestFit="1" customWidth="1"/>
    <col min="15622" max="15623" width="9.5703125" style="105" bestFit="1" customWidth="1"/>
    <col min="15624" max="15624" width="10.42578125" style="105" bestFit="1" customWidth="1"/>
    <col min="15625" max="15625" width="4.5703125" style="105" customWidth="1"/>
    <col min="15626" max="15626" width="1.85546875" style="105" customWidth="1"/>
    <col min="15627" max="15627" width="7" style="105" bestFit="1" customWidth="1"/>
    <col min="15628" max="15628" width="6.28515625" style="105" customWidth="1"/>
    <col min="15629" max="15629" width="20.42578125" style="105" customWidth="1"/>
    <col min="15630" max="15630" width="6.42578125" style="105" bestFit="1" customWidth="1"/>
    <col min="15631" max="15632" width="8.42578125" style="105"/>
    <col min="15633" max="15633" width="3.28515625" style="105" customWidth="1"/>
    <col min="15634" max="15872" width="8.42578125" style="105"/>
    <col min="15873" max="15873" width="10" style="105" bestFit="1" customWidth="1"/>
    <col min="15874" max="15874" width="44.28515625" style="105" bestFit="1" customWidth="1"/>
    <col min="15875" max="15875" width="10.42578125" style="105" bestFit="1" customWidth="1"/>
    <col min="15876" max="15876" width="10.42578125" style="105" customWidth="1"/>
    <col min="15877" max="15877" width="9.7109375" style="105" bestFit="1" customWidth="1"/>
    <col min="15878" max="15879" width="9.5703125" style="105" bestFit="1" customWidth="1"/>
    <col min="15880" max="15880" width="10.42578125" style="105" bestFit="1" customWidth="1"/>
    <col min="15881" max="15881" width="4.5703125" style="105" customWidth="1"/>
    <col min="15882" max="15882" width="1.85546875" style="105" customWidth="1"/>
    <col min="15883" max="15883" width="7" style="105" bestFit="1" customWidth="1"/>
    <col min="15884" max="15884" width="6.28515625" style="105" customWidth="1"/>
    <col min="15885" max="15885" width="20.42578125" style="105" customWidth="1"/>
    <col min="15886" max="15886" width="6.42578125" style="105" bestFit="1" customWidth="1"/>
    <col min="15887" max="15888" width="8.42578125" style="105"/>
    <col min="15889" max="15889" width="3.28515625" style="105" customWidth="1"/>
    <col min="15890" max="16128" width="8.42578125" style="105"/>
    <col min="16129" max="16129" width="10" style="105" bestFit="1" customWidth="1"/>
    <col min="16130" max="16130" width="44.28515625" style="105" bestFit="1" customWidth="1"/>
    <col min="16131" max="16131" width="10.42578125" style="105" bestFit="1" customWidth="1"/>
    <col min="16132" max="16132" width="10.42578125" style="105" customWidth="1"/>
    <col min="16133" max="16133" width="9.7109375" style="105" bestFit="1" customWidth="1"/>
    <col min="16134" max="16135" width="9.5703125" style="105" bestFit="1" customWidth="1"/>
    <col min="16136" max="16136" width="10.42578125" style="105" bestFit="1" customWidth="1"/>
    <col min="16137" max="16137" width="4.5703125" style="105" customWidth="1"/>
    <col min="16138" max="16138" width="1.85546875" style="105" customWidth="1"/>
    <col min="16139" max="16139" width="7" style="105" bestFit="1" customWidth="1"/>
    <col min="16140" max="16140" width="6.28515625" style="105" customWidth="1"/>
    <col min="16141" max="16141" width="20.42578125" style="105" customWidth="1"/>
    <col min="16142" max="16142" width="6.42578125" style="105" bestFit="1" customWidth="1"/>
    <col min="16143" max="16144" width="8.42578125" style="105"/>
    <col min="16145" max="16145" width="3.28515625" style="105" customWidth="1"/>
    <col min="16146" max="16384" width="8.42578125" style="105"/>
  </cols>
  <sheetData>
    <row r="1" spans="1:10" ht="27.75" customHeight="1" x14ac:dyDescent="0.25">
      <c r="A1" s="100"/>
      <c r="B1" s="100"/>
      <c r="C1" s="100"/>
      <c r="D1" s="100"/>
      <c r="E1" s="101" t="s">
        <v>120</v>
      </c>
      <c r="F1" s="102" t="s">
        <v>121</v>
      </c>
      <c r="G1" s="102" t="s">
        <v>122</v>
      </c>
      <c r="H1" s="102" t="s">
        <v>123</v>
      </c>
      <c r="I1" s="103"/>
    </row>
    <row r="2" spans="1:10" ht="30.75" customHeight="1" x14ac:dyDescent="0.25">
      <c r="A2" s="100"/>
      <c r="B2" s="100"/>
      <c r="C2" s="100"/>
      <c r="D2" s="100"/>
      <c r="E2" s="106">
        <f>IFERROR(O62,"")</f>
        <v>2725.68</v>
      </c>
      <c r="F2" s="106">
        <f>IFERROR(H53,"")</f>
        <v>2130.6799999999998</v>
      </c>
      <c r="G2" s="106">
        <f>IFERROR(H54,"")</f>
        <v>0</v>
      </c>
      <c r="H2" s="106">
        <f>IFERROR(H56,"")</f>
        <v>305</v>
      </c>
      <c r="I2" s="107"/>
    </row>
    <row r="3" spans="1:10" ht="15" customHeight="1" x14ac:dyDescent="0.25">
      <c r="A3" s="100"/>
      <c r="B3" s="100"/>
      <c r="C3" s="100"/>
      <c r="D3" s="100"/>
      <c r="E3" s="100"/>
      <c r="F3" s="108"/>
      <c r="G3" s="108"/>
      <c r="H3" s="108"/>
      <c r="I3" s="108"/>
    </row>
    <row r="4" spans="1:10" ht="24.75" customHeight="1" thickBot="1" x14ac:dyDescent="0.3">
      <c r="A4" s="522"/>
      <c r="B4" s="522"/>
      <c r="C4" s="522"/>
      <c r="D4" s="522"/>
      <c r="E4" s="522"/>
      <c r="F4" s="522"/>
      <c r="G4" s="522"/>
      <c r="H4" s="522"/>
      <c r="I4" s="109"/>
    </row>
    <row r="5" spans="1:10" ht="19.5" customHeight="1" thickBot="1" x14ac:dyDescent="0.3">
      <c r="A5" s="523" t="s">
        <v>124</v>
      </c>
      <c r="B5" s="524"/>
      <c r="C5" s="524"/>
      <c r="D5" s="524"/>
      <c r="E5" s="524"/>
      <c r="F5" s="524"/>
      <c r="G5" s="524"/>
      <c r="H5" s="525"/>
      <c r="I5" s="110"/>
    </row>
    <row r="6" spans="1:10" ht="19.5" thickBot="1" x14ac:dyDescent="0.3">
      <c r="A6" s="110"/>
      <c r="B6" s="110"/>
      <c r="C6" s="110"/>
      <c r="D6" s="110"/>
      <c r="E6" s="110"/>
      <c r="F6" s="526" t="s">
        <v>125</v>
      </c>
      <c r="G6" s="526"/>
      <c r="H6" s="111">
        <f ca="1">TODAY()</f>
        <v>45715</v>
      </c>
      <c r="I6" s="111"/>
    </row>
    <row r="7" spans="1:10" ht="26.25" thickBot="1" x14ac:dyDescent="0.3">
      <c r="A7" s="112" t="s">
        <v>126</v>
      </c>
      <c r="B7" s="113" t="s">
        <v>127</v>
      </c>
      <c r="C7" s="113" t="s">
        <v>126</v>
      </c>
      <c r="D7" s="114" t="s">
        <v>128</v>
      </c>
      <c r="E7" s="114" t="s">
        <v>129</v>
      </c>
      <c r="F7" s="114" t="s">
        <v>130</v>
      </c>
      <c r="G7" s="114" t="s">
        <v>131</v>
      </c>
      <c r="H7" s="115" t="s">
        <v>132</v>
      </c>
      <c r="I7" s="116"/>
    </row>
    <row r="8" spans="1:10" ht="13.5" x14ac:dyDescent="0.25">
      <c r="A8" s="117">
        <v>400</v>
      </c>
      <c r="B8" s="105" t="str">
        <f>IFERROR(VLOOKUP(H8,'[1]Consolidado MP Planta'!$A$2:$M$823,3,0),"")</f>
        <v>QUESO CREMA PANADERO (CAJA: 5 K)</v>
      </c>
      <c r="C8" s="118">
        <f>+A8</f>
        <v>400</v>
      </c>
      <c r="D8" s="119" t="str">
        <f>IFERROR(VLOOKUP(H8,'[1]Consolidado MP Planta'!$A$2:$M$823,13,0),"")</f>
        <v>Gramos</v>
      </c>
      <c r="E8" s="119">
        <f>IFERROR(VLOOKUP(H8,'[1]Consolidado MP Planta'!$A$2:$M$823,12,0),"")</f>
        <v>3.0762</v>
      </c>
      <c r="F8" s="119">
        <f>IFERROR(C8*E8,"")</f>
        <v>1230.48</v>
      </c>
      <c r="G8" s="120">
        <f t="shared" ref="G8:G14" si="0">IFERROR(F8/$F$66,"")</f>
        <v>0.49650291636148358</v>
      </c>
      <c r="H8" s="121" t="s">
        <v>180</v>
      </c>
      <c r="I8" s="121"/>
      <c r="J8" s="122"/>
    </row>
    <row r="9" spans="1:10" ht="13.5" x14ac:dyDescent="0.25">
      <c r="A9" s="117">
        <v>300</v>
      </c>
      <c r="B9" s="105" t="s">
        <v>103</v>
      </c>
      <c r="C9" s="118">
        <f t="shared" ref="C9:C14" si="1">+A9</f>
        <v>300</v>
      </c>
      <c r="D9" s="119" t="s">
        <v>178</v>
      </c>
      <c r="E9" s="119">
        <v>2.54</v>
      </c>
      <c r="F9" s="119">
        <f t="shared" ref="F9:F14" si="2">IFERROR(C9*E9,"")</f>
        <v>762</v>
      </c>
      <c r="G9" s="120">
        <f t="shared" si="0"/>
        <v>0.30746962345381518</v>
      </c>
      <c r="H9" s="121" t="s">
        <v>176</v>
      </c>
      <c r="I9" s="121"/>
      <c r="J9" s="122"/>
    </row>
    <row r="10" spans="1:10" ht="13.5" x14ac:dyDescent="0.25">
      <c r="A10" s="117">
        <v>10</v>
      </c>
      <c r="B10" s="105" t="s">
        <v>104</v>
      </c>
      <c r="C10" s="118">
        <f t="shared" si="1"/>
        <v>10</v>
      </c>
      <c r="D10" s="119" t="s">
        <v>178</v>
      </c>
      <c r="E10" s="119">
        <v>13.02</v>
      </c>
      <c r="F10" s="119">
        <f t="shared" si="2"/>
        <v>130.19999999999999</v>
      </c>
      <c r="G10" s="120">
        <f t="shared" si="0"/>
        <v>5.2536148259431405E-2</v>
      </c>
      <c r="H10" s="121" t="s">
        <v>181</v>
      </c>
      <c r="I10" s="121"/>
      <c r="J10" s="122"/>
    </row>
    <row r="11" spans="1:10" ht="13.5" x14ac:dyDescent="0.25">
      <c r="A11" s="117">
        <v>80</v>
      </c>
      <c r="B11" s="105" t="str">
        <f>IFERROR(VLOOKUP(H11,'[1]Consolidado MP Planta'!$A$2:$M$823,3,0),"")</f>
        <v>AGUA PLANTA</v>
      </c>
      <c r="C11" s="118">
        <f t="shared" si="1"/>
        <v>80</v>
      </c>
      <c r="D11" s="119" t="str">
        <f>IFERROR(VLOOKUP(H11,'[1]Consolidado MP Planta'!$A$2:$M$823,13,0),"")</f>
        <v>Mililitros</v>
      </c>
      <c r="E11" s="119">
        <f>IFERROR(VLOOKUP(H11,'[1]Consolidado MP Planta'!$A$2:$M$823,12,0),"")</f>
        <v>0.1</v>
      </c>
      <c r="F11" s="119">
        <f t="shared" si="2"/>
        <v>8</v>
      </c>
      <c r="G11" s="120">
        <f t="shared" si="0"/>
        <v>3.2280275428222065E-3</v>
      </c>
      <c r="H11" s="121" t="s">
        <v>182</v>
      </c>
      <c r="I11" s="121"/>
      <c r="J11" s="122"/>
    </row>
    <row r="12" spans="1:10" ht="13.5" hidden="1" x14ac:dyDescent="0.25">
      <c r="A12" s="117"/>
      <c r="B12" s="105" t="str">
        <f>IFERROR(VLOOKUP(H12,'[1]Consolidado MP Planta'!$A$2:$M$823,3,0),"")</f>
        <v/>
      </c>
      <c r="C12" s="118">
        <f t="shared" si="1"/>
        <v>0</v>
      </c>
      <c r="D12" s="119" t="str">
        <f>IFERROR(VLOOKUP(H12,'[1]Consolidado MP Planta'!$A$2:$M$823,13,0),"")</f>
        <v/>
      </c>
      <c r="E12" s="119" t="str">
        <f>IFERROR(VLOOKUP(H12,'[1]Consolidado MP Planta'!$A$2:$M$823,12,0),"")</f>
        <v/>
      </c>
      <c r="F12" s="119" t="str">
        <f t="shared" si="2"/>
        <v/>
      </c>
      <c r="G12" s="120" t="str">
        <f t="shared" si="0"/>
        <v/>
      </c>
      <c r="H12" s="121"/>
      <c r="I12" s="121"/>
      <c r="J12" s="122"/>
    </row>
    <row r="13" spans="1:10" ht="13.5" hidden="1" x14ac:dyDescent="0.25">
      <c r="A13" s="117"/>
      <c r="B13" s="105" t="str">
        <f>IFERROR(VLOOKUP(H13,'[1]Consolidado MP Planta'!$A$2:$M$823,3,0),"")</f>
        <v/>
      </c>
      <c r="C13" s="118">
        <f t="shared" si="1"/>
        <v>0</v>
      </c>
      <c r="D13" s="119" t="str">
        <f>IFERROR(VLOOKUP(H13,'[1]Consolidado MP Planta'!$A$2:$M$823,13,0),"")</f>
        <v/>
      </c>
      <c r="E13" s="119" t="str">
        <f>IFERROR(VLOOKUP(H13,'[1]Consolidado MP Planta'!$A$2:$M$823,12,0),"")</f>
        <v/>
      </c>
      <c r="F13" s="119" t="str">
        <f t="shared" si="2"/>
        <v/>
      </c>
      <c r="G13" s="120" t="str">
        <f t="shared" si="0"/>
        <v/>
      </c>
      <c r="H13" s="121"/>
      <c r="I13" s="121"/>
      <c r="J13" s="122"/>
    </row>
    <row r="14" spans="1:10" ht="13.5" hidden="1" x14ac:dyDescent="0.25">
      <c r="A14" s="117"/>
      <c r="B14" s="105" t="str">
        <f>IFERROR(VLOOKUP(H14,'[1]Consolidado MP Planta'!$A$2:$M$823,3,0),"")</f>
        <v/>
      </c>
      <c r="C14" s="118">
        <f t="shared" si="1"/>
        <v>0</v>
      </c>
      <c r="D14" s="119" t="str">
        <f>IFERROR(VLOOKUP(H14,'[1]Consolidado MP Planta'!$A$2:$M$823,13,0),"")</f>
        <v/>
      </c>
      <c r="E14" s="119" t="str">
        <f>IFERROR(VLOOKUP(H14,'[1]Consolidado MP Planta'!$A$2:$M$823,12,0),"")</f>
        <v/>
      </c>
      <c r="F14" s="119" t="str">
        <f t="shared" si="2"/>
        <v/>
      </c>
      <c r="G14" s="120" t="str">
        <f t="shared" si="0"/>
        <v/>
      </c>
      <c r="H14" s="121"/>
      <c r="I14" s="121"/>
      <c r="J14" s="122"/>
    </row>
    <row r="15" spans="1:10" ht="14.25" thickBot="1" x14ac:dyDescent="0.3">
      <c r="A15" s="117"/>
      <c r="B15" s="105" t="str">
        <f>IFERROR(VLOOKUP(H15,'[2]ARTICULOS MP PLANTA'!$A$2:$G$589,2,0),"")</f>
        <v/>
      </c>
      <c r="C15" s="118"/>
      <c r="D15" s="119"/>
      <c r="E15" s="119"/>
      <c r="F15" s="119"/>
      <c r="G15" s="120"/>
      <c r="H15" s="121"/>
      <c r="I15" s="121"/>
      <c r="J15" s="122"/>
    </row>
    <row r="16" spans="1:10" ht="26.25" hidden="1" thickBot="1" x14ac:dyDescent="0.3">
      <c r="A16" s="112" t="s">
        <v>126</v>
      </c>
      <c r="B16" s="113" t="s">
        <v>133</v>
      </c>
      <c r="C16" s="113" t="s">
        <v>126</v>
      </c>
      <c r="D16" s="114" t="s">
        <v>128</v>
      </c>
      <c r="E16" s="114" t="s">
        <v>129</v>
      </c>
      <c r="F16" s="114" t="s">
        <v>130</v>
      </c>
      <c r="G16" s="114" t="s">
        <v>131</v>
      </c>
      <c r="H16" s="115" t="s">
        <v>132</v>
      </c>
      <c r="I16" s="116"/>
      <c r="J16" s="122"/>
    </row>
    <row r="17" spans="1:12" ht="13.5" hidden="1" x14ac:dyDescent="0.25">
      <c r="A17" s="117"/>
      <c r="B17" s="105" t="str">
        <f>IFERROR(VLOOKUP(H17,[1]SEMIELABORADOS!$A$2:$M$6000,2,0),"")</f>
        <v/>
      </c>
      <c r="C17" s="118">
        <f>+A17</f>
        <v>0</v>
      </c>
      <c r="D17" s="118" t="str">
        <f>IFERROR(VLOOKUP(H17,[1]SEMIELABORADOS!$A$2:$M$6000,6,0),"")</f>
        <v/>
      </c>
      <c r="E17" s="119" t="str">
        <f>IFERROR(VLOOKUP(H17,[1]SEMIELABORADOS!$A$2:$H$65536,8,0),"")</f>
        <v/>
      </c>
      <c r="F17" s="119" t="str">
        <f>IFERROR(E17*C17,"")</f>
        <v/>
      </c>
      <c r="G17" s="120" t="str">
        <f t="shared" ref="G17:G24" si="3">IFERROR(F17/$F$66,"")</f>
        <v/>
      </c>
      <c r="H17" s="121"/>
      <c r="I17" s="121"/>
      <c r="J17" s="122"/>
    </row>
    <row r="18" spans="1:12" ht="13.5" hidden="1" x14ac:dyDescent="0.25">
      <c r="A18" s="117"/>
      <c r="B18" s="105" t="str">
        <f>IFERROR(VLOOKUP(H18,[1]SEMIELABORADOS!$A$2:$M$6000,2,0),"")</f>
        <v/>
      </c>
      <c r="C18" s="118">
        <f t="shared" ref="C18:C24" si="4">+A18</f>
        <v>0</v>
      </c>
      <c r="D18" s="118" t="str">
        <f>IFERROR(VLOOKUP(H18,[1]SEMIELABORADOS!$A$2:$M$6000,6,0),"")</f>
        <v/>
      </c>
      <c r="E18" s="119" t="str">
        <f>IFERROR(VLOOKUP(H18,[1]SEMIELABORADOS!$A$2:$H$65536,8,0),"")</f>
        <v/>
      </c>
      <c r="F18" s="119" t="str">
        <f t="shared" ref="F18:F24" si="5">IFERROR(E18*C18,"")</f>
        <v/>
      </c>
      <c r="G18" s="120" t="str">
        <f t="shared" si="3"/>
        <v/>
      </c>
      <c r="H18" s="121"/>
      <c r="I18" s="121"/>
      <c r="J18" s="122"/>
    </row>
    <row r="19" spans="1:12" ht="13.5" hidden="1" x14ac:dyDescent="0.25">
      <c r="A19" s="117"/>
      <c r="B19" s="105" t="str">
        <f>IFERROR(VLOOKUP(H19,[1]SEMIELABORADOS!$A$2:$M$6000,2,0),"")</f>
        <v/>
      </c>
      <c r="C19" s="118">
        <f>+A19</f>
        <v>0</v>
      </c>
      <c r="D19" s="118" t="str">
        <f>IFERROR(VLOOKUP(H19,[1]SEMIELABORADOS!$A$2:$M$6000,6,0),"")</f>
        <v/>
      </c>
      <c r="E19" s="119" t="str">
        <f>IFERROR(VLOOKUP(H19,[1]SEMIELABORADOS!$A$2:$H$65536,8,0),"")</f>
        <v/>
      </c>
      <c r="F19" s="119" t="str">
        <f>IFERROR(E19*C19,"")</f>
        <v/>
      </c>
      <c r="G19" s="120" t="str">
        <f t="shared" si="3"/>
        <v/>
      </c>
      <c r="H19" s="121"/>
      <c r="I19" s="121"/>
      <c r="J19" s="122"/>
    </row>
    <row r="20" spans="1:12" ht="13.5" hidden="1" x14ac:dyDescent="0.25">
      <c r="A20" s="117"/>
      <c r="B20" s="105" t="str">
        <f>IFERROR(VLOOKUP(H20,[1]SEMIELABORADOS!$A$2:$M$6000,2,0),"")</f>
        <v/>
      </c>
      <c r="C20" s="118">
        <f>+A20</f>
        <v>0</v>
      </c>
      <c r="D20" s="118" t="str">
        <f>IFERROR(VLOOKUP(H20,[1]SEMIELABORADOS!$A$2:$M$6000,6,0),"")</f>
        <v/>
      </c>
      <c r="E20" s="119" t="str">
        <f>IFERROR(VLOOKUP(H20,[1]SEMIELABORADOS!$A$2:$H$65536,8,0),"")</f>
        <v/>
      </c>
      <c r="F20" s="119" t="str">
        <f>IFERROR(E20*C20,"")</f>
        <v/>
      </c>
      <c r="G20" s="120" t="str">
        <f t="shared" si="3"/>
        <v/>
      </c>
      <c r="H20" s="121"/>
      <c r="I20" s="121"/>
      <c r="J20" s="122"/>
    </row>
    <row r="21" spans="1:12" ht="13.5" hidden="1" x14ac:dyDescent="0.25">
      <c r="A21" s="117"/>
      <c r="B21" s="105" t="str">
        <f>IFERROR(VLOOKUP(H21,[1]SEMIELABORADOS!$A$2:$M$6000,2,0),"")</f>
        <v/>
      </c>
      <c r="C21" s="118">
        <f>+A21</f>
        <v>0</v>
      </c>
      <c r="D21" s="118" t="str">
        <f>IFERROR(VLOOKUP(H21,[1]SEMIELABORADOS!$A$2:$M$6000,6,0),"")</f>
        <v/>
      </c>
      <c r="E21" s="119" t="str">
        <f>IFERROR(VLOOKUP(H21,[1]SEMIELABORADOS!$A$2:$H$65536,8,0),"")</f>
        <v/>
      </c>
      <c r="F21" s="119" t="str">
        <f>IFERROR(E21*C21,"")</f>
        <v/>
      </c>
      <c r="G21" s="120" t="str">
        <f t="shared" si="3"/>
        <v/>
      </c>
      <c r="H21" s="121"/>
      <c r="I21" s="121"/>
      <c r="J21" s="122"/>
    </row>
    <row r="22" spans="1:12" ht="13.5" hidden="1" x14ac:dyDescent="0.25">
      <c r="A22" s="117"/>
      <c r="B22" s="105" t="str">
        <f>IFERROR(VLOOKUP(H22,[1]SEMIELABORADOS!$A$2:$M$6000,2,0),"")</f>
        <v/>
      </c>
      <c r="C22" s="118">
        <f t="shared" si="4"/>
        <v>0</v>
      </c>
      <c r="D22" s="118" t="str">
        <f>IFERROR(VLOOKUP(H22,[1]SEMIELABORADOS!$A$2:$M$6000,6,0),"")</f>
        <v/>
      </c>
      <c r="E22" s="119" t="str">
        <f>IFERROR(VLOOKUP(H22,[1]SEMIELABORADOS!$A$2:$H$65536,8,0),"")</f>
        <v/>
      </c>
      <c r="F22" s="119" t="str">
        <f t="shared" si="5"/>
        <v/>
      </c>
      <c r="G22" s="120" t="str">
        <f t="shared" si="3"/>
        <v/>
      </c>
      <c r="H22" s="121"/>
      <c r="I22" s="121"/>
      <c r="J22" s="122"/>
    </row>
    <row r="23" spans="1:12" ht="13.5" hidden="1" x14ac:dyDescent="0.25">
      <c r="A23" s="117"/>
      <c r="B23" s="105" t="str">
        <f>IFERROR(VLOOKUP(H23,[1]SEMIELABORADOS!$A$2:$M$6000,2,0),"")</f>
        <v/>
      </c>
      <c r="C23" s="118">
        <f t="shared" si="4"/>
        <v>0</v>
      </c>
      <c r="D23" s="118" t="str">
        <f>IFERROR(VLOOKUP(H23,[1]SEMIELABORADOS!$A$2:$M$6000,6,0),"")</f>
        <v/>
      </c>
      <c r="E23" s="119" t="str">
        <f>IFERROR(VLOOKUP(H23,[1]SEMIELABORADOS!$A$2:$H$65536,8,0),"")</f>
        <v/>
      </c>
      <c r="F23" s="119" t="str">
        <f t="shared" si="5"/>
        <v/>
      </c>
      <c r="G23" s="120" t="str">
        <f t="shared" si="3"/>
        <v/>
      </c>
      <c r="H23" s="121"/>
      <c r="I23" s="121"/>
      <c r="J23" s="122"/>
    </row>
    <row r="24" spans="1:12" ht="13.5" hidden="1" x14ac:dyDescent="0.25">
      <c r="A24" s="117"/>
      <c r="B24" s="105" t="str">
        <f>IFERROR(VLOOKUP(H24,[1]SEMIELABORADOS!$A$2:$M$6000,2,0),"")</f>
        <v/>
      </c>
      <c r="C24" s="118">
        <f t="shared" si="4"/>
        <v>0</v>
      </c>
      <c r="D24" s="118" t="str">
        <f>IFERROR(VLOOKUP(H24,[1]SEMIELABORADOS!$A$2:$M$6000,6,0),"")</f>
        <v/>
      </c>
      <c r="E24" s="119" t="str">
        <f>IFERROR(VLOOKUP(H24,[1]SEMIELABORADOS!$A$2:$H$65536,8,0),"")</f>
        <v/>
      </c>
      <c r="F24" s="119" t="str">
        <f t="shared" si="5"/>
        <v/>
      </c>
      <c r="G24" s="120" t="str">
        <f t="shared" si="3"/>
        <v/>
      </c>
      <c r="H24" s="121"/>
      <c r="I24" s="121"/>
      <c r="J24" s="122"/>
    </row>
    <row r="25" spans="1:12" ht="14.25" hidden="1" thickBot="1" x14ac:dyDescent="0.3">
      <c r="A25" s="117"/>
      <c r="C25" s="118"/>
      <c r="D25" s="118"/>
      <c r="E25" s="119"/>
      <c r="F25" s="119"/>
      <c r="G25" s="120"/>
      <c r="H25" s="121"/>
      <c r="I25" s="121"/>
      <c r="J25" s="122"/>
    </row>
    <row r="26" spans="1:12" ht="26.25" hidden="1" thickBot="1" x14ac:dyDescent="0.3">
      <c r="A26" s="112" t="s">
        <v>126</v>
      </c>
      <c r="B26" s="113" t="s">
        <v>20</v>
      </c>
      <c r="C26" s="113" t="s">
        <v>126</v>
      </c>
      <c r="D26" s="114" t="s">
        <v>128</v>
      </c>
      <c r="E26" s="114" t="s">
        <v>129</v>
      </c>
      <c r="F26" s="114" t="s">
        <v>130</v>
      </c>
      <c r="G26" s="114" t="s">
        <v>131</v>
      </c>
      <c r="H26" s="115" t="s">
        <v>132</v>
      </c>
      <c r="I26" s="116"/>
    </row>
    <row r="27" spans="1:12" ht="13.5" hidden="1" x14ac:dyDescent="0.25">
      <c r="A27" s="117">
        <v>0</v>
      </c>
      <c r="B27" s="123" t="str">
        <f>IFERROR(VLOOKUP(H27,'[1]Consolidado MP Planta'!$A$2:$M$823,3,0),"")</f>
        <v/>
      </c>
      <c r="C27" s="118">
        <f t="shared" ref="C27:C32" si="6">+A27</f>
        <v>0</v>
      </c>
      <c r="D27" s="119" t="str">
        <f>IFERROR(VLOOKUP(H27,'[1]Consolidado MP Planta'!$A$2:$M$823,13,0),"")</f>
        <v/>
      </c>
      <c r="E27" s="119" t="str">
        <f>IFERROR(VLOOKUP(H27,'[1]Consolidado MP Planta'!$A$2:$M$823,12,0),"")</f>
        <v/>
      </c>
      <c r="F27" s="119" t="str">
        <f t="shared" ref="F27:F32" si="7">IFERROR(C27*E27,"")</f>
        <v/>
      </c>
      <c r="G27" s="120" t="str">
        <f t="shared" ref="G27:G32" si="8">IFERROR(F27/$F$66,"")</f>
        <v/>
      </c>
      <c r="H27" s="124"/>
      <c r="I27" s="124"/>
      <c r="J27" s="122"/>
      <c r="K27" s="516"/>
      <c r="L27" s="516"/>
    </row>
    <row r="28" spans="1:12" ht="13.5" hidden="1" x14ac:dyDescent="0.25">
      <c r="A28" s="117"/>
      <c r="B28" s="123" t="str">
        <f>IFERROR(VLOOKUP(H28,'[1]Consolidado MP Planta'!$A$2:$M$823,3,0),"")</f>
        <v/>
      </c>
      <c r="C28" s="118">
        <f t="shared" si="6"/>
        <v>0</v>
      </c>
      <c r="D28" s="119" t="str">
        <f>IFERROR(VLOOKUP(H28,'[1]Consolidado MP Planta'!$A$2:$M$823,13,0),"")</f>
        <v/>
      </c>
      <c r="E28" s="119" t="str">
        <f>IFERROR(VLOOKUP(H28,'[1]Consolidado MP Planta'!$A$2:$M$823,12,0),"")</f>
        <v/>
      </c>
      <c r="F28" s="119" t="str">
        <f t="shared" si="7"/>
        <v/>
      </c>
      <c r="G28" s="120" t="str">
        <f t="shared" si="8"/>
        <v/>
      </c>
      <c r="H28" s="124"/>
      <c r="I28" s="124"/>
      <c r="J28" s="122"/>
      <c r="K28" s="516"/>
      <c r="L28" s="516"/>
    </row>
    <row r="29" spans="1:12" ht="13.5" hidden="1" x14ac:dyDescent="0.25">
      <c r="A29" s="117"/>
      <c r="B29" s="123" t="str">
        <f>IFERROR(VLOOKUP(H29,'[1]Consolidado MP Planta'!$A$2:$M$823,3,0),"")</f>
        <v/>
      </c>
      <c r="C29" s="118">
        <f t="shared" si="6"/>
        <v>0</v>
      </c>
      <c r="D29" s="119" t="str">
        <f>IFERROR(VLOOKUP(H29,'[1]Consolidado MP Planta'!$A$2:$M$823,13,0),"")</f>
        <v/>
      </c>
      <c r="E29" s="119" t="str">
        <f>IFERROR(VLOOKUP(H29,'[1]Consolidado MP Planta'!$A$2:$M$823,12,0),"")</f>
        <v/>
      </c>
      <c r="F29" s="119" t="str">
        <f t="shared" si="7"/>
        <v/>
      </c>
      <c r="G29" s="120" t="str">
        <f t="shared" si="8"/>
        <v/>
      </c>
      <c r="H29" s="124"/>
      <c r="I29" s="124"/>
      <c r="J29" s="122"/>
      <c r="K29" s="516"/>
      <c r="L29" s="516"/>
    </row>
    <row r="30" spans="1:12" ht="13.5" hidden="1" x14ac:dyDescent="0.25">
      <c r="A30" s="117"/>
      <c r="B30" s="123" t="str">
        <f>IFERROR(VLOOKUP(H30,'[1]Consolidado MP Planta'!$A$2:$M$823,3,0),"")</f>
        <v/>
      </c>
      <c r="C30" s="118">
        <f t="shared" si="6"/>
        <v>0</v>
      </c>
      <c r="D30" s="119" t="str">
        <f>IFERROR(VLOOKUP(H30,'[1]Consolidado MP Planta'!$A$2:$M$823,13,0),"")</f>
        <v/>
      </c>
      <c r="E30" s="119" t="str">
        <f>IFERROR(VLOOKUP(H30,'[1]Consolidado MP Planta'!$A$2:$M$823,12,0),"")</f>
        <v/>
      </c>
      <c r="F30" s="119" t="str">
        <f t="shared" si="7"/>
        <v/>
      </c>
      <c r="G30" s="120" t="str">
        <f t="shared" si="8"/>
        <v/>
      </c>
      <c r="H30" s="124"/>
      <c r="I30" s="124"/>
      <c r="J30" s="122"/>
      <c r="K30" s="516"/>
      <c r="L30" s="516"/>
    </row>
    <row r="31" spans="1:12" ht="13.5" hidden="1" x14ac:dyDescent="0.25">
      <c r="A31" s="117"/>
      <c r="B31" s="123" t="str">
        <f>IFERROR(VLOOKUP(H31,'[1]Consolidado MP Planta'!$A$2:$M$823,3,0),"")</f>
        <v/>
      </c>
      <c r="C31" s="118">
        <f t="shared" si="6"/>
        <v>0</v>
      </c>
      <c r="D31" s="119" t="str">
        <f>IFERROR(VLOOKUP(H31,'[1]Consolidado MP Planta'!$A$2:$M$823,13,0),"")</f>
        <v/>
      </c>
      <c r="E31" s="119" t="str">
        <f>IFERROR(VLOOKUP(H31,'[1]Consolidado MP Planta'!$A$2:$M$823,12,0),"")</f>
        <v/>
      </c>
      <c r="F31" s="119" t="str">
        <f t="shared" si="7"/>
        <v/>
      </c>
      <c r="G31" s="120" t="str">
        <f t="shared" si="8"/>
        <v/>
      </c>
      <c r="H31" s="124"/>
      <c r="I31" s="124"/>
      <c r="J31" s="122"/>
      <c r="K31" s="125"/>
      <c r="L31" s="126"/>
    </row>
    <row r="32" spans="1:12" ht="13.5" hidden="1" x14ac:dyDescent="0.25">
      <c r="A32" s="117"/>
      <c r="B32" s="123" t="str">
        <f>IFERROR(VLOOKUP(H32,'[1]Consolidado MP Planta'!$A$2:$M$823,3,0),"")</f>
        <v/>
      </c>
      <c r="C32" s="118">
        <f t="shared" si="6"/>
        <v>0</v>
      </c>
      <c r="D32" s="119" t="str">
        <f>IFERROR(VLOOKUP(H32,'[1]Consolidado MP Planta'!$A$2:$M$823,13,0),"")</f>
        <v/>
      </c>
      <c r="E32" s="119" t="str">
        <f>IFERROR(VLOOKUP(H32,'[1]Consolidado MP Planta'!$A$2:$M$823,12,0),"")</f>
        <v/>
      </c>
      <c r="F32" s="119" t="str">
        <f t="shared" si="7"/>
        <v/>
      </c>
      <c r="G32" s="120" t="str">
        <f t="shared" si="8"/>
        <v/>
      </c>
      <c r="H32" s="124"/>
      <c r="I32" s="124"/>
      <c r="J32" s="122"/>
    </row>
    <row r="33" spans="1:13" ht="14.25" hidden="1" thickBot="1" x14ac:dyDescent="0.3">
      <c r="A33" s="117"/>
      <c r="B33" s="123"/>
      <c r="C33" s="118"/>
      <c r="D33" s="119"/>
      <c r="E33" s="119"/>
      <c r="F33" s="119"/>
      <c r="G33" s="120"/>
      <c r="H33" s="124"/>
      <c r="I33" s="124"/>
      <c r="J33" s="122"/>
    </row>
    <row r="34" spans="1:13" ht="26.25" hidden="1" thickBot="1" x14ac:dyDescent="0.25">
      <c r="A34" s="112" t="s">
        <v>126</v>
      </c>
      <c r="B34" s="113" t="s">
        <v>134</v>
      </c>
      <c r="C34" s="113" t="s">
        <v>126</v>
      </c>
      <c r="D34" s="114" t="s">
        <v>128</v>
      </c>
      <c r="E34" s="114" t="s">
        <v>129</v>
      </c>
      <c r="F34" s="114" t="s">
        <v>130</v>
      </c>
      <c r="G34" s="114" t="s">
        <v>131</v>
      </c>
      <c r="H34" s="115" t="s">
        <v>132</v>
      </c>
      <c r="I34" s="124"/>
      <c r="J34" s="122"/>
    </row>
    <row r="35" spans="1:13" ht="13.5" hidden="1" x14ac:dyDescent="0.25">
      <c r="A35" s="117">
        <f>+A17</f>
        <v>0</v>
      </c>
      <c r="B35" s="123" t="str">
        <f>IFERROR(VLOOKUP(H35,[1]SEMIELABORADOS!$A$2:$M$6000,2,0),"")</f>
        <v/>
      </c>
      <c r="C35" s="118">
        <f>+A35</f>
        <v>0</v>
      </c>
      <c r="D35" s="119" t="str">
        <f>IFERROR(VLOOKUP(H35,[1]SEMIELABORADOS!$A$2:$M$6000,6,0),"")</f>
        <v/>
      </c>
      <c r="E35" s="119" t="str">
        <f>IFERROR(VLOOKUP(H35,[1]SEMIELABORADOS!$A$2:$M$65536,10,0),"")</f>
        <v/>
      </c>
      <c r="F35" s="119" t="str">
        <f>IFERROR(E35*C35,"")</f>
        <v/>
      </c>
      <c r="G35" s="120" t="str">
        <f t="shared" ref="G35:G41" si="9">IFERROR(F35/$F$66,"")</f>
        <v/>
      </c>
      <c r="H35" s="124"/>
      <c r="I35" s="124"/>
      <c r="J35" s="122"/>
    </row>
    <row r="36" spans="1:13" ht="13.5" hidden="1" x14ac:dyDescent="0.25">
      <c r="A36" s="117">
        <f t="shared" ref="A36:A41" si="10">+A18</f>
        <v>0</v>
      </c>
      <c r="B36" s="123" t="str">
        <f>IFERROR(VLOOKUP(H36,[1]SEMIELABORADOS!$A$2:$M$6000,2,0),"")</f>
        <v/>
      </c>
      <c r="C36" s="118">
        <f t="shared" ref="C36:C41" si="11">+A36</f>
        <v>0</v>
      </c>
      <c r="D36" s="119" t="str">
        <f>IFERROR(VLOOKUP(H36,[1]SEMIELABORADOS!$A$2:$M$6000,6,0),"")</f>
        <v/>
      </c>
      <c r="E36" s="119" t="str">
        <f>IFERROR(VLOOKUP(H36,[1]SEMIELABORADOS!$A$2:$M$65536,10,0),"")</f>
        <v/>
      </c>
      <c r="F36" s="119" t="str">
        <f t="shared" ref="F36:F41" si="12">IFERROR(E36*C36,"")</f>
        <v/>
      </c>
      <c r="G36" s="120" t="str">
        <f t="shared" si="9"/>
        <v/>
      </c>
      <c r="H36" s="124"/>
      <c r="I36" s="124"/>
      <c r="J36" s="122"/>
    </row>
    <row r="37" spans="1:13" ht="13.5" hidden="1" x14ac:dyDescent="0.25">
      <c r="A37" s="117">
        <f t="shared" si="10"/>
        <v>0</v>
      </c>
      <c r="B37" s="123" t="str">
        <f>IFERROR(VLOOKUP(H37,[1]SEMIELABORADOS!$A$2:$M$6000,2,0),"")</f>
        <v/>
      </c>
      <c r="C37" s="118">
        <f t="shared" si="11"/>
        <v>0</v>
      </c>
      <c r="D37" s="119" t="str">
        <f>IFERROR(VLOOKUP(H37,[1]SEMIELABORADOS!$A$2:$M$6000,6,0),"")</f>
        <v/>
      </c>
      <c r="E37" s="119" t="str">
        <f>IFERROR(VLOOKUP(H37,[1]SEMIELABORADOS!$A$2:$M$65536,10,0),"")</f>
        <v/>
      </c>
      <c r="F37" s="119" t="str">
        <f t="shared" si="12"/>
        <v/>
      </c>
      <c r="G37" s="120" t="str">
        <f t="shared" si="9"/>
        <v/>
      </c>
      <c r="H37" s="124"/>
      <c r="I37" s="124"/>
      <c r="J37" s="122"/>
    </row>
    <row r="38" spans="1:13" ht="13.5" hidden="1" x14ac:dyDescent="0.25">
      <c r="A38" s="117">
        <f t="shared" si="10"/>
        <v>0</v>
      </c>
      <c r="B38" s="123" t="str">
        <f>IFERROR(VLOOKUP(H38,[1]SEMIELABORADOS!$A$2:$M$6000,2,0),"")</f>
        <v/>
      </c>
      <c r="C38" s="118">
        <f>+A38</f>
        <v>0</v>
      </c>
      <c r="D38" s="119" t="str">
        <f>IFERROR(VLOOKUP(H38,[1]SEMIELABORADOS!$A$2:$M$6000,6,0),"")</f>
        <v/>
      </c>
      <c r="E38" s="119" t="str">
        <f>IFERROR(VLOOKUP(H38,[1]SEMIELABORADOS!$A$2:$M$65536,10,0),"")</f>
        <v/>
      </c>
      <c r="F38" s="119" t="str">
        <f>IFERROR(E38*C38,"")</f>
        <v/>
      </c>
      <c r="G38" s="120" t="str">
        <f t="shared" si="9"/>
        <v/>
      </c>
      <c r="H38" s="124"/>
      <c r="I38" s="124"/>
      <c r="J38" s="122"/>
    </row>
    <row r="39" spans="1:13" ht="13.5" hidden="1" x14ac:dyDescent="0.25">
      <c r="A39" s="117">
        <f t="shared" si="10"/>
        <v>0</v>
      </c>
      <c r="B39" s="123" t="str">
        <f>IFERROR(VLOOKUP(H39,[1]SEMIELABORADOS!$A$2:$M$6000,2,0),"")</f>
        <v/>
      </c>
      <c r="C39" s="118">
        <f>+A39</f>
        <v>0</v>
      </c>
      <c r="D39" s="119" t="str">
        <f>IFERROR(VLOOKUP(H39,[1]SEMIELABORADOS!$A$2:$M$6000,6,0),"")</f>
        <v/>
      </c>
      <c r="E39" s="119" t="str">
        <f>IFERROR(VLOOKUP(H39,[1]SEMIELABORADOS!$A$2:$M$65536,10,0),"")</f>
        <v/>
      </c>
      <c r="F39" s="119" t="str">
        <f>IFERROR(E39*C39,"")</f>
        <v/>
      </c>
      <c r="G39" s="120" t="str">
        <f t="shared" si="9"/>
        <v/>
      </c>
      <c r="H39" s="124"/>
      <c r="I39" s="124"/>
      <c r="J39" s="122"/>
    </row>
    <row r="40" spans="1:13" ht="13.5" hidden="1" x14ac:dyDescent="0.25">
      <c r="A40" s="117">
        <f t="shared" si="10"/>
        <v>0</v>
      </c>
      <c r="B40" s="123" t="str">
        <f>IFERROR(VLOOKUP(H40,[1]SEMIELABORADOS!$A$2:$M$6000,2,0),"")</f>
        <v/>
      </c>
      <c r="C40" s="118">
        <f t="shared" si="11"/>
        <v>0</v>
      </c>
      <c r="D40" s="119" t="str">
        <f>IFERROR(VLOOKUP(H40,[1]SEMIELABORADOS!$A$2:$M$6000,6,0),"")</f>
        <v/>
      </c>
      <c r="E40" s="119" t="str">
        <f>IFERROR(VLOOKUP(H40,[1]SEMIELABORADOS!$A$2:$M$65536,10,0),"")</f>
        <v/>
      </c>
      <c r="F40" s="119" t="str">
        <f t="shared" si="12"/>
        <v/>
      </c>
      <c r="G40" s="120" t="str">
        <f t="shared" si="9"/>
        <v/>
      </c>
      <c r="H40" s="124"/>
      <c r="I40" s="124"/>
      <c r="J40" s="122"/>
    </row>
    <row r="41" spans="1:13" ht="13.5" hidden="1" x14ac:dyDescent="0.25">
      <c r="A41" s="117">
        <f t="shared" si="10"/>
        <v>0</v>
      </c>
      <c r="B41" s="123" t="str">
        <f>IFERROR(VLOOKUP(H41,[1]SEMIELABORADOS!$A$2:$M$6000,2,0),"")</f>
        <v/>
      </c>
      <c r="C41" s="118">
        <f t="shared" si="11"/>
        <v>0</v>
      </c>
      <c r="D41" s="119" t="str">
        <f>IFERROR(VLOOKUP(H41,[1]SEMIELABORADOS!$A$2:$M$6000,6,0),"")</f>
        <v/>
      </c>
      <c r="E41" s="119" t="str">
        <f>IFERROR(VLOOKUP(H41,[1]SEMIELABORADOS!$A$2:$M$65536,10,0),"")</f>
        <v/>
      </c>
      <c r="F41" s="119" t="str">
        <f t="shared" si="12"/>
        <v/>
      </c>
      <c r="G41" s="120" t="str">
        <f t="shared" si="9"/>
        <v/>
      </c>
      <c r="H41" s="124"/>
      <c r="I41" s="124"/>
      <c r="J41" s="122"/>
    </row>
    <row r="42" spans="1:13" ht="14.25" hidden="1" thickBot="1" x14ac:dyDescent="0.3">
      <c r="A42" s="117"/>
      <c r="B42" s="123"/>
      <c r="C42" s="118"/>
      <c r="D42" s="119"/>
      <c r="E42" s="119"/>
      <c r="F42" s="119"/>
      <c r="G42" s="120"/>
      <c r="H42" s="124"/>
      <c r="I42" s="124"/>
      <c r="J42" s="122"/>
    </row>
    <row r="43" spans="1:13" ht="26.25" thickBot="1" x14ac:dyDescent="0.3">
      <c r="A43" s="112" t="s">
        <v>126</v>
      </c>
      <c r="B43" s="113" t="s">
        <v>135</v>
      </c>
      <c r="C43" s="113" t="s">
        <v>126</v>
      </c>
      <c r="D43" s="114" t="s">
        <v>128</v>
      </c>
      <c r="E43" s="114" t="s">
        <v>129</v>
      </c>
      <c r="F43" s="114" t="s">
        <v>130</v>
      </c>
      <c r="G43" s="114" t="s">
        <v>131</v>
      </c>
      <c r="H43" s="115" t="s">
        <v>132</v>
      </c>
      <c r="I43" s="116"/>
      <c r="J43" s="122"/>
    </row>
    <row r="44" spans="1:13" ht="13.5" hidden="1" x14ac:dyDescent="0.25">
      <c r="A44" s="117">
        <f>+A35</f>
        <v>0</v>
      </c>
      <c r="B44" s="123" t="str">
        <f>IFERROR(VLOOKUP(H44,[1]SEMIELABORADOS!$A$2:$M$6000,2,0),"")</f>
        <v/>
      </c>
      <c r="C44" s="118">
        <f>+A44</f>
        <v>0</v>
      </c>
      <c r="D44" s="119" t="str">
        <f>IFERROR(VLOOKUP(H44,[1]SEMIELABORADOS!$A$2:$M$6000,6,0),"")</f>
        <v/>
      </c>
      <c r="E44" s="119" t="str">
        <f>IFERROR(VLOOKUP(H44,[1]SEMIELABORADOS!$A$2:$M$65536,12,0),"")</f>
        <v/>
      </c>
      <c r="F44" s="119" t="str">
        <f>IFERROR(E44*C44,"")</f>
        <v/>
      </c>
      <c r="G44" s="120" t="str">
        <f>IFERROR(F44/$F$66,"")</f>
        <v/>
      </c>
      <c r="H44" s="124"/>
      <c r="I44" s="116"/>
      <c r="J44" s="122"/>
    </row>
    <row r="45" spans="1:13" ht="13.5" hidden="1" x14ac:dyDescent="0.25">
      <c r="A45" s="117">
        <f t="shared" ref="A45:A50" si="13">+A36</f>
        <v>0</v>
      </c>
      <c r="B45" s="123" t="str">
        <f>IFERROR(VLOOKUP(H45,[1]SEMIELABORADOS!$A$2:$M$6000,2,0),"")</f>
        <v/>
      </c>
      <c r="C45" s="118">
        <f t="shared" ref="C45:C50" si="14">+A45</f>
        <v>0</v>
      </c>
      <c r="D45" s="119" t="str">
        <f>IFERROR(VLOOKUP(H45,[1]SEMIELABORADOS!$A$2:$M$6000,6,0),"")</f>
        <v/>
      </c>
      <c r="E45" s="119" t="str">
        <f>IFERROR(VLOOKUP(H45,[1]SEMIELABORADOS!$A$2:$M$65536,12,0),"")</f>
        <v/>
      </c>
      <c r="F45" s="119" t="str">
        <f t="shared" ref="F45:F50" si="15">IFERROR(E45*C45,"")</f>
        <v/>
      </c>
      <c r="G45" s="120" t="str">
        <f t="shared" ref="G45:G50" si="16">IFERROR(F45/$F$66,"")</f>
        <v/>
      </c>
      <c r="H45" s="124"/>
      <c r="I45" s="116"/>
      <c r="J45" s="122"/>
      <c r="M45" s="127"/>
    </row>
    <row r="46" spans="1:13" ht="13.5" hidden="1" x14ac:dyDescent="0.25">
      <c r="A46" s="117">
        <f t="shared" si="13"/>
        <v>0</v>
      </c>
      <c r="B46" s="123" t="str">
        <f>IFERROR(VLOOKUP(H46,[1]SEMIELABORADOS!$A$2:$M$6000,2,0),"")</f>
        <v/>
      </c>
      <c r="C46" s="118">
        <f t="shared" si="14"/>
        <v>0</v>
      </c>
      <c r="D46" s="119" t="str">
        <f>IFERROR(VLOOKUP(H46,[1]SEMIELABORADOS!$A$2:$M$6000,6,0),"")</f>
        <v/>
      </c>
      <c r="E46" s="119" t="str">
        <f>IFERROR(VLOOKUP(H46,[1]SEMIELABORADOS!$A$2:$M$65536,12,0),"")</f>
        <v/>
      </c>
      <c r="F46" s="119" t="str">
        <f t="shared" si="15"/>
        <v/>
      </c>
      <c r="G46" s="120" t="str">
        <f t="shared" si="16"/>
        <v/>
      </c>
      <c r="H46" s="124"/>
      <c r="I46" s="116"/>
      <c r="J46" s="122"/>
    </row>
    <row r="47" spans="1:13" ht="13.5" hidden="1" x14ac:dyDescent="0.25">
      <c r="A47" s="117">
        <f t="shared" si="13"/>
        <v>0</v>
      </c>
      <c r="B47" s="123" t="str">
        <f>IFERROR(VLOOKUP(H47,[1]SEMIELABORADOS!$A$2:$M$6000,2,0),"")</f>
        <v/>
      </c>
      <c r="C47" s="118">
        <f t="shared" si="14"/>
        <v>0</v>
      </c>
      <c r="D47" s="119" t="str">
        <f>IFERROR(VLOOKUP(H47,[1]SEMIELABORADOS!$A$2:$M$6000,6,0),"")</f>
        <v/>
      </c>
      <c r="E47" s="119" t="str">
        <f>IFERROR(VLOOKUP(H47,[1]SEMIELABORADOS!$A$2:$M$65536,12,0),"")</f>
        <v/>
      </c>
      <c r="F47" s="119" t="str">
        <f t="shared" si="15"/>
        <v/>
      </c>
      <c r="G47" s="120" t="str">
        <f t="shared" si="16"/>
        <v/>
      </c>
      <c r="H47" s="124"/>
      <c r="I47" s="116"/>
      <c r="J47" s="122"/>
    </row>
    <row r="48" spans="1:13" ht="13.5" hidden="1" x14ac:dyDescent="0.25">
      <c r="A48" s="117">
        <f t="shared" si="13"/>
        <v>0</v>
      </c>
      <c r="B48" s="123" t="str">
        <f>IFERROR(VLOOKUP(H48,[1]SEMIELABORADOS!$A$2:$M$6000,2,0),"")</f>
        <v/>
      </c>
      <c r="C48" s="118">
        <f t="shared" si="14"/>
        <v>0</v>
      </c>
      <c r="D48" s="119" t="str">
        <f>IFERROR(VLOOKUP(H48,[1]SEMIELABORADOS!$A$2:$M$6000,6,0),"")</f>
        <v/>
      </c>
      <c r="E48" s="119" t="str">
        <f>IFERROR(VLOOKUP(H48,[1]SEMIELABORADOS!$A$2:$M$65536,12,0),"")</f>
        <v/>
      </c>
      <c r="F48" s="119" t="str">
        <f t="shared" si="15"/>
        <v/>
      </c>
      <c r="G48" s="120" t="str">
        <f t="shared" si="16"/>
        <v/>
      </c>
      <c r="H48" s="124"/>
      <c r="I48" s="116"/>
      <c r="J48" s="122"/>
    </row>
    <row r="49" spans="1:17" ht="13.5" hidden="1" x14ac:dyDescent="0.25">
      <c r="A49" s="117">
        <f t="shared" si="13"/>
        <v>0</v>
      </c>
      <c r="B49" s="123" t="str">
        <f>IFERROR(VLOOKUP(H49,[1]SEMIELABORADOS!$A$2:$M$6000,2,0),"")</f>
        <v/>
      </c>
      <c r="C49" s="118">
        <f t="shared" si="14"/>
        <v>0</v>
      </c>
      <c r="D49" s="119" t="str">
        <f>IFERROR(VLOOKUP(H49,[1]SEMIELABORADOS!$A$2:$M$6000,6,0),"")</f>
        <v/>
      </c>
      <c r="E49" s="119" t="str">
        <f>IFERROR(VLOOKUP(H49,[1]SEMIELABORADOS!$A$2:$M$65536,12,0),"")</f>
        <v/>
      </c>
      <c r="F49" s="119" t="str">
        <f t="shared" si="15"/>
        <v/>
      </c>
      <c r="G49" s="120" t="str">
        <f t="shared" si="16"/>
        <v/>
      </c>
      <c r="H49" s="124"/>
      <c r="I49" s="116"/>
      <c r="J49" s="122"/>
    </row>
    <row r="50" spans="1:17" ht="13.5" hidden="1" x14ac:dyDescent="0.25">
      <c r="A50" s="117">
        <f t="shared" si="13"/>
        <v>0</v>
      </c>
      <c r="B50" s="123" t="str">
        <f>IFERROR(VLOOKUP(H50,[1]SEMIELABORADOS!$A$2:$M$6000,2,0),"")</f>
        <v/>
      </c>
      <c r="C50" s="118">
        <f t="shared" si="14"/>
        <v>0</v>
      </c>
      <c r="D50" s="119" t="str">
        <f>IFERROR(VLOOKUP(H50,[1]SEMIELABORADOS!$A$2:$M$6000,6,0),"")</f>
        <v/>
      </c>
      <c r="E50" s="119" t="str">
        <f>IFERROR(VLOOKUP(H50,[1]SEMIELABORADOS!$A$2:$M$65536,12,0),"")</f>
        <v/>
      </c>
      <c r="F50" s="119" t="str">
        <f t="shared" si="15"/>
        <v/>
      </c>
      <c r="G50" s="120" t="str">
        <f t="shared" si="16"/>
        <v/>
      </c>
      <c r="H50" s="123"/>
      <c r="I50" s="116"/>
      <c r="J50" s="122"/>
    </row>
    <row r="51" spans="1:17" ht="13.5" x14ac:dyDescent="0.25">
      <c r="A51" s="117">
        <v>1</v>
      </c>
      <c r="B51" s="123" t="s">
        <v>136</v>
      </c>
      <c r="C51" s="118">
        <f>+A51</f>
        <v>1</v>
      </c>
      <c r="D51" s="118" t="s">
        <v>137</v>
      </c>
      <c r="E51" s="119">
        <f>+F65</f>
        <v>305</v>
      </c>
      <c r="F51" s="119">
        <f>IFERROR(C51*E51,"")</f>
        <v>305</v>
      </c>
      <c r="G51" s="120">
        <f>IFERROR(F51/$F$66,"")</f>
        <v>0.12306855007009662</v>
      </c>
      <c r="H51" s="128"/>
      <c r="I51" s="128"/>
      <c r="J51" s="122"/>
    </row>
    <row r="52" spans="1:17" ht="14.25" thickBot="1" x14ac:dyDescent="0.3">
      <c r="A52" s="117"/>
      <c r="B52" s="123"/>
      <c r="C52" s="118"/>
      <c r="D52" s="118"/>
      <c r="E52" s="119"/>
      <c r="F52" s="119"/>
      <c r="G52" s="120"/>
      <c r="H52" s="128"/>
      <c r="I52" s="128"/>
      <c r="J52" s="122"/>
    </row>
    <row r="53" spans="1:17" ht="13.5" thickBot="1" x14ac:dyDescent="0.3">
      <c r="A53" s="129"/>
      <c r="B53" s="517" t="s">
        <v>138</v>
      </c>
      <c r="C53" s="517"/>
      <c r="D53" s="517"/>
      <c r="E53" s="517"/>
      <c r="F53" s="131">
        <f>SUM(F8:F14,F17:F24)</f>
        <v>2130.6799999999998</v>
      </c>
      <c r="G53" s="120">
        <f>+F53/$F$66</f>
        <v>0.85973671561755227</v>
      </c>
      <c r="H53" s="132">
        <f>+F53/$D$60</f>
        <v>2130.6799999999998</v>
      </c>
      <c r="I53" s="132"/>
      <c r="J53" s="133"/>
      <c r="K53" s="134"/>
      <c r="L53" s="134"/>
      <c r="M53" s="134"/>
      <c r="N53" s="134"/>
      <c r="O53" s="134"/>
      <c r="P53" s="134"/>
      <c r="Q53" s="135"/>
    </row>
    <row r="54" spans="1:17" x14ac:dyDescent="0.2">
      <c r="A54" s="129"/>
      <c r="B54" s="517" t="s">
        <v>139</v>
      </c>
      <c r="C54" s="517"/>
      <c r="D54" s="517"/>
      <c r="E54" s="517"/>
      <c r="F54" s="131">
        <f>SUM(F27:F32,F35:F41)</f>
        <v>0</v>
      </c>
      <c r="G54" s="120">
        <f>+F54/$F$66</f>
        <v>0</v>
      </c>
      <c r="H54" s="132">
        <f>+F54/$D$60</f>
        <v>0</v>
      </c>
      <c r="I54" s="132"/>
      <c r="J54" s="136"/>
      <c r="K54" s="518" t="s">
        <v>140</v>
      </c>
      <c r="L54" s="519"/>
      <c r="M54" s="519"/>
      <c r="N54" s="519"/>
      <c r="O54" s="137">
        <f>+F55</f>
        <v>2130.6799999999998</v>
      </c>
      <c r="P54" s="137"/>
      <c r="Q54" s="138"/>
    </row>
    <row r="55" spans="1:17" x14ac:dyDescent="0.2">
      <c r="A55" s="129"/>
      <c r="B55" s="517" t="s">
        <v>141</v>
      </c>
      <c r="C55" s="517"/>
      <c r="D55" s="517"/>
      <c r="E55" s="517"/>
      <c r="F55" s="131">
        <f>+F53+F54</f>
        <v>2130.6799999999998</v>
      </c>
      <c r="G55" s="120">
        <f>+F55/$F$66</f>
        <v>0.85973671561755227</v>
      </c>
      <c r="H55" s="132">
        <f>+F55/$D$60</f>
        <v>2130.6799999999998</v>
      </c>
      <c r="I55" s="132"/>
      <c r="J55" s="139"/>
      <c r="K55" s="140"/>
      <c r="M55" s="141" t="s">
        <v>142</v>
      </c>
      <c r="N55" s="142"/>
      <c r="O55" s="137">
        <f>+H56</f>
        <v>305</v>
      </c>
      <c r="P55" s="137"/>
      <c r="Q55" s="138"/>
    </row>
    <row r="56" spans="1:17" ht="13.5" thickBot="1" x14ac:dyDescent="0.25">
      <c r="A56" s="129"/>
      <c r="B56" s="130"/>
      <c r="C56" s="517" t="s">
        <v>143</v>
      </c>
      <c r="D56" s="517"/>
      <c r="E56" s="517"/>
      <c r="F56" s="131">
        <f>SUM(F44:F51)</f>
        <v>305</v>
      </c>
      <c r="G56" s="120">
        <f>+F56/$F$66</f>
        <v>0.12306855007009662</v>
      </c>
      <c r="H56" s="132">
        <f>+F56/$D$60</f>
        <v>305</v>
      </c>
      <c r="I56" s="132"/>
      <c r="J56" s="139"/>
      <c r="K56" s="140"/>
      <c r="L56" s="140"/>
      <c r="M56" s="140" t="s">
        <v>144</v>
      </c>
      <c r="N56" s="143"/>
      <c r="O56" s="137">
        <f>O54*N56</f>
        <v>0</v>
      </c>
      <c r="P56" s="137"/>
      <c r="Q56" s="138"/>
    </row>
    <row r="57" spans="1:17" ht="13.5" thickBot="1" x14ac:dyDescent="0.25">
      <c r="A57" s="129"/>
      <c r="B57" s="144"/>
      <c r="C57" s="144"/>
      <c r="D57" s="144"/>
      <c r="E57" s="144"/>
      <c r="F57" s="145"/>
      <c r="G57" s="120"/>
      <c r="H57" s="146"/>
      <c r="I57" s="132"/>
      <c r="J57" s="139"/>
      <c r="K57" s="147"/>
      <c r="M57" s="148" t="s">
        <v>145</v>
      </c>
      <c r="N57" s="149"/>
      <c r="O57" s="150">
        <f>SUM(O54:O56)</f>
        <v>2435.6799999999998</v>
      </c>
      <c r="P57" s="151"/>
      <c r="Q57" s="138"/>
    </row>
    <row r="58" spans="1:17" x14ac:dyDescent="0.2">
      <c r="B58" s="520" t="s">
        <v>146</v>
      </c>
      <c r="C58" s="520"/>
      <c r="D58" s="152">
        <v>1000</v>
      </c>
      <c r="E58" s="153"/>
      <c r="G58" s="120"/>
      <c r="H58" s="146">
        <f>+H56/61</f>
        <v>5</v>
      </c>
      <c r="I58" s="154"/>
      <c r="J58" s="139"/>
      <c r="K58" s="147"/>
      <c r="L58" s="140"/>
      <c r="M58" s="140" t="s">
        <v>147</v>
      </c>
      <c r="N58" s="155"/>
      <c r="O58" s="137">
        <f>+H59</f>
        <v>290</v>
      </c>
      <c r="P58" s="137"/>
      <c r="Q58" s="138"/>
    </row>
    <row r="59" spans="1:17" x14ac:dyDescent="0.2">
      <c r="B59" s="520" t="s">
        <v>148</v>
      </c>
      <c r="C59" s="520"/>
      <c r="D59" s="156">
        <v>1000</v>
      </c>
      <c r="E59" s="153"/>
      <c r="G59" s="120"/>
      <c r="H59" s="146">
        <f>+H58*58</f>
        <v>290</v>
      </c>
      <c r="I59" s="154"/>
      <c r="J59" s="139"/>
      <c r="K59" s="147"/>
      <c r="L59" s="140"/>
      <c r="M59" s="521" t="s">
        <v>145</v>
      </c>
      <c r="N59" s="521"/>
      <c r="O59" s="137">
        <f>SUM(O57:O58)</f>
        <v>2725.68</v>
      </c>
      <c r="P59" s="137"/>
      <c r="Q59" s="138"/>
    </row>
    <row r="60" spans="1:17" ht="13.5" thickBot="1" x14ac:dyDescent="0.25">
      <c r="B60" s="512" t="s">
        <v>149</v>
      </c>
      <c r="C60" s="512"/>
      <c r="D60" s="152">
        <f>+D58/D59</f>
        <v>1</v>
      </c>
      <c r="E60" s="153"/>
      <c r="F60" s="157"/>
      <c r="G60" s="120"/>
      <c r="H60" s="146"/>
      <c r="I60" s="154"/>
      <c r="J60" s="139"/>
      <c r="K60" s="147"/>
      <c r="L60" s="521"/>
      <c r="M60" s="521"/>
      <c r="N60" s="155"/>
      <c r="O60" s="137">
        <f>+O59*N60</f>
        <v>0</v>
      </c>
      <c r="P60" s="137"/>
      <c r="Q60" s="138"/>
    </row>
    <row r="61" spans="1:17" ht="13.5" thickBot="1" x14ac:dyDescent="0.25">
      <c r="B61" s="512" t="s">
        <v>150</v>
      </c>
      <c r="C61" s="512"/>
      <c r="D61" s="158"/>
      <c r="E61" s="153"/>
      <c r="F61" s="157"/>
      <c r="G61" s="120"/>
      <c r="H61" s="146"/>
      <c r="I61" s="154"/>
      <c r="J61" s="139"/>
      <c r="K61" s="513" t="s">
        <v>151</v>
      </c>
      <c r="L61" s="514"/>
      <c r="M61" s="514"/>
      <c r="N61" s="515"/>
      <c r="O61" s="150">
        <f>SUM(O59:O60)</f>
        <v>2725.68</v>
      </c>
      <c r="P61" s="159" t="s">
        <v>152</v>
      </c>
      <c r="Q61" s="138"/>
    </row>
    <row r="62" spans="1:17" ht="13.5" thickBot="1" x14ac:dyDescent="0.25">
      <c r="C62" s="129" t="s">
        <v>153</v>
      </c>
      <c r="D62" s="160"/>
      <c r="E62" s="103" t="s">
        <v>154</v>
      </c>
      <c r="F62" s="161" t="s">
        <v>155</v>
      </c>
      <c r="G62" s="120"/>
      <c r="H62" s="146"/>
      <c r="I62" s="154"/>
      <c r="J62" s="162"/>
      <c r="K62" s="163"/>
      <c r="L62" s="501" t="s">
        <v>156</v>
      </c>
      <c r="M62" s="501"/>
      <c r="N62" s="501"/>
      <c r="O62" s="164">
        <f>+O61/D60</f>
        <v>2725.68</v>
      </c>
      <c r="P62" s="165">
        <f>+O62/D59</f>
        <v>2.7256799999999997</v>
      </c>
      <c r="Q62" s="166"/>
    </row>
    <row r="63" spans="1:17" ht="13.5" thickBot="1" x14ac:dyDescent="0.25">
      <c r="B63" s="502" t="s">
        <v>141</v>
      </c>
      <c r="C63" s="502"/>
      <c r="D63" s="502"/>
      <c r="E63" s="167">
        <f>+F63/F63</f>
        <v>1</v>
      </c>
      <c r="F63" s="168">
        <f>SUM(F55)</f>
        <v>2130.6799999999998</v>
      </c>
      <c r="G63" s="120">
        <f>+F63/$F$66</f>
        <v>0.85973671561755227</v>
      </c>
      <c r="H63" s="146"/>
      <c r="I63" s="154"/>
      <c r="K63" s="503"/>
      <c r="L63" s="504"/>
      <c r="M63" s="504"/>
      <c r="N63" s="504"/>
      <c r="O63" s="169"/>
      <c r="P63" s="170"/>
    </row>
    <row r="64" spans="1:17" ht="13.5" thickBot="1" x14ac:dyDescent="0.3">
      <c r="B64" s="505" t="s">
        <v>157</v>
      </c>
      <c r="C64" s="505"/>
      <c r="D64" s="505"/>
      <c r="E64" s="171">
        <v>0.02</v>
      </c>
      <c r="F64" s="168">
        <f>+F53*E64</f>
        <v>42.613599999999998</v>
      </c>
      <c r="G64" s="120">
        <f>+F64/$F$66</f>
        <v>1.7194734312351048E-2</v>
      </c>
      <c r="H64" s="132"/>
      <c r="I64" s="154"/>
      <c r="J64" s="172"/>
      <c r="O64" s="173"/>
      <c r="P64" s="130"/>
    </row>
    <row r="65" spans="2:13" ht="13.5" thickBot="1" x14ac:dyDescent="0.3">
      <c r="B65" s="506" t="s">
        <v>158</v>
      </c>
      <c r="C65" s="507"/>
      <c r="D65" s="174">
        <v>5</v>
      </c>
      <c r="E65" s="175">
        <v>61</v>
      </c>
      <c r="F65" s="168">
        <f>+E65*D65</f>
        <v>305</v>
      </c>
      <c r="G65" s="120">
        <f>+F65/$F$66</f>
        <v>0.12306855007009662</v>
      </c>
      <c r="H65" s="132"/>
      <c r="I65" s="132"/>
      <c r="J65" s="122"/>
    </row>
    <row r="66" spans="2:13" ht="13.5" thickBot="1" x14ac:dyDescent="0.3">
      <c r="B66" s="508" t="s">
        <v>159</v>
      </c>
      <c r="C66" s="509"/>
      <c r="D66" s="509"/>
      <c r="E66" s="510"/>
      <c r="F66" s="145">
        <f>SUM(F63:F65)</f>
        <v>2478.2936</v>
      </c>
      <c r="G66" s="120">
        <f>+F66/$F$66</f>
        <v>1</v>
      </c>
      <c r="H66" s="511"/>
      <c r="I66" s="132"/>
      <c r="J66" s="122"/>
      <c r="M66" s="105" t="s">
        <v>160</v>
      </c>
    </row>
    <row r="67" spans="2:13" x14ac:dyDescent="0.25">
      <c r="C67" s="127"/>
      <c r="D67" s="127"/>
      <c r="E67" s="177"/>
      <c r="F67" s="168"/>
      <c r="G67" s="120"/>
      <c r="H67" s="511"/>
      <c r="I67" s="176"/>
      <c r="J67" s="105"/>
      <c r="M67" s="105" t="s">
        <v>161</v>
      </c>
    </row>
    <row r="68" spans="2:13" ht="13.5" thickBot="1" x14ac:dyDescent="0.3">
      <c r="B68" s="496" t="s">
        <v>162</v>
      </c>
      <c r="C68" s="496"/>
      <c r="D68" s="496"/>
      <c r="E68" s="496"/>
      <c r="F68" s="496"/>
      <c r="G68" s="120"/>
      <c r="H68" s="179"/>
      <c r="I68" s="176"/>
      <c r="J68" s="105"/>
      <c r="M68" s="105" t="s">
        <v>163</v>
      </c>
    </row>
    <row r="69" spans="2:13" ht="13.5" thickBot="1" x14ac:dyDescent="0.3">
      <c r="B69" s="180" t="s">
        <v>164</v>
      </c>
      <c r="C69" s="181">
        <f>+F53</f>
        <v>2130.6799999999998</v>
      </c>
      <c r="D69" s="181">
        <f>+D58</f>
        <v>1000</v>
      </c>
      <c r="E69" s="182">
        <f>+C69/D69</f>
        <v>2.1306799999999999</v>
      </c>
      <c r="F69" s="120"/>
      <c r="G69" s="179"/>
      <c r="H69" s="122"/>
      <c r="I69" s="179"/>
      <c r="J69" s="105"/>
    </row>
    <row r="70" spans="2:13" x14ac:dyDescent="0.25">
      <c r="B70" s="183"/>
      <c r="C70" s="184"/>
      <c r="D70" s="185"/>
      <c r="E70" s="168"/>
      <c r="F70" s="120"/>
      <c r="G70" s="179"/>
      <c r="H70" s="122"/>
      <c r="I70" s="122"/>
      <c r="J70" s="105"/>
    </row>
    <row r="71" spans="2:13" x14ac:dyDescent="0.25">
      <c r="B71" s="180" t="s">
        <v>165</v>
      </c>
      <c r="C71" s="181">
        <f>SUM(F63:F64)</f>
        <v>2173.2936</v>
      </c>
      <c r="D71" s="181">
        <f>+D58</f>
        <v>1000</v>
      </c>
      <c r="E71" s="186">
        <f>+C71/D71</f>
        <v>2.1732936</v>
      </c>
      <c r="F71" s="120"/>
      <c r="G71" s="179"/>
      <c r="H71" s="122"/>
      <c r="I71" s="122"/>
      <c r="J71" s="105"/>
    </row>
    <row r="72" spans="2:13" x14ac:dyDescent="0.25">
      <c r="B72" s="180"/>
      <c r="C72" s="181"/>
      <c r="D72" s="181"/>
      <c r="E72" s="186"/>
      <c r="F72" s="120"/>
      <c r="G72" s="179"/>
      <c r="H72" s="122"/>
      <c r="I72" s="122"/>
      <c r="J72" s="105"/>
    </row>
    <row r="73" spans="2:13" ht="13.5" thickBot="1" x14ac:dyDescent="0.3">
      <c r="B73" s="180" t="s">
        <v>166</v>
      </c>
      <c r="C73" s="181">
        <f>+F65</f>
        <v>305</v>
      </c>
      <c r="D73" s="181">
        <f>+D58</f>
        <v>1000</v>
      </c>
      <c r="E73" s="186">
        <f>+C73/D73</f>
        <v>0.30499999999999999</v>
      </c>
      <c r="F73" s="120"/>
      <c r="G73" s="179"/>
      <c r="H73" s="122"/>
      <c r="I73" s="122"/>
      <c r="J73" s="105"/>
    </row>
    <row r="74" spans="2:13" ht="13.5" thickBot="1" x14ac:dyDescent="0.3">
      <c r="B74" s="180" t="s">
        <v>167</v>
      </c>
      <c r="C74" s="181">
        <f>+F56</f>
        <v>305</v>
      </c>
      <c r="D74" s="181">
        <f>+D73</f>
        <v>1000</v>
      </c>
      <c r="E74" s="182">
        <f>+C74/D74</f>
        <v>0.30499999999999999</v>
      </c>
      <c r="F74" s="120"/>
      <c r="G74" s="179"/>
      <c r="H74" s="122"/>
      <c r="I74" s="122"/>
      <c r="J74" s="105"/>
    </row>
    <row r="75" spans="2:13" ht="13.5" thickBot="1" x14ac:dyDescent="0.3">
      <c r="B75" s="144"/>
      <c r="C75" s="145"/>
      <c r="D75" s="145"/>
      <c r="E75" s="186"/>
      <c r="F75" s="120"/>
      <c r="G75" s="179"/>
      <c r="H75" s="122"/>
      <c r="I75" s="122"/>
      <c r="J75" s="105"/>
    </row>
    <row r="76" spans="2:13" ht="13.5" thickBot="1" x14ac:dyDescent="0.3">
      <c r="B76" s="180" t="s">
        <v>168</v>
      </c>
      <c r="C76" s="181">
        <f>+F54</f>
        <v>0</v>
      </c>
      <c r="D76" s="181">
        <f>+D74</f>
        <v>1000</v>
      </c>
      <c r="E76" s="182">
        <f>+C76/D76</f>
        <v>0</v>
      </c>
      <c r="F76" s="120"/>
      <c r="G76" s="179"/>
      <c r="H76" s="122"/>
      <c r="I76" s="122"/>
      <c r="J76" s="122"/>
    </row>
    <row r="77" spans="2:13" ht="13.5" thickBot="1" x14ac:dyDescent="0.3">
      <c r="B77" s="144"/>
      <c r="C77" s="145"/>
      <c r="D77" s="145"/>
      <c r="E77" s="186"/>
      <c r="F77" s="120"/>
      <c r="G77" s="179"/>
      <c r="H77" s="122"/>
      <c r="I77" s="122"/>
    </row>
    <row r="78" spans="2:13" ht="13.5" thickBot="1" x14ac:dyDescent="0.3">
      <c r="B78" s="497" t="s">
        <v>169</v>
      </c>
      <c r="C78" s="498"/>
      <c r="D78" s="499"/>
      <c r="E78" s="182">
        <f>+E69+E74</f>
        <v>2.4356800000000001</v>
      </c>
      <c r="G78" s="120"/>
      <c r="H78" s="179"/>
      <c r="I78" s="122"/>
      <c r="J78" s="186"/>
    </row>
    <row r="79" spans="2:13" x14ac:dyDescent="0.25">
      <c r="I79" s="179"/>
      <c r="J79" s="105"/>
    </row>
    <row r="80" spans="2:13" ht="13.5" thickBot="1" x14ac:dyDescent="0.3">
      <c r="B80" s="496" t="s">
        <v>170</v>
      </c>
      <c r="C80" s="496"/>
      <c r="D80" s="496"/>
      <c r="E80" s="496"/>
      <c r="F80" s="496"/>
      <c r="G80" s="120"/>
      <c r="H80" s="179"/>
      <c r="J80" s="105"/>
    </row>
    <row r="81" spans="1:10" ht="13.5" thickBot="1" x14ac:dyDescent="0.3">
      <c r="B81" s="180" t="s">
        <v>164</v>
      </c>
      <c r="C81" s="181">
        <f>+C69</f>
        <v>2130.6799999999998</v>
      </c>
      <c r="D81" s="181">
        <f>+D60</f>
        <v>1</v>
      </c>
      <c r="E81" s="182">
        <f>+C81/D81</f>
        <v>2130.6799999999998</v>
      </c>
      <c r="F81" s="120"/>
      <c r="G81" s="179"/>
      <c r="H81" s="122"/>
      <c r="I81" s="179"/>
      <c r="J81" s="105"/>
    </row>
    <row r="82" spans="1:10" x14ac:dyDescent="0.25">
      <c r="B82" s="183"/>
      <c r="C82" s="184"/>
      <c r="D82" s="185"/>
      <c r="E82" s="168"/>
      <c r="F82" s="120"/>
      <c r="G82" s="179"/>
      <c r="H82" s="122"/>
      <c r="I82" s="122"/>
      <c r="J82" s="105"/>
    </row>
    <row r="83" spans="1:10" x14ac:dyDescent="0.25">
      <c r="B83" s="180" t="s">
        <v>165</v>
      </c>
      <c r="C83" s="181">
        <f>+C71</f>
        <v>2173.2936</v>
      </c>
      <c r="D83" s="181">
        <f>+D60</f>
        <v>1</v>
      </c>
      <c r="E83" s="186">
        <f>+C83/D83</f>
        <v>2173.2936</v>
      </c>
      <c r="F83" s="120"/>
      <c r="G83" s="179"/>
      <c r="H83" s="122"/>
      <c r="I83" s="122"/>
      <c r="J83" s="105"/>
    </row>
    <row r="84" spans="1:10" x14ac:dyDescent="0.25">
      <c r="B84" s="180"/>
      <c r="C84" s="181"/>
      <c r="D84" s="181"/>
      <c r="E84" s="186"/>
      <c r="F84" s="120"/>
      <c r="G84" s="179"/>
      <c r="H84" s="122"/>
      <c r="I84" s="122"/>
      <c r="J84" s="105"/>
    </row>
    <row r="85" spans="1:10" ht="13.5" thickBot="1" x14ac:dyDescent="0.3">
      <c r="B85" s="180" t="s">
        <v>167</v>
      </c>
      <c r="C85" s="181">
        <f>+C73</f>
        <v>305</v>
      </c>
      <c r="D85" s="181">
        <f>+D60</f>
        <v>1</v>
      </c>
      <c r="E85" s="186">
        <f>+C85/D85</f>
        <v>305</v>
      </c>
      <c r="F85" s="188"/>
      <c r="G85" s="178"/>
      <c r="H85" s="104"/>
      <c r="I85" s="122"/>
    </row>
    <row r="86" spans="1:10" ht="13.5" thickBot="1" x14ac:dyDescent="0.3">
      <c r="B86" s="180" t="s">
        <v>167</v>
      </c>
      <c r="C86" s="181">
        <f>+C74</f>
        <v>305</v>
      </c>
      <c r="D86" s="181">
        <f>+D85</f>
        <v>1</v>
      </c>
      <c r="E86" s="182">
        <f>+C86/D86</f>
        <v>305</v>
      </c>
      <c r="F86" s="187"/>
      <c r="G86" s="178"/>
      <c r="H86" s="104"/>
      <c r="I86" s="104"/>
    </row>
    <row r="87" spans="1:10" x14ac:dyDescent="0.25">
      <c r="I87" s="104"/>
    </row>
    <row r="88" spans="1:10" x14ac:dyDescent="0.2">
      <c r="A88" s="500"/>
      <c r="B88" s="500"/>
      <c r="C88" s="189"/>
      <c r="D88" s="189"/>
      <c r="E88" s="190"/>
      <c r="G88" s="191"/>
    </row>
    <row r="89" spans="1:10" x14ac:dyDescent="0.2">
      <c r="A89" s="123"/>
      <c r="B89" s="192"/>
      <c r="C89" s="193"/>
      <c r="D89" s="193"/>
      <c r="E89" s="194"/>
      <c r="G89" s="191"/>
    </row>
    <row r="90" spans="1:10" x14ac:dyDescent="0.2">
      <c r="A90" s="123"/>
      <c r="B90" s="192"/>
      <c r="C90" s="195"/>
      <c r="D90" s="195"/>
      <c r="E90" s="123"/>
      <c r="G90" s="191"/>
    </row>
    <row r="91" spans="1:10" x14ac:dyDescent="0.2">
      <c r="A91" s="123"/>
      <c r="B91" s="192"/>
      <c r="C91" s="196"/>
      <c r="D91" s="196"/>
      <c r="E91" s="123"/>
      <c r="G91" s="191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86122-F3C4-4FD1-98CC-974B24CD1A44}">
  <dimension ref="A1:Q91"/>
  <sheetViews>
    <sheetView topLeftCell="A61" workbookViewId="0">
      <selection activeCell="B11" sqref="B11"/>
    </sheetView>
  </sheetViews>
  <sheetFormatPr baseColWidth="10" defaultColWidth="8.42578125" defaultRowHeight="12.75" x14ac:dyDescent="0.25"/>
  <cols>
    <col min="1" max="1" width="10" style="105" bestFit="1" customWidth="1"/>
    <col min="2" max="2" width="44.28515625" style="105" bestFit="1" customWidth="1"/>
    <col min="3" max="3" width="10.42578125" style="105" bestFit="1" customWidth="1"/>
    <col min="4" max="4" width="10.42578125" style="105" customWidth="1"/>
    <col min="5" max="5" width="9.7109375" style="105" bestFit="1" customWidth="1"/>
    <col min="6" max="6" width="9.5703125" style="105" bestFit="1" customWidth="1"/>
    <col min="7" max="7" width="9.5703125" style="187" bestFit="1" customWidth="1"/>
    <col min="8" max="8" width="10.42578125" style="178" bestFit="1" customWidth="1"/>
    <col min="9" max="9" width="4.5703125" style="178" customWidth="1"/>
    <col min="10" max="10" width="1.85546875" style="104" customWidth="1"/>
    <col min="11" max="11" width="7" style="105" bestFit="1" customWidth="1"/>
    <col min="12" max="12" width="6.28515625" style="105" customWidth="1"/>
    <col min="13" max="13" width="20.42578125" style="105" customWidth="1"/>
    <col min="14" max="14" width="6.42578125" style="105" bestFit="1" customWidth="1"/>
    <col min="15" max="16" width="8.42578125" style="105"/>
    <col min="17" max="17" width="3.28515625" style="105" customWidth="1"/>
    <col min="18" max="256" width="8.42578125" style="105"/>
    <col min="257" max="257" width="10" style="105" bestFit="1" customWidth="1"/>
    <col min="258" max="258" width="44.28515625" style="105" bestFit="1" customWidth="1"/>
    <col min="259" max="259" width="10.42578125" style="105" bestFit="1" customWidth="1"/>
    <col min="260" max="260" width="10.42578125" style="105" customWidth="1"/>
    <col min="261" max="261" width="9.7109375" style="105" bestFit="1" customWidth="1"/>
    <col min="262" max="263" width="9.5703125" style="105" bestFit="1" customWidth="1"/>
    <col min="264" max="264" width="10.42578125" style="105" bestFit="1" customWidth="1"/>
    <col min="265" max="265" width="4.5703125" style="105" customWidth="1"/>
    <col min="266" max="266" width="1.85546875" style="105" customWidth="1"/>
    <col min="267" max="267" width="7" style="105" bestFit="1" customWidth="1"/>
    <col min="268" max="268" width="6.28515625" style="105" customWidth="1"/>
    <col min="269" max="269" width="20.42578125" style="105" customWidth="1"/>
    <col min="270" max="270" width="6.42578125" style="105" bestFit="1" customWidth="1"/>
    <col min="271" max="272" width="8.42578125" style="105"/>
    <col min="273" max="273" width="3.28515625" style="105" customWidth="1"/>
    <col min="274" max="512" width="8.42578125" style="105"/>
    <col min="513" max="513" width="10" style="105" bestFit="1" customWidth="1"/>
    <col min="514" max="514" width="44.28515625" style="105" bestFit="1" customWidth="1"/>
    <col min="515" max="515" width="10.42578125" style="105" bestFit="1" customWidth="1"/>
    <col min="516" max="516" width="10.42578125" style="105" customWidth="1"/>
    <col min="517" max="517" width="9.7109375" style="105" bestFit="1" customWidth="1"/>
    <col min="518" max="519" width="9.5703125" style="105" bestFit="1" customWidth="1"/>
    <col min="520" max="520" width="10.42578125" style="105" bestFit="1" customWidth="1"/>
    <col min="521" max="521" width="4.5703125" style="105" customWidth="1"/>
    <col min="522" max="522" width="1.85546875" style="105" customWidth="1"/>
    <col min="523" max="523" width="7" style="105" bestFit="1" customWidth="1"/>
    <col min="524" max="524" width="6.28515625" style="105" customWidth="1"/>
    <col min="525" max="525" width="20.42578125" style="105" customWidth="1"/>
    <col min="526" max="526" width="6.42578125" style="105" bestFit="1" customWidth="1"/>
    <col min="527" max="528" width="8.42578125" style="105"/>
    <col min="529" max="529" width="3.28515625" style="105" customWidth="1"/>
    <col min="530" max="768" width="8.42578125" style="105"/>
    <col min="769" max="769" width="10" style="105" bestFit="1" customWidth="1"/>
    <col min="770" max="770" width="44.28515625" style="105" bestFit="1" customWidth="1"/>
    <col min="771" max="771" width="10.42578125" style="105" bestFit="1" customWidth="1"/>
    <col min="772" max="772" width="10.42578125" style="105" customWidth="1"/>
    <col min="773" max="773" width="9.7109375" style="105" bestFit="1" customWidth="1"/>
    <col min="774" max="775" width="9.5703125" style="105" bestFit="1" customWidth="1"/>
    <col min="776" max="776" width="10.42578125" style="105" bestFit="1" customWidth="1"/>
    <col min="777" max="777" width="4.5703125" style="105" customWidth="1"/>
    <col min="778" max="778" width="1.85546875" style="105" customWidth="1"/>
    <col min="779" max="779" width="7" style="105" bestFit="1" customWidth="1"/>
    <col min="780" max="780" width="6.28515625" style="105" customWidth="1"/>
    <col min="781" max="781" width="20.42578125" style="105" customWidth="1"/>
    <col min="782" max="782" width="6.42578125" style="105" bestFit="1" customWidth="1"/>
    <col min="783" max="784" width="8.42578125" style="105"/>
    <col min="785" max="785" width="3.28515625" style="105" customWidth="1"/>
    <col min="786" max="1024" width="8.42578125" style="105"/>
    <col min="1025" max="1025" width="10" style="105" bestFit="1" customWidth="1"/>
    <col min="1026" max="1026" width="44.28515625" style="105" bestFit="1" customWidth="1"/>
    <col min="1027" max="1027" width="10.42578125" style="105" bestFit="1" customWidth="1"/>
    <col min="1028" max="1028" width="10.42578125" style="105" customWidth="1"/>
    <col min="1029" max="1029" width="9.7109375" style="105" bestFit="1" customWidth="1"/>
    <col min="1030" max="1031" width="9.5703125" style="105" bestFit="1" customWidth="1"/>
    <col min="1032" max="1032" width="10.42578125" style="105" bestFit="1" customWidth="1"/>
    <col min="1033" max="1033" width="4.5703125" style="105" customWidth="1"/>
    <col min="1034" max="1034" width="1.85546875" style="105" customWidth="1"/>
    <col min="1035" max="1035" width="7" style="105" bestFit="1" customWidth="1"/>
    <col min="1036" max="1036" width="6.28515625" style="105" customWidth="1"/>
    <col min="1037" max="1037" width="20.42578125" style="105" customWidth="1"/>
    <col min="1038" max="1038" width="6.42578125" style="105" bestFit="1" customWidth="1"/>
    <col min="1039" max="1040" width="8.42578125" style="105"/>
    <col min="1041" max="1041" width="3.28515625" style="105" customWidth="1"/>
    <col min="1042" max="1280" width="8.42578125" style="105"/>
    <col min="1281" max="1281" width="10" style="105" bestFit="1" customWidth="1"/>
    <col min="1282" max="1282" width="44.28515625" style="105" bestFit="1" customWidth="1"/>
    <col min="1283" max="1283" width="10.42578125" style="105" bestFit="1" customWidth="1"/>
    <col min="1284" max="1284" width="10.42578125" style="105" customWidth="1"/>
    <col min="1285" max="1285" width="9.7109375" style="105" bestFit="1" customWidth="1"/>
    <col min="1286" max="1287" width="9.5703125" style="105" bestFit="1" customWidth="1"/>
    <col min="1288" max="1288" width="10.42578125" style="105" bestFit="1" customWidth="1"/>
    <col min="1289" max="1289" width="4.5703125" style="105" customWidth="1"/>
    <col min="1290" max="1290" width="1.85546875" style="105" customWidth="1"/>
    <col min="1291" max="1291" width="7" style="105" bestFit="1" customWidth="1"/>
    <col min="1292" max="1292" width="6.28515625" style="105" customWidth="1"/>
    <col min="1293" max="1293" width="20.42578125" style="105" customWidth="1"/>
    <col min="1294" max="1294" width="6.42578125" style="105" bestFit="1" customWidth="1"/>
    <col min="1295" max="1296" width="8.42578125" style="105"/>
    <col min="1297" max="1297" width="3.28515625" style="105" customWidth="1"/>
    <col min="1298" max="1536" width="8.42578125" style="105"/>
    <col min="1537" max="1537" width="10" style="105" bestFit="1" customWidth="1"/>
    <col min="1538" max="1538" width="44.28515625" style="105" bestFit="1" customWidth="1"/>
    <col min="1539" max="1539" width="10.42578125" style="105" bestFit="1" customWidth="1"/>
    <col min="1540" max="1540" width="10.42578125" style="105" customWidth="1"/>
    <col min="1541" max="1541" width="9.7109375" style="105" bestFit="1" customWidth="1"/>
    <col min="1542" max="1543" width="9.5703125" style="105" bestFit="1" customWidth="1"/>
    <col min="1544" max="1544" width="10.42578125" style="105" bestFit="1" customWidth="1"/>
    <col min="1545" max="1545" width="4.5703125" style="105" customWidth="1"/>
    <col min="1546" max="1546" width="1.85546875" style="105" customWidth="1"/>
    <col min="1547" max="1547" width="7" style="105" bestFit="1" customWidth="1"/>
    <col min="1548" max="1548" width="6.28515625" style="105" customWidth="1"/>
    <col min="1549" max="1549" width="20.42578125" style="105" customWidth="1"/>
    <col min="1550" max="1550" width="6.42578125" style="105" bestFit="1" customWidth="1"/>
    <col min="1551" max="1552" width="8.42578125" style="105"/>
    <col min="1553" max="1553" width="3.28515625" style="105" customWidth="1"/>
    <col min="1554" max="1792" width="8.42578125" style="105"/>
    <col min="1793" max="1793" width="10" style="105" bestFit="1" customWidth="1"/>
    <col min="1794" max="1794" width="44.28515625" style="105" bestFit="1" customWidth="1"/>
    <col min="1795" max="1795" width="10.42578125" style="105" bestFit="1" customWidth="1"/>
    <col min="1796" max="1796" width="10.42578125" style="105" customWidth="1"/>
    <col min="1797" max="1797" width="9.7109375" style="105" bestFit="1" customWidth="1"/>
    <col min="1798" max="1799" width="9.5703125" style="105" bestFit="1" customWidth="1"/>
    <col min="1800" max="1800" width="10.42578125" style="105" bestFit="1" customWidth="1"/>
    <col min="1801" max="1801" width="4.5703125" style="105" customWidth="1"/>
    <col min="1802" max="1802" width="1.85546875" style="105" customWidth="1"/>
    <col min="1803" max="1803" width="7" style="105" bestFit="1" customWidth="1"/>
    <col min="1804" max="1804" width="6.28515625" style="105" customWidth="1"/>
    <col min="1805" max="1805" width="20.42578125" style="105" customWidth="1"/>
    <col min="1806" max="1806" width="6.42578125" style="105" bestFit="1" customWidth="1"/>
    <col min="1807" max="1808" width="8.42578125" style="105"/>
    <col min="1809" max="1809" width="3.28515625" style="105" customWidth="1"/>
    <col min="1810" max="2048" width="8.42578125" style="105"/>
    <col min="2049" max="2049" width="10" style="105" bestFit="1" customWidth="1"/>
    <col min="2050" max="2050" width="44.28515625" style="105" bestFit="1" customWidth="1"/>
    <col min="2051" max="2051" width="10.42578125" style="105" bestFit="1" customWidth="1"/>
    <col min="2052" max="2052" width="10.42578125" style="105" customWidth="1"/>
    <col min="2053" max="2053" width="9.7109375" style="105" bestFit="1" customWidth="1"/>
    <col min="2054" max="2055" width="9.5703125" style="105" bestFit="1" customWidth="1"/>
    <col min="2056" max="2056" width="10.42578125" style="105" bestFit="1" customWidth="1"/>
    <col min="2057" max="2057" width="4.5703125" style="105" customWidth="1"/>
    <col min="2058" max="2058" width="1.85546875" style="105" customWidth="1"/>
    <col min="2059" max="2059" width="7" style="105" bestFit="1" customWidth="1"/>
    <col min="2060" max="2060" width="6.28515625" style="105" customWidth="1"/>
    <col min="2061" max="2061" width="20.42578125" style="105" customWidth="1"/>
    <col min="2062" max="2062" width="6.42578125" style="105" bestFit="1" customWidth="1"/>
    <col min="2063" max="2064" width="8.42578125" style="105"/>
    <col min="2065" max="2065" width="3.28515625" style="105" customWidth="1"/>
    <col min="2066" max="2304" width="8.42578125" style="105"/>
    <col min="2305" max="2305" width="10" style="105" bestFit="1" customWidth="1"/>
    <col min="2306" max="2306" width="44.28515625" style="105" bestFit="1" customWidth="1"/>
    <col min="2307" max="2307" width="10.42578125" style="105" bestFit="1" customWidth="1"/>
    <col min="2308" max="2308" width="10.42578125" style="105" customWidth="1"/>
    <col min="2309" max="2309" width="9.7109375" style="105" bestFit="1" customWidth="1"/>
    <col min="2310" max="2311" width="9.5703125" style="105" bestFit="1" customWidth="1"/>
    <col min="2312" max="2312" width="10.42578125" style="105" bestFit="1" customWidth="1"/>
    <col min="2313" max="2313" width="4.5703125" style="105" customWidth="1"/>
    <col min="2314" max="2314" width="1.85546875" style="105" customWidth="1"/>
    <col min="2315" max="2315" width="7" style="105" bestFit="1" customWidth="1"/>
    <col min="2316" max="2316" width="6.28515625" style="105" customWidth="1"/>
    <col min="2317" max="2317" width="20.42578125" style="105" customWidth="1"/>
    <col min="2318" max="2318" width="6.42578125" style="105" bestFit="1" customWidth="1"/>
    <col min="2319" max="2320" width="8.42578125" style="105"/>
    <col min="2321" max="2321" width="3.28515625" style="105" customWidth="1"/>
    <col min="2322" max="2560" width="8.42578125" style="105"/>
    <col min="2561" max="2561" width="10" style="105" bestFit="1" customWidth="1"/>
    <col min="2562" max="2562" width="44.28515625" style="105" bestFit="1" customWidth="1"/>
    <col min="2563" max="2563" width="10.42578125" style="105" bestFit="1" customWidth="1"/>
    <col min="2564" max="2564" width="10.42578125" style="105" customWidth="1"/>
    <col min="2565" max="2565" width="9.7109375" style="105" bestFit="1" customWidth="1"/>
    <col min="2566" max="2567" width="9.5703125" style="105" bestFit="1" customWidth="1"/>
    <col min="2568" max="2568" width="10.42578125" style="105" bestFit="1" customWidth="1"/>
    <col min="2569" max="2569" width="4.5703125" style="105" customWidth="1"/>
    <col min="2570" max="2570" width="1.85546875" style="105" customWidth="1"/>
    <col min="2571" max="2571" width="7" style="105" bestFit="1" customWidth="1"/>
    <col min="2572" max="2572" width="6.28515625" style="105" customWidth="1"/>
    <col min="2573" max="2573" width="20.42578125" style="105" customWidth="1"/>
    <col min="2574" max="2574" width="6.42578125" style="105" bestFit="1" customWidth="1"/>
    <col min="2575" max="2576" width="8.42578125" style="105"/>
    <col min="2577" max="2577" width="3.28515625" style="105" customWidth="1"/>
    <col min="2578" max="2816" width="8.42578125" style="105"/>
    <col min="2817" max="2817" width="10" style="105" bestFit="1" customWidth="1"/>
    <col min="2818" max="2818" width="44.28515625" style="105" bestFit="1" customWidth="1"/>
    <col min="2819" max="2819" width="10.42578125" style="105" bestFit="1" customWidth="1"/>
    <col min="2820" max="2820" width="10.42578125" style="105" customWidth="1"/>
    <col min="2821" max="2821" width="9.7109375" style="105" bestFit="1" customWidth="1"/>
    <col min="2822" max="2823" width="9.5703125" style="105" bestFit="1" customWidth="1"/>
    <col min="2824" max="2824" width="10.42578125" style="105" bestFit="1" customWidth="1"/>
    <col min="2825" max="2825" width="4.5703125" style="105" customWidth="1"/>
    <col min="2826" max="2826" width="1.85546875" style="105" customWidth="1"/>
    <col min="2827" max="2827" width="7" style="105" bestFit="1" customWidth="1"/>
    <col min="2828" max="2828" width="6.28515625" style="105" customWidth="1"/>
    <col min="2829" max="2829" width="20.42578125" style="105" customWidth="1"/>
    <col min="2830" max="2830" width="6.42578125" style="105" bestFit="1" customWidth="1"/>
    <col min="2831" max="2832" width="8.42578125" style="105"/>
    <col min="2833" max="2833" width="3.28515625" style="105" customWidth="1"/>
    <col min="2834" max="3072" width="8.42578125" style="105"/>
    <col min="3073" max="3073" width="10" style="105" bestFit="1" customWidth="1"/>
    <col min="3074" max="3074" width="44.28515625" style="105" bestFit="1" customWidth="1"/>
    <col min="3075" max="3075" width="10.42578125" style="105" bestFit="1" customWidth="1"/>
    <col min="3076" max="3076" width="10.42578125" style="105" customWidth="1"/>
    <col min="3077" max="3077" width="9.7109375" style="105" bestFit="1" customWidth="1"/>
    <col min="3078" max="3079" width="9.5703125" style="105" bestFit="1" customWidth="1"/>
    <col min="3080" max="3080" width="10.42578125" style="105" bestFit="1" customWidth="1"/>
    <col min="3081" max="3081" width="4.5703125" style="105" customWidth="1"/>
    <col min="3082" max="3082" width="1.85546875" style="105" customWidth="1"/>
    <col min="3083" max="3083" width="7" style="105" bestFit="1" customWidth="1"/>
    <col min="3084" max="3084" width="6.28515625" style="105" customWidth="1"/>
    <col min="3085" max="3085" width="20.42578125" style="105" customWidth="1"/>
    <col min="3086" max="3086" width="6.42578125" style="105" bestFit="1" customWidth="1"/>
    <col min="3087" max="3088" width="8.42578125" style="105"/>
    <col min="3089" max="3089" width="3.28515625" style="105" customWidth="1"/>
    <col min="3090" max="3328" width="8.42578125" style="105"/>
    <col min="3329" max="3329" width="10" style="105" bestFit="1" customWidth="1"/>
    <col min="3330" max="3330" width="44.28515625" style="105" bestFit="1" customWidth="1"/>
    <col min="3331" max="3331" width="10.42578125" style="105" bestFit="1" customWidth="1"/>
    <col min="3332" max="3332" width="10.42578125" style="105" customWidth="1"/>
    <col min="3333" max="3333" width="9.7109375" style="105" bestFit="1" customWidth="1"/>
    <col min="3334" max="3335" width="9.5703125" style="105" bestFit="1" customWidth="1"/>
    <col min="3336" max="3336" width="10.42578125" style="105" bestFit="1" customWidth="1"/>
    <col min="3337" max="3337" width="4.5703125" style="105" customWidth="1"/>
    <col min="3338" max="3338" width="1.85546875" style="105" customWidth="1"/>
    <col min="3339" max="3339" width="7" style="105" bestFit="1" customWidth="1"/>
    <col min="3340" max="3340" width="6.28515625" style="105" customWidth="1"/>
    <col min="3341" max="3341" width="20.42578125" style="105" customWidth="1"/>
    <col min="3342" max="3342" width="6.42578125" style="105" bestFit="1" customWidth="1"/>
    <col min="3343" max="3344" width="8.42578125" style="105"/>
    <col min="3345" max="3345" width="3.28515625" style="105" customWidth="1"/>
    <col min="3346" max="3584" width="8.42578125" style="105"/>
    <col min="3585" max="3585" width="10" style="105" bestFit="1" customWidth="1"/>
    <col min="3586" max="3586" width="44.28515625" style="105" bestFit="1" customWidth="1"/>
    <col min="3587" max="3587" width="10.42578125" style="105" bestFit="1" customWidth="1"/>
    <col min="3588" max="3588" width="10.42578125" style="105" customWidth="1"/>
    <col min="3589" max="3589" width="9.7109375" style="105" bestFit="1" customWidth="1"/>
    <col min="3590" max="3591" width="9.5703125" style="105" bestFit="1" customWidth="1"/>
    <col min="3592" max="3592" width="10.42578125" style="105" bestFit="1" customWidth="1"/>
    <col min="3593" max="3593" width="4.5703125" style="105" customWidth="1"/>
    <col min="3594" max="3594" width="1.85546875" style="105" customWidth="1"/>
    <col min="3595" max="3595" width="7" style="105" bestFit="1" customWidth="1"/>
    <col min="3596" max="3596" width="6.28515625" style="105" customWidth="1"/>
    <col min="3597" max="3597" width="20.42578125" style="105" customWidth="1"/>
    <col min="3598" max="3598" width="6.42578125" style="105" bestFit="1" customWidth="1"/>
    <col min="3599" max="3600" width="8.42578125" style="105"/>
    <col min="3601" max="3601" width="3.28515625" style="105" customWidth="1"/>
    <col min="3602" max="3840" width="8.42578125" style="105"/>
    <col min="3841" max="3841" width="10" style="105" bestFit="1" customWidth="1"/>
    <col min="3842" max="3842" width="44.28515625" style="105" bestFit="1" customWidth="1"/>
    <col min="3843" max="3843" width="10.42578125" style="105" bestFit="1" customWidth="1"/>
    <col min="3844" max="3844" width="10.42578125" style="105" customWidth="1"/>
    <col min="3845" max="3845" width="9.7109375" style="105" bestFit="1" customWidth="1"/>
    <col min="3846" max="3847" width="9.5703125" style="105" bestFit="1" customWidth="1"/>
    <col min="3848" max="3848" width="10.42578125" style="105" bestFit="1" customWidth="1"/>
    <col min="3849" max="3849" width="4.5703125" style="105" customWidth="1"/>
    <col min="3850" max="3850" width="1.85546875" style="105" customWidth="1"/>
    <col min="3851" max="3851" width="7" style="105" bestFit="1" customWidth="1"/>
    <col min="3852" max="3852" width="6.28515625" style="105" customWidth="1"/>
    <col min="3853" max="3853" width="20.42578125" style="105" customWidth="1"/>
    <col min="3854" max="3854" width="6.42578125" style="105" bestFit="1" customWidth="1"/>
    <col min="3855" max="3856" width="8.42578125" style="105"/>
    <col min="3857" max="3857" width="3.28515625" style="105" customWidth="1"/>
    <col min="3858" max="4096" width="8.42578125" style="105"/>
    <col min="4097" max="4097" width="10" style="105" bestFit="1" customWidth="1"/>
    <col min="4098" max="4098" width="44.28515625" style="105" bestFit="1" customWidth="1"/>
    <col min="4099" max="4099" width="10.42578125" style="105" bestFit="1" customWidth="1"/>
    <col min="4100" max="4100" width="10.42578125" style="105" customWidth="1"/>
    <col min="4101" max="4101" width="9.7109375" style="105" bestFit="1" customWidth="1"/>
    <col min="4102" max="4103" width="9.5703125" style="105" bestFit="1" customWidth="1"/>
    <col min="4104" max="4104" width="10.42578125" style="105" bestFit="1" customWidth="1"/>
    <col min="4105" max="4105" width="4.5703125" style="105" customWidth="1"/>
    <col min="4106" max="4106" width="1.85546875" style="105" customWidth="1"/>
    <col min="4107" max="4107" width="7" style="105" bestFit="1" customWidth="1"/>
    <col min="4108" max="4108" width="6.28515625" style="105" customWidth="1"/>
    <col min="4109" max="4109" width="20.42578125" style="105" customWidth="1"/>
    <col min="4110" max="4110" width="6.42578125" style="105" bestFit="1" customWidth="1"/>
    <col min="4111" max="4112" width="8.42578125" style="105"/>
    <col min="4113" max="4113" width="3.28515625" style="105" customWidth="1"/>
    <col min="4114" max="4352" width="8.42578125" style="105"/>
    <col min="4353" max="4353" width="10" style="105" bestFit="1" customWidth="1"/>
    <col min="4354" max="4354" width="44.28515625" style="105" bestFit="1" customWidth="1"/>
    <col min="4355" max="4355" width="10.42578125" style="105" bestFit="1" customWidth="1"/>
    <col min="4356" max="4356" width="10.42578125" style="105" customWidth="1"/>
    <col min="4357" max="4357" width="9.7109375" style="105" bestFit="1" customWidth="1"/>
    <col min="4358" max="4359" width="9.5703125" style="105" bestFit="1" customWidth="1"/>
    <col min="4360" max="4360" width="10.42578125" style="105" bestFit="1" customWidth="1"/>
    <col min="4361" max="4361" width="4.5703125" style="105" customWidth="1"/>
    <col min="4362" max="4362" width="1.85546875" style="105" customWidth="1"/>
    <col min="4363" max="4363" width="7" style="105" bestFit="1" customWidth="1"/>
    <col min="4364" max="4364" width="6.28515625" style="105" customWidth="1"/>
    <col min="4365" max="4365" width="20.42578125" style="105" customWidth="1"/>
    <col min="4366" max="4366" width="6.42578125" style="105" bestFit="1" customWidth="1"/>
    <col min="4367" max="4368" width="8.42578125" style="105"/>
    <col min="4369" max="4369" width="3.28515625" style="105" customWidth="1"/>
    <col min="4370" max="4608" width="8.42578125" style="105"/>
    <col min="4609" max="4609" width="10" style="105" bestFit="1" customWidth="1"/>
    <col min="4610" max="4610" width="44.28515625" style="105" bestFit="1" customWidth="1"/>
    <col min="4611" max="4611" width="10.42578125" style="105" bestFit="1" customWidth="1"/>
    <col min="4612" max="4612" width="10.42578125" style="105" customWidth="1"/>
    <col min="4613" max="4613" width="9.7109375" style="105" bestFit="1" customWidth="1"/>
    <col min="4614" max="4615" width="9.5703125" style="105" bestFit="1" customWidth="1"/>
    <col min="4616" max="4616" width="10.42578125" style="105" bestFit="1" customWidth="1"/>
    <col min="4617" max="4617" width="4.5703125" style="105" customWidth="1"/>
    <col min="4618" max="4618" width="1.85546875" style="105" customWidth="1"/>
    <col min="4619" max="4619" width="7" style="105" bestFit="1" customWidth="1"/>
    <col min="4620" max="4620" width="6.28515625" style="105" customWidth="1"/>
    <col min="4621" max="4621" width="20.42578125" style="105" customWidth="1"/>
    <col min="4622" max="4622" width="6.42578125" style="105" bestFit="1" customWidth="1"/>
    <col min="4623" max="4624" width="8.42578125" style="105"/>
    <col min="4625" max="4625" width="3.28515625" style="105" customWidth="1"/>
    <col min="4626" max="4864" width="8.42578125" style="105"/>
    <col min="4865" max="4865" width="10" style="105" bestFit="1" customWidth="1"/>
    <col min="4866" max="4866" width="44.28515625" style="105" bestFit="1" customWidth="1"/>
    <col min="4867" max="4867" width="10.42578125" style="105" bestFit="1" customWidth="1"/>
    <col min="4868" max="4868" width="10.42578125" style="105" customWidth="1"/>
    <col min="4869" max="4869" width="9.7109375" style="105" bestFit="1" customWidth="1"/>
    <col min="4870" max="4871" width="9.5703125" style="105" bestFit="1" customWidth="1"/>
    <col min="4872" max="4872" width="10.42578125" style="105" bestFit="1" customWidth="1"/>
    <col min="4873" max="4873" width="4.5703125" style="105" customWidth="1"/>
    <col min="4874" max="4874" width="1.85546875" style="105" customWidth="1"/>
    <col min="4875" max="4875" width="7" style="105" bestFit="1" customWidth="1"/>
    <col min="4876" max="4876" width="6.28515625" style="105" customWidth="1"/>
    <col min="4877" max="4877" width="20.42578125" style="105" customWidth="1"/>
    <col min="4878" max="4878" width="6.42578125" style="105" bestFit="1" customWidth="1"/>
    <col min="4879" max="4880" width="8.42578125" style="105"/>
    <col min="4881" max="4881" width="3.28515625" style="105" customWidth="1"/>
    <col min="4882" max="5120" width="8.42578125" style="105"/>
    <col min="5121" max="5121" width="10" style="105" bestFit="1" customWidth="1"/>
    <col min="5122" max="5122" width="44.28515625" style="105" bestFit="1" customWidth="1"/>
    <col min="5123" max="5123" width="10.42578125" style="105" bestFit="1" customWidth="1"/>
    <col min="5124" max="5124" width="10.42578125" style="105" customWidth="1"/>
    <col min="5125" max="5125" width="9.7109375" style="105" bestFit="1" customWidth="1"/>
    <col min="5126" max="5127" width="9.5703125" style="105" bestFit="1" customWidth="1"/>
    <col min="5128" max="5128" width="10.42578125" style="105" bestFit="1" customWidth="1"/>
    <col min="5129" max="5129" width="4.5703125" style="105" customWidth="1"/>
    <col min="5130" max="5130" width="1.85546875" style="105" customWidth="1"/>
    <col min="5131" max="5131" width="7" style="105" bestFit="1" customWidth="1"/>
    <col min="5132" max="5132" width="6.28515625" style="105" customWidth="1"/>
    <col min="5133" max="5133" width="20.42578125" style="105" customWidth="1"/>
    <col min="5134" max="5134" width="6.42578125" style="105" bestFit="1" customWidth="1"/>
    <col min="5135" max="5136" width="8.42578125" style="105"/>
    <col min="5137" max="5137" width="3.28515625" style="105" customWidth="1"/>
    <col min="5138" max="5376" width="8.42578125" style="105"/>
    <col min="5377" max="5377" width="10" style="105" bestFit="1" customWidth="1"/>
    <col min="5378" max="5378" width="44.28515625" style="105" bestFit="1" customWidth="1"/>
    <col min="5379" max="5379" width="10.42578125" style="105" bestFit="1" customWidth="1"/>
    <col min="5380" max="5380" width="10.42578125" style="105" customWidth="1"/>
    <col min="5381" max="5381" width="9.7109375" style="105" bestFit="1" customWidth="1"/>
    <col min="5382" max="5383" width="9.5703125" style="105" bestFit="1" customWidth="1"/>
    <col min="5384" max="5384" width="10.42578125" style="105" bestFit="1" customWidth="1"/>
    <col min="5385" max="5385" width="4.5703125" style="105" customWidth="1"/>
    <col min="5386" max="5386" width="1.85546875" style="105" customWidth="1"/>
    <col min="5387" max="5387" width="7" style="105" bestFit="1" customWidth="1"/>
    <col min="5388" max="5388" width="6.28515625" style="105" customWidth="1"/>
    <col min="5389" max="5389" width="20.42578125" style="105" customWidth="1"/>
    <col min="5390" max="5390" width="6.42578125" style="105" bestFit="1" customWidth="1"/>
    <col min="5391" max="5392" width="8.42578125" style="105"/>
    <col min="5393" max="5393" width="3.28515625" style="105" customWidth="1"/>
    <col min="5394" max="5632" width="8.42578125" style="105"/>
    <col min="5633" max="5633" width="10" style="105" bestFit="1" customWidth="1"/>
    <col min="5634" max="5634" width="44.28515625" style="105" bestFit="1" customWidth="1"/>
    <col min="5635" max="5635" width="10.42578125" style="105" bestFit="1" customWidth="1"/>
    <col min="5636" max="5636" width="10.42578125" style="105" customWidth="1"/>
    <col min="5637" max="5637" width="9.7109375" style="105" bestFit="1" customWidth="1"/>
    <col min="5638" max="5639" width="9.5703125" style="105" bestFit="1" customWidth="1"/>
    <col min="5640" max="5640" width="10.42578125" style="105" bestFit="1" customWidth="1"/>
    <col min="5641" max="5641" width="4.5703125" style="105" customWidth="1"/>
    <col min="5642" max="5642" width="1.85546875" style="105" customWidth="1"/>
    <col min="5643" max="5643" width="7" style="105" bestFit="1" customWidth="1"/>
    <col min="5644" max="5644" width="6.28515625" style="105" customWidth="1"/>
    <col min="5645" max="5645" width="20.42578125" style="105" customWidth="1"/>
    <col min="5646" max="5646" width="6.42578125" style="105" bestFit="1" customWidth="1"/>
    <col min="5647" max="5648" width="8.42578125" style="105"/>
    <col min="5649" max="5649" width="3.28515625" style="105" customWidth="1"/>
    <col min="5650" max="5888" width="8.42578125" style="105"/>
    <col min="5889" max="5889" width="10" style="105" bestFit="1" customWidth="1"/>
    <col min="5890" max="5890" width="44.28515625" style="105" bestFit="1" customWidth="1"/>
    <col min="5891" max="5891" width="10.42578125" style="105" bestFit="1" customWidth="1"/>
    <col min="5892" max="5892" width="10.42578125" style="105" customWidth="1"/>
    <col min="5893" max="5893" width="9.7109375" style="105" bestFit="1" customWidth="1"/>
    <col min="5894" max="5895" width="9.5703125" style="105" bestFit="1" customWidth="1"/>
    <col min="5896" max="5896" width="10.42578125" style="105" bestFit="1" customWidth="1"/>
    <col min="5897" max="5897" width="4.5703125" style="105" customWidth="1"/>
    <col min="5898" max="5898" width="1.85546875" style="105" customWidth="1"/>
    <col min="5899" max="5899" width="7" style="105" bestFit="1" customWidth="1"/>
    <col min="5900" max="5900" width="6.28515625" style="105" customWidth="1"/>
    <col min="5901" max="5901" width="20.42578125" style="105" customWidth="1"/>
    <col min="5902" max="5902" width="6.42578125" style="105" bestFit="1" customWidth="1"/>
    <col min="5903" max="5904" width="8.42578125" style="105"/>
    <col min="5905" max="5905" width="3.28515625" style="105" customWidth="1"/>
    <col min="5906" max="6144" width="8.42578125" style="105"/>
    <col min="6145" max="6145" width="10" style="105" bestFit="1" customWidth="1"/>
    <col min="6146" max="6146" width="44.28515625" style="105" bestFit="1" customWidth="1"/>
    <col min="6147" max="6147" width="10.42578125" style="105" bestFit="1" customWidth="1"/>
    <col min="6148" max="6148" width="10.42578125" style="105" customWidth="1"/>
    <col min="6149" max="6149" width="9.7109375" style="105" bestFit="1" customWidth="1"/>
    <col min="6150" max="6151" width="9.5703125" style="105" bestFit="1" customWidth="1"/>
    <col min="6152" max="6152" width="10.42578125" style="105" bestFit="1" customWidth="1"/>
    <col min="6153" max="6153" width="4.5703125" style="105" customWidth="1"/>
    <col min="6154" max="6154" width="1.85546875" style="105" customWidth="1"/>
    <col min="6155" max="6155" width="7" style="105" bestFit="1" customWidth="1"/>
    <col min="6156" max="6156" width="6.28515625" style="105" customWidth="1"/>
    <col min="6157" max="6157" width="20.42578125" style="105" customWidth="1"/>
    <col min="6158" max="6158" width="6.42578125" style="105" bestFit="1" customWidth="1"/>
    <col min="6159" max="6160" width="8.42578125" style="105"/>
    <col min="6161" max="6161" width="3.28515625" style="105" customWidth="1"/>
    <col min="6162" max="6400" width="8.42578125" style="105"/>
    <col min="6401" max="6401" width="10" style="105" bestFit="1" customWidth="1"/>
    <col min="6402" max="6402" width="44.28515625" style="105" bestFit="1" customWidth="1"/>
    <col min="6403" max="6403" width="10.42578125" style="105" bestFit="1" customWidth="1"/>
    <col min="6404" max="6404" width="10.42578125" style="105" customWidth="1"/>
    <col min="6405" max="6405" width="9.7109375" style="105" bestFit="1" customWidth="1"/>
    <col min="6406" max="6407" width="9.5703125" style="105" bestFit="1" customWidth="1"/>
    <col min="6408" max="6408" width="10.42578125" style="105" bestFit="1" customWidth="1"/>
    <col min="6409" max="6409" width="4.5703125" style="105" customWidth="1"/>
    <col min="6410" max="6410" width="1.85546875" style="105" customWidth="1"/>
    <col min="6411" max="6411" width="7" style="105" bestFit="1" customWidth="1"/>
    <col min="6412" max="6412" width="6.28515625" style="105" customWidth="1"/>
    <col min="6413" max="6413" width="20.42578125" style="105" customWidth="1"/>
    <col min="6414" max="6414" width="6.42578125" style="105" bestFit="1" customWidth="1"/>
    <col min="6415" max="6416" width="8.42578125" style="105"/>
    <col min="6417" max="6417" width="3.28515625" style="105" customWidth="1"/>
    <col min="6418" max="6656" width="8.42578125" style="105"/>
    <col min="6657" max="6657" width="10" style="105" bestFit="1" customWidth="1"/>
    <col min="6658" max="6658" width="44.28515625" style="105" bestFit="1" customWidth="1"/>
    <col min="6659" max="6659" width="10.42578125" style="105" bestFit="1" customWidth="1"/>
    <col min="6660" max="6660" width="10.42578125" style="105" customWidth="1"/>
    <col min="6661" max="6661" width="9.7109375" style="105" bestFit="1" customWidth="1"/>
    <col min="6662" max="6663" width="9.5703125" style="105" bestFit="1" customWidth="1"/>
    <col min="6664" max="6664" width="10.42578125" style="105" bestFit="1" customWidth="1"/>
    <col min="6665" max="6665" width="4.5703125" style="105" customWidth="1"/>
    <col min="6666" max="6666" width="1.85546875" style="105" customWidth="1"/>
    <col min="6667" max="6667" width="7" style="105" bestFit="1" customWidth="1"/>
    <col min="6668" max="6668" width="6.28515625" style="105" customWidth="1"/>
    <col min="6669" max="6669" width="20.42578125" style="105" customWidth="1"/>
    <col min="6670" max="6670" width="6.42578125" style="105" bestFit="1" customWidth="1"/>
    <col min="6671" max="6672" width="8.42578125" style="105"/>
    <col min="6673" max="6673" width="3.28515625" style="105" customWidth="1"/>
    <col min="6674" max="6912" width="8.42578125" style="105"/>
    <col min="6913" max="6913" width="10" style="105" bestFit="1" customWidth="1"/>
    <col min="6914" max="6914" width="44.28515625" style="105" bestFit="1" customWidth="1"/>
    <col min="6915" max="6915" width="10.42578125" style="105" bestFit="1" customWidth="1"/>
    <col min="6916" max="6916" width="10.42578125" style="105" customWidth="1"/>
    <col min="6917" max="6917" width="9.7109375" style="105" bestFit="1" customWidth="1"/>
    <col min="6918" max="6919" width="9.5703125" style="105" bestFit="1" customWidth="1"/>
    <col min="6920" max="6920" width="10.42578125" style="105" bestFit="1" customWidth="1"/>
    <col min="6921" max="6921" width="4.5703125" style="105" customWidth="1"/>
    <col min="6922" max="6922" width="1.85546875" style="105" customWidth="1"/>
    <col min="6923" max="6923" width="7" style="105" bestFit="1" customWidth="1"/>
    <col min="6924" max="6924" width="6.28515625" style="105" customWidth="1"/>
    <col min="6925" max="6925" width="20.42578125" style="105" customWidth="1"/>
    <col min="6926" max="6926" width="6.42578125" style="105" bestFit="1" customWidth="1"/>
    <col min="6927" max="6928" width="8.42578125" style="105"/>
    <col min="6929" max="6929" width="3.28515625" style="105" customWidth="1"/>
    <col min="6930" max="7168" width="8.42578125" style="105"/>
    <col min="7169" max="7169" width="10" style="105" bestFit="1" customWidth="1"/>
    <col min="7170" max="7170" width="44.28515625" style="105" bestFit="1" customWidth="1"/>
    <col min="7171" max="7171" width="10.42578125" style="105" bestFit="1" customWidth="1"/>
    <col min="7172" max="7172" width="10.42578125" style="105" customWidth="1"/>
    <col min="7173" max="7173" width="9.7109375" style="105" bestFit="1" customWidth="1"/>
    <col min="7174" max="7175" width="9.5703125" style="105" bestFit="1" customWidth="1"/>
    <col min="7176" max="7176" width="10.42578125" style="105" bestFit="1" customWidth="1"/>
    <col min="7177" max="7177" width="4.5703125" style="105" customWidth="1"/>
    <col min="7178" max="7178" width="1.85546875" style="105" customWidth="1"/>
    <col min="7179" max="7179" width="7" style="105" bestFit="1" customWidth="1"/>
    <col min="7180" max="7180" width="6.28515625" style="105" customWidth="1"/>
    <col min="7181" max="7181" width="20.42578125" style="105" customWidth="1"/>
    <col min="7182" max="7182" width="6.42578125" style="105" bestFit="1" customWidth="1"/>
    <col min="7183" max="7184" width="8.42578125" style="105"/>
    <col min="7185" max="7185" width="3.28515625" style="105" customWidth="1"/>
    <col min="7186" max="7424" width="8.42578125" style="105"/>
    <col min="7425" max="7425" width="10" style="105" bestFit="1" customWidth="1"/>
    <col min="7426" max="7426" width="44.28515625" style="105" bestFit="1" customWidth="1"/>
    <col min="7427" max="7427" width="10.42578125" style="105" bestFit="1" customWidth="1"/>
    <col min="7428" max="7428" width="10.42578125" style="105" customWidth="1"/>
    <col min="7429" max="7429" width="9.7109375" style="105" bestFit="1" customWidth="1"/>
    <col min="7430" max="7431" width="9.5703125" style="105" bestFit="1" customWidth="1"/>
    <col min="7432" max="7432" width="10.42578125" style="105" bestFit="1" customWidth="1"/>
    <col min="7433" max="7433" width="4.5703125" style="105" customWidth="1"/>
    <col min="7434" max="7434" width="1.85546875" style="105" customWidth="1"/>
    <col min="7435" max="7435" width="7" style="105" bestFit="1" customWidth="1"/>
    <col min="7436" max="7436" width="6.28515625" style="105" customWidth="1"/>
    <col min="7437" max="7437" width="20.42578125" style="105" customWidth="1"/>
    <col min="7438" max="7438" width="6.42578125" style="105" bestFit="1" customWidth="1"/>
    <col min="7439" max="7440" width="8.42578125" style="105"/>
    <col min="7441" max="7441" width="3.28515625" style="105" customWidth="1"/>
    <col min="7442" max="7680" width="8.42578125" style="105"/>
    <col min="7681" max="7681" width="10" style="105" bestFit="1" customWidth="1"/>
    <col min="7682" max="7682" width="44.28515625" style="105" bestFit="1" customWidth="1"/>
    <col min="7683" max="7683" width="10.42578125" style="105" bestFit="1" customWidth="1"/>
    <col min="7684" max="7684" width="10.42578125" style="105" customWidth="1"/>
    <col min="7685" max="7685" width="9.7109375" style="105" bestFit="1" customWidth="1"/>
    <col min="7686" max="7687" width="9.5703125" style="105" bestFit="1" customWidth="1"/>
    <col min="7688" max="7688" width="10.42578125" style="105" bestFit="1" customWidth="1"/>
    <col min="7689" max="7689" width="4.5703125" style="105" customWidth="1"/>
    <col min="7690" max="7690" width="1.85546875" style="105" customWidth="1"/>
    <col min="7691" max="7691" width="7" style="105" bestFit="1" customWidth="1"/>
    <col min="7692" max="7692" width="6.28515625" style="105" customWidth="1"/>
    <col min="7693" max="7693" width="20.42578125" style="105" customWidth="1"/>
    <col min="7694" max="7694" width="6.42578125" style="105" bestFit="1" customWidth="1"/>
    <col min="7695" max="7696" width="8.42578125" style="105"/>
    <col min="7697" max="7697" width="3.28515625" style="105" customWidth="1"/>
    <col min="7698" max="7936" width="8.42578125" style="105"/>
    <col min="7937" max="7937" width="10" style="105" bestFit="1" customWidth="1"/>
    <col min="7938" max="7938" width="44.28515625" style="105" bestFit="1" customWidth="1"/>
    <col min="7939" max="7939" width="10.42578125" style="105" bestFit="1" customWidth="1"/>
    <col min="7940" max="7940" width="10.42578125" style="105" customWidth="1"/>
    <col min="7941" max="7941" width="9.7109375" style="105" bestFit="1" customWidth="1"/>
    <col min="7942" max="7943" width="9.5703125" style="105" bestFit="1" customWidth="1"/>
    <col min="7944" max="7944" width="10.42578125" style="105" bestFit="1" customWidth="1"/>
    <col min="7945" max="7945" width="4.5703125" style="105" customWidth="1"/>
    <col min="7946" max="7946" width="1.85546875" style="105" customWidth="1"/>
    <col min="7947" max="7947" width="7" style="105" bestFit="1" customWidth="1"/>
    <col min="7948" max="7948" width="6.28515625" style="105" customWidth="1"/>
    <col min="7949" max="7949" width="20.42578125" style="105" customWidth="1"/>
    <col min="7950" max="7950" width="6.42578125" style="105" bestFit="1" customWidth="1"/>
    <col min="7951" max="7952" width="8.42578125" style="105"/>
    <col min="7953" max="7953" width="3.28515625" style="105" customWidth="1"/>
    <col min="7954" max="8192" width="8.42578125" style="105"/>
    <col min="8193" max="8193" width="10" style="105" bestFit="1" customWidth="1"/>
    <col min="8194" max="8194" width="44.28515625" style="105" bestFit="1" customWidth="1"/>
    <col min="8195" max="8195" width="10.42578125" style="105" bestFit="1" customWidth="1"/>
    <col min="8196" max="8196" width="10.42578125" style="105" customWidth="1"/>
    <col min="8197" max="8197" width="9.7109375" style="105" bestFit="1" customWidth="1"/>
    <col min="8198" max="8199" width="9.5703125" style="105" bestFit="1" customWidth="1"/>
    <col min="8200" max="8200" width="10.42578125" style="105" bestFit="1" customWidth="1"/>
    <col min="8201" max="8201" width="4.5703125" style="105" customWidth="1"/>
    <col min="8202" max="8202" width="1.85546875" style="105" customWidth="1"/>
    <col min="8203" max="8203" width="7" style="105" bestFit="1" customWidth="1"/>
    <col min="8204" max="8204" width="6.28515625" style="105" customWidth="1"/>
    <col min="8205" max="8205" width="20.42578125" style="105" customWidth="1"/>
    <col min="8206" max="8206" width="6.42578125" style="105" bestFit="1" customWidth="1"/>
    <col min="8207" max="8208" width="8.42578125" style="105"/>
    <col min="8209" max="8209" width="3.28515625" style="105" customWidth="1"/>
    <col min="8210" max="8448" width="8.42578125" style="105"/>
    <col min="8449" max="8449" width="10" style="105" bestFit="1" customWidth="1"/>
    <col min="8450" max="8450" width="44.28515625" style="105" bestFit="1" customWidth="1"/>
    <col min="8451" max="8451" width="10.42578125" style="105" bestFit="1" customWidth="1"/>
    <col min="8452" max="8452" width="10.42578125" style="105" customWidth="1"/>
    <col min="8453" max="8453" width="9.7109375" style="105" bestFit="1" customWidth="1"/>
    <col min="8454" max="8455" width="9.5703125" style="105" bestFit="1" customWidth="1"/>
    <col min="8456" max="8456" width="10.42578125" style="105" bestFit="1" customWidth="1"/>
    <col min="8457" max="8457" width="4.5703125" style="105" customWidth="1"/>
    <col min="8458" max="8458" width="1.85546875" style="105" customWidth="1"/>
    <col min="8459" max="8459" width="7" style="105" bestFit="1" customWidth="1"/>
    <col min="8460" max="8460" width="6.28515625" style="105" customWidth="1"/>
    <col min="8461" max="8461" width="20.42578125" style="105" customWidth="1"/>
    <col min="8462" max="8462" width="6.42578125" style="105" bestFit="1" customWidth="1"/>
    <col min="8463" max="8464" width="8.42578125" style="105"/>
    <col min="8465" max="8465" width="3.28515625" style="105" customWidth="1"/>
    <col min="8466" max="8704" width="8.42578125" style="105"/>
    <col min="8705" max="8705" width="10" style="105" bestFit="1" customWidth="1"/>
    <col min="8706" max="8706" width="44.28515625" style="105" bestFit="1" customWidth="1"/>
    <col min="8707" max="8707" width="10.42578125" style="105" bestFit="1" customWidth="1"/>
    <col min="8708" max="8708" width="10.42578125" style="105" customWidth="1"/>
    <col min="8709" max="8709" width="9.7109375" style="105" bestFit="1" customWidth="1"/>
    <col min="8710" max="8711" width="9.5703125" style="105" bestFit="1" customWidth="1"/>
    <col min="8712" max="8712" width="10.42578125" style="105" bestFit="1" customWidth="1"/>
    <col min="8713" max="8713" width="4.5703125" style="105" customWidth="1"/>
    <col min="8714" max="8714" width="1.85546875" style="105" customWidth="1"/>
    <col min="8715" max="8715" width="7" style="105" bestFit="1" customWidth="1"/>
    <col min="8716" max="8716" width="6.28515625" style="105" customWidth="1"/>
    <col min="8717" max="8717" width="20.42578125" style="105" customWidth="1"/>
    <col min="8718" max="8718" width="6.42578125" style="105" bestFit="1" customWidth="1"/>
    <col min="8719" max="8720" width="8.42578125" style="105"/>
    <col min="8721" max="8721" width="3.28515625" style="105" customWidth="1"/>
    <col min="8722" max="8960" width="8.42578125" style="105"/>
    <col min="8961" max="8961" width="10" style="105" bestFit="1" customWidth="1"/>
    <col min="8962" max="8962" width="44.28515625" style="105" bestFit="1" customWidth="1"/>
    <col min="8963" max="8963" width="10.42578125" style="105" bestFit="1" customWidth="1"/>
    <col min="8964" max="8964" width="10.42578125" style="105" customWidth="1"/>
    <col min="8965" max="8965" width="9.7109375" style="105" bestFit="1" customWidth="1"/>
    <col min="8966" max="8967" width="9.5703125" style="105" bestFit="1" customWidth="1"/>
    <col min="8968" max="8968" width="10.42578125" style="105" bestFit="1" customWidth="1"/>
    <col min="8969" max="8969" width="4.5703125" style="105" customWidth="1"/>
    <col min="8970" max="8970" width="1.85546875" style="105" customWidth="1"/>
    <col min="8971" max="8971" width="7" style="105" bestFit="1" customWidth="1"/>
    <col min="8972" max="8972" width="6.28515625" style="105" customWidth="1"/>
    <col min="8973" max="8973" width="20.42578125" style="105" customWidth="1"/>
    <col min="8974" max="8974" width="6.42578125" style="105" bestFit="1" customWidth="1"/>
    <col min="8975" max="8976" width="8.42578125" style="105"/>
    <col min="8977" max="8977" width="3.28515625" style="105" customWidth="1"/>
    <col min="8978" max="9216" width="8.42578125" style="105"/>
    <col min="9217" max="9217" width="10" style="105" bestFit="1" customWidth="1"/>
    <col min="9218" max="9218" width="44.28515625" style="105" bestFit="1" customWidth="1"/>
    <col min="9219" max="9219" width="10.42578125" style="105" bestFit="1" customWidth="1"/>
    <col min="9220" max="9220" width="10.42578125" style="105" customWidth="1"/>
    <col min="9221" max="9221" width="9.7109375" style="105" bestFit="1" customWidth="1"/>
    <col min="9222" max="9223" width="9.5703125" style="105" bestFit="1" customWidth="1"/>
    <col min="9224" max="9224" width="10.42578125" style="105" bestFit="1" customWidth="1"/>
    <col min="9225" max="9225" width="4.5703125" style="105" customWidth="1"/>
    <col min="9226" max="9226" width="1.85546875" style="105" customWidth="1"/>
    <col min="9227" max="9227" width="7" style="105" bestFit="1" customWidth="1"/>
    <col min="9228" max="9228" width="6.28515625" style="105" customWidth="1"/>
    <col min="9229" max="9229" width="20.42578125" style="105" customWidth="1"/>
    <col min="9230" max="9230" width="6.42578125" style="105" bestFit="1" customWidth="1"/>
    <col min="9231" max="9232" width="8.42578125" style="105"/>
    <col min="9233" max="9233" width="3.28515625" style="105" customWidth="1"/>
    <col min="9234" max="9472" width="8.42578125" style="105"/>
    <col min="9473" max="9473" width="10" style="105" bestFit="1" customWidth="1"/>
    <col min="9474" max="9474" width="44.28515625" style="105" bestFit="1" customWidth="1"/>
    <col min="9475" max="9475" width="10.42578125" style="105" bestFit="1" customWidth="1"/>
    <col min="9476" max="9476" width="10.42578125" style="105" customWidth="1"/>
    <col min="9477" max="9477" width="9.7109375" style="105" bestFit="1" customWidth="1"/>
    <col min="9478" max="9479" width="9.5703125" style="105" bestFit="1" customWidth="1"/>
    <col min="9480" max="9480" width="10.42578125" style="105" bestFit="1" customWidth="1"/>
    <col min="9481" max="9481" width="4.5703125" style="105" customWidth="1"/>
    <col min="9482" max="9482" width="1.85546875" style="105" customWidth="1"/>
    <col min="9483" max="9483" width="7" style="105" bestFit="1" customWidth="1"/>
    <col min="9484" max="9484" width="6.28515625" style="105" customWidth="1"/>
    <col min="9485" max="9485" width="20.42578125" style="105" customWidth="1"/>
    <col min="9486" max="9486" width="6.42578125" style="105" bestFit="1" customWidth="1"/>
    <col min="9487" max="9488" width="8.42578125" style="105"/>
    <col min="9489" max="9489" width="3.28515625" style="105" customWidth="1"/>
    <col min="9490" max="9728" width="8.42578125" style="105"/>
    <col min="9729" max="9729" width="10" style="105" bestFit="1" customWidth="1"/>
    <col min="9730" max="9730" width="44.28515625" style="105" bestFit="1" customWidth="1"/>
    <col min="9731" max="9731" width="10.42578125" style="105" bestFit="1" customWidth="1"/>
    <col min="9732" max="9732" width="10.42578125" style="105" customWidth="1"/>
    <col min="9733" max="9733" width="9.7109375" style="105" bestFit="1" customWidth="1"/>
    <col min="9734" max="9735" width="9.5703125" style="105" bestFit="1" customWidth="1"/>
    <col min="9736" max="9736" width="10.42578125" style="105" bestFit="1" customWidth="1"/>
    <col min="9737" max="9737" width="4.5703125" style="105" customWidth="1"/>
    <col min="9738" max="9738" width="1.85546875" style="105" customWidth="1"/>
    <col min="9739" max="9739" width="7" style="105" bestFit="1" customWidth="1"/>
    <col min="9740" max="9740" width="6.28515625" style="105" customWidth="1"/>
    <col min="9741" max="9741" width="20.42578125" style="105" customWidth="1"/>
    <col min="9742" max="9742" width="6.42578125" style="105" bestFit="1" customWidth="1"/>
    <col min="9743" max="9744" width="8.42578125" style="105"/>
    <col min="9745" max="9745" width="3.28515625" style="105" customWidth="1"/>
    <col min="9746" max="9984" width="8.42578125" style="105"/>
    <col min="9985" max="9985" width="10" style="105" bestFit="1" customWidth="1"/>
    <col min="9986" max="9986" width="44.28515625" style="105" bestFit="1" customWidth="1"/>
    <col min="9987" max="9987" width="10.42578125" style="105" bestFit="1" customWidth="1"/>
    <col min="9988" max="9988" width="10.42578125" style="105" customWidth="1"/>
    <col min="9989" max="9989" width="9.7109375" style="105" bestFit="1" customWidth="1"/>
    <col min="9990" max="9991" width="9.5703125" style="105" bestFit="1" customWidth="1"/>
    <col min="9992" max="9992" width="10.42578125" style="105" bestFit="1" customWidth="1"/>
    <col min="9993" max="9993" width="4.5703125" style="105" customWidth="1"/>
    <col min="9994" max="9994" width="1.85546875" style="105" customWidth="1"/>
    <col min="9995" max="9995" width="7" style="105" bestFit="1" customWidth="1"/>
    <col min="9996" max="9996" width="6.28515625" style="105" customWidth="1"/>
    <col min="9997" max="9997" width="20.42578125" style="105" customWidth="1"/>
    <col min="9998" max="9998" width="6.42578125" style="105" bestFit="1" customWidth="1"/>
    <col min="9999" max="10000" width="8.42578125" style="105"/>
    <col min="10001" max="10001" width="3.28515625" style="105" customWidth="1"/>
    <col min="10002" max="10240" width="8.42578125" style="105"/>
    <col min="10241" max="10241" width="10" style="105" bestFit="1" customWidth="1"/>
    <col min="10242" max="10242" width="44.28515625" style="105" bestFit="1" customWidth="1"/>
    <col min="10243" max="10243" width="10.42578125" style="105" bestFit="1" customWidth="1"/>
    <col min="10244" max="10244" width="10.42578125" style="105" customWidth="1"/>
    <col min="10245" max="10245" width="9.7109375" style="105" bestFit="1" customWidth="1"/>
    <col min="10246" max="10247" width="9.5703125" style="105" bestFit="1" customWidth="1"/>
    <col min="10248" max="10248" width="10.42578125" style="105" bestFit="1" customWidth="1"/>
    <col min="10249" max="10249" width="4.5703125" style="105" customWidth="1"/>
    <col min="10250" max="10250" width="1.85546875" style="105" customWidth="1"/>
    <col min="10251" max="10251" width="7" style="105" bestFit="1" customWidth="1"/>
    <col min="10252" max="10252" width="6.28515625" style="105" customWidth="1"/>
    <col min="10253" max="10253" width="20.42578125" style="105" customWidth="1"/>
    <col min="10254" max="10254" width="6.42578125" style="105" bestFit="1" customWidth="1"/>
    <col min="10255" max="10256" width="8.42578125" style="105"/>
    <col min="10257" max="10257" width="3.28515625" style="105" customWidth="1"/>
    <col min="10258" max="10496" width="8.42578125" style="105"/>
    <col min="10497" max="10497" width="10" style="105" bestFit="1" customWidth="1"/>
    <col min="10498" max="10498" width="44.28515625" style="105" bestFit="1" customWidth="1"/>
    <col min="10499" max="10499" width="10.42578125" style="105" bestFit="1" customWidth="1"/>
    <col min="10500" max="10500" width="10.42578125" style="105" customWidth="1"/>
    <col min="10501" max="10501" width="9.7109375" style="105" bestFit="1" customWidth="1"/>
    <col min="10502" max="10503" width="9.5703125" style="105" bestFit="1" customWidth="1"/>
    <col min="10504" max="10504" width="10.42578125" style="105" bestFit="1" customWidth="1"/>
    <col min="10505" max="10505" width="4.5703125" style="105" customWidth="1"/>
    <col min="10506" max="10506" width="1.85546875" style="105" customWidth="1"/>
    <col min="10507" max="10507" width="7" style="105" bestFit="1" customWidth="1"/>
    <col min="10508" max="10508" width="6.28515625" style="105" customWidth="1"/>
    <col min="10509" max="10509" width="20.42578125" style="105" customWidth="1"/>
    <col min="10510" max="10510" width="6.42578125" style="105" bestFit="1" customWidth="1"/>
    <col min="10511" max="10512" width="8.42578125" style="105"/>
    <col min="10513" max="10513" width="3.28515625" style="105" customWidth="1"/>
    <col min="10514" max="10752" width="8.42578125" style="105"/>
    <col min="10753" max="10753" width="10" style="105" bestFit="1" customWidth="1"/>
    <col min="10754" max="10754" width="44.28515625" style="105" bestFit="1" customWidth="1"/>
    <col min="10755" max="10755" width="10.42578125" style="105" bestFit="1" customWidth="1"/>
    <col min="10756" max="10756" width="10.42578125" style="105" customWidth="1"/>
    <col min="10757" max="10757" width="9.7109375" style="105" bestFit="1" customWidth="1"/>
    <col min="10758" max="10759" width="9.5703125" style="105" bestFit="1" customWidth="1"/>
    <col min="10760" max="10760" width="10.42578125" style="105" bestFit="1" customWidth="1"/>
    <col min="10761" max="10761" width="4.5703125" style="105" customWidth="1"/>
    <col min="10762" max="10762" width="1.85546875" style="105" customWidth="1"/>
    <col min="10763" max="10763" width="7" style="105" bestFit="1" customWidth="1"/>
    <col min="10764" max="10764" width="6.28515625" style="105" customWidth="1"/>
    <col min="10765" max="10765" width="20.42578125" style="105" customWidth="1"/>
    <col min="10766" max="10766" width="6.42578125" style="105" bestFit="1" customWidth="1"/>
    <col min="10767" max="10768" width="8.42578125" style="105"/>
    <col min="10769" max="10769" width="3.28515625" style="105" customWidth="1"/>
    <col min="10770" max="11008" width="8.42578125" style="105"/>
    <col min="11009" max="11009" width="10" style="105" bestFit="1" customWidth="1"/>
    <col min="11010" max="11010" width="44.28515625" style="105" bestFit="1" customWidth="1"/>
    <col min="11011" max="11011" width="10.42578125" style="105" bestFit="1" customWidth="1"/>
    <col min="11012" max="11012" width="10.42578125" style="105" customWidth="1"/>
    <col min="11013" max="11013" width="9.7109375" style="105" bestFit="1" customWidth="1"/>
    <col min="11014" max="11015" width="9.5703125" style="105" bestFit="1" customWidth="1"/>
    <col min="11016" max="11016" width="10.42578125" style="105" bestFit="1" customWidth="1"/>
    <col min="11017" max="11017" width="4.5703125" style="105" customWidth="1"/>
    <col min="11018" max="11018" width="1.85546875" style="105" customWidth="1"/>
    <col min="11019" max="11019" width="7" style="105" bestFit="1" customWidth="1"/>
    <col min="11020" max="11020" width="6.28515625" style="105" customWidth="1"/>
    <col min="11021" max="11021" width="20.42578125" style="105" customWidth="1"/>
    <col min="11022" max="11022" width="6.42578125" style="105" bestFit="1" customWidth="1"/>
    <col min="11023" max="11024" width="8.42578125" style="105"/>
    <col min="11025" max="11025" width="3.28515625" style="105" customWidth="1"/>
    <col min="11026" max="11264" width="8.42578125" style="105"/>
    <col min="11265" max="11265" width="10" style="105" bestFit="1" customWidth="1"/>
    <col min="11266" max="11266" width="44.28515625" style="105" bestFit="1" customWidth="1"/>
    <col min="11267" max="11267" width="10.42578125" style="105" bestFit="1" customWidth="1"/>
    <col min="11268" max="11268" width="10.42578125" style="105" customWidth="1"/>
    <col min="11269" max="11269" width="9.7109375" style="105" bestFit="1" customWidth="1"/>
    <col min="11270" max="11271" width="9.5703125" style="105" bestFit="1" customWidth="1"/>
    <col min="11272" max="11272" width="10.42578125" style="105" bestFit="1" customWidth="1"/>
    <col min="11273" max="11273" width="4.5703125" style="105" customWidth="1"/>
    <col min="11274" max="11274" width="1.85546875" style="105" customWidth="1"/>
    <col min="11275" max="11275" width="7" style="105" bestFit="1" customWidth="1"/>
    <col min="11276" max="11276" width="6.28515625" style="105" customWidth="1"/>
    <col min="11277" max="11277" width="20.42578125" style="105" customWidth="1"/>
    <col min="11278" max="11278" width="6.42578125" style="105" bestFit="1" customWidth="1"/>
    <col min="11279" max="11280" width="8.42578125" style="105"/>
    <col min="11281" max="11281" width="3.28515625" style="105" customWidth="1"/>
    <col min="11282" max="11520" width="8.42578125" style="105"/>
    <col min="11521" max="11521" width="10" style="105" bestFit="1" customWidth="1"/>
    <col min="11522" max="11522" width="44.28515625" style="105" bestFit="1" customWidth="1"/>
    <col min="11523" max="11523" width="10.42578125" style="105" bestFit="1" customWidth="1"/>
    <col min="11524" max="11524" width="10.42578125" style="105" customWidth="1"/>
    <col min="11525" max="11525" width="9.7109375" style="105" bestFit="1" customWidth="1"/>
    <col min="11526" max="11527" width="9.5703125" style="105" bestFit="1" customWidth="1"/>
    <col min="11528" max="11528" width="10.42578125" style="105" bestFit="1" customWidth="1"/>
    <col min="11529" max="11529" width="4.5703125" style="105" customWidth="1"/>
    <col min="11530" max="11530" width="1.85546875" style="105" customWidth="1"/>
    <col min="11531" max="11531" width="7" style="105" bestFit="1" customWidth="1"/>
    <col min="11532" max="11532" width="6.28515625" style="105" customWidth="1"/>
    <col min="11533" max="11533" width="20.42578125" style="105" customWidth="1"/>
    <col min="11534" max="11534" width="6.42578125" style="105" bestFit="1" customWidth="1"/>
    <col min="11535" max="11536" width="8.42578125" style="105"/>
    <col min="11537" max="11537" width="3.28515625" style="105" customWidth="1"/>
    <col min="11538" max="11776" width="8.42578125" style="105"/>
    <col min="11777" max="11777" width="10" style="105" bestFit="1" customWidth="1"/>
    <col min="11778" max="11778" width="44.28515625" style="105" bestFit="1" customWidth="1"/>
    <col min="11779" max="11779" width="10.42578125" style="105" bestFit="1" customWidth="1"/>
    <col min="11780" max="11780" width="10.42578125" style="105" customWidth="1"/>
    <col min="11781" max="11781" width="9.7109375" style="105" bestFit="1" customWidth="1"/>
    <col min="11782" max="11783" width="9.5703125" style="105" bestFit="1" customWidth="1"/>
    <col min="11784" max="11784" width="10.42578125" style="105" bestFit="1" customWidth="1"/>
    <col min="11785" max="11785" width="4.5703125" style="105" customWidth="1"/>
    <col min="11786" max="11786" width="1.85546875" style="105" customWidth="1"/>
    <col min="11787" max="11787" width="7" style="105" bestFit="1" customWidth="1"/>
    <col min="11788" max="11788" width="6.28515625" style="105" customWidth="1"/>
    <col min="11789" max="11789" width="20.42578125" style="105" customWidth="1"/>
    <col min="11790" max="11790" width="6.42578125" style="105" bestFit="1" customWidth="1"/>
    <col min="11791" max="11792" width="8.42578125" style="105"/>
    <col min="11793" max="11793" width="3.28515625" style="105" customWidth="1"/>
    <col min="11794" max="12032" width="8.42578125" style="105"/>
    <col min="12033" max="12033" width="10" style="105" bestFit="1" customWidth="1"/>
    <col min="12034" max="12034" width="44.28515625" style="105" bestFit="1" customWidth="1"/>
    <col min="12035" max="12035" width="10.42578125" style="105" bestFit="1" customWidth="1"/>
    <col min="12036" max="12036" width="10.42578125" style="105" customWidth="1"/>
    <col min="12037" max="12037" width="9.7109375" style="105" bestFit="1" customWidth="1"/>
    <col min="12038" max="12039" width="9.5703125" style="105" bestFit="1" customWidth="1"/>
    <col min="12040" max="12040" width="10.42578125" style="105" bestFit="1" customWidth="1"/>
    <col min="12041" max="12041" width="4.5703125" style="105" customWidth="1"/>
    <col min="12042" max="12042" width="1.85546875" style="105" customWidth="1"/>
    <col min="12043" max="12043" width="7" style="105" bestFit="1" customWidth="1"/>
    <col min="12044" max="12044" width="6.28515625" style="105" customWidth="1"/>
    <col min="12045" max="12045" width="20.42578125" style="105" customWidth="1"/>
    <col min="12046" max="12046" width="6.42578125" style="105" bestFit="1" customWidth="1"/>
    <col min="12047" max="12048" width="8.42578125" style="105"/>
    <col min="12049" max="12049" width="3.28515625" style="105" customWidth="1"/>
    <col min="12050" max="12288" width="8.42578125" style="105"/>
    <col min="12289" max="12289" width="10" style="105" bestFit="1" customWidth="1"/>
    <col min="12290" max="12290" width="44.28515625" style="105" bestFit="1" customWidth="1"/>
    <col min="12291" max="12291" width="10.42578125" style="105" bestFit="1" customWidth="1"/>
    <col min="12292" max="12292" width="10.42578125" style="105" customWidth="1"/>
    <col min="12293" max="12293" width="9.7109375" style="105" bestFit="1" customWidth="1"/>
    <col min="12294" max="12295" width="9.5703125" style="105" bestFit="1" customWidth="1"/>
    <col min="12296" max="12296" width="10.42578125" style="105" bestFit="1" customWidth="1"/>
    <col min="12297" max="12297" width="4.5703125" style="105" customWidth="1"/>
    <col min="12298" max="12298" width="1.85546875" style="105" customWidth="1"/>
    <col min="12299" max="12299" width="7" style="105" bestFit="1" customWidth="1"/>
    <col min="12300" max="12300" width="6.28515625" style="105" customWidth="1"/>
    <col min="12301" max="12301" width="20.42578125" style="105" customWidth="1"/>
    <col min="12302" max="12302" width="6.42578125" style="105" bestFit="1" customWidth="1"/>
    <col min="12303" max="12304" width="8.42578125" style="105"/>
    <col min="12305" max="12305" width="3.28515625" style="105" customWidth="1"/>
    <col min="12306" max="12544" width="8.42578125" style="105"/>
    <col min="12545" max="12545" width="10" style="105" bestFit="1" customWidth="1"/>
    <col min="12546" max="12546" width="44.28515625" style="105" bestFit="1" customWidth="1"/>
    <col min="12547" max="12547" width="10.42578125" style="105" bestFit="1" customWidth="1"/>
    <col min="12548" max="12548" width="10.42578125" style="105" customWidth="1"/>
    <col min="12549" max="12549" width="9.7109375" style="105" bestFit="1" customWidth="1"/>
    <col min="12550" max="12551" width="9.5703125" style="105" bestFit="1" customWidth="1"/>
    <col min="12552" max="12552" width="10.42578125" style="105" bestFit="1" customWidth="1"/>
    <col min="12553" max="12553" width="4.5703125" style="105" customWidth="1"/>
    <col min="12554" max="12554" width="1.85546875" style="105" customWidth="1"/>
    <col min="12555" max="12555" width="7" style="105" bestFit="1" customWidth="1"/>
    <col min="12556" max="12556" width="6.28515625" style="105" customWidth="1"/>
    <col min="12557" max="12557" width="20.42578125" style="105" customWidth="1"/>
    <col min="12558" max="12558" width="6.42578125" style="105" bestFit="1" customWidth="1"/>
    <col min="12559" max="12560" width="8.42578125" style="105"/>
    <col min="12561" max="12561" width="3.28515625" style="105" customWidth="1"/>
    <col min="12562" max="12800" width="8.42578125" style="105"/>
    <col min="12801" max="12801" width="10" style="105" bestFit="1" customWidth="1"/>
    <col min="12802" max="12802" width="44.28515625" style="105" bestFit="1" customWidth="1"/>
    <col min="12803" max="12803" width="10.42578125" style="105" bestFit="1" customWidth="1"/>
    <col min="12804" max="12804" width="10.42578125" style="105" customWidth="1"/>
    <col min="12805" max="12805" width="9.7109375" style="105" bestFit="1" customWidth="1"/>
    <col min="12806" max="12807" width="9.5703125" style="105" bestFit="1" customWidth="1"/>
    <col min="12808" max="12808" width="10.42578125" style="105" bestFit="1" customWidth="1"/>
    <col min="12809" max="12809" width="4.5703125" style="105" customWidth="1"/>
    <col min="12810" max="12810" width="1.85546875" style="105" customWidth="1"/>
    <col min="12811" max="12811" width="7" style="105" bestFit="1" customWidth="1"/>
    <col min="12812" max="12812" width="6.28515625" style="105" customWidth="1"/>
    <col min="12813" max="12813" width="20.42578125" style="105" customWidth="1"/>
    <col min="12814" max="12814" width="6.42578125" style="105" bestFit="1" customWidth="1"/>
    <col min="12815" max="12816" width="8.42578125" style="105"/>
    <col min="12817" max="12817" width="3.28515625" style="105" customWidth="1"/>
    <col min="12818" max="13056" width="8.42578125" style="105"/>
    <col min="13057" max="13057" width="10" style="105" bestFit="1" customWidth="1"/>
    <col min="13058" max="13058" width="44.28515625" style="105" bestFit="1" customWidth="1"/>
    <col min="13059" max="13059" width="10.42578125" style="105" bestFit="1" customWidth="1"/>
    <col min="13060" max="13060" width="10.42578125" style="105" customWidth="1"/>
    <col min="13061" max="13061" width="9.7109375" style="105" bestFit="1" customWidth="1"/>
    <col min="13062" max="13063" width="9.5703125" style="105" bestFit="1" customWidth="1"/>
    <col min="13064" max="13064" width="10.42578125" style="105" bestFit="1" customWidth="1"/>
    <col min="13065" max="13065" width="4.5703125" style="105" customWidth="1"/>
    <col min="13066" max="13066" width="1.85546875" style="105" customWidth="1"/>
    <col min="13067" max="13067" width="7" style="105" bestFit="1" customWidth="1"/>
    <col min="13068" max="13068" width="6.28515625" style="105" customWidth="1"/>
    <col min="13069" max="13069" width="20.42578125" style="105" customWidth="1"/>
    <col min="13070" max="13070" width="6.42578125" style="105" bestFit="1" customWidth="1"/>
    <col min="13071" max="13072" width="8.42578125" style="105"/>
    <col min="13073" max="13073" width="3.28515625" style="105" customWidth="1"/>
    <col min="13074" max="13312" width="8.42578125" style="105"/>
    <col min="13313" max="13313" width="10" style="105" bestFit="1" customWidth="1"/>
    <col min="13314" max="13314" width="44.28515625" style="105" bestFit="1" customWidth="1"/>
    <col min="13315" max="13315" width="10.42578125" style="105" bestFit="1" customWidth="1"/>
    <col min="13316" max="13316" width="10.42578125" style="105" customWidth="1"/>
    <col min="13317" max="13317" width="9.7109375" style="105" bestFit="1" customWidth="1"/>
    <col min="13318" max="13319" width="9.5703125" style="105" bestFit="1" customWidth="1"/>
    <col min="13320" max="13320" width="10.42578125" style="105" bestFit="1" customWidth="1"/>
    <col min="13321" max="13321" width="4.5703125" style="105" customWidth="1"/>
    <col min="13322" max="13322" width="1.85546875" style="105" customWidth="1"/>
    <col min="13323" max="13323" width="7" style="105" bestFit="1" customWidth="1"/>
    <col min="13324" max="13324" width="6.28515625" style="105" customWidth="1"/>
    <col min="13325" max="13325" width="20.42578125" style="105" customWidth="1"/>
    <col min="13326" max="13326" width="6.42578125" style="105" bestFit="1" customWidth="1"/>
    <col min="13327" max="13328" width="8.42578125" style="105"/>
    <col min="13329" max="13329" width="3.28515625" style="105" customWidth="1"/>
    <col min="13330" max="13568" width="8.42578125" style="105"/>
    <col min="13569" max="13569" width="10" style="105" bestFit="1" customWidth="1"/>
    <col min="13570" max="13570" width="44.28515625" style="105" bestFit="1" customWidth="1"/>
    <col min="13571" max="13571" width="10.42578125" style="105" bestFit="1" customWidth="1"/>
    <col min="13572" max="13572" width="10.42578125" style="105" customWidth="1"/>
    <col min="13573" max="13573" width="9.7109375" style="105" bestFit="1" customWidth="1"/>
    <col min="13574" max="13575" width="9.5703125" style="105" bestFit="1" customWidth="1"/>
    <col min="13576" max="13576" width="10.42578125" style="105" bestFit="1" customWidth="1"/>
    <col min="13577" max="13577" width="4.5703125" style="105" customWidth="1"/>
    <col min="13578" max="13578" width="1.85546875" style="105" customWidth="1"/>
    <col min="13579" max="13579" width="7" style="105" bestFit="1" customWidth="1"/>
    <col min="13580" max="13580" width="6.28515625" style="105" customWidth="1"/>
    <col min="13581" max="13581" width="20.42578125" style="105" customWidth="1"/>
    <col min="13582" max="13582" width="6.42578125" style="105" bestFit="1" customWidth="1"/>
    <col min="13583" max="13584" width="8.42578125" style="105"/>
    <col min="13585" max="13585" width="3.28515625" style="105" customWidth="1"/>
    <col min="13586" max="13824" width="8.42578125" style="105"/>
    <col min="13825" max="13825" width="10" style="105" bestFit="1" customWidth="1"/>
    <col min="13826" max="13826" width="44.28515625" style="105" bestFit="1" customWidth="1"/>
    <col min="13827" max="13827" width="10.42578125" style="105" bestFit="1" customWidth="1"/>
    <col min="13828" max="13828" width="10.42578125" style="105" customWidth="1"/>
    <col min="13829" max="13829" width="9.7109375" style="105" bestFit="1" customWidth="1"/>
    <col min="13830" max="13831" width="9.5703125" style="105" bestFit="1" customWidth="1"/>
    <col min="13832" max="13832" width="10.42578125" style="105" bestFit="1" customWidth="1"/>
    <col min="13833" max="13833" width="4.5703125" style="105" customWidth="1"/>
    <col min="13834" max="13834" width="1.85546875" style="105" customWidth="1"/>
    <col min="13835" max="13835" width="7" style="105" bestFit="1" customWidth="1"/>
    <col min="13836" max="13836" width="6.28515625" style="105" customWidth="1"/>
    <col min="13837" max="13837" width="20.42578125" style="105" customWidth="1"/>
    <col min="13838" max="13838" width="6.42578125" style="105" bestFit="1" customWidth="1"/>
    <col min="13839" max="13840" width="8.42578125" style="105"/>
    <col min="13841" max="13841" width="3.28515625" style="105" customWidth="1"/>
    <col min="13842" max="14080" width="8.42578125" style="105"/>
    <col min="14081" max="14081" width="10" style="105" bestFit="1" customWidth="1"/>
    <col min="14082" max="14082" width="44.28515625" style="105" bestFit="1" customWidth="1"/>
    <col min="14083" max="14083" width="10.42578125" style="105" bestFit="1" customWidth="1"/>
    <col min="14084" max="14084" width="10.42578125" style="105" customWidth="1"/>
    <col min="14085" max="14085" width="9.7109375" style="105" bestFit="1" customWidth="1"/>
    <col min="14086" max="14087" width="9.5703125" style="105" bestFit="1" customWidth="1"/>
    <col min="14088" max="14088" width="10.42578125" style="105" bestFit="1" customWidth="1"/>
    <col min="14089" max="14089" width="4.5703125" style="105" customWidth="1"/>
    <col min="14090" max="14090" width="1.85546875" style="105" customWidth="1"/>
    <col min="14091" max="14091" width="7" style="105" bestFit="1" customWidth="1"/>
    <col min="14092" max="14092" width="6.28515625" style="105" customWidth="1"/>
    <col min="14093" max="14093" width="20.42578125" style="105" customWidth="1"/>
    <col min="14094" max="14094" width="6.42578125" style="105" bestFit="1" customWidth="1"/>
    <col min="14095" max="14096" width="8.42578125" style="105"/>
    <col min="14097" max="14097" width="3.28515625" style="105" customWidth="1"/>
    <col min="14098" max="14336" width="8.42578125" style="105"/>
    <col min="14337" max="14337" width="10" style="105" bestFit="1" customWidth="1"/>
    <col min="14338" max="14338" width="44.28515625" style="105" bestFit="1" customWidth="1"/>
    <col min="14339" max="14339" width="10.42578125" style="105" bestFit="1" customWidth="1"/>
    <col min="14340" max="14340" width="10.42578125" style="105" customWidth="1"/>
    <col min="14341" max="14341" width="9.7109375" style="105" bestFit="1" customWidth="1"/>
    <col min="14342" max="14343" width="9.5703125" style="105" bestFit="1" customWidth="1"/>
    <col min="14344" max="14344" width="10.42578125" style="105" bestFit="1" customWidth="1"/>
    <col min="14345" max="14345" width="4.5703125" style="105" customWidth="1"/>
    <col min="14346" max="14346" width="1.85546875" style="105" customWidth="1"/>
    <col min="14347" max="14347" width="7" style="105" bestFit="1" customWidth="1"/>
    <col min="14348" max="14348" width="6.28515625" style="105" customWidth="1"/>
    <col min="14349" max="14349" width="20.42578125" style="105" customWidth="1"/>
    <col min="14350" max="14350" width="6.42578125" style="105" bestFit="1" customWidth="1"/>
    <col min="14351" max="14352" width="8.42578125" style="105"/>
    <col min="14353" max="14353" width="3.28515625" style="105" customWidth="1"/>
    <col min="14354" max="14592" width="8.42578125" style="105"/>
    <col min="14593" max="14593" width="10" style="105" bestFit="1" customWidth="1"/>
    <col min="14594" max="14594" width="44.28515625" style="105" bestFit="1" customWidth="1"/>
    <col min="14595" max="14595" width="10.42578125" style="105" bestFit="1" customWidth="1"/>
    <col min="14596" max="14596" width="10.42578125" style="105" customWidth="1"/>
    <col min="14597" max="14597" width="9.7109375" style="105" bestFit="1" customWidth="1"/>
    <col min="14598" max="14599" width="9.5703125" style="105" bestFit="1" customWidth="1"/>
    <col min="14600" max="14600" width="10.42578125" style="105" bestFit="1" customWidth="1"/>
    <col min="14601" max="14601" width="4.5703125" style="105" customWidth="1"/>
    <col min="14602" max="14602" width="1.85546875" style="105" customWidth="1"/>
    <col min="14603" max="14603" width="7" style="105" bestFit="1" customWidth="1"/>
    <col min="14604" max="14604" width="6.28515625" style="105" customWidth="1"/>
    <col min="14605" max="14605" width="20.42578125" style="105" customWidth="1"/>
    <col min="14606" max="14606" width="6.42578125" style="105" bestFit="1" customWidth="1"/>
    <col min="14607" max="14608" width="8.42578125" style="105"/>
    <col min="14609" max="14609" width="3.28515625" style="105" customWidth="1"/>
    <col min="14610" max="14848" width="8.42578125" style="105"/>
    <col min="14849" max="14849" width="10" style="105" bestFit="1" customWidth="1"/>
    <col min="14850" max="14850" width="44.28515625" style="105" bestFit="1" customWidth="1"/>
    <col min="14851" max="14851" width="10.42578125" style="105" bestFit="1" customWidth="1"/>
    <col min="14852" max="14852" width="10.42578125" style="105" customWidth="1"/>
    <col min="14853" max="14853" width="9.7109375" style="105" bestFit="1" customWidth="1"/>
    <col min="14854" max="14855" width="9.5703125" style="105" bestFit="1" customWidth="1"/>
    <col min="14856" max="14856" width="10.42578125" style="105" bestFit="1" customWidth="1"/>
    <col min="14857" max="14857" width="4.5703125" style="105" customWidth="1"/>
    <col min="14858" max="14858" width="1.85546875" style="105" customWidth="1"/>
    <col min="14859" max="14859" width="7" style="105" bestFit="1" customWidth="1"/>
    <col min="14860" max="14860" width="6.28515625" style="105" customWidth="1"/>
    <col min="14861" max="14861" width="20.42578125" style="105" customWidth="1"/>
    <col min="14862" max="14862" width="6.42578125" style="105" bestFit="1" customWidth="1"/>
    <col min="14863" max="14864" width="8.42578125" style="105"/>
    <col min="14865" max="14865" width="3.28515625" style="105" customWidth="1"/>
    <col min="14866" max="15104" width="8.42578125" style="105"/>
    <col min="15105" max="15105" width="10" style="105" bestFit="1" customWidth="1"/>
    <col min="15106" max="15106" width="44.28515625" style="105" bestFit="1" customWidth="1"/>
    <col min="15107" max="15107" width="10.42578125" style="105" bestFit="1" customWidth="1"/>
    <col min="15108" max="15108" width="10.42578125" style="105" customWidth="1"/>
    <col min="15109" max="15109" width="9.7109375" style="105" bestFit="1" customWidth="1"/>
    <col min="15110" max="15111" width="9.5703125" style="105" bestFit="1" customWidth="1"/>
    <col min="15112" max="15112" width="10.42578125" style="105" bestFit="1" customWidth="1"/>
    <col min="15113" max="15113" width="4.5703125" style="105" customWidth="1"/>
    <col min="15114" max="15114" width="1.85546875" style="105" customWidth="1"/>
    <col min="15115" max="15115" width="7" style="105" bestFit="1" customWidth="1"/>
    <col min="15116" max="15116" width="6.28515625" style="105" customWidth="1"/>
    <col min="15117" max="15117" width="20.42578125" style="105" customWidth="1"/>
    <col min="15118" max="15118" width="6.42578125" style="105" bestFit="1" customWidth="1"/>
    <col min="15119" max="15120" width="8.42578125" style="105"/>
    <col min="15121" max="15121" width="3.28515625" style="105" customWidth="1"/>
    <col min="15122" max="15360" width="8.42578125" style="105"/>
    <col min="15361" max="15361" width="10" style="105" bestFit="1" customWidth="1"/>
    <col min="15362" max="15362" width="44.28515625" style="105" bestFit="1" customWidth="1"/>
    <col min="15363" max="15363" width="10.42578125" style="105" bestFit="1" customWidth="1"/>
    <col min="15364" max="15364" width="10.42578125" style="105" customWidth="1"/>
    <col min="15365" max="15365" width="9.7109375" style="105" bestFit="1" customWidth="1"/>
    <col min="15366" max="15367" width="9.5703125" style="105" bestFit="1" customWidth="1"/>
    <col min="15368" max="15368" width="10.42578125" style="105" bestFit="1" customWidth="1"/>
    <col min="15369" max="15369" width="4.5703125" style="105" customWidth="1"/>
    <col min="15370" max="15370" width="1.85546875" style="105" customWidth="1"/>
    <col min="15371" max="15371" width="7" style="105" bestFit="1" customWidth="1"/>
    <col min="15372" max="15372" width="6.28515625" style="105" customWidth="1"/>
    <col min="15373" max="15373" width="20.42578125" style="105" customWidth="1"/>
    <col min="15374" max="15374" width="6.42578125" style="105" bestFit="1" customWidth="1"/>
    <col min="15375" max="15376" width="8.42578125" style="105"/>
    <col min="15377" max="15377" width="3.28515625" style="105" customWidth="1"/>
    <col min="15378" max="15616" width="8.42578125" style="105"/>
    <col min="15617" max="15617" width="10" style="105" bestFit="1" customWidth="1"/>
    <col min="15618" max="15618" width="44.28515625" style="105" bestFit="1" customWidth="1"/>
    <col min="15619" max="15619" width="10.42578125" style="105" bestFit="1" customWidth="1"/>
    <col min="15620" max="15620" width="10.42578125" style="105" customWidth="1"/>
    <col min="15621" max="15621" width="9.7109375" style="105" bestFit="1" customWidth="1"/>
    <col min="15622" max="15623" width="9.5703125" style="105" bestFit="1" customWidth="1"/>
    <col min="15624" max="15624" width="10.42578125" style="105" bestFit="1" customWidth="1"/>
    <col min="15625" max="15625" width="4.5703125" style="105" customWidth="1"/>
    <col min="15626" max="15626" width="1.85546875" style="105" customWidth="1"/>
    <col min="15627" max="15627" width="7" style="105" bestFit="1" customWidth="1"/>
    <col min="15628" max="15628" width="6.28515625" style="105" customWidth="1"/>
    <col min="15629" max="15629" width="20.42578125" style="105" customWidth="1"/>
    <col min="15630" max="15630" width="6.42578125" style="105" bestFit="1" customWidth="1"/>
    <col min="15631" max="15632" width="8.42578125" style="105"/>
    <col min="15633" max="15633" width="3.28515625" style="105" customWidth="1"/>
    <col min="15634" max="15872" width="8.42578125" style="105"/>
    <col min="15873" max="15873" width="10" style="105" bestFit="1" customWidth="1"/>
    <col min="15874" max="15874" width="44.28515625" style="105" bestFit="1" customWidth="1"/>
    <col min="15875" max="15875" width="10.42578125" style="105" bestFit="1" customWidth="1"/>
    <col min="15876" max="15876" width="10.42578125" style="105" customWidth="1"/>
    <col min="15877" max="15877" width="9.7109375" style="105" bestFit="1" customWidth="1"/>
    <col min="15878" max="15879" width="9.5703125" style="105" bestFit="1" customWidth="1"/>
    <col min="15880" max="15880" width="10.42578125" style="105" bestFit="1" customWidth="1"/>
    <col min="15881" max="15881" width="4.5703125" style="105" customWidth="1"/>
    <col min="15882" max="15882" width="1.85546875" style="105" customWidth="1"/>
    <col min="15883" max="15883" width="7" style="105" bestFit="1" customWidth="1"/>
    <col min="15884" max="15884" width="6.28515625" style="105" customWidth="1"/>
    <col min="15885" max="15885" width="20.42578125" style="105" customWidth="1"/>
    <col min="15886" max="15886" width="6.42578125" style="105" bestFit="1" customWidth="1"/>
    <col min="15887" max="15888" width="8.42578125" style="105"/>
    <col min="15889" max="15889" width="3.28515625" style="105" customWidth="1"/>
    <col min="15890" max="16128" width="8.42578125" style="105"/>
    <col min="16129" max="16129" width="10" style="105" bestFit="1" customWidth="1"/>
    <col min="16130" max="16130" width="44.28515625" style="105" bestFit="1" customWidth="1"/>
    <col min="16131" max="16131" width="10.42578125" style="105" bestFit="1" customWidth="1"/>
    <col min="16132" max="16132" width="10.42578125" style="105" customWidth="1"/>
    <col min="16133" max="16133" width="9.7109375" style="105" bestFit="1" customWidth="1"/>
    <col min="16134" max="16135" width="9.5703125" style="105" bestFit="1" customWidth="1"/>
    <col min="16136" max="16136" width="10.42578125" style="105" bestFit="1" customWidth="1"/>
    <col min="16137" max="16137" width="4.5703125" style="105" customWidth="1"/>
    <col min="16138" max="16138" width="1.85546875" style="105" customWidth="1"/>
    <col min="16139" max="16139" width="7" style="105" bestFit="1" customWidth="1"/>
    <col min="16140" max="16140" width="6.28515625" style="105" customWidth="1"/>
    <col min="16141" max="16141" width="20.42578125" style="105" customWidth="1"/>
    <col min="16142" max="16142" width="6.42578125" style="105" bestFit="1" customWidth="1"/>
    <col min="16143" max="16144" width="8.42578125" style="105"/>
    <col min="16145" max="16145" width="3.28515625" style="105" customWidth="1"/>
    <col min="16146" max="16384" width="8.42578125" style="105"/>
  </cols>
  <sheetData>
    <row r="1" spans="1:10" ht="27.75" customHeight="1" x14ac:dyDescent="0.25">
      <c r="A1" s="100"/>
      <c r="B1" s="100"/>
      <c r="C1" s="100"/>
      <c r="D1" s="100"/>
      <c r="E1" s="101" t="s">
        <v>120</v>
      </c>
      <c r="F1" s="102" t="s">
        <v>121</v>
      </c>
      <c r="G1" s="102" t="s">
        <v>122</v>
      </c>
      <c r="H1" s="102" t="s">
        <v>123</v>
      </c>
      <c r="I1" s="103"/>
    </row>
    <row r="2" spans="1:10" ht="30.75" customHeight="1" x14ac:dyDescent="0.25">
      <c r="A2" s="100"/>
      <c r="B2" s="100"/>
      <c r="C2" s="100"/>
      <c r="D2" s="100"/>
      <c r="E2" s="106">
        <f>IFERROR(O62,"")</f>
        <v>9416.94</v>
      </c>
      <c r="F2" s="106">
        <f>IFERROR(H53,"")</f>
        <v>7631.9400000000005</v>
      </c>
      <c r="G2" s="106">
        <f>IFERROR(H54,"")</f>
        <v>0</v>
      </c>
      <c r="H2" s="106">
        <f>IFERROR(H56,"")</f>
        <v>915</v>
      </c>
      <c r="I2" s="107"/>
    </row>
    <row r="3" spans="1:10" ht="15" customHeight="1" x14ac:dyDescent="0.25">
      <c r="A3" s="100"/>
      <c r="B3" s="100"/>
      <c r="C3" s="100"/>
      <c r="D3" s="100"/>
      <c r="E3" s="100"/>
      <c r="F3" s="108"/>
      <c r="G3" s="108"/>
      <c r="H3" s="108"/>
      <c r="I3" s="108"/>
    </row>
    <row r="4" spans="1:10" ht="24.75" customHeight="1" thickBot="1" x14ac:dyDescent="0.3">
      <c r="A4" s="522"/>
      <c r="B4" s="522"/>
      <c r="C4" s="522"/>
      <c r="D4" s="522"/>
      <c r="E4" s="522"/>
      <c r="F4" s="522"/>
      <c r="G4" s="522"/>
      <c r="H4" s="522"/>
      <c r="I4" s="109"/>
    </row>
    <row r="5" spans="1:10" ht="19.5" customHeight="1" thickBot="1" x14ac:dyDescent="0.3">
      <c r="A5" s="523" t="s">
        <v>124</v>
      </c>
      <c r="B5" s="524"/>
      <c r="C5" s="524"/>
      <c r="D5" s="524"/>
      <c r="E5" s="524"/>
      <c r="F5" s="524"/>
      <c r="G5" s="524"/>
      <c r="H5" s="525"/>
      <c r="I5" s="110"/>
    </row>
    <row r="6" spans="1:10" ht="19.5" thickBot="1" x14ac:dyDescent="0.3">
      <c r="A6" s="110"/>
      <c r="B6" s="110"/>
      <c r="C6" s="110"/>
      <c r="D6" s="110"/>
      <c r="E6" s="110"/>
      <c r="F6" s="526" t="s">
        <v>125</v>
      </c>
      <c r="G6" s="526"/>
      <c r="H6" s="111">
        <f ca="1">TODAY()</f>
        <v>45715</v>
      </c>
      <c r="I6" s="111"/>
    </row>
    <row r="7" spans="1:10" ht="26.25" thickBot="1" x14ac:dyDescent="0.3">
      <c r="A7" s="112" t="s">
        <v>126</v>
      </c>
      <c r="B7" s="113" t="s">
        <v>127</v>
      </c>
      <c r="C7" s="113" t="s">
        <v>126</v>
      </c>
      <c r="D7" s="114" t="s">
        <v>128</v>
      </c>
      <c r="E7" s="114" t="s">
        <v>129</v>
      </c>
      <c r="F7" s="114" t="s">
        <v>130</v>
      </c>
      <c r="G7" s="114" t="s">
        <v>131</v>
      </c>
      <c r="H7" s="115" t="s">
        <v>132</v>
      </c>
      <c r="I7" s="116"/>
    </row>
    <row r="8" spans="1:10" ht="13.5" x14ac:dyDescent="0.25">
      <c r="A8" s="117">
        <v>1634</v>
      </c>
      <c r="B8" s="105" t="str">
        <f>IFERROR(VLOOKUP(H8,'[1]Consolidado MP Planta'!$A$2:$M$823,3,0),"")</f>
        <v>LECHE EVAPORADA (UND: 1 L)</v>
      </c>
      <c r="C8" s="118">
        <f>+A8</f>
        <v>1634</v>
      </c>
      <c r="D8" s="119" t="str">
        <f>IFERROR(VLOOKUP(H8,'[1]Consolidado MP Planta'!$A$2:$M$823,13,0),"")</f>
        <v>Mililitros</v>
      </c>
      <c r="E8" s="119">
        <v>1.97</v>
      </c>
      <c r="F8" s="119">
        <f>IFERROR(C8*E8,"")</f>
        <v>3218.98</v>
      </c>
      <c r="G8" s="120">
        <f t="shared" ref="G8:G14" si="0">IFERROR(F8/$F$66,"")</f>
        <v>0.37001561500885538</v>
      </c>
      <c r="H8" s="121" t="s">
        <v>173</v>
      </c>
      <c r="I8" s="121"/>
      <c r="J8" s="122"/>
    </row>
    <row r="9" spans="1:10" ht="13.5" x14ac:dyDescent="0.25">
      <c r="A9" s="117">
        <v>1634</v>
      </c>
      <c r="B9" s="105" t="str">
        <f>IFERROR(VLOOKUP(H9,'[1]Consolidado MP Planta'!$A$2:$M$823,3,0),"")</f>
        <v>LECHE CONDENSADA (PAQ:11 K)</v>
      </c>
      <c r="C9" s="118">
        <f t="shared" ref="C9:C14" si="1">+A9</f>
        <v>1634</v>
      </c>
      <c r="D9" s="119" t="str">
        <f>IFERROR(VLOOKUP(H9,'[1]Consolidado MP Planta'!$A$2:$M$823,13,0),"")</f>
        <v>Gramos</v>
      </c>
      <c r="E9" s="119">
        <v>2.15</v>
      </c>
      <c r="F9" s="119">
        <f t="shared" ref="F9:F14" si="2">IFERROR(C9*E9,"")</f>
        <v>3513.1</v>
      </c>
      <c r="G9" s="120">
        <f t="shared" si="0"/>
        <v>0.40382414835991831</v>
      </c>
      <c r="H9" s="121" t="s">
        <v>174</v>
      </c>
      <c r="I9" s="121"/>
      <c r="J9" s="122"/>
    </row>
    <row r="10" spans="1:10" ht="13.5" x14ac:dyDescent="0.25">
      <c r="A10" s="117">
        <v>326</v>
      </c>
      <c r="B10" s="105" t="str">
        <f>IFERROR(VLOOKUP(H10,'[1]Consolidado MP Planta'!$A$2:$M$823,3,0),"")</f>
        <v>YEMA DE HUEVO (UND: 8.34 K)</v>
      </c>
      <c r="C10" s="118">
        <f t="shared" si="1"/>
        <v>326</v>
      </c>
      <c r="D10" s="119" t="s">
        <v>178</v>
      </c>
      <c r="E10" s="119">
        <v>2.29</v>
      </c>
      <c r="F10" s="119">
        <f t="shared" si="2"/>
        <v>746.54</v>
      </c>
      <c r="G10" s="120">
        <f t="shared" si="0"/>
        <v>8.5813349952068949E-2</v>
      </c>
      <c r="H10" s="121" t="s">
        <v>175</v>
      </c>
      <c r="I10" s="121"/>
      <c r="J10" s="122"/>
    </row>
    <row r="11" spans="1:10" ht="13.5" x14ac:dyDescent="0.25">
      <c r="A11" s="117">
        <v>40</v>
      </c>
      <c r="B11" s="105" t="s">
        <v>103</v>
      </c>
      <c r="C11" s="118">
        <f t="shared" si="1"/>
        <v>40</v>
      </c>
      <c r="D11" s="119" t="s">
        <v>178</v>
      </c>
      <c r="E11" s="119">
        <v>2.54</v>
      </c>
      <c r="F11" s="119">
        <f t="shared" si="2"/>
        <v>101.6</v>
      </c>
      <c r="G11" s="120">
        <f t="shared" si="0"/>
        <v>1.167872633098053E-2</v>
      </c>
      <c r="H11" s="121" t="s">
        <v>176</v>
      </c>
      <c r="I11" s="121"/>
      <c r="J11" s="122"/>
    </row>
    <row r="12" spans="1:10" ht="13.5" x14ac:dyDescent="0.25">
      <c r="A12" s="117">
        <v>6</v>
      </c>
      <c r="B12" s="105" t="str">
        <f>IFERROR(VLOOKUP(H12,'[1]Consolidado MP Planta'!$A$2:$M$823,3,0),"")</f>
        <v>PRESERVANTE 1017S (PAQ=5 KILO)</v>
      </c>
      <c r="C12" s="118">
        <f t="shared" si="1"/>
        <v>6</v>
      </c>
      <c r="D12" s="119" t="str">
        <f>IFERROR(VLOOKUP(H12,'[1]Consolidado MP Planta'!$A$2:$M$823,13,0),"")</f>
        <v>Gramos</v>
      </c>
      <c r="E12" s="119">
        <v>8.6199999999999992</v>
      </c>
      <c r="F12" s="119">
        <f t="shared" si="2"/>
        <v>51.72</v>
      </c>
      <c r="G12" s="120">
        <f t="shared" si="0"/>
        <v>5.9451154117944197E-3</v>
      </c>
      <c r="H12" s="121" t="s">
        <v>177</v>
      </c>
      <c r="I12" s="121"/>
      <c r="J12" s="122"/>
    </row>
    <row r="13" spans="1:10" ht="13.5" x14ac:dyDescent="0.25">
      <c r="A13" s="117"/>
      <c r="B13" s="105" t="str">
        <f>IFERROR(VLOOKUP(H13,'[1]Consolidado MP Planta'!$A$2:$M$823,3,0),"")</f>
        <v/>
      </c>
      <c r="C13" s="118">
        <f t="shared" si="1"/>
        <v>0</v>
      </c>
      <c r="D13" s="119" t="str">
        <f>IFERROR(VLOOKUP(H13,'[1]Consolidado MP Planta'!$A$2:$M$823,13,0),"")</f>
        <v/>
      </c>
      <c r="E13" s="119" t="str">
        <f>IFERROR(VLOOKUP(H13,'[1]Consolidado MP Planta'!$A$2:$M$823,12,0),"")</f>
        <v/>
      </c>
      <c r="F13" s="119" t="str">
        <f t="shared" si="2"/>
        <v/>
      </c>
      <c r="G13" s="120" t="str">
        <f t="shared" si="0"/>
        <v/>
      </c>
      <c r="H13" s="121"/>
      <c r="I13" s="121"/>
      <c r="J13" s="122"/>
    </row>
    <row r="14" spans="1:10" ht="13.5" x14ac:dyDescent="0.25">
      <c r="A14" s="117"/>
      <c r="B14" s="105" t="str">
        <f>IFERROR(VLOOKUP(H14,'[1]Consolidado MP Planta'!$A$2:$M$823,3,0),"")</f>
        <v/>
      </c>
      <c r="C14" s="118">
        <f t="shared" si="1"/>
        <v>0</v>
      </c>
      <c r="D14" s="119" t="str">
        <f>IFERROR(VLOOKUP(H14,'[1]Consolidado MP Planta'!$A$2:$M$823,13,0),"")</f>
        <v/>
      </c>
      <c r="E14" s="119" t="str">
        <f>IFERROR(VLOOKUP(H14,'[1]Consolidado MP Planta'!$A$2:$M$823,12,0),"")</f>
        <v/>
      </c>
      <c r="F14" s="119" t="str">
        <f t="shared" si="2"/>
        <v/>
      </c>
      <c r="G14" s="120" t="str">
        <f t="shared" si="0"/>
        <v/>
      </c>
      <c r="H14" s="121"/>
      <c r="I14" s="121"/>
      <c r="J14" s="122"/>
    </row>
    <row r="15" spans="1:10" ht="14.25" thickBot="1" x14ac:dyDescent="0.3">
      <c r="A15" s="117"/>
      <c r="B15" s="105" t="str">
        <f>IFERROR(VLOOKUP(H15,'[2]ARTICULOS MP PLANTA'!$A$2:$G$589,2,0),"")</f>
        <v/>
      </c>
      <c r="C15" s="118"/>
      <c r="D15" s="119"/>
      <c r="E15" s="119"/>
      <c r="F15" s="119"/>
      <c r="G15" s="120"/>
      <c r="H15" s="121"/>
      <c r="I15" s="121"/>
      <c r="J15" s="122"/>
    </row>
    <row r="16" spans="1:10" ht="26.25" hidden="1" thickBot="1" x14ac:dyDescent="0.3">
      <c r="A16" s="112" t="s">
        <v>126</v>
      </c>
      <c r="B16" s="113" t="s">
        <v>133</v>
      </c>
      <c r="C16" s="113" t="s">
        <v>126</v>
      </c>
      <c r="D16" s="114" t="s">
        <v>128</v>
      </c>
      <c r="E16" s="114" t="s">
        <v>129</v>
      </c>
      <c r="F16" s="114" t="s">
        <v>130</v>
      </c>
      <c r="G16" s="114" t="s">
        <v>131</v>
      </c>
      <c r="H16" s="115" t="s">
        <v>132</v>
      </c>
      <c r="I16" s="116"/>
      <c r="J16" s="122"/>
    </row>
    <row r="17" spans="1:12" ht="13.5" hidden="1" x14ac:dyDescent="0.25">
      <c r="A17" s="117"/>
      <c r="B17" s="105" t="str">
        <f>IFERROR(VLOOKUP(H17,[1]SEMIELABORADOS!$A$2:$M$6000,2,0),"")</f>
        <v/>
      </c>
      <c r="C17" s="118">
        <f>+A17</f>
        <v>0</v>
      </c>
      <c r="D17" s="118" t="str">
        <f>IFERROR(VLOOKUP(H17,[1]SEMIELABORADOS!$A$2:$M$6000,6,0),"")</f>
        <v/>
      </c>
      <c r="E17" s="119" t="str">
        <f>IFERROR(VLOOKUP(H17,[1]SEMIELABORADOS!$A$2:$H$65536,8,0),"")</f>
        <v/>
      </c>
      <c r="F17" s="119" t="str">
        <f>IFERROR(E17*C17,"")</f>
        <v/>
      </c>
      <c r="G17" s="120" t="str">
        <f t="shared" ref="G17:G24" si="3">IFERROR(F17/$F$66,"")</f>
        <v/>
      </c>
      <c r="H17" s="121"/>
      <c r="I17" s="121"/>
      <c r="J17" s="122"/>
    </row>
    <row r="18" spans="1:12" ht="13.5" hidden="1" x14ac:dyDescent="0.25">
      <c r="A18" s="117"/>
      <c r="B18" s="105" t="str">
        <f>IFERROR(VLOOKUP(H18,[1]SEMIELABORADOS!$A$2:$M$6000,2,0),"")</f>
        <v/>
      </c>
      <c r="C18" s="118">
        <f t="shared" ref="C18:C24" si="4">+A18</f>
        <v>0</v>
      </c>
      <c r="D18" s="118" t="str">
        <f>IFERROR(VLOOKUP(H18,[1]SEMIELABORADOS!$A$2:$M$6000,6,0),"")</f>
        <v/>
      </c>
      <c r="E18" s="119" t="str">
        <f>IFERROR(VLOOKUP(H18,[1]SEMIELABORADOS!$A$2:$H$65536,8,0),"")</f>
        <v/>
      </c>
      <c r="F18" s="119" t="str">
        <f t="shared" ref="F18:F24" si="5">IFERROR(E18*C18,"")</f>
        <v/>
      </c>
      <c r="G18" s="120" t="str">
        <f t="shared" si="3"/>
        <v/>
      </c>
      <c r="H18" s="121"/>
      <c r="I18" s="121"/>
      <c r="J18" s="122"/>
    </row>
    <row r="19" spans="1:12" ht="13.5" hidden="1" x14ac:dyDescent="0.25">
      <c r="A19" s="117"/>
      <c r="B19" s="105" t="str">
        <f>IFERROR(VLOOKUP(H19,[1]SEMIELABORADOS!$A$2:$M$6000,2,0),"")</f>
        <v/>
      </c>
      <c r="C19" s="118">
        <f>+A19</f>
        <v>0</v>
      </c>
      <c r="D19" s="118" t="str">
        <f>IFERROR(VLOOKUP(H19,[1]SEMIELABORADOS!$A$2:$M$6000,6,0),"")</f>
        <v/>
      </c>
      <c r="E19" s="119" t="str">
        <f>IFERROR(VLOOKUP(H19,[1]SEMIELABORADOS!$A$2:$H$65536,8,0),"")</f>
        <v/>
      </c>
      <c r="F19" s="119" t="str">
        <f>IFERROR(E19*C19,"")</f>
        <v/>
      </c>
      <c r="G19" s="120" t="str">
        <f t="shared" si="3"/>
        <v/>
      </c>
      <c r="H19" s="121"/>
      <c r="I19" s="121"/>
      <c r="J19" s="122"/>
    </row>
    <row r="20" spans="1:12" ht="13.5" hidden="1" x14ac:dyDescent="0.25">
      <c r="A20" s="117"/>
      <c r="B20" s="105" t="str">
        <f>IFERROR(VLOOKUP(H20,[1]SEMIELABORADOS!$A$2:$M$6000,2,0),"")</f>
        <v/>
      </c>
      <c r="C20" s="118">
        <f>+A20</f>
        <v>0</v>
      </c>
      <c r="D20" s="118" t="str">
        <f>IFERROR(VLOOKUP(H20,[1]SEMIELABORADOS!$A$2:$M$6000,6,0),"")</f>
        <v/>
      </c>
      <c r="E20" s="119" t="str">
        <f>IFERROR(VLOOKUP(H20,[1]SEMIELABORADOS!$A$2:$H$65536,8,0),"")</f>
        <v/>
      </c>
      <c r="F20" s="119" t="str">
        <f>IFERROR(E20*C20,"")</f>
        <v/>
      </c>
      <c r="G20" s="120" t="str">
        <f t="shared" si="3"/>
        <v/>
      </c>
      <c r="H20" s="121"/>
      <c r="I20" s="121"/>
      <c r="J20" s="122"/>
    </row>
    <row r="21" spans="1:12" ht="13.5" hidden="1" x14ac:dyDescent="0.25">
      <c r="A21" s="117"/>
      <c r="B21" s="105" t="str">
        <f>IFERROR(VLOOKUP(H21,[1]SEMIELABORADOS!$A$2:$M$6000,2,0),"")</f>
        <v/>
      </c>
      <c r="C21" s="118">
        <f>+A21</f>
        <v>0</v>
      </c>
      <c r="D21" s="118" t="str">
        <f>IFERROR(VLOOKUP(H21,[1]SEMIELABORADOS!$A$2:$M$6000,6,0),"")</f>
        <v/>
      </c>
      <c r="E21" s="119" t="str">
        <f>IFERROR(VLOOKUP(H21,[1]SEMIELABORADOS!$A$2:$H$65536,8,0),"")</f>
        <v/>
      </c>
      <c r="F21" s="119" t="str">
        <f>IFERROR(E21*C21,"")</f>
        <v/>
      </c>
      <c r="G21" s="120" t="str">
        <f t="shared" si="3"/>
        <v/>
      </c>
      <c r="H21" s="121"/>
      <c r="I21" s="121"/>
      <c r="J21" s="122"/>
    </row>
    <row r="22" spans="1:12" ht="13.5" hidden="1" x14ac:dyDescent="0.25">
      <c r="A22" s="117"/>
      <c r="B22" s="105" t="str">
        <f>IFERROR(VLOOKUP(H22,[1]SEMIELABORADOS!$A$2:$M$6000,2,0),"")</f>
        <v/>
      </c>
      <c r="C22" s="118">
        <f t="shared" si="4"/>
        <v>0</v>
      </c>
      <c r="D22" s="118" t="str">
        <f>IFERROR(VLOOKUP(H22,[1]SEMIELABORADOS!$A$2:$M$6000,6,0),"")</f>
        <v/>
      </c>
      <c r="E22" s="119" t="str">
        <f>IFERROR(VLOOKUP(H22,[1]SEMIELABORADOS!$A$2:$H$65536,8,0),"")</f>
        <v/>
      </c>
      <c r="F22" s="119" t="str">
        <f t="shared" si="5"/>
        <v/>
      </c>
      <c r="G22" s="120" t="str">
        <f t="shared" si="3"/>
        <v/>
      </c>
      <c r="H22" s="121"/>
      <c r="I22" s="121"/>
      <c r="J22" s="122"/>
    </row>
    <row r="23" spans="1:12" ht="13.5" hidden="1" x14ac:dyDescent="0.25">
      <c r="A23" s="117"/>
      <c r="B23" s="105" t="str">
        <f>IFERROR(VLOOKUP(H23,[1]SEMIELABORADOS!$A$2:$M$6000,2,0),"")</f>
        <v/>
      </c>
      <c r="C23" s="118">
        <f t="shared" si="4"/>
        <v>0</v>
      </c>
      <c r="D23" s="118" t="str">
        <f>IFERROR(VLOOKUP(H23,[1]SEMIELABORADOS!$A$2:$M$6000,6,0),"")</f>
        <v/>
      </c>
      <c r="E23" s="119" t="str">
        <f>IFERROR(VLOOKUP(H23,[1]SEMIELABORADOS!$A$2:$H$65536,8,0),"")</f>
        <v/>
      </c>
      <c r="F23" s="119" t="str">
        <f t="shared" si="5"/>
        <v/>
      </c>
      <c r="G23" s="120" t="str">
        <f t="shared" si="3"/>
        <v/>
      </c>
      <c r="H23" s="121"/>
      <c r="I23" s="121"/>
      <c r="J23" s="122"/>
    </row>
    <row r="24" spans="1:12" ht="13.5" hidden="1" x14ac:dyDescent="0.25">
      <c r="A24" s="117"/>
      <c r="B24" s="105" t="str">
        <f>IFERROR(VLOOKUP(H24,[1]SEMIELABORADOS!$A$2:$M$6000,2,0),"")</f>
        <v/>
      </c>
      <c r="C24" s="118">
        <f t="shared" si="4"/>
        <v>0</v>
      </c>
      <c r="D24" s="118" t="str">
        <f>IFERROR(VLOOKUP(H24,[1]SEMIELABORADOS!$A$2:$M$6000,6,0),"")</f>
        <v/>
      </c>
      <c r="E24" s="119" t="str">
        <f>IFERROR(VLOOKUP(H24,[1]SEMIELABORADOS!$A$2:$H$65536,8,0),"")</f>
        <v/>
      </c>
      <c r="F24" s="119" t="str">
        <f t="shared" si="5"/>
        <v/>
      </c>
      <c r="G24" s="120" t="str">
        <f t="shared" si="3"/>
        <v/>
      </c>
      <c r="H24" s="121"/>
      <c r="I24" s="121"/>
      <c r="J24" s="122"/>
    </row>
    <row r="25" spans="1:12" ht="14.25" hidden="1" thickBot="1" x14ac:dyDescent="0.3">
      <c r="A25" s="117"/>
      <c r="C25" s="118"/>
      <c r="D25" s="118"/>
      <c r="E25" s="119"/>
      <c r="F25" s="119"/>
      <c r="G25" s="120"/>
      <c r="H25" s="121"/>
      <c r="I25" s="121"/>
      <c r="J25" s="122"/>
    </row>
    <row r="26" spans="1:12" ht="26.25" hidden="1" thickBot="1" x14ac:dyDescent="0.3">
      <c r="A26" s="112" t="s">
        <v>126</v>
      </c>
      <c r="B26" s="113" t="s">
        <v>20</v>
      </c>
      <c r="C26" s="113" t="s">
        <v>126</v>
      </c>
      <c r="D26" s="114" t="s">
        <v>128</v>
      </c>
      <c r="E26" s="114" t="s">
        <v>129</v>
      </c>
      <c r="F26" s="114" t="s">
        <v>130</v>
      </c>
      <c r="G26" s="114" t="s">
        <v>131</v>
      </c>
      <c r="H26" s="115" t="s">
        <v>132</v>
      </c>
      <c r="I26" s="116"/>
    </row>
    <row r="27" spans="1:12" ht="13.5" hidden="1" x14ac:dyDescent="0.25">
      <c r="A27" s="117">
        <v>0</v>
      </c>
      <c r="B27" s="123" t="str">
        <f>IFERROR(VLOOKUP(H27,'[1]Consolidado MP Planta'!$A$2:$M$823,3,0),"")</f>
        <v/>
      </c>
      <c r="C27" s="118">
        <f t="shared" ref="C27:C32" si="6">+A27</f>
        <v>0</v>
      </c>
      <c r="D27" s="119" t="str">
        <f>IFERROR(VLOOKUP(H27,'[1]Consolidado MP Planta'!$A$2:$M$823,13,0),"")</f>
        <v/>
      </c>
      <c r="E27" s="119" t="str">
        <f>IFERROR(VLOOKUP(H27,'[1]Consolidado MP Planta'!$A$2:$M$823,12,0),"")</f>
        <v/>
      </c>
      <c r="F27" s="119" t="str">
        <f t="shared" ref="F27:F32" si="7">IFERROR(C27*E27,"")</f>
        <v/>
      </c>
      <c r="G27" s="120" t="str">
        <f t="shared" ref="G27:G32" si="8">IFERROR(F27/$F$66,"")</f>
        <v/>
      </c>
      <c r="H27" s="124"/>
      <c r="I27" s="124"/>
      <c r="J27" s="122"/>
      <c r="K27" s="516"/>
      <c r="L27" s="516"/>
    </row>
    <row r="28" spans="1:12" ht="13.5" hidden="1" x14ac:dyDescent="0.25">
      <c r="A28" s="117"/>
      <c r="B28" s="123" t="str">
        <f>IFERROR(VLOOKUP(H28,'[1]Consolidado MP Planta'!$A$2:$M$823,3,0),"")</f>
        <v/>
      </c>
      <c r="C28" s="118">
        <f t="shared" si="6"/>
        <v>0</v>
      </c>
      <c r="D28" s="119" t="str">
        <f>IFERROR(VLOOKUP(H28,'[1]Consolidado MP Planta'!$A$2:$M$823,13,0),"")</f>
        <v/>
      </c>
      <c r="E28" s="119" t="str">
        <f>IFERROR(VLOOKUP(H28,'[1]Consolidado MP Planta'!$A$2:$M$823,12,0),"")</f>
        <v/>
      </c>
      <c r="F28" s="119" t="str">
        <f t="shared" si="7"/>
        <v/>
      </c>
      <c r="G28" s="120" t="str">
        <f t="shared" si="8"/>
        <v/>
      </c>
      <c r="H28" s="124"/>
      <c r="I28" s="124"/>
      <c r="J28" s="122"/>
      <c r="K28" s="516"/>
      <c r="L28" s="516"/>
    </row>
    <row r="29" spans="1:12" ht="13.5" hidden="1" x14ac:dyDescent="0.25">
      <c r="A29" s="117"/>
      <c r="B29" s="123" t="str">
        <f>IFERROR(VLOOKUP(H29,'[1]Consolidado MP Planta'!$A$2:$M$823,3,0),"")</f>
        <v/>
      </c>
      <c r="C29" s="118">
        <f t="shared" si="6"/>
        <v>0</v>
      </c>
      <c r="D29" s="119" t="str">
        <f>IFERROR(VLOOKUP(H29,'[1]Consolidado MP Planta'!$A$2:$M$823,13,0),"")</f>
        <v/>
      </c>
      <c r="E29" s="119" t="str">
        <f>IFERROR(VLOOKUP(H29,'[1]Consolidado MP Planta'!$A$2:$M$823,12,0),"")</f>
        <v/>
      </c>
      <c r="F29" s="119" t="str">
        <f t="shared" si="7"/>
        <v/>
      </c>
      <c r="G29" s="120" t="str">
        <f t="shared" si="8"/>
        <v/>
      </c>
      <c r="H29" s="124"/>
      <c r="I29" s="124"/>
      <c r="J29" s="122"/>
      <c r="K29" s="516"/>
      <c r="L29" s="516"/>
    </row>
    <row r="30" spans="1:12" ht="13.5" hidden="1" x14ac:dyDescent="0.25">
      <c r="A30" s="117"/>
      <c r="B30" s="123" t="str">
        <f>IFERROR(VLOOKUP(H30,'[1]Consolidado MP Planta'!$A$2:$M$823,3,0),"")</f>
        <v/>
      </c>
      <c r="C30" s="118">
        <f t="shared" si="6"/>
        <v>0</v>
      </c>
      <c r="D30" s="119" t="str">
        <f>IFERROR(VLOOKUP(H30,'[1]Consolidado MP Planta'!$A$2:$M$823,13,0),"")</f>
        <v/>
      </c>
      <c r="E30" s="119" t="str">
        <f>IFERROR(VLOOKUP(H30,'[1]Consolidado MP Planta'!$A$2:$M$823,12,0),"")</f>
        <v/>
      </c>
      <c r="F30" s="119" t="str">
        <f t="shared" si="7"/>
        <v/>
      </c>
      <c r="G30" s="120" t="str">
        <f t="shared" si="8"/>
        <v/>
      </c>
      <c r="H30" s="124"/>
      <c r="I30" s="124"/>
      <c r="J30" s="122"/>
      <c r="K30" s="516"/>
      <c r="L30" s="516"/>
    </row>
    <row r="31" spans="1:12" ht="13.5" hidden="1" x14ac:dyDescent="0.25">
      <c r="A31" s="117"/>
      <c r="B31" s="123" t="str">
        <f>IFERROR(VLOOKUP(H31,'[1]Consolidado MP Planta'!$A$2:$M$823,3,0),"")</f>
        <v/>
      </c>
      <c r="C31" s="118">
        <f t="shared" si="6"/>
        <v>0</v>
      </c>
      <c r="D31" s="119" t="str">
        <f>IFERROR(VLOOKUP(H31,'[1]Consolidado MP Planta'!$A$2:$M$823,13,0),"")</f>
        <v/>
      </c>
      <c r="E31" s="119" t="str">
        <f>IFERROR(VLOOKUP(H31,'[1]Consolidado MP Planta'!$A$2:$M$823,12,0),"")</f>
        <v/>
      </c>
      <c r="F31" s="119" t="str">
        <f t="shared" si="7"/>
        <v/>
      </c>
      <c r="G31" s="120" t="str">
        <f t="shared" si="8"/>
        <v/>
      </c>
      <c r="H31" s="124"/>
      <c r="I31" s="124"/>
      <c r="J31" s="122"/>
      <c r="K31" s="125"/>
      <c r="L31" s="126"/>
    </row>
    <row r="32" spans="1:12" ht="13.5" hidden="1" x14ac:dyDescent="0.25">
      <c r="A32" s="117"/>
      <c r="B32" s="123" t="str">
        <f>IFERROR(VLOOKUP(H32,'[1]Consolidado MP Planta'!$A$2:$M$823,3,0),"")</f>
        <v/>
      </c>
      <c r="C32" s="118">
        <f t="shared" si="6"/>
        <v>0</v>
      </c>
      <c r="D32" s="119" t="str">
        <f>IFERROR(VLOOKUP(H32,'[1]Consolidado MP Planta'!$A$2:$M$823,13,0),"")</f>
        <v/>
      </c>
      <c r="E32" s="119" t="str">
        <f>IFERROR(VLOOKUP(H32,'[1]Consolidado MP Planta'!$A$2:$M$823,12,0),"")</f>
        <v/>
      </c>
      <c r="F32" s="119" t="str">
        <f t="shared" si="7"/>
        <v/>
      </c>
      <c r="G32" s="120" t="str">
        <f t="shared" si="8"/>
        <v/>
      </c>
      <c r="H32" s="124"/>
      <c r="I32" s="124"/>
      <c r="J32" s="122"/>
    </row>
    <row r="33" spans="1:13" ht="14.25" hidden="1" thickBot="1" x14ac:dyDescent="0.3">
      <c r="A33" s="117"/>
      <c r="B33" s="123"/>
      <c r="C33" s="118"/>
      <c r="D33" s="119"/>
      <c r="E33" s="119"/>
      <c r="F33" s="119"/>
      <c r="G33" s="120"/>
      <c r="H33" s="124"/>
      <c r="I33" s="124"/>
      <c r="J33" s="122"/>
    </row>
    <row r="34" spans="1:13" ht="26.25" hidden="1" thickBot="1" x14ac:dyDescent="0.25">
      <c r="A34" s="112" t="s">
        <v>126</v>
      </c>
      <c r="B34" s="113" t="s">
        <v>134</v>
      </c>
      <c r="C34" s="113" t="s">
        <v>126</v>
      </c>
      <c r="D34" s="114" t="s">
        <v>128</v>
      </c>
      <c r="E34" s="114" t="s">
        <v>129</v>
      </c>
      <c r="F34" s="114" t="s">
        <v>130</v>
      </c>
      <c r="G34" s="114" t="s">
        <v>131</v>
      </c>
      <c r="H34" s="115" t="s">
        <v>132</v>
      </c>
      <c r="I34" s="124"/>
      <c r="J34" s="122"/>
    </row>
    <row r="35" spans="1:13" ht="13.5" hidden="1" x14ac:dyDescent="0.25">
      <c r="A35" s="117">
        <f>+A17</f>
        <v>0</v>
      </c>
      <c r="B35" s="123" t="str">
        <f>IFERROR(VLOOKUP(H35,[1]SEMIELABORADOS!$A$2:$M$6000,2,0),"")</f>
        <v/>
      </c>
      <c r="C35" s="118">
        <f>+A35</f>
        <v>0</v>
      </c>
      <c r="D35" s="119" t="str">
        <f>IFERROR(VLOOKUP(H35,[1]SEMIELABORADOS!$A$2:$M$6000,6,0),"")</f>
        <v/>
      </c>
      <c r="E35" s="119" t="str">
        <f>IFERROR(VLOOKUP(H35,[1]SEMIELABORADOS!$A$2:$M$65536,10,0),"")</f>
        <v/>
      </c>
      <c r="F35" s="119" t="str">
        <f>IFERROR(E35*C35,"")</f>
        <v/>
      </c>
      <c r="G35" s="120" t="str">
        <f t="shared" ref="G35:G41" si="9">IFERROR(F35/$F$66,"")</f>
        <v/>
      </c>
      <c r="H35" s="124"/>
      <c r="I35" s="124"/>
      <c r="J35" s="122"/>
    </row>
    <row r="36" spans="1:13" ht="13.5" hidden="1" x14ac:dyDescent="0.25">
      <c r="A36" s="117">
        <f t="shared" ref="A36:A41" si="10">+A18</f>
        <v>0</v>
      </c>
      <c r="B36" s="123" t="str">
        <f>IFERROR(VLOOKUP(H36,[1]SEMIELABORADOS!$A$2:$M$6000,2,0),"")</f>
        <v/>
      </c>
      <c r="C36" s="118">
        <f t="shared" ref="C36:C41" si="11">+A36</f>
        <v>0</v>
      </c>
      <c r="D36" s="119" t="str">
        <f>IFERROR(VLOOKUP(H36,[1]SEMIELABORADOS!$A$2:$M$6000,6,0),"")</f>
        <v/>
      </c>
      <c r="E36" s="119" t="str">
        <f>IFERROR(VLOOKUP(H36,[1]SEMIELABORADOS!$A$2:$M$65536,10,0),"")</f>
        <v/>
      </c>
      <c r="F36" s="119" t="str">
        <f t="shared" ref="F36:F41" si="12">IFERROR(E36*C36,"")</f>
        <v/>
      </c>
      <c r="G36" s="120" t="str">
        <f t="shared" si="9"/>
        <v/>
      </c>
      <c r="H36" s="124"/>
      <c r="I36" s="124"/>
      <c r="J36" s="122"/>
    </row>
    <row r="37" spans="1:13" ht="13.5" hidden="1" x14ac:dyDescent="0.25">
      <c r="A37" s="117">
        <f t="shared" si="10"/>
        <v>0</v>
      </c>
      <c r="B37" s="123" t="str">
        <f>IFERROR(VLOOKUP(H37,[1]SEMIELABORADOS!$A$2:$M$6000,2,0),"")</f>
        <v/>
      </c>
      <c r="C37" s="118">
        <f t="shared" si="11"/>
        <v>0</v>
      </c>
      <c r="D37" s="119" t="str">
        <f>IFERROR(VLOOKUP(H37,[1]SEMIELABORADOS!$A$2:$M$6000,6,0),"")</f>
        <v/>
      </c>
      <c r="E37" s="119" t="str">
        <f>IFERROR(VLOOKUP(H37,[1]SEMIELABORADOS!$A$2:$M$65536,10,0),"")</f>
        <v/>
      </c>
      <c r="F37" s="119" t="str">
        <f t="shared" si="12"/>
        <v/>
      </c>
      <c r="G37" s="120" t="str">
        <f t="shared" si="9"/>
        <v/>
      </c>
      <c r="H37" s="124"/>
      <c r="I37" s="124"/>
      <c r="J37" s="122"/>
    </row>
    <row r="38" spans="1:13" ht="13.5" hidden="1" x14ac:dyDescent="0.25">
      <c r="A38" s="117">
        <f t="shared" si="10"/>
        <v>0</v>
      </c>
      <c r="B38" s="123" t="str">
        <f>IFERROR(VLOOKUP(H38,[1]SEMIELABORADOS!$A$2:$M$6000,2,0),"")</f>
        <v/>
      </c>
      <c r="C38" s="118">
        <f>+A38</f>
        <v>0</v>
      </c>
      <c r="D38" s="119" t="str">
        <f>IFERROR(VLOOKUP(H38,[1]SEMIELABORADOS!$A$2:$M$6000,6,0),"")</f>
        <v/>
      </c>
      <c r="E38" s="119" t="str">
        <f>IFERROR(VLOOKUP(H38,[1]SEMIELABORADOS!$A$2:$M$65536,10,0),"")</f>
        <v/>
      </c>
      <c r="F38" s="119" t="str">
        <f>IFERROR(E38*C38,"")</f>
        <v/>
      </c>
      <c r="G38" s="120" t="str">
        <f t="shared" si="9"/>
        <v/>
      </c>
      <c r="H38" s="124"/>
      <c r="I38" s="124"/>
      <c r="J38" s="122"/>
    </row>
    <row r="39" spans="1:13" ht="13.5" hidden="1" x14ac:dyDescent="0.25">
      <c r="A39" s="117">
        <f t="shared" si="10"/>
        <v>0</v>
      </c>
      <c r="B39" s="123" t="str">
        <f>IFERROR(VLOOKUP(H39,[1]SEMIELABORADOS!$A$2:$M$6000,2,0),"")</f>
        <v/>
      </c>
      <c r="C39" s="118">
        <f>+A39</f>
        <v>0</v>
      </c>
      <c r="D39" s="119" t="str">
        <f>IFERROR(VLOOKUP(H39,[1]SEMIELABORADOS!$A$2:$M$6000,6,0),"")</f>
        <v/>
      </c>
      <c r="E39" s="119" t="str">
        <f>IFERROR(VLOOKUP(H39,[1]SEMIELABORADOS!$A$2:$M$65536,10,0),"")</f>
        <v/>
      </c>
      <c r="F39" s="119" t="str">
        <f>IFERROR(E39*C39,"")</f>
        <v/>
      </c>
      <c r="G39" s="120" t="str">
        <f t="shared" si="9"/>
        <v/>
      </c>
      <c r="H39" s="124"/>
      <c r="I39" s="124"/>
      <c r="J39" s="122"/>
    </row>
    <row r="40" spans="1:13" ht="13.5" hidden="1" x14ac:dyDescent="0.25">
      <c r="A40" s="117">
        <f t="shared" si="10"/>
        <v>0</v>
      </c>
      <c r="B40" s="123" t="str">
        <f>IFERROR(VLOOKUP(H40,[1]SEMIELABORADOS!$A$2:$M$6000,2,0),"")</f>
        <v/>
      </c>
      <c r="C40" s="118">
        <f t="shared" si="11"/>
        <v>0</v>
      </c>
      <c r="D40" s="119" t="str">
        <f>IFERROR(VLOOKUP(H40,[1]SEMIELABORADOS!$A$2:$M$6000,6,0),"")</f>
        <v/>
      </c>
      <c r="E40" s="119" t="str">
        <f>IFERROR(VLOOKUP(H40,[1]SEMIELABORADOS!$A$2:$M$65536,10,0),"")</f>
        <v/>
      </c>
      <c r="F40" s="119" t="str">
        <f t="shared" si="12"/>
        <v/>
      </c>
      <c r="G40" s="120" t="str">
        <f t="shared" si="9"/>
        <v/>
      </c>
      <c r="H40" s="124"/>
      <c r="I40" s="124"/>
      <c r="J40" s="122"/>
    </row>
    <row r="41" spans="1:13" ht="13.5" hidden="1" x14ac:dyDescent="0.25">
      <c r="A41" s="117">
        <f t="shared" si="10"/>
        <v>0</v>
      </c>
      <c r="B41" s="123" t="str">
        <f>IFERROR(VLOOKUP(H41,[1]SEMIELABORADOS!$A$2:$M$6000,2,0),"")</f>
        <v/>
      </c>
      <c r="C41" s="118">
        <f t="shared" si="11"/>
        <v>0</v>
      </c>
      <c r="D41" s="119" t="str">
        <f>IFERROR(VLOOKUP(H41,[1]SEMIELABORADOS!$A$2:$M$6000,6,0),"")</f>
        <v/>
      </c>
      <c r="E41" s="119" t="str">
        <f>IFERROR(VLOOKUP(H41,[1]SEMIELABORADOS!$A$2:$M$65536,10,0),"")</f>
        <v/>
      </c>
      <c r="F41" s="119" t="str">
        <f t="shared" si="12"/>
        <v/>
      </c>
      <c r="G41" s="120" t="str">
        <f t="shared" si="9"/>
        <v/>
      </c>
      <c r="H41" s="124"/>
      <c r="I41" s="124"/>
      <c r="J41" s="122"/>
    </row>
    <row r="42" spans="1:13" ht="14.25" hidden="1" thickBot="1" x14ac:dyDescent="0.3">
      <c r="A42" s="117"/>
      <c r="B42" s="123"/>
      <c r="C42" s="118"/>
      <c r="D42" s="119"/>
      <c r="E42" s="119"/>
      <c r="F42" s="119"/>
      <c r="G42" s="120"/>
      <c r="H42" s="124"/>
      <c r="I42" s="124"/>
      <c r="J42" s="122"/>
    </row>
    <row r="43" spans="1:13" ht="26.25" thickBot="1" x14ac:dyDescent="0.3">
      <c r="A43" s="112" t="s">
        <v>126</v>
      </c>
      <c r="B43" s="113" t="s">
        <v>135</v>
      </c>
      <c r="C43" s="113" t="s">
        <v>126</v>
      </c>
      <c r="D43" s="114" t="s">
        <v>128</v>
      </c>
      <c r="E43" s="114" t="s">
        <v>129</v>
      </c>
      <c r="F43" s="114" t="s">
        <v>130</v>
      </c>
      <c r="G43" s="114" t="s">
        <v>131</v>
      </c>
      <c r="H43" s="115" t="s">
        <v>132</v>
      </c>
      <c r="I43" s="116"/>
      <c r="J43" s="122"/>
    </row>
    <row r="44" spans="1:13" ht="13.5" hidden="1" x14ac:dyDescent="0.25">
      <c r="A44" s="117">
        <f>+A35</f>
        <v>0</v>
      </c>
      <c r="B44" s="123" t="str">
        <f>IFERROR(VLOOKUP(H44,[1]SEMIELABORADOS!$A$2:$M$6000,2,0),"")</f>
        <v/>
      </c>
      <c r="C44" s="118">
        <f>+A44</f>
        <v>0</v>
      </c>
      <c r="D44" s="119" t="str">
        <f>IFERROR(VLOOKUP(H44,[1]SEMIELABORADOS!$A$2:$M$6000,6,0),"")</f>
        <v/>
      </c>
      <c r="E44" s="119" t="str">
        <f>IFERROR(VLOOKUP(H44,[1]SEMIELABORADOS!$A$2:$M$65536,12,0),"")</f>
        <v/>
      </c>
      <c r="F44" s="119" t="str">
        <f>IFERROR(E44*C44,"")</f>
        <v/>
      </c>
      <c r="G44" s="120" t="str">
        <f>IFERROR(F44/$F$66,"")</f>
        <v/>
      </c>
      <c r="H44" s="124"/>
      <c r="I44" s="116"/>
      <c r="J44" s="122"/>
    </row>
    <row r="45" spans="1:13" ht="13.5" hidden="1" x14ac:dyDescent="0.25">
      <c r="A45" s="117">
        <f t="shared" ref="A45:A50" si="13">+A36</f>
        <v>0</v>
      </c>
      <c r="B45" s="123" t="str">
        <f>IFERROR(VLOOKUP(H45,[1]SEMIELABORADOS!$A$2:$M$6000,2,0),"")</f>
        <v/>
      </c>
      <c r="C45" s="118">
        <f t="shared" ref="C45:C50" si="14">+A45</f>
        <v>0</v>
      </c>
      <c r="D45" s="119" t="str">
        <f>IFERROR(VLOOKUP(H45,[1]SEMIELABORADOS!$A$2:$M$6000,6,0),"")</f>
        <v/>
      </c>
      <c r="E45" s="119" t="str">
        <f>IFERROR(VLOOKUP(H45,[1]SEMIELABORADOS!$A$2:$M$65536,12,0),"")</f>
        <v/>
      </c>
      <c r="F45" s="119" t="str">
        <f t="shared" ref="F45:F50" si="15">IFERROR(E45*C45,"")</f>
        <v/>
      </c>
      <c r="G45" s="120" t="str">
        <f t="shared" ref="G45:G50" si="16">IFERROR(F45/$F$66,"")</f>
        <v/>
      </c>
      <c r="H45" s="124"/>
      <c r="I45" s="116"/>
      <c r="J45" s="122"/>
      <c r="M45" s="127"/>
    </row>
    <row r="46" spans="1:13" ht="13.5" hidden="1" x14ac:dyDescent="0.25">
      <c r="A46" s="117">
        <f t="shared" si="13"/>
        <v>0</v>
      </c>
      <c r="B46" s="123" t="str">
        <f>IFERROR(VLOOKUP(H46,[1]SEMIELABORADOS!$A$2:$M$6000,2,0),"")</f>
        <v/>
      </c>
      <c r="C46" s="118">
        <f t="shared" si="14"/>
        <v>0</v>
      </c>
      <c r="D46" s="119" t="str">
        <f>IFERROR(VLOOKUP(H46,[1]SEMIELABORADOS!$A$2:$M$6000,6,0),"")</f>
        <v/>
      </c>
      <c r="E46" s="119" t="str">
        <f>IFERROR(VLOOKUP(H46,[1]SEMIELABORADOS!$A$2:$M$65536,12,0),"")</f>
        <v/>
      </c>
      <c r="F46" s="119" t="str">
        <f t="shared" si="15"/>
        <v/>
      </c>
      <c r="G46" s="120" t="str">
        <f t="shared" si="16"/>
        <v/>
      </c>
      <c r="H46" s="124"/>
      <c r="I46" s="116"/>
      <c r="J46" s="122"/>
    </row>
    <row r="47" spans="1:13" ht="13.5" hidden="1" x14ac:dyDescent="0.25">
      <c r="A47" s="117">
        <f t="shared" si="13"/>
        <v>0</v>
      </c>
      <c r="B47" s="123" t="str">
        <f>IFERROR(VLOOKUP(H47,[1]SEMIELABORADOS!$A$2:$M$6000,2,0),"")</f>
        <v/>
      </c>
      <c r="C47" s="118">
        <f t="shared" si="14"/>
        <v>0</v>
      </c>
      <c r="D47" s="119" t="str">
        <f>IFERROR(VLOOKUP(H47,[1]SEMIELABORADOS!$A$2:$M$6000,6,0),"")</f>
        <v/>
      </c>
      <c r="E47" s="119" t="str">
        <f>IFERROR(VLOOKUP(H47,[1]SEMIELABORADOS!$A$2:$M$65536,12,0),"")</f>
        <v/>
      </c>
      <c r="F47" s="119" t="str">
        <f t="shared" si="15"/>
        <v/>
      </c>
      <c r="G47" s="120" t="str">
        <f t="shared" si="16"/>
        <v/>
      </c>
      <c r="H47" s="124"/>
      <c r="I47" s="116"/>
      <c r="J47" s="122"/>
    </row>
    <row r="48" spans="1:13" ht="13.5" hidden="1" x14ac:dyDescent="0.25">
      <c r="A48" s="117">
        <f t="shared" si="13"/>
        <v>0</v>
      </c>
      <c r="B48" s="123" t="str">
        <f>IFERROR(VLOOKUP(H48,[1]SEMIELABORADOS!$A$2:$M$6000,2,0),"")</f>
        <v/>
      </c>
      <c r="C48" s="118">
        <f t="shared" si="14"/>
        <v>0</v>
      </c>
      <c r="D48" s="119" t="str">
        <f>IFERROR(VLOOKUP(H48,[1]SEMIELABORADOS!$A$2:$M$6000,6,0),"")</f>
        <v/>
      </c>
      <c r="E48" s="119" t="str">
        <f>IFERROR(VLOOKUP(H48,[1]SEMIELABORADOS!$A$2:$M$65536,12,0),"")</f>
        <v/>
      </c>
      <c r="F48" s="119" t="str">
        <f t="shared" si="15"/>
        <v/>
      </c>
      <c r="G48" s="120" t="str">
        <f t="shared" si="16"/>
        <v/>
      </c>
      <c r="H48" s="124"/>
      <c r="I48" s="116"/>
      <c r="J48" s="122"/>
    </row>
    <row r="49" spans="1:17" ht="13.5" hidden="1" x14ac:dyDescent="0.25">
      <c r="A49" s="117">
        <f t="shared" si="13"/>
        <v>0</v>
      </c>
      <c r="B49" s="123" t="str">
        <f>IFERROR(VLOOKUP(H49,[1]SEMIELABORADOS!$A$2:$M$6000,2,0),"")</f>
        <v/>
      </c>
      <c r="C49" s="118">
        <f t="shared" si="14"/>
        <v>0</v>
      </c>
      <c r="D49" s="119" t="str">
        <f>IFERROR(VLOOKUP(H49,[1]SEMIELABORADOS!$A$2:$M$6000,6,0),"")</f>
        <v/>
      </c>
      <c r="E49" s="119" t="str">
        <f>IFERROR(VLOOKUP(H49,[1]SEMIELABORADOS!$A$2:$M$65536,12,0),"")</f>
        <v/>
      </c>
      <c r="F49" s="119" t="str">
        <f t="shared" si="15"/>
        <v/>
      </c>
      <c r="G49" s="120" t="str">
        <f t="shared" si="16"/>
        <v/>
      </c>
      <c r="H49" s="124"/>
      <c r="I49" s="116"/>
      <c r="J49" s="122"/>
    </row>
    <row r="50" spans="1:17" ht="13.5" hidden="1" x14ac:dyDescent="0.25">
      <c r="A50" s="117">
        <f t="shared" si="13"/>
        <v>0</v>
      </c>
      <c r="B50" s="123" t="str">
        <f>IFERROR(VLOOKUP(H50,[1]SEMIELABORADOS!$A$2:$M$6000,2,0),"")</f>
        <v/>
      </c>
      <c r="C50" s="118">
        <f t="shared" si="14"/>
        <v>0</v>
      </c>
      <c r="D50" s="119" t="str">
        <f>IFERROR(VLOOKUP(H50,[1]SEMIELABORADOS!$A$2:$M$6000,6,0),"")</f>
        <v/>
      </c>
      <c r="E50" s="119" t="str">
        <f>IFERROR(VLOOKUP(H50,[1]SEMIELABORADOS!$A$2:$M$65536,12,0),"")</f>
        <v/>
      </c>
      <c r="F50" s="119" t="str">
        <f t="shared" si="15"/>
        <v/>
      </c>
      <c r="G50" s="120" t="str">
        <f t="shared" si="16"/>
        <v/>
      </c>
      <c r="H50" s="123"/>
      <c r="I50" s="116"/>
      <c r="J50" s="122"/>
    </row>
    <row r="51" spans="1:17" ht="13.5" x14ac:dyDescent="0.25">
      <c r="A51" s="117">
        <v>1</v>
      </c>
      <c r="B51" s="123" t="s">
        <v>136</v>
      </c>
      <c r="C51" s="118">
        <f>+A51</f>
        <v>1</v>
      </c>
      <c r="D51" s="118" t="s">
        <v>137</v>
      </c>
      <c r="E51" s="119">
        <f>+F65</f>
        <v>915</v>
      </c>
      <c r="F51" s="119">
        <f>IFERROR(C51*E51,"")</f>
        <v>915</v>
      </c>
      <c r="G51" s="120">
        <f>IFERROR(F51/$F$66,"")</f>
        <v>0.1051775058351101</v>
      </c>
      <c r="H51" s="128"/>
      <c r="I51" s="128"/>
      <c r="J51" s="122"/>
    </row>
    <row r="52" spans="1:17" ht="14.25" thickBot="1" x14ac:dyDescent="0.3">
      <c r="A52" s="117"/>
      <c r="B52" s="123"/>
      <c r="C52" s="118"/>
      <c r="D52" s="118"/>
      <c r="E52" s="119"/>
      <c r="F52" s="119"/>
      <c r="G52" s="120"/>
      <c r="H52" s="128"/>
      <c r="I52" s="128"/>
      <c r="J52" s="122"/>
    </row>
    <row r="53" spans="1:17" ht="13.5" thickBot="1" x14ac:dyDescent="0.3">
      <c r="A53" s="129"/>
      <c r="B53" s="517" t="s">
        <v>138</v>
      </c>
      <c r="C53" s="517"/>
      <c r="D53" s="517"/>
      <c r="E53" s="517"/>
      <c r="F53" s="131">
        <f>SUM(F8:F14,F17:F24)</f>
        <v>7631.9400000000005</v>
      </c>
      <c r="G53" s="120">
        <f>+F53/$F$66</f>
        <v>0.87727695506361769</v>
      </c>
      <c r="H53" s="132">
        <f>+F53/$D$60</f>
        <v>7631.9400000000005</v>
      </c>
      <c r="I53" s="132"/>
      <c r="J53" s="133"/>
      <c r="K53" s="134"/>
      <c r="L53" s="134"/>
      <c r="M53" s="134"/>
      <c r="N53" s="134"/>
      <c r="O53" s="134"/>
      <c r="P53" s="134"/>
      <c r="Q53" s="135"/>
    </row>
    <row r="54" spans="1:17" x14ac:dyDescent="0.2">
      <c r="A54" s="129"/>
      <c r="B54" s="517" t="s">
        <v>139</v>
      </c>
      <c r="C54" s="517"/>
      <c r="D54" s="517"/>
      <c r="E54" s="517"/>
      <c r="F54" s="131">
        <f>SUM(F27:F32,F35:F41)</f>
        <v>0</v>
      </c>
      <c r="G54" s="120">
        <f>+F54/$F$66</f>
        <v>0</v>
      </c>
      <c r="H54" s="132">
        <f>+F54/$D$60</f>
        <v>0</v>
      </c>
      <c r="I54" s="132"/>
      <c r="J54" s="136"/>
      <c r="K54" s="518" t="s">
        <v>140</v>
      </c>
      <c r="L54" s="519"/>
      <c r="M54" s="519"/>
      <c r="N54" s="519"/>
      <c r="O54" s="137">
        <f>+F55</f>
        <v>7631.9400000000005</v>
      </c>
      <c r="P54" s="137"/>
      <c r="Q54" s="138"/>
    </row>
    <row r="55" spans="1:17" x14ac:dyDescent="0.2">
      <c r="A55" s="129"/>
      <c r="B55" s="517" t="s">
        <v>141</v>
      </c>
      <c r="C55" s="517"/>
      <c r="D55" s="517"/>
      <c r="E55" s="517"/>
      <c r="F55" s="131">
        <f>+F53+F54</f>
        <v>7631.9400000000005</v>
      </c>
      <c r="G55" s="120">
        <f>+F55/$F$66</f>
        <v>0.87727695506361769</v>
      </c>
      <c r="H55" s="132">
        <f>+F55/$D$60</f>
        <v>7631.9400000000005</v>
      </c>
      <c r="I55" s="132"/>
      <c r="J55" s="139"/>
      <c r="K55" s="140"/>
      <c r="M55" s="141" t="s">
        <v>142</v>
      </c>
      <c r="N55" s="142"/>
      <c r="O55" s="137">
        <f>+H56</f>
        <v>915</v>
      </c>
      <c r="P55" s="137"/>
      <c r="Q55" s="138"/>
    </row>
    <row r="56" spans="1:17" ht="13.5" thickBot="1" x14ac:dyDescent="0.25">
      <c r="A56" s="129"/>
      <c r="B56" s="130"/>
      <c r="C56" s="517" t="s">
        <v>143</v>
      </c>
      <c r="D56" s="517"/>
      <c r="E56" s="517"/>
      <c r="F56" s="131">
        <f>SUM(F44:F51)</f>
        <v>915</v>
      </c>
      <c r="G56" s="120">
        <f>+F56/$F$66</f>
        <v>0.1051775058351101</v>
      </c>
      <c r="H56" s="132">
        <f>+F56/$D$60</f>
        <v>915</v>
      </c>
      <c r="I56" s="132"/>
      <c r="J56" s="139"/>
      <c r="K56" s="140"/>
      <c r="L56" s="140"/>
      <c r="M56" s="140" t="s">
        <v>144</v>
      </c>
      <c r="N56" s="143"/>
      <c r="O56" s="137">
        <f>O54*N56</f>
        <v>0</v>
      </c>
      <c r="P56" s="137"/>
      <c r="Q56" s="138"/>
    </row>
    <row r="57" spans="1:17" ht="13.5" thickBot="1" x14ac:dyDescent="0.25">
      <c r="A57" s="129"/>
      <c r="B57" s="144"/>
      <c r="C57" s="144"/>
      <c r="D57" s="144"/>
      <c r="E57" s="144"/>
      <c r="F57" s="145"/>
      <c r="G57" s="120"/>
      <c r="H57" s="146"/>
      <c r="I57" s="132"/>
      <c r="J57" s="139"/>
      <c r="K57" s="147"/>
      <c r="M57" s="148" t="s">
        <v>145</v>
      </c>
      <c r="N57" s="149"/>
      <c r="O57" s="150">
        <f>SUM(O54:O56)</f>
        <v>8546.94</v>
      </c>
      <c r="P57" s="151"/>
      <c r="Q57" s="138"/>
    </row>
    <row r="58" spans="1:17" x14ac:dyDescent="0.2">
      <c r="B58" s="520" t="s">
        <v>146</v>
      </c>
      <c r="C58" s="520"/>
      <c r="D58" s="152">
        <v>3450</v>
      </c>
      <c r="E58" s="153"/>
      <c r="G58" s="120"/>
      <c r="H58" s="146">
        <f>+H56/61</f>
        <v>15</v>
      </c>
      <c r="I58" s="154"/>
      <c r="J58" s="139"/>
      <c r="K58" s="147"/>
      <c r="L58" s="140"/>
      <c r="M58" s="140" t="s">
        <v>147</v>
      </c>
      <c r="N58" s="155"/>
      <c r="O58" s="137">
        <f>+H59</f>
        <v>870</v>
      </c>
      <c r="P58" s="137"/>
      <c r="Q58" s="138"/>
    </row>
    <row r="59" spans="1:17" x14ac:dyDescent="0.2">
      <c r="B59" s="520" t="s">
        <v>148</v>
      </c>
      <c r="C59" s="520"/>
      <c r="D59" s="156">
        <v>3450</v>
      </c>
      <c r="E59" s="153"/>
      <c r="G59" s="120"/>
      <c r="H59" s="146">
        <f>+H58*58</f>
        <v>870</v>
      </c>
      <c r="I59" s="154"/>
      <c r="J59" s="139"/>
      <c r="K59" s="147"/>
      <c r="L59" s="140"/>
      <c r="M59" s="521" t="s">
        <v>145</v>
      </c>
      <c r="N59" s="521"/>
      <c r="O59" s="137">
        <f>SUM(O57:O58)</f>
        <v>9416.94</v>
      </c>
      <c r="P59" s="137"/>
      <c r="Q59" s="138"/>
    </row>
    <row r="60" spans="1:17" ht="13.5" thickBot="1" x14ac:dyDescent="0.25">
      <c r="B60" s="512" t="s">
        <v>149</v>
      </c>
      <c r="C60" s="512"/>
      <c r="D60" s="152">
        <f>+D58/D59</f>
        <v>1</v>
      </c>
      <c r="E60" s="153"/>
      <c r="F60" s="157"/>
      <c r="G60" s="120"/>
      <c r="H60" s="146"/>
      <c r="I60" s="154"/>
      <c r="J60" s="139"/>
      <c r="K60" s="147"/>
      <c r="L60" s="521"/>
      <c r="M60" s="521"/>
      <c r="N60" s="155"/>
      <c r="O60" s="137">
        <f>+O59*N60</f>
        <v>0</v>
      </c>
      <c r="P60" s="137"/>
      <c r="Q60" s="138"/>
    </row>
    <row r="61" spans="1:17" ht="13.5" thickBot="1" x14ac:dyDescent="0.25">
      <c r="B61" s="512" t="s">
        <v>150</v>
      </c>
      <c r="C61" s="512"/>
      <c r="D61" s="158"/>
      <c r="E61" s="153"/>
      <c r="F61" s="157"/>
      <c r="G61" s="120"/>
      <c r="H61" s="146"/>
      <c r="I61" s="154"/>
      <c r="J61" s="139"/>
      <c r="K61" s="513" t="s">
        <v>151</v>
      </c>
      <c r="L61" s="514"/>
      <c r="M61" s="514"/>
      <c r="N61" s="515"/>
      <c r="O61" s="150">
        <f>SUM(O59:O60)</f>
        <v>9416.94</v>
      </c>
      <c r="P61" s="159" t="s">
        <v>152</v>
      </c>
      <c r="Q61" s="138"/>
    </row>
    <row r="62" spans="1:17" ht="13.5" thickBot="1" x14ac:dyDescent="0.25">
      <c r="C62" s="129" t="s">
        <v>153</v>
      </c>
      <c r="D62" s="160"/>
      <c r="E62" s="103" t="s">
        <v>154</v>
      </c>
      <c r="F62" s="161" t="s">
        <v>155</v>
      </c>
      <c r="G62" s="120"/>
      <c r="H62" s="146"/>
      <c r="I62" s="154"/>
      <c r="J62" s="162"/>
      <c r="K62" s="163"/>
      <c r="L62" s="501" t="s">
        <v>156</v>
      </c>
      <c r="M62" s="501"/>
      <c r="N62" s="501"/>
      <c r="O62" s="164">
        <f>+O61/D60</f>
        <v>9416.94</v>
      </c>
      <c r="P62" s="165">
        <f>+O62/D59</f>
        <v>2.7295478260869568</v>
      </c>
      <c r="Q62" s="166"/>
    </row>
    <row r="63" spans="1:17" ht="13.5" thickBot="1" x14ac:dyDescent="0.25">
      <c r="B63" s="502" t="s">
        <v>141</v>
      </c>
      <c r="C63" s="502"/>
      <c r="D63" s="502"/>
      <c r="E63" s="167">
        <f>+F63/F63</f>
        <v>1</v>
      </c>
      <c r="F63" s="168">
        <f>SUM(F55)</f>
        <v>7631.9400000000005</v>
      </c>
      <c r="G63" s="120">
        <f>+F63/$F$66</f>
        <v>0.87727695506361769</v>
      </c>
      <c r="H63" s="146"/>
      <c r="I63" s="154"/>
      <c r="K63" s="503"/>
      <c r="L63" s="504"/>
      <c r="M63" s="504"/>
      <c r="N63" s="504"/>
      <c r="O63" s="169"/>
      <c r="P63" s="170"/>
    </row>
    <row r="64" spans="1:17" ht="13.5" thickBot="1" x14ac:dyDescent="0.3">
      <c r="B64" s="505" t="s">
        <v>157</v>
      </c>
      <c r="C64" s="505"/>
      <c r="D64" s="505"/>
      <c r="E64" s="171">
        <v>0.02</v>
      </c>
      <c r="F64" s="168">
        <f>+F53*E64</f>
        <v>152.6388</v>
      </c>
      <c r="G64" s="120">
        <f>+F64/$F$66</f>
        <v>1.7545539101272354E-2</v>
      </c>
      <c r="H64" s="132"/>
      <c r="I64" s="154"/>
      <c r="J64" s="172"/>
      <c r="O64" s="173"/>
      <c r="P64" s="130"/>
    </row>
    <row r="65" spans="2:13" ht="13.5" thickBot="1" x14ac:dyDescent="0.3">
      <c r="B65" s="506" t="s">
        <v>158</v>
      </c>
      <c r="C65" s="507"/>
      <c r="D65" s="174">
        <v>15</v>
      </c>
      <c r="E65" s="175">
        <v>61</v>
      </c>
      <c r="F65" s="168">
        <f>+E65*D65</f>
        <v>915</v>
      </c>
      <c r="G65" s="120">
        <f>+F65/$F$66</f>
        <v>0.1051775058351101</v>
      </c>
      <c r="H65" s="132"/>
      <c r="I65" s="132"/>
      <c r="J65" s="122"/>
    </row>
    <row r="66" spans="2:13" ht="13.5" thickBot="1" x14ac:dyDescent="0.3">
      <c r="B66" s="508" t="s">
        <v>159</v>
      </c>
      <c r="C66" s="509"/>
      <c r="D66" s="509"/>
      <c r="E66" s="510"/>
      <c r="F66" s="145">
        <f>SUM(F63:F65)</f>
        <v>8699.5787999999993</v>
      </c>
      <c r="G66" s="120">
        <f>+F66/$F$66</f>
        <v>1</v>
      </c>
      <c r="H66" s="511"/>
      <c r="I66" s="132"/>
      <c r="J66" s="122"/>
      <c r="M66" s="105" t="s">
        <v>160</v>
      </c>
    </row>
    <row r="67" spans="2:13" x14ac:dyDescent="0.25">
      <c r="C67" s="127"/>
      <c r="D67" s="127"/>
      <c r="E67" s="177"/>
      <c r="F67" s="168"/>
      <c r="G67" s="120"/>
      <c r="H67" s="511"/>
      <c r="I67" s="176"/>
      <c r="J67" s="105"/>
      <c r="M67" s="105" t="s">
        <v>161</v>
      </c>
    </row>
    <row r="68" spans="2:13" ht="13.5" thickBot="1" x14ac:dyDescent="0.3">
      <c r="B68" s="496" t="s">
        <v>162</v>
      </c>
      <c r="C68" s="496"/>
      <c r="D68" s="496"/>
      <c r="E68" s="496"/>
      <c r="F68" s="496"/>
      <c r="G68" s="120"/>
      <c r="H68" s="179"/>
      <c r="I68" s="176"/>
      <c r="J68" s="105"/>
      <c r="M68" s="105" t="s">
        <v>163</v>
      </c>
    </row>
    <row r="69" spans="2:13" ht="13.5" thickBot="1" x14ac:dyDescent="0.3">
      <c r="B69" s="180" t="s">
        <v>164</v>
      </c>
      <c r="C69" s="181">
        <f>+F53</f>
        <v>7631.9400000000005</v>
      </c>
      <c r="D69" s="181">
        <f>+D58</f>
        <v>3450</v>
      </c>
      <c r="E69" s="182">
        <f>+C69/D69</f>
        <v>2.2121565217391308</v>
      </c>
      <c r="F69" s="120"/>
      <c r="G69" s="179"/>
      <c r="H69" s="122"/>
      <c r="I69" s="179"/>
      <c r="J69" s="105"/>
    </row>
    <row r="70" spans="2:13" x14ac:dyDescent="0.25">
      <c r="B70" s="183"/>
      <c r="C70" s="184"/>
      <c r="D70" s="185"/>
      <c r="E70" s="168"/>
      <c r="F70" s="120"/>
      <c r="G70" s="179"/>
      <c r="H70" s="122"/>
      <c r="I70" s="122"/>
      <c r="J70" s="105"/>
    </row>
    <row r="71" spans="2:13" x14ac:dyDescent="0.25">
      <c r="B71" s="180" t="s">
        <v>165</v>
      </c>
      <c r="C71" s="181">
        <f>SUM(F63:F64)</f>
        <v>7784.5788000000002</v>
      </c>
      <c r="D71" s="181">
        <f>+D58</f>
        <v>3450</v>
      </c>
      <c r="E71" s="186">
        <f>+C71/D71</f>
        <v>2.2563996521739131</v>
      </c>
      <c r="F71" s="120"/>
      <c r="G71" s="179"/>
      <c r="H71" s="122"/>
      <c r="I71" s="122"/>
      <c r="J71" s="105"/>
    </row>
    <row r="72" spans="2:13" x14ac:dyDescent="0.25">
      <c r="B72" s="180"/>
      <c r="C72" s="181"/>
      <c r="D72" s="181"/>
      <c r="E72" s="186"/>
      <c r="F72" s="120"/>
      <c r="G72" s="179"/>
      <c r="H72" s="122"/>
      <c r="I72" s="122"/>
      <c r="J72" s="105"/>
    </row>
    <row r="73" spans="2:13" ht="13.5" thickBot="1" x14ac:dyDescent="0.3">
      <c r="B73" s="180" t="s">
        <v>166</v>
      </c>
      <c r="C73" s="181">
        <f>+F65</f>
        <v>915</v>
      </c>
      <c r="D73" s="181">
        <f>+D58</f>
        <v>3450</v>
      </c>
      <c r="E73" s="186">
        <f>+C73/D73</f>
        <v>0.26521739130434785</v>
      </c>
      <c r="F73" s="120"/>
      <c r="G73" s="179"/>
      <c r="H73" s="122"/>
      <c r="I73" s="122"/>
      <c r="J73" s="105"/>
    </row>
    <row r="74" spans="2:13" ht="13.5" thickBot="1" x14ac:dyDescent="0.3">
      <c r="B74" s="180" t="s">
        <v>167</v>
      </c>
      <c r="C74" s="181">
        <f>+F56</f>
        <v>915</v>
      </c>
      <c r="D74" s="181">
        <f>+D73</f>
        <v>3450</v>
      </c>
      <c r="E74" s="182">
        <f>+C74/D74</f>
        <v>0.26521739130434785</v>
      </c>
      <c r="F74" s="120"/>
      <c r="G74" s="179"/>
      <c r="H74" s="122"/>
      <c r="I74" s="122"/>
      <c r="J74" s="105"/>
    </row>
    <row r="75" spans="2:13" ht="13.5" thickBot="1" x14ac:dyDescent="0.3">
      <c r="B75" s="144"/>
      <c r="C75" s="145"/>
      <c r="D75" s="145"/>
      <c r="E75" s="186"/>
      <c r="F75" s="120"/>
      <c r="G75" s="179"/>
      <c r="H75" s="122"/>
      <c r="I75" s="122"/>
      <c r="J75" s="105"/>
    </row>
    <row r="76" spans="2:13" ht="13.5" thickBot="1" x14ac:dyDescent="0.3">
      <c r="B76" s="180" t="s">
        <v>168</v>
      </c>
      <c r="C76" s="181">
        <f>+F54</f>
        <v>0</v>
      </c>
      <c r="D76" s="181">
        <f>+D74</f>
        <v>3450</v>
      </c>
      <c r="E76" s="182">
        <f>+C76/D76</f>
        <v>0</v>
      </c>
      <c r="F76" s="120"/>
      <c r="G76" s="179"/>
      <c r="H76" s="122"/>
      <c r="I76" s="122"/>
      <c r="J76" s="122"/>
    </row>
    <row r="77" spans="2:13" ht="13.5" thickBot="1" x14ac:dyDescent="0.3">
      <c r="B77" s="144"/>
      <c r="C77" s="145"/>
      <c r="D77" s="145"/>
      <c r="E77" s="186"/>
      <c r="F77" s="120"/>
      <c r="G77" s="179"/>
      <c r="H77" s="122"/>
      <c r="I77" s="122"/>
    </row>
    <row r="78" spans="2:13" ht="13.5" thickBot="1" x14ac:dyDescent="0.3">
      <c r="B78" s="497" t="s">
        <v>169</v>
      </c>
      <c r="C78" s="498"/>
      <c r="D78" s="499"/>
      <c r="E78" s="182">
        <f>+E69+E74</f>
        <v>2.4773739130434786</v>
      </c>
      <c r="G78" s="120"/>
      <c r="H78" s="179"/>
      <c r="I78" s="122"/>
      <c r="J78" s="186"/>
    </row>
    <row r="79" spans="2:13" x14ac:dyDescent="0.25">
      <c r="I79" s="179"/>
      <c r="J79" s="105"/>
    </row>
    <row r="80" spans="2:13" ht="13.5" thickBot="1" x14ac:dyDescent="0.3">
      <c r="B80" s="496" t="s">
        <v>170</v>
      </c>
      <c r="C80" s="496"/>
      <c r="D80" s="496"/>
      <c r="E80" s="496"/>
      <c r="F80" s="496"/>
      <c r="G80" s="120"/>
      <c r="H80" s="179"/>
      <c r="J80" s="105"/>
    </row>
    <row r="81" spans="1:10" ht="13.5" thickBot="1" x14ac:dyDescent="0.3">
      <c r="B81" s="180" t="s">
        <v>164</v>
      </c>
      <c r="C81" s="181">
        <f>+C69</f>
        <v>7631.9400000000005</v>
      </c>
      <c r="D81" s="181">
        <f>+D60</f>
        <v>1</v>
      </c>
      <c r="E81" s="182">
        <f>+C81/D81</f>
        <v>7631.9400000000005</v>
      </c>
      <c r="F81" s="120"/>
      <c r="G81" s="179"/>
      <c r="H81" s="122"/>
      <c r="I81" s="179"/>
      <c r="J81" s="105"/>
    </row>
    <row r="82" spans="1:10" x14ac:dyDescent="0.25">
      <c r="B82" s="183"/>
      <c r="C82" s="184"/>
      <c r="D82" s="185"/>
      <c r="E82" s="168"/>
      <c r="F82" s="120"/>
      <c r="G82" s="179"/>
      <c r="H82" s="122"/>
      <c r="I82" s="122"/>
      <c r="J82" s="105"/>
    </row>
    <row r="83" spans="1:10" x14ac:dyDescent="0.25">
      <c r="B83" s="180" t="s">
        <v>165</v>
      </c>
      <c r="C83" s="181">
        <f>+C71</f>
        <v>7784.5788000000002</v>
      </c>
      <c r="D83" s="181">
        <f>+D60</f>
        <v>1</v>
      </c>
      <c r="E83" s="186">
        <f>+C83/D83</f>
        <v>7784.5788000000002</v>
      </c>
      <c r="F83" s="120"/>
      <c r="G83" s="179"/>
      <c r="H83" s="122"/>
      <c r="I83" s="122"/>
      <c r="J83" s="105"/>
    </row>
    <row r="84" spans="1:10" x14ac:dyDescent="0.25">
      <c r="B84" s="180"/>
      <c r="C84" s="181"/>
      <c r="D84" s="181"/>
      <c r="E84" s="186"/>
      <c r="F84" s="120"/>
      <c r="G84" s="179"/>
      <c r="H84" s="122"/>
      <c r="I84" s="122"/>
      <c r="J84" s="105"/>
    </row>
    <row r="85" spans="1:10" ht="13.5" thickBot="1" x14ac:dyDescent="0.3">
      <c r="B85" s="180" t="s">
        <v>167</v>
      </c>
      <c r="C85" s="181">
        <f>+C73</f>
        <v>915</v>
      </c>
      <c r="D85" s="181">
        <f>+D60</f>
        <v>1</v>
      </c>
      <c r="E85" s="186">
        <f>+C85/D85</f>
        <v>915</v>
      </c>
      <c r="F85" s="188"/>
      <c r="G85" s="178"/>
      <c r="H85" s="104"/>
      <c r="I85" s="122"/>
    </row>
    <row r="86" spans="1:10" ht="13.5" thickBot="1" x14ac:dyDescent="0.3">
      <c r="B86" s="180" t="s">
        <v>167</v>
      </c>
      <c r="C86" s="181">
        <f>+C74</f>
        <v>915</v>
      </c>
      <c r="D86" s="181">
        <f>+D85</f>
        <v>1</v>
      </c>
      <c r="E86" s="182">
        <f>+C86/D86</f>
        <v>915</v>
      </c>
      <c r="F86" s="187"/>
      <c r="G86" s="178"/>
      <c r="H86" s="104"/>
      <c r="I86" s="104"/>
    </row>
    <row r="87" spans="1:10" x14ac:dyDescent="0.25">
      <c r="I87" s="104"/>
    </row>
    <row r="88" spans="1:10" x14ac:dyDescent="0.2">
      <c r="A88" s="500"/>
      <c r="B88" s="500"/>
      <c r="C88" s="189"/>
      <c r="D88" s="189"/>
      <c r="E88" s="190"/>
      <c r="G88" s="191"/>
    </row>
    <row r="89" spans="1:10" x14ac:dyDescent="0.2">
      <c r="A89" s="123"/>
      <c r="B89" s="192"/>
      <c r="C89" s="193"/>
      <c r="D89" s="193"/>
      <c r="E89" s="194"/>
      <c r="G89" s="191"/>
    </row>
    <row r="90" spans="1:10" x14ac:dyDescent="0.2">
      <c r="A90" s="123"/>
      <c r="B90" s="192"/>
      <c r="C90" s="195"/>
      <c r="D90" s="195"/>
      <c r="E90" s="123"/>
      <c r="G90" s="191"/>
    </row>
    <row r="91" spans="1:10" x14ac:dyDescent="0.2">
      <c r="A91" s="123"/>
      <c r="B91" s="192"/>
      <c r="C91" s="196"/>
      <c r="D91" s="196"/>
      <c r="E91" s="123"/>
      <c r="G91" s="191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A5AE-ADF7-4A33-A23E-BED59E824CBA}">
  <dimension ref="A1:Q91"/>
  <sheetViews>
    <sheetView topLeftCell="A34" workbookViewId="0">
      <selection activeCell="A18" sqref="A18"/>
    </sheetView>
  </sheetViews>
  <sheetFormatPr baseColWidth="10" defaultColWidth="8.42578125" defaultRowHeight="12.75" x14ac:dyDescent="0.25"/>
  <cols>
    <col min="1" max="1" width="10" style="105" bestFit="1" customWidth="1"/>
    <col min="2" max="2" width="44.28515625" style="105" bestFit="1" customWidth="1"/>
    <col min="3" max="3" width="10.42578125" style="105" bestFit="1" customWidth="1"/>
    <col min="4" max="4" width="10.42578125" style="105" customWidth="1"/>
    <col min="5" max="5" width="9.7109375" style="105" bestFit="1" customWidth="1"/>
    <col min="6" max="6" width="9.5703125" style="105" bestFit="1" customWidth="1"/>
    <col min="7" max="7" width="9.5703125" style="187" bestFit="1" customWidth="1"/>
    <col min="8" max="8" width="10.42578125" style="178" bestFit="1" customWidth="1"/>
    <col min="9" max="9" width="4.5703125" style="178" customWidth="1"/>
    <col min="10" max="10" width="1.85546875" style="104" customWidth="1"/>
    <col min="11" max="11" width="7" style="105" bestFit="1" customWidth="1"/>
    <col min="12" max="12" width="6.28515625" style="105" customWidth="1"/>
    <col min="13" max="13" width="20.42578125" style="105" customWidth="1"/>
    <col min="14" max="14" width="6.42578125" style="105" bestFit="1" customWidth="1"/>
    <col min="15" max="16" width="8.42578125" style="105"/>
    <col min="17" max="17" width="3.28515625" style="105" customWidth="1"/>
    <col min="18" max="256" width="8.42578125" style="105"/>
    <col min="257" max="257" width="10" style="105" bestFit="1" customWidth="1"/>
    <col min="258" max="258" width="44.28515625" style="105" bestFit="1" customWidth="1"/>
    <col min="259" max="259" width="10.42578125" style="105" bestFit="1" customWidth="1"/>
    <col min="260" max="260" width="10.42578125" style="105" customWidth="1"/>
    <col min="261" max="261" width="9.7109375" style="105" bestFit="1" customWidth="1"/>
    <col min="262" max="263" width="9.5703125" style="105" bestFit="1" customWidth="1"/>
    <col min="264" max="264" width="10.42578125" style="105" bestFit="1" customWidth="1"/>
    <col min="265" max="265" width="4.5703125" style="105" customWidth="1"/>
    <col min="266" max="266" width="1.85546875" style="105" customWidth="1"/>
    <col min="267" max="267" width="7" style="105" bestFit="1" customWidth="1"/>
    <col min="268" max="268" width="6.28515625" style="105" customWidth="1"/>
    <col min="269" max="269" width="20.42578125" style="105" customWidth="1"/>
    <col min="270" max="270" width="6.42578125" style="105" bestFit="1" customWidth="1"/>
    <col min="271" max="272" width="8.42578125" style="105"/>
    <col min="273" max="273" width="3.28515625" style="105" customWidth="1"/>
    <col min="274" max="512" width="8.42578125" style="105"/>
    <col min="513" max="513" width="10" style="105" bestFit="1" customWidth="1"/>
    <col min="514" max="514" width="44.28515625" style="105" bestFit="1" customWidth="1"/>
    <col min="515" max="515" width="10.42578125" style="105" bestFit="1" customWidth="1"/>
    <col min="516" max="516" width="10.42578125" style="105" customWidth="1"/>
    <col min="517" max="517" width="9.7109375" style="105" bestFit="1" customWidth="1"/>
    <col min="518" max="519" width="9.5703125" style="105" bestFit="1" customWidth="1"/>
    <col min="520" max="520" width="10.42578125" style="105" bestFit="1" customWidth="1"/>
    <col min="521" max="521" width="4.5703125" style="105" customWidth="1"/>
    <col min="522" max="522" width="1.85546875" style="105" customWidth="1"/>
    <col min="523" max="523" width="7" style="105" bestFit="1" customWidth="1"/>
    <col min="524" max="524" width="6.28515625" style="105" customWidth="1"/>
    <col min="525" max="525" width="20.42578125" style="105" customWidth="1"/>
    <col min="526" max="526" width="6.42578125" style="105" bestFit="1" customWidth="1"/>
    <col min="527" max="528" width="8.42578125" style="105"/>
    <col min="529" max="529" width="3.28515625" style="105" customWidth="1"/>
    <col min="530" max="768" width="8.42578125" style="105"/>
    <col min="769" max="769" width="10" style="105" bestFit="1" customWidth="1"/>
    <col min="770" max="770" width="44.28515625" style="105" bestFit="1" customWidth="1"/>
    <col min="771" max="771" width="10.42578125" style="105" bestFit="1" customWidth="1"/>
    <col min="772" max="772" width="10.42578125" style="105" customWidth="1"/>
    <col min="773" max="773" width="9.7109375" style="105" bestFit="1" customWidth="1"/>
    <col min="774" max="775" width="9.5703125" style="105" bestFit="1" customWidth="1"/>
    <col min="776" max="776" width="10.42578125" style="105" bestFit="1" customWidth="1"/>
    <col min="777" max="777" width="4.5703125" style="105" customWidth="1"/>
    <col min="778" max="778" width="1.85546875" style="105" customWidth="1"/>
    <col min="779" max="779" width="7" style="105" bestFit="1" customWidth="1"/>
    <col min="780" max="780" width="6.28515625" style="105" customWidth="1"/>
    <col min="781" max="781" width="20.42578125" style="105" customWidth="1"/>
    <col min="782" max="782" width="6.42578125" style="105" bestFit="1" customWidth="1"/>
    <col min="783" max="784" width="8.42578125" style="105"/>
    <col min="785" max="785" width="3.28515625" style="105" customWidth="1"/>
    <col min="786" max="1024" width="8.42578125" style="105"/>
    <col min="1025" max="1025" width="10" style="105" bestFit="1" customWidth="1"/>
    <col min="1026" max="1026" width="44.28515625" style="105" bestFit="1" customWidth="1"/>
    <col min="1027" max="1027" width="10.42578125" style="105" bestFit="1" customWidth="1"/>
    <col min="1028" max="1028" width="10.42578125" style="105" customWidth="1"/>
    <col min="1029" max="1029" width="9.7109375" style="105" bestFit="1" customWidth="1"/>
    <col min="1030" max="1031" width="9.5703125" style="105" bestFit="1" customWidth="1"/>
    <col min="1032" max="1032" width="10.42578125" style="105" bestFit="1" customWidth="1"/>
    <col min="1033" max="1033" width="4.5703125" style="105" customWidth="1"/>
    <col min="1034" max="1034" width="1.85546875" style="105" customWidth="1"/>
    <col min="1035" max="1035" width="7" style="105" bestFit="1" customWidth="1"/>
    <col min="1036" max="1036" width="6.28515625" style="105" customWidth="1"/>
    <col min="1037" max="1037" width="20.42578125" style="105" customWidth="1"/>
    <col min="1038" max="1038" width="6.42578125" style="105" bestFit="1" customWidth="1"/>
    <col min="1039" max="1040" width="8.42578125" style="105"/>
    <col min="1041" max="1041" width="3.28515625" style="105" customWidth="1"/>
    <col min="1042" max="1280" width="8.42578125" style="105"/>
    <col min="1281" max="1281" width="10" style="105" bestFit="1" customWidth="1"/>
    <col min="1282" max="1282" width="44.28515625" style="105" bestFit="1" customWidth="1"/>
    <col min="1283" max="1283" width="10.42578125" style="105" bestFit="1" customWidth="1"/>
    <col min="1284" max="1284" width="10.42578125" style="105" customWidth="1"/>
    <col min="1285" max="1285" width="9.7109375" style="105" bestFit="1" customWidth="1"/>
    <col min="1286" max="1287" width="9.5703125" style="105" bestFit="1" customWidth="1"/>
    <col min="1288" max="1288" width="10.42578125" style="105" bestFit="1" customWidth="1"/>
    <col min="1289" max="1289" width="4.5703125" style="105" customWidth="1"/>
    <col min="1290" max="1290" width="1.85546875" style="105" customWidth="1"/>
    <col min="1291" max="1291" width="7" style="105" bestFit="1" customWidth="1"/>
    <col min="1292" max="1292" width="6.28515625" style="105" customWidth="1"/>
    <col min="1293" max="1293" width="20.42578125" style="105" customWidth="1"/>
    <col min="1294" max="1294" width="6.42578125" style="105" bestFit="1" customWidth="1"/>
    <col min="1295" max="1296" width="8.42578125" style="105"/>
    <col min="1297" max="1297" width="3.28515625" style="105" customWidth="1"/>
    <col min="1298" max="1536" width="8.42578125" style="105"/>
    <col min="1537" max="1537" width="10" style="105" bestFit="1" customWidth="1"/>
    <col min="1538" max="1538" width="44.28515625" style="105" bestFit="1" customWidth="1"/>
    <col min="1539" max="1539" width="10.42578125" style="105" bestFit="1" customWidth="1"/>
    <col min="1540" max="1540" width="10.42578125" style="105" customWidth="1"/>
    <col min="1541" max="1541" width="9.7109375" style="105" bestFit="1" customWidth="1"/>
    <col min="1542" max="1543" width="9.5703125" style="105" bestFit="1" customWidth="1"/>
    <col min="1544" max="1544" width="10.42578125" style="105" bestFit="1" customWidth="1"/>
    <col min="1545" max="1545" width="4.5703125" style="105" customWidth="1"/>
    <col min="1546" max="1546" width="1.85546875" style="105" customWidth="1"/>
    <col min="1547" max="1547" width="7" style="105" bestFit="1" customWidth="1"/>
    <col min="1548" max="1548" width="6.28515625" style="105" customWidth="1"/>
    <col min="1549" max="1549" width="20.42578125" style="105" customWidth="1"/>
    <col min="1550" max="1550" width="6.42578125" style="105" bestFit="1" customWidth="1"/>
    <col min="1551" max="1552" width="8.42578125" style="105"/>
    <col min="1553" max="1553" width="3.28515625" style="105" customWidth="1"/>
    <col min="1554" max="1792" width="8.42578125" style="105"/>
    <col min="1793" max="1793" width="10" style="105" bestFit="1" customWidth="1"/>
    <col min="1794" max="1794" width="44.28515625" style="105" bestFit="1" customWidth="1"/>
    <col min="1795" max="1795" width="10.42578125" style="105" bestFit="1" customWidth="1"/>
    <col min="1796" max="1796" width="10.42578125" style="105" customWidth="1"/>
    <col min="1797" max="1797" width="9.7109375" style="105" bestFit="1" customWidth="1"/>
    <col min="1798" max="1799" width="9.5703125" style="105" bestFit="1" customWidth="1"/>
    <col min="1800" max="1800" width="10.42578125" style="105" bestFit="1" customWidth="1"/>
    <col min="1801" max="1801" width="4.5703125" style="105" customWidth="1"/>
    <col min="1802" max="1802" width="1.85546875" style="105" customWidth="1"/>
    <col min="1803" max="1803" width="7" style="105" bestFit="1" customWidth="1"/>
    <col min="1804" max="1804" width="6.28515625" style="105" customWidth="1"/>
    <col min="1805" max="1805" width="20.42578125" style="105" customWidth="1"/>
    <col min="1806" max="1806" width="6.42578125" style="105" bestFit="1" customWidth="1"/>
    <col min="1807" max="1808" width="8.42578125" style="105"/>
    <col min="1809" max="1809" width="3.28515625" style="105" customWidth="1"/>
    <col min="1810" max="2048" width="8.42578125" style="105"/>
    <col min="2049" max="2049" width="10" style="105" bestFit="1" customWidth="1"/>
    <col min="2050" max="2050" width="44.28515625" style="105" bestFit="1" customWidth="1"/>
    <col min="2051" max="2051" width="10.42578125" style="105" bestFit="1" customWidth="1"/>
    <col min="2052" max="2052" width="10.42578125" style="105" customWidth="1"/>
    <col min="2053" max="2053" width="9.7109375" style="105" bestFit="1" customWidth="1"/>
    <col min="2054" max="2055" width="9.5703125" style="105" bestFit="1" customWidth="1"/>
    <col min="2056" max="2056" width="10.42578125" style="105" bestFit="1" customWidth="1"/>
    <col min="2057" max="2057" width="4.5703125" style="105" customWidth="1"/>
    <col min="2058" max="2058" width="1.85546875" style="105" customWidth="1"/>
    <col min="2059" max="2059" width="7" style="105" bestFit="1" customWidth="1"/>
    <col min="2060" max="2060" width="6.28515625" style="105" customWidth="1"/>
    <col min="2061" max="2061" width="20.42578125" style="105" customWidth="1"/>
    <col min="2062" max="2062" width="6.42578125" style="105" bestFit="1" customWidth="1"/>
    <col min="2063" max="2064" width="8.42578125" style="105"/>
    <col min="2065" max="2065" width="3.28515625" style="105" customWidth="1"/>
    <col min="2066" max="2304" width="8.42578125" style="105"/>
    <col min="2305" max="2305" width="10" style="105" bestFit="1" customWidth="1"/>
    <col min="2306" max="2306" width="44.28515625" style="105" bestFit="1" customWidth="1"/>
    <col min="2307" max="2307" width="10.42578125" style="105" bestFit="1" customWidth="1"/>
    <col min="2308" max="2308" width="10.42578125" style="105" customWidth="1"/>
    <col min="2309" max="2309" width="9.7109375" style="105" bestFit="1" customWidth="1"/>
    <col min="2310" max="2311" width="9.5703125" style="105" bestFit="1" customWidth="1"/>
    <col min="2312" max="2312" width="10.42578125" style="105" bestFit="1" customWidth="1"/>
    <col min="2313" max="2313" width="4.5703125" style="105" customWidth="1"/>
    <col min="2314" max="2314" width="1.85546875" style="105" customWidth="1"/>
    <col min="2315" max="2315" width="7" style="105" bestFit="1" customWidth="1"/>
    <col min="2316" max="2316" width="6.28515625" style="105" customWidth="1"/>
    <col min="2317" max="2317" width="20.42578125" style="105" customWidth="1"/>
    <col min="2318" max="2318" width="6.42578125" style="105" bestFit="1" customWidth="1"/>
    <col min="2319" max="2320" width="8.42578125" style="105"/>
    <col min="2321" max="2321" width="3.28515625" style="105" customWidth="1"/>
    <col min="2322" max="2560" width="8.42578125" style="105"/>
    <col min="2561" max="2561" width="10" style="105" bestFit="1" customWidth="1"/>
    <col min="2562" max="2562" width="44.28515625" style="105" bestFit="1" customWidth="1"/>
    <col min="2563" max="2563" width="10.42578125" style="105" bestFit="1" customWidth="1"/>
    <col min="2564" max="2564" width="10.42578125" style="105" customWidth="1"/>
    <col min="2565" max="2565" width="9.7109375" style="105" bestFit="1" customWidth="1"/>
    <col min="2566" max="2567" width="9.5703125" style="105" bestFit="1" customWidth="1"/>
    <col min="2568" max="2568" width="10.42578125" style="105" bestFit="1" customWidth="1"/>
    <col min="2569" max="2569" width="4.5703125" style="105" customWidth="1"/>
    <col min="2570" max="2570" width="1.85546875" style="105" customWidth="1"/>
    <col min="2571" max="2571" width="7" style="105" bestFit="1" customWidth="1"/>
    <col min="2572" max="2572" width="6.28515625" style="105" customWidth="1"/>
    <col min="2573" max="2573" width="20.42578125" style="105" customWidth="1"/>
    <col min="2574" max="2574" width="6.42578125" style="105" bestFit="1" customWidth="1"/>
    <col min="2575" max="2576" width="8.42578125" style="105"/>
    <col min="2577" max="2577" width="3.28515625" style="105" customWidth="1"/>
    <col min="2578" max="2816" width="8.42578125" style="105"/>
    <col min="2817" max="2817" width="10" style="105" bestFit="1" customWidth="1"/>
    <col min="2818" max="2818" width="44.28515625" style="105" bestFit="1" customWidth="1"/>
    <col min="2819" max="2819" width="10.42578125" style="105" bestFit="1" customWidth="1"/>
    <col min="2820" max="2820" width="10.42578125" style="105" customWidth="1"/>
    <col min="2821" max="2821" width="9.7109375" style="105" bestFit="1" customWidth="1"/>
    <col min="2822" max="2823" width="9.5703125" style="105" bestFit="1" customWidth="1"/>
    <col min="2824" max="2824" width="10.42578125" style="105" bestFit="1" customWidth="1"/>
    <col min="2825" max="2825" width="4.5703125" style="105" customWidth="1"/>
    <col min="2826" max="2826" width="1.85546875" style="105" customWidth="1"/>
    <col min="2827" max="2827" width="7" style="105" bestFit="1" customWidth="1"/>
    <col min="2828" max="2828" width="6.28515625" style="105" customWidth="1"/>
    <col min="2829" max="2829" width="20.42578125" style="105" customWidth="1"/>
    <col min="2830" max="2830" width="6.42578125" style="105" bestFit="1" customWidth="1"/>
    <col min="2831" max="2832" width="8.42578125" style="105"/>
    <col min="2833" max="2833" width="3.28515625" style="105" customWidth="1"/>
    <col min="2834" max="3072" width="8.42578125" style="105"/>
    <col min="3073" max="3073" width="10" style="105" bestFit="1" customWidth="1"/>
    <col min="3074" max="3074" width="44.28515625" style="105" bestFit="1" customWidth="1"/>
    <col min="3075" max="3075" width="10.42578125" style="105" bestFit="1" customWidth="1"/>
    <col min="3076" max="3076" width="10.42578125" style="105" customWidth="1"/>
    <col min="3077" max="3077" width="9.7109375" style="105" bestFit="1" customWidth="1"/>
    <col min="3078" max="3079" width="9.5703125" style="105" bestFit="1" customWidth="1"/>
    <col min="3080" max="3080" width="10.42578125" style="105" bestFit="1" customWidth="1"/>
    <col min="3081" max="3081" width="4.5703125" style="105" customWidth="1"/>
    <col min="3082" max="3082" width="1.85546875" style="105" customWidth="1"/>
    <col min="3083" max="3083" width="7" style="105" bestFit="1" customWidth="1"/>
    <col min="3084" max="3084" width="6.28515625" style="105" customWidth="1"/>
    <col min="3085" max="3085" width="20.42578125" style="105" customWidth="1"/>
    <col min="3086" max="3086" width="6.42578125" style="105" bestFit="1" customWidth="1"/>
    <col min="3087" max="3088" width="8.42578125" style="105"/>
    <col min="3089" max="3089" width="3.28515625" style="105" customWidth="1"/>
    <col min="3090" max="3328" width="8.42578125" style="105"/>
    <col min="3329" max="3329" width="10" style="105" bestFit="1" customWidth="1"/>
    <col min="3330" max="3330" width="44.28515625" style="105" bestFit="1" customWidth="1"/>
    <col min="3331" max="3331" width="10.42578125" style="105" bestFit="1" customWidth="1"/>
    <col min="3332" max="3332" width="10.42578125" style="105" customWidth="1"/>
    <col min="3333" max="3333" width="9.7109375" style="105" bestFit="1" customWidth="1"/>
    <col min="3334" max="3335" width="9.5703125" style="105" bestFit="1" customWidth="1"/>
    <col min="3336" max="3336" width="10.42578125" style="105" bestFit="1" customWidth="1"/>
    <col min="3337" max="3337" width="4.5703125" style="105" customWidth="1"/>
    <col min="3338" max="3338" width="1.85546875" style="105" customWidth="1"/>
    <col min="3339" max="3339" width="7" style="105" bestFit="1" customWidth="1"/>
    <col min="3340" max="3340" width="6.28515625" style="105" customWidth="1"/>
    <col min="3341" max="3341" width="20.42578125" style="105" customWidth="1"/>
    <col min="3342" max="3342" width="6.42578125" style="105" bestFit="1" customWidth="1"/>
    <col min="3343" max="3344" width="8.42578125" style="105"/>
    <col min="3345" max="3345" width="3.28515625" style="105" customWidth="1"/>
    <col min="3346" max="3584" width="8.42578125" style="105"/>
    <col min="3585" max="3585" width="10" style="105" bestFit="1" customWidth="1"/>
    <col min="3586" max="3586" width="44.28515625" style="105" bestFit="1" customWidth="1"/>
    <col min="3587" max="3587" width="10.42578125" style="105" bestFit="1" customWidth="1"/>
    <col min="3588" max="3588" width="10.42578125" style="105" customWidth="1"/>
    <col min="3589" max="3589" width="9.7109375" style="105" bestFit="1" customWidth="1"/>
    <col min="3590" max="3591" width="9.5703125" style="105" bestFit="1" customWidth="1"/>
    <col min="3592" max="3592" width="10.42578125" style="105" bestFit="1" customWidth="1"/>
    <col min="3593" max="3593" width="4.5703125" style="105" customWidth="1"/>
    <col min="3594" max="3594" width="1.85546875" style="105" customWidth="1"/>
    <col min="3595" max="3595" width="7" style="105" bestFit="1" customWidth="1"/>
    <col min="3596" max="3596" width="6.28515625" style="105" customWidth="1"/>
    <col min="3597" max="3597" width="20.42578125" style="105" customWidth="1"/>
    <col min="3598" max="3598" width="6.42578125" style="105" bestFit="1" customWidth="1"/>
    <col min="3599" max="3600" width="8.42578125" style="105"/>
    <col min="3601" max="3601" width="3.28515625" style="105" customWidth="1"/>
    <col min="3602" max="3840" width="8.42578125" style="105"/>
    <col min="3841" max="3841" width="10" style="105" bestFit="1" customWidth="1"/>
    <col min="3842" max="3842" width="44.28515625" style="105" bestFit="1" customWidth="1"/>
    <col min="3843" max="3843" width="10.42578125" style="105" bestFit="1" customWidth="1"/>
    <col min="3844" max="3844" width="10.42578125" style="105" customWidth="1"/>
    <col min="3845" max="3845" width="9.7109375" style="105" bestFit="1" customWidth="1"/>
    <col min="3846" max="3847" width="9.5703125" style="105" bestFit="1" customWidth="1"/>
    <col min="3848" max="3848" width="10.42578125" style="105" bestFit="1" customWidth="1"/>
    <col min="3849" max="3849" width="4.5703125" style="105" customWidth="1"/>
    <col min="3850" max="3850" width="1.85546875" style="105" customWidth="1"/>
    <col min="3851" max="3851" width="7" style="105" bestFit="1" customWidth="1"/>
    <col min="3852" max="3852" width="6.28515625" style="105" customWidth="1"/>
    <col min="3853" max="3853" width="20.42578125" style="105" customWidth="1"/>
    <col min="3854" max="3854" width="6.42578125" style="105" bestFit="1" customWidth="1"/>
    <col min="3855" max="3856" width="8.42578125" style="105"/>
    <col min="3857" max="3857" width="3.28515625" style="105" customWidth="1"/>
    <col min="3858" max="4096" width="8.42578125" style="105"/>
    <col min="4097" max="4097" width="10" style="105" bestFit="1" customWidth="1"/>
    <col min="4098" max="4098" width="44.28515625" style="105" bestFit="1" customWidth="1"/>
    <col min="4099" max="4099" width="10.42578125" style="105" bestFit="1" customWidth="1"/>
    <col min="4100" max="4100" width="10.42578125" style="105" customWidth="1"/>
    <col min="4101" max="4101" width="9.7109375" style="105" bestFit="1" customWidth="1"/>
    <col min="4102" max="4103" width="9.5703125" style="105" bestFit="1" customWidth="1"/>
    <col min="4104" max="4104" width="10.42578125" style="105" bestFit="1" customWidth="1"/>
    <col min="4105" max="4105" width="4.5703125" style="105" customWidth="1"/>
    <col min="4106" max="4106" width="1.85546875" style="105" customWidth="1"/>
    <col min="4107" max="4107" width="7" style="105" bestFit="1" customWidth="1"/>
    <col min="4108" max="4108" width="6.28515625" style="105" customWidth="1"/>
    <col min="4109" max="4109" width="20.42578125" style="105" customWidth="1"/>
    <col min="4110" max="4110" width="6.42578125" style="105" bestFit="1" customWidth="1"/>
    <col min="4111" max="4112" width="8.42578125" style="105"/>
    <col min="4113" max="4113" width="3.28515625" style="105" customWidth="1"/>
    <col min="4114" max="4352" width="8.42578125" style="105"/>
    <col min="4353" max="4353" width="10" style="105" bestFit="1" customWidth="1"/>
    <col min="4354" max="4354" width="44.28515625" style="105" bestFit="1" customWidth="1"/>
    <col min="4355" max="4355" width="10.42578125" style="105" bestFit="1" customWidth="1"/>
    <col min="4356" max="4356" width="10.42578125" style="105" customWidth="1"/>
    <col min="4357" max="4357" width="9.7109375" style="105" bestFit="1" customWidth="1"/>
    <col min="4358" max="4359" width="9.5703125" style="105" bestFit="1" customWidth="1"/>
    <col min="4360" max="4360" width="10.42578125" style="105" bestFit="1" customWidth="1"/>
    <col min="4361" max="4361" width="4.5703125" style="105" customWidth="1"/>
    <col min="4362" max="4362" width="1.85546875" style="105" customWidth="1"/>
    <col min="4363" max="4363" width="7" style="105" bestFit="1" customWidth="1"/>
    <col min="4364" max="4364" width="6.28515625" style="105" customWidth="1"/>
    <col min="4365" max="4365" width="20.42578125" style="105" customWidth="1"/>
    <col min="4366" max="4366" width="6.42578125" style="105" bestFit="1" customWidth="1"/>
    <col min="4367" max="4368" width="8.42578125" style="105"/>
    <col min="4369" max="4369" width="3.28515625" style="105" customWidth="1"/>
    <col min="4370" max="4608" width="8.42578125" style="105"/>
    <col min="4609" max="4609" width="10" style="105" bestFit="1" customWidth="1"/>
    <col min="4610" max="4610" width="44.28515625" style="105" bestFit="1" customWidth="1"/>
    <col min="4611" max="4611" width="10.42578125" style="105" bestFit="1" customWidth="1"/>
    <col min="4612" max="4612" width="10.42578125" style="105" customWidth="1"/>
    <col min="4613" max="4613" width="9.7109375" style="105" bestFit="1" customWidth="1"/>
    <col min="4614" max="4615" width="9.5703125" style="105" bestFit="1" customWidth="1"/>
    <col min="4616" max="4616" width="10.42578125" style="105" bestFit="1" customWidth="1"/>
    <col min="4617" max="4617" width="4.5703125" style="105" customWidth="1"/>
    <col min="4618" max="4618" width="1.85546875" style="105" customWidth="1"/>
    <col min="4619" max="4619" width="7" style="105" bestFit="1" customWidth="1"/>
    <col min="4620" max="4620" width="6.28515625" style="105" customWidth="1"/>
    <col min="4621" max="4621" width="20.42578125" style="105" customWidth="1"/>
    <col min="4622" max="4622" width="6.42578125" style="105" bestFit="1" customWidth="1"/>
    <col min="4623" max="4624" width="8.42578125" style="105"/>
    <col min="4625" max="4625" width="3.28515625" style="105" customWidth="1"/>
    <col min="4626" max="4864" width="8.42578125" style="105"/>
    <col min="4865" max="4865" width="10" style="105" bestFit="1" customWidth="1"/>
    <col min="4866" max="4866" width="44.28515625" style="105" bestFit="1" customWidth="1"/>
    <col min="4867" max="4867" width="10.42578125" style="105" bestFit="1" customWidth="1"/>
    <col min="4868" max="4868" width="10.42578125" style="105" customWidth="1"/>
    <col min="4869" max="4869" width="9.7109375" style="105" bestFit="1" customWidth="1"/>
    <col min="4870" max="4871" width="9.5703125" style="105" bestFit="1" customWidth="1"/>
    <col min="4872" max="4872" width="10.42578125" style="105" bestFit="1" customWidth="1"/>
    <col min="4873" max="4873" width="4.5703125" style="105" customWidth="1"/>
    <col min="4874" max="4874" width="1.85546875" style="105" customWidth="1"/>
    <col min="4875" max="4875" width="7" style="105" bestFit="1" customWidth="1"/>
    <col min="4876" max="4876" width="6.28515625" style="105" customWidth="1"/>
    <col min="4877" max="4877" width="20.42578125" style="105" customWidth="1"/>
    <col min="4878" max="4878" width="6.42578125" style="105" bestFit="1" customWidth="1"/>
    <col min="4879" max="4880" width="8.42578125" style="105"/>
    <col min="4881" max="4881" width="3.28515625" style="105" customWidth="1"/>
    <col min="4882" max="5120" width="8.42578125" style="105"/>
    <col min="5121" max="5121" width="10" style="105" bestFit="1" customWidth="1"/>
    <col min="5122" max="5122" width="44.28515625" style="105" bestFit="1" customWidth="1"/>
    <col min="5123" max="5123" width="10.42578125" style="105" bestFit="1" customWidth="1"/>
    <col min="5124" max="5124" width="10.42578125" style="105" customWidth="1"/>
    <col min="5125" max="5125" width="9.7109375" style="105" bestFit="1" customWidth="1"/>
    <col min="5126" max="5127" width="9.5703125" style="105" bestFit="1" customWidth="1"/>
    <col min="5128" max="5128" width="10.42578125" style="105" bestFit="1" customWidth="1"/>
    <col min="5129" max="5129" width="4.5703125" style="105" customWidth="1"/>
    <col min="5130" max="5130" width="1.85546875" style="105" customWidth="1"/>
    <col min="5131" max="5131" width="7" style="105" bestFit="1" customWidth="1"/>
    <col min="5132" max="5132" width="6.28515625" style="105" customWidth="1"/>
    <col min="5133" max="5133" width="20.42578125" style="105" customWidth="1"/>
    <col min="5134" max="5134" width="6.42578125" style="105" bestFit="1" customWidth="1"/>
    <col min="5135" max="5136" width="8.42578125" style="105"/>
    <col min="5137" max="5137" width="3.28515625" style="105" customWidth="1"/>
    <col min="5138" max="5376" width="8.42578125" style="105"/>
    <col min="5377" max="5377" width="10" style="105" bestFit="1" customWidth="1"/>
    <col min="5378" max="5378" width="44.28515625" style="105" bestFit="1" customWidth="1"/>
    <col min="5379" max="5379" width="10.42578125" style="105" bestFit="1" customWidth="1"/>
    <col min="5380" max="5380" width="10.42578125" style="105" customWidth="1"/>
    <col min="5381" max="5381" width="9.7109375" style="105" bestFit="1" customWidth="1"/>
    <col min="5382" max="5383" width="9.5703125" style="105" bestFit="1" customWidth="1"/>
    <col min="5384" max="5384" width="10.42578125" style="105" bestFit="1" customWidth="1"/>
    <col min="5385" max="5385" width="4.5703125" style="105" customWidth="1"/>
    <col min="5386" max="5386" width="1.85546875" style="105" customWidth="1"/>
    <col min="5387" max="5387" width="7" style="105" bestFit="1" customWidth="1"/>
    <col min="5388" max="5388" width="6.28515625" style="105" customWidth="1"/>
    <col min="5389" max="5389" width="20.42578125" style="105" customWidth="1"/>
    <col min="5390" max="5390" width="6.42578125" style="105" bestFit="1" customWidth="1"/>
    <col min="5391" max="5392" width="8.42578125" style="105"/>
    <col min="5393" max="5393" width="3.28515625" style="105" customWidth="1"/>
    <col min="5394" max="5632" width="8.42578125" style="105"/>
    <col min="5633" max="5633" width="10" style="105" bestFit="1" customWidth="1"/>
    <col min="5634" max="5634" width="44.28515625" style="105" bestFit="1" customWidth="1"/>
    <col min="5635" max="5635" width="10.42578125" style="105" bestFit="1" customWidth="1"/>
    <col min="5636" max="5636" width="10.42578125" style="105" customWidth="1"/>
    <col min="5637" max="5637" width="9.7109375" style="105" bestFit="1" customWidth="1"/>
    <col min="5638" max="5639" width="9.5703125" style="105" bestFit="1" customWidth="1"/>
    <col min="5640" max="5640" width="10.42578125" style="105" bestFit="1" customWidth="1"/>
    <col min="5641" max="5641" width="4.5703125" style="105" customWidth="1"/>
    <col min="5642" max="5642" width="1.85546875" style="105" customWidth="1"/>
    <col min="5643" max="5643" width="7" style="105" bestFit="1" customWidth="1"/>
    <col min="5644" max="5644" width="6.28515625" style="105" customWidth="1"/>
    <col min="5645" max="5645" width="20.42578125" style="105" customWidth="1"/>
    <col min="5646" max="5646" width="6.42578125" style="105" bestFit="1" customWidth="1"/>
    <col min="5647" max="5648" width="8.42578125" style="105"/>
    <col min="5649" max="5649" width="3.28515625" style="105" customWidth="1"/>
    <col min="5650" max="5888" width="8.42578125" style="105"/>
    <col min="5889" max="5889" width="10" style="105" bestFit="1" customWidth="1"/>
    <col min="5890" max="5890" width="44.28515625" style="105" bestFit="1" customWidth="1"/>
    <col min="5891" max="5891" width="10.42578125" style="105" bestFit="1" customWidth="1"/>
    <col min="5892" max="5892" width="10.42578125" style="105" customWidth="1"/>
    <col min="5893" max="5893" width="9.7109375" style="105" bestFit="1" customWidth="1"/>
    <col min="5894" max="5895" width="9.5703125" style="105" bestFit="1" customWidth="1"/>
    <col min="5896" max="5896" width="10.42578125" style="105" bestFit="1" customWidth="1"/>
    <col min="5897" max="5897" width="4.5703125" style="105" customWidth="1"/>
    <col min="5898" max="5898" width="1.85546875" style="105" customWidth="1"/>
    <col min="5899" max="5899" width="7" style="105" bestFit="1" customWidth="1"/>
    <col min="5900" max="5900" width="6.28515625" style="105" customWidth="1"/>
    <col min="5901" max="5901" width="20.42578125" style="105" customWidth="1"/>
    <col min="5902" max="5902" width="6.42578125" style="105" bestFit="1" customWidth="1"/>
    <col min="5903" max="5904" width="8.42578125" style="105"/>
    <col min="5905" max="5905" width="3.28515625" style="105" customWidth="1"/>
    <col min="5906" max="6144" width="8.42578125" style="105"/>
    <col min="6145" max="6145" width="10" style="105" bestFit="1" customWidth="1"/>
    <col min="6146" max="6146" width="44.28515625" style="105" bestFit="1" customWidth="1"/>
    <col min="6147" max="6147" width="10.42578125" style="105" bestFit="1" customWidth="1"/>
    <col min="6148" max="6148" width="10.42578125" style="105" customWidth="1"/>
    <col min="6149" max="6149" width="9.7109375" style="105" bestFit="1" customWidth="1"/>
    <col min="6150" max="6151" width="9.5703125" style="105" bestFit="1" customWidth="1"/>
    <col min="6152" max="6152" width="10.42578125" style="105" bestFit="1" customWidth="1"/>
    <col min="6153" max="6153" width="4.5703125" style="105" customWidth="1"/>
    <col min="6154" max="6154" width="1.85546875" style="105" customWidth="1"/>
    <col min="6155" max="6155" width="7" style="105" bestFit="1" customWidth="1"/>
    <col min="6156" max="6156" width="6.28515625" style="105" customWidth="1"/>
    <col min="6157" max="6157" width="20.42578125" style="105" customWidth="1"/>
    <col min="6158" max="6158" width="6.42578125" style="105" bestFit="1" customWidth="1"/>
    <col min="6159" max="6160" width="8.42578125" style="105"/>
    <col min="6161" max="6161" width="3.28515625" style="105" customWidth="1"/>
    <col min="6162" max="6400" width="8.42578125" style="105"/>
    <col min="6401" max="6401" width="10" style="105" bestFit="1" customWidth="1"/>
    <col min="6402" max="6402" width="44.28515625" style="105" bestFit="1" customWidth="1"/>
    <col min="6403" max="6403" width="10.42578125" style="105" bestFit="1" customWidth="1"/>
    <col min="6404" max="6404" width="10.42578125" style="105" customWidth="1"/>
    <col min="6405" max="6405" width="9.7109375" style="105" bestFit="1" customWidth="1"/>
    <col min="6406" max="6407" width="9.5703125" style="105" bestFit="1" customWidth="1"/>
    <col min="6408" max="6408" width="10.42578125" style="105" bestFit="1" customWidth="1"/>
    <col min="6409" max="6409" width="4.5703125" style="105" customWidth="1"/>
    <col min="6410" max="6410" width="1.85546875" style="105" customWidth="1"/>
    <col min="6411" max="6411" width="7" style="105" bestFit="1" customWidth="1"/>
    <col min="6412" max="6412" width="6.28515625" style="105" customWidth="1"/>
    <col min="6413" max="6413" width="20.42578125" style="105" customWidth="1"/>
    <col min="6414" max="6414" width="6.42578125" style="105" bestFit="1" customWidth="1"/>
    <col min="6415" max="6416" width="8.42578125" style="105"/>
    <col min="6417" max="6417" width="3.28515625" style="105" customWidth="1"/>
    <col min="6418" max="6656" width="8.42578125" style="105"/>
    <col min="6657" max="6657" width="10" style="105" bestFit="1" customWidth="1"/>
    <col min="6658" max="6658" width="44.28515625" style="105" bestFit="1" customWidth="1"/>
    <col min="6659" max="6659" width="10.42578125" style="105" bestFit="1" customWidth="1"/>
    <col min="6660" max="6660" width="10.42578125" style="105" customWidth="1"/>
    <col min="6661" max="6661" width="9.7109375" style="105" bestFit="1" customWidth="1"/>
    <col min="6662" max="6663" width="9.5703125" style="105" bestFit="1" customWidth="1"/>
    <col min="6664" max="6664" width="10.42578125" style="105" bestFit="1" customWidth="1"/>
    <col min="6665" max="6665" width="4.5703125" style="105" customWidth="1"/>
    <col min="6666" max="6666" width="1.85546875" style="105" customWidth="1"/>
    <col min="6667" max="6667" width="7" style="105" bestFit="1" customWidth="1"/>
    <col min="6668" max="6668" width="6.28515625" style="105" customWidth="1"/>
    <col min="6669" max="6669" width="20.42578125" style="105" customWidth="1"/>
    <col min="6670" max="6670" width="6.42578125" style="105" bestFit="1" customWidth="1"/>
    <col min="6671" max="6672" width="8.42578125" style="105"/>
    <col min="6673" max="6673" width="3.28515625" style="105" customWidth="1"/>
    <col min="6674" max="6912" width="8.42578125" style="105"/>
    <col min="6913" max="6913" width="10" style="105" bestFit="1" customWidth="1"/>
    <col min="6914" max="6914" width="44.28515625" style="105" bestFit="1" customWidth="1"/>
    <col min="6915" max="6915" width="10.42578125" style="105" bestFit="1" customWidth="1"/>
    <col min="6916" max="6916" width="10.42578125" style="105" customWidth="1"/>
    <col min="6917" max="6917" width="9.7109375" style="105" bestFit="1" customWidth="1"/>
    <col min="6918" max="6919" width="9.5703125" style="105" bestFit="1" customWidth="1"/>
    <col min="6920" max="6920" width="10.42578125" style="105" bestFit="1" customWidth="1"/>
    <col min="6921" max="6921" width="4.5703125" style="105" customWidth="1"/>
    <col min="6922" max="6922" width="1.85546875" style="105" customWidth="1"/>
    <col min="6923" max="6923" width="7" style="105" bestFit="1" customWidth="1"/>
    <col min="6924" max="6924" width="6.28515625" style="105" customWidth="1"/>
    <col min="6925" max="6925" width="20.42578125" style="105" customWidth="1"/>
    <col min="6926" max="6926" width="6.42578125" style="105" bestFit="1" customWidth="1"/>
    <col min="6927" max="6928" width="8.42578125" style="105"/>
    <col min="6929" max="6929" width="3.28515625" style="105" customWidth="1"/>
    <col min="6930" max="7168" width="8.42578125" style="105"/>
    <col min="7169" max="7169" width="10" style="105" bestFit="1" customWidth="1"/>
    <col min="7170" max="7170" width="44.28515625" style="105" bestFit="1" customWidth="1"/>
    <col min="7171" max="7171" width="10.42578125" style="105" bestFit="1" customWidth="1"/>
    <col min="7172" max="7172" width="10.42578125" style="105" customWidth="1"/>
    <col min="7173" max="7173" width="9.7109375" style="105" bestFit="1" customWidth="1"/>
    <col min="7174" max="7175" width="9.5703125" style="105" bestFit="1" customWidth="1"/>
    <col min="7176" max="7176" width="10.42578125" style="105" bestFit="1" customWidth="1"/>
    <col min="7177" max="7177" width="4.5703125" style="105" customWidth="1"/>
    <col min="7178" max="7178" width="1.85546875" style="105" customWidth="1"/>
    <col min="7179" max="7179" width="7" style="105" bestFit="1" customWidth="1"/>
    <col min="7180" max="7180" width="6.28515625" style="105" customWidth="1"/>
    <col min="7181" max="7181" width="20.42578125" style="105" customWidth="1"/>
    <col min="7182" max="7182" width="6.42578125" style="105" bestFit="1" customWidth="1"/>
    <col min="7183" max="7184" width="8.42578125" style="105"/>
    <col min="7185" max="7185" width="3.28515625" style="105" customWidth="1"/>
    <col min="7186" max="7424" width="8.42578125" style="105"/>
    <col min="7425" max="7425" width="10" style="105" bestFit="1" customWidth="1"/>
    <col min="7426" max="7426" width="44.28515625" style="105" bestFit="1" customWidth="1"/>
    <col min="7427" max="7427" width="10.42578125" style="105" bestFit="1" customWidth="1"/>
    <col min="7428" max="7428" width="10.42578125" style="105" customWidth="1"/>
    <col min="7429" max="7429" width="9.7109375" style="105" bestFit="1" customWidth="1"/>
    <col min="7430" max="7431" width="9.5703125" style="105" bestFit="1" customWidth="1"/>
    <col min="7432" max="7432" width="10.42578125" style="105" bestFit="1" customWidth="1"/>
    <col min="7433" max="7433" width="4.5703125" style="105" customWidth="1"/>
    <col min="7434" max="7434" width="1.85546875" style="105" customWidth="1"/>
    <col min="7435" max="7435" width="7" style="105" bestFit="1" customWidth="1"/>
    <col min="7436" max="7436" width="6.28515625" style="105" customWidth="1"/>
    <col min="7437" max="7437" width="20.42578125" style="105" customWidth="1"/>
    <col min="7438" max="7438" width="6.42578125" style="105" bestFit="1" customWidth="1"/>
    <col min="7439" max="7440" width="8.42578125" style="105"/>
    <col min="7441" max="7441" width="3.28515625" style="105" customWidth="1"/>
    <col min="7442" max="7680" width="8.42578125" style="105"/>
    <col min="7681" max="7681" width="10" style="105" bestFit="1" customWidth="1"/>
    <col min="7682" max="7682" width="44.28515625" style="105" bestFit="1" customWidth="1"/>
    <col min="7683" max="7683" width="10.42578125" style="105" bestFit="1" customWidth="1"/>
    <col min="7684" max="7684" width="10.42578125" style="105" customWidth="1"/>
    <col min="7685" max="7685" width="9.7109375" style="105" bestFit="1" customWidth="1"/>
    <col min="7686" max="7687" width="9.5703125" style="105" bestFit="1" customWidth="1"/>
    <col min="7688" max="7688" width="10.42578125" style="105" bestFit="1" customWidth="1"/>
    <col min="7689" max="7689" width="4.5703125" style="105" customWidth="1"/>
    <col min="7690" max="7690" width="1.85546875" style="105" customWidth="1"/>
    <col min="7691" max="7691" width="7" style="105" bestFit="1" customWidth="1"/>
    <col min="7692" max="7692" width="6.28515625" style="105" customWidth="1"/>
    <col min="7693" max="7693" width="20.42578125" style="105" customWidth="1"/>
    <col min="7694" max="7694" width="6.42578125" style="105" bestFit="1" customWidth="1"/>
    <col min="7695" max="7696" width="8.42578125" style="105"/>
    <col min="7697" max="7697" width="3.28515625" style="105" customWidth="1"/>
    <col min="7698" max="7936" width="8.42578125" style="105"/>
    <col min="7937" max="7937" width="10" style="105" bestFit="1" customWidth="1"/>
    <col min="7938" max="7938" width="44.28515625" style="105" bestFit="1" customWidth="1"/>
    <col min="7939" max="7939" width="10.42578125" style="105" bestFit="1" customWidth="1"/>
    <col min="7940" max="7940" width="10.42578125" style="105" customWidth="1"/>
    <col min="7941" max="7941" width="9.7109375" style="105" bestFit="1" customWidth="1"/>
    <col min="7942" max="7943" width="9.5703125" style="105" bestFit="1" customWidth="1"/>
    <col min="7944" max="7944" width="10.42578125" style="105" bestFit="1" customWidth="1"/>
    <col min="7945" max="7945" width="4.5703125" style="105" customWidth="1"/>
    <col min="7946" max="7946" width="1.85546875" style="105" customWidth="1"/>
    <col min="7947" max="7947" width="7" style="105" bestFit="1" customWidth="1"/>
    <col min="7948" max="7948" width="6.28515625" style="105" customWidth="1"/>
    <col min="7949" max="7949" width="20.42578125" style="105" customWidth="1"/>
    <col min="7950" max="7950" width="6.42578125" style="105" bestFit="1" customWidth="1"/>
    <col min="7951" max="7952" width="8.42578125" style="105"/>
    <col min="7953" max="7953" width="3.28515625" style="105" customWidth="1"/>
    <col min="7954" max="8192" width="8.42578125" style="105"/>
    <col min="8193" max="8193" width="10" style="105" bestFit="1" customWidth="1"/>
    <col min="8194" max="8194" width="44.28515625" style="105" bestFit="1" customWidth="1"/>
    <col min="8195" max="8195" width="10.42578125" style="105" bestFit="1" customWidth="1"/>
    <col min="8196" max="8196" width="10.42578125" style="105" customWidth="1"/>
    <col min="8197" max="8197" width="9.7109375" style="105" bestFit="1" customWidth="1"/>
    <col min="8198" max="8199" width="9.5703125" style="105" bestFit="1" customWidth="1"/>
    <col min="8200" max="8200" width="10.42578125" style="105" bestFit="1" customWidth="1"/>
    <col min="8201" max="8201" width="4.5703125" style="105" customWidth="1"/>
    <col min="8202" max="8202" width="1.85546875" style="105" customWidth="1"/>
    <col min="8203" max="8203" width="7" style="105" bestFit="1" customWidth="1"/>
    <col min="8204" max="8204" width="6.28515625" style="105" customWidth="1"/>
    <col min="8205" max="8205" width="20.42578125" style="105" customWidth="1"/>
    <col min="8206" max="8206" width="6.42578125" style="105" bestFit="1" customWidth="1"/>
    <col min="8207" max="8208" width="8.42578125" style="105"/>
    <col min="8209" max="8209" width="3.28515625" style="105" customWidth="1"/>
    <col min="8210" max="8448" width="8.42578125" style="105"/>
    <col min="8449" max="8449" width="10" style="105" bestFit="1" customWidth="1"/>
    <col min="8450" max="8450" width="44.28515625" style="105" bestFit="1" customWidth="1"/>
    <col min="8451" max="8451" width="10.42578125" style="105" bestFit="1" customWidth="1"/>
    <col min="8452" max="8452" width="10.42578125" style="105" customWidth="1"/>
    <col min="8453" max="8453" width="9.7109375" style="105" bestFit="1" customWidth="1"/>
    <col min="8454" max="8455" width="9.5703125" style="105" bestFit="1" customWidth="1"/>
    <col min="8456" max="8456" width="10.42578125" style="105" bestFit="1" customWidth="1"/>
    <col min="8457" max="8457" width="4.5703125" style="105" customWidth="1"/>
    <col min="8458" max="8458" width="1.85546875" style="105" customWidth="1"/>
    <col min="8459" max="8459" width="7" style="105" bestFit="1" customWidth="1"/>
    <col min="8460" max="8460" width="6.28515625" style="105" customWidth="1"/>
    <col min="8461" max="8461" width="20.42578125" style="105" customWidth="1"/>
    <col min="8462" max="8462" width="6.42578125" style="105" bestFit="1" customWidth="1"/>
    <col min="8463" max="8464" width="8.42578125" style="105"/>
    <col min="8465" max="8465" width="3.28515625" style="105" customWidth="1"/>
    <col min="8466" max="8704" width="8.42578125" style="105"/>
    <col min="8705" max="8705" width="10" style="105" bestFit="1" customWidth="1"/>
    <col min="8706" max="8706" width="44.28515625" style="105" bestFit="1" customWidth="1"/>
    <col min="8707" max="8707" width="10.42578125" style="105" bestFit="1" customWidth="1"/>
    <col min="8708" max="8708" width="10.42578125" style="105" customWidth="1"/>
    <col min="8709" max="8709" width="9.7109375" style="105" bestFit="1" customWidth="1"/>
    <col min="8710" max="8711" width="9.5703125" style="105" bestFit="1" customWidth="1"/>
    <col min="8712" max="8712" width="10.42578125" style="105" bestFit="1" customWidth="1"/>
    <col min="8713" max="8713" width="4.5703125" style="105" customWidth="1"/>
    <col min="8714" max="8714" width="1.85546875" style="105" customWidth="1"/>
    <col min="8715" max="8715" width="7" style="105" bestFit="1" customWidth="1"/>
    <col min="8716" max="8716" width="6.28515625" style="105" customWidth="1"/>
    <col min="8717" max="8717" width="20.42578125" style="105" customWidth="1"/>
    <col min="8718" max="8718" width="6.42578125" style="105" bestFit="1" customWidth="1"/>
    <col min="8719" max="8720" width="8.42578125" style="105"/>
    <col min="8721" max="8721" width="3.28515625" style="105" customWidth="1"/>
    <col min="8722" max="8960" width="8.42578125" style="105"/>
    <col min="8961" max="8961" width="10" style="105" bestFit="1" customWidth="1"/>
    <col min="8962" max="8962" width="44.28515625" style="105" bestFit="1" customWidth="1"/>
    <col min="8963" max="8963" width="10.42578125" style="105" bestFit="1" customWidth="1"/>
    <col min="8964" max="8964" width="10.42578125" style="105" customWidth="1"/>
    <col min="8965" max="8965" width="9.7109375" style="105" bestFit="1" customWidth="1"/>
    <col min="8966" max="8967" width="9.5703125" style="105" bestFit="1" customWidth="1"/>
    <col min="8968" max="8968" width="10.42578125" style="105" bestFit="1" customWidth="1"/>
    <col min="8969" max="8969" width="4.5703125" style="105" customWidth="1"/>
    <col min="8970" max="8970" width="1.85546875" style="105" customWidth="1"/>
    <col min="8971" max="8971" width="7" style="105" bestFit="1" customWidth="1"/>
    <col min="8972" max="8972" width="6.28515625" style="105" customWidth="1"/>
    <col min="8973" max="8973" width="20.42578125" style="105" customWidth="1"/>
    <col min="8974" max="8974" width="6.42578125" style="105" bestFit="1" customWidth="1"/>
    <col min="8975" max="8976" width="8.42578125" style="105"/>
    <col min="8977" max="8977" width="3.28515625" style="105" customWidth="1"/>
    <col min="8978" max="9216" width="8.42578125" style="105"/>
    <col min="9217" max="9217" width="10" style="105" bestFit="1" customWidth="1"/>
    <col min="9218" max="9218" width="44.28515625" style="105" bestFit="1" customWidth="1"/>
    <col min="9219" max="9219" width="10.42578125" style="105" bestFit="1" customWidth="1"/>
    <col min="9220" max="9220" width="10.42578125" style="105" customWidth="1"/>
    <col min="9221" max="9221" width="9.7109375" style="105" bestFit="1" customWidth="1"/>
    <col min="9222" max="9223" width="9.5703125" style="105" bestFit="1" customWidth="1"/>
    <col min="9224" max="9224" width="10.42578125" style="105" bestFit="1" customWidth="1"/>
    <col min="9225" max="9225" width="4.5703125" style="105" customWidth="1"/>
    <col min="9226" max="9226" width="1.85546875" style="105" customWidth="1"/>
    <col min="9227" max="9227" width="7" style="105" bestFit="1" customWidth="1"/>
    <col min="9228" max="9228" width="6.28515625" style="105" customWidth="1"/>
    <col min="9229" max="9229" width="20.42578125" style="105" customWidth="1"/>
    <col min="9230" max="9230" width="6.42578125" style="105" bestFit="1" customWidth="1"/>
    <col min="9231" max="9232" width="8.42578125" style="105"/>
    <col min="9233" max="9233" width="3.28515625" style="105" customWidth="1"/>
    <col min="9234" max="9472" width="8.42578125" style="105"/>
    <col min="9473" max="9473" width="10" style="105" bestFit="1" customWidth="1"/>
    <col min="9474" max="9474" width="44.28515625" style="105" bestFit="1" customWidth="1"/>
    <col min="9475" max="9475" width="10.42578125" style="105" bestFit="1" customWidth="1"/>
    <col min="9476" max="9476" width="10.42578125" style="105" customWidth="1"/>
    <col min="9477" max="9477" width="9.7109375" style="105" bestFit="1" customWidth="1"/>
    <col min="9478" max="9479" width="9.5703125" style="105" bestFit="1" customWidth="1"/>
    <col min="9480" max="9480" width="10.42578125" style="105" bestFit="1" customWidth="1"/>
    <col min="9481" max="9481" width="4.5703125" style="105" customWidth="1"/>
    <col min="9482" max="9482" width="1.85546875" style="105" customWidth="1"/>
    <col min="9483" max="9483" width="7" style="105" bestFit="1" customWidth="1"/>
    <col min="9484" max="9484" width="6.28515625" style="105" customWidth="1"/>
    <col min="9485" max="9485" width="20.42578125" style="105" customWidth="1"/>
    <col min="9486" max="9486" width="6.42578125" style="105" bestFit="1" customWidth="1"/>
    <col min="9487" max="9488" width="8.42578125" style="105"/>
    <col min="9489" max="9489" width="3.28515625" style="105" customWidth="1"/>
    <col min="9490" max="9728" width="8.42578125" style="105"/>
    <col min="9729" max="9729" width="10" style="105" bestFit="1" customWidth="1"/>
    <col min="9730" max="9730" width="44.28515625" style="105" bestFit="1" customWidth="1"/>
    <col min="9731" max="9731" width="10.42578125" style="105" bestFit="1" customWidth="1"/>
    <col min="9732" max="9732" width="10.42578125" style="105" customWidth="1"/>
    <col min="9733" max="9733" width="9.7109375" style="105" bestFit="1" customWidth="1"/>
    <col min="9734" max="9735" width="9.5703125" style="105" bestFit="1" customWidth="1"/>
    <col min="9736" max="9736" width="10.42578125" style="105" bestFit="1" customWidth="1"/>
    <col min="9737" max="9737" width="4.5703125" style="105" customWidth="1"/>
    <col min="9738" max="9738" width="1.85546875" style="105" customWidth="1"/>
    <col min="9739" max="9739" width="7" style="105" bestFit="1" customWidth="1"/>
    <col min="9740" max="9740" width="6.28515625" style="105" customWidth="1"/>
    <col min="9741" max="9741" width="20.42578125" style="105" customWidth="1"/>
    <col min="9742" max="9742" width="6.42578125" style="105" bestFit="1" customWidth="1"/>
    <col min="9743" max="9744" width="8.42578125" style="105"/>
    <col min="9745" max="9745" width="3.28515625" style="105" customWidth="1"/>
    <col min="9746" max="9984" width="8.42578125" style="105"/>
    <col min="9985" max="9985" width="10" style="105" bestFit="1" customWidth="1"/>
    <col min="9986" max="9986" width="44.28515625" style="105" bestFit="1" customWidth="1"/>
    <col min="9987" max="9987" width="10.42578125" style="105" bestFit="1" customWidth="1"/>
    <col min="9988" max="9988" width="10.42578125" style="105" customWidth="1"/>
    <col min="9989" max="9989" width="9.7109375" style="105" bestFit="1" customWidth="1"/>
    <col min="9990" max="9991" width="9.5703125" style="105" bestFit="1" customWidth="1"/>
    <col min="9992" max="9992" width="10.42578125" style="105" bestFit="1" customWidth="1"/>
    <col min="9993" max="9993" width="4.5703125" style="105" customWidth="1"/>
    <col min="9994" max="9994" width="1.85546875" style="105" customWidth="1"/>
    <col min="9995" max="9995" width="7" style="105" bestFit="1" customWidth="1"/>
    <col min="9996" max="9996" width="6.28515625" style="105" customWidth="1"/>
    <col min="9997" max="9997" width="20.42578125" style="105" customWidth="1"/>
    <col min="9998" max="9998" width="6.42578125" style="105" bestFit="1" customWidth="1"/>
    <col min="9999" max="10000" width="8.42578125" style="105"/>
    <col min="10001" max="10001" width="3.28515625" style="105" customWidth="1"/>
    <col min="10002" max="10240" width="8.42578125" style="105"/>
    <col min="10241" max="10241" width="10" style="105" bestFit="1" customWidth="1"/>
    <col min="10242" max="10242" width="44.28515625" style="105" bestFit="1" customWidth="1"/>
    <col min="10243" max="10243" width="10.42578125" style="105" bestFit="1" customWidth="1"/>
    <col min="10244" max="10244" width="10.42578125" style="105" customWidth="1"/>
    <col min="10245" max="10245" width="9.7109375" style="105" bestFit="1" customWidth="1"/>
    <col min="10246" max="10247" width="9.5703125" style="105" bestFit="1" customWidth="1"/>
    <col min="10248" max="10248" width="10.42578125" style="105" bestFit="1" customWidth="1"/>
    <col min="10249" max="10249" width="4.5703125" style="105" customWidth="1"/>
    <col min="10250" max="10250" width="1.85546875" style="105" customWidth="1"/>
    <col min="10251" max="10251" width="7" style="105" bestFit="1" customWidth="1"/>
    <col min="10252" max="10252" width="6.28515625" style="105" customWidth="1"/>
    <col min="10253" max="10253" width="20.42578125" style="105" customWidth="1"/>
    <col min="10254" max="10254" width="6.42578125" style="105" bestFit="1" customWidth="1"/>
    <col min="10255" max="10256" width="8.42578125" style="105"/>
    <col min="10257" max="10257" width="3.28515625" style="105" customWidth="1"/>
    <col min="10258" max="10496" width="8.42578125" style="105"/>
    <col min="10497" max="10497" width="10" style="105" bestFit="1" customWidth="1"/>
    <col min="10498" max="10498" width="44.28515625" style="105" bestFit="1" customWidth="1"/>
    <col min="10499" max="10499" width="10.42578125" style="105" bestFit="1" customWidth="1"/>
    <col min="10500" max="10500" width="10.42578125" style="105" customWidth="1"/>
    <col min="10501" max="10501" width="9.7109375" style="105" bestFit="1" customWidth="1"/>
    <col min="10502" max="10503" width="9.5703125" style="105" bestFit="1" customWidth="1"/>
    <col min="10504" max="10504" width="10.42578125" style="105" bestFit="1" customWidth="1"/>
    <col min="10505" max="10505" width="4.5703125" style="105" customWidth="1"/>
    <col min="10506" max="10506" width="1.85546875" style="105" customWidth="1"/>
    <col min="10507" max="10507" width="7" style="105" bestFit="1" customWidth="1"/>
    <col min="10508" max="10508" width="6.28515625" style="105" customWidth="1"/>
    <col min="10509" max="10509" width="20.42578125" style="105" customWidth="1"/>
    <col min="10510" max="10510" width="6.42578125" style="105" bestFit="1" customWidth="1"/>
    <col min="10511" max="10512" width="8.42578125" style="105"/>
    <col min="10513" max="10513" width="3.28515625" style="105" customWidth="1"/>
    <col min="10514" max="10752" width="8.42578125" style="105"/>
    <col min="10753" max="10753" width="10" style="105" bestFit="1" customWidth="1"/>
    <col min="10754" max="10754" width="44.28515625" style="105" bestFit="1" customWidth="1"/>
    <col min="10755" max="10755" width="10.42578125" style="105" bestFit="1" customWidth="1"/>
    <col min="10756" max="10756" width="10.42578125" style="105" customWidth="1"/>
    <col min="10757" max="10757" width="9.7109375" style="105" bestFit="1" customWidth="1"/>
    <col min="10758" max="10759" width="9.5703125" style="105" bestFit="1" customWidth="1"/>
    <col min="10760" max="10760" width="10.42578125" style="105" bestFit="1" customWidth="1"/>
    <col min="10761" max="10761" width="4.5703125" style="105" customWidth="1"/>
    <col min="10762" max="10762" width="1.85546875" style="105" customWidth="1"/>
    <col min="10763" max="10763" width="7" style="105" bestFit="1" customWidth="1"/>
    <col min="10764" max="10764" width="6.28515625" style="105" customWidth="1"/>
    <col min="10765" max="10765" width="20.42578125" style="105" customWidth="1"/>
    <col min="10766" max="10766" width="6.42578125" style="105" bestFit="1" customWidth="1"/>
    <col min="10767" max="10768" width="8.42578125" style="105"/>
    <col min="10769" max="10769" width="3.28515625" style="105" customWidth="1"/>
    <col min="10770" max="11008" width="8.42578125" style="105"/>
    <col min="11009" max="11009" width="10" style="105" bestFit="1" customWidth="1"/>
    <col min="11010" max="11010" width="44.28515625" style="105" bestFit="1" customWidth="1"/>
    <col min="11011" max="11011" width="10.42578125" style="105" bestFit="1" customWidth="1"/>
    <col min="11012" max="11012" width="10.42578125" style="105" customWidth="1"/>
    <col min="11013" max="11013" width="9.7109375" style="105" bestFit="1" customWidth="1"/>
    <col min="11014" max="11015" width="9.5703125" style="105" bestFit="1" customWidth="1"/>
    <col min="11016" max="11016" width="10.42578125" style="105" bestFit="1" customWidth="1"/>
    <col min="11017" max="11017" width="4.5703125" style="105" customWidth="1"/>
    <col min="11018" max="11018" width="1.85546875" style="105" customWidth="1"/>
    <col min="11019" max="11019" width="7" style="105" bestFit="1" customWidth="1"/>
    <col min="11020" max="11020" width="6.28515625" style="105" customWidth="1"/>
    <col min="11021" max="11021" width="20.42578125" style="105" customWidth="1"/>
    <col min="11022" max="11022" width="6.42578125" style="105" bestFit="1" customWidth="1"/>
    <col min="11023" max="11024" width="8.42578125" style="105"/>
    <col min="11025" max="11025" width="3.28515625" style="105" customWidth="1"/>
    <col min="11026" max="11264" width="8.42578125" style="105"/>
    <col min="11265" max="11265" width="10" style="105" bestFit="1" customWidth="1"/>
    <col min="11266" max="11266" width="44.28515625" style="105" bestFit="1" customWidth="1"/>
    <col min="11267" max="11267" width="10.42578125" style="105" bestFit="1" customWidth="1"/>
    <col min="11268" max="11268" width="10.42578125" style="105" customWidth="1"/>
    <col min="11269" max="11269" width="9.7109375" style="105" bestFit="1" customWidth="1"/>
    <col min="11270" max="11271" width="9.5703125" style="105" bestFit="1" customWidth="1"/>
    <col min="11272" max="11272" width="10.42578125" style="105" bestFit="1" customWidth="1"/>
    <col min="11273" max="11273" width="4.5703125" style="105" customWidth="1"/>
    <col min="11274" max="11274" width="1.85546875" style="105" customWidth="1"/>
    <col min="11275" max="11275" width="7" style="105" bestFit="1" customWidth="1"/>
    <col min="11276" max="11276" width="6.28515625" style="105" customWidth="1"/>
    <col min="11277" max="11277" width="20.42578125" style="105" customWidth="1"/>
    <col min="11278" max="11278" width="6.42578125" style="105" bestFit="1" customWidth="1"/>
    <col min="11279" max="11280" width="8.42578125" style="105"/>
    <col min="11281" max="11281" width="3.28515625" style="105" customWidth="1"/>
    <col min="11282" max="11520" width="8.42578125" style="105"/>
    <col min="11521" max="11521" width="10" style="105" bestFit="1" customWidth="1"/>
    <col min="11522" max="11522" width="44.28515625" style="105" bestFit="1" customWidth="1"/>
    <col min="11523" max="11523" width="10.42578125" style="105" bestFit="1" customWidth="1"/>
    <col min="11524" max="11524" width="10.42578125" style="105" customWidth="1"/>
    <col min="11525" max="11525" width="9.7109375" style="105" bestFit="1" customWidth="1"/>
    <col min="11526" max="11527" width="9.5703125" style="105" bestFit="1" customWidth="1"/>
    <col min="11528" max="11528" width="10.42578125" style="105" bestFit="1" customWidth="1"/>
    <col min="11529" max="11529" width="4.5703125" style="105" customWidth="1"/>
    <col min="11530" max="11530" width="1.85546875" style="105" customWidth="1"/>
    <col min="11531" max="11531" width="7" style="105" bestFit="1" customWidth="1"/>
    <col min="11532" max="11532" width="6.28515625" style="105" customWidth="1"/>
    <col min="11533" max="11533" width="20.42578125" style="105" customWidth="1"/>
    <col min="11534" max="11534" width="6.42578125" style="105" bestFit="1" customWidth="1"/>
    <col min="11535" max="11536" width="8.42578125" style="105"/>
    <col min="11537" max="11537" width="3.28515625" style="105" customWidth="1"/>
    <col min="11538" max="11776" width="8.42578125" style="105"/>
    <col min="11777" max="11777" width="10" style="105" bestFit="1" customWidth="1"/>
    <col min="11778" max="11778" width="44.28515625" style="105" bestFit="1" customWidth="1"/>
    <col min="11779" max="11779" width="10.42578125" style="105" bestFit="1" customWidth="1"/>
    <col min="11780" max="11780" width="10.42578125" style="105" customWidth="1"/>
    <col min="11781" max="11781" width="9.7109375" style="105" bestFit="1" customWidth="1"/>
    <col min="11782" max="11783" width="9.5703125" style="105" bestFit="1" customWidth="1"/>
    <col min="11784" max="11784" width="10.42578125" style="105" bestFit="1" customWidth="1"/>
    <col min="11785" max="11785" width="4.5703125" style="105" customWidth="1"/>
    <col min="11786" max="11786" width="1.85546875" style="105" customWidth="1"/>
    <col min="11787" max="11787" width="7" style="105" bestFit="1" customWidth="1"/>
    <col min="11788" max="11788" width="6.28515625" style="105" customWidth="1"/>
    <col min="11789" max="11789" width="20.42578125" style="105" customWidth="1"/>
    <col min="11790" max="11790" width="6.42578125" style="105" bestFit="1" customWidth="1"/>
    <col min="11791" max="11792" width="8.42578125" style="105"/>
    <col min="11793" max="11793" width="3.28515625" style="105" customWidth="1"/>
    <col min="11794" max="12032" width="8.42578125" style="105"/>
    <col min="12033" max="12033" width="10" style="105" bestFit="1" customWidth="1"/>
    <col min="12034" max="12034" width="44.28515625" style="105" bestFit="1" customWidth="1"/>
    <col min="12035" max="12035" width="10.42578125" style="105" bestFit="1" customWidth="1"/>
    <col min="12036" max="12036" width="10.42578125" style="105" customWidth="1"/>
    <col min="12037" max="12037" width="9.7109375" style="105" bestFit="1" customWidth="1"/>
    <col min="12038" max="12039" width="9.5703125" style="105" bestFit="1" customWidth="1"/>
    <col min="12040" max="12040" width="10.42578125" style="105" bestFit="1" customWidth="1"/>
    <col min="12041" max="12041" width="4.5703125" style="105" customWidth="1"/>
    <col min="12042" max="12042" width="1.85546875" style="105" customWidth="1"/>
    <col min="12043" max="12043" width="7" style="105" bestFit="1" customWidth="1"/>
    <col min="12044" max="12044" width="6.28515625" style="105" customWidth="1"/>
    <col min="12045" max="12045" width="20.42578125" style="105" customWidth="1"/>
    <col min="12046" max="12046" width="6.42578125" style="105" bestFit="1" customWidth="1"/>
    <col min="12047" max="12048" width="8.42578125" style="105"/>
    <col min="12049" max="12049" width="3.28515625" style="105" customWidth="1"/>
    <col min="12050" max="12288" width="8.42578125" style="105"/>
    <col min="12289" max="12289" width="10" style="105" bestFit="1" customWidth="1"/>
    <col min="12290" max="12290" width="44.28515625" style="105" bestFit="1" customWidth="1"/>
    <col min="12291" max="12291" width="10.42578125" style="105" bestFit="1" customWidth="1"/>
    <col min="12292" max="12292" width="10.42578125" style="105" customWidth="1"/>
    <col min="12293" max="12293" width="9.7109375" style="105" bestFit="1" customWidth="1"/>
    <col min="12294" max="12295" width="9.5703125" style="105" bestFit="1" customWidth="1"/>
    <col min="12296" max="12296" width="10.42578125" style="105" bestFit="1" customWidth="1"/>
    <col min="12297" max="12297" width="4.5703125" style="105" customWidth="1"/>
    <col min="12298" max="12298" width="1.85546875" style="105" customWidth="1"/>
    <col min="12299" max="12299" width="7" style="105" bestFit="1" customWidth="1"/>
    <col min="12300" max="12300" width="6.28515625" style="105" customWidth="1"/>
    <col min="12301" max="12301" width="20.42578125" style="105" customWidth="1"/>
    <col min="12302" max="12302" width="6.42578125" style="105" bestFit="1" customWidth="1"/>
    <col min="12303" max="12304" width="8.42578125" style="105"/>
    <col min="12305" max="12305" width="3.28515625" style="105" customWidth="1"/>
    <col min="12306" max="12544" width="8.42578125" style="105"/>
    <col min="12545" max="12545" width="10" style="105" bestFit="1" customWidth="1"/>
    <col min="12546" max="12546" width="44.28515625" style="105" bestFit="1" customWidth="1"/>
    <col min="12547" max="12547" width="10.42578125" style="105" bestFit="1" customWidth="1"/>
    <col min="12548" max="12548" width="10.42578125" style="105" customWidth="1"/>
    <col min="12549" max="12549" width="9.7109375" style="105" bestFit="1" customWidth="1"/>
    <col min="12550" max="12551" width="9.5703125" style="105" bestFit="1" customWidth="1"/>
    <col min="12552" max="12552" width="10.42578125" style="105" bestFit="1" customWidth="1"/>
    <col min="12553" max="12553" width="4.5703125" style="105" customWidth="1"/>
    <col min="12554" max="12554" width="1.85546875" style="105" customWidth="1"/>
    <col min="12555" max="12555" width="7" style="105" bestFit="1" customWidth="1"/>
    <col min="12556" max="12556" width="6.28515625" style="105" customWidth="1"/>
    <col min="12557" max="12557" width="20.42578125" style="105" customWidth="1"/>
    <col min="12558" max="12558" width="6.42578125" style="105" bestFit="1" customWidth="1"/>
    <col min="12559" max="12560" width="8.42578125" style="105"/>
    <col min="12561" max="12561" width="3.28515625" style="105" customWidth="1"/>
    <col min="12562" max="12800" width="8.42578125" style="105"/>
    <col min="12801" max="12801" width="10" style="105" bestFit="1" customWidth="1"/>
    <col min="12802" max="12802" width="44.28515625" style="105" bestFit="1" customWidth="1"/>
    <col min="12803" max="12803" width="10.42578125" style="105" bestFit="1" customWidth="1"/>
    <col min="12804" max="12804" width="10.42578125" style="105" customWidth="1"/>
    <col min="12805" max="12805" width="9.7109375" style="105" bestFit="1" customWidth="1"/>
    <col min="12806" max="12807" width="9.5703125" style="105" bestFit="1" customWidth="1"/>
    <col min="12808" max="12808" width="10.42578125" style="105" bestFit="1" customWidth="1"/>
    <col min="12809" max="12809" width="4.5703125" style="105" customWidth="1"/>
    <col min="12810" max="12810" width="1.85546875" style="105" customWidth="1"/>
    <col min="12811" max="12811" width="7" style="105" bestFit="1" customWidth="1"/>
    <col min="12812" max="12812" width="6.28515625" style="105" customWidth="1"/>
    <col min="12813" max="12813" width="20.42578125" style="105" customWidth="1"/>
    <col min="12814" max="12814" width="6.42578125" style="105" bestFit="1" customWidth="1"/>
    <col min="12815" max="12816" width="8.42578125" style="105"/>
    <col min="12817" max="12817" width="3.28515625" style="105" customWidth="1"/>
    <col min="12818" max="13056" width="8.42578125" style="105"/>
    <col min="13057" max="13057" width="10" style="105" bestFit="1" customWidth="1"/>
    <col min="13058" max="13058" width="44.28515625" style="105" bestFit="1" customWidth="1"/>
    <col min="13059" max="13059" width="10.42578125" style="105" bestFit="1" customWidth="1"/>
    <col min="13060" max="13060" width="10.42578125" style="105" customWidth="1"/>
    <col min="13061" max="13061" width="9.7109375" style="105" bestFit="1" customWidth="1"/>
    <col min="13062" max="13063" width="9.5703125" style="105" bestFit="1" customWidth="1"/>
    <col min="13064" max="13064" width="10.42578125" style="105" bestFit="1" customWidth="1"/>
    <col min="13065" max="13065" width="4.5703125" style="105" customWidth="1"/>
    <col min="13066" max="13066" width="1.85546875" style="105" customWidth="1"/>
    <col min="13067" max="13067" width="7" style="105" bestFit="1" customWidth="1"/>
    <col min="13068" max="13068" width="6.28515625" style="105" customWidth="1"/>
    <col min="13069" max="13069" width="20.42578125" style="105" customWidth="1"/>
    <col min="13070" max="13070" width="6.42578125" style="105" bestFit="1" customWidth="1"/>
    <col min="13071" max="13072" width="8.42578125" style="105"/>
    <col min="13073" max="13073" width="3.28515625" style="105" customWidth="1"/>
    <col min="13074" max="13312" width="8.42578125" style="105"/>
    <col min="13313" max="13313" width="10" style="105" bestFit="1" customWidth="1"/>
    <col min="13314" max="13314" width="44.28515625" style="105" bestFit="1" customWidth="1"/>
    <col min="13315" max="13315" width="10.42578125" style="105" bestFit="1" customWidth="1"/>
    <col min="13316" max="13316" width="10.42578125" style="105" customWidth="1"/>
    <col min="13317" max="13317" width="9.7109375" style="105" bestFit="1" customWidth="1"/>
    <col min="13318" max="13319" width="9.5703125" style="105" bestFit="1" customWidth="1"/>
    <col min="13320" max="13320" width="10.42578125" style="105" bestFit="1" customWidth="1"/>
    <col min="13321" max="13321" width="4.5703125" style="105" customWidth="1"/>
    <col min="13322" max="13322" width="1.85546875" style="105" customWidth="1"/>
    <col min="13323" max="13323" width="7" style="105" bestFit="1" customWidth="1"/>
    <col min="13324" max="13324" width="6.28515625" style="105" customWidth="1"/>
    <col min="13325" max="13325" width="20.42578125" style="105" customWidth="1"/>
    <col min="13326" max="13326" width="6.42578125" style="105" bestFit="1" customWidth="1"/>
    <col min="13327" max="13328" width="8.42578125" style="105"/>
    <col min="13329" max="13329" width="3.28515625" style="105" customWidth="1"/>
    <col min="13330" max="13568" width="8.42578125" style="105"/>
    <col min="13569" max="13569" width="10" style="105" bestFit="1" customWidth="1"/>
    <col min="13570" max="13570" width="44.28515625" style="105" bestFit="1" customWidth="1"/>
    <col min="13571" max="13571" width="10.42578125" style="105" bestFit="1" customWidth="1"/>
    <col min="13572" max="13572" width="10.42578125" style="105" customWidth="1"/>
    <col min="13573" max="13573" width="9.7109375" style="105" bestFit="1" customWidth="1"/>
    <col min="13574" max="13575" width="9.5703125" style="105" bestFit="1" customWidth="1"/>
    <col min="13576" max="13576" width="10.42578125" style="105" bestFit="1" customWidth="1"/>
    <col min="13577" max="13577" width="4.5703125" style="105" customWidth="1"/>
    <col min="13578" max="13578" width="1.85546875" style="105" customWidth="1"/>
    <col min="13579" max="13579" width="7" style="105" bestFit="1" customWidth="1"/>
    <col min="13580" max="13580" width="6.28515625" style="105" customWidth="1"/>
    <col min="13581" max="13581" width="20.42578125" style="105" customWidth="1"/>
    <col min="13582" max="13582" width="6.42578125" style="105" bestFit="1" customWidth="1"/>
    <col min="13583" max="13584" width="8.42578125" style="105"/>
    <col min="13585" max="13585" width="3.28515625" style="105" customWidth="1"/>
    <col min="13586" max="13824" width="8.42578125" style="105"/>
    <col min="13825" max="13825" width="10" style="105" bestFit="1" customWidth="1"/>
    <col min="13826" max="13826" width="44.28515625" style="105" bestFit="1" customWidth="1"/>
    <col min="13827" max="13827" width="10.42578125" style="105" bestFit="1" customWidth="1"/>
    <col min="13828" max="13828" width="10.42578125" style="105" customWidth="1"/>
    <col min="13829" max="13829" width="9.7109375" style="105" bestFit="1" customWidth="1"/>
    <col min="13830" max="13831" width="9.5703125" style="105" bestFit="1" customWidth="1"/>
    <col min="13832" max="13832" width="10.42578125" style="105" bestFit="1" customWidth="1"/>
    <col min="13833" max="13833" width="4.5703125" style="105" customWidth="1"/>
    <col min="13834" max="13834" width="1.85546875" style="105" customWidth="1"/>
    <col min="13835" max="13835" width="7" style="105" bestFit="1" customWidth="1"/>
    <col min="13836" max="13836" width="6.28515625" style="105" customWidth="1"/>
    <col min="13837" max="13837" width="20.42578125" style="105" customWidth="1"/>
    <col min="13838" max="13838" width="6.42578125" style="105" bestFit="1" customWidth="1"/>
    <col min="13839" max="13840" width="8.42578125" style="105"/>
    <col min="13841" max="13841" width="3.28515625" style="105" customWidth="1"/>
    <col min="13842" max="14080" width="8.42578125" style="105"/>
    <col min="14081" max="14081" width="10" style="105" bestFit="1" customWidth="1"/>
    <col min="14082" max="14082" width="44.28515625" style="105" bestFit="1" customWidth="1"/>
    <col min="14083" max="14083" width="10.42578125" style="105" bestFit="1" customWidth="1"/>
    <col min="14084" max="14084" width="10.42578125" style="105" customWidth="1"/>
    <col min="14085" max="14085" width="9.7109375" style="105" bestFit="1" customWidth="1"/>
    <col min="14086" max="14087" width="9.5703125" style="105" bestFit="1" customWidth="1"/>
    <col min="14088" max="14088" width="10.42578125" style="105" bestFit="1" customWidth="1"/>
    <col min="14089" max="14089" width="4.5703125" style="105" customWidth="1"/>
    <col min="14090" max="14090" width="1.85546875" style="105" customWidth="1"/>
    <col min="14091" max="14091" width="7" style="105" bestFit="1" customWidth="1"/>
    <col min="14092" max="14092" width="6.28515625" style="105" customWidth="1"/>
    <col min="14093" max="14093" width="20.42578125" style="105" customWidth="1"/>
    <col min="14094" max="14094" width="6.42578125" style="105" bestFit="1" customWidth="1"/>
    <col min="14095" max="14096" width="8.42578125" style="105"/>
    <col min="14097" max="14097" width="3.28515625" style="105" customWidth="1"/>
    <col min="14098" max="14336" width="8.42578125" style="105"/>
    <col min="14337" max="14337" width="10" style="105" bestFit="1" customWidth="1"/>
    <col min="14338" max="14338" width="44.28515625" style="105" bestFit="1" customWidth="1"/>
    <col min="14339" max="14339" width="10.42578125" style="105" bestFit="1" customWidth="1"/>
    <col min="14340" max="14340" width="10.42578125" style="105" customWidth="1"/>
    <col min="14341" max="14341" width="9.7109375" style="105" bestFit="1" customWidth="1"/>
    <col min="14342" max="14343" width="9.5703125" style="105" bestFit="1" customWidth="1"/>
    <col min="14344" max="14344" width="10.42578125" style="105" bestFit="1" customWidth="1"/>
    <col min="14345" max="14345" width="4.5703125" style="105" customWidth="1"/>
    <col min="14346" max="14346" width="1.85546875" style="105" customWidth="1"/>
    <col min="14347" max="14347" width="7" style="105" bestFit="1" customWidth="1"/>
    <col min="14348" max="14348" width="6.28515625" style="105" customWidth="1"/>
    <col min="14349" max="14349" width="20.42578125" style="105" customWidth="1"/>
    <col min="14350" max="14350" width="6.42578125" style="105" bestFit="1" customWidth="1"/>
    <col min="14351" max="14352" width="8.42578125" style="105"/>
    <col min="14353" max="14353" width="3.28515625" style="105" customWidth="1"/>
    <col min="14354" max="14592" width="8.42578125" style="105"/>
    <col min="14593" max="14593" width="10" style="105" bestFit="1" customWidth="1"/>
    <col min="14594" max="14594" width="44.28515625" style="105" bestFit="1" customWidth="1"/>
    <col min="14595" max="14595" width="10.42578125" style="105" bestFit="1" customWidth="1"/>
    <col min="14596" max="14596" width="10.42578125" style="105" customWidth="1"/>
    <col min="14597" max="14597" width="9.7109375" style="105" bestFit="1" customWidth="1"/>
    <col min="14598" max="14599" width="9.5703125" style="105" bestFit="1" customWidth="1"/>
    <col min="14600" max="14600" width="10.42578125" style="105" bestFit="1" customWidth="1"/>
    <col min="14601" max="14601" width="4.5703125" style="105" customWidth="1"/>
    <col min="14602" max="14602" width="1.85546875" style="105" customWidth="1"/>
    <col min="14603" max="14603" width="7" style="105" bestFit="1" customWidth="1"/>
    <col min="14604" max="14604" width="6.28515625" style="105" customWidth="1"/>
    <col min="14605" max="14605" width="20.42578125" style="105" customWidth="1"/>
    <col min="14606" max="14606" width="6.42578125" style="105" bestFit="1" customWidth="1"/>
    <col min="14607" max="14608" width="8.42578125" style="105"/>
    <col min="14609" max="14609" width="3.28515625" style="105" customWidth="1"/>
    <col min="14610" max="14848" width="8.42578125" style="105"/>
    <col min="14849" max="14849" width="10" style="105" bestFit="1" customWidth="1"/>
    <col min="14850" max="14850" width="44.28515625" style="105" bestFit="1" customWidth="1"/>
    <col min="14851" max="14851" width="10.42578125" style="105" bestFit="1" customWidth="1"/>
    <col min="14852" max="14852" width="10.42578125" style="105" customWidth="1"/>
    <col min="14853" max="14853" width="9.7109375" style="105" bestFit="1" customWidth="1"/>
    <col min="14854" max="14855" width="9.5703125" style="105" bestFit="1" customWidth="1"/>
    <col min="14856" max="14856" width="10.42578125" style="105" bestFit="1" customWidth="1"/>
    <col min="14857" max="14857" width="4.5703125" style="105" customWidth="1"/>
    <col min="14858" max="14858" width="1.85546875" style="105" customWidth="1"/>
    <col min="14859" max="14859" width="7" style="105" bestFit="1" customWidth="1"/>
    <col min="14860" max="14860" width="6.28515625" style="105" customWidth="1"/>
    <col min="14861" max="14861" width="20.42578125" style="105" customWidth="1"/>
    <col min="14862" max="14862" width="6.42578125" style="105" bestFit="1" customWidth="1"/>
    <col min="14863" max="14864" width="8.42578125" style="105"/>
    <col min="14865" max="14865" width="3.28515625" style="105" customWidth="1"/>
    <col min="14866" max="15104" width="8.42578125" style="105"/>
    <col min="15105" max="15105" width="10" style="105" bestFit="1" customWidth="1"/>
    <col min="15106" max="15106" width="44.28515625" style="105" bestFit="1" customWidth="1"/>
    <col min="15107" max="15107" width="10.42578125" style="105" bestFit="1" customWidth="1"/>
    <col min="15108" max="15108" width="10.42578125" style="105" customWidth="1"/>
    <col min="15109" max="15109" width="9.7109375" style="105" bestFit="1" customWidth="1"/>
    <col min="15110" max="15111" width="9.5703125" style="105" bestFit="1" customWidth="1"/>
    <col min="15112" max="15112" width="10.42578125" style="105" bestFit="1" customWidth="1"/>
    <col min="15113" max="15113" width="4.5703125" style="105" customWidth="1"/>
    <col min="15114" max="15114" width="1.85546875" style="105" customWidth="1"/>
    <col min="15115" max="15115" width="7" style="105" bestFit="1" customWidth="1"/>
    <col min="15116" max="15116" width="6.28515625" style="105" customWidth="1"/>
    <col min="15117" max="15117" width="20.42578125" style="105" customWidth="1"/>
    <col min="15118" max="15118" width="6.42578125" style="105" bestFit="1" customWidth="1"/>
    <col min="15119" max="15120" width="8.42578125" style="105"/>
    <col min="15121" max="15121" width="3.28515625" style="105" customWidth="1"/>
    <col min="15122" max="15360" width="8.42578125" style="105"/>
    <col min="15361" max="15361" width="10" style="105" bestFit="1" customWidth="1"/>
    <col min="15362" max="15362" width="44.28515625" style="105" bestFit="1" customWidth="1"/>
    <col min="15363" max="15363" width="10.42578125" style="105" bestFit="1" customWidth="1"/>
    <col min="15364" max="15364" width="10.42578125" style="105" customWidth="1"/>
    <col min="15365" max="15365" width="9.7109375" style="105" bestFit="1" customWidth="1"/>
    <col min="15366" max="15367" width="9.5703125" style="105" bestFit="1" customWidth="1"/>
    <col min="15368" max="15368" width="10.42578125" style="105" bestFit="1" customWidth="1"/>
    <col min="15369" max="15369" width="4.5703125" style="105" customWidth="1"/>
    <col min="15370" max="15370" width="1.85546875" style="105" customWidth="1"/>
    <col min="15371" max="15371" width="7" style="105" bestFit="1" customWidth="1"/>
    <col min="15372" max="15372" width="6.28515625" style="105" customWidth="1"/>
    <col min="15373" max="15373" width="20.42578125" style="105" customWidth="1"/>
    <col min="15374" max="15374" width="6.42578125" style="105" bestFit="1" customWidth="1"/>
    <col min="15375" max="15376" width="8.42578125" style="105"/>
    <col min="15377" max="15377" width="3.28515625" style="105" customWidth="1"/>
    <col min="15378" max="15616" width="8.42578125" style="105"/>
    <col min="15617" max="15617" width="10" style="105" bestFit="1" customWidth="1"/>
    <col min="15618" max="15618" width="44.28515625" style="105" bestFit="1" customWidth="1"/>
    <col min="15619" max="15619" width="10.42578125" style="105" bestFit="1" customWidth="1"/>
    <col min="15620" max="15620" width="10.42578125" style="105" customWidth="1"/>
    <col min="15621" max="15621" width="9.7109375" style="105" bestFit="1" customWidth="1"/>
    <col min="15622" max="15623" width="9.5703125" style="105" bestFit="1" customWidth="1"/>
    <col min="15624" max="15624" width="10.42578125" style="105" bestFit="1" customWidth="1"/>
    <col min="15625" max="15625" width="4.5703125" style="105" customWidth="1"/>
    <col min="15626" max="15626" width="1.85546875" style="105" customWidth="1"/>
    <col min="15627" max="15627" width="7" style="105" bestFit="1" customWidth="1"/>
    <col min="15628" max="15628" width="6.28515625" style="105" customWidth="1"/>
    <col min="15629" max="15629" width="20.42578125" style="105" customWidth="1"/>
    <col min="15630" max="15630" width="6.42578125" style="105" bestFit="1" customWidth="1"/>
    <col min="15631" max="15632" width="8.42578125" style="105"/>
    <col min="15633" max="15633" width="3.28515625" style="105" customWidth="1"/>
    <col min="15634" max="15872" width="8.42578125" style="105"/>
    <col min="15873" max="15873" width="10" style="105" bestFit="1" customWidth="1"/>
    <col min="15874" max="15874" width="44.28515625" style="105" bestFit="1" customWidth="1"/>
    <col min="15875" max="15875" width="10.42578125" style="105" bestFit="1" customWidth="1"/>
    <col min="15876" max="15876" width="10.42578125" style="105" customWidth="1"/>
    <col min="15877" max="15877" width="9.7109375" style="105" bestFit="1" customWidth="1"/>
    <col min="15878" max="15879" width="9.5703125" style="105" bestFit="1" customWidth="1"/>
    <col min="15880" max="15880" width="10.42578125" style="105" bestFit="1" customWidth="1"/>
    <col min="15881" max="15881" width="4.5703125" style="105" customWidth="1"/>
    <col min="15882" max="15882" width="1.85546875" style="105" customWidth="1"/>
    <col min="15883" max="15883" width="7" style="105" bestFit="1" customWidth="1"/>
    <col min="15884" max="15884" width="6.28515625" style="105" customWidth="1"/>
    <col min="15885" max="15885" width="20.42578125" style="105" customWidth="1"/>
    <col min="15886" max="15886" width="6.42578125" style="105" bestFit="1" customWidth="1"/>
    <col min="15887" max="15888" width="8.42578125" style="105"/>
    <col min="15889" max="15889" width="3.28515625" style="105" customWidth="1"/>
    <col min="15890" max="16128" width="8.42578125" style="105"/>
    <col min="16129" max="16129" width="10" style="105" bestFit="1" customWidth="1"/>
    <col min="16130" max="16130" width="44.28515625" style="105" bestFit="1" customWidth="1"/>
    <col min="16131" max="16131" width="10.42578125" style="105" bestFit="1" customWidth="1"/>
    <col min="16132" max="16132" width="10.42578125" style="105" customWidth="1"/>
    <col min="16133" max="16133" width="9.7109375" style="105" bestFit="1" customWidth="1"/>
    <col min="16134" max="16135" width="9.5703125" style="105" bestFit="1" customWidth="1"/>
    <col min="16136" max="16136" width="10.42578125" style="105" bestFit="1" customWidth="1"/>
    <col min="16137" max="16137" width="4.5703125" style="105" customWidth="1"/>
    <col min="16138" max="16138" width="1.85546875" style="105" customWidth="1"/>
    <col min="16139" max="16139" width="7" style="105" bestFit="1" customWidth="1"/>
    <col min="16140" max="16140" width="6.28515625" style="105" customWidth="1"/>
    <col min="16141" max="16141" width="20.42578125" style="105" customWidth="1"/>
    <col min="16142" max="16142" width="6.42578125" style="105" bestFit="1" customWidth="1"/>
    <col min="16143" max="16144" width="8.42578125" style="105"/>
    <col min="16145" max="16145" width="3.28515625" style="105" customWidth="1"/>
    <col min="16146" max="16384" width="8.42578125" style="105"/>
  </cols>
  <sheetData>
    <row r="1" spans="1:10" ht="27.75" customHeight="1" x14ac:dyDescent="0.25">
      <c r="A1" s="100"/>
      <c r="B1" s="100"/>
      <c r="C1" s="100"/>
      <c r="D1" s="100"/>
      <c r="E1" s="101" t="s">
        <v>120</v>
      </c>
      <c r="F1" s="102" t="s">
        <v>121</v>
      </c>
      <c r="G1" s="102" t="s">
        <v>122</v>
      </c>
      <c r="H1" s="102" t="s">
        <v>123</v>
      </c>
      <c r="I1" s="103"/>
    </row>
    <row r="2" spans="1:10" ht="30.75" customHeight="1" x14ac:dyDescent="0.25">
      <c r="A2" s="100"/>
      <c r="B2" s="100"/>
      <c r="C2" s="100"/>
      <c r="D2" s="100"/>
      <c r="E2" s="106">
        <f>IFERROR(O62,"")</f>
        <v>247.41229508196722</v>
      </c>
      <c r="F2" s="106">
        <f>IFERROR(H53,"")</f>
        <v>151.79999999999998</v>
      </c>
      <c r="G2" s="106">
        <f>IFERROR(H54,"")</f>
        <v>0.9</v>
      </c>
      <c r="H2" s="106">
        <f>IFERROR(H56,"")</f>
        <v>48.55</v>
      </c>
      <c r="I2" s="107"/>
    </row>
    <row r="3" spans="1:10" ht="15" customHeight="1" x14ac:dyDescent="0.25">
      <c r="A3" s="100"/>
      <c r="B3" s="100"/>
      <c r="C3" s="100"/>
      <c r="D3" s="100"/>
      <c r="E3" s="100"/>
      <c r="F3" s="108"/>
      <c r="G3" s="108"/>
      <c r="H3" s="108"/>
      <c r="I3" s="108"/>
    </row>
    <row r="4" spans="1:10" ht="24.75" customHeight="1" thickBot="1" x14ac:dyDescent="0.3">
      <c r="A4" s="522"/>
      <c r="B4" s="522"/>
      <c r="C4" s="522"/>
      <c r="D4" s="522"/>
      <c r="E4" s="522"/>
      <c r="F4" s="522"/>
      <c r="G4" s="522"/>
      <c r="H4" s="522"/>
      <c r="I4" s="109"/>
    </row>
    <row r="5" spans="1:10" ht="19.5" customHeight="1" thickBot="1" x14ac:dyDescent="0.3">
      <c r="A5" s="523" t="s">
        <v>124</v>
      </c>
      <c r="B5" s="524"/>
      <c r="C5" s="524"/>
      <c r="D5" s="524"/>
      <c r="E5" s="524"/>
      <c r="F5" s="524"/>
      <c r="G5" s="524"/>
      <c r="H5" s="525"/>
      <c r="I5" s="110"/>
    </row>
    <row r="6" spans="1:10" ht="19.5" thickBot="1" x14ac:dyDescent="0.3">
      <c r="A6" s="110"/>
      <c r="B6" s="110"/>
      <c r="C6" s="110"/>
      <c r="D6" s="110"/>
      <c r="E6" s="110"/>
      <c r="F6" s="526" t="s">
        <v>125</v>
      </c>
      <c r="G6" s="526"/>
      <c r="H6" s="111">
        <f ca="1">TODAY()</f>
        <v>45715</v>
      </c>
      <c r="I6" s="111"/>
    </row>
    <row r="7" spans="1:10" ht="26.25" hidden="1" thickBot="1" x14ac:dyDescent="0.3">
      <c r="A7" s="112" t="s">
        <v>126</v>
      </c>
      <c r="B7" s="113" t="s">
        <v>127</v>
      </c>
      <c r="C7" s="113" t="s">
        <v>126</v>
      </c>
      <c r="D7" s="114" t="s">
        <v>128</v>
      </c>
      <c r="E7" s="114" t="s">
        <v>129</v>
      </c>
      <c r="F7" s="114" t="s">
        <v>130</v>
      </c>
      <c r="G7" s="114" t="s">
        <v>131</v>
      </c>
      <c r="H7" s="115" t="s">
        <v>132</v>
      </c>
      <c r="I7" s="116"/>
    </row>
    <row r="8" spans="1:10" ht="14.25" hidden="1" thickBot="1" x14ac:dyDescent="0.3">
      <c r="A8" s="117"/>
      <c r="B8" s="105" t="str">
        <f>IFERROR(VLOOKUP(H8,'[1]Consolidado MP Planta'!$A$2:$M$823,3,0),"")</f>
        <v/>
      </c>
      <c r="C8" s="118">
        <f>+A8</f>
        <v>0</v>
      </c>
      <c r="D8" s="119" t="str">
        <f>IFERROR(VLOOKUP(H8,'[1]Consolidado MP Planta'!$A$2:$M$823,13,0),"")</f>
        <v/>
      </c>
      <c r="E8" s="119" t="str">
        <f>IFERROR(VLOOKUP(H8,'[1]Consolidado MP Planta'!$A$2:$M$823,12,0),"")</f>
        <v/>
      </c>
      <c r="F8" s="119" t="str">
        <f>IFERROR(C8*E8,"")</f>
        <v/>
      </c>
      <c r="G8" s="120" t="str">
        <f t="shared" ref="G8:G14" si="0">IFERROR(F8/$F$66,"")</f>
        <v/>
      </c>
      <c r="H8" s="121"/>
      <c r="I8" s="121"/>
      <c r="J8" s="122"/>
    </row>
    <row r="9" spans="1:10" ht="14.25" hidden="1" thickBot="1" x14ac:dyDescent="0.3">
      <c r="A9" s="117"/>
      <c r="B9" s="105" t="str">
        <f>IFERROR(VLOOKUP(H9,'[1]Consolidado MP Planta'!$A$2:$M$823,3,0),"")</f>
        <v/>
      </c>
      <c r="C9" s="118">
        <f t="shared" ref="C9:C14" si="1">+A9</f>
        <v>0</v>
      </c>
      <c r="D9" s="119" t="str">
        <f>IFERROR(VLOOKUP(H9,'[1]Consolidado MP Planta'!$A$2:$M$823,13,0),"")</f>
        <v/>
      </c>
      <c r="E9" s="119" t="str">
        <f>IFERROR(VLOOKUP(H9,'[1]Consolidado MP Planta'!$A$2:$M$823,12,0),"")</f>
        <v/>
      </c>
      <c r="F9" s="119" t="str">
        <f t="shared" ref="F9:F14" si="2">IFERROR(C9*E9,"")</f>
        <v/>
      </c>
      <c r="G9" s="120" t="str">
        <f t="shared" si="0"/>
        <v/>
      </c>
      <c r="H9" s="121"/>
      <c r="I9" s="121"/>
      <c r="J9" s="122"/>
    </row>
    <row r="10" spans="1:10" ht="14.25" hidden="1" thickBot="1" x14ac:dyDescent="0.3">
      <c r="A10" s="117"/>
      <c r="B10" s="105" t="str">
        <f>IFERROR(VLOOKUP(H10,'[1]Consolidado MP Planta'!$A$2:$M$823,3,0),"")</f>
        <v/>
      </c>
      <c r="C10" s="118">
        <f t="shared" si="1"/>
        <v>0</v>
      </c>
      <c r="D10" s="119" t="str">
        <f>IFERROR(VLOOKUP(H10,'[1]Consolidado MP Planta'!$A$2:$M$823,13,0),"")</f>
        <v/>
      </c>
      <c r="E10" s="119" t="str">
        <f>IFERROR(VLOOKUP(H10,'[1]Consolidado MP Planta'!$A$2:$M$823,12,0),"")</f>
        <v/>
      </c>
      <c r="F10" s="119" t="str">
        <f t="shared" si="2"/>
        <v/>
      </c>
      <c r="G10" s="120" t="str">
        <f t="shared" si="0"/>
        <v/>
      </c>
      <c r="H10" s="121"/>
      <c r="I10" s="121"/>
      <c r="J10" s="122"/>
    </row>
    <row r="11" spans="1:10" ht="14.25" hidden="1" thickBot="1" x14ac:dyDescent="0.3">
      <c r="A11" s="117"/>
      <c r="B11" s="105" t="str">
        <f>IFERROR(VLOOKUP(H11,'[1]Consolidado MP Planta'!$A$2:$M$823,3,0),"")</f>
        <v/>
      </c>
      <c r="C11" s="118">
        <f t="shared" si="1"/>
        <v>0</v>
      </c>
      <c r="D11" s="119" t="str">
        <f>IFERROR(VLOOKUP(H11,'[1]Consolidado MP Planta'!$A$2:$M$823,13,0),"")</f>
        <v/>
      </c>
      <c r="E11" s="119" t="str">
        <f>IFERROR(VLOOKUP(H11,'[1]Consolidado MP Planta'!$A$2:$M$823,12,0),"")</f>
        <v/>
      </c>
      <c r="F11" s="119" t="str">
        <f t="shared" si="2"/>
        <v/>
      </c>
      <c r="G11" s="120" t="str">
        <f t="shared" si="0"/>
        <v/>
      </c>
      <c r="H11" s="121"/>
      <c r="I11" s="121"/>
      <c r="J11" s="122"/>
    </row>
    <row r="12" spans="1:10" ht="14.25" hidden="1" thickBot="1" x14ac:dyDescent="0.3">
      <c r="A12" s="117"/>
      <c r="B12" s="105" t="str">
        <f>IFERROR(VLOOKUP(H12,'[1]Consolidado MP Planta'!$A$2:$M$823,3,0),"")</f>
        <v/>
      </c>
      <c r="C12" s="118">
        <f t="shared" si="1"/>
        <v>0</v>
      </c>
      <c r="D12" s="119" t="str">
        <f>IFERROR(VLOOKUP(H12,'[1]Consolidado MP Planta'!$A$2:$M$823,13,0),"")</f>
        <v/>
      </c>
      <c r="E12" s="119" t="str">
        <f>IFERROR(VLOOKUP(H12,'[1]Consolidado MP Planta'!$A$2:$M$823,12,0),"")</f>
        <v/>
      </c>
      <c r="F12" s="119" t="str">
        <f t="shared" si="2"/>
        <v/>
      </c>
      <c r="G12" s="120" t="str">
        <f t="shared" si="0"/>
        <v/>
      </c>
      <c r="H12" s="121"/>
      <c r="I12" s="121"/>
      <c r="J12" s="122"/>
    </row>
    <row r="13" spans="1:10" ht="14.25" hidden="1" thickBot="1" x14ac:dyDescent="0.3">
      <c r="A13" s="117"/>
      <c r="B13" s="105" t="str">
        <f>IFERROR(VLOOKUP(H13,'[1]Consolidado MP Planta'!$A$2:$M$823,3,0),"")</f>
        <v/>
      </c>
      <c r="C13" s="118">
        <f t="shared" si="1"/>
        <v>0</v>
      </c>
      <c r="D13" s="119" t="str">
        <f>IFERROR(VLOOKUP(H13,'[1]Consolidado MP Planta'!$A$2:$M$823,13,0),"")</f>
        <v/>
      </c>
      <c r="E13" s="119" t="str">
        <f>IFERROR(VLOOKUP(H13,'[1]Consolidado MP Planta'!$A$2:$M$823,12,0),"")</f>
        <v/>
      </c>
      <c r="F13" s="119" t="str">
        <f t="shared" si="2"/>
        <v/>
      </c>
      <c r="G13" s="120" t="str">
        <f t="shared" si="0"/>
        <v/>
      </c>
      <c r="H13" s="121"/>
      <c r="I13" s="121"/>
      <c r="J13" s="122"/>
    </row>
    <row r="14" spans="1:10" ht="14.25" hidden="1" thickBot="1" x14ac:dyDescent="0.3">
      <c r="A14" s="117"/>
      <c r="B14" s="105" t="str">
        <f>IFERROR(VLOOKUP(H14,'[1]Consolidado MP Planta'!$A$2:$M$823,3,0),"")</f>
        <v/>
      </c>
      <c r="C14" s="118">
        <f t="shared" si="1"/>
        <v>0</v>
      </c>
      <c r="D14" s="119" t="str">
        <f>IFERROR(VLOOKUP(H14,'[1]Consolidado MP Planta'!$A$2:$M$823,13,0),"")</f>
        <v/>
      </c>
      <c r="E14" s="119" t="str">
        <f>IFERROR(VLOOKUP(H14,'[1]Consolidado MP Planta'!$A$2:$M$823,12,0),"")</f>
        <v/>
      </c>
      <c r="F14" s="119" t="str">
        <f t="shared" si="2"/>
        <v/>
      </c>
      <c r="G14" s="120" t="str">
        <f t="shared" si="0"/>
        <v/>
      </c>
      <c r="H14" s="121"/>
      <c r="I14" s="121"/>
      <c r="J14" s="122"/>
    </row>
    <row r="15" spans="1:10" ht="14.25" hidden="1" thickBot="1" x14ac:dyDescent="0.3">
      <c r="A15" s="117"/>
      <c r="B15" s="105" t="str">
        <f>IFERROR(VLOOKUP(H15,'[2]ARTICULOS MP PLANTA'!$A$2:$G$589,2,0),"")</f>
        <v/>
      </c>
      <c r="C15" s="118"/>
      <c r="D15" s="119"/>
      <c r="E15" s="119"/>
      <c r="F15" s="119"/>
      <c r="G15" s="120"/>
      <c r="H15" s="121"/>
      <c r="I15" s="121"/>
      <c r="J15" s="122"/>
    </row>
    <row r="16" spans="1:10" ht="26.25" thickBot="1" x14ac:dyDescent="0.3">
      <c r="A16" s="112" t="s">
        <v>126</v>
      </c>
      <c r="B16" s="113" t="s">
        <v>133</v>
      </c>
      <c r="C16" s="113" t="s">
        <v>126</v>
      </c>
      <c r="D16" s="114" t="s">
        <v>128</v>
      </c>
      <c r="E16" s="114" t="s">
        <v>129</v>
      </c>
      <c r="F16" s="114" t="s">
        <v>130</v>
      </c>
      <c r="G16" s="114" t="s">
        <v>131</v>
      </c>
      <c r="H16" s="115" t="s">
        <v>132</v>
      </c>
      <c r="I16" s="116"/>
      <c r="J16" s="122"/>
    </row>
    <row r="17" spans="1:12" ht="13.5" x14ac:dyDescent="0.25">
      <c r="A17" s="117">
        <v>80</v>
      </c>
      <c r="B17" s="105" t="str">
        <f>IFERROR(VLOOKUP(H17,[1]SEMIELABORADOS!$A$2:$M$6000,2,0),"")</f>
        <v>BATIDO ROSQUETE ARROLLADO KILO</v>
      </c>
      <c r="C17" s="118">
        <f>+A17</f>
        <v>80</v>
      </c>
      <c r="D17" s="118" t="str">
        <f>IFERROR(VLOOKUP(H17,[1]SEMIELABORADOS!$A$2:$M$6000,6,0),"")</f>
        <v>Gramo</v>
      </c>
      <c r="E17" s="119">
        <v>1.77</v>
      </c>
      <c r="F17" s="119">
        <f>IFERROR(E17*C17,"")</f>
        <v>141.6</v>
      </c>
      <c r="G17" s="120">
        <f t="shared" ref="G17:G24" si="3">IFERROR(F17/$F$66,"")</f>
        <v>0.76032560836787733</v>
      </c>
      <c r="H17" s="121" t="s">
        <v>171</v>
      </c>
      <c r="I17" s="121"/>
      <c r="J17" s="122"/>
    </row>
    <row r="18" spans="1:12" ht="13.5" x14ac:dyDescent="0.25">
      <c r="A18" s="117">
        <v>5</v>
      </c>
      <c r="B18" s="105" t="str">
        <f>IFERROR(VLOOKUP(H18,[1]SEMIELABORADOS!$A$2:$M$6000,2,0),"")</f>
        <v>MEZCLA P/ENGRASE MOLDES KILO</v>
      </c>
      <c r="C18" s="118">
        <f t="shared" ref="C18:C24" si="4">+A18</f>
        <v>5</v>
      </c>
      <c r="D18" s="118" t="str">
        <f>IFERROR(VLOOKUP(H18,[1]SEMIELABORADOS!$A$2:$M$6000,6,0),"")</f>
        <v>Gramo</v>
      </c>
      <c r="E18" s="119">
        <v>2.04</v>
      </c>
      <c r="F18" s="119">
        <f t="shared" ref="F18:F24" si="5">IFERROR(E18*C18,"")</f>
        <v>10.199999999999999</v>
      </c>
      <c r="G18" s="120">
        <f t="shared" si="3"/>
        <v>5.4769217551923363E-2</v>
      </c>
      <c r="H18" s="121" t="s">
        <v>172</v>
      </c>
      <c r="I18" s="121"/>
      <c r="J18" s="122"/>
    </row>
    <row r="19" spans="1:12" ht="13.5" hidden="1" x14ac:dyDescent="0.25">
      <c r="A19" s="117"/>
      <c r="B19" s="105" t="str">
        <f>IFERROR(VLOOKUP(H19,[1]SEMIELABORADOS!$A$2:$M$6000,2,0),"")</f>
        <v/>
      </c>
      <c r="C19" s="118">
        <f>+A19</f>
        <v>0</v>
      </c>
      <c r="D19" s="118" t="str">
        <f>IFERROR(VLOOKUP(H19,[1]SEMIELABORADOS!$A$2:$M$6000,6,0),"")</f>
        <v/>
      </c>
      <c r="E19" s="119" t="str">
        <f>IFERROR(VLOOKUP(H19,[1]SEMIELABORADOS!$A$2:$H$65536,8,0),"")</f>
        <v/>
      </c>
      <c r="F19" s="119" t="str">
        <f>IFERROR(E19*C19,"")</f>
        <v/>
      </c>
      <c r="G19" s="120" t="str">
        <f t="shared" si="3"/>
        <v/>
      </c>
      <c r="H19" s="121"/>
      <c r="I19" s="121"/>
      <c r="J19" s="122"/>
    </row>
    <row r="20" spans="1:12" ht="13.5" hidden="1" x14ac:dyDescent="0.25">
      <c r="A20" s="117"/>
      <c r="B20" s="105" t="str">
        <f>IFERROR(VLOOKUP(H20,[1]SEMIELABORADOS!$A$2:$M$6000,2,0),"")</f>
        <v/>
      </c>
      <c r="C20" s="118">
        <f>+A20</f>
        <v>0</v>
      </c>
      <c r="D20" s="118" t="str">
        <f>IFERROR(VLOOKUP(H20,[1]SEMIELABORADOS!$A$2:$M$6000,6,0),"")</f>
        <v/>
      </c>
      <c r="E20" s="119" t="str">
        <f>IFERROR(VLOOKUP(H20,[1]SEMIELABORADOS!$A$2:$H$65536,8,0),"")</f>
        <v/>
      </c>
      <c r="F20" s="119" t="str">
        <f>IFERROR(E20*C20,"")</f>
        <v/>
      </c>
      <c r="G20" s="120" t="str">
        <f t="shared" si="3"/>
        <v/>
      </c>
      <c r="H20" s="121"/>
      <c r="I20" s="121"/>
      <c r="J20" s="122"/>
    </row>
    <row r="21" spans="1:12" ht="13.5" hidden="1" x14ac:dyDescent="0.25">
      <c r="A21" s="117"/>
      <c r="B21" s="105" t="str">
        <f>IFERROR(VLOOKUP(H21,[1]SEMIELABORADOS!$A$2:$M$6000,2,0),"")</f>
        <v/>
      </c>
      <c r="C21" s="118">
        <f>+A21</f>
        <v>0</v>
      </c>
      <c r="D21" s="118" t="str">
        <f>IFERROR(VLOOKUP(H21,[1]SEMIELABORADOS!$A$2:$M$6000,6,0),"")</f>
        <v/>
      </c>
      <c r="E21" s="119" t="str">
        <f>IFERROR(VLOOKUP(H21,[1]SEMIELABORADOS!$A$2:$H$65536,8,0),"")</f>
        <v/>
      </c>
      <c r="F21" s="119" t="str">
        <f>IFERROR(E21*C21,"")</f>
        <v/>
      </c>
      <c r="G21" s="120" t="str">
        <f t="shared" si="3"/>
        <v/>
      </c>
      <c r="H21" s="121"/>
      <c r="I21" s="121"/>
      <c r="J21" s="122"/>
    </row>
    <row r="22" spans="1:12" ht="13.5" hidden="1" x14ac:dyDescent="0.25">
      <c r="A22" s="117"/>
      <c r="B22" s="105" t="str">
        <f>IFERROR(VLOOKUP(H22,[1]SEMIELABORADOS!$A$2:$M$6000,2,0),"")</f>
        <v/>
      </c>
      <c r="C22" s="118">
        <f t="shared" si="4"/>
        <v>0</v>
      </c>
      <c r="D22" s="118" t="str">
        <f>IFERROR(VLOOKUP(H22,[1]SEMIELABORADOS!$A$2:$M$6000,6,0),"")</f>
        <v/>
      </c>
      <c r="E22" s="119" t="str">
        <f>IFERROR(VLOOKUP(H22,[1]SEMIELABORADOS!$A$2:$H$65536,8,0),"")</f>
        <v/>
      </c>
      <c r="F22" s="119" t="str">
        <f t="shared" si="5"/>
        <v/>
      </c>
      <c r="G22" s="120" t="str">
        <f t="shared" si="3"/>
        <v/>
      </c>
      <c r="H22" s="121"/>
      <c r="I22" s="121"/>
      <c r="J22" s="122"/>
    </row>
    <row r="23" spans="1:12" ht="13.5" hidden="1" x14ac:dyDescent="0.25">
      <c r="A23" s="117"/>
      <c r="B23" s="105" t="str">
        <f>IFERROR(VLOOKUP(H23,[1]SEMIELABORADOS!$A$2:$M$6000,2,0),"")</f>
        <v/>
      </c>
      <c r="C23" s="118">
        <f t="shared" si="4"/>
        <v>0</v>
      </c>
      <c r="D23" s="118" t="str">
        <f>IFERROR(VLOOKUP(H23,[1]SEMIELABORADOS!$A$2:$M$6000,6,0),"")</f>
        <v/>
      </c>
      <c r="E23" s="119" t="str">
        <f>IFERROR(VLOOKUP(H23,[1]SEMIELABORADOS!$A$2:$H$65536,8,0),"")</f>
        <v/>
      </c>
      <c r="F23" s="119" t="str">
        <f t="shared" si="5"/>
        <v/>
      </c>
      <c r="G23" s="120" t="str">
        <f t="shared" si="3"/>
        <v/>
      </c>
      <c r="H23" s="121"/>
      <c r="I23" s="121"/>
      <c r="J23" s="122"/>
    </row>
    <row r="24" spans="1:12" ht="13.5" hidden="1" x14ac:dyDescent="0.25">
      <c r="A24" s="117"/>
      <c r="B24" s="105" t="str">
        <f>IFERROR(VLOOKUP(H24,[1]SEMIELABORADOS!$A$2:$M$6000,2,0),"")</f>
        <v/>
      </c>
      <c r="C24" s="118">
        <f t="shared" si="4"/>
        <v>0</v>
      </c>
      <c r="D24" s="118" t="str">
        <f>IFERROR(VLOOKUP(H24,[1]SEMIELABORADOS!$A$2:$M$6000,6,0),"")</f>
        <v/>
      </c>
      <c r="E24" s="119" t="str">
        <f>IFERROR(VLOOKUP(H24,[1]SEMIELABORADOS!$A$2:$H$65536,8,0),"")</f>
        <v/>
      </c>
      <c r="F24" s="119" t="str">
        <f t="shared" si="5"/>
        <v/>
      </c>
      <c r="G24" s="120" t="str">
        <f t="shared" si="3"/>
        <v/>
      </c>
      <c r="H24" s="121"/>
      <c r="I24" s="121"/>
      <c r="J24" s="122"/>
    </row>
    <row r="25" spans="1:12" ht="14.25" thickBot="1" x14ac:dyDescent="0.3">
      <c r="A25" s="117"/>
      <c r="C25" s="118"/>
      <c r="D25" s="118"/>
      <c r="E25" s="119"/>
      <c r="F25" s="119"/>
      <c r="G25" s="120"/>
      <c r="H25" s="121"/>
      <c r="I25" s="121"/>
      <c r="J25" s="122"/>
    </row>
    <row r="26" spans="1:12" ht="26.25" thickBot="1" x14ac:dyDescent="0.3">
      <c r="A26" s="112" t="s">
        <v>126</v>
      </c>
      <c r="B26" s="113" t="s">
        <v>20</v>
      </c>
      <c r="C26" s="113" t="s">
        <v>126</v>
      </c>
      <c r="D26" s="114" t="s">
        <v>128</v>
      </c>
      <c r="E26" s="114" t="s">
        <v>129</v>
      </c>
      <c r="F26" s="114" t="s">
        <v>130</v>
      </c>
      <c r="G26" s="114" t="s">
        <v>131</v>
      </c>
      <c r="H26" s="115" t="s">
        <v>132</v>
      </c>
      <c r="I26" s="116"/>
    </row>
    <row r="27" spans="1:12" ht="13.5" hidden="1" x14ac:dyDescent="0.25">
      <c r="A27" s="117">
        <v>0</v>
      </c>
      <c r="B27" s="123" t="str">
        <f>IFERROR(VLOOKUP(H27,'[1]Consolidado MP Planta'!$A$2:$M$823,3,0),"")</f>
        <v/>
      </c>
      <c r="C27" s="118">
        <f t="shared" ref="C27:C32" si="6">+A27</f>
        <v>0</v>
      </c>
      <c r="D27" s="119" t="str">
        <f>IFERROR(VLOOKUP(H27,'[1]Consolidado MP Planta'!$A$2:$M$823,13,0),"")</f>
        <v/>
      </c>
      <c r="E27" s="119" t="str">
        <f>IFERROR(VLOOKUP(H27,'[1]Consolidado MP Planta'!$A$2:$M$823,12,0),"")</f>
        <v/>
      </c>
      <c r="F27" s="119" t="str">
        <f t="shared" ref="F27:F32" si="7">IFERROR(C27*E27,"")</f>
        <v/>
      </c>
      <c r="G27" s="120" t="str">
        <f t="shared" ref="G27:G32" si="8">IFERROR(F27/$F$66,"")</f>
        <v/>
      </c>
      <c r="H27" s="124"/>
      <c r="I27" s="124"/>
      <c r="J27" s="122"/>
      <c r="K27" s="516"/>
      <c r="L27" s="516"/>
    </row>
    <row r="28" spans="1:12" ht="13.5" hidden="1" x14ac:dyDescent="0.25">
      <c r="A28" s="117"/>
      <c r="B28" s="123" t="str">
        <f>IFERROR(VLOOKUP(H28,'[1]Consolidado MP Planta'!$A$2:$M$823,3,0),"")</f>
        <v/>
      </c>
      <c r="C28" s="118">
        <f t="shared" si="6"/>
        <v>0</v>
      </c>
      <c r="D28" s="119" t="str">
        <f>IFERROR(VLOOKUP(H28,'[1]Consolidado MP Planta'!$A$2:$M$823,13,0),"")</f>
        <v/>
      </c>
      <c r="E28" s="119" t="str">
        <f>IFERROR(VLOOKUP(H28,'[1]Consolidado MP Planta'!$A$2:$M$823,12,0),"")</f>
        <v/>
      </c>
      <c r="F28" s="119" t="str">
        <f t="shared" si="7"/>
        <v/>
      </c>
      <c r="G28" s="120" t="str">
        <f t="shared" si="8"/>
        <v/>
      </c>
      <c r="H28" s="124"/>
      <c r="I28" s="124"/>
      <c r="J28" s="122"/>
      <c r="K28" s="516"/>
      <c r="L28" s="516"/>
    </row>
    <row r="29" spans="1:12" ht="13.5" hidden="1" x14ac:dyDescent="0.25">
      <c r="A29" s="117"/>
      <c r="B29" s="123" t="str">
        <f>IFERROR(VLOOKUP(H29,'[1]Consolidado MP Planta'!$A$2:$M$823,3,0),"")</f>
        <v/>
      </c>
      <c r="C29" s="118">
        <f t="shared" si="6"/>
        <v>0</v>
      </c>
      <c r="D29" s="119" t="str">
        <f>IFERROR(VLOOKUP(H29,'[1]Consolidado MP Planta'!$A$2:$M$823,13,0),"")</f>
        <v/>
      </c>
      <c r="E29" s="119" t="str">
        <f>IFERROR(VLOOKUP(H29,'[1]Consolidado MP Planta'!$A$2:$M$823,12,0),"")</f>
        <v/>
      </c>
      <c r="F29" s="119" t="str">
        <f t="shared" si="7"/>
        <v/>
      </c>
      <c r="G29" s="120" t="str">
        <f t="shared" si="8"/>
        <v/>
      </c>
      <c r="H29" s="124"/>
      <c r="I29" s="124"/>
      <c r="J29" s="122"/>
      <c r="K29" s="516"/>
      <c r="L29" s="516"/>
    </row>
    <row r="30" spans="1:12" ht="13.5" hidden="1" x14ac:dyDescent="0.25">
      <c r="A30" s="117"/>
      <c r="B30" s="123" t="str">
        <f>IFERROR(VLOOKUP(H30,'[1]Consolidado MP Planta'!$A$2:$M$823,3,0),"")</f>
        <v/>
      </c>
      <c r="C30" s="118">
        <f t="shared" si="6"/>
        <v>0</v>
      </c>
      <c r="D30" s="119" t="str">
        <f>IFERROR(VLOOKUP(H30,'[1]Consolidado MP Planta'!$A$2:$M$823,13,0),"")</f>
        <v/>
      </c>
      <c r="E30" s="119" t="str">
        <f>IFERROR(VLOOKUP(H30,'[1]Consolidado MP Planta'!$A$2:$M$823,12,0),"")</f>
        <v/>
      </c>
      <c r="F30" s="119" t="str">
        <f t="shared" si="7"/>
        <v/>
      </c>
      <c r="G30" s="120" t="str">
        <f t="shared" si="8"/>
        <v/>
      </c>
      <c r="H30" s="124"/>
      <c r="I30" s="124"/>
      <c r="J30" s="122"/>
      <c r="K30" s="516"/>
      <c r="L30" s="516"/>
    </row>
    <row r="31" spans="1:12" ht="13.5" hidden="1" x14ac:dyDescent="0.25">
      <c r="A31" s="117"/>
      <c r="B31" s="123" t="str">
        <f>IFERROR(VLOOKUP(H31,'[1]Consolidado MP Planta'!$A$2:$M$823,3,0),"")</f>
        <v/>
      </c>
      <c r="C31" s="118">
        <f t="shared" si="6"/>
        <v>0</v>
      </c>
      <c r="D31" s="119" t="str">
        <f>IFERROR(VLOOKUP(H31,'[1]Consolidado MP Planta'!$A$2:$M$823,13,0),"")</f>
        <v/>
      </c>
      <c r="E31" s="119" t="str">
        <f>IFERROR(VLOOKUP(H31,'[1]Consolidado MP Planta'!$A$2:$M$823,12,0),"")</f>
        <v/>
      </c>
      <c r="F31" s="119" t="str">
        <f t="shared" si="7"/>
        <v/>
      </c>
      <c r="G31" s="120" t="str">
        <f t="shared" si="8"/>
        <v/>
      </c>
      <c r="H31" s="124"/>
      <c r="I31" s="124"/>
      <c r="J31" s="122"/>
      <c r="K31" s="125"/>
      <c r="L31" s="126"/>
    </row>
    <row r="32" spans="1:12" ht="13.5" hidden="1" x14ac:dyDescent="0.25">
      <c r="A32" s="117"/>
      <c r="B32" s="123" t="str">
        <f>IFERROR(VLOOKUP(H32,'[1]Consolidado MP Planta'!$A$2:$M$823,3,0),"")</f>
        <v/>
      </c>
      <c r="C32" s="118">
        <f t="shared" si="6"/>
        <v>0</v>
      </c>
      <c r="D32" s="119" t="str">
        <f>IFERROR(VLOOKUP(H32,'[1]Consolidado MP Planta'!$A$2:$M$823,13,0),"")</f>
        <v/>
      </c>
      <c r="E32" s="119" t="str">
        <f>IFERROR(VLOOKUP(H32,'[1]Consolidado MP Planta'!$A$2:$M$823,12,0),"")</f>
        <v/>
      </c>
      <c r="F32" s="119" t="str">
        <f t="shared" si="7"/>
        <v/>
      </c>
      <c r="G32" s="120" t="str">
        <f t="shared" si="8"/>
        <v/>
      </c>
      <c r="H32" s="124"/>
      <c r="I32" s="124"/>
      <c r="J32" s="122"/>
    </row>
    <row r="33" spans="1:13" ht="14.25" thickBot="1" x14ac:dyDescent="0.3">
      <c r="A33" s="117"/>
      <c r="B33" s="123"/>
      <c r="C33" s="118"/>
      <c r="D33" s="119"/>
      <c r="E33" s="119"/>
      <c r="F33" s="119"/>
      <c r="G33" s="120"/>
      <c r="H33" s="124"/>
      <c r="I33" s="124"/>
      <c r="J33" s="122"/>
    </row>
    <row r="34" spans="1:13" ht="26.25" thickBot="1" x14ac:dyDescent="0.25">
      <c r="A34" s="112" t="s">
        <v>126</v>
      </c>
      <c r="B34" s="113" t="s">
        <v>134</v>
      </c>
      <c r="C34" s="113" t="s">
        <v>126</v>
      </c>
      <c r="D34" s="114" t="s">
        <v>128</v>
      </c>
      <c r="E34" s="114" t="s">
        <v>129</v>
      </c>
      <c r="F34" s="114" t="s">
        <v>130</v>
      </c>
      <c r="G34" s="114" t="s">
        <v>131</v>
      </c>
      <c r="H34" s="115" t="s">
        <v>132</v>
      </c>
      <c r="I34" s="124"/>
      <c r="J34" s="122"/>
    </row>
    <row r="35" spans="1:13" ht="13.5" x14ac:dyDescent="0.25">
      <c r="A35" s="117">
        <f>+A17</f>
        <v>80</v>
      </c>
      <c r="B35" s="123" t="str">
        <f>IFERROR(VLOOKUP(H35,[1]SEMIELABORADOS!$A$2:$M$6000,2,0),"")</f>
        <v>BATIDO ROSQUETE ARROLLADO KILO</v>
      </c>
      <c r="C35" s="118">
        <f>+A35</f>
        <v>80</v>
      </c>
      <c r="D35" s="119" t="str">
        <f>IFERROR(VLOOKUP(H35,[1]SEMIELABORADOS!$A$2:$M$6000,6,0),"")</f>
        <v>Gramo</v>
      </c>
      <c r="E35" s="119">
        <v>0.01</v>
      </c>
      <c r="F35" s="119">
        <f>IFERROR(E35*C35,"")</f>
        <v>0.8</v>
      </c>
      <c r="G35" s="120">
        <f t="shared" ref="G35:G41" si="9">IFERROR(F35/$F$66,"")</f>
        <v>4.2956249060332055E-3</v>
      </c>
      <c r="H35" s="124" t="s">
        <v>171</v>
      </c>
      <c r="I35" s="124"/>
      <c r="J35" s="122"/>
    </row>
    <row r="36" spans="1:13" ht="13.5" x14ac:dyDescent="0.25">
      <c r="A36" s="117">
        <f t="shared" ref="A36:A41" si="10">+A18</f>
        <v>5</v>
      </c>
      <c r="B36" s="123" t="str">
        <f>IFERROR(VLOOKUP(H36,[1]SEMIELABORADOS!$A$2:$M$6000,2,0),"")</f>
        <v>MEZCLA P/ENGRASE MOLDES KILO</v>
      </c>
      <c r="C36" s="118">
        <f t="shared" ref="C36:C41" si="11">+A36</f>
        <v>5</v>
      </c>
      <c r="D36" s="119" t="str">
        <f>IFERROR(VLOOKUP(H36,[1]SEMIELABORADOS!$A$2:$M$6000,6,0),"")</f>
        <v>Gramo</v>
      </c>
      <c r="E36" s="119">
        <v>0.02</v>
      </c>
      <c r="F36" s="119">
        <f t="shared" ref="F36:F41" si="12">IFERROR(E36*C36,"")</f>
        <v>0.1</v>
      </c>
      <c r="G36" s="120">
        <f t="shared" si="9"/>
        <v>5.3695311325415069E-4</v>
      </c>
      <c r="H36" s="124" t="s">
        <v>172</v>
      </c>
      <c r="I36" s="124"/>
      <c r="J36" s="122"/>
    </row>
    <row r="37" spans="1:13" ht="13.5" hidden="1" x14ac:dyDescent="0.25">
      <c r="A37" s="117">
        <f t="shared" si="10"/>
        <v>0</v>
      </c>
      <c r="B37" s="123" t="str">
        <f>IFERROR(VLOOKUP(H37,[1]SEMIELABORADOS!$A$2:$M$6000,2,0),"")</f>
        <v/>
      </c>
      <c r="C37" s="118">
        <f t="shared" si="11"/>
        <v>0</v>
      </c>
      <c r="D37" s="119" t="str">
        <f>IFERROR(VLOOKUP(H37,[1]SEMIELABORADOS!$A$2:$M$6000,6,0),"")</f>
        <v/>
      </c>
      <c r="E37" s="119" t="str">
        <f>IFERROR(VLOOKUP(H37,[1]SEMIELABORADOS!$A$2:$M$65536,10,0),"")</f>
        <v/>
      </c>
      <c r="F37" s="119" t="str">
        <f t="shared" si="12"/>
        <v/>
      </c>
      <c r="G37" s="120" t="str">
        <f t="shared" si="9"/>
        <v/>
      </c>
      <c r="H37" s="124"/>
      <c r="I37" s="124"/>
      <c r="J37" s="122"/>
    </row>
    <row r="38" spans="1:13" ht="13.5" hidden="1" x14ac:dyDescent="0.25">
      <c r="A38" s="117">
        <f t="shared" si="10"/>
        <v>0</v>
      </c>
      <c r="B38" s="123" t="str">
        <f>IFERROR(VLOOKUP(H38,[1]SEMIELABORADOS!$A$2:$M$6000,2,0),"")</f>
        <v/>
      </c>
      <c r="C38" s="118">
        <f>+A38</f>
        <v>0</v>
      </c>
      <c r="D38" s="119" t="str">
        <f>IFERROR(VLOOKUP(H38,[1]SEMIELABORADOS!$A$2:$M$6000,6,0),"")</f>
        <v/>
      </c>
      <c r="E38" s="119" t="str">
        <f>IFERROR(VLOOKUP(H38,[1]SEMIELABORADOS!$A$2:$M$65536,10,0),"")</f>
        <v/>
      </c>
      <c r="F38" s="119" t="str">
        <f>IFERROR(E38*C38,"")</f>
        <v/>
      </c>
      <c r="G38" s="120" t="str">
        <f t="shared" si="9"/>
        <v/>
      </c>
      <c r="H38" s="124"/>
      <c r="I38" s="124"/>
      <c r="J38" s="122"/>
    </row>
    <row r="39" spans="1:13" ht="13.5" hidden="1" x14ac:dyDescent="0.25">
      <c r="A39" s="117">
        <f t="shared" si="10"/>
        <v>0</v>
      </c>
      <c r="B39" s="123" t="str">
        <f>IFERROR(VLOOKUP(H39,[1]SEMIELABORADOS!$A$2:$M$6000,2,0),"")</f>
        <v/>
      </c>
      <c r="C39" s="118">
        <f>+A39</f>
        <v>0</v>
      </c>
      <c r="D39" s="119" t="str">
        <f>IFERROR(VLOOKUP(H39,[1]SEMIELABORADOS!$A$2:$M$6000,6,0),"")</f>
        <v/>
      </c>
      <c r="E39" s="119" t="str">
        <f>IFERROR(VLOOKUP(H39,[1]SEMIELABORADOS!$A$2:$M$65536,10,0),"")</f>
        <v/>
      </c>
      <c r="F39" s="119" t="str">
        <f>IFERROR(E39*C39,"")</f>
        <v/>
      </c>
      <c r="G39" s="120" t="str">
        <f t="shared" si="9"/>
        <v/>
      </c>
      <c r="H39" s="124"/>
      <c r="I39" s="124"/>
      <c r="J39" s="122"/>
    </row>
    <row r="40" spans="1:13" ht="13.5" hidden="1" x14ac:dyDescent="0.25">
      <c r="A40" s="117">
        <f t="shared" si="10"/>
        <v>0</v>
      </c>
      <c r="B40" s="123" t="str">
        <f>IFERROR(VLOOKUP(H40,[1]SEMIELABORADOS!$A$2:$M$6000,2,0),"")</f>
        <v/>
      </c>
      <c r="C40" s="118">
        <f t="shared" si="11"/>
        <v>0</v>
      </c>
      <c r="D40" s="119" t="str">
        <f>IFERROR(VLOOKUP(H40,[1]SEMIELABORADOS!$A$2:$M$6000,6,0),"")</f>
        <v/>
      </c>
      <c r="E40" s="119" t="str">
        <f>IFERROR(VLOOKUP(H40,[1]SEMIELABORADOS!$A$2:$M$65536,10,0),"")</f>
        <v/>
      </c>
      <c r="F40" s="119" t="str">
        <f t="shared" si="12"/>
        <v/>
      </c>
      <c r="G40" s="120" t="str">
        <f t="shared" si="9"/>
        <v/>
      </c>
      <c r="H40" s="124"/>
      <c r="I40" s="124"/>
      <c r="J40" s="122"/>
    </row>
    <row r="41" spans="1:13" ht="13.5" hidden="1" x14ac:dyDescent="0.25">
      <c r="A41" s="117">
        <f t="shared" si="10"/>
        <v>0</v>
      </c>
      <c r="B41" s="123" t="str">
        <f>IFERROR(VLOOKUP(H41,[1]SEMIELABORADOS!$A$2:$M$6000,2,0),"")</f>
        <v/>
      </c>
      <c r="C41" s="118">
        <f t="shared" si="11"/>
        <v>0</v>
      </c>
      <c r="D41" s="119" t="str">
        <f>IFERROR(VLOOKUP(H41,[1]SEMIELABORADOS!$A$2:$M$6000,6,0),"")</f>
        <v/>
      </c>
      <c r="E41" s="119" t="str">
        <f>IFERROR(VLOOKUP(H41,[1]SEMIELABORADOS!$A$2:$M$65536,10,0),"")</f>
        <v/>
      </c>
      <c r="F41" s="119" t="str">
        <f t="shared" si="12"/>
        <v/>
      </c>
      <c r="G41" s="120" t="str">
        <f t="shared" si="9"/>
        <v/>
      </c>
      <c r="H41" s="124"/>
      <c r="I41" s="124"/>
      <c r="J41" s="122"/>
    </row>
    <row r="42" spans="1:13" ht="14.25" thickBot="1" x14ac:dyDescent="0.3">
      <c r="A42" s="117"/>
      <c r="B42" s="123"/>
      <c r="C42" s="118"/>
      <c r="D42" s="119"/>
      <c r="E42" s="119"/>
      <c r="F42" s="119"/>
      <c r="G42" s="120"/>
      <c r="H42" s="124"/>
      <c r="I42" s="124"/>
      <c r="J42" s="122"/>
    </row>
    <row r="43" spans="1:13" ht="26.25" thickBot="1" x14ac:dyDescent="0.3">
      <c r="A43" s="112" t="s">
        <v>126</v>
      </c>
      <c r="B43" s="113" t="s">
        <v>135</v>
      </c>
      <c r="C43" s="113" t="s">
        <v>126</v>
      </c>
      <c r="D43" s="114" t="s">
        <v>128</v>
      </c>
      <c r="E43" s="114" t="s">
        <v>129</v>
      </c>
      <c r="F43" s="114" t="s">
        <v>130</v>
      </c>
      <c r="G43" s="114" t="s">
        <v>131</v>
      </c>
      <c r="H43" s="115" t="s">
        <v>132</v>
      </c>
      <c r="I43" s="116"/>
      <c r="J43" s="122"/>
    </row>
    <row r="44" spans="1:13" ht="13.5" x14ac:dyDescent="0.25">
      <c r="A44" s="117">
        <f>+A35</f>
        <v>80</v>
      </c>
      <c r="B44" s="123" t="str">
        <f>IFERROR(VLOOKUP(H44,[1]SEMIELABORADOS!$A$2:$M$6000,2,0),"")</f>
        <v>BATIDO ROSQUETE ARROLLADO KILO</v>
      </c>
      <c r="C44" s="118">
        <f>+A44</f>
        <v>80</v>
      </c>
      <c r="D44" s="119" t="str">
        <f>IFERROR(VLOOKUP(H44,[1]SEMIELABORADOS!$A$2:$M$6000,6,0),"")</f>
        <v>Gramo</v>
      </c>
      <c r="E44" s="119">
        <v>0.21</v>
      </c>
      <c r="F44" s="119">
        <f>IFERROR(E44*C44,"")</f>
        <v>16.8</v>
      </c>
      <c r="G44" s="120">
        <f>IFERROR(F44/$F$66,"")</f>
        <v>9.0208123026697312E-2</v>
      </c>
      <c r="H44" s="124" t="s">
        <v>171</v>
      </c>
      <c r="I44" s="116"/>
      <c r="J44" s="122"/>
    </row>
    <row r="45" spans="1:13" ht="13.5" x14ac:dyDescent="0.25">
      <c r="A45" s="117">
        <f t="shared" ref="A45:A50" si="13">+A36</f>
        <v>5</v>
      </c>
      <c r="B45" s="123" t="str">
        <f>IFERROR(VLOOKUP(H45,[1]SEMIELABORADOS!$A$2:$M$6000,2,0),"")</f>
        <v>MEZCLA P/ENGRASE MOLDES KILO</v>
      </c>
      <c r="C45" s="118">
        <f t="shared" ref="C45:C50" si="14">+A45</f>
        <v>5</v>
      </c>
      <c r="D45" s="119" t="str">
        <f>IFERROR(VLOOKUP(H45,[1]SEMIELABORADOS!$A$2:$M$6000,6,0),"")</f>
        <v>Gramo</v>
      </c>
      <c r="E45" s="119">
        <v>0.25</v>
      </c>
      <c r="F45" s="119">
        <f t="shared" ref="F45:F50" si="15">IFERROR(E45*C45,"")</f>
        <v>1.25</v>
      </c>
      <c r="G45" s="120">
        <f t="shared" ref="G45:G50" si="16">IFERROR(F45/$F$66,"")</f>
        <v>6.7119139156768832E-3</v>
      </c>
      <c r="H45" s="124" t="s">
        <v>172</v>
      </c>
      <c r="I45" s="116"/>
      <c r="J45" s="122"/>
      <c r="M45" s="127"/>
    </row>
    <row r="46" spans="1:13" ht="13.5" hidden="1" x14ac:dyDescent="0.25">
      <c r="A46" s="117">
        <f t="shared" si="13"/>
        <v>0</v>
      </c>
      <c r="B46" s="123" t="str">
        <f>IFERROR(VLOOKUP(H46,[1]SEMIELABORADOS!$A$2:$M$6000,2,0),"")</f>
        <v/>
      </c>
      <c r="C46" s="118">
        <f t="shared" si="14"/>
        <v>0</v>
      </c>
      <c r="D46" s="119" t="str">
        <f>IFERROR(VLOOKUP(H46,[1]SEMIELABORADOS!$A$2:$M$6000,6,0),"")</f>
        <v/>
      </c>
      <c r="E46" s="119" t="str">
        <f>IFERROR(VLOOKUP(H46,[1]SEMIELABORADOS!$A$2:$M$65536,12,0),"")</f>
        <v/>
      </c>
      <c r="F46" s="119" t="str">
        <f t="shared" si="15"/>
        <v/>
      </c>
      <c r="G46" s="120" t="str">
        <f t="shared" si="16"/>
        <v/>
      </c>
      <c r="H46" s="124"/>
      <c r="I46" s="116"/>
      <c r="J46" s="122"/>
    </row>
    <row r="47" spans="1:13" ht="13.5" hidden="1" x14ac:dyDescent="0.25">
      <c r="A47" s="117">
        <f t="shared" si="13"/>
        <v>0</v>
      </c>
      <c r="B47" s="123" t="str">
        <f>IFERROR(VLOOKUP(H47,[1]SEMIELABORADOS!$A$2:$M$6000,2,0),"")</f>
        <v/>
      </c>
      <c r="C47" s="118">
        <f t="shared" si="14"/>
        <v>0</v>
      </c>
      <c r="D47" s="119" t="str">
        <f>IFERROR(VLOOKUP(H47,[1]SEMIELABORADOS!$A$2:$M$6000,6,0),"")</f>
        <v/>
      </c>
      <c r="E47" s="119" t="str">
        <f>IFERROR(VLOOKUP(H47,[1]SEMIELABORADOS!$A$2:$M$65536,12,0),"")</f>
        <v/>
      </c>
      <c r="F47" s="119" t="str">
        <f t="shared" si="15"/>
        <v/>
      </c>
      <c r="G47" s="120" t="str">
        <f t="shared" si="16"/>
        <v/>
      </c>
      <c r="H47" s="124"/>
      <c r="I47" s="116"/>
      <c r="J47" s="122"/>
    </row>
    <row r="48" spans="1:13" ht="13.5" hidden="1" x14ac:dyDescent="0.25">
      <c r="A48" s="117">
        <f t="shared" si="13"/>
        <v>0</v>
      </c>
      <c r="B48" s="123" t="str">
        <f>IFERROR(VLOOKUP(H48,[1]SEMIELABORADOS!$A$2:$M$6000,2,0),"")</f>
        <v/>
      </c>
      <c r="C48" s="118">
        <f t="shared" si="14"/>
        <v>0</v>
      </c>
      <c r="D48" s="119" t="str">
        <f>IFERROR(VLOOKUP(H48,[1]SEMIELABORADOS!$A$2:$M$6000,6,0),"")</f>
        <v/>
      </c>
      <c r="E48" s="119" t="str">
        <f>IFERROR(VLOOKUP(H48,[1]SEMIELABORADOS!$A$2:$M$65536,12,0),"")</f>
        <v/>
      </c>
      <c r="F48" s="119" t="str">
        <f t="shared" si="15"/>
        <v/>
      </c>
      <c r="G48" s="120" t="str">
        <f t="shared" si="16"/>
        <v/>
      </c>
      <c r="H48" s="124"/>
      <c r="I48" s="116"/>
      <c r="J48" s="122"/>
    </row>
    <row r="49" spans="1:17" ht="13.5" hidden="1" x14ac:dyDescent="0.25">
      <c r="A49" s="117">
        <f t="shared" si="13"/>
        <v>0</v>
      </c>
      <c r="B49" s="123" t="str">
        <f>IFERROR(VLOOKUP(H49,[1]SEMIELABORADOS!$A$2:$M$6000,2,0),"")</f>
        <v/>
      </c>
      <c r="C49" s="118">
        <f t="shared" si="14"/>
        <v>0</v>
      </c>
      <c r="D49" s="119" t="str">
        <f>IFERROR(VLOOKUP(H49,[1]SEMIELABORADOS!$A$2:$M$6000,6,0),"")</f>
        <v/>
      </c>
      <c r="E49" s="119" t="str">
        <f>IFERROR(VLOOKUP(H49,[1]SEMIELABORADOS!$A$2:$M$65536,12,0),"")</f>
        <v/>
      </c>
      <c r="F49" s="119" t="str">
        <f t="shared" si="15"/>
        <v/>
      </c>
      <c r="G49" s="120" t="str">
        <f t="shared" si="16"/>
        <v/>
      </c>
      <c r="H49" s="124"/>
      <c r="I49" s="116"/>
      <c r="J49" s="122"/>
    </row>
    <row r="50" spans="1:17" ht="13.5" hidden="1" x14ac:dyDescent="0.25">
      <c r="A50" s="117">
        <f t="shared" si="13"/>
        <v>0</v>
      </c>
      <c r="B50" s="123" t="str">
        <f>IFERROR(VLOOKUP(H50,[1]SEMIELABORADOS!$A$2:$M$6000,2,0),"")</f>
        <v/>
      </c>
      <c r="C50" s="118">
        <f t="shared" si="14"/>
        <v>0</v>
      </c>
      <c r="D50" s="119" t="str">
        <f>IFERROR(VLOOKUP(H50,[1]SEMIELABORADOS!$A$2:$M$6000,6,0),"")</f>
        <v/>
      </c>
      <c r="E50" s="119" t="str">
        <f>IFERROR(VLOOKUP(H50,[1]SEMIELABORADOS!$A$2:$M$65536,12,0),"")</f>
        <v/>
      </c>
      <c r="F50" s="119" t="str">
        <f t="shared" si="15"/>
        <v/>
      </c>
      <c r="G50" s="120" t="str">
        <f t="shared" si="16"/>
        <v/>
      </c>
      <c r="H50" s="123"/>
      <c r="I50" s="116"/>
      <c r="J50" s="122"/>
    </row>
    <row r="51" spans="1:17" ht="13.5" x14ac:dyDescent="0.25">
      <c r="A51" s="117">
        <v>1</v>
      </c>
      <c r="B51" s="123" t="s">
        <v>136</v>
      </c>
      <c r="C51" s="118">
        <f>+A51</f>
        <v>1</v>
      </c>
      <c r="D51" s="118" t="s">
        <v>137</v>
      </c>
      <c r="E51" s="119">
        <f>+F65</f>
        <v>30.5</v>
      </c>
      <c r="F51" s="119">
        <f>IFERROR(C51*E51,"")</f>
        <v>30.5</v>
      </c>
      <c r="G51" s="120">
        <f>IFERROR(F51/$F$66,"")</f>
        <v>0.16377069954251597</v>
      </c>
      <c r="H51" s="128"/>
      <c r="I51" s="128"/>
      <c r="J51" s="122"/>
    </row>
    <row r="52" spans="1:17" ht="14.25" thickBot="1" x14ac:dyDescent="0.3">
      <c r="A52" s="117"/>
      <c r="B52" s="123"/>
      <c r="C52" s="118"/>
      <c r="D52" s="118"/>
      <c r="E52" s="119"/>
      <c r="F52" s="119"/>
      <c r="G52" s="120"/>
      <c r="H52" s="128"/>
      <c r="I52" s="128"/>
      <c r="J52" s="122"/>
    </row>
    <row r="53" spans="1:17" ht="13.5" thickBot="1" x14ac:dyDescent="0.3">
      <c r="A53" s="129"/>
      <c r="B53" s="517" t="s">
        <v>138</v>
      </c>
      <c r="C53" s="517"/>
      <c r="D53" s="517"/>
      <c r="E53" s="517"/>
      <c r="F53" s="131">
        <f>SUM(F8:F14,F17:F24)</f>
        <v>151.79999999999998</v>
      </c>
      <c r="G53" s="120">
        <f>+F53/$F$66</f>
        <v>0.81509482591980065</v>
      </c>
      <c r="H53" s="132">
        <f>+F53/$D$60</f>
        <v>151.79999999999998</v>
      </c>
      <c r="I53" s="132"/>
      <c r="J53" s="133"/>
      <c r="K53" s="134"/>
      <c r="L53" s="134"/>
      <c r="M53" s="134"/>
      <c r="N53" s="134"/>
      <c r="O53" s="134"/>
      <c r="P53" s="134"/>
      <c r="Q53" s="135"/>
    </row>
    <row r="54" spans="1:17" x14ac:dyDescent="0.2">
      <c r="A54" s="129"/>
      <c r="B54" s="517" t="s">
        <v>139</v>
      </c>
      <c r="C54" s="517"/>
      <c r="D54" s="517"/>
      <c r="E54" s="517"/>
      <c r="F54" s="131">
        <f>SUM(F27:F32,F35:F41)</f>
        <v>0.9</v>
      </c>
      <c r="G54" s="120">
        <f>+F54/$F$66</f>
        <v>4.8325780192873561E-3</v>
      </c>
      <c r="H54" s="132">
        <f>+F54/$D$60</f>
        <v>0.9</v>
      </c>
      <c r="I54" s="132"/>
      <c r="J54" s="136"/>
      <c r="K54" s="518" t="s">
        <v>140</v>
      </c>
      <c r="L54" s="519"/>
      <c r="M54" s="519"/>
      <c r="N54" s="519"/>
      <c r="O54" s="137">
        <f>+F55</f>
        <v>152.69999999999999</v>
      </c>
      <c r="P54" s="137"/>
      <c r="Q54" s="138"/>
    </row>
    <row r="55" spans="1:17" x14ac:dyDescent="0.2">
      <c r="A55" s="129"/>
      <c r="B55" s="517" t="s">
        <v>141</v>
      </c>
      <c r="C55" s="517"/>
      <c r="D55" s="517"/>
      <c r="E55" s="517"/>
      <c r="F55" s="131">
        <f>+F53+F54</f>
        <v>152.69999999999999</v>
      </c>
      <c r="G55" s="120">
        <f>+F55/$F$66</f>
        <v>0.81992740393908803</v>
      </c>
      <c r="H55" s="132">
        <f>+F55/$D$60</f>
        <v>152.69999999999999</v>
      </c>
      <c r="I55" s="132"/>
      <c r="J55" s="139"/>
      <c r="K55" s="140"/>
      <c r="M55" s="141" t="s">
        <v>142</v>
      </c>
      <c r="N55" s="142"/>
      <c r="O55" s="137">
        <f>+H56</f>
        <v>48.55</v>
      </c>
      <c r="P55" s="137"/>
      <c r="Q55" s="138"/>
    </row>
    <row r="56" spans="1:17" ht="13.5" thickBot="1" x14ac:dyDescent="0.25">
      <c r="A56" s="129"/>
      <c r="B56" s="130"/>
      <c r="C56" s="517" t="s">
        <v>143</v>
      </c>
      <c r="D56" s="517"/>
      <c r="E56" s="517"/>
      <c r="F56" s="131">
        <f>SUM(F44:F51)</f>
        <v>48.55</v>
      </c>
      <c r="G56" s="120">
        <f>+F56/$F$66</f>
        <v>0.26069073648489016</v>
      </c>
      <c r="H56" s="132">
        <f>+F56/$D$60</f>
        <v>48.55</v>
      </c>
      <c r="I56" s="132"/>
      <c r="J56" s="139"/>
      <c r="K56" s="140"/>
      <c r="L56" s="140"/>
      <c r="M56" s="140" t="s">
        <v>144</v>
      </c>
      <c r="N56" s="143"/>
      <c r="O56" s="137">
        <f>O54*N56</f>
        <v>0</v>
      </c>
      <c r="P56" s="137"/>
      <c r="Q56" s="138"/>
    </row>
    <row r="57" spans="1:17" ht="13.5" thickBot="1" x14ac:dyDescent="0.25">
      <c r="A57" s="129"/>
      <c r="B57" s="144"/>
      <c r="C57" s="144"/>
      <c r="D57" s="144"/>
      <c r="E57" s="144"/>
      <c r="F57" s="145"/>
      <c r="G57" s="120"/>
      <c r="H57" s="146"/>
      <c r="I57" s="132"/>
      <c r="J57" s="139"/>
      <c r="K57" s="147"/>
      <c r="M57" s="148" t="s">
        <v>145</v>
      </c>
      <c r="N57" s="149"/>
      <c r="O57" s="150">
        <f>SUM(O54:O56)</f>
        <v>201.25</v>
      </c>
      <c r="P57" s="151"/>
      <c r="Q57" s="138"/>
    </row>
    <row r="58" spans="1:17" x14ac:dyDescent="0.2">
      <c r="B58" s="520" t="s">
        <v>146</v>
      </c>
      <c r="C58" s="520"/>
      <c r="D58" s="152">
        <v>80</v>
      </c>
      <c r="E58" s="153"/>
      <c r="G58" s="120"/>
      <c r="H58" s="146">
        <f>+H56/61</f>
        <v>0.79590163934426228</v>
      </c>
      <c r="I58" s="154"/>
      <c r="J58" s="139"/>
      <c r="K58" s="147"/>
      <c r="L58" s="140"/>
      <c r="M58" s="140" t="s">
        <v>147</v>
      </c>
      <c r="N58" s="155"/>
      <c r="O58" s="137">
        <f>+H59</f>
        <v>46.162295081967216</v>
      </c>
      <c r="P58" s="137"/>
      <c r="Q58" s="138"/>
    </row>
    <row r="59" spans="1:17" x14ac:dyDescent="0.2">
      <c r="B59" s="520" t="s">
        <v>148</v>
      </c>
      <c r="C59" s="520"/>
      <c r="D59" s="156">
        <v>80</v>
      </c>
      <c r="E59" s="153"/>
      <c r="G59" s="120"/>
      <c r="H59" s="146">
        <f>+H58*58</f>
        <v>46.162295081967216</v>
      </c>
      <c r="I59" s="154"/>
      <c r="J59" s="139"/>
      <c r="K59" s="147"/>
      <c r="L59" s="140"/>
      <c r="M59" s="521" t="s">
        <v>145</v>
      </c>
      <c r="N59" s="521"/>
      <c r="O59" s="137">
        <f>SUM(O57:O58)</f>
        <v>247.41229508196722</v>
      </c>
      <c r="P59" s="137"/>
      <c r="Q59" s="138"/>
    </row>
    <row r="60" spans="1:17" ht="13.5" thickBot="1" x14ac:dyDescent="0.25">
      <c r="B60" s="512" t="s">
        <v>149</v>
      </c>
      <c r="C60" s="512"/>
      <c r="D60" s="152">
        <f>+D58/D59</f>
        <v>1</v>
      </c>
      <c r="E60" s="153"/>
      <c r="F60" s="157"/>
      <c r="G60" s="120"/>
      <c r="H60" s="146"/>
      <c r="I60" s="154"/>
      <c r="J60" s="139"/>
      <c r="K60" s="147"/>
      <c r="L60" s="521"/>
      <c r="M60" s="521"/>
      <c r="N60" s="155"/>
      <c r="O60" s="137">
        <f>+O59*N60</f>
        <v>0</v>
      </c>
      <c r="P60" s="137"/>
      <c r="Q60" s="138"/>
    </row>
    <row r="61" spans="1:17" ht="13.5" thickBot="1" x14ac:dyDescent="0.25">
      <c r="B61" s="512" t="s">
        <v>150</v>
      </c>
      <c r="C61" s="512"/>
      <c r="D61" s="158"/>
      <c r="E61" s="153"/>
      <c r="F61" s="157"/>
      <c r="G61" s="120"/>
      <c r="H61" s="146"/>
      <c r="I61" s="154"/>
      <c r="J61" s="139"/>
      <c r="K61" s="513" t="s">
        <v>151</v>
      </c>
      <c r="L61" s="514"/>
      <c r="M61" s="514"/>
      <c r="N61" s="515"/>
      <c r="O61" s="150">
        <f>SUM(O59:O60)</f>
        <v>247.41229508196722</v>
      </c>
      <c r="P61" s="159" t="s">
        <v>152</v>
      </c>
      <c r="Q61" s="138"/>
    </row>
    <row r="62" spans="1:17" ht="13.5" thickBot="1" x14ac:dyDescent="0.25">
      <c r="C62" s="129" t="s">
        <v>153</v>
      </c>
      <c r="D62" s="160"/>
      <c r="E62" s="103" t="s">
        <v>154</v>
      </c>
      <c r="F62" s="161" t="s">
        <v>155</v>
      </c>
      <c r="G62" s="120"/>
      <c r="H62" s="146"/>
      <c r="I62" s="154"/>
      <c r="J62" s="162"/>
      <c r="K62" s="163"/>
      <c r="L62" s="501" t="s">
        <v>156</v>
      </c>
      <c r="M62" s="501"/>
      <c r="N62" s="501"/>
      <c r="O62" s="164">
        <f>+O61/D60</f>
        <v>247.41229508196722</v>
      </c>
      <c r="P62" s="165">
        <f>+O62/D59</f>
        <v>3.0926536885245901</v>
      </c>
      <c r="Q62" s="166"/>
    </row>
    <row r="63" spans="1:17" ht="13.5" thickBot="1" x14ac:dyDescent="0.25">
      <c r="B63" s="502" t="s">
        <v>141</v>
      </c>
      <c r="C63" s="502"/>
      <c r="D63" s="502"/>
      <c r="E63" s="167">
        <f>+F63/F63</f>
        <v>1</v>
      </c>
      <c r="F63" s="168">
        <f>SUM(F55)</f>
        <v>152.69999999999999</v>
      </c>
      <c r="G63" s="120">
        <f>+F63/$F$66</f>
        <v>0.81992740393908803</v>
      </c>
      <c r="H63" s="146"/>
      <c r="I63" s="154"/>
      <c r="K63" s="503"/>
      <c r="L63" s="504"/>
      <c r="M63" s="504"/>
      <c r="N63" s="504"/>
      <c r="O63" s="169"/>
      <c r="P63" s="170"/>
    </row>
    <row r="64" spans="1:17" ht="13.5" thickBot="1" x14ac:dyDescent="0.3">
      <c r="B64" s="505" t="s">
        <v>157</v>
      </c>
      <c r="C64" s="505"/>
      <c r="D64" s="505"/>
      <c r="E64" s="171">
        <v>0.02</v>
      </c>
      <c r="F64" s="168">
        <f>+F53*E64</f>
        <v>3.0359999999999996</v>
      </c>
      <c r="G64" s="120">
        <f>+F64/$F$66</f>
        <v>1.6301896518396013E-2</v>
      </c>
      <c r="H64" s="132"/>
      <c r="I64" s="154"/>
      <c r="J64" s="172"/>
      <c r="O64" s="173"/>
      <c r="P64" s="130"/>
    </row>
    <row r="65" spans="2:13" ht="13.5" thickBot="1" x14ac:dyDescent="0.3">
      <c r="B65" s="506" t="s">
        <v>158</v>
      </c>
      <c r="C65" s="507"/>
      <c r="D65" s="174">
        <v>0.5</v>
      </c>
      <c r="E65" s="175">
        <v>61</v>
      </c>
      <c r="F65" s="168">
        <f>+E65*D65</f>
        <v>30.5</v>
      </c>
      <c r="G65" s="120">
        <f>+F65/$F$66</f>
        <v>0.16377069954251597</v>
      </c>
      <c r="H65" s="132"/>
      <c r="I65" s="132"/>
      <c r="J65" s="122"/>
    </row>
    <row r="66" spans="2:13" ht="13.5" thickBot="1" x14ac:dyDescent="0.3">
      <c r="B66" s="508" t="s">
        <v>159</v>
      </c>
      <c r="C66" s="509"/>
      <c r="D66" s="509"/>
      <c r="E66" s="510"/>
      <c r="F66" s="145">
        <f>SUM(F63:F65)</f>
        <v>186.23599999999999</v>
      </c>
      <c r="G66" s="120">
        <f>+F66/$F$66</f>
        <v>1</v>
      </c>
      <c r="H66" s="511"/>
      <c r="I66" s="132"/>
      <c r="J66" s="122"/>
      <c r="M66" s="105" t="s">
        <v>160</v>
      </c>
    </row>
    <row r="67" spans="2:13" x14ac:dyDescent="0.25">
      <c r="C67" s="127"/>
      <c r="D67" s="127"/>
      <c r="E67" s="177"/>
      <c r="F67" s="168"/>
      <c r="G67" s="120"/>
      <c r="H67" s="511"/>
      <c r="I67" s="176"/>
      <c r="J67" s="105"/>
      <c r="M67" s="105" t="s">
        <v>161</v>
      </c>
    </row>
    <row r="68" spans="2:13" ht="13.5" thickBot="1" x14ac:dyDescent="0.3">
      <c r="B68" s="496" t="s">
        <v>162</v>
      </c>
      <c r="C68" s="496"/>
      <c r="D68" s="496"/>
      <c r="E68" s="496"/>
      <c r="F68" s="496"/>
      <c r="G68" s="120"/>
      <c r="H68" s="179"/>
      <c r="I68" s="176"/>
      <c r="J68" s="105"/>
      <c r="M68" s="105" t="s">
        <v>163</v>
      </c>
    </row>
    <row r="69" spans="2:13" ht="13.5" thickBot="1" x14ac:dyDescent="0.3">
      <c r="B69" s="180" t="s">
        <v>164</v>
      </c>
      <c r="C69" s="181">
        <f>+F53</f>
        <v>151.79999999999998</v>
      </c>
      <c r="D69" s="181">
        <f>+D58</f>
        <v>80</v>
      </c>
      <c r="E69" s="182">
        <f>+C69/D69</f>
        <v>1.8974999999999997</v>
      </c>
      <c r="F69" s="120"/>
      <c r="G69" s="179"/>
      <c r="H69" s="122"/>
      <c r="I69" s="179"/>
      <c r="J69" s="105"/>
    </row>
    <row r="70" spans="2:13" x14ac:dyDescent="0.25">
      <c r="B70" s="183"/>
      <c r="C70" s="184"/>
      <c r="D70" s="185"/>
      <c r="E70" s="168"/>
      <c r="F70" s="120"/>
      <c r="G70" s="179"/>
      <c r="H70" s="122"/>
      <c r="I70" s="122"/>
      <c r="J70" s="105"/>
    </row>
    <row r="71" spans="2:13" x14ac:dyDescent="0.25">
      <c r="B71" s="180" t="s">
        <v>165</v>
      </c>
      <c r="C71" s="181">
        <f>SUM(F63:F64)</f>
        <v>155.73599999999999</v>
      </c>
      <c r="D71" s="181">
        <f>+D58</f>
        <v>80</v>
      </c>
      <c r="E71" s="186">
        <f>+C71/D71</f>
        <v>1.9466999999999999</v>
      </c>
      <c r="F71" s="120"/>
      <c r="G71" s="179"/>
      <c r="H71" s="122"/>
      <c r="I71" s="122"/>
      <c r="J71" s="105"/>
    </row>
    <row r="72" spans="2:13" x14ac:dyDescent="0.25">
      <c r="B72" s="180"/>
      <c r="C72" s="181"/>
      <c r="D72" s="181"/>
      <c r="E72" s="186"/>
      <c r="F72" s="120"/>
      <c r="G72" s="179"/>
      <c r="H72" s="122"/>
      <c r="I72" s="122"/>
      <c r="J72" s="105"/>
    </row>
    <row r="73" spans="2:13" ht="13.5" thickBot="1" x14ac:dyDescent="0.3">
      <c r="B73" s="180" t="s">
        <v>166</v>
      </c>
      <c r="C73" s="181">
        <f>+F65</f>
        <v>30.5</v>
      </c>
      <c r="D73" s="181">
        <f>+D58</f>
        <v>80</v>
      </c>
      <c r="E73" s="186">
        <f>+C73/D73</f>
        <v>0.38124999999999998</v>
      </c>
      <c r="F73" s="120"/>
      <c r="G73" s="179"/>
      <c r="H73" s="122"/>
      <c r="I73" s="122"/>
      <c r="J73" s="105"/>
    </row>
    <row r="74" spans="2:13" ht="13.5" thickBot="1" x14ac:dyDescent="0.3">
      <c r="B74" s="180" t="s">
        <v>167</v>
      </c>
      <c r="C74" s="181">
        <f>+F56</f>
        <v>48.55</v>
      </c>
      <c r="D74" s="181">
        <f>+D73</f>
        <v>80</v>
      </c>
      <c r="E74" s="182">
        <f>+C74/D74</f>
        <v>0.60687499999999994</v>
      </c>
      <c r="F74" s="120"/>
      <c r="G74" s="179"/>
      <c r="H74" s="122"/>
      <c r="I74" s="122"/>
      <c r="J74" s="105"/>
    </row>
    <row r="75" spans="2:13" ht="13.5" thickBot="1" x14ac:dyDescent="0.3">
      <c r="B75" s="144"/>
      <c r="C75" s="145"/>
      <c r="D75" s="145"/>
      <c r="E75" s="186"/>
      <c r="F75" s="120"/>
      <c r="G75" s="179"/>
      <c r="H75" s="122"/>
      <c r="I75" s="122"/>
      <c r="J75" s="105"/>
    </row>
    <row r="76" spans="2:13" ht="13.5" thickBot="1" x14ac:dyDescent="0.3">
      <c r="B76" s="180" t="s">
        <v>168</v>
      </c>
      <c r="C76" s="181">
        <f>+F54</f>
        <v>0.9</v>
      </c>
      <c r="D76" s="181">
        <f>+D74</f>
        <v>80</v>
      </c>
      <c r="E76" s="182">
        <f>+C76/D76</f>
        <v>1.125E-2</v>
      </c>
      <c r="F76" s="120"/>
      <c r="G76" s="179"/>
      <c r="H76" s="122"/>
      <c r="I76" s="122"/>
      <c r="J76" s="122"/>
    </row>
    <row r="77" spans="2:13" ht="13.5" thickBot="1" x14ac:dyDescent="0.3">
      <c r="B77" s="144"/>
      <c r="C77" s="145"/>
      <c r="D77" s="145"/>
      <c r="E77" s="186"/>
      <c r="F77" s="120"/>
      <c r="G77" s="179"/>
      <c r="H77" s="122"/>
      <c r="I77" s="122"/>
    </row>
    <row r="78" spans="2:13" ht="13.5" thickBot="1" x14ac:dyDescent="0.3">
      <c r="B78" s="497" t="s">
        <v>169</v>
      </c>
      <c r="C78" s="498"/>
      <c r="D78" s="499"/>
      <c r="E78" s="182">
        <f>+E69+E74</f>
        <v>2.5043749999999996</v>
      </c>
      <c r="G78" s="120"/>
      <c r="H78" s="179"/>
      <c r="I78" s="122"/>
      <c r="J78" s="186"/>
    </row>
    <row r="79" spans="2:13" x14ac:dyDescent="0.25">
      <c r="I79" s="179"/>
      <c r="J79" s="105"/>
    </row>
    <row r="80" spans="2:13" ht="13.5" thickBot="1" x14ac:dyDescent="0.3">
      <c r="B80" s="496" t="s">
        <v>170</v>
      </c>
      <c r="C80" s="496"/>
      <c r="D80" s="496"/>
      <c r="E80" s="496"/>
      <c r="F80" s="496"/>
      <c r="G80" s="120"/>
      <c r="H80" s="179"/>
      <c r="J80" s="105"/>
    </row>
    <row r="81" spans="1:10" ht="13.5" thickBot="1" x14ac:dyDescent="0.3">
      <c r="B81" s="180" t="s">
        <v>164</v>
      </c>
      <c r="C81" s="181">
        <f>+C69</f>
        <v>151.79999999999998</v>
      </c>
      <c r="D81" s="181">
        <f>+D60</f>
        <v>1</v>
      </c>
      <c r="E81" s="182">
        <f>+C81/D81</f>
        <v>151.79999999999998</v>
      </c>
      <c r="F81" s="120"/>
      <c r="G81" s="179"/>
      <c r="H81" s="122"/>
      <c r="I81" s="179"/>
      <c r="J81" s="105"/>
    </row>
    <row r="82" spans="1:10" x14ac:dyDescent="0.25">
      <c r="B82" s="183"/>
      <c r="C82" s="184"/>
      <c r="D82" s="185"/>
      <c r="E82" s="168"/>
      <c r="F82" s="120"/>
      <c r="G82" s="179"/>
      <c r="H82" s="122"/>
      <c r="I82" s="122"/>
      <c r="J82" s="105"/>
    </row>
    <row r="83" spans="1:10" x14ac:dyDescent="0.25">
      <c r="B83" s="180" t="s">
        <v>165</v>
      </c>
      <c r="C83" s="181">
        <f>+C71</f>
        <v>155.73599999999999</v>
      </c>
      <c r="D83" s="181">
        <f>+D60</f>
        <v>1</v>
      </c>
      <c r="E83" s="186">
        <f>+C83/D83</f>
        <v>155.73599999999999</v>
      </c>
      <c r="F83" s="120"/>
      <c r="G83" s="179"/>
      <c r="H83" s="122"/>
      <c r="I83" s="122"/>
      <c r="J83" s="105"/>
    </row>
    <row r="84" spans="1:10" x14ac:dyDescent="0.25">
      <c r="B84" s="180"/>
      <c r="C84" s="181"/>
      <c r="D84" s="181"/>
      <c r="E84" s="186"/>
      <c r="F84" s="120"/>
      <c r="G84" s="179"/>
      <c r="H84" s="122"/>
      <c r="I84" s="122"/>
      <c r="J84" s="105"/>
    </row>
    <row r="85" spans="1:10" ht="13.5" thickBot="1" x14ac:dyDescent="0.3">
      <c r="B85" s="180" t="s">
        <v>167</v>
      </c>
      <c r="C85" s="181">
        <f>+C73</f>
        <v>30.5</v>
      </c>
      <c r="D85" s="181">
        <f>+D60</f>
        <v>1</v>
      </c>
      <c r="E85" s="186">
        <f>+C85/D85</f>
        <v>30.5</v>
      </c>
      <c r="F85" s="188"/>
      <c r="G85" s="178"/>
      <c r="H85" s="104"/>
      <c r="I85" s="122"/>
    </row>
    <row r="86" spans="1:10" ht="13.5" thickBot="1" x14ac:dyDescent="0.3">
      <c r="B86" s="180" t="s">
        <v>167</v>
      </c>
      <c r="C86" s="181">
        <f>+C74</f>
        <v>48.55</v>
      </c>
      <c r="D86" s="181">
        <f>+D85</f>
        <v>1</v>
      </c>
      <c r="E86" s="182">
        <f>+C86/D86</f>
        <v>48.55</v>
      </c>
      <c r="F86" s="187"/>
      <c r="G86" s="178"/>
      <c r="H86" s="104"/>
      <c r="I86" s="104"/>
    </row>
    <row r="87" spans="1:10" x14ac:dyDescent="0.25">
      <c r="I87" s="104"/>
    </row>
    <row r="88" spans="1:10" x14ac:dyDescent="0.2">
      <c r="A88" s="500"/>
      <c r="B88" s="500"/>
      <c r="C88" s="189"/>
      <c r="D88" s="189"/>
      <c r="E88" s="190"/>
      <c r="G88" s="191"/>
    </row>
    <row r="89" spans="1:10" x14ac:dyDescent="0.2">
      <c r="A89" s="123"/>
      <c r="B89" s="192"/>
      <c r="C89" s="193"/>
      <c r="D89" s="193"/>
      <c r="E89" s="194"/>
      <c r="G89" s="191"/>
    </row>
    <row r="90" spans="1:10" x14ac:dyDescent="0.2">
      <c r="A90" s="123"/>
      <c r="B90" s="192"/>
      <c r="C90" s="195"/>
      <c r="D90" s="195"/>
      <c r="E90" s="123"/>
      <c r="G90" s="191"/>
    </row>
    <row r="91" spans="1:10" x14ac:dyDescent="0.2">
      <c r="A91" s="123"/>
      <c r="B91" s="192"/>
      <c r="C91" s="196"/>
      <c r="D91" s="196"/>
      <c r="E91" s="123"/>
      <c r="G91" s="191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5C5F2-3342-4151-A125-2F8A8DEEC9A0}">
  <dimension ref="A1:I56"/>
  <sheetViews>
    <sheetView tabSelected="1" view="pageBreakPreview" zoomScale="60" zoomScaleNormal="70" workbookViewId="0">
      <selection activeCell="B9" sqref="B9:F12"/>
    </sheetView>
  </sheetViews>
  <sheetFormatPr baseColWidth="10" defaultRowHeight="15" x14ac:dyDescent="0.25"/>
  <cols>
    <col min="1" max="1" width="12.42578125" bestFit="1" customWidth="1"/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453"/>
      <c r="B1" s="454"/>
      <c r="C1" s="439" t="s">
        <v>0</v>
      </c>
      <c r="D1" s="439"/>
      <c r="E1" s="439"/>
      <c r="F1" s="439"/>
      <c r="G1" s="439"/>
      <c r="H1" s="215" t="s">
        <v>1</v>
      </c>
      <c r="I1" s="216" t="s">
        <v>195</v>
      </c>
    </row>
    <row r="2" spans="1:9" ht="18" customHeight="1" thickBot="1" x14ac:dyDescent="0.3">
      <c r="A2" s="455"/>
      <c r="B2" s="456"/>
      <c r="C2" s="576" t="s">
        <v>2</v>
      </c>
      <c r="D2" s="577"/>
      <c r="E2" s="577"/>
      <c r="F2" s="577"/>
      <c r="G2" s="578"/>
      <c r="H2" s="218" t="s">
        <v>3</v>
      </c>
      <c r="I2" s="219" t="s">
        <v>279</v>
      </c>
    </row>
    <row r="3" spans="1:9" ht="31.5" customHeight="1" thickBot="1" x14ac:dyDescent="0.3">
      <c r="A3" s="455"/>
      <c r="B3" s="456"/>
      <c r="C3" s="441" t="s">
        <v>310</v>
      </c>
      <c r="D3" s="442"/>
      <c r="E3" s="442"/>
      <c r="F3" s="442"/>
      <c r="G3" s="443"/>
      <c r="H3" s="444" t="s">
        <v>4</v>
      </c>
      <c r="I3" s="466">
        <v>45617</v>
      </c>
    </row>
    <row r="4" spans="1:9" ht="18" customHeight="1" x14ac:dyDescent="0.25">
      <c r="A4" s="455"/>
      <c r="B4" s="456"/>
      <c r="C4" s="309" t="s">
        <v>5</v>
      </c>
      <c r="D4" s="528" t="s">
        <v>225</v>
      </c>
      <c r="E4" s="529"/>
      <c r="F4" s="529"/>
      <c r="G4" s="530"/>
      <c r="H4" s="445"/>
      <c r="I4" s="467"/>
    </row>
    <row r="5" spans="1:9" ht="15.75" thickBot="1" x14ac:dyDescent="0.3">
      <c r="A5" s="534"/>
      <c r="B5" s="535"/>
      <c r="C5" s="323" t="s">
        <v>6</v>
      </c>
      <c r="D5" s="531" t="s">
        <v>32</v>
      </c>
      <c r="E5" s="532"/>
      <c r="F5" s="532"/>
      <c r="G5" s="533"/>
      <c r="H5" s="446"/>
      <c r="I5" s="527"/>
    </row>
    <row r="6" spans="1:9" ht="18.75" thickBot="1" x14ac:dyDescent="0.3">
      <c r="A6" s="540" t="s">
        <v>7</v>
      </c>
      <c r="B6" s="540"/>
      <c r="C6" s="540"/>
      <c r="D6" s="541" t="s">
        <v>110</v>
      </c>
      <c r="E6" s="541"/>
      <c r="F6" s="541"/>
      <c r="G6" s="542" t="s">
        <v>8</v>
      </c>
      <c r="H6" s="542"/>
      <c r="I6" s="324" t="s">
        <v>110</v>
      </c>
    </row>
    <row r="7" spans="1:9" x14ac:dyDescent="0.25">
      <c r="A7" s="644" t="s">
        <v>9</v>
      </c>
      <c r="B7" s="646" t="s">
        <v>311</v>
      </c>
      <c r="C7" s="648" t="s">
        <v>10</v>
      </c>
      <c r="D7" s="648" t="s">
        <v>11</v>
      </c>
      <c r="E7" s="648" t="s">
        <v>12</v>
      </c>
      <c r="F7" s="648"/>
      <c r="G7" s="648" t="s">
        <v>13</v>
      </c>
      <c r="H7" s="648"/>
      <c r="I7" s="360" t="s">
        <v>14</v>
      </c>
    </row>
    <row r="8" spans="1:9" ht="27" thickBot="1" x14ac:dyDescent="0.3">
      <c r="A8" s="645"/>
      <c r="B8" s="647"/>
      <c r="C8" s="649"/>
      <c r="D8" s="649"/>
      <c r="E8" s="361" t="s">
        <v>15</v>
      </c>
      <c r="F8" s="362" t="s">
        <v>16</v>
      </c>
      <c r="G8" s="361" t="s">
        <v>15</v>
      </c>
      <c r="H8" s="362" t="s">
        <v>16</v>
      </c>
      <c r="I8" s="363" t="s">
        <v>17</v>
      </c>
    </row>
    <row r="9" spans="1:9" ht="18.600000000000001" customHeight="1" x14ac:dyDescent="0.25">
      <c r="A9" s="364"/>
      <c r="B9" s="365"/>
      <c r="C9" s="366" t="s">
        <v>312</v>
      </c>
      <c r="D9" s="367"/>
      <c r="E9" s="368"/>
      <c r="F9" s="369"/>
      <c r="G9" s="368"/>
      <c r="H9" s="369"/>
      <c r="I9" s="41"/>
    </row>
    <row r="10" spans="1:9" ht="18" customHeight="1" x14ac:dyDescent="0.25">
      <c r="A10" s="91">
        <v>907000200</v>
      </c>
      <c r="B10" s="27" t="s">
        <v>107</v>
      </c>
      <c r="C10" s="1" t="s">
        <v>313</v>
      </c>
      <c r="D10" s="52" t="s">
        <v>18</v>
      </c>
      <c r="E10" s="53">
        <v>100</v>
      </c>
      <c r="F10" s="54" t="s">
        <v>19</v>
      </c>
      <c r="G10" s="370"/>
      <c r="H10" s="371"/>
      <c r="I10" s="41"/>
    </row>
    <row r="11" spans="1:9" x14ac:dyDescent="0.25">
      <c r="A11" s="52"/>
      <c r="B11" s="52"/>
      <c r="C11" s="70"/>
      <c r="D11" s="52"/>
      <c r="E11" s="53"/>
      <c r="F11" s="54"/>
      <c r="G11" s="370"/>
      <c r="H11" s="371"/>
      <c r="I11" s="41"/>
    </row>
    <row r="12" spans="1:9" x14ac:dyDescent="0.25">
      <c r="A12" s="372">
        <v>902000019</v>
      </c>
      <c r="B12" s="372"/>
      <c r="C12" s="373" t="s">
        <v>111</v>
      </c>
      <c r="D12" s="94" t="s">
        <v>18</v>
      </c>
      <c r="E12" s="95">
        <v>5</v>
      </c>
      <c r="F12" s="96" t="s">
        <v>19</v>
      </c>
      <c r="G12" s="20"/>
      <c r="H12" s="371"/>
      <c r="I12" s="41"/>
    </row>
    <row r="13" spans="1:9" ht="15.75" x14ac:dyDescent="0.25">
      <c r="A13" s="27"/>
      <c r="B13" s="27"/>
      <c r="C13" s="68"/>
      <c r="D13" s="230"/>
      <c r="E13" s="230"/>
      <c r="F13" s="230"/>
      <c r="G13" s="20"/>
      <c r="H13" s="371"/>
      <c r="I13" s="41"/>
    </row>
    <row r="14" spans="1:9" ht="15.75" x14ac:dyDescent="0.25">
      <c r="A14" s="374"/>
      <c r="B14" s="374"/>
      <c r="C14" s="229"/>
      <c r="D14" s="230"/>
      <c r="E14" s="230"/>
      <c r="F14" s="230"/>
      <c r="G14" s="20"/>
      <c r="H14" s="371"/>
      <c r="I14" s="41"/>
    </row>
    <row r="15" spans="1:9" ht="15.75" x14ac:dyDescent="0.25">
      <c r="A15" s="374"/>
      <c r="B15" s="374"/>
      <c r="C15" s="229"/>
      <c r="D15" s="230"/>
      <c r="E15" s="230"/>
      <c r="F15" s="230"/>
      <c r="G15" s="20"/>
      <c r="H15" s="371"/>
      <c r="I15" s="41"/>
    </row>
    <row r="16" spans="1:9" ht="15.75" x14ac:dyDescent="0.25">
      <c r="A16" s="374"/>
      <c r="B16" s="374"/>
      <c r="C16" s="229"/>
      <c r="D16" s="230"/>
      <c r="E16" s="230"/>
      <c r="F16" s="230"/>
      <c r="G16" s="20"/>
      <c r="H16" s="371"/>
      <c r="I16" s="41"/>
    </row>
    <row r="17" spans="1:9" ht="15.75" x14ac:dyDescent="0.25">
      <c r="A17" s="374"/>
      <c r="B17" s="374"/>
      <c r="C17" s="229"/>
      <c r="D17" s="230"/>
      <c r="E17" s="230"/>
      <c r="F17" s="230"/>
      <c r="G17" s="20"/>
      <c r="H17" s="371"/>
      <c r="I17" s="41"/>
    </row>
    <row r="18" spans="1:9" ht="15.75" x14ac:dyDescent="0.25">
      <c r="A18" s="374"/>
      <c r="B18" s="374"/>
      <c r="C18" s="229"/>
      <c r="D18" s="230"/>
      <c r="E18" s="230"/>
      <c r="F18" s="230"/>
      <c r="G18" s="20"/>
      <c r="H18" s="371"/>
      <c r="I18" s="41"/>
    </row>
    <row r="19" spans="1:9" ht="15.75" x14ac:dyDescent="0.25">
      <c r="A19" s="374"/>
      <c r="B19" s="374"/>
      <c r="C19" s="229"/>
      <c r="D19" s="230"/>
      <c r="E19" s="230"/>
      <c r="F19" s="230"/>
      <c r="G19" s="20"/>
      <c r="H19" s="371"/>
      <c r="I19" s="41"/>
    </row>
    <row r="20" spans="1:9" ht="15.75" x14ac:dyDescent="0.25">
      <c r="A20" s="374"/>
      <c r="B20" s="374"/>
      <c r="C20" s="229"/>
      <c r="D20" s="230"/>
      <c r="E20" s="230"/>
      <c r="F20" s="230"/>
      <c r="G20" s="20"/>
      <c r="H20" s="371"/>
      <c r="I20" s="41"/>
    </row>
    <row r="21" spans="1:9" ht="15.75" x14ac:dyDescent="0.25">
      <c r="A21" s="374"/>
      <c r="B21" s="374"/>
      <c r="C21" s="229"/>
      <c r="D21" s="230"/>
      <c r="E21" s="230"/>
      <c r="F21" s="230"/>
      <c r="G21" s="20"/>
      <c r="H21" s="371"/>
      <c r="I21" s="41"/>
    </row>
    <row r="22" spans="1:9" ht="15.75" x14ac:dyDescent="0.25">
      <c r="A22" s="27"/>
      <c r="B22" s="27"/>
      <c r="C22" s="1"/>
      <c r="D22" s="230"/>
      <c r="E22" s="230"/>
      <c r="F22" s="230"/>
      <c r="G22" s="20"/>
      <c r="H22" s="371"/>
      <c r="I22" s="41"/>
    </row>
    <row r="23" spans="1:9" ht="15.75" x14ac:dyDescent="0.25">
      <c r="A23" s="27"/>
      <c r="B23" s="27"/>
      <c r="C23" s="1"/>
      <c r="D23" s="230"/>
      <c r="E23" s="230"/>
      <c r="F23" s="230"/>
      <c r="G23" s="20"/>
      <c r="H23" s="371"/>
      <c r="I23" s="41"/>
    </row>
    <row r="24" spans="1:9" ht="15.75" x14ac:dyDescent="0.25">
      <c r="A24" s="233"/>
      <c r="B24" s="234"/>
      <c r="C24" s="375" t="s">
        <v>283</v>
      </c>
      <c r="D24" s="230"/>
      <c r="E24" s="230"/>
      <c r="F24" s="230"/>
      <c r="G24" s="20"/>
      <c r="H24" s="371"/>
      <c r="I24" s="41"/>
    </row>
    <row r="25" spans="1:9" x14ac:dyDescent="0.25">
      <c r="A25" s="91"/>
      <c r="B25" s="27"/>
      <c r="C25" s="1"/>
      <c r="D25" s="376"/>
      <c r="E25" s="376"/>
      <c r="F25" s="376"/>
      <c r="G25" s="368"/>
      <c r="H25" s="371"/>
      <c r="I25" s="41"/>
    </row>
    <row r="26" spans="1:9" ht="15.75" x14ac:dyDescent="0.25">
      <c r="A26" s="233"/>
      <c r="B26" s="234"/>
      <c r="C26" s="375"/>
      <c r="D26" s="37"/>
      <c r="E26" s="377"/>
      <c r="F26" s="33"/>
      <c r="G26" s="368"/>
      <c r="H26" s="371"/>
      <c r="I26" s="41"/>
    </row>
    <row r="27" spans="1:9" x14ac:dyDescent="0.25">
      <c r="A27" s="378"/>
      <c r="B27" s="379"/>
      <c r="C27" s="380"/>
      <c r="D27" s="381"/>
      <c r="E27" s="382"/>
      <c r="F27" s="383"/>
      <c r="G27" s="368"/>
      <c r="H27" s="371"/>
      <c r="I27" s="41"/>
    </row>
    <row r="28" spans="1:9" x14ac:dyDescent="0.25">
      <c r="A28" s="27"/>
      <c r="B28" s="27"/>
      <c r="C28" s="1"/>
      <c r="D28" s="347"/>
      <c r="E28" s="231"/>
      <c r="F28" s="240"/>
      <c r="G28" s="368"/>
      <c r="H28" s="369"/>
      <c r="I28" s="41"/>
    </row>
    <row r="29" spans="1:9" ht="15.75" x14ac:dyDescent="0.25">
      <c r="A29" s="384"/>
      <c r="B29" s="385"/>
      <c r="C29" s="386" t="s">
        <v>314</v>
      </c>
      <c r="D29" s="387"/>
      <c r="E29" s="31"/>
      <c r="F29" s="369"/>
      <c r="G29" s="368"/>
      <c r="I29" s="41"/>
    </row>
    <row r="30" spans="1:9" x14ac:dyDescent="0.25">
      <c r="A30" s="388"/>
      <c r="B30" s="389"/>
      <c r="C30" s="390"/>
      <c r="D30" s="391"/>
      <c r="E30" s="333"/>
      <c r="F30" s="334"/>
      <c r="G30" s="392"/>
      <c r="H30" s="369"/>
      <c r="I30" s="41"/>
    </row>
    <row r="31" spans="1:9" x14ac:dyDescent="0.25">
      <c r="A31" s="388"/>
      <c r="B31" s="389"/>
      <c r="C31" s="390"/>
      <c r="D31" s="391"/>
      <c r="E31" s="333"/>
      <c r="F31" s="334"/>
      <c r="G31" s="392"/>
      <c r="H31" s="369"/>
      <c r="I31" s="41"/>
    </row>
    <row r="32" spans="1:9" x14ac:dyDescent="0.25">
      <c r="A32" s="393"/>
      <c r="B32" s="394"/>
      <c r="C32" s="395"/>
      <c r="D32" s="391"/>
      <c r="E32" s="333"/>
      <c r="F32" s="334"/>
      <c r="G32" s="392"/>
      <c r="H32" s="369"/>
      <c r="I32" s="41"/>
    </row>
    <row r="33" spans="1:9" x14ac:dyDescent="0.25">
      <c r="A33" s="312"/>
      <c r="B33" s="312"/>
      <c r="C33" s="313"/>
      <c r="D33" s="391"/>
      <c r="E33" s="333"/>
      <c r="F33" s="334"/>
      <c r="G33" s="368"/>
      <c r="H33" s="369"/>
      <c r="I33" s="41"/>
    </row>
    <row r="34" spans="1:9" x14ac:dyDescent="0.25">
      <c r="A34" s="312"/>
      <c r="B34" s="312"/>
      <c r="C34" s="313"/>
      <c r="D34" s="391"/>
      <c r="E34" s="333"/>
      <c r="F34" s="334"/>
      <c r="G34" s="368"/>
      <c r="H34" s="369"/>
      <c r="I34" s="41"/>
    </row>
    <row r="35" spans="1:9" x14ac:dyDescent="0.25">
      <c r="A35" s="312"/>
      <c r="B35" s="312"/>
      <c r="C35" s="313"/>
      <c r="D35" s="391"/>
      <c r="E35" s="333"/>
      <c r="F35" s="334"/>
      <c r="G35" s="40"/>
      <c r="H35" s="369"/>
      <c r="I35" s="41"/>
    </row>
    <row r="36" spans="1:9" ht="15.75" x14ac:dyDescent="0.25">
      <c r="A36" s="312"/>
      <c r="B36" s="312"/>
      <c r="C36" s="313"/>
      <c r="D36" s="230"/>
      <c r="E36" s="333"/>
      <c r="F36" s="334"/>
      <c r="G36" s="32"/>
      <c r="H36" s="369"/>
      <c r="I36" s="41"/>
    </row>
    <row r="37" spans="1:9" x14ac:dyDescent="0.25">
      <c r="A37" s="349"/>
      <c r="B37" s="349"/>
      <c r="C37" s="238"/>
      <c r="D37" s="391"/>
      <c r="E37" s="240"/>
      <c r="F37" s="240"/>
      <c r="G37" s="32"/>
      <c r="H37" s="369"/>
      <c r="I37" s="41"/>
    </row>
    <row r="38" spans="1:9" ht="15.75" thickBot="1" x14ac:dyDescent="0.3">
      <c r="A38" s="396"/>
      <c r="B38" s="397"/>
      <c r="C38" s="398"/>
      <c r="D38" s="398"/>
      <c r="E38" s="399"/>
      <c r="F38" s="400"/>
      <c r="G38" s="398"/>
      <c r="H38" s="398"/>
      <c r="I38" s="401"/>
    </row>
    <row r="39" spans="1:9" ht="15.75" thickBot="1" x14ac:dyDescent="0.3">
      <c r="A39" s="402"/>
      <c r="B39" s="403"/>
      <c r="C39" s="404"/>
      <c r="D39" s="405" t="s">
        <v>15</v>
      </c>
      <c r="E39" s="406" t="s">
        <v>22</v>
      </c>
      <c r="F39" s="407"/>
      <c r="G39" s="404"/>
      <c r="H39" s="404"/>
      <c r="I39" s="408"/>
    </row>
    <row r="40" spans="1:9" x14ac:dyDescent="0.25">
      <c r="A40" s="638" t="s">
        <v>23</v>
      </c>
      <c r="B40" s="639"/>
      <c r="C40" s="640"/>
      <c r="D40" s="21">
        <v>100</v>
      </c>
      <c r="E40" s="255" t="s">
        <v>19</v>
      </c>
      <c r="F40" s="641" t="s">
        <v>34</v>
      </c>
      <c r="G40" s="641"/>
      <c r="H40" s="642"/>
      <c r="I40" s="643"/>
    </row>
    <row r="41" spans="1:9" x14ac:dyDescent="0.25">
      <c r="A41" s="621" t="s">
        <v>24</v>
      </c>
      <c r="B41" s="622"/>
      <c r="C41" s="623"/>
      <c r="D41" s="231">
        <v>0.5</v>
      </c>
      <c r="E41" s="20" t="s">
        <v>25</v>
      </c>
      <c r="F41" s="624" t="s">
        <v>35</v>
      </c>
      <c r="G41" s="624"/>
      <c r="H41" s="625"/>
      <c r="I41" s="626"/>
    </row>
    <row r="42" spans="1:9" x14ac:dyDescent="0.25">
      <c r="A42" s="621" t="s">
        <v>26</v>
      </c>
      <c r="B42" s="622"/>
      <c r="C42" s="623"/>
      <c r="D42" s="231">
        <v>1</v>
      </c>
      <c r="E42" s="20" t="s">
        <v>21</v>
      </c>
      <c r="F42" s="624" t="s">
        <v>36</v>
      </c>
      <c r="G42" s="624"/>
      <c r="H42" s="625"/>
      <c r="I42" s="626"/>
    </row>
    <row r="43" spans="1:9" x14ac:dyDescent="0.25">
      <c r="A43" s="621" t="s">
        <v>27</v>
      </c>
      <c r="B43" s="622"/>
      <c r="C43" s="623"/>
      <c r="D43" s="231">
        <v>100</v>
      </c>
      <c r="E43" s="20" t="s">
        <v>19</v>
      </c>
      <c r="F43" s="627" t="s">
        <v>37</v>
      </c>
      <c r="G43" s="628"/>
      <c r="H43" s="629"/>
      <c r="I43" s="630"/>
    </row>
    <row r="44" spans="1:9" ht="15.75" thickBot="1" x14ac:dyDescent="0.3">
      <c r="A44" s="631" t="s">
        <v>28</v>
      </c>
      <c r="B44" s="632"/>
      <c r="C44" s="633"/>
      <c r="D44" s="264">
        <v>5</v>
      </c>
      <c r="E44" s="265" t="s">
        <v>19</v>
      </c>
      <c r="F44" s="634"/>
      <c r="G44" s="634"/>
      <c r="H44" s="625"/>
      <c r="I44" s="626"/>
    </row>
    <row r="45" spans="1:9" ht="15.75" thickBot="1" x14ac:dyDescent="0.3">
      <c r="A45" s="635" t="s">
        <v>29</v>
      </c>
      <c r="B45" s="636"/>
      <c r="C45" s="636"/>
      <c r="D45" s="636"/>
      <c r="E45" s="636"/>
      <c r="F45" s="636"/>
      <c r="G45" s="636"/>
      <c r="H45" s="636"/>
      <c r="I45" s="637"/>
    </row>
    <row r="46" spans="1:9" ht="14.45" customHeight="1" x14ac:dyDescent="0.25">
      <c r="A46" s="478" t="s">
        <v>112</v>
      </c>
      <c r="B46" s="479"/>
      <c r="C46" s="480"/>
      <c r="D46" s="480"/>
      <c r="E46" s="480"/>
      <c r="F46" s="480"/>
      <c r="G46" s="480"/>
      <c r="H46" s="480"/>
      <c r="I46" s="481"/>
    </row>
    <row r="47" spans="1:9" ht="15.6" customHeight="1" x14ac:dyDescent="0.25">
      <c r="A47" s="482" t="s">
        <v>108</v>
      </c>
      <c r="B47" s="483"/>
      <c r="C47" s="483"/>
      <c r="D47" s="483"/>
      <c r="E47" s="483"/>
      <c r="F47" s="483"/>
      <c r="G47" s="483"/>
      <c r="H47" s="483"/>
      <c r="I47" s="484"/>
    </row>
    <row r="48" spans="1:9" ht="14.45" customHeight="1" x14ac:dyDescent="0.25">
      <c r="A48" s="485" t="s">
        <v>109</v>
      </c>
      <c r="B48" s="486"/>
      <c r="C48" s="487"/>
      <c r="D48" s="487"/>
      <c r="E48" s="487"/>
      <c r="F48" s="487"/>
      <c r="G48" s="487"/>
      <c r="H48" s="487"/>
      <c r="I48" s="488"/>
    </row>
    <row r="49" spans="1:9" ht="14.45" customHeight="1" x14ac:dyDescent="0.3">
      <c r="A49" s="489"/>
      <c r="B49" s="490"/>
      <c r="C49" s="490"/>
      <c r="D49" s="490"/>
      <c r="E49" s="490"/>
      <c r="F49" s="490"/>
      <c r="G49" s="490"/>
      <c r="H49" s="490"/>
      <c r="I49" s="491"/>
    </row>
    <row r="50" spans="1:9" ht="14.45" customHeight="1" x14ac:dyDescent="0.25">
      <c r="A50" s="614"/>
      <c r="B50" s="615"/>
      <c r="C50" s="616"/>
      <c r="D50" s="616"/>
      <c r="E50" s="616"/>
      <c r="F50" s="616"/>
      <c r="G50" s="616"/>
      <c r="H50" s="616"/>
      <c r="I50" s="617"/>
    </row>
    <row r="51" spans="1:9" ht="18" customHeight="1" x14ac:dyDescent="0.25">
      <c r="A51" s="618"/>
      <c r="B51" s="427"/>
      <c r="C51" s="619"/>
      <c r="D51" s="619"/>
      <c r="E51" s="619"/>
      <c r="F51" s="619"/>
      <c r="G51" s="619"/>
      <c r="H51" s="619"/>
      <c r="I51" s="620"/>
    </row>
    <row r="52" spans="1:9" x14ac:dyDescent="0.25">
      <c r="A52" s="618"/>
      <c r="B52" s="427"/>
      <c r="C52" s="619"/>
      <c r="D52" s="619"/>
      <c r="E52" s="619"/>
      <c r="F52" s="619"/>
      <c r="G52" s="619"/>
      <c r="H52" s="619"/>
      <c r="I52" s="620"/>
    </row>
    <row r="53" spans="1:9" ht="15.75" thickBot="1" x14ac:dyDescent="0.3">
      <c r="A53" s="409"/>
      <c r="B53" s="410"/>
      <c r="C53" s="411"/>
      <c r="D53" s="411"/>
      <c r="E53" s="411"/>
      <c r="F53" s="411"/>
      <c r="G53" s="411"/>
      <c r="H53" s="411"/>
      <c r="I53" s="412"/>
    </row>
    <row r="54" spans="1:9" x14ac:dyDescent="0.25">
      <c r="A54" s="610" t="s">
        <v>219</v>
      </c>
      <c r="B54" s="611"/>
      <c r="C54" s="611"/>
      <c r="D54" s="611"/>
      <c r="E54" s="611"/>
      <c r="F54" s="611"/>
      <c r="G54" s="611"/>
      <c r="H54" s="611"/>
      <c r="I54" s="611"/>
    </row>
    <row r="55" spans="1:9" x14ac:dyDescent="0.25">
      <c r="A55" s="612"/>
      <c r="B55" s="613"/>
      <c r="C55" s="613"/>
      <c r="D55" s="613"/>
      <c r="E55" s="613"/>
      <c r="F55" s="613"/>
      <c r="G55" s="613"/>
      <c r="H55" s="613"/>
      <c r="I55" s="613"/>
    </row>
    <row r="56" spans="1:9" x14ac:dyDescent="0.25">
      <c r="A56" s="612"/>
      <c r="B56" s="613"/>
      <c r="C56" s="613"/>
      <c r="D56" s="613"/>
      <c r="E56" s="613"/>
      <c r="F56" s="613"/>
      <c r="G56" s="613"/>
      <c r="H56" s="613"/>
      <c r="I56" s="613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0:C40"/>
    <mergeCell ref="F40:G40"/>
    <mergeCell ref="H40:I40"/>
    <mergeCell ref="A41:C41"/>
    <mergeCell ref="F41:G41"/>
    <mergeCell ref="H41:I41"/>
    <mergeCell ref="A47:I47"/>
    <mergeCell ref="A42:C42"/>
    <mergeCell ref="F42:G42"/>
    <mergeCell ref="H42:I42"/>
    <mergeCell ref="A43:C43"/>
    <mergeCell ref="F43:G43"/>
    <mergeCell ref="H43:I43"/>
    <mergeCell ref="A44:C44"/>
    <mergeCell ref="F44:G44"/>
    <mergeCell ref="H44:I44"/>
    <mergeCell ref="A45:I45"/>
    <mergeCell ref="A46:I46"/>
    <mergeCell ref="A54:I54"/>
    <mergeCell ref="A55:I55"/>
    <mergeCell ref="A56:I56"/>
    <mergeCell ref="A48:I48"/>
    <mergeCell ref="A49:I49"/>
    <mergeCell ref="A50:I50"/>
    <mergeCell ref="A51:I51"/>
    <mergeCell ref="A52:I52"/>
    <mergeCell ref="A53:I53"/>
  </mergeCells>
  <pageMargins left="0.7" right="0.7" top="0.75" bottom="0.75" header="0.3" footer="0.3"/>
  <pageSetup paperSize="9" scale="4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AD989-A2AD-45FF-86C2-80E292F6E85A}">
  <dimension ref="A1:M30"/>
  <sheetViews>
    <sheetView workbookViewId="0">
      <selection activeCell="B10" sqref="B10"/>
    </sheetView>
  </sheetViews>
  <sheetFormatPr baseColWidth="10" defaultColWidth="11.42578125" defaultRowHeight="13.5" x14ac:dyDescent="0.25"/>
  <cols>
    <col min="1" max="1" width="16.140625" style="217" customWidth="1"/>
    <col min="2" max="2" width="13.140625" style="217" customWidth="1"/>
    <col min="3" max="3" width="49" style="217" bestFit="1" customWidth="1"/>
    <col min="4" max="4" width="15.5703125" style="217" customWidth="1"/>
    <col min="5" max="5" width="11.42578125" style="217"/>
    <col min="6" max="6" width="13.140625" style="217" customWidth="1"/>
    <col min="7" max="8" width="16.7109375" style="217" customWidth="1"/>
    <col min="9" max="9" width="16" style="217" customWidth="1"/>
    <col min="10" max="16384" width="11.42578125" style="217"/>
  </cols>
  <sheetData>
    <row r="1" spans="1:12" ht="15.75" x14ac:dyDescent="0.25">
      <c r="A1" s="453"/>
      <c r="B1" s="454"/>
      <c r="C1" s="575" t="s">
        <v>0</v>
      </c>
      <c r="D1" s="439"/>
      <c r="E1" s="439"/>
      <c r="F1" s="439"/>
      <c r="G1" s="439"/>
      <c r="H1" s="215" t="s">
        <v>1</v>
      </c>
      <c r="I1" s="216" t="s">
        <v>195</v>
      </c>
    </row>
    <row r="2" spans="1:12" ht="16.5" thickBot="1" x14ac:dyDescent="0.3">
      <c r="A2" s="455"/>
      <c r="B2" s="456"/>
      <c r="C2" s="650" t="s">
        <v>2</v>
      </c>
      <c r="D2" s="440"/>
      <c r="E2" s="440"/>
      <c r="F2" s="440"/>
      <c r="G2" s="440"/>
      <c r="H2" s="218" t="s">
        <v>3</v>
      </c>
      <c r="I2" s="219" t="s">
        <v>196</v>
      </c>
    </row>
    <row r="3" spans="1:12" ht="18.75" thickBot="1" x14ac:dyDescent="0.3">
      <c r="A3" s="455"/>
      <c r="B3" s="456"/>
      <c r="C3" s="536" t="s">
        <v>197</v>
      </c>
      <c r="D3" s="537"/>
      <c r="E3" s="537"/>
      <c r="F3" s="537"/>
      <c r="G3" s="538"/>
      <c r="H3" s="444" t="s">
        <v>4</v>
      </c>
      <c r="I3" s="466">
        <v>44109</v>
      </c>
    </row>
    <row r="4" spans="1:12" x14ac:dyDescent="0.25">
      <c r="A4" s="455"/>
      <c r="B4" s="456"/>
      <c r="C4" s="220" t="s">
        <v>5</v>
      </c>
      <c r="D4" s="528" t="s">
        <v>198</v>
      </c>
      <c r="E4" s="529"/>
      <c r="F4" s="529"/>
      <c r="G4" s="530"/>
      <c r="H4" s="445"/>
      <c r="I4" s="467"/>
    </row>
    <row r="5" spans="1:12" ht="14.25" thickBot="1" x14ac:dyDescent="0.3">
      <c r="A5" s="457"/>
      <c r="B5" s="458"/>
      <c r="C5" s="221" t="s">
        <v>6</v>
      </c>
      <c r="D5" s="598" t="s">
        <v>199</v>
      </c>
      <c r="E5" s="599"/>
      <c r="F5" s="599"/>
      <c r="G5" s="600"/>
      <c r="H5" s="445"/>
      <c r="I5" s="467"/>
    </row>
    <row r="6" spans="1:12" ht="21" thickBot="1" x14ac:dyDescent="0.3">
      <c r="A6" s="651" t="s">
        <v>7</v>
      </c>
      <c r="B6" s="652"/>
      <c r="C6" s="652"/>
      <c r="D6" s="653" t="s">
        <v>200</v>
      </c>
      <c r="E6" s="653"/>
      <c r="F6" s="653"/>
      <c r="G6" s="654" t="s">
        <v>8</v>
      </c>
      <c r="H6" s="654"/>
      <c r="I6" s="222" t="s">
        <v>201</v>
      </c>
    </row>
    <row r="7" spans="1:12" ht="25.5" x14ac:dyDescent="0.25">
      <c r="A7" s="543" t="s">
        <v>9</v>
      </c>
      <c r="B7" s="545" t="s">
        <v>33</v>
      </c>
      <c r="C7" s="547" t="s">
        <v>10</v>
      </c>
      <c r="D7" s="547" t="s">
        <v>11</v>
      </c>
      <c r="E7" s="547" t="s">
        <v>12</v>
      </c>
      <c r="F7" s="547"/>
      <c r="G7" s="547" t="s">
        <v>13</v>
      </c>
      <c r="H7" s="547"/>
      <c r="I7" s="223" t="s">
        <v>14</v>
      </c>
    </row>
    <row r="8" spans="1:12" ht="27" thickBot="1" x14ac:dyDescent="0.3">
      <c r="A8" s="544"/>
      <c r="B8" s="546"/>
      <c r="C8" s="548"/>
      <c r="D8" s="548"/>
      <c r="E8" s="224" t="s">
        <v>15</v>
      </c>
      <c r="F8" s="225" t="s">
        <v>16</v>
      </c>
      <c r="G8" s="224" t="s">
        <v>15</v>
      </c>
      <c r="H8" s="225" t="s">
        <v>16</v>
      </c>
      <c r="I8" s="226" t="s">
        <v>17</v>
      </c>
    </row>
    <row r="9" spans="1:12" ht="15.75" x14ac:dyDescent="0.25">
      <c r="A9" s="227"/>
      <c r="B9" s="228"/>
      <c r="C9" s="229"/>
      <c r="D9" s="230"/>
      <c r="E9" s="230"/>
      <c r="F9" s="230"/>
      <c r="G9" s="231"/>
      <c r="H9" s="20"/>
      <c r="I9" s="232"/>
    </row>
    <row r="10" spans="1:12" ht="15" x14ac:dyDescent="0.25">
      <c r="A10" s="233" t="s">
        <v>202</v>
      </c>
      <c r="B10" s="234" t="s">
        <v>203</v>
      </c>
      <c r="C10" s="90" t="s">
        <v>204</v>
      </c>
      <c r="D10" s="235" t="s">
        <v>18</v>
      </c>
      <c r="E10" s="32">
        <v>1227</v>
      </c>
      <c r="F10" s="33" t="s">
        <v>19</v>
      </c>
      <c r="G10" s="231"/>
      <c r="H10" s="20"/>
      <c r="I10" s="232"/>
    </row>
    <row r="11" spans="1:12" ht="15" x14ac:dyDescent="0.25">
      <c r="A11" s="233" t="s">
        <v>205</v>
      </c>
      <c r="B11" s="234" t="s">
        <v>206</v>
      </c>
      <c r="C11" s="90" t="s">
        <v>207</v>
      </c>
      <c r="D11" s="235" t="s">
        <v>56</v>
      </c>
      <c r="E11" s="32">
        <v>1200</v>
      </c>
      <c r="F11" s="33" t="s">
        <v>19</v>
      </c>
      <c r="G11" s="231"/>
      <c r="H11" s="20"/>
      <c r="I11" s="232"/>
    </row>
    <row r="12" spans="1:12" ht="15" x14ac:dyDescent="0.25">
      <c r="A12" s="233">
        <v>11300011</v>
      </c>
      <c r="B12" s="234" t="s">
        <v>105</v>
      </c>
      <c r="C12" s="90" t="s">
        <v>106</v>
      </c>
      <c r="D12" s="235" t="s">
        <v>208</v>
      </c>
      <c r="E12" s="32">
        <v>650</v>
      </c>
      <c r="F12" s="33" t="s">
        <v>19</v>
      </c>
      <c r="G12" s="231"/>
      <c r="H12" s="20"/>
      <c r="I12" s="232"/>
    </row>
    <row r="13" spans="1:12" ht="15" x14ac:dyDescent="0.25">
      <c r="A13" s="236"/>
      <c r="B13" s="237"/>
      <c r="C13" s="238"/>
      <c r="D13" s="239"/>
      <c r="E13" s="240"/>
      <c r="F13" s="240"/>
      <c r="G13" s="240"/>
      <c r="H13" s="240"/>
      <c r="I13" s="241"/>
    </row>
    <row r="14" spans="1:12" ht="14.25" thickBot="1" x14ac:dyDescent="0.3">
      <c r="A14" s="242"/>
      <c r="B14" s="243"/>
      <c r="E14" s="244"/>
      <c r="F14" s="245"/>
      <c r="I14" s="246"/>
      <c r="L14" s="247"/>
    </row>
    <row r="15" spans="1:12" ht="14.25" thickBot="1" x14ac:dyDescent="0.3">
      <c r="A15" s="248"/>
      <c r="B15" s="249"/>
      <c r="C15" s="250"/>
      <c r="D15" s="251" t="s">
        <v>15</v>
      </c>
      <c r="E15" s="252" t="s">
        <v>22</v>
      </c>
      <c r="F15" s="253"/>
      <c r="G15" s="250"/>
      <c r="H15" s="250"/>
      <c r="I15" s="254"/>
      <c r="L15" s="247"/>
    </row>
    <row r="16" spans="1:12" x14ac:dyDescent="0.25">
      <c r="A16" s="549" t="s">
        <v>23</v>
      </c>
      <c r="B16" s="550"/>
      <c r="C16" s="551"/>
      <c r="D16" s="21">
        <v>3000</v>
      </c>
      <c r="E16" s="255" t="s">
        <v>19</v>
      </c>
      <c r="F16" s="552" t="s">
        <v>34</v>
      </c>
      <c r="G16" s="552"/>
      <c r="H16" s="256" t="s">
        <v>209</v>
      </c>
      <c r="I16" s="257" t="s">
        <v>209</v>
      </c>
      <c r="L16" s="247"/>
    </row>
    <row r="17" spans="1:13" x14ac:dyDescent="0.25">
      <c r="A17" s="413" t="s">
        <v>24</v>
      </c>
      <c r="B17" s="414"/>
      <c r="C17" s="415"/>
      <c r="D17" s="258">
        <v>5</v>
      </c>
      <c r="E17" s="20" t="s">
        <v>25</v>
      </c>
      <c r="F17" s="474" t="s">
        <v>35</v>
      </c>
      <c r="G17" s="474"/>
      <c r="H17" s="259" t="s">
        <v>210</v>
      </c>
      <c r="I17" s="260" t="s">
        <v>211</v>
      </c>
      <c r="L17" s="247"/>
    </row>
    <row r="18" spans="1:13" x14ac:dyDescent="0.25">
      <c r="A18" s="413" t="s">
        <v>26</v>
      </c>
      <c r="B18" s="414"/>
      <c r="C18" s="415"/>
      <c r="D18" s="20">
        <v>3</v>
      </c>
      <c r="E18" s="20" t="s">
        <v>212</v>
      </c>
      <c r="F18" s="474" t="s">
        <v>36</v>
      </c>
      <c r="G18" s="474"/>
      <c r="H18" s="259" t="s">
        <v>213</v>
      </c>
      <c r="I18" s="260" t="s">
        <v>214</v>
      </c>
      <c r="L18" s="247"/>
    </row>
    <row r="19" spans="1:13" x14ac:dyDescent="0.25">
      <c r="A19" s="413" t="s">
        <v>27</v>
      </c>
      <c r="B19" s="414"/>
      <c r="C19" s="415"/>
      <c r="D19" s="231">
        <f>D16/D18</f>
        <v>1000</v>
      </c>
      <c r="E19" s="20" t="s">
        <v>19</v>
      </c>
      <c r="F19" s="555" t="s">
        <v>37</v>
      </c>
      <c r="G19" s="556"/>
      <c r="H19" s="261"/>
      <c r="I19" s="262"/>
      <c r="L19" s="247"/>
      <c r="M19" s="263"/>
    </row>
    <row r="20" spans="1:13" ht="14.25" thickBot="1" x14ac:dyDescent="0.3">
      <c r="A20" s="560" t="s">
        <v>28</v>
      </c>
      <c r="B20" s="421"/>
      <c r="C20" s="561"/>
      <c r="D20" s="264">
        <v>77</v>
      </c>
      <c r="E20" s="265" t="s">
        <v>19</v>
      </c>
      <c r="F20" s="422"/>
      <c r="G20" s="422"/>
      <c r="H20" s="423"/>
      <c r="I20" s="424"/>
      <c r="L20" s="247"/>
    </row>
    <row r="21" spans="1:13" ht="14.25" thickBot="1" x14ac:dyDescent="0.3">
      <c r="A21" s="562" t="s">
        <v>29</v>
      </c>
      <c r="B21" s="563"/>
      <c r="C21" s="563"/>
      <c r="D21" s="563"/>
      <c r="E21" s="563"/>
      <c r="F21" s="563"/>
      <c r="G21" s="563"/>
      <c r="H21" s="563"/>
      <c r="I21" s="564"/>
    </row>
    <row r="22" spans="1:13" ht="16.5" customHeight="1" x14ac:dyDescent="0.25">
      <c r="A22" s="661" t="s">
        <v>215</v>
      </c>
      <c r="B22" s="662"/>
      <c r="C22" s="662"/>
      <c r="D22" s="662"/>
      <c r="E22" s="662"/>
      <c r="F22" s="662"/>
      <c r="G22" s="662"/>
      <c r="H22" s="662"/>
      <c r="I22" s="663"/>
    </row>
    <row r="23" spans="1:13" ht="16.5" customHeight="1" x14ac:dyDescent="0.25">
      <c r="A23" s="664" t="s">
        <v>216</v>
      </c>
      <c r="B23" s="665"/>
      <c r="C23" s="665"/>
      <c r="D23" s="665"/>
      <c r="E23" s="665"/>
      <c r="F23" s="665"/>
      <c r="G23" s="665"/>
      <c r="H23" s="665"/>
      <c r="I23" s="666"/>
    </row>
    <row r="24" spans="1:13" ht="16.5" customHeight="1" x14ac:dyDescent="0.25">
      <c r="A24" s="664" t="s">
        <v>217</v>
      </c>
      <c r="B24" s="665"/>
      <c r="C24" s="665"/>
      <c r="D24" s="665"/>
      <c r="E24" s="665"/>
      <c r="F24" s="665"/>
      <c r="G24" s="665"/>
      <c r="H24" s="665"/>
      <c r="I24" s="666"/>
    </row>
    <row r="25" spans="1:13" ht="16.5" customHeight="1" x14ac:dyDescent="0.25">
      <c r="A25" s="667" t="s">
        <v>218</v>
      </c>
      <c r="B25" s="668"/>
      <c r="C25" s="668"/>
      <c r="D25" s="668"/>
      <c r="E25" s="668"/>
      <c r="F25" s="668"/>
      <c r="G25" s="668"/>
      <c r="H25" s="668"/>
      <c r="I25" s="669"/>
    </row>
    <row r="26" spans="1:13" ht="16.5" customHeight="1" x14ac:dyDescent="0.25">
      <c r="A26" s="670"/>
      <c r="B26" s="671"/>
      <c r="C26" s="671"/>
      <c r="D26" s="671"/>
      <c r="E26" s="671"/>
      <c r="F26" s="671"/>
      <c r="G26" s="671"/>
      <c r="H26" s="671"/>
      <c r="I26" s="672"/>
    </row>
    <row r="27" spans="1:13" ht="16.5" customHeight="1" x14ac:dyDescent="0.25">
      <c r="A27" s="670"/>
      <c r="B27" s="671"/>
      <c r="C27" s="671"/>
      <c r="D27" s="671"/>
      <c r="E27" s="671"/>
      <c r="F27" s="671"/>
      <c r="G27" s="671"/>
      <c r="H27" s="671"/>
      <c r="I27" s="672"/>
    </row>
    <row r="28" spans="1:13" ht="15.75" thickBot="1" x14ac:dyDescent="0.3">
      <c r="A28" s="655"/>
      <c r="B28" s="656"/>
      <c r="C28" s="656"/>
      <c r="D28" s="656"/>
      <c r="E28" s="656"/>
      <c r="F28" s="656"/>
      <c r="G28" s="656"/>
      <c r="H28" s="656"/>
      <c r="I28" s="657"/>
    </row>
    <row r="29" spans="1:13" ht="14.25" thickBot="1" x14ac:dyDescent="0.3">
      <c r="A29" s="658" t="s">
        <v>219</v>
      </c>
      <c r="B29" s="659"/>
      <c r="C29" s="659"/>
      <c r="D29" s="659"/>
      <c r="E29" s="659"/>
      <c r="F29" s="659"/>
      <c r="G29" s="659"/>
      <c r="H29" s="659"/>
      <c r="I29" s="660"/>
    </row>
    <row r="30" spans="1:13" x14ac:dyDescent="0.25">
      <c r="A30" s="266" t="s">
        <v>220</v>
      </c>
      <c r="B30" s="267"/>
      <c r="C30" s="267"/>
      <c r="D30" s="267"/>
      <c r="E30" s="267"/>
      <c r="F30" s="267"/>
      <c r="G30" s="267"/>
      <c r="H30" s="267"/>
      <c r="I30" s="267"/>
    </row>
  </sheetData>
  <mergeCells count="37">
    <mergeCell ref="A28:I28"/>
    <mergeCell ref="A29:I29"/>
    <mergeCell ref="A22:I22"/>
    <mergeCell ref="A23:I23"/>
    <mergeCell ref="A24:I24"/>
    <mergeCell ref="A25:I25"/>
    <mergeCell ref="A26:I26"/>
    <mergeCell ref="A27:I27"/>
    <mergeCell ref="A21:I21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H20:I2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64FA9-0BA7-40E9-ADBD-18559428CFA4}">
  <dimension ref="A1:K37"/>
  <sheetViews>
    <sheetView workbookViewId="0">
      <selection activeCell="D16" sqref="D16"/>
    </sheetView>
  </sheetViews>
  <sheetFormatPr baseColWidth="10" defaultColWidth="11.42578125" defaultRowHeight="12.75" x14ac:dyDescent="0.2"/>
  <cols>
    <col min="1" max="1" width="16.140625" style="270" customWidth="1"/>
    <col min="2" max="2" width="40.5703125" style="270" customWidth="1"/>
    <col min="3" max="3" width="15.140625" style="270" bestFit="1" customWidth="1"/>
    <col min="4" max="4" width="11.42578125" style="270"/>
    <col min="5" max="5" width="13.140625" style="270" customWidth="1"/>
    <col min="6" max="6" width="12.5703125" style="270" customWidth="1"/>
    <col min="7" max="7" width="15.5703125" style="270" customWidth="1"/>
    <col min="8" max="8" width="19.28515625" style="270" customWidth="1"/>
    <col min="9" max="16384" width="11.42578125" style="270"/>
  </cols>
  <sheetData>
    <row r="1" spans="1:8" ht="18" x14ac:dyDescent="0.25">
      <c r="A1" s="678"/>
      <c r="B1" s="681" t="s">
        <v>0</v>
      </c>
      <c r="C1" s="682"/>
      <c r="D1" s="682"/>
      <c r="E1" s="682"/>
      <c r="F1" s="682"/>
      <c r="G1" s="268" t="s">
        <v>1</v>
      </c>
      <c r="H1" s="269" t="s">
        <v>221</v>
      </c>
    </row>
    <row r="2" spans="1:8" ht="18.75" thickBot="1" x14ac:dyDescent="0.3">
      <c r="A2" s="679"/>
      <c r="B2" s="683" t="s">
        <v>2</v>
      </c>
      <c r="C2" s="684"/>
      <c r="D2" s="684"/>
      <c r="E2" s="684"/>
      <c r="F2" s="684"/>
      <c r="G2" s="271" t="s">
        <v>3</v>
      </c>
      <c r="H2" s="272" t="s">
        <v>222</v>
      </c>
    </row>
    <row r="3" spans="1:8" ht="15.75" thickBot="1" x14ac:dyDescent="0.25">
      <c r="A3" s="679"/>
      <c r="B3" s="685" t="s">
        <v>223</v>
      </c>
      <c r="C3" s="686"/>
      <c r="D3" s="686"/>
      <c r="E3" s="686"/>
      <c r="F3" s="687"/>
      <c r="G3" s="688" t="s">
        <v>4</v>
      </c>
      <c r="H3" s="673" t="s">
        <v>224</v>
      </c>
    </row>
    <row r="4" spans="1:8" ht="13.5" x14ac:dyDescent="0.25">
      <c r="A4" s="679"/>
      <c r="B4" s="273" t="s">
        <v>5</v>
      </c>
      <c r="C4" s="675" t="s">
        <v>225</v>
      </c>
      <c r="D4" s="676"/>
      <c r="E4" s="676"/>
      <c r="F4" s="677"/>
      <c r="G4" s="689"/>
      <c r="H4" s="673"/>
    </row>
    <row r="5" spans="1:8" ht="14.25" thickBot="1" x14ac:dyDescent="0.3">
      <c r="A5" s="680"/>
      <c r="B5" s="274" t="s">
        <v>6</v>
      </c>
      <c r="C5" s="568" t="s">
        <v>226</v>
      </c>
      <c r="D5" s="569"/>
      <c r="E5" s="569"/>
      <c r="F5" s="570"/>
      <c r="G5" s="690"/>
      <c r="H5" s="674"/>
    </row>
    <row r="6" spans="1:8" ht="18.75" thickBot="1" x14ac:dyDescent="0.3">
      <c r="A6" s="691" t="s">
        <v>7</v>
      </c>
      <c r="B6" s="540"/>
      <c r="C6" s="541" t="s">
        <v>227</v>
      </c>
      <c r="D6" s="541"/>
      <c r="E6" s="541"/>
      <c r="F6" s="542" t="s">
        <v>8</v>
      </c>
      <c r="G6" s="542"/>
      <c r="H6" s="275" t="s">
        <v>227</v>
      </c>
    </row>
    <row r="7" spans="1:8" x14ac:dyDescent="0.2">
      <c r="A7" s="543" t="s">
        <v>9</v>
      </c>
      <c r="B7" s="547" t="s">
        <v>10</v>
      </c>
      <c r="C7" s="692" t="s">
        <v>11</v>
      </c>
      <c r="D7" s="547" t="s">
        <v>12</v>
      </c>
      <c r="E7" s="547"/>
      <c r="F7" s="547" t="s">
        <v>13</v>
      </c>
      <c r="G7" s="547"/>
      <c r="H7" s="223" t="s">
        <v>14</v>
      </c>
    </row>
    <row r="8" spans="1:8" ht="26.25" thickBot="1" x14ac:dyDescent="0.25">
      <c r="A8" s="544"/>
      <c r="B8" s="548"/>
      <c r="C8" s="693"/>
      <c r="D8" s="224" t="s">
        <v>15</v>
      </c>
      <c r="E8" s="225" t="s">
        <v>16</v>
      </c>
      <c r="F8" s="224" t="s">
        <v>15</v>
      </c>
      <c r="G8" s="225" t="s">
        <v>16</v>
      </c>
      <c r="H8" s="276" t="s">
        <v>17</v>
      </c>
    </row>
    <row r="9" spans="1:8" ht="15.75" x14ac:dyDescent="0.25">
      <c r="A9" s="277"/>
      <c r="B9" s="278"/>
      <c r="C9" s="279"/>
      <c r="D9" s="280"/>
      <c r="E9" s="281"/>
      <c r="F9" s="282"/>
      <c r="G9" s="281"/>
      <c r="H9" s="283"/>
    </row>
    <row r="10" spans="1:8" ht="15.75" x14ac:dyDescent="0.25">
      <c r="A10" s="27">
        <v>510107</v>
      </c>
      <c r="B10" s="1" t="s">
        <v>228</v>
      </c>
      <c r="C10" s="284" t="s">
        <v>229</v>
      </c>
      <c r="D10" s="285">
        <v>500</v>
      </c>
      <c r="E10" s="286" t="s">
        <v>19</v>
      </c>
      <c r="F10" s="287"/>
      <c r="G10" s="286"/>
      <c r="H10" s="288"/>
    </row>
    <row r="11" spans="1:8" ht="15.75" x14ac:dyDescent="0.25">
      <c r="A11" s="289" t="s">
        <v>230</v>
      </c>
      <c r="B11" s="290" t="s">
        <v>231</v>
      </c>
      <c r="C11" s="284" t="s">
        <v>232</v>
      </c>
      <c r="D11" s="285">
        <v>680</v>
      </c>
      <c r="E11" s="286" t="s">
        <v>19</v>
      </c>
      <c r="F11" s="287"/>
      <c r="G11" s="286"/>
      <c r="H11" s="288"/>
    </row>
    <row r="12" spans="1:8" ht="15.75" x14ac:dyDescent="0.25">
      <c r="A12" s="291">
        <v>10100046</v>
      </c>
      <c r="B12" s="292" t="s">
        <v>233</v>
      </c>
      <c r="C12" s="293" t="s">
        <v>234</v>
      </c>
      <c r="D12" s="285">
        <v>40</v>
      </c>
      <c r="E12" s="286" t="s">
        <v>19</v>
      </c>
      <c r="F12" s="287"/>
      <c r="G12" s="286"/>
      <c r="H12" s="288"/>
    </row>
    <row r="13" spans="1:8" ht="15.75" x14ac:dyDescent="0.25">
      <c r="A13" s="289" t="s">
        <v>235</v>
      </c>
      <c r="B13" s="290" t="s">
        <v>236</v>
      </c>
      <c r="C13" s="293" t="s">
        <v>237</v>
      </c>
      <c r="D13" s="285">
        <v>7</v>
      </c>
      <c r="E13" s="286" t="s">
        <v>19</v>
      </c>
      <c r="F13" s="287"/>
      <c r="G13" s="286"/>
      <c r="H13" s="288"/>
    </row>
    <row r="14" spans="1:8" ht="15.75" x14ac:dyDescent="0.25">
      <c r="A14" s="289"/>
      <c r="B14" s="290"/>
      <c r="C14" s="293"/>
      <c r="D14" s="285"/>
      <c r="E14" s="286"/>
      <c r="F14" s="287"/>
      <c r="G14" s="294"/>
      <c r="H14" s="288"/>
    </row>
    <row r="15" spans="1:8" ht="15.75" x14ac:dyDescent="0.25">
      <c r="A15" s="295" t="s">
        <v>238</v>
      </c>
      <c r="B15" s="296" t="s">
        <v>239</v>
      </c>
      <c r="C15" s="284" t="s">
        <v>240</v>
      </c>
      <c r="D15" s="285">
        <v>2</v>
      </c>
      <c r="E15" s="286" t="s">
        <v>21</v>
      </c>
      <c r="F15" s="287"/>
      <c r="G15" s="286"/>
      <c r="H15" s="288"/>
    </row>
    <row r="16" spans="1:8" ht="15.75" x14ac:dyDescent="0.25">
      <c r="A16" s="289" t="s">
        <v>241</v>
      </c>
      <c r="B16" s="290" t="s">
        <v>242</v>
      </c>
      <c r="C16" s="284" t="s">
        <v>240</v>
      </c>
      <c r="D16" s="285">
        <v>2</v>
      </c>
      <c r="E16" s="286" t="s">
        <v>21</v>
      </c>
      <c r="F16" s="287"/>
      <c r="G16" s="286"/>
      <c r="H16" s="288"/>
    </row>
    <row r="17" spans="1:11" ht="15.75" x14ac:dyDescent="0.25">
      <c r="A17" s="297" t="s">
        <v>68</v>
      </c>
      <c r="B17" s="298" t="s">
        <v>243</v>
      </c>
      <c r="C17" s="284" t="s">
        <v>71</v>
      </c>
      <c r="D17" s="285">
        <v>1</v>
      </c>
      <c r="E17" s="286" t="s">
        <v>21</v>
      </c>
      <c r="F17" s="287"/>
      <c r="G17" s="286"/>
      <c r="H17" s="288"/>
    </row>
    <row r="18" spans="1:11" ht="20.25" customHeight="1" x14ac:dyDescent="0.25">
      <c r="A18" s="295" t="s">
        <v>244</v>
      </c>
      <c r="B18" s="296" t="s">
        <v>245</v>
      </c>
      <c r="C18" s="299" t="s">
        <v>71</v>
      </c>
      <c r="D18" s="285">
        <v>1</v>
      </c>
      <c r="E18" s="286" t="s">
        <v>21</v>
      </c>
      <c r="F18" s="285"/>
      <c r="G18" s="286"/>
      <c r="H18" s="300"/>
    </row>
    <row r="19" spans="1:11" ht="20.25" customHeight="1" thickBot="1" x14ac:dyDescent="0.3">
      <c r="A19" s="301"/>
      <c r="B19" s="302"/>
      <c r="C19"/>
      <c r="D19" s="303"/>
      <c r="E19" s="304"/>
      <c r="H19" s="305"/>
    </row>
    <row r="20" spans="1:11" ht="14.25" thickBot="1" x14ac:dyDescent="0.3">
      <c r="A20" s="248"/>
      <c r="B20" s="250"/>
      <c r="C20" s="251" t="s">
        <v>15</v>
      </c>
      <c r="D20" s="252" t="s">
        <v>22</v>
      </c>
      <c r="E20" s="253"/>
      <c r="F20" s="250"/>
      <c r="G20" s="250"/>
      <c r="H20" s="254"/>
    </row>
    <row r="21" spans="1:11" ht="13.5" x14ac:dyDescent="0.25">
      <c r="A21" s="447" t="s">
        <v>23</v>
      </c>
      <c r="B21" s="449"/>
      <c r="C21" s="306">
        <f>SUM(D10:D13)</f>
        <v>1227</v>
      </c>
      <c r="D21" s="307" t="s">
        <v>19</v>
      </c>
      <c r="E21" s="450"/>
      <c r="F21" s="450"/>
      <c r="G21" s="451"/>
      <c r="H21" s="452"/>
    </row>
    <row r="22" spans="1:11" ht="13.5" x14ac:dyDescent="0.25">
      <c r="A22" s="413" t="s">
        <v>24</v>
      </c>
      <c r="B22" s="415"/>
      <c r="C22" s="20">
        <v>1</v>
      </c>
      <c r="D22" s="20" t="s">
        <v>246</v>
      </c>
      <c r="E22" s="474"/>
      <c r="F22" s="474"/>
      <c r="G22" s="417"/>
      <c r="H22" s="418"/>
    </row>
    <row r="23" spans="1:11" ht="13.5" x14ac:dyDescent="0.25">
      <c r="A23" s="413" t="s">
        <v>26</v>
      </c>
      <c r="B23" s="415"/>
      <c r="C23" s="20">
        <v>1</v>
      </c>
      <c r="D23" s="20" t="s">
        <v>247</v>
      </c>
      <c r="E23" s="474"/>
      <c r="F23" s="474"/>
      <c r="G23" s="417"/>
      <c r="H23" s="418"/>
    </row>
    <row r="24" spans="1:11" ht="13.5" x14ac:dyDescent="0.25">
      <c r="A24" s="413" t="s">
        <v>27</v>
      </c>
      <c r="B24" s="415"/>
      <c r="C24" s="231">
        <f>C21</f>
        <v>1227</v>
      </c>
      <c r="D24" s="20" t="s">
        <v>19</v>
      </c>
      <c r="E24" s="555"/>
      <c r="F24" s="556"/>
      <c r="G24" s="417"/>
      <c r="H24" s="418"/>
      <c r="K24" s="308"/>
    </row>
    <row r="25" spans="1:11" ht="14.25" thickBot="1" x14ac:dyDescent="0.3">
      <c r="A25" s="560" t="s">
        <v>28</v>
      </c>
      <c r="B25" s="561"/>
      <c r="C25" s="264">
        <v>0</v>
      </c>
      <c r="D25" s="265" t="s">
        <v>19</v>
      </c>
      <c r="E25" s="422"/>
      <c r="F25" s="422"/>
      <c r="G25" s="423"/>
      <c r="H25" s="424"/>
    </row>
    <row r="26" spans="1:11" ht="13.5" thickBot="1" x14ac:dyDescent="0.25">
      <c r="A26" s="562" t="s">
        <v>29</v>
      </c>
      <c r="B26" s="563"/>
      <c r="C26" s="563"/>
      <c r="D26" s="563"/>
      <c r="E26" s="563"/>
      <c r="F26" s="563"/>
      <c r="G26" s="563"/>
      <c r="H26" s="564"/>
    </row>
    <row r="27" spans="1:11" ht="15.75" x14ac:dyDescent="0.25">
      <c r="A27" s="697" t="s">
        <v>248</v>
      </c>
      <c r="B27" s="698"/>
      <c r="C27" s="698"/>
      <c r="D27" s="698"/>
      <c r="E27" s="698"/>
      <c r="F27" s="698"/>
      <c r="G27" s="698"/>
      <c r="H27" s="699"/>
    </row>
    <row r="28" spans="1:11" ht="15.75" x14ac:dyDescent="0.25">
      <c r="A28" s="694" t="s">
        <v>249</v>
      </c>
      <c r="B28" s="695"/>
      <c r="C28" s="695"/>
      <c r="D28" s="695"/>
      <c r="E28" s="695"/>
      <c r="F28" s="695"/>
      <c r="G28" s="695"/>
      <c r="H28" s="696"/>
    </row>
    <row r="29" spans="1:11" ht="15.75" x14ac:dyDescent="0.25">
      <c r="A29" s="694" t="s">
        <v>250</v>
      </c>
      <c r="B29" s="695"/>
      <c r="C29" s="695"/>
      <c r="D29" s="695"/>
      <c r="E29" s="695"/>
      <c r="F29" s="695"/>
      <c r="G29" s="695"/>
      <c r="H29" s="696"/>
    </row>
    <row r="30" spans="1:11" ht="15.75" x14ac:dyDescent="0.25">
      <c r="A30" s="694" t="s">
        <v>251</v>
      </c>
      <c r="B30" s="695"/>
      <c r="C30" s="695"/>
      <c r="D30" s="695"/>
      <c r="E30" s="695"/>
      <c r="F30" s="695"/>
      <c r="G30" s="695"/>
      <c r="H30" s="696"/>
    </row>
    <row r="31" spans="1:11" ht="15.75" x14ac:dyDescent="0.25">
      <c r="A31" s="694" t="s">
        <v>252</v>
      </c>
      <c r="B31" s="695"/>
      <c r="C31" s="695"/>
      <c r="D31" s="695"/>
      <c r="E31" s="695"/>
      <c r="F31" s="695"/>
      <c r="G31" s="695"/>
      <c r="H31" s="696"/>
    </row>
    <row r="32" spans="1:11" ht="16.5" thickBot="1" x14ac:dyDescent="0.35">
      <c r="A32" s="700" t="s">
        <v>253</v>
      </c>
      <c r="B32" s="701"/>
      <c r="C32" s="701"/>
      <c r="D32" s="701"/>
      <c r="E32" s="701"/>
      <c r="F32" s="701"/>
      <c r="G32" s="701"/>
      <c r="H32" s="702"/>
    </row>
    <row r="33" spans="1:8" ht="16.5" thickBot="1" x14ac:dyDescent="0.35">
      <c r="A33" s="700"/>
      <c r="B33" s="701"/>
      <c r="C33" s="701"/>
      <c r="D33" s="701"/>
      <c r="E33" s="701"/>
      <c r="F33" s="701"/>
      <c r="G33" s="701"/>
      <c r="H33" s="702"/>
    </row>
    <row r="34" spans="1:8" ht="14.25" thickBot="1" x14ac:dyDescent="0.25">
      <c r="A34" s="703" t="s">
        <v>219</v>
      </c>
      <c r="B34" s="704"/>
      <c r="C34" s="704"/>
      <c r="D34" s="704"/>
      <c r="E34" s="704"/>
      <c r="F34" s="704"/>
      <c r="G34" s="704"/>
      <c r="H34" s="705"/>
    </row>
    <row r="35" spans="1:8" ht="16.5" thickBot="1" x14ac:dyDescent="0.35">
      <c r="A35" s="700" t="s">
        <v>254</v>
      </c>
      <c r="B35" s="701"/>
      <c r="C35" s="701"/>
      <c r="D35" s="701"/>
      <c r="E35" s="701"/>
      <c r="F35" s="701"/>
      <c r="G35" s="701"/>
      <c r="H35" s="702"/>
    </row>
    <row r="36" spans="1:8" ht="16.5" thickBot="1" x14ac:dyDescent="0.35">
      <c r="A36" s="700" t="s">
        <v>255</v>
      </c>
      <c r="B36" s="701"/>
      <c r="C36" s="701"/>
      <c r="D36" s="701"/>
      <c r="E36" s="701"/>
      <c r="F36" s="701"/>
      <c r="G36" s="701"/>
      <c r="H36" s="702"/>
    </row>
    <row r="37" spans="1:8" ht="16.5" thickBot="1" x14ac:dyDescent="0.35">
      <c r="A37" s="700" t="s">
        <v>256</v>
      </c>
      <c r="B37" s="701"/>
      <c r="C37" s="701"/>
      <c r="D37" s="701"/>
      <c r="E37" s="701"/>
      <c r="F37" s="701"/>
      <c r="G37" s="701"/>
      <c r="H37" s="702"/>
    </row>
  </sheetData>
  <mergeCells count="43">
    <mergeCell ref="A35:H35"/>
    <mergeCell ref="A36:H36"/>
    <mergeCell ref="A37:H37"/>
    <mergeCell ref="A29:H29"/>
    <mergeCell ref="A30:H30"/>
    <mergeCell ref="A31:H31"/>
    <mergeCell ref="A32:H32"/>
    <mergeCell ref="A33:H33"/>
    <mergeCell ref="A34:H34"/>
    <mergeCell ref="A28:H28"/>
    <mergeCell ref="A23:B23"/>
    <mergeCell ref="E23:F23"/>
    <mergeCell ref="G23:H23"/>
    <mergeCell ref="A24:B24"/>
    <mergeCell ref="E24:F24"/>
    <mergeCell ref="G24:H24"/>
    <mergeCell ref="A25:B25"/>
    <mergeCell ref="E25:F25"/>
    <mergeCell ref="G25:H25"/>
    <mergeCell ref="A26:H26"/>
    <mergeCell ref="A27:H27"/>
    <mergeCell ref="A21:B21"/>
    <mergeCell ref="E21:F21"/>
    <mergeCell ref="G21:H21"/>
    <mergeCell ref="A22:B22"/>
    <mergeCell ref="E22:F22"/>
    <mergeCell ref="G22:H22"/>
    <mergeCell ref="A6:B6"/>
    <mergeCell ref="C6:E6"/>
    <mergeCell ref="F6:G6"/>
    <mergeCell ref="A7:A8"/>
    <mergeCell ref="B7:B8"/>
    <mergeCell ref="C7:C8"/>
    <mergeCell ref="D7:E7"/>
    <mergeCell ref="F7:G7"/>
    <mergeCell ref="H3:H5"/>
    <mergeCell ref="C4:F4"/>
    <mergeCell ref="C5:F5"/>
    <mergeCell ref="A1:A5"/>
    <mergeCell ref="B1:F1"/>
    <mergeCell ref="B2:F2"/>
    <mergeCell ref="B3:F3"/>
    <mergeCell ref="G3:G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C8962-DEF6-4A67-A455-E5957D2E44BB}">
  <dimension ref="A1:Q91"/>
  <sheetViews>
    <sheetView workbookViewId="0">
      <selection activeCell="M42" sqref="M42"/>
    </sheetView>
  </sheetViews>
  <sheetFormatPr baseColWidth="10" defaultColWidth="8.42578125" defaultRowHeight="12.75" x14ac:dyDescent="0.25"/>
  <cols>
    <col min="1" max="1" width="10" style="105" bestFit="1" customWidth="1"/>
    <col min="2" max="2" width="44.28515625" style="105" bestFit="1" customWidth="1"/>
    <col min="3" max="3" width="10.42578125" style="105" bestFit="1" customWidth="1"/>
    <col min="4" max="4" width="10.42578125" style="105" customWidth="1"/>
    <col min="5" max="5" width="9.7109375" style="105" bestFit="1" customWidth="1"/>
    <col min="6" max="6" width="9.5703125" style="105" bestFit="1" customWidth="1"/>
    <col min="7" max="7" width="9.5703125" style="187" bestFit="1" customWidth="1"/>
    <col min="8" max="8" width="10.42578125" style="178" bestFit="1" customWidth="1"/>
    <col min="9" max="9" width="4.5703125" style="178" customWidth="1"/>
    <col min="10" max="10" width="1.85546875" style="104" customWidth="1"/>
    <col min="11" max="11" width="7" style="105" bestFit="1" customWidth="1"/>
    <col min="12" max="12" width="6.28515625" style="105" customWidth="1"/>
    <col min="13" max="13" width="20.42578125" style="105" customWidth="1"/>
    <col min="14" max="14" width="6.42578125" style="105" bestFit="1" customWidth="1"/>
    <col min="15" max="16" width="8.42578125" style="105"/>
    <col min="17" max="17" width="3.28515625" style="105" customWidth="1"/>
    <col min="18" max="256" width="8.42578125" style="105"/>
    <col min="257" max="257" width="10" style="105" bestFit="1" customWidth="1"/>
    <col min="258" max="258" width="44.28515625" style="105" bestFit="1" customWidth="1"/>
    <col min="259" max="259" width="10.42578125" style="105" bestFit="1" customWidth="1"/>
    <col min="260" max="260" width="10.42578125" style="105" customWidth="1"/>
    <col min="261" max="261" width="9.7109375" style="105" bestFit="1" customWidth="1"/>
    <col min="262" max="263" width="9.5703125" style="105" bestFit="1" customWidth="1"/>
    <col min="264" max="264" width="10.42578125" style="105" bestFit="1" customWidth="1"/>
    <col min="265" max="265" width="4.5703125" style="105" customWidth="1"/>
    <col min="266" max="266" width="1.85546875" style="105" customWidth="1"/>
    <col min="267" max="267" width="7" style="105" bestFit="1" customWidth="1"/>
    <col min="268" max="268" width="6.28515625" style="105" customWidth="1"/>
    <col min="269" max="269" width="20.42578125" style="105" customWidth="1"/>
    <col min="270" max="270" width="6.42578125" style="105" bestFit="1" customWidth="1"/>
    <col min="271" max="272" width="8.42578125" style="105"/>
    <col min="273" max="273" width="3.28515625" style="105" customWidth="1"/>
    <col min="274" max="512" width="8.42578125" style="105"/>
    <col min="513" max="513" width="10" style="105" bestFit="1" customWidth="1"/>
    <col min="514" max="514" width="44.28515625" style="105" bestFit="1" customWidth="1"/>
    <col min="515" max="515" width="10.42578125" style="105" bestFit="1" customWidth="1"/>
    <col min="516" max="516" width="10.42578125" style="105" customWidth="1"/>
    <col min="517" max="517" width="9.7109375" style="105" bestFit="1" customWidth="1"/>
    <col min="518" max="519" width="9.5703125" style="105" bestFit="1" customWidth="1"/>
    <col min="520" max="520" width="10.42578125" style="105" bestFit="1" customWidth="1"/>
    <col min="521" max="521" width="4.5703125" style="105" customWidth="1"/>
    <col min="522" max="522" width="1.85546875" style="105" customWidth="1"/>
    <col min="523" max="523" width="7" style="105" bestFit="1" customWidth="1"/>
    <col min="524" max="524" width="6.28515625" style="105" customWidth="1"/>
    <col min="525" max="525" width="20.42578125" style="105" customWidth="1"/>
    <col min="526" max="526" width="6.42578125" style="105" bestFit="1" customWidth="1"/>
    <col min="527" max="528" width="8.42578125" style="105"/>
    <col min="529" max="529" width="3.28515625" style="105" customWidth="1"/>
    <col min="530" max="768" width="8.42578125" style="105"/>
    <col min="769" max="769" width="10" style="105" bestFit="1" customWidth="1"/>
    <col min="770" max="770" width="44.28515625" style="105" bestFit="1" customWidth="1"/>
    <col min="771" max="771" width="10.42578125" style="105" bestFit="1" customWidth="1"/>
    <col min="772" max="772" width="10.42578125" style="105" customWidth="1"/>
    <col min="773" max="773" width="9.7109375" style="105" bestFit="1" customWidth="1"/>
    <col min="774" max="775" width="9.5703125" style="105" bestFit="1" customWidth="1"/>
    <col min="776" max="776" width="10.42578125" style="105" bestFit="1" customWidth="1"/>
    <col min="777" max="777" width="4.5703125" style="105" customWidth="1"/>
    <col min="778" max="778" width="1.85546875" style="105" customWidth="1"/>
    <col min="779" max="779" width="7" style="105" bestFit="1" customWidth="1"/>
    <col min="780" max="780" width="6.28515625" style="105" customWidth="1"/>
    <col min="781" max="781" width="20.42578125" style="105" customWidth="1"/>
    <col min="782" max="782" width="6.42578125" style="105" bestFit="1" customWidth="1"/>
    <col min="783" max="784" width="8.42578125" style="105"/>
    <col min="785" max="785" width="3.28515625" style="105" customWidth="1"/>
    <col min="786" max="1024" width="8.42578125" style="105"/>
    <col min="1025" max="1025" width="10" style="105" bestFit="1" customWidth="1"/>
    <col min="1026" max="1026" width="44.28515625" style="105" bestFit="1" customWidth="1"/>
    <col min="1027" max="1027" width="10.42578125" style="105" bestFit="1" customWidth="1"/>
    <col min="1028" max="1028" width="10.42578125" style="105" customWidth="1"/>
    <col min="1029" max="1029" width="9.7109375" style="105" bestFit="1" customWidth="1"/>
    <col min="1030" max="1031" width="9.5703125" style="105" bestFit="1" customWidth="1"/>
    <col min="1032" max="1032" width="10.42578125" style="105" bestFit="1" customWidth="1"/>
    <col min="1033" max="1033" width="4.5703125" style="105" customWidth="1"/>
    <col min="1034" max="1034" width="1.85546875" style="105" customWidth="1"/>
    <col min="1035" max="1035" width="7" style="105" bestFit="1" customWidth="1"/>
    <col min="1036" max="1036" width="6.28515625" style="105" customWidth="1"/>
    <col min="1037" max="1037" width="20.42578125" style="105" customWidth="1"/>
    <col min="1038" max="1038" width="6.42578125" style="105" bestFit="1" customWidth="1"/>
    <col min="1039" max="1040" width="8.42578125" style="105"/>
    <col min="1041" max="1041" width="3.28515625" style="105" customWidth="1"/>
    <col min="1042" max="1280" width="8.42578125" style="105"/>
    <col min="1281" max="1281" width="10" style="105" bestFit="1" customWidth="1"/>
    <col min="1282" max="1282" width="44.28515625" style="105" bestFit="1" customWidth="1"/>
    <col min="1283" max="1283" width="10.42578125" style="105" bestFit="1" customWidth="1"/>
    <col min="1284" max="1284" width="10.42578125" style="105" customWidth="1"/>
    <col min="1285" max="1285" width="9.7109375" style="105" bestFit="1" customWidth="1"/>
    <col min="1286" max="1287" width="9.5703125" style="105" bestFit="1" customWidth="1"/>
    <col min="1288" max="1288" width="10.42578125" style="105" bestFit="1" customWidth="1"/>
    <col min="1289" max="1289" width="4.5703125" style="105" customWidth="1"/>
    <col min="1290" max="1290" width="1.85546875" style="105" customWidth="1"/>
    <col min="1291" max="1291" width="7" style="105" bestFit="1" customWidth="1"/>
    <col min="1292" max="1292" width="6.28515625" style="105" customWidth="1"/>
    <col min="1293" max="1293" width="20.42578125" style="105" customWidth="1"/>
    <col min="1294" max="1294" width="6.42578125" style="105" bestFit="1" customWidth="1"/>
    <col min="1295" max="1296" width="8.42578125" style="105"/>
    <col min="1297" max="1297" width="3.28515625" style="105" customWidth="1"/>
    <col min="1298" max="1536" width="8.42578125" style="105"/>
    <col min="1537" max="1537" width="10" style="105" bestFit="1" customWidth="1"/>
    <col min="1538" max="1538" width="44.28515625" style="105" bestFit="1" customWidth="1"/>
    <col min="1539" max="1539" width="10.42578125" style="105" bestFit="1" customWidth="1"/>
    <col min="1540" max="1540" width="10.42578125" style="105" customWidth="1"/>
    <col min="1541" max="1541" width="9.7109375" style="105" bestFit="1" customWidth="1"/>
    <col min="1542" max="1543" width="9.5703125" style="105" bestFit="1" customWidth="1"/>
    <col min="1544" max="1544" width="10.42578125" style="105" bestFit="1" customWidth="1"/>
    <col min="1545" max="1545" width="4.5703125" style="105" customWidth="1"/>
    <col min="1546" max="1546" width="1.85546875" style="105" customWidth="1"/>
    <col min="1547" max="1547" width="7" style="105" bestFit="1" customWidth="1"/>
    <col min="1548" max="1548" width="6.28515625" style="105" customWidth="1"/>
    <col min="1549" max="1549" width="20.42578125" style="105" customWidth="1"/>
    <col min="1550" max="1550" width="6.42578125" style="105" bestFit="1" customWidth="1"/>
    <col min="1551" max="1552" width="8.42578125" style="105"/>
    <col min="1553" max="1553" width="3.28515625" style="105" customWidth="1"/>
    <col min="1554" max="1792" width="8.42578125" style="105"/>
    <col min="1793" max="1793" width="10" style="105" bestFit="1" customWidth="1"/>
    <col min="1794" max="1794" width="44.28515625" style="105" bestFit="1" customWidth="1"/>
    <col min="1795" max="1795" width="10.42578125" style="105" bestFit="1" customWidth="1"/>
    <col min="1796" max="1796" width="10.42578125" style="105" customWidth="1"/>
    <col min="1797" max="1797" width="9.7109375" style="105" bestFit="1" customWidth="1"/>
    <col min="1798" max="1799" width="9.5703125" style="105" bestFit="1" customWidth="1"/>
    <col min="1800" max="1800" width="10.42578125" style="105" bestFit="1" customWidth="1"/>
    <col min="1801" max="1801" width="4.5703125" style="105" customWidth="1"/>
    <col min="1802" max="1802" width="1.85546875" style="105" customWidth="1"/>
    <col min="1803" max="1803" width="7" style="105" bestFit="1" customWidth="1"/>
    <col min="1804" max="1804" width="6.28515625" style="105" customWidth="1"/>
    <col min="1805" max="1805" width="20.42578125" style="105" customWidth="1"/>
    <col min="1806" max="1806" width="6.42578125" style="105" bestFit="1" customWidth="1"/>
    <col min="1807" max="1808" width="8.42578125" style="105"/>
    <col min="1809" max="1809" width="3.28515625" style="105" customWidth="1"/>
    <col min="1810" max="2048" width="8.42578125" style="105"/>
    <col min="2049" max="2049" width="10" style="105" bestFit="1" customWidth="1"/>
    <col min="2050" max="2050" width="44.28515625" style="105" bestFit="1" customWidth="1"/>
    <col min="2051" max="2051" width="10.42578125" style="105" bestFit="1" customWidth="1"/>
    <col min="2052" max="2052" width="10.42578125" style="105" customWidth="1"/>
    <col min="2053" max="2053" width="9.7109375" style="105" bestFit="1" customWidth="1"/>
    <col min="2054" max="2055" width="9.5703125" style="105" bestFit="1" customWidth="1"/>
    <col min="2056" max="2056" width="10.42578125" style="105" bestFit="1" customWidth="1"/>
    <col min="2057" max="2057" width="4.5703125" style="105" customWidth="1"/>
    <col min="2058" max="2058" width="1.85546875" style="105" customWidth="1"/>
    <col min="2059" max="2059" width="7" style="105" bestFit="1" customWidth="1"/>
    <col min="2060" max="2060" width="6.28515625" style="105" customWidth="1"/>
    <col min="2061" max="2061" width="20.42578125" style="105" customWidth="1"/>
    <col min="2062" max="2062" width="6.42578125" style="105" bestFit="1" customWidth="1"/>
    <col min="2063" max="2064" width="8.42578125" style="105"/>
    <col min="2065" max="2065" width="3.28515625" style="105" customWidth="1"/>
    <col min="2066" max="2304" width="8.42578125" style="105"/>
    <col min="2305" max="2305" width="10" style="105" bestFit="1" customWidth="1"/>
    <col min="2306" max="2306" width="44.28515625" style="105" bestFit="1" customWidth="1"/>
    <col min="2307" max="2307" width="10.42578125" style="105" bestFit="1" customWidth="1"/>
    <col min="2308" max="2308" width="10.42578125" style="105" customWidth="1"/>
    <col min="2309" max="2309" width="9.7109375" style="105" bestFit="1" customWidth="1"/>
    <col min="2310" max="2311" width="9.5703125" style="105" bestFit="1" customWidth="1"/>
    <col min="2312" max="2312" width="10.42578125" style="105" bestFit="1" customWidth="1"/>
    <col min="2313" max="2313" width="4.5703125" style="105" customWidth="1"/>
    <col min="2314" max="2314" width="1.85546875" style="105" customWidth="1"/>
    <col min="2315" max="2315" width="7" style="105" bestFit="1" customWidth="1"/>
    <col min="2316" max="2316" width="6.28515625" style="105" customWidth="1"/>
    <col min="2317" max="2317" width="20.42578125" style="105" customWidth="1"/>
    <col min="2318" max="2318" width="6.42578125" style="105" bestFit="1" customWidth="1"/>
    <col min="2319" max="2320" width="8.42578125" style="105"/>
    <col min="2321" max="2321" width="3.28515625" style="105" customWidth="1"/>
    <col min="2322" max="2560" width="8.42578125" style="105"/>
    <col min="2561" max="2561" width="10" style="105" bestFit="1" customWidth="1"/>
    <col min="2562" max="2562" width="44.28515625" style="105" bestFit="1" customWidth="1"/>
    <col min="2563" max="2563" width="10.42578125" style="105" bestFit="1" customWidth="1"/>
    <col min="2564" max="2564" width="10.42578125" style="105" customWidth="1"/>
    <col min="2565" max="2565" width="9.7109375" style="105" bestFit="1" customWidth="1"/>
    <col min="2566" max="2567" width="9.5703125" style="105" bestFit="1" customWidth="1"/>
    <col min="2568" max="2568" width="10.42578125" style="105" bestFit="1" customWidth="1"/>
    <col min="2569" max="2569" width="4.5703125" style="105" customWidth="1"/>
    <col min="2570" max="2570" width="1.85546875" style="105" customWidth="1"/>
    <col min="2571" max="2571" width="7" style="105" bestFit="1" customWidth="1"/>
    <col min="2572" max="2572" width="6.28515625" style="105" customWidth="1"/>
    <col min="2573" max="2573" width="20.42578125" style="105" customWidth="1"/>
    <col min="2574" max="2574" width="6.42578125" style="105" bestFit="1" customWidth="1"/>
    <col min="2575" max="2576" width="8.42578125" style="105"/>
    <col min="2577" max="2577" width="3.28515625" style="105" customWidth="1"/>
    <col min="2578" max="2816" width="8.42578125" style="105"/>
    <col min="2817" max="2817" width="10" style="105" bestFit="1" customWidth="1"/>
    <col min="2818" max="2818" width="44.28515625" style="105" bestFit="1" customWidth="1"/>
    <col min="2819" max="2819" width="10.42578125" style="105" bestFit="1" customWidth="1"/>
    <col min="2820" max="2820" width="10.42578125" style="105" customWidth="1"/>
    <col min="2821" max="2821" width="9.7109375" style="105" bestFit="1" customWidth="1"/>
    <col min="2822" max="2823" width="9.5703125" style="105" bestFit="1" customWidth="1"/>
    <col min="2824" max="2824" width="10.42578125" style="105" bestFit="1" customWidth="1"/>
    <col min="2825" max="2825" width="4.5703125" style="105" customWidth="1"/>
    <col min="2826" max="2826" width="1.85546875" style="105" customWidth="1"/>
    <col min="2827" max="2827" width="7" style="105" bestFit="1" customWidth="1"/>
    <col min="2828" max="2828" width="6.28515625" style="105" customWidth="1"/>
    <col min="2829" max="2829" width="20.42578125" style="105" customWidth="1"/>
    <col min="2830" max="2830" width="6.42578125" style="105" bestFit="1" customWidth="1"/>
    <col min="2831" max="2832" width="8.42578125" style="105"/>
    <col min="2833" max="2833" width="3.28515625" style="105" customWidth="1"/>
    <col min="2834" max="3072" width="8.42578125" style="105"/>
    <col min="3073" max="3073" width="10" style="105" bestFit="1" customWidth="1"/>
    <col min="3074" max="3074" width="44.28515625" style="105" bestFit="1" customWidth="1"/>
    <col min="3075" max="3075" width="10.42578125" style="105" bestFit="1" customWidth="1"/>
    <col min="3076" max="3076" width="10.42578125" style="105" customWidth="1"/>
    <col min="3077" max="3077" width="9.7109375" style="105" bestFit="1" customWidth="1"/>
    <col min="3078" max="3079" width="9.5703125" style="105" bestFit="1" customWidth="1"/>
    <col min="3080" max="3080" width="10.42578125" style="105" bestFit="1" customWidth="1"/>
    <col min="3081" max="3081" width="4.5703125" style="105" customWidth="1"/>
    <col min="3082" max="3082" width="1.85546875" style="105" customWidth="1"/>
    <col min="3083" max="3083" width="7" style="105" bestFit="1" customWidth="1"/>
    <col min="3084" max="3084" width="6.28515625" style="105" customWidth="1"/>
    <col min="3085" max="3085" width="20.42578125" style="105" customWidth="1"/>
    <col min="3086" max="3086" width="6.42578125" style="105" bestFit="1" customWidth="1"/>
    <col min="3087" max="3088" width="8.42578125" style="105"/>
    <col min="3089" max="3089" width="3.28515625" style="105" customWidth="1"/>
    <col min="3090" max="3328" width="8.42578125" style="105"/>
    <col min="3329" max="3329" width="10" style="105" bestFit="1" customWidth="1"/>
    <col min="3330" max="3330" width="44.28515625" style="105" bestFit="1" customWidth="1"/>
    <col min="3331" max="3331" width="10.42578125" style="105" bestFit="1" customWidth="1"/>
    <col min="3332" max="3332" width="10.42578125" style="105" customWidth="1"/>
    <col min="3333" max="3333" width="9.7109375" style="105" bestFit="1" customWidth="1"/>
    <col min="3334" max="3335" width="9.5703125" style="105" bestFit="1" customWidth="1"/>
    <col min="3336" max="3336" width="10.42578125" style="105" bestFit="1" customWidth="1"/>
    <col min="3337" max="3337" width="4.5703125" style="105" customWidth="1"/>
    <col min="3338" max="3338" width="1.85546875" style="105" customWidth="1"/>
    <col min="3339" max="3339" width="7" style="105" bestFit="1" customWidth="1"/>
    <col min="3340" max="3340" width="6.28515625" style="105" customWidth="1"/>
    <col min="3341" max="3341" width="20.42578125" style="105" customWidth="1"/>
    <col min="3342" max="3342" width="6.42578125" style="105" bestFit="1" customWidth="1"/>
    <col min="3343" max="3344" width="8.42578125" style="105"/>
    <col min="3345" max="3345" width="3.28515625" style="105" customWidth="1"/>
    <col min="3346" max="3584" width="8.42578125" style="105"/>
    <col min="3585" max="3585" width="10" style="105" bestFit="1" customWidth="1"/>
    <col min="3586" max="3586" width="44.28515625" style="105" bestFit="1" customWidth="1"/>
    <col min="3587" max="3587" width="10.42578125" style="105" bestFit="1" customWidth="1"/>
    <col min="3588" max="3588" width="10.42578125" style="105" customWidth="1"/>
    <col min="3589" max="3589" width="9.7109375" style="105" bestFit="1" customWidth="1"/>
    <col min="3590" max="3591" width="9.5703125" style="105" bestFit="1" customWidth="1"/>
    <col min="3592" max="3592" width="10.42578125" style="105" bestFit="1" customWidth="1"/>
    <col min="3593" max="3593" width="4.5703125" style="105" customWidth="1"/>
    <col min="3594" max="3594" width="1.85546875" style="105" customWidth="1"/>
    <col min="3595" max="3595" width="7" style="105" bestFit="1" customWidth="1"/>
    <col min="3596" max="3596" width="6.28515625" style="105" customWidth="1"/>
    <col min="3597" max="3597" width="20.42578125" style="105" customWidth="1"/>
    <col min="3598" max="3598" width="6.42578125" style="105" bestFit="1" customWidth="1"/>
    <col min="3599" max="3600" width="8.42578125" style="105"/>
    <col min="3601" max="3601" width="3.28515625" style="105" customWidth="1"/>
    <col min="3602" max="3840" width="8.42578125" style="105"/>
    <col min="3841" max="3841" width="10" style="105" bestFit="1" customWidth="1"/>
    <col min="3842" max="3842" width="44.28515625" style="105" bestFit="1" customWidth="1"/>
    <col min="3843" max="3843" width="10.42578125" style="105" bestFit="1" customWidth="1"/>
    <col min="3844" max="3844" width="10.42578125" style="105" customWidth="1"/>
    <col min="3845" max="3845" width="9.7109375" style="105" bestFit="1" customWidth="1"/>
    <col min="3846" max="3847" width="9.5703125" style="105" bestFit="1" customWidth="1"/>
    <col min="3848" max="3848" width="10.42578125" style="105" bestFit="1" customWidth="1"/>
    <col min="3849" max="3849" width="4.5703125" style="105" customWidth="1"/>
    <col min="3850" max="3850" width="1.85546875" style="105" customWidth="1"/>
    <col min="3851" max="3851" width="7" style="105" bestFit="1" customWidth="1"/>
    <col min="3852" max="3852" width="6.28515625" style="105" customWidth="1"/>
    <col min="3853" max="3853" width="20.42578125" style="105" customWidth="1"/>
    <col min="3854" max="3854" width="6.42578125" style="105" bestFit="1" customWidth="1"/>
    <col min="3855" max="3856" width="8.42578125" style="105"/>
    <col min="3857" max="3857" width="3.28515625" style="105" customWidth="1"/>
    <col min="3858" max="4096" width="8.42578125" style="105"/>
    <col min="4097" max="4097" width="10" style="105" bestFit="1" customWidth="1"/>
    <col min="4098" max="4098" width="44.28515625" style="105" bestFit="1" customWidth="1"/>
    <col min="4099" max="4099" width="10.42578125" style="105" bestFit="1" customWidth="1"/>
    <col min="4100" max="4100" width="10.42578125" style="105" customWidth="1"/>
    <col min="4101" max="4101" width="9.7109375" style="105" bestFit="1" customWidth="1"/>
    <col min="4102" max="4103" width="9.5703125" style="105" bestFit="1" customWidth="1"/>
    <col min="4104" max="4104" width="10.42578125" style="105" bestFit="1" customWidth="1"/>
    <col min="4105" max="4105" width="4.5703125" style="105" customWidth="1"/>
    <col min="4106" max="4106" width="1.85546875" style="105" customWidth="1"/>
    <col min="4107" max="4107" width="7" style="105" bestFit="1" customWidth="1"/>
    <col min="4108" max="4108" width="6.28515625" style="105" customWidth="1"/>
    <col min="4109" max="4109" width="20.42578125" style="105" customWidth="1"/>
    <col min="4110" max="4110" width="6.42578125" style="105" bestFit="1" customWidth="1"/>
    <col min="4111" max="4112" width="8.42578125" style="105"/>
    <col min="4113" max="4113" width="3.28515625" style="105" customWidth="1"/>
    <col min="4114" max="4352" width="8.42578125" style="105"/>
    <col min="4353" max="4353" width="10" style="105" bestFit="1" customWidth="1"/>
    <col min="4354" max="4354" width="44.28515625" style="105" bestFit="1" customWidth="1"/>
    <col min="4355" max="4355" width="10.42578125" style="105" bestFit="1" customWidth="1"/>
    <col min="4356" max="4356" width="10.42578125" style="105" customWidth="1"/>
    <col min="4357" max="4357" width="9.7109375" style="105" bestFit="1" customWidth="1"/>
    <col min="4358" max="4359" width="9.5703125" style="105" bestFit="1" customWidth="1"/>
    <col min="4360" max="4360" width="10.42578125" style="105" bestFit="1" customWidth="1"/>
    <col min="4361" max="4361" width="4.5703125" style="105" customWidth="1"/>
    <col min="4362" max="4362" width="1.85546875" style="105" customWidth="1"/>
    <col min="4363" max="4363" width="7" style="105" bestFit="1" customWidth="1"/>
    <col min="4364" max="4364" width="6.28515625" style="105" customWidth="1"/>
    <col min="4365" max="4365" width="20.42578125" style="105" customWidth="1"/>
    <col min="4366" max="4366" width="6.42578125" style="105" bestFit="1" customWidth="1"/>
    <col min="4367" max="4368" width="8.42578125" style="105"/>
    <col min="4369" max="4369" width="3.28515625" style="105" customWidth="1"/>
    <col min="4370" max="4608" width="8.42578125" style="105"/>
    <col min="4609" max="4609" width="10" style="105" bestFit="1" customWidth="1"/>
    <col min="4610" max="4610" width="44.28515625" style="105" bestFit="1" customWidth="1"/>
    <col min="4611" max="4611" width="10.42578125" style="105" bestFit="1" customWidth="1"/>
    <col min="4612" max="4612" width="10.42578125" style="105" customWidth="1"/>
    <col min="4613" max="4613" width="9.7109375" style="105" bestFit="1" customWidth="1"/>
    <col min="4614" max="4615" width="9.5703125" style="105" bestFit="1" customWidth="1"/>
    <col min="4616" max="4616" width="10.42578125" style="105" bestFit="1" customWidth="1"/>
    <col min="4617" max="4617" width="4.5703125" style="105" customWidth="1"/>
    <col min="4618" max="4618" width="1.85546875" style="105" customWidth="1"/>
    <col min="4619" max="4619" width="7" style="105" bestFit="1" customWidth="1"/>
    <col min="4620" max="4620" width="6.28515625" style="105" customWidth="1"/>
    <col min="4621" max="4621" width="20.42578125" style="105" customWidth="1"/>
    <col min="4622" max="4622" width="6.42578125" style="105" bestFit="1" customWidth="1"/>
    <col min="4623" max="4624" width="8.42578125" style="105"/>
    <col min="4625" max="4625" width="3.28515625" style="105" customWidth="1"/>
    <col min="4626" max="4864" width="8.42578125" style="105"/>
    <col min="4865" max="4865" width="10" style="105" bestFit="1" customWidth="1"/>
    <col min="4866" max="4866" width="44.28515625" style="105" bestFit="1" customWidth="1"/>
    <col min="4867" max="4867" width="10.42578125" style="105" bestFit="1" customWidth="1"/>
    <col min="4868" max="4868" width="10.42578125" style="105" customWidth="1"/>
    <col min="4869" max="4869" width="9.7109375" style="105" bestFit="1" customWidth="1"/>
    <col min="4870" max="4871" width="9.5703125" style="105" bestFit="1" customWidth="1"/>
    <col min="4872" max="4872" width="10.42578125" style="105" bestFit="1" customWidth="1"/>
    <col min="4873" max="4873" width="4.5703125" style="105" customWidth="1"/>
    <col min="4874" max="4874" width="1.85546875" style="105" customWidth="1"/>
    <col min="4875" max="4875" width="7" style="105" bestFit="1" customWidth="1"/>
    <col min="4876" max="4876" width="6.28515625" style="105" customWidth="1"/>
    <col min="4877" max="4877" width="20.42578125" style="105" customWidth="1"/>
    <col min="4878" max="4878" width="6.42578125" style="105" bestFit="1" customWidth="1"/>
    <col min="4879" max="4880" width="8.42578125" style="105"/>
    <col min="4881" max="4881" width="3.28515625" style="105" customWidth="1"/>
    <col min="4882" max="5120" width="8.42578125" style="105"/>
    <col min="5121" max="5121" width="10" style="105" bestFit="1" customWidth="1"/>
    <col min="5122" max="5122" width="44.28515625" style="105" bestFit="1" customWidth="1"/>
    <col min="5123" max="5123" width="10.42578125" style="105" bestFit="1" customWidth="1"/>
    <col min="5124" max="5124" width="10.42578125" style="105" customWidth="1"/>
    <col min="5125" max="5125" width="9.7109375" style="105" bestFit="1" customWidth="1"/>
    <col min="5126" max="5127" width="9.5703125" style="105" bestFit="1" customWidth="1"/>
    <col min="5128" max="5128" width="10.42578125" style="105" bestFit="1" customWidth="1"/>
    <col min="5129" max="5129" width="4.5703125" style="105" customWidth="1"/>
    <col min="5130" max="5130" width="1.85546875" style="105" customWidth="1"/>
    <col min="5131" max="5131" width="7" style="105" bestFit="1" customWidth="1"/>
    <col min="5132" max="5132" width="6.28515625" style="105" customWidth="1"/>
    <col min="5133" max="5133" width="20.42578125" style="105" customWidth="1"/>
    <col min="5134" max="5134" width="6.42578125" style="105" bestFit="1" customWidth="1"/>
    <col min="5135" max="5136" width="8.42578125" style="105"/>
    <col min="5137" max="5137" width="3.28515625" style="105" customWidth="1"/>
    <col min="5138" max="5376" width="8.42578125" style="105"/>
    <col min="5377" max="5377" width="10" style="105" bestFit="1" customWidth="1"/>
    <col min="5378" max="5378" width="44.28515625" style="105" bestFit="1" customWidth="1"/>
    <col min="5379" max="5379" width="10.42578125" style="105" bestFit="1" customWidth="1"/>
    <col min="5380" max="5380" width="10.42578125" style="105" customWidth="1"/>
    <col min="5381" max="5381" width="9.7109375" style="105" bestFit="1" customWidth="1"/>
    <col min="5382" max="5383" width="9.5703125" style="105" bestFit="1" customWidth="1"/>
    <col min="5384" max="5384" width="10.42578125" style="105" bestFit="1" customWidth="1"/>
    <col min="5385" max="5385" width="4.5703125" style="105" customWidth="1"/>
    <col min="5386" max="5386" width="1.85546875" style="105" customWidth="1"/>
    <col min="5387" max="5387" width="7" style="105" bestFit="1" customWidth="1"/>
    <col min="5388" max="5388" width="6.28515625" style="105" customWidth="1"/>
    <col min="5389" max="5389" width="20.42578125" style="105" customWidth="1"/>
    <col min="5390" max="5390" width="6.42578125" style="105" bestFit="1" customWidth="1"/>
    <col min="5391" max="5392" width="8.42578125" style="105"/>
    <col min="5393" max="5393" width="3.28515625" style="105" customWidth="1"/>
    <col min="5394" max="5632" width="8.42578125" style="105"/>
    <col min="5633" max="5633" width="10" style="105" bestFit="1" customWidth="1"/>
    <col min="5634" max="5634" width="44.28515625" style="105" bestFit="1" customWidth="1"/>
    <col min="5635" max="5635" width="10.42578125" style="105" bestFit="1" customWidth="1"/>
    <col min="5636" max="5636" width="10.42578125" style="105" customWidth="1"/>
    <col min="5637" max="5637" width="9.7109375" style="105" bestFit="1" customWidth="1"/>
    <col min="5638" max="5639" width="9.5703125" style="105" bestFit="1" customWidth="1"/>
    <col min="5640" max="5640" width="10.42578125" style="105" bestFit="1" customWidth="1"/>
    <col min="5641" max="5641" width="4.5703125" style="105" customWidth="1"/>
    <col min="5642" max="5642" width="1.85546875" style="105" customWidth="1"/>
    <col min="5643" max="5643" width="7" style="105" bestFit="1" customWidth="1"/>
    <col min="5644" max="5644" width="6.28515625" style="105" customWidth="1"/>
    <col min="5645" max="5645" width="20.42578125" style="105" customWidth="1"/>
    <col min="5646" max="5646" width="6.42578125" style="105" bestFit="1" customWidth="1"/>
    <col min="5647" max="5648" width="8.42578125" style="105"/>
    <col min="5649" max="5649" width="3.28515625" style="105" customWidth="1"/>
    <col min="5650" max="5888" width="8.42578125" style="105"/>
    <col min="5889" max="5889" width="10" style="105" bestFit="1" customWidth="1"/>
    <col min="5890" max="5890" width="44.28515625" style="105" bestFit="1" customWidth="1"/>
    <col min="5891" max="5891" width="10.42578125" style="105" bestFit="1" customWidth="1"/>
    <col min="5892" max="5892" width="10.42578125" style="105" customWidth="1"/>
    <col min="5893" max="5893" width="9.7109375" style="105" bestFit="1" customWidth="1"/>
    <col min="5894" max="5895" width="9.5703125" style="105" bestFit="1" customWidth="1"/>
    <col min="5896" max="5896" width="10.42578125" style="105" bestFit="1" customWidth="1"/>
    <col min="5897" max="5897" width="4.5703125" style="105" customWidth="1"/>
    <col min="5898" max="5898" width="1.85546875" style="105" customWidth="1"/>
    <col min="5899" max="5899" width="7" style="105" bestFit="1" customWidth="1"/>
    <col min="5900" max="5900" width="6.28515625" style="105" customWidth="1"/>
    <col min="5901" max="5901" width="20.42578125" style="105" customWidth="1"/>
    <col min="5902" max="5902" width="6.42578125" style="105" bestFit="1" customWidth="1"/>
    <col min="5903" max="5904" width="8.42578125" style="105"/>
    <col min="5905" max="5905" width="3.28515625" style="105" customWidth="1"/>
    <col min="5906" max="6144" width="8.42578125" style="105"/>
    <col min="6145" max="6145" width="10" style="105" bestFit="1" customWidth="1"/>
    <col min="6146" max="6146" width="44.28515625" style="105" bestFit="1" customWidth="1"/>
    <col min="6147" max="6147" width="10.42578125" style="105" bestFit="1" customWidth="1"/>
    <col min="6148" max="6148" width="10.42578125" style="105" customWidth="1"/>
    <col min="6149" max="6149" width="9.7109375" style="105" bestFit="1" customWidth="1"/>
    <col min="6150" max="6151" width="9.5703125" style="105" bestFit="1" customWidth="1"/>
    <col min="6152" max="6152" width="10.42578125" style="105" bestFit="1" customWidth="1"/>
    <col min="6153" max="6153" width="4.5703125" style="105" customWidth="1"/>
    <col min="6154" max="6154" width="1.85546875" style="105" customWidth="1"/>
    <col min="6155" max="6155" width="7" style="105" bestFit="1" customWidth="1"/>
    <col min="6156" max="6156" width="6.28515625" style="105" customWidth="1"/>
    <col min="6157" max="6157" width="20.42578125" style="105" customWidth="1"/>
    <col min="6158" max="6158" width="6.42578125" style="105" bestFit="1" customWidth="1"/>
    <col min="6159" max="6160" width="8.42578125" style="105"/>
    <col min="6161" max="6161" width="3.28515625" style="105" customWidth="1"/>
    <col min="6162" max="6400" width="8.42578125" style="105"/>
    <col min="6401" max="6401" width="10" style="105" bestFit="1" customWidth="1"/>
    <col min="6402" max="6402" width="44.28515625" style="105" bestFit="1" customWidth="1"/>
    <col min="6403" max="6403" width="10.42578125" style="105" bestFit="1" customWidth="1"/>
    <col min="6404" max="6404" width="10.42578125" style="105" customWidth="1"/>
    <col min="6405" max="6405" width="9.7109375" style="105" bestFit="1" customWidth="1"/>
    <col min="6406" max="6407" width="9.5703125" style="105" bestFit="1" customWidth="1"/>
    <col min="6408" max="6408" width="10.42578125" style="105" bestFit="1" customWidth="1"/>
    <col min="6409" max="6409" width="4.5703125" style="105" customWidth="1"/>
    <col min="6410" max="6410" width="1.85546875" style="105" customWidth="1"/>
    <col min="6411" max="6411" width="7" style="105" bestFit="1" customWidth="1"/>
    <col min="6412" max="6412" width="6.28515625" style="105" customWidth="1"/>
    <col min="6413" max="6413" width="20.42578125" style="105" customWidth="1"/>
    <col min="6414" max="6414" width="6.42578125" style="105" bestFit="1" customWidth="1"/>
    <col min="6415" max="6416" width="8.42578125" style="105"/>
    <col min="6417" max="6417" width="3.28515625" style="105" customWidth="1"/>
    <col min="6418" max="6656" width="8.42578125" style="105"/>
    <col min="6657" max="6657" width="10" style="105" bestFit="1" customWidth="1"/>
    <col min="6658" max="6658" width="44.28515625" style="105" bestFit="1" customWidth="1"/>
    <col min="6659" max="6659" width="10.42578125" style="105" bestFit="1" customWidth="1"/>
    <col min="6660" max="6660" width="10.42578125" style="105" customWidth="1"/>
    <col min="6661" max="6661" width="9.7109375" style="105" bestFit="1" customWidth="1"/>
    <col min="6662" max="6663" width="9.5703125" style="105" bestFit="1" customWidth="1"/>
    <col min="6664" max="6664" width="10.42578125" style="105" bestFit="1" customWidth="1"/>
    <col min="6665" max="6665" width="4.5703125" style="105" customWidth="1"/>
    <col min="6666" max="6666" width="1.85546875" style="105" customWidth="1"/>
    <col min="6667" max="6667" width="7" style="105" bestFit="1" customWidth="1"/>
    <col min="6668" max="6668" width="6.28515625" style="105" customWidth="1"/>
    <col min="6669" max="6669" width="20.42578125" style="105" customWidth="1"/>
    <col min="6670" max="6670" width="6.42578125" style="105" bestFit="1" customWidth="1"/>
    <col min="6671" max="6672" width="8.42578125" style="105"/>
    <col min="6673" max="6673" width="3.28515625" style="105" customWidth="1"/>
    <col min="6674" max="6912" width="8.42578125" style="105"/>
    <col min="6913" max="6913" width="10" style="105" bestFit="1" customWidth="1"/>
    <col min="6914" max="6914" width="44.28515625" style="105" bestFit="1" customWidth="1"/>
    <col min="6915" max="6915" width="10.42578125" style="105" bestFit="1" customWidth="1"/>
    <col min="6916" max="6916" width="10.42578125" style="105" customWidth="1"/>
    <col min="6917" max="6917" width="9.7109375" style="105" bestFit="1" customWidth="1"/>
    <col min="6918" max="6919" width="9.5703125" style="105" bestFit="1" customWidth="1"/>
    <col min="6920" max="6920" width="10.42578125" style="105" bestFit="1" customWidth="1"/>
    <col min="6921" max="6921" width="4.5703125" style="105" customWidth="1"/>
    <col min="6922" max="6922" width="1.85546875" style="105" customWidth="1"/>
    <col min="6923" max="6923" width="7" style="105" bestFit="1" customWidth="1"/>
    <col min="6924" max="6924" width="6.28515625" style="105" customWidth="1"/>
    <col min="6925" max="6925" width="20.42578125" style="105" customWidth="1"/>
    <col min="6926" max="6926" width="6.42578125" style="105" bestFit="1" customWidth="1"/>
    <col min="6927" max="6928" width="8.42578125" style="105"/>
    <col min="6929" max="6929" width="3.28515625" style="105" customWidth="1"/>
    <col min="6930" max="7168" width="8.42578125" style="105"/>
    <col min="7169" max="7169" width="10" style="105" bestFit="1" customWidth="1"/>
    <col min="7170" max="7170" width="44.28515625" style="105" bestFit="1" customWidth="1"/>
    <col min="7171" max="7171" width="10.42578125" style="105" bestFit="1" customWidth="1"/>
    <col min="7172" max="7172" width="10.42578125" style="105" customWidth="1"/>
    <col min="7173" max="7173" width="9.7109375" style="105" bestFit="1" customWidth="1"/>
    <col min="7174" max="7175" width="9.5703125" style="105" bestFit="1" customWidth="1"/>
    <col min="7176" max="7176" width="10.42578125" style="105" bestFit="1" customWidth="1"/>
    <col min="7177" max="7177" width="4.5703125" style="105" customWidth="1"/>
    <col min="7178" max="7178" width="1.85546875" style="105" customWidth="1"/>
    <col min="7179" max="7179" width="7" style="105" bestFit="1" customWidth="1"/>
    <col min="7180" max="7180" width="6.28515625" style="105" customWidth="1"/>
    <col min="7181" max="7181" width="20.42578125" style="105" customWidth="1"/>
    <col min="7182" max="7182" width="6.42578125" style="105" bestFit="1" customWidth="1"/>
    <col min="7183" max="7184" width="8.42578125" style="105"/>
    <col min="7185" max="7185" width="3.28515625" style="105" customWidth="1"/>
    <col min="7186" max="7424" width="8.42578125" style="105"/>
    <col min="7425" max="7425" width="10" style="105" bestFit="1" customWidth="1"/>
    <col min="7426" max="7426" width="44.28515625" style="105" bestFit="1" customWidth="1"/>
    <col min="7427" max="7427" width="10.42578125" style="105" bestFit="1" customWidth="1"/>
    <col min="7428" max="7428" width="10.42578125" style="105" customWidth="1"/>
    <col min="7429" max="7429" width="9.7109375" style="105" bestFit="1" customWidth="1"/>
    <col min="7430" max="7431" width="9.5703125" style="105" bestFit="1" customWidth="1"/>
    <col min="7432" max="7432" width="10.42578125" style="105" bestFit="1" customWidth="1"/>
    <col min="7433" max="7433" width="4.5703125" style="105" customWidth="1"/>
    <col min="7434" max="7434" width="1.85546875" style="105" customWidth="1"/>
    <col min="7435" max="7435" width="7" style="105" bestFit="1" customWidth="1"/>
    <col min="7436" max="7436" width="6.28515625" style="105" customWidth="1"/>
    <col min="7437" max="7437" width="20.42578125" style="105" customWidth="1"/>
    <col min="7438" max="7438" width="6.42578125" style="105" bestFit="1" customWidth="1"/>
    <col min="7439" max="7440" width="8.42578125" style="105"/>
    <col min="7441" max="7441" width="3.28515625" style="105" customWidth="1"/>
    <col min="7442" max="7680" width="8.42578125" style="105"/>
    <col min="7681" max="7681" width="10" style="105" bestFit="1" customWidth="1"/>
    <col min="7682" max="7682" width="44.28515625" style="105" bestFit="1" customWidth="1"/>
    <col min="7683" max="7683" width="10.42578125" style="105" bestFit="1" customWidth="1"/>
    <col min="7684" max="7684" width="10.42578125" style="105" customWidth="1"/>
    <col min="7685" max="7685" width="9.7109375" style="105" bestFit="1" customWidth="1"/>
    <col min="7686" max="7687" width="9.5703125" style="105" bestFit="1" customWidth="1"/>
    <col min="7688" max="7688" width="10.42578125" style="105" bestFit="1" customWidth="1"/>
    <col min="7689" max="7689" width="4.5703125" style="105" customWidth="1"/>
    <col min="7690" max="7690" width="1.85546875" style="105" customWidth="1"/>
    <col min="7691" max="7691" width="7" style="105" bestFit="1" customWidth="1"/>
    <col min="7692" max="7692" width="6.28515625" style="105" customWidth="1"/>
    <col min="7693" max="7693" width="20.42578125" style="105" customWidth="1"/>
    <col min="7694" max="7694" width="6.42578125" style="105" bestFit="1" customWidth="1"/>
    <col min="7695" max="7696" width="8.42578125" style="105"/>
    <col min="7697" max="7697" width="3.28515625" style="105" customWidth="1"/>
    <col min="7698" max="7936" width="8.42578125" style="105"/>
    <col min="7937" max="7937" width="10" style="105" bestFit="1" customWidth="1"/>
    <col min="7938" max="7938" width="44.28515625" style="105" bestFit="1" customWidth="1"/>
    <col min="7939" max="7939" width="10.42578125" style="105" bestFit="1" customWidth="1"/>
    <col min="7940" max="7940" width="10.42578125" style="105" customWidth="1"/>
    <col min="7941" max="7941" width="9.7109375" style="105" bestFit="1" customWidth="1"/>
    <col min="7942" max="7943" width="9.5703125" style="105" bestFit="1" customWidth="1"/>
    <col min="7944" max="7944" width="10.42578125" style="105" bestFit="1" customWidth="1"/>
    <col min="7945" max="7945" width="4.5703125" style="105" customWidth="1"/>
    <col min="7946" max="7946" width="1.85546875" style="105" customWidth="1"/>
    <col min="7947" max="7947" width="7" style="105" bestFit="1" customWidth="1"/>
    <col min="7948" max="7948" width="6.28515625" style="105" customWidth="1"/>
    <col min="7949" max="7949" width="20.42578125" style="105" customWidth="1"/>
    <col min="7950" max="7950" width="6.42578125" style="105" bestFit="1" customWidth="1"/>
    <col min="7951" max="7952" width="8.42578125" style="105"/>
    <col min="7953" max="7953" width="3.28515625" style="105" customWidth="1"/>
    <col min="7954" max="8192" width="8.42578125" style="105"/>
    <col min="8193" max="8193" width="10" style="105" bestFit="1" customWidth="1"/>
    <col min="8194" max="8194" width="44.28515625" style="105" bestFit="1" customWidth="1"/>
    <col min="8195" max="8195" width="10.42578125" style="105" bestFit="1" customWidth="1"/>
    <col min="8196" max="8196" width="10.42578125" style="105" customWidth="1"/>
    <col min="8197" max="8197" width="9.7109375" style="105" bestFit="1" customWidth="1"/>
    <col min="8198" max="8199" width="9.5703125" style="105" bestFit="1" customWidth="1"/>
    <col min="8200" max="8200" width="10.42578125" style="105" bestFit="1" customWidth="1"/>
    <col min="8201" max="8201" width="4.5703125" style="105" customWidth="1"/>
    <col min="8202" max="8202" width="1.85546875" style="105" customWidth="1"/>
    <col min="8203" max="8203" width="7" style="105" bestFit="1" customWidth="1"/>
    <col min="8204" max="8204" width="6.28515625" style="105" customWidth="1"/>
    <col min="8205" max="8205" width="20.42578125" style="105" customWidth="1"/>
    <col min="8206" max="8206" width="6.42578125" style="105" bestFit="1" customWidth="1"/>
    <col min="8207" max="8208" width="8.42578125" style="105"/>
    <col min="8209" max="8209" width="3.28515625" style="105" customWidth="1"/>
    <col min="8210" max="8448" width="8.42578125" style="105"/>
    <col min="8449" max="8449" width="10" style="105" bestFit="1" customWidth="1"/>
    <col min="8450" max="8450" width="44.28515625" style="105" bestFit="1" customWidth="1"/>
    <col min="8451" max="8451" width="10.42578125" style="105" bestFit="1" customWidth="1"/>
    <col min="8452" max="8452" width="10.42578125" style="105" customWidth="1"/>
    <col min="8453" max="8453" width="9.7109375" style="105" bestFit="1" customWidth="1"/>
    <col min="8454" max="8455" width="9.5703125" style="105" bestFit="1" customWidth="1"/>
    <col min="8456" max="8456" width="10.42578125" style="105" bestFit="1" customWidth="1"/>
    <col min="8457" max="8457" width="4.5703125" style="105" customWidth="1"/>
    <col min="8458" max="8458" width="1.85546875" style="105" customWidth="1"/>
    <col min="8459" max="8459" width="7" style="105" bestFit="1" customWidth="1"/>
    <col min="8460" max="8460" width="6.28515625" style="105" customWidth="1"/>
    <col min="8461" max="8461" width="20.42578125" style="105" customWidth="1"/>
    <col min="8462" max="8462" width="6.42578125" style="105" bestFit="1" customWidth="1"/>
    <col min="8463" max="8464" width="8.42578125" style="105"/>
    <col min="8465" max="8465" width="3.28515625" style="105" customWidth="1"/>
    <col min="8466" max="8704" width="8.42578125" style="105"/>
    <col min="8705" max="8705" width="10" style="105" bestFit="1" customWidth="1"/>
    <col min="8706" max="8706" width="44.28515625" style="105" bestFit="1" customWidth="1"/>
    <col min="8707" max="8707" width="10.42578125" style="105" bestFit="1" customWidth="1"/>
    <col min="8708" max="8708" width="10.42578125" style="105" customWidth="1"/>
    <col min="8709" max="8709" width="9.7109375" style="105" bestFit="1" customWidth="1"/>
    <col min="8710" max="8711" width="9.5703125" style="105" bestFit="1" customWidth="1"/>
    <col min="8712" max="8712" width="10.42578125" style="105" bestFit="1" customWidth="1"/>
    <col min="8713" max="8713" width="4.5703125" style="105" customWidth="1"/>
    <col min="8714" max="8714" width="1.85546875" style="105" customWidth="1"/>
    <col min="8715" max="8715" width="7" style="105" bestFit="1" customWidth="1"/>
    <col min="8716" max="8716" width="6.28515625" style="105" customWidth="1"/>
    <col min="8717" max="8717" width="20.42578125" style="105" customWidth="1"/>
    <col min="8718" max="8718" width="6.42578125" style="105" bestFit="1" customWidth="1"/>
    <col min="8719" max="8720" width="8.42578125" style="105"/>
    <col min="8721" max="8721" width="3.28515625" style="105" customWidth="1"/>
    <col min="8722" max="8960" width="8.42578125" style="105"/>
    <col min="8961" max="8961" width="10" style="105" bestFit="1" customWidth="1"/>
    <col min="8962" max="8962" width="44.28515625" style="105" bestFit="1" customWidth="1"/>
    <col min="8963" max="8963" width="10.42578125" style="105" bestFit="1" customWidth="1"/>
    <col min="8964" max="8964" width="10.42578125" style="105" customWidth="1"/>
    <col min="8965" max="8965" width="9.7109375" style="105" bestFit="1" customWidth="1"/>
    <col min="8966" max="8967" width="9.5703125" style="105" bestFit="1" customWidth="1"/>
    <col min="8968" max="8968" width="10.42578125" style="105" bestFit="1" customWidth="1"/>
    <col min="8969" max="8969" width="4.5703125" style="105" customWidth="1"/>
    <col min="8970" max="8970" width="1.85546875" style="105" customWidth="1"/>
    <col min="8971" max="8971" width="7" style="105" bestFit="1" customWidth="1"/>
    <col min="8972" max="8972" width="6.28515625" style="105" customWidth="1"/>
    <col min="8973" max="8973" width="20.42578125" style="105" customWidth="1"/>
    <col min="8974" max="8974" width="6.42578125" style="105" bestFit="1" customWidth="1"/>
    <col min="8975" max="8976" width="8.42578125" style="105"/>
    <col min="8977" max="8977" width="3.28515625" style="105" customWidth="1"/>
    <col min="8978" max="9216" width="8.42578125" style="105"/>
    <col min="9217" max="9217" width="10" style="105" bestFit="1" customWidth="1"/>
    <col min="9218" max="9218" width="44.28515625" style="105" bestFit="1" customWidth="1"/>
    <col min="9219" max="9219" width="10.42578125" style="105" bestFit="1" customWidth="1"/>
    <col min="9220" max="9220" width="10.42578125" style="105" customWidth="1"/>
    <col min="9221" max="9221" width="9.7109375" style="105" bestFit="1" customWidth="1"/>
    <col min="9222" max="9223" width="9.5703125" style="105" bestFit="1" customWidth="1"/>
    <col min="9224" max="9224" width="10.42578125" style="105" bestFit="1" customWidth="1"/>
    <col min="9225" max="9225" width="4.5703125" style="105" customWidth="1"/>
    <col min="9226" max="9226" width="1.85546875" style="105" customWidth="1"/>
    <col min="9227" max="9227" width="7" style="105" bestFit="1" customWidth="1"/>
    <col min="9228" max="9228" width="6.28515625" style="105" customWidth="1"/>
    <col min="9229" max="9229" width="20.42578125" style="105" customWidth="1"/>
    <col min="9230" max="9230" width="6.42578125" style="105" bestFit="1" customWidth="1"/>
    <col min="9231" max="9232" width="8.42578125" style="105"/>
    <col min="9233" max="9233" width="3.28515625" style="105" customWidth="1"/>
    <col min="9234" max="9472" width="8.42578125" style="105"/>
    <col min="9473" max="9473" width="10" style="105" bestFit="1" customWidth="1"/>
    <col min="9474" max="9474" width="44.28515625" style="105" bestFit="1" customWidth="1"/>
    <col min="9475" max="9475" width="10.42578125" style="105" bestFit="1" customWidth="1"/>
    <col min="9476" max="9476" width="10.42578125" style="105" customWidth="1"/>
    <col min="9477" max="9477" width="9.7109375" style="105" bestFit="1" customWidth="1"/>
    <col min="9478" max="9479" width="9.5703125" style="105" bestFit="1" customWidth="1"/>
    <col min="9480" max="9480" width="10.42578125" style="105" bestFit="1" customWidth="1"/>
    <col min="9481" max="9481" width="4.5703125" style="105" customWidth="1"/>
    <col min="9482" max="9482" width="1.85546875" style="105" customWidth="1"/>
    <col min="9483" max="9483" width="7" style="105" bestFit="1" customWidth="1"/>
    <col min="9484" max="9484" width="6.28515625" style="105" customWidth="1"/>
    <col min="9485" max="9485" width="20.42578125" style="105" customWidth="1"/>
    <col min="9486" max="9486" width="6.42578125" style="105" bestFit="1" customWidth="1"/>
    <col min="9487" max="9488" width="8.42578125" style="105"/>
    <col min="9489" max="9489" width="3.28515625" style="105" customWidth="1"/>
    <col min="9490" max="9728" width="8.42578125" style="105"/>
    <col min="9729" max="9729" width="10" style="105" bestFit="1" customWidth="1"/>
    <col min="9730" max="9730" width="44.28515625" style="105" bestFit="1" customWidth="1"/>
    <col min="9731" max="9731" width="10.42578125" style="105" bestFit="1" customWidth="1"/>
    <col min="9732" max="9732" width="10.42578125" style="105" customWidth="1"/>
    <col min="9733" max="9733" width="9.7109375" style="105" bestFit="1" customWidth="1"/>
    <col min="9734" max="9735" width="9.5703125" style="105" bestFit="1" customWidth="1"/>
    <col min="9736" max="9736" width="10.42578125" style="105" bestFit="1" customWidth="1"/>
    <col min="9737" max="9737" width="4.5703125" style="105" customWidth="1"/>
    <col min="9738" max="9738" width="1.85546875" style="105" customWidth="1"/>
    <col min="9739" max="9739" width="7" style="105" bestFit="1" customWidth="1"/>
    <col min="9740" max="9740" width="6.28515625" style="105" customWidth="1"/>
    <col min="9741" max="9741" width="20.42578125" style="105" customWidth="1"/>
    <col min="9742" max="9742" width="6.42578125" style="105" bestFit="1" customWidth="1"/>
    <col min="9743" max="9744" width="8.42578125" style="105"/>
    <col min="9745" max="9745" width="3.28515625" style="105" customWidth="1"/>
    <col min="9746" max="9984" width="8.42578125" style="105"/>
    <col min="9985" max="9985" width="10" style="105" bestFit="1" customWidth="1"/>
    <col min="9986" max="9986" width="44.28515625" style="105" bestFit="1" customWidth="1"/>
    <col min="9987" max="9987" width="10.42578125" style="105" bestFit="1" customWidth="1"/>
    <col min="9988" max="9988" width="10.42578125" style="105" customWidth="1"/>
    <col min="9989" max="9989" width="9.7109375" style="105" bestFit="1" customWidth="1"/>
    <col min="9990" max="9991" width="9.5703125" style="105" bestFit="1" customWidth="1"/>
    <col min="9992" max="9992" width="10.42578125" style="105" bestFit="1" customWidth="1"/>
    <col min="9993" max="9993" width="4.5703125" style="105" customWidth="1"/>
    <col min="9994" max="9994" width="1.85546875" style="105" customWidth="1"/>
    <col min="9995" max="9995" width="7" style="105" bestFit="1" customWidth="1"/>
    <col min="9996" max="9996" width="6.28515625" style="105" customWidth="1"/>
    <col min="9997" max="9997" width="20.42578125" style="105" customWidth="1"/>
    <col min="9998" max="9998" width="6.42578125" style="105" bestFit="1" customWidth="1"/>
    <col min="9999" max="10000" width="8.42578125" style="105"/>
    <col min="10001" max="10001" width="3.28515625" style="105" customWidth="1"/>
    <col min="10002" max="10240" width="8.42578125" style="105"/>
    <col min="10241" max="10241" width="10" style="105" bestFit="1" customWidth="1"/>
    <col min="10242" max="10242" width="44.28515625" style="105" bestFit="1" customWidth="1"/>
    <col min="10243" max="10243" width="10.42578125" style="105" bestFit="1" customWidth="1"/>
    <col min="10244" max="10244" width="10.42578125" style="105" customWidth="1"/>
    <col min="10245" max="10245" width="9.7109375" style="105" bestFit="1" customWidth="1"/>
    <col min="10246" max="10247" width="9.5703125" style="105" bestFit="1" customWidth="1"/>
    <col min="10248" max="10248" width="10.42578125" style="105" bestFit="1" customWidth="1"/>
    <col min="10249" max="10249" width="4.5703125" style="105" customWidth="1"/>
    <col min="10250" max="10250" width="1.85546875" style="105" customWidth="1"/>
    <col min="10251" max="10251" width="7" style="105" bestFit="1" customWidth="1"/>
    <col min="10252" max="10252" width="6.28515625" style="105" customWidth="1"/>
    <col min="10253" max="10253" width="20.42578125" style="105" customWidth="1"/>
    <col min="10254" max="10254" width="6.42578125" style="105" bestFit="1" customWidth="1"/>
    <col min="10255" max="10256" width="8.42578125" style="105"/>
    <col min="10257" max="10257" width="3.28515625" style="105" customWidth="1"/>
    <col min="10258" max="10496" width="8.42578125" style="105"/>
    <col min="10497" max="10497" width="10" style="105" bestFit="1" customWidth="1"/>
    <col min="10498" max="10498" width="44.28515625" style="105" bestFit="1" customWidth="1"/>
    <col min="10499" max="10499" width="10.42578125" style="105" bestFit="1" customWidth="1"/>
    <col min="10500" max="10500" width="10.42578125" style="105" customWidth="1"/>
    <col min="10501" max="10501" width="9.7109375" style="105" bestFit="1" customWidth="1"/>
    <col min="10502" max="10503" width="9.5703125" style="105" bestFit="1" customWidth="1"/>
    <col min="10504" max="10504" width="10.42578125" style="105" bestFit="1" customWidth="1"/>
    <col min="10505" max="10505" width="4.5703125" style="105" customWidth="1"/>
    <col min="10506" max="10506" width="1.85546875" style="105" customWidth="1"/>
    <col min="10507" max="10507" width="7" style="105" bestFit="1" customWidth="1"/>
    <col min="10508" max="10508" width="6.28515625" style="105" customWidth="1"/>
    <col min="10509" max="10509" width="20.42578125" style="105" customWidth="1"/>
    <col min="10510" max="10510" width="6.42578125" style="105" bestFit="1" customWidth="1"/>
    <col min="10511" max="10512" width="8.42578125" style="105"/>
    <col min="10513" max="10513" width="3.28515625" style="105" customWidth="1"/>
    <col min="10514" max="10752" width="8.42578125" style="105"/>
    <col min="10753" max="10753" width="10" style="105" bestFit="1" customWidth="1"/>
    <col min="10754" max="10754" width="44.28515625" style="105" bestFit="1" customWidth="1"/>
    <col min="10755" max="10755" width="10.42578125" style="105" bestFit="1" customWidth="1"/>
    <col min="10756" max="10756" width="10.42578125" style="105" customWidth="1"/>
    <col min="10757" max="10757" width="9.7109375" style="105" bestFit="1" customWidth="1"/>
    <col min="10758" max="10759" width="9.5703125" style="105" bestFit="1" customWidth="1"/>
    <col min="10760" max="10760" width="10.42578125" style="105" bestFit="1" customWidth="1"/>
    <col min="10761" max="10761" width="4.5703125" style="105" customWidth="1"/>
    <col min="10762" max="10762" width="1.85546875" style="105" customWidth="1"/>
    <col min="10763" max="10763" width="7" style="105" bestFit="1" customWidth="1"/>
    <col min="10764" max="10764" width="6.28515625" style="105" customWidth="1"/>
    <col min="10765" max="10765" width="20.42578125" style="105" customWidth="1"/>
    <col min="10766" max="10766" width="6.42578125" style="105" bestFit="1" customWidth="1"/>
    <col min="10767" max="10768" width="8.42578125" style="105"/>
    <col min="10769" max="10769" width="3.28515625" style="105" customWidth="1"/>
    <col min="10770" max="11008" width="8.42578125" style="105"/>
    <col min="11009" max="11009" width="10" style="105" bestFit="1" customWidth="1"/>
    <col min="11010" max="11010" width="44.28515625" style="105" bestFit="1" customWidth="1"/>
    <col min="11011" max="11011" width="10.42578125" style="105" bestFit="1" customWidth="1"/>
    <col min="11012" max="11012" width="10.42578125" style="105" customWidth="1"/>
    <col min="11013" max="11013" width="9.7109375" style="105" bestFit="1" customWidth="1"/>
    <col min="11014" max="11015" width="9.5703125" style="105" bestFit="1" customWidth="1"/>
    <col min="11016" max="11016" width="10.42578125" style="105" bestFit="1" customWidth="1"/>
    <col min="11017" max="11017" width="4.5703125" style="105" customWidth="1"/>
    <col min="11018" max="11018" width="1.85546875" style="105" customWidth="1"/>
    <col min="11019" max="11019" width="7" style="105" bestFit="1" customWidth="1"/>
    <col min="11020" max="11020" width="6.28515625" style="105" customWidth="1"/>
    <col min="11021" max="11021" width="20.42578125" style="105" customWidth="1"/>
    <col min="11022" max="11022" width="6.42578125" style="105" bestFit="1" customWidth="1"/>
    <col min="11023" max="11024" width="8.42578125" style="105"/>
    <col min="11025" max="11025" width="3.28515625" style="105" customWidth="1"/>
    <col min="11026" max="11264" width="8.42578125" style="105"/>
    <col min="11265" max="11265" width="10" style="105" bestFit="1" customWidth="1"/>
    <col min="11266" max="11266" width="44.28515625" style="105" bestFit="1" customWidth="1"/>
    <col min="11267" max="11267" width="10.42578125" style="105" bestFit="1" customWidth="1"/>
    <col min="11268" max="11268" width="10.42578125" style="105" customWidth="1"/>
    <col min="11269" max="11269" width="9.7109375" style="105" bestFit="1" customWidth="1"/>
    <col min="11270" max="11271" width="9.5703125" style="105" bestFit="1" customWidth="1"/>
    <col min="11272" max="11272" width="10.42578125" style="105" bestFit="1" customWidth="1"/>
    <col min="11273" max="11273" width="4.5703125" style="105" customWidth="1"/>
    <col min="11274" max="11274" width="1.85546875" style="105" customWidth="1"/>
    <col min="11275" max="11275" width="7" style="105" bestFit="1" customWidth="1"/>
    <col min="11276" max="11276" width="6.28515625" style="105" customWidth="1"/>
    <col min="11277" max="11277" width="20.42578125" style="105" customWidth="1"/>
    <col min="11278" max="11278" width="6.42578125" style="105" bestFit="1" customWidth="1"/>
    <col min="11279" max="11280" width="8.42578125" style="105"/>
    <col min="11281" max="11281" width="3.28515625" style="105" customWidth="1"/>
    <col min="11282" max="11520" width="8.42578125" style="105"/>
    <col min="11521" max="11521" width="10" style="105" bestFit="1" customWidth="1"/>
    <col min="11522" max="11522" width="44.28515625" style="105" bestFit="1" customWidth="1"/>
    <col min="11523" max="11523" width="10.42578125" style="105" bestFit="1" customWidth="1"/>
    <col min="11524" max="11524" width="10.42578125" style="105" customWidth="1"/>
    <col min="11525" max="11525" width="9.7109375" style="105" bestFit="1" customWidth="1"/>
    <col min="11526" max="11527" width="9.5703125" style="105" bestFit="1" customWidth="1"/>
    <col min="11528" max="11528" width="10.42578125" style="105" bestFit="1" customWidth="1"/>
    <col min="11529" max="11529" width="4.5703125" style="105" customWidth="1"/>
    <col min="11530" max="11530" width="1.85546875" style="105" customWidth="1"/>
    <col min="11531" max="11531" width="7" style="105" bestFit="1" customWidth="1"/>
    <col min="11532" max="11532" width="6.28515625" style="105" customWidth="1"/>
    <col min="11533" max="11533" width="20.42578125" style="105" customWidth="1"/>
    <col min="11534" max="11534" width="6.42578125" style="105" bestFit="1" customWidth="1"/>
    <col min="11535" max="11536" width="8.42578125" style="105"/>
    <col min="11537" max="11537" width="3.28515625" style="105" customWidth="1"/>
    <col min="11538" max="11776" width="8.42578125" style="105"/>
    <col min="11777" max="11777" width="10" style="105" bestFit="1" customWidth="1"/>
    <col min="11778" max="11778" width="44.28515625" style="105" bestFit="1" customWidth="1"/>
    <col min="11779" max="11779" width="10.42578125" style="105" bestFit="1" customWidth="1"/>
    <col min="11780" max="11780" width="10.42578125" style="105" customWidth="1"/>
    <col min="11781" max="11781" width="9.7109375" style="105" bestFit="1" customWidth="1"/>
    <col min="11782" max="11783" width="9.5703125" style="105" bestFit="1" customWidth="1"/>
    <col min="11784" max="11784" width="10.42578125" style="105" bestFit="1" customWidth="1"/>
    <col min="11785" max="11785" width="4.5703125" style="105" customWidth="1"/>
    <col min="11786" max="11786" width="1.85546875" style="105" customWidth="1"/>
    <col min="11787" max="11787" width="7" style="105" bestFit="1" customWidth="1"/>
    <col min="11788" max="11788" width="6.28515625" style="105" customWidth="1"/>
    <col min="11789" max="11789" width="20.42578125" style="105" customWidth="1"/>
    <col min="11790" max="11790" width="6.42578125" style="105" bestFit="1" customWidth="1"/>
    <col min="11791" max="11792" width="8.42578125" style="105"/>
    <col min="11793" max="11793" width="3.28515625" style="105" customWidth="1"/>
    <col min="11794" max="12032" width="8.42578125" style="105"/>
    <col min="12033" max="12033" width="10" style="105" bestFit="1" customWidth="1"/>
    <col min="12034" max="12034" width="44.28515625" style="105" bestFit="1" customWidth="1"/>
    <col min="12035" max="12035" width="10.42578125" style="105" bestFit="1" customWidth="1"/>
    <col min="12036" max="12036" width="10.42578125" style="105" customWidth="1"/>
    <col min="12037" max="12037" width="9.7109375" style="105" bestFit="1" customWidth="1"/>
    <col min="12038" max="12039" width="9.5703125" style="105" bestFit="1" customWidth="1"/>
    <col min="12040" max="12040" width="10.42578125" style="105" bestFit="1" customWidth="1"/>
    <col min="12041" max="12041" width="4.5703125" style="105" customWidth="1"/>
    <col min="12042" max="12042" width="1.85546875" style="105" customWidth="1"/>
    <col min="12043" max="12043" width="7" style="105" bestFit="1" customWidth="1"/>
    <col min="12044" max="12044" width="6.28515625" style="105" customWidth="1"/>
    <col min="12045" max="12045" width="20.42578125" style="105" customWidth="1"/>
    <col min="12046" max="12046" width="6.42578125" style="105" bestFit="1" customWidth="1"/>
    <col min="12047" max="12048" width="8.42578125" style="105"/>
    <col min="12049" max="12049" width="3.28515625" style="105" customWidth="1"/>
    <col min="12050" max="12288" width="8.42578125" style="105"/>
    <col min="12289" max="12289" width="10" style="105" bestFit="1" customWidth="1"/>
    <col min="12290" max="12290" width="44.28515625" style="105" bestFit="1" customWidth="1"/>
    <col min="12291" max="12291" width="10.42578125" style="105" bestFit="1" customWidth="1"/>
    <col min="12292" max="12292" width="10.42578125" style="105" customWidth="1"/>
    <col min="12293" max="12293" width="9.7109375" style="105" bestFit="1" customWidth="1"/>
    <col min="12294" max="12295" width="9.5703125" style="105" bestFit="1" customWidth="1"/>
    <col min="12296" max="12296" width="10.42578125" style="105" bestFit="1" customWidth="1"/>
    <col min="12297" max="12297" width="4.5703125" style="105" customWidth="1"/>
    <col min="12298" max="12298" width="1.85546875" style="105" customWidth="1"/>
    <col min="12299" max="12299" width="7" style="105" bestFit="1" customWidth="1"/>
    <col min="12300" max="12300" width="6.28515625" style="105" customWidth="1"/>
    <col min="12301" max="12301" width="20.42578125" style="105" customWidth="1"/>
    <col min="12302" max="12302" width="6.42578125" style="105" bestFit="1" customWidth="1"/>
    <col min="12303" max="12304" width="8.42578125" style="105"/>
    <col min="12305" max="12305" width="3.28515625" style="105" customWidth="1"/>
    <col min="12306" max="12544" width="8.42578125" style="105"/>
    <col min="12545" max="12545" width="10" style="105" bestFit="1" customWidth="1"/>
    <col min="12546" max="12546" width="44.28515625" style="105" bestFit="1" customWidth="1"/>
    <col min="12547" max="12547" width="10.42578125" style="105" bestFit="1" customWidth="1"/>
    <col min="12548" max="12548" width="10.42578125" style="105" customWidth="1"/>
    <col min="12549" max="12549" width="9.7109375" style="105" bestFit="1" customWidth="1"/>
    <col min="12550" max="12551" width="9.5703125" style="105" bestFit="1" customWidth="1"/>
    <col min="12552" max="12552" width="10.42578125" style="105" bestFit="1" customWidth="1"/>
    <col min="12553" max="12553" width="4.5703125" style="105" customWidth="1"/>
    <col min="12554" max="12554" width="1.85546875" style="105" customWidth="1"/>
    <col min="12555" max="12555" width="7" style="105" bestFit="1" customWidth="1"/>
    <col min="12556" max="12556" width="6.28515625" style="105" customWidth="1"/>
    <col min="12557" max="12557" width="20.42578125" style="105" customWidth="1"/>
    <col min="12558" max="12558" width="6.42578125" style="105" bestFit="1" customWidth="1"/>
    <col min="12559" max="12560" width="8.42578125" style="105"/>
    <col min="12561" max="12561" width="3.28515625" style="105" customWidth="1"/>
    <col min="12562" max="12800" width="8.42578125" style="105"/>
    <col min="12801" max="12801" width="10" style="105" bestFit="1" customWidth="1"/>
    <col min="12802" max="12802" width="44.28515625" style="105" bestFit="1" customWidth="1"/>
    <col min="12803" max="12803" width="10.42578125" style="105" bestFit="1" customWidth="1"/>
    <col min="12804" max="12804" width="10.42578125" style="105" customWidth="1"/>
    <col min="12805" max="12805" width="9.7109375" style="105" bestFit="1" customWidth="1"/>
    <col min="12806" max="12807" width="9.5703125" style="105" bestFit="1" customWidth="1"/>
    <col min="12808" max="12808" width="10.42578125" style="105" bestFit="1" customWidth="1"/>
    <col min="12809" max="12809" width="4.5703125" style="105" customWidth="1"/>
    <col min="12810" max="12810" width="1.85546875" style="105" customWidth="1"/>
    <col min="12811" max="12811" width="7" style="105" bestFit="1" customWidth="1"/>
    <col min="12812" max="12812" width="6.28515625" style="105" customWidth="1"/>
    <col min="12813" max="12813" width="20.42578125" style="105" customWidth="1"/>
    <col min="12814" max="12814" width="6.42578125" style="105" bestFit="1" customWidth="1"/>
    <col min="12815" max="12816" width="8.42578125" style="105"/>
    <col min="12817" max="12817" width="3.28515625" style="105" customWidth="1"/>
    <col min="12818" max="13056" width="8.42578125" style="105"/>
    <col min="13057" max="13057" width="10" style="105" bestFit="1" customWidth="1"/>
    <col min="13058" max="13058" width="44.28515625" style="105" bestFit="1" customWidth="1"/>
    <col min="13059" max="13059" width="10.42578125" style="105" bestFit="1" customWidth="1"/>
    <col min="13060" max="13060" width="10.42578125" style="105" customWidth="1"/>
    <col min="13061" max="13061" width="9.7109375" style="105" bestFit="1" customWidth="1"/>
    <col min="13062" max="13063" width="9.5703125" style="105" bestFit="1" customWidth="1"/>
    <col min="13064" max="13064" width="10.42578125" style="105" bestFit="1" customWidth="1"/>
    <col min="13065" max="13065" width="4.5703125" style="105" customWidth="1"/>
    <col min="13066" max="13066" width="1.85546875" style="105" customWidth="1"/>
    <col min="13067" max="13067" width="7" style="105" bestFit="1" customWidth="1"/>
    <col min="13068" max="13068" width="6.28515625" style="105" customWidth="1"/>
    <col min="13069" max="13069" width="20.42578125" style="105" customWidth="1"/>
    <col min="13070" max="13070" width="6.42578125" style="105" bestFit="1" customWidth="1"/>
    <col min="13071" max="13072" width="8.42578125" style="105"/>
    <col min="13073" max="13073" width="3.28515625" style="105" customWidth="1"/>
    <col min="13074" max="13312" width="8.42578125" style="105"/>
    <col min="13313" max="13313" width="10" style="105" bestFit="1" customWidth="1"/>
    <col min="13314" max="13314" width="44.28515625" style="105" bestFit="1" customWidth="1"/>
    <col min="13315" max="13315" width="10.42578125" style="105" bestFit="1" customWidth="1"/>
    <col min="13316" max="13316" width="10.42578125" style="105" customWidth="1"/>
    <col min="13317" max="13317" width="9.7109375" style="105" bestFit="1" customWidth="1"/>
    <col min="13318" max="13319" width="9.5703125" style="105" bestFit="1" customWidth="1"/>
    <col min="13320" max="13320" width="10.42578125" style="105" bestFit="1" customWidth="1"/>
    <col min="13321" max="13321" width="4.5703125" style="105" customWidth="1"/>
    <col min="13322" max="13322" width="1.85546875" style="105" customWidth="1"/>
    <col min="13323" max="13323" width="7" style="105" bestFit="1" customWidth="1"/>
    <col min="13324" max="13324" width="6.28515625" style="105" customWidth="1"/>
    <col min="13325" max="13325" width="20.42578125" style="105" customWidth="1"/>
    <col min="13326" max="13326" width="6.42578125" style="105" bestFit="1" customWidth="1"/>
    <col min="13327" max="13328" width="8.42578125" style="105"/>
    <col min="13329" max="13329" width="3.28515625" style="105" customWidth="1"/>
    <col min="13330" max="13568" width="8.42578125" style="105"/>
    <col min="13569" max="13569" width="10" style="105" bestFit="1" customWidth="1"/>
    <col min="13570" max="13570" width="44.28515625" style="105" bestFit="1" customWidth="1"/>
    <col min="13571" max="13571" width="10.42578125" style="105" bestFit="1" customWidth="1"/>
    <col min="13572" max="13572" width="10.42578125" style="105" customWidth="1"/>
    <col min="13573" max="13573" width="9.7109375" style="105" bestFit="1" customWidth="1"/>
    <col min="13574" max="13575" width="9.5703125" style="105" bestFit="1" customWidth="1"/>
    <col min="13576" max="13576" width="10.42578125" style="105" bestFit="1" customWidth="1"/>
    <col min="13577" max="13577" width="4.5703125" style="105" customWidth="1"/>
    <col min="13578" max="13578" width="1.85546875" style="105" customWidth="1"/>
    <col min="13579" max="13579" width="7" style="105" bestFit="1" customWidth="1"/>
    <col min="13580" max="13580" width="6.28515625" style="105" customWidth="1"/>
    <col min="13581" max="13581" width="20.42578125" style="105" customWidth="1"/>
    <col min="13582" max="13582" width="6.42578125" style="105" bestFit="1" customWidth="1"/>
    <col min="13583" max="13584" width="8.42578125" style="105"/>
    <col min="13585" max="13585" width="3.28515625" style="105" customWidth="1"/>
    <col min="13586" max="13824" width="8.42578125" style="105"/>
    <col min="13825" max="13825" width="10" style="105" bestFit="1" customWidth="1"/>
    <col min="13826" max="13826" width="44.28515625" style="105" bestFit="1" customWidth="1"/>
    <col min="13827" max="13827" width="10.42578125" style="105" bestFit="1" customWidth="1"/>
    <col min="13828" max="13828" width="10.42578125" style="105" customWidth="1"/>
    <col min="13829" max="13829" width="9.7109375" style="105" bestFit="1" customWidth="1"/>
    <col min="13830" max="13831" width="9.5703125" style="105" bestFit="1" customWidth="1"/>
    <col min="13832" max="13832" width="10.42578125" style="105" bestFit="1" customWidth="1"/>
    <col min="13833" max="13833" width="4.5703125" style="105" customWidth="1"/>
    <col min="13834" max="13834" width="1.85546875" style="105" customWidth="1"/>
    <col min="13835" max="13835" width="7" style="105" bestFit="1" customWidth="1"/>
    <col min="13836" max="13836" width="6.28515625" style="105" customWidth="1"/>
    <col min="13837" max="13837" width="20.42578125" style="105" customWidth="1"/>
    <col min="13838" max="13838" width="6.42578125" style="105" bestFit="1" customWidth="1"/>
    <col min="13839" max="13840" width="8.42578125" style="105"/>
    <col min="13841" max="13841" width="3.28515625" style="105" customWidth="1"/>
    <col min="13842" max="14080" width="8.42578125" style="105"/>
    <col min="14081" max="14081" width="10" style="105" bestFit="1" customWidth="1"/>
    <col min="14082" max="14082" width="44.28515625" style="105" bestFit="1" customWidth="1"/>
    <col min="14083" max="14083" width="10.42578125" style="105" bestFit="1" customWidth="1"/>
    <col min="14084" max="14084" width="10.42578125" style="105" customWidth="1"/>
    <col min="14085" max="14085" width="9.7109375" style="105" bestFit="1" customWidth="1"/>
    <col min="14086" max="14087" width="9.5703125" style="105" bestFit="1" customWidth="1"/>
    <col min="14088" max="14088" width="10.42578125" style="105" bestFit="1" customWidth="1"/>
    <col min="14089" max="14089" width="4.5703125" style="105" customWidth="1"/>
    <col min="14090" max="14090" width="1.85546875" style="105" customWidth="1"/>
    <col min="14091" max="14091" width="7" style="105" bestFit="1" customWidth="1"/>
    <col min="14092" max="14092" width="6.28515625" style="105" customWidth="1"/>
    <col min="14093" max="14093" width="20.42578125" style="105" customWidth="1"/>
    <col min="14094" max="14094" width="6.42578125" style="105" bestFit="1" customWidth="1"/>
    <col min="14095" max="14096" width="8.42578125" style="105"/>
    <col min="14097" max="14097" width="3.28515625" style="105" customWidth="1"/>
    <col min="14098" max="14336" width="8.42578125" style="105"/>
    <col min="14337" max="14337" width="10" style="105" bestFit="1" customWidth="1"/>
    <col min="14338" max="14338" width="44.28515625" style="105" bestFit="1" customWidth="1"/>
    <col min="14339" max="14339" width="10.42578125" style="105" bestFit="1" customWidth="1"/>
    <col min="14340" max="14340" width="10.42578125" style="105" customWidth="1"/>
    <col min="14341" max="14341" width="9.7109375" style="105" bestFit="1" customWidth="1"/>
    <col min="14342" max="14343" width="9.5703125" style="105" bestFit="1" customWidth="1"/>
    <col min="14344" max="14344" width="10.42578125" style="105" bestFit="1" customWidth="1"/>
    <col min="14345" max="14345" width="4.5703125" style="105" customWidth="1"/>
    <col min="14346" max="14346" width="1.85546875" style="105" customWidth="1"/>
    <col min="14347" max="14347" width="7" style="105" bestFit="1" customWidth="1"/>
    <col min="14348" max="14348" width="6.28515625" style="105" customWidth="1"/>
    <col min="14349" max="14349" width="20.42578125" style="105" customWidth="1"/>
    <col min="14350" max="14350" width="6.42578125" style="105" bestFit="1" customWidth="1"/>
    <col min="14351" max="14352" width="8.42578125" style="105"/>
    <col min="14353" max="14353" width="3.28515625" style="105" customWidth="1"/>
    <col min="14354" max="14592" width="8.42578125" style="105"/>
    <col min="14593" max="14593" width="10" style="105" bestFit="1" customWidth="1"/>
    <col min="14594" max="14594" width="44.28515625" style="105" bestFit="1" customWidth="1"/>
    <col min="14595" max="14595" width="10.42578125" style="105" bestFit="1" customWidth="1"/>
    <col min="14596" max="14596" width="10.42578125" style="105" customWidth="1"/>
    <col min="14597" max="14597" width="9.7109375" style="105" bestFit="1" customWidth="1"/>
    <col min="14598" max="14599" width="9.5703125" style="105" bestFit="1" customWidth="1"/>
    <col min="14600" max="14600" width="10.42578125" style="105" bestFit="1" customWidth="1"/>
    <col min="14601" max="14601" width="4.5703125" style="105" customWidth="1"/>
    <col min="14602" max="14602" width="1.85546875" style="105" customWidth="1"/>
    <col min="14603" max="14603" width="7" style="105" bestFit="1" customWidth="1"/>
    <col min="14604" max="14604" width="6.28515625" style="105" customWidth="1"/>
    <col min="14605" max="14605" width="20.42578125" style="105" customWidth="1"/>
    <col min="14606" max="14606" width="6.42578125" style="105" bestFit="1" customWidth="1"/>
    <col min="14607" max="14608" width="8.42578125" style="105"/>
    <col min="14609" max="14609" width="3.28515625" style="105" customWidth="1"/>
    <col min="14610" max="14848" width="8.42578125" style="105"/>
    <col min="14849" max="14849" width="10" style="105" bestFit="1" customWidth="1"/>
    <col min="14850" max="14850" width="44.28515625" style="105" bestFit="1" customWidth="1"/>
    <col min="14851" max="14851" width="10.42578125" style="105" bestFit="1" customWidth="1"/>
    <col min="14852" max="14852" width="10.42578125" style="105" customWidth="1"/>
    <col min="14853" max="14853" width="9.7109375" style="105" bestFit="1" customWidth="1"/>
    <col min="14854" max="14855" width="9.5703125" style="105" bestFit="1" customWidth="1"/>
    <col min="14856" max="14856" width="10.42578125" style="105" bestFit="1" customWidth="1"/>
    <col min="14857" max="14857" width="4.5703125" style="105" customWidth="1"/>
    <col min="14858" max="14858" width="1.85546875" style="105" customWidth="1"/>
    <col min="14859" max="14859" width="7" style="105" bestFit="1" customWidth="1"/>
    <col min="14860" max="14860" width="6.28515625" style="105" customWidth="1"/>
    <col min="14861" max="14861" width="20.42578125" style="105" customWidth="1"/>
    <col min="14862" max="14862" width="6.42578125" style="105" bestFit="1" customWidth="1"/>
    <col min="14863" max="14864" width="8.42578125" style="105"/>
    <col min="14865" max="14865" width="3.28515625" style="105" customWidth="1"/>
    <col min="14866" max="15104" width="8.42578125" style="105"/>
    <col min="15105" max="15105" width="10" style="105" bestFit="1" customWidth="1"/>
    <col min="15106" max="15106" width="44.28515625" style="105" bestFit="1" customWidth="1"/>
    <col min="15107" max="15107" width="10.42578125" style="105" bestFit="1" customWidth="1"/>
    <col min="15108" max="15108" width="10.42578125" style="105" customWidth="1"/>
    <col min="15109" max="15109" width="9.7109375" style="105" bestFit="1" customWidth="1"/>
    <col min="15110" max="15111" width="9.5703125" style="105" bestFit="1" customWidth="1"/>
    <col min="15112" max="15112" width="10.42578125" style="105" bestFit="1" customWidth="1"/>
    <col min="15113" max="15113" width="4.5703125" style="105" customWidth="1"/>
    <col min="15114" max="15114" width="1.85546875" style="105" customWidth="1"/>
    <col min="15115" max="15115" width="7" style="105" bestFit="1" customWidth="1"/>
    <col min="15116" max="15116" width="6.28515625" style="105" customWidth="1"/>
    <col min="15117" max="15117" width="20.42578125" style="105" customWidth="1"/>
    <col min="15118" max="15118" width="6.42578125" style="105" bestFit="1" customWidth="1"/>
    <col min="15119" max="15120" width="8.42578125" style="105"/>
    <col min="15121" max="15121" width="3.28515625" style="105" customWidth="1"/>
    <col min="15122" max="15360" width="8.42578125" style="105"/>
    <col min="15361" max="15361" width="10" style="105" bestFit="1" customWidth="1"/>
    <col min="15362" max="15362" width="44.28515625" style="105" bestFit="1" customWidth="1"/>
    <col min="15363" max="15363" width="10.42578125" style="105" bestFit="1" customWidth="1"/>
    <col min="15364" max="15364" width="10.42578125" style="105" customWidth="1"/>
    <col min="15365" max="15365" width="9.7109375" style="105" bestFit="1" customWidth="1"/>
    <col min="15366" max="15367" width="9.5703125" style="105" bestFit="1" customWidth="1"/>
    <col min="15368" max="15368" width="10.42578125" style="105" bestFit="1" customWidth="1"/>
    <col min="15369" max="15369" width="4.5703125" style="105" customWidth="1"/>
    <col min="15370" max="15370" width="1.85546875" style="105" customWidth="1"/>
    <col min="15371" max="15371" width="7" style="105" bestFit="1" customWidth="1"/>
    <col min="15372" max="15372" width="6.28515625" style="105" customWidth="1"/>
    <col min="15373" max="15373" width="20.42578125" style="105" customWidth="1"/>
    <col min="15374" max="15374" width="6.42578125" style="105" bestFit="1" customWidth="1"/>
    <col min="15375" max="15376" width="8.42578125" style="105"/>
    <col min="15377" max="15377" width="3.28515625" style="105" customWidth="1"/>
    <col min="15378" max="15616" width="8.42578125" style="105"/>
    <col min="15617" max="15617" width="10" style="105" bestFit="1" customWidth="1"/>
    <col min="15618" max="15618" width="44.28515625" style="105" bestFit="1" customWidth="1"/>
    <col min="15619" max="15619" width="10.42578125" style="105" bestFit="1" customWidth="1"/>
    <col min="15620" max="15620" width="10.42578125" style="105" customWidth="1"/>
    <col min="15621" max="15621" width="9.7109375" style="105" bestFit="1" customWidth="1"/>
    <col min="15622" max="15623" width="9.5703125" style="105" bestFit="1" customWidth="1"/>
    <col min="15624" max="15624" width="10.42578125" style="105" bestFit="1" customWidth="1"/>
    <col min="15625" max="15625" width="4.5703125" style="105" customWidth="1"/>
    <col min="15626" max="15626" width="1.85546875" style="105" customWidth="1"/>
    <col min="15627" max="15627" width="7" style="105" bestFit="1" customWidth="1"/>
    <col min="15628" max="15628" width="6.28515625" style="105" customWidth="1"/>
    <col min="15629" max="15629" width="20.42578125" style="105" customWidth="1"/>
    <col min="15630" max="15630" width="6.42578125" style="105" bestFit="1" customWidth="1"/>
    <col min="15631" max="15632" width="8.42578125" style="105"/>
    <col min="15633" max="15633" width="3.28515625" style="105" customWidth="1"/>
    <col min="15634" max="15872" width="8.42578125" style="105"/>
    <col min="15873" max="15873" width="10" style="105" bestFit="1" customWidth="1"/>
    <col min="15874" max="15874" width="44.28515625" style="105" bestFit="1" customWidth="1"/>
    <col min="15875" max="15875" width="10.42578125" style="105" bestFit="1" customWidth="1"/>
    <col min="15876" max="15876" width="10.42578125" style="105" customWidth="1"/>
    <col min="15877" max="15877" width="9.7109375" style="105" bestFit="1" customWidth="1"/>
    <col min="15878" max="15879" width="9.5703125" style="105" bestFit="1" customWidth="1"/>
    <col min="15880" max="15880" width="10.42578125" style="105" bestFit="1" customWidth="1"/>
    <col min="15881" max="15881" width="4.5703125" style="105" customWidth="1"/>
    <col min="15882" max="15882" width="1.85546875" style="105" customWidth="1"/>
    <col min="15883" max="15883" width="7" style="105" bestFit="1" customWidth="1"/>
    <col min="15884" max="15884" width="6.28515625" style="105" customWidth="1"/>
    <col min="15885" max="15885" width="20.42578125" style="105" customWidth="1"/>
    <col min="15886" max="15886" width="6.42578125" style="105" bestFit="1" customWidth="1"/>
    <col min="15887" max="15888" width="8.42578125" style="105"/>
    <col min="15889" max="15889" width="3.28515625" style="105" customWidth="1"/>
    <col min="15890" max="16128" width="8.42578125" style="105"/>
    <col min="16129" max="16129" width="10" style="105" bestFit="1" customWidth="1"/>
    <col min="16130" max="16130" width="44.28515625" style="105" bestFit="1" customWidth="1"/>
    <col min="16131" max="16131" width="10.42578125" style="105" bestFit="1" customWidth="1"/>
    <col min="16132" max="16132" width="10.42578125" style="105" customWidth="1"/>
    <col min="16133" max="16133" width="9.7109375" style="105" bestFit="1" customWidth="1"/>
    <col min="16134" max="16135" width="9.5703125" style="105" bestFit="1" customWidth="1"/>
    <col min="16136" max="16136" width="10.42578125" style="105" bestFit="1" customWidth="1"/>
    <col min="16137" max="16137" width="4.5703125" style="105" customWidth="1"/>
    <col min="16138" max="16138" width="1.85546875" style="105" customWidth="1"/>
    <col min="16139" max="16139" width="7" style="105" bestFit="1" customWidth="1"/>
    <col min="16140" max="16140" width="6.28515625" style="105" customWidth="1"/>
    <col min="16141" max="16141" width="20.42578125" style="105" customWidth="1"/>
    <col min="16142" max="16142" width="6.42578125" style="105" bestFit="1" customWidth="1"/>
    <col min="16143" max="16144" width="8.42578125" style="105"/>
    <col min="16145" max="16145" width="3.28515625" style="105" customWidth="1"/>
    <col min="16146" max="16384" width="8.42578125" style="105"/>
  </cols>
  <sheetData>
    <row r="1" spans="1:10" ht="27.75" customHeight="1" x14ac:dyDescent="0.25">
      <c r="A1" s="100"/>
      <c r="B1" s="100"/>
      <c r="C1" s="100"/>
      <c r="D1" s="100"/>
      <c r="E1" s="101" t="s">
        <v>120</v>
      </c>
      <c r="F1" s="102" t="s">
        <v>121</v>
      </c>
      <c r="G1" s="102" t="s">
        <v>122</v>
      </c>
      <c r="H1" s="102" t="s">
        <v>123</v>
      </c>
      <c r="I1" s="103"/>
    </row>
    <row r="2" spans="1:10" ht="30.75" customHeight="1" x14ac:dyDescent="0.25">
      <c r="A2" s="100"/>
      <c r="B2" s="100"/>
      <c r="C2" s="100"/>
      <c r="D2" s="100"/>
      <c r="E2" s="106">
        <f>IFERROR(O62,"")</f>
        <v>291.20573770491802</v>
      </c>
      <c r="F2" s="106">
        <f>IFERROR(H53,"")</f>
        <v>187.2</v>
      </c>
      <c r="G2" s="106">
        <f>IFERROR(H54,"")</f>
        <v>1.1000000000000001</v>
      </c>
      <c r="H2" s="106">
        <f>IFERROR(H56,"")</f>
        <v>52.75</v>
      </c>
      <c r="I2" s="107"/>
    </row>
    <row r="3" spans="1:10" ht="15" customHeight="1" x14ac:dyDescent="0.25">
      <c r="A3" s="100"/>
      <c r="B3" s="100"/>
      <c r="C3" s="100"/>
      <c r="D3" s="100"/>
      <c r="E3" s="100"/>
      <c r="F3" s="108"/>
      <c r="G3" s="108"/>
      <c r="H3" s="108"/>
      <c r="I3" s="108"/>
    </row>
    <row r="4" spans="1:10" ht="24.75" customHeight="1" thickBot="1" x14ac:dyDescent="0.3">
      <c r="A4" s="522"/>
      <c r="B4" s="522"/>
      <c r="C4" s="522"/>
      <c r="D4" s="522"/>
      <c r="E4" s="522"/>
      <c r="F4" s="522"/>
      <c r="G4" s="522"/>
      <c r="H4" s="522"/>
      <c r="I4" s="109"/>
    </row>
    <row r="5" spans="1:10" ht="19.5" customHeight="1" thickBot="1" x14ac:dyDescent="0.3">
      <c r="A5" s="523" t="s">
        <v>124</v>
      </c>
      <c r="B5" s="524"/>
      <c r="C5" s="524"/>
      <c r="D5" s="524"/>
      <c r="E5" s="524"/>
      <c r="F5" s="524"/>
      <c r="G5" s="524"/>
      <c r="H5" s="525"/>
      <c r="I5" s="110"/>
    </row>
    <row r="6" spans="1:10" ht="19.5" thickBot="1" x14ac:dyDescent="0.3">
      <c r="A6" s="110"/>
      <c r="B6" s="110"/>
      <c r="C6" s="110"/>
      <c r="D6" s="110"/>
      <c r="E6" s="110"/>
      <c r="F6" s="526" t="s">
        <v>125</v>
      </c>
      <c r="G6" s="526"/>
      <c r="H6" s="111">
        <f ca="1">TODAY()</f>
        <v>45715</v>
      </c>
      <c r="I6" s="111"/>
    </row>
    <row r="7" spans="1:10" ht="26.25" hidden="1" thickBot="1" x14ac:dyDescent="0.3">
      <c r="A7" s="112" t="s">
        <v>126</v>
      </c>
      <c r="B7" s="113" t="s">
        <v>127</v>
      </c>
      <c r="C7" s="113" t="s">
        <v>126</v>
      </c>
      <c r="D7" s="114" t="s">
        <v>128</v>
      </c>
      <c r="E7" s="114" t="s">
        <v>129</v>
      </c>
      <c r="F7" s="114" t="s">
        <v>130</v>
      </c>
      <c r="G7" s="114" t="s">
        <v>131</v>
      </c>
      <c r="H7" s="115" t="s">
        <v>132</v>
      </c>
      <c r="I7" s="116"/>
    </row>
    <row r="8" spans="1:10" ht="13.5" hidden="1" x14ac:dyDescent="0.25">
      <c r="A8" s="117"/>
      <c r="B8" s="105" t="str">
        <f>IFERROR(VLOOKUP(H8,'[1]Consolidado MP Planta'!$A$2:$M$823,3,0),"")</f>
        <v/>
      </c>
      <c r="C8" s="118">
        <f>+A8</f>
        <v>0</v>
      </c>
      <c r="D8" s="119" t="str">
        <f>IFERROR(VLOOKUP(H8,'[1]Consolidado MP Planta'!$A$2:$M$823,13,0),"")</f>
        <v/>
      </c>
      <c r="E8" s="119" t="str">
        <f>IFERROR(VLOOKUP(H8,'[1]Consolidado MP Planta'!$A$2:$M$823,12,0),"")</f>
        <v/>
      </c>
      <c r="F8" s="119" t="str">
        <f>IFERROR(C8*E8,"")</f>
        <v/>
      </c>
      <c r="G8" s="120" t="str">
        <f t="shared" ref="G8:G14" si="0">IFERROR(F8/$F$66,"")</f>
        <v/>
      </c>
      <c r="H8" s="121"/>
      <c r="I8" s="121"/>
      <c r="J8" s="122"/>
    </row>
    <row r="9" spans="1:10" ht="13.5" hidden="1" x14ac:dyDescent="0.25">
      <c r="A9" s="117"/>
      <c r="B9" s="105" t="str">
        <f>IFERROR(VLOOKUP(H9,'[1]Consolidado MP Planta'!$A$2:$M$823,3,0),"")</f>
        <v/>
      </c>
      <c r="C9" s="118">
        <f t="shared" ref="C9:C14" si="1">+A9</f>
        <v>0</v>
      </c>
      <c r="D9" s="119" t="str">
        <f>IFERROR(VLOOKUP(H9,'[1]Consolidado MP Planta'!$A$2:$M$823,13,0),"")</f>
        <v/>
      </c>
      <c r="E9" s="119" t="str">
        <f>IFERROR(VLOOKUP(H9,'[1]Consolidado MP Planta'!$A$2:$M$823,12,0),"")</f>
        <v/>
      </c>
      <c r="F9" s="119" t="str">
        <f t="shared" ref="F9:F14" si="2">IFERROR(C9*E9,"")</f>
        <v/>
      </c>
      <c r="G9" s="120" t="str">
        <f t="shared" si="0"/>
        <v/>
      </c>
      <c r="H9" s="121"/>
      <c r="I9" s="121"/>
      <c r="J9" s="122"/>
    </row>
    <row r="10" spans="1:10" ht="13.5" hidden="1" x14ac:dyDescent="0.25">
      <c r="A10" s="117"/>
      <c r="B10" s="105" t="str">
        <f>IFERROR(VLOOKUP(H10,'[1]Consolidado MP Planta'!$A$2:$M$823,3,0),"")</f>
        <v/>
      </c>
      <c r="C10" s="118">
        <f t="shared" si="1"/>
        <v>0</v>
      </c>
      <c r="D10" s="119" t="str">
        <f>IFERROR(VLOOKUP(H10,'[1]Consolidado MP Planta'!$A$2:$M$823,13,0),"")</f>
        <v/>
      </c>
      <c r="E10" s="119" t="str">
        <f>IFERROR(VLOOKUP(H10,'[1]Consolidado MP Planta'!$A$2:$M$823,12,0),"")</f>
        <v/>
      </c>
      <c r="F10" s="119" t="str">
        <f t="shared" si="2"/>
        <v/>
      </c>
      <c r="G10" s="120" t="str">
        <f t="shared" si="0"/>
        <v/>
      </c>
      <c r="H10" s="121"/>
      <c r="I10" s="121"/>
      <c r="J10" s="122"/>
    </row>
    <row r="11" spans="1:10" ht="13.5" hidden="1" x14ac:dyDescent="0.25">
      <c r="A11" s="117"/>
      <c r="B11" s="105" t="str">
        <f>IFERROR(VLOOKUP(H11,'[1]Consolidado MP Planta'!$A$2:$M$823,3,0),"")</f>
        <v/>
      </c>
      <c r="C11" s="118">
        <f t="shared" si="1"/>
        <v>0</v>
      </c>
      <c r="D11" s="119" t="str">
        <f>IFERROR(VLOOKUP(H11,'[1]Consolidado MP Planta'!$A$2:$M$823,13,0),"")</f>
        <v/>
      </c>
      <c r="E11" s="119" t="str">
        <f>IFERROR(VLOOKUP(H11,'[1]Consolidado MP Planta'!$A$2:$M$823,12,0),"")</f>
        <v/>
      </c>
      <c r="F11" s="119" t="str">
        <f t="shared" si="2"/>
        <v/>
      </c>
      <c r="G11" s="120" t="str">
        <f t="shared" si="0"/>
        <v/>
      </c>
      <c r="H11" s="121"/>
      <c r="I11" s="121"/>
      <c r="J11" s="122"/>
    </row>
    <row r="12" spans="1:10" ht="13.5" hidden="1" x14ac:dyDescent="0.25">
      <c r="A12" s="117"/>
      <c r="B12" s="105" t="str">
        <f>IFERROR(VLOOKUP(H12,'[1]Consolidado MP Planta'!$A$2:$M$823,3,0),"")</f>
        <v/>
      </c>
      <c r="C12" s="118">
        <f t="shared" si="1"/>
        <v>0</v>
      </c>
      <c r="D12" s="119" t="str">
        <f>IFERROR(VLOOKUP(H12,'[1]Consolidado MP Planta'!$A$2:$M$823,13,0),"")</f>
        <v/>
      </c>
      <c r="E12" s="119" t="str">
        <f>IFERROR(VLOOKUP(H12,'[1]Consolidado MP Planta'!$A$2:$M$823,12,0),"")</f>
        <v/>
      </c>
      <c r="F12" s="119" t="str">
        <f t="shared" si="2"/>
        <v/>
      </c>
      <c r="G12" s="120" t="str">
        <f t="shared" si="0"/>
        <v/>
      </c>
      <c r="H12" s="121"/>
      <c r="I12" s="121"/>
      <c r="J12" s="122"/>
    </row>
    <row r="13" spans="1:10" ht="13.5" hidden="1" x14ac:dyDescent="0.25">
      <c r="A13" s="117"/>
      <c r="B13" s="105" t="str">
        <f>IFERROR(VLOOKUP(H13,'[1]Consolidado MP Planta'!$A$2:$M$823,3,0),"")</f>
        <v/>
      </c>
      <c r="C13" s="118">
        <f t="shared" si="1"/>
        <v>0</v>
      </c>
      <c r="D13" s="119" t="str">
        <f>IFERROR(VLOOKUP(H13,'[1]Consolidado MP Planta'!$A$2:$M$823,13,0),"")</f>
        <v/>
      </c>
      <c r="E13" s="119" t="str">
        <f>IFERROR(VLOOKUP(H13,'[1]Consolidado MP Planta'!$A$2:$M$823,12,0),"")</f>
        <v/>
      </c>
      <c r="F13" s="119" t="str">
        <f t="shared" si="2"/>
        <v/>
      </c>
      <c r="G13" s="120" t="str">
        <f t="shared" si="0"/>
        <v/>
      </c>
      <c r="H13" s="121"/>
      <c r="I13" s="121"/>
      <c r="J13" s="122"/>
    </row>
    <row r="14" spans="1:10" ht="13.5" hidden="1" x14ac:dyDescent="0.25">
      <c r="A14" s="117"/>
      <c r="B14" s="105" t="str">
        <f>IFERROR(VLOOKUP(H14,'[1]Consolidado MP Planta'!$A$2:$M$823,3,0),"")</f>
        <v/>
      </c>
      <c r="C14" s="118">
        <f t="shared" si="1"/>
        <v>0</v>
      </c>
      <c r="D14" s="119" t="str">
        <f>IFERROR(VLOOKUP(H14,'[1]Consolidado MP Planta'!$A$2:$M$823,13,0),"")</f>
        <v/>
      </c>
      <c r="E14" s="119" t="str">
        <f>IFERROR(VLOOKUP(H14,'[1]Consolidado MP Planta'!$A$2:$M$823,12,0),"")</f>
        <v/>
      </c>
      <c r="F14" s="119" t="str">
        <f t="shared" si="2"/>
        <v/>
      </c>
      <c r="G14" s="120" t="str">
        <f t="shared" si="0"/>
        <v/>
      </c>
      <c r="H14" s="121"/>
      <c r="I14" s="121"/>
      <c r="J14" s="122"/>
    </row>
    <row r="15" spans="1:10" ht="14.25" hidden="1" thickBot="1" x14ac:dyDescent="0.3">
      <c r="A15" s="117"/>
      <c r="B15" s="105" t="str">
        <f>IFERROR(VLOOKUP(H15,'[2]ARTICULOS MP PLANTA'!$A$2:$G$589,2,0),"")</f>
        <v/>
      </c>
      <c r="C15" s="118"/>
      <c r="D15" s="119"/>
      <c r="E15" s="119"/>
      <c r="F15" s="119"/>
      <c r="G15" s="120"/>
      <c r="H15" s="121"/>
      <c r="I15" s="121"/>
      <c r="J15" s="122"/>
    </row>
    <row r="16" spans="1:10" ht="26.25" thickBot="1" x14ac:dyDescent="0.3">
      <c r="A16" s="112" t="s">
        <v>126</v>
      </c>
      <c r="B16" s="113" t="s">
        <v>133</v>
      </c>
      <c r="C16" s="113" t="s">
        <v>126</v>
      </c>
      <c r="D16" s="114" t="s">
        <v>128</v>
      </c>
      <c r="E16" s="114" t="s">
        <v>129</v>
      </c>
      <c r="F16" s="114" t="s">
        <v>130</v>
      </c>
      <c r="G16" s="114" t="s">
        <v>131</v>
      </c>
      <c r="H16" s="115" t="s">
        <v>132</v>
      </c>
      <c r="I16" s="116"/>
      <c r="J16" s="122"/>
    </row>
    <row r="17" spans="1:12" ht="13.5" x14ac:dyDescent="0.25">
      <c r="A17" s="117">
        <v>100</v>
      </c>
      <c r="B17" s="105" t="str">
        <f>IFERROR(VLOOKUP(H17,[1]SEMIELABORADOS!$A$2:$M$6000,2,0),"")</f>
        <v>BATIDO ROSQUETE ARROLLADO KILO</v>
      </c>
      <c r="C17" s="118">
        <f>+A17</f>
        <v>100</v>
      </c>
      <c r="D17" s="118" t="str">
        <f>IFERROR(VLOOKUP(H17,[1]SEMIELABORADOS!$A$2:$M$6000,6,0),"")</f>
        <v>Gramo</v>
      </c>
      <c r="E17" s="119">
        <v>1.77</v>
      </c>
      <c r="F17" s="119">
        <f>IFERROR(E17*C17,"")</f>
        <v>177</v>
      </c>
      <c r="G17" s="120">
        <f t="shared" ref="G17:G24" si="3">IFERROR(F17/$F$66,"")</f>
        <v>0.79534833561003671</v>
      </c>
      <c r="H17" s="121" t="s">
        <v>171</v>
      </c>
      <c r="I17" s="121"/>
      <c r="J17" s="122"/>
    </row>
    <row r="18" spans="1:12" ht="13.5" x14ac:dyDescent="0.25">
      <c r="A18" s="117">
        <v>5</v>
      </c>
      <c r="B18" s="105" t="str">
        <f>IFERROR(VLOOKUP(H18,[1]SEMIELABORADOS!$A$2:$M$6000,2,0),"")</f>
        <v>MEZCLA P/ENGRASE MOLDES KILO</v>
      </c>
      <c r="C18" s="118">
        <f t="shared" ref="C18:C24" si="4">+A18</f>
        <v>5</v>
      </c>
      <c r="D18" s="118" t="str">
        <f>IFERROR(VLOOKUP(H18,[1]SEMIELABORADOS!$A$2:$M$6000,6,0),"")</f>
        <v>Gramo</v>
      </c>
      <c r="E18" s="119">
        <v>2.04</v>
      </c>
      <c r="F18" s="119">
        <f t="shared" ref="F18:F24" si="5">IFERROR(E18*C18,"")</f>
        <v>10.199999999999999</v>
      </c>
      <c r="G18" s="120">
        <f t="shared" si="3"/>
        <v>4.5833632899561438E-2</v>
      </c>
      <c r="H18" s="121" t="s">
        <v>172</v>
      </c>
      <c r="I18" s="121"/>
      <c r="J18" s="122"/>
    </row>
    <row r="19" spans="1:12" ht="13.5" hidden="1" x14ac:dyDescent="0.25">
      <c r="A19" s="117"/>
      <c r="B19" s="105" t="str">
        <f>IFERROR(VLOOKUP(H19,[1]SEMIELABORADOS!$A$2:$M$6000,2,0),"")</f>
        <v/>
      </c>
      <c r="C19" s="118">
        <f>+A19</f>
        <v>0</v>
      </c>
      <c r="D19" s="118" t="str">
        <f>IFERROR(VLOOKUP(H19,[1]SEMIELABORADOS!$A$2:$M$6000,6,0),"")</f>
        <v/>
      </c>
      <c r="E19" s="119" t="str">
        <f>IFERROR(VLOOKUP(H19,[1]SEMIELABORADOS!$A$2:$H$65536,8,0),"")</f>
        <v/>
      </c>
      <c r="F19" s="119" t="str">
        <f>IFERROR(E19*C19,"")</f>
        <v/>
      </c>
      <c r="G19" s="120" t="str">
        <f t="shared" si="3"/>
        <v/>
      </c>
      <c r="H19" s="121"/>
      <c r="I19" s="121"/>
      <c r="J19" s="122"/>
    </row>
    <row r="20" spans="1:12" ht="13.5" hidden="1" x14ac:dyDescent="0.25">
      <c r="A20" s="117"/>
      <c r="B20" s="105" t="str">
        <f>IFERROR(VLOOKUP(H20,[1]SEMIELABORADOS!$A$2:$M$6000,2,0),"")</f>
        <v/>
      </c>
      <c r="C20" s="118">
        <f>+A20</f>
        <v>0</v>
      </c>
      <c r="D20" s="118" t="str">
        <f>IFERROR(VLOOKUP(H20,[1]SEMIELABORADOS!$A$2:$M$6000,6,0),"")</f>
        <v/>
      </c>
      <c r="E20" s="119" t="str">
        <f>IFERROR(VLOOKUP(H20,[1]SEMIELABORADOS!$A$2:$H$65536,8,0),"")</f>
        <v/>
      </c>
      <c r="F20" s="119" t="str">
        <f>IFERROR(E20*C20,"")</f>
        <v/>
      </c>
      <c r="G20" s="120" t="str">
        <f t="shared" si="3"/>
        <v/>
      </c>
      <c r="H20" s="121"/>
      <c r="I20" s="121"/>
      <c r="J20" s="122"/>
    </row>
    <row r="21" spans="1:12" ht="13.5" hidden="1" x14ac:dyDescent="0.25">
      <c r="A21" s="117"/>
      <c r="B21" s="105" t="str">
        <f>IFERROR(VLOOKUP(H21,[1]SEMIELABORADOS!$A$2:$M$6000,2,0),"")</f>
        <v/>
      </c>
      <c r="C21" s="118">
        <f>+A21</f>
        <v>0</v>
      </c>
      <c r="D21" s="118" t="str">
        <f>IFERROR(VLOOKUP(H21,[1]SEMIELABORADOS!$A$2:$M$6000,6,0),"")</f>
        <v/>
      </c>
      <c r="E21" s="119" t="str">
        <f>IFERROR(VLOOKUP(H21,[1]SEMIELABORADOS!$A$2:$H$65536,8,0),"")</f>
        <v/>
      </c>
      <c r="F21" s="119" t="str">
        <f>IFERROR(E21*C21,"")</f>
        <v/>
      </c>
      <c r="G21" s="120" t="str">
        <f t="shared" si="3"/>
        <v/>
      </c>
      <c r="H21" s="121"/>
      <c r="I21" s="121"/>
      <c r="J21" s="122"/>
    </row>
    <row r="22" spans="1:12" ht="13.5" hidden="1" x14ac:dyDescent="0.25">
      <c r="A22" s="117"/>
      <c r="B22" s="105" t="str">
        <f>IFERROR(VLOOKUP(H22,[1]SEMIELABORADOS!$A$2:$M$6000,2,0),"")</f>
        <v/>
      </c>
      <c r="C22" s="118">
        <f t="shared" si="4"/>
        <v>0</v>
      </c>
      <c r="D22" s="118" t="str">
        <f>IFERROR(VLOOKUP(H22,[1]SEMIELABORADOS!$A$2:$M$6000,6,0),"")</f>
        <v/>
      </c>
      <c r="E22" s="119" t="str">
        <f>IFERROR(VLOOKUP(H22,[1]SEMIELABORADOS!$A$2:$H$65536,8,0),"")</f>
        <v/>
      </c>
      <c r="F22" s="119" t="str">
        <f t="shared" si="5"/>
        <v/>
      </c>
      <c r="G22" s="120" t="str">
        <f t="shared" si="3"/>
        <v/>
      </c>
      <c r="H22" s="121"/>
      <c r="I22" s="121"/>
      <c r="J22" s="122"/>
    </row>
    <row r="23" spans="1:12" ht="13.5" hidden="1" x14ac:dyDescent="0.25">
      <c r="A23" s="117"/>
      <c r="B23" s="105" t="str">
        <f>IFERROR(VLOOKUP(H23,[1]SEMIELABORADOS!$A$2:$M$6000,2,0),"")</f>
        <v/>
      </c>
      <c r="C23" s="118">
        <f t="shared" si="4"/>
        <v>0</v>
      </c>
      <c r="D23" s="118" t="str">
        <f>IFERROR(VLOOKUP(H23,[1]SEMIELABORADOS!$A$2:$M$6000,6,0),"")</f>
        <v/>
      </c>
      <c r="E23" s="119" t="str">
        <f>IFERROR(VLOOKUP(H23,[1]SEMIELABORADOS!$A$2:$H$65536,8,0),"")</f>
        <v/>
      </c>
      <c r="F23" s="119" t="str">
        <f t="shared" si="5"/>
        <v/>
      </c>
      <c r="G23" s="120" t="str">
        <f t="shared" si="3"/>
        <v/>
      </c>
      <c r="H23" s="121"/>
      <c r="I23" s="121"/>
      <c r="J23" s="122"/>
    </row>
    <row r="24" spans="1:12" ht="13.5" hidden="1" x14ac:dyDescent="0.25">
      <c r="A24" s="117"/>
      <c r="B24" s="105" t="str">
        <f>IFERROR(VLOOKUP(H24,[1]SEMIELABORADOS!$A$2:$M$6000,2,0),"")</f>
        <v/>
      </c>
      <c r="C24" s="118">
        <f t="shared" si="4"/>
        <v>0</v>
      </c>
      <c r="D24" s="118" t="str">
        <f>IFERROR(VLOOKUP(H24,[1]SEMIELABORADOS!$A$2:$M$6000,6,0),"")</f>
        <v/>
      </c>
      <c r="E24" s="119" t="str">
        <f>IFERROR(VLOOKUP(H24,[1]SEMIELABORADOS!$A$2:$H$65536,8,0),"")</f>
        <v/>
      </c>
      <c r="F24" s="119" t="str">
        <f t="shared" si="5"/>
        <v/>
      </c>
      <c r="G24" s="120" t="str">
        <f t="shared" si="3"/>
        <v/>
      </c>
      <c r="H24" s="121"/>
      <c r="I24" s="121"/>
      <c r="J24" s="122"/>
    </row>
    <row r="25" spans="1:12" ht="14.25" thickBot="1" x14ac:dyDescent="0.3">
      <c r="A25" s="117"/>
      <c r="C25" s="118"/>
      <c r="D25" s="118"/>
      <c r="E25" s="119"/>
      <c r="F25" s="119"/>
      <c r="G25" s="120"/>
      <c r="H25" s="121"/>
      <c r="I25" s="121"/>
      <c r="J25" s="122"/>
    </row>
    <row r="26" spans="1:12" ht="26.25" thickBot="1" x14ac:dyDescent="0.3">
      <c r="A26" s="112" t="s">
        <v>126</v>
      </c>
      <c r="B26" s="113" t="s">
        <v>20</v>
      </c>
      <c r="C26" s="113" t="s">
        <v>126</v>
      </c>
      <c r="D26" s="114" t="s">
        <v>128</v>
      </c>
      <c r="E26" s="114" t="s">
        <v>129</v>
      </c>
      <c r="F26" s="114" t="s">
        <v>130</v>
      </c>
      <c r="G26" s="114" t="s">
        <v>131</v>
      </c>
      <c r="H26" s="115" t="s">
        <v>132</v>
      </c>
      <c r="I26" s="116"/>
    </row>
    <row r="27" spans="1:12" ht="13.5" hidden="1" x14ac:dyDescent="0.25">
      <c r="A27" s="117">
        <v>0</v>
      </c>
      <c r="B27" s="123" t="str">
        <f>IFERROR(VLOOKUP(H27,'[1]Consolidado MP Planta'!$A$2:$M$823,3,0),"")</f>
        <v/>
      </c>
      <c r="C27" s="118">
        <f t="shared" ref="C27:C32" si="6">+A27</f>
        <v>0</v>
      </c>
      <c r="D27" s="119" t="str">
        <f>IFERROR(VLOOKUP(H27,'[1]Consolidado MP Planta'!$A$2:$M$823,13,0),"")</f>
        <v/>
      </c>
      <c r="E27" s="119" t="str">
        <f>IFERROR(VLOOKUP(H27,'[1]Consolidado MP Planta'!$A$2:$M$823,12,0),"")</f>
        <v/>
      </c>
      <c r="F27" s="119" t="str">
        <f t="shared" ref="F27:F32" si="7">IFERROR(C27*E27,"")</f>
        <v/>
      </c>
      <c r="G27" s="120" t="str">
        <f t="shared" ref="G27:G32" si="8">IFERROR(F27/$F$66,"")</f>
        <v/>
      </c>
      <c r="H27" s="124"/>
      <c r="I27" s="124"/>
      <c r="J27" s="122"/>
      <c r="K27" s="516"/>
      <c r="L27" s="516"/>
    </row>
    <row r="28" spans="1:12" ht="13.5" hidden="1" x14ac:dyDescent="0.25">
      <c r="A28" s="117"/>
      <c r="B28" s="123" t="str">
        <f>IFERROR(VLOOKUP(H28,'[1]Consolidado MP Planta'!$A$2:$M$823,3,0),"")</f>
        <v/>
      </c>
      <c r="C28" s="118">
        <f t="shared" si="6"/>
        <v>0</v>
      </c>
      <c r="D28" s="119" t="str">
        <f>IFERROR(VLOOKUP(H28,'[1]Consolidado MP Planta'!$A$2:$M$823,13,0),"")</f>
        <v/>
      </c>
      <c r="E28" s="119" t="str">
        <f>IFERROR(VLOOKUP(H28,'[1]Consolidado MP Planta'!$A$2:$M$823,12,0),"")</f>
        <v/>
      </c>
      <c r="F28" s="119" t="str">
        <f t="shared" si="7"/>
        <v/>
      </c>
      <c r="G28" s="120" t="str">
        <f t="shared" si="8"/>
        <v/>
      </c>
      <c r="H28" s="124"/>
      <c r="I28" s="124"/>
      <c r="J28" s="122"/>
      <c r="K28" s="516"/>
      <c r="L28" s="516"/>
    </row>
    <row r="29" spans="1:12" ht="13.5" hidden="1" x14ac:dyDescent="0.25">
      <c r="A29" s="117"/>
      <c r="B29" s="123" t="str">
        <f>IFERROR(VLOOKUP(H29,'[1]Consolidado MP Planta'!$A$2:$M$823,3,0),"")</f>
        <v/>
      </c>
      <c r="C29" s="118">
        <f t="shared" si="6"/>
        <v>0</v>
      </c>
      <c r="D29" s="119" t="str">
        <f>IFERROR(VLOOKUP(H29,'[1]Consolidado MP Planta'!$A$2:$M$823,13,0),"")</f>
        <v/>
      </c>
      <c r="E29" s="119" t="str">
        <f>IFERROR(VLOOKUP(H29,'[1]Consolidado MP Planta'!$A$2:$M$823,12,0),"")</f>
        <v/>
      </c>
      <c r="F29" s="119" t="str">
        <f t="shared" si="7"/>
        <v/>
      </c>
      <c r="G29" s="120" t="str">
        <f t="shared" si="8"/>
        <v/>
      </c>
      <c r="H29" s="124"/>
      <c r="I29" s="124"/>
      <c r="J29" s="122"/>
      <c r="K29" s="516"/>
      <c r="L29" s="516"/>
    </row>
    <row r="30" spans="1:12" ht="13.5" hidden="1" x14ac:dyDescent="0.25">
      <c r="A30" s="117"/>
      <c r="B30" s="123" t="str">
        <f>IFERROR(VLOOKUP(H30,'[1]Consolidado MP Planta'!$A$2:$M$823,3,0),"")</f>
        <v/>
      </c>
      <c r="C30" s="118">
        <f t="shared" si="6"/>
        <v>0</v>
      </c>
      <c r="D30" s="119" t="str">
        <f>IFERROR(VLOOKUP(H30,'[1]Consolidado MP Planta'!$A$2:$M$823,13,0),"")</f>
        <v/>
      </c>
      <c r="E30" s="119" t="str">
        <f>IFERROR(VLOOKUP(H30,'[1]Consolidado MP Planta'!$A$2:$M$823,12,0),"")</f>
        <v/>
      </c>
      <c r="F30" s="119" t="str">
        <f t="shared" si="7"/>
        <v/>
      </c>
      <c r="G30" s="120" t="str">
        <f t="shared" si="8"/>
        <v/>
      </c>
      <c r="H30" s="124"/>
      <c r="I30" s="124"/>
      <c r="J30" s="122"/>
      <c r="K30" s="516"/>
      <c r="L30" s="516"/>
    </row>
    <row r="31" spans="1:12" ht="13.5" hidden="1" x14ac:dyDescent="0.25">
      <c r="A31" s="117"/>
      <c r="B31" s="123" t="str">
        <f>IFERROR(VLOOKUP(H31,'[1]Consolidado MP Planta'!$A$2:$M$823,3,0),"")</f>
        <v/>
      </c>
      <c r="C31" s="118">
        <f t="shared" si="6"/>
        <v>0</v>
      </c>
      <c r="D31" s="119" t="str">
        <f>IFERROR(VLOOKUP(H31,'[1]Consolidado MP Planta'!$A$2:$M$823,13,0),"")</f>
        <v/>
      </c>
      <c r="E31" s="119" t="str">
        <f>IFERROR(VLOOKUP(H31,'[1]Consolidado MP Planta'!$A$2:$M$823,12,0),"")</f>
        <v/>
      </c>
      <c r="F31" s="119" t="str">
        <f t="shared" si="7"/>
        <v/>
      </c>
      <c r="G31" s="120" t="str">
        <f t="shared" si="8"/>
        <v/>
      </c>
      <c r="H31" s="124"/>
      <c r="I31" s="124"/>
      <c r="J31" s="122"/>
      <c r="K31" s="125"/>
      <c r="L31" s="126"/>
    </row>
    <row r="32" spans="1:12" ht="13.5" hidden="1" x14ac:dyDescent="0.25">
      <c r="A32" s="117"/>
      <c r="B32" s="123" t="str">
        <f>IFERROR(VLOOKUP(H32,'[1]Consolidado MP Planta'!$A$2:$M$823,3,0),"")</f>
        <v/>
      </c>
      <c r="C32" s="118">
        <f t="shared" si="6"/>
        <v>0</v>
      </c>
      <c r="D32" s="119" t="str">
        <f>IFERROR(VLOOKUP(H32,'[1]Consolidado MP Planta'!$A$2:$M$823,13,0),"")</f>
        <v/>
      </c>
      <c r="E32" s="119" t="str">
        <f>IFERROR(VLOOKUP(H32,'[1]Consolidado MP Planta'!$A$2:$M$823,12,0),"")</f>
        <v/>
      </c>
      <c r="F32" s="119" t="str">
        <f t="shared" si="7"/>
        <v/>
      </c>
      <c r="G32" s="120" t="str">
        <f t="shared" si="8"/>
        <v/>
      </c>
      <c r="H32" s="124"/>
      <c r="I32" s="124"/>
      <c r="J32" s="122"/>
    </row>
    <row r="33" spans="1:13" ht="14.25" thickBot="1" x14ac:dyDescent="0.3">
      <c r="A33" s="117"/>
      <c r="B33" s="123"/>
      <c r="C33" s="118"/>
      <c r="D33" s="119"/>
      <c r="E33" s="119"/>
      <c r="F33" s="119"/>
      <c r="G33" s="120"/>
      <c r="H33" s="124"/>
      <c r="I33" s="124"/>
      <c r="J33" s="122"/>
    </row>
    <row r="34" spans="1:13" ht="26.25" thickBot="1" x14ac:dyDescent="0.25">
      <c r="A34" s="112" t="s">
        <v>126</v>
      </c>
      <c r="B34" s="113" t="s">
        <v>134</v>
      </c>
      <c r="C34" s="113" t="s">
        <v>126</v>
      </c>
      <c r="D34" s="114" t="s">
        <v>128</v>
      </c>
      <c r="E34" s="114" t="s">
        <v>129</v>
      </c>
      <c r="F34" s="114" t="s">
        <v>130</v>
      </c>
      <c r="G34" s="114" t="s">
        <v>131</v>
      </c>
      <c r="H34" s="115" t="s">
        <v>132</v>
      </c>
      <c r="I34" s="124"/>
      <c r="J34" s="122"/>
    </row>
    <row r="35" spans="1:13" ht="13.5" x14ac:dyDescent="0.25">
      <c r="A35" s="117">
        <f>+A17</f>
        <v>100</v>
      </c>
      <c r="B35" s="123" t="str">
        <f>IFERROR(VLOOKUP(H35,[1]SEMIELABORADOS!$A$2:$M$6000,2,0),"")</f>
        <v>BATIDO ROSQUETE ARROLLADO KILO</v>
      </c>
      <c r="C35" s="118">
        <f>+A35</f>
        <v>100</v>
      </c>
      <c r="D35" s="119" t="str">
        <f>IFERROR(VLOOKUP(H35,[1]SEMIELABORADOS!$A$2:$M$6000,6,0),"")</f>
        <v>Gramo</v>
      </c>
      <c r="E35" s="119">
        <v>0.01</v>
      </c>
      <c r="F35" s="119">
        <f>IFERROR(E35*C35,"")</f>
        <v>1</v>
      </c>
      <c r="G35" s="120">
        <f t="shared" ref="G35:G41" si="9">IFERROR(F35/$F$66,"")</f>
        <v>4.4934934215256316E-3</v>
      </c>
      <c r="H35" s="124" t="s">
        <v>171</v>
      </c>
      <c r="I35" s="124"/>
      <c r="J35" s="122"/>
    </row>
    <row r="36" spans="1:13" ht="13.5" x14ac:dyDescent="0.25">
      <c r="A36" s="117">
        <f t="shared" ref="A36:A41" si="10">+A18</f>
        <v>5</v>
      </c>
      <c r="B36" s="123" t="str">
        <f>IFERROR(VLOOKUP(H36,[1]SEMIELABORADOS!$A$2:$M$6000,2,0),"")</f>
        <v>MEZCLA P/ENGRASE MOLDES KILO</v>
      </c>
      <c r="C36" s="118">
        <f t="shared" ref="C36:C41" si="11">+A36</f>
        <v>5</v>
      </c>
      <c r="D36" s="119" t="str">
        <f>IFERROR(VLOOKUP(H36,[1]SEMIELABORADOS!$A$2:$M$6000,6,0),"")</f>
        <v>Gramo</v>
      </c>
      <c r="E36" s="119">
        <v>0.02</v>
      </c>
      <c r="F36" s="119">
        <f t="shared" ref="F36:F41" si="12">IFERROR(E36*C36,"")</f>
        <v>0.1</v>
      </c>
      <c r="G36" s="120">
        <f t="shared" si="9"/>
        <v>4.4934934215256316E-4</v>
      </c>
      <c r="H36" s="124" t="s">
        <v>172</v>
      </c>
      <c r="I36" s="124"/>
      <c r="J36" s="122"/>
    </row>
    <row r="37" spans="1:13" ht="13.5" hidden="1" x14ac:dyDescent="0.25">
      <c r="A37" s="117">
        <f t="shared" si="10"/>
        <v>0</v>
      </c>
      <c r="B37" s="123" t="str">
        <f>IFERROR(VLOOKUP(H37,[1]SEMIELABORADOS!$A$2:$M$6000,2,0),"")</f>
        <v/>
      </c>
      <c r="C37" s="118">
        <f t="shared" si="11"/>
        <v>0</v>
      </c>
      <c r="D37" s="119" t="str">
        <f>IFERROR(VLOOKUP(H37,[1]SEMIELABORADOS!$A$2:$M$6000,6,0),"")</f>
        <v/>
      </c>
      <c r="E37" s="119" t="str">
        <f>IFERROR(VLOOKUP(H37,[1]SEMIELABORADOS!$A$2:$M$65536,10,0),"")</f>
        <v/>
      </c>
      <c r="F37" s="119" t="str">
        <f t="shared" si="12"/>
        <v/>
      </c>
      <c r="G37" s="120" t="str">
        <f t="shared" si="9"/>
        <v/>
      </c>
      <c r="H37" s="124"/>
      <c r="I37" s="124"/>
      <c r="J37" s="122"/>
    </row>
    <row r="38" spans="1:13" ht="13.5" hidden="1" x14ac:dyDescent="0.25">
      <c r="A38" s="117">
        <f t="shared" si="10"/>
        <v>0</v>
      </c>
      <c r="B38" s="123" t="str">
        <f>IFERROR(VLOOKUP(H38,[1]SEMIELABORADOS!$A$2:$M$6000,2,0),"")</f>
        <v/>
      </c>
      <c r="C38" s="118">
        <f>+A38</f>
        <v>0</v>
      </c>
      <c r="D38" s="119" t="str">
        <f>IFERROR(VLOOKUP(H38,[1]SEMIELABORADOS!$A$2:$M$6000,6,0),"")</f>
        <v/>
      </c>
      <c r="E38" s="119" t="str">
        <f>IFERROR(VLOOKUP(H38,[1]SEMIELABORADOS!$A$2:$M$65536,10,0),"")</f>
        <v/>
      </c>
      <c r="F38" s="119" t="str">
        <f>IFERROR(E38*C38,"")</f>
        <v/>
      </c>
      <c r="G38" s="120" t="str">
        <f t="shared" si="9"/>
        <v/>
      </c>
      <c r="H38" s="124"/>
      <c r="I38" s="124"/>
      <c r="J38" s="122"/>
    </row>
    <row r="39" spans="1:13" ht="13.5" hidden="1" x14ac:dyDescent="0.25">
      <c r="A39" s="117">
        <f t="shared" si="10"/>
        <v>0</v>
      </c>
      <c r="B39" s="123" t="str">
        <f>IFERROR(VLOOKUP(H39,[1]SEMIELABORADOS!$A$2:$M$6000,2,0),"")</f>
        <v/>
      </c>
      <c r="C39" s="118">
        <f>+A39</f>
        <v>0</v>
      </c>
      <c r="D39" s="119" t="str">
        <f>IFERROR(VLOOKUP(H39,[1]SEMIELABORADOS!$A$2:$M$6000,6,0),"")</f>
        <v/>
      </c>
      <c r="E39" s="119" t="str">
        <f>IFERROR(VLOOKUP(H39,[1]SEMIELABORADOS!$A$2:$M$65536,10,0),"")</f>
        <v/>
      </c>
      <c r="F39" s="119" t="str">
        <f>IFERROR(E39*C39,"")</f>
        <v/>
      </c>
      <c r="G39" s="120" t="str">
        <f t="shared" si="9"/>
        <v/>
      </c>
      <c r="H39" s="124"/>
      <c r="I39" s="124"/>
      <c r="J39" s="122"/>
    </row>
    <row r="40" spans="1:13" ht="13.5" hidden="1" x14ac:dyDescent="0.25">
      <c r="A40" s="117">
        <f t="shared" si="10"/>
        <v>0</v>
      </c>
      <c r="B40" s="123" t="str">
        <f>IFERROR(VLOOKUP(H40,[1]SEMIELABORADOS!$A$2:$M$6000,2,0),"")</f>
        <v/>
      </c>
      <c r="C40" s="118">
        <f t="shared" si="11"/>
        <v>0</v>
      </c>
      <c r="D40" s="119" t="str">
        <f>IFERROR(VLOOKUP(H40,[1]SEMIELABORADOS!$A$2:$M$6000,6,0),"")</f>
        <v/>
      </c>
      <c r="E40" s="119" t="str">
        <f>IFERROR(VLOOKUP(H40,[1]SEMIELABORADOS!$A$2:$M$65536,10,0),"")</f>
        <v/>
      </c>
      <c r="F40" s="119" t="str">
        <f t="shared" si="12"/>
        <v/>
      </c>
      <c r="G40" s="120" t="str">
        <f t="shared" si="9"/>
        <v/>
      </c>
      <c r="H40" s="124"/>
      <c r="I40" s="124"/>
      <c r="J40" s="122"/>
    </row>
    <row r="41" spans="1:13" ht="13.5" hidden="1" x14ac:dyDescent="0.25">
      <c r="A41" s="117">
        <f t="shared" si="10"/>
        <v>0</v>
      </c>
      <c r="B41" s="123" t="str">
        <f>IFERROR(VLOOKUP(H41,[1]SEMIELABORADOS!$A$2:$M$6000,2,0),"")</f>
        <v/>
      </c>
      <c r="C41" s="118">
        <f t="shared" si="11"/>
        <v>0</v>
      </c>
      <c r="D41" s="119" t="str">
        <f>IFERROR(VLOOKUP(H41,[1]SEMIELABORADOS!$A$2:$M$6000,6,0),"")</f>
        <v/>
      </c>
      <c r="E41" s="119" t="str">
        <f>IFERROR(VLOOKUP(H41,[1]SEMIELABORADOS!$A$2:$M$65536,10,0),"")</f>
        <v/>
      </c>
      <c r="F41" s="119" t="str">
        <f t="shared" si="12"/>
        <v/>
      </c>
      <c r="G41" s="120" t="str">
        <f t="shared" si="9"/>
        <v/>
      </c>
      <c r="H41" s="124"/>
      <c r="I41" s="124"/>
      <c r="J41" s="122"/>
    </row>
    <row r="42" spans="1:13" ht="14.25" thickBot="1" x14ac:dyDescent="0.3">
      <c r="A42" s="117"/>
      <c r="B42" s="123"/>
      <c r="C42" s="118"/>
      <c r="D42" s="119"/>
      <c r="E42" s="119"/>
      <c r="F42" s="119"/>
      <c r="G42" s="120"/>
      <c r="H42" s="124"/>
      <c r="I42" s="124"/>
      <c r="J42" s="122"/>
    </row>
    <row r="43" spans="1:13" ht="26.25" thickBot="1" x14ac:dyDescent="0.3">
      <c r="A43" s="112" t="s">
        <v>126</v>
      </c>
      <c r="B43" s="113" t="s">
        <v>135</v>
      </c>
      <c r="C43" s="113" t="s">
        <v>126</v>
      </c>
      <c r="D43" s="114" t="s">
        <v>128</v>
      </c>
      <c r="E43" s="114" t="s">
        <v>129</v>
      </c>
      <c r="F43" s="114" t="s">
        <v>130</v>
      </c>
      <c r="G43" s="114" t="s">
        <v>131</v>
      </c>
      <c r="H43" s="115" t="s">
        <v>132</v>
      </c>
      <c r="I43" s="116"/>
      <c r="J43" s="122"/>
    </row>
    <row r="44" spans="1:13" ht="13.5" x14ac:dyDescent="0.25">
      <c r="A44" s="117">
        <f>+A35</f>
        <v>100</v>
      </c>
      <c r="B44" s="123" t="str">
        <f>IFERROR(VLOOKUP(H44,[1]SEMIELABORADOS!$A$2:$M$6000,2,0),"")</f>
        <v>BATIDO ROSQUETE ARROLLADO KILO</v>
      </c>
      <c r="C44" s="118">
        <f>+A44</f>
        <v>100</v>
      </c>
      <c r="D44" s="119" t="str">
        <f>IFERROR(VLOOKUP(H44,[1]SEMIELABORADOS!$A$2:$M$6000,6,0),"")</f>
        <v>Gramo</v>
      </c>
      <c r="E44" s="119">
        <v>0.21</v>
      </c>
      <c r="F44" s="119">
        <f>IFERROR(E44*C44,"")</f>
        <v>21</v>
      </c>
      <c r="G44" s="120">
        <f>IFERROR(F44/$F$66,"")</f>
        <v>9.4363361852038252E-2</v>
      </c>
      <c r="H44" s="124" t="s">
        <v>171</v>
      </c>
      <c r="I44" s="116"/>
      <c r="J44" s="122"/>
    </row>
    <row r="45" spans="1:13" ht="13.5" x14ac:dyDescent="0.25">
      <c r="A45" s="117">
        <f t="shared" ref="A45:A50" si="13">+A36</f>
        <v>5</v>
      </c>
      <c r="B45" s="123" t="str">
        <f>IFERROR(VLOOKUP(H45,[1]SEMIELABORADOS!$A$2:$M$6000,2,0),"")</f>
        <v>MEZCLA P/ENGRASE MOLDES KILO</v>
      </c>
      <c r="C45" s="118">
        <f t="shared" ref="C45:C50" si="14">+A45</f>
        <v>5</v>
      </c>
      <c r="D45" s="119" t="str">
        <f>IFERROR(VLOOKUP(H45,[1]SEMIELABORADOS!$A$2:$M$6000,6,0),"")</f>
        <v>Gramo</v>
      </c>
      <c r="E45" s="119">
        <v>0.25</v>
      </c>
      <c r="F45" s="119">
        <f t="shared" ref="F45:F50" si="15">IFERROR(E45*C45,"")</f>
        <v>1.25</v>
      </c>
      <c r="G45" s="120">
        <f t="shared" ref="G45:G50" si="16">IFERROR(F45/$F$66,"")</f>
        <v>5.6168667769070394E-3</v>
      </c>
      <c r="H45" s="124" t="s">
        <v>172</v>
      </c>
      <c r="I45" s="116"/>
      <c r="J45" s="122"/>
      <c r="M45" s="127"/>
    </row>
    <row r="46" spans="1:13" ht="13.5" hidden="1" x14ac:dyDescent="0.25">
      <c r="A46" s="117">
        <f t="shared" si="13"/>
        <v>0</v>
      </c>
      <c r="B46" s="123" t="str">
        <f>IFERROR(VLOOKUP(H46,[1]SEMIELABORADOS!$A$2:$M$6000,2,0),"")</f>
        <v/>
      </c>
      <c r="C46" s="118">
        <f t="shared" si="14"/>
        <v>0</v>
      </c>
      <c r="D46" s="119" t="str">
        <f>IFERROR(VLOOKUP(H46,[1]SEMIELABORADOS!$A$2:$M$6000,6,0),"")</f>
        <v/>
      </c>
      <c r="E46" s="119" t="str">
        <f>IFERROR(VLOOKUP(H46,[1]SEMIELABORADOS!$A$2:$M$65536,12,0),"")</f>
        <v/>
      </c>
      <c r="F46" s="119" t="str">
        <f t="shared" si="15"/>
        <v/>
      </c>
      <c r="G46" s="120" t="str">
        <f t="shared" si="16"/>
        <v/>
      </c>
      <c r="H46" s="124"/>
      <c r="I46" s="116"/>
      <c r="J46" s="122"/>
    </row>
    <row r="47" spans="1:13" ht="13.5" hidden="1" x14ac:dyDescent="0.25">
      <c r="A47" s="117">
        <f t="shared" si="13"/>
        <v>0</v>
      </c>
      <c r="B47" s="123" t="str">
        <f>IFERROR(VLOOKUP(H47,[1]SEMIELABORADOS!$A$2:$M$6000,2,0),"")</f>
        <v/>
      </c>
      <c r="C47" s="118">
        <f t="shared" si="14"/>
        <v>0</v>
      </c>
      <c r="D47" s="119" t="str">
        <f>IFERROR(VLOOKUP(H47,[1]SEMIELABORADOS!$A$2:$M$6000,6,0),"")</f>
        <v/>
      </c>
      <c r="E47" s="119" t="str">
        <f>IFERROR(VLOOKUP(H47,[1]SEMIELABORADOS!$A$2:$M$65536,12,0),"")</f>
        <v/>
      </c>
      <c r="F47" s="119" t="str">
        <f t="shared" si="15"/>
        <v/>
      </c>
      <c r="G47" s="120" t="str">
        <f t="shared" si="16"/>
        <v/>
      </c>
      <c r="H47" s="124"/>
      <c r="I47" s="116"/>
      <c r="J47" s="122"/>
    </row>
    <row r="48" spans="1:13" ht="13.5" hidden="1" x14ac:dyDescent="0.25">
      <c r="A48" s="117">
        <f t="shared" si="13"/>
        <v>0</v>
      </c>
      <c r="B48" s="123" t="str">
        <f>IFERROR(VLOOKUP(H48,[1]SEMIELABORADOS!$A$2:$M$6000,2,0),"")</f>
        <v/>
      </c>
      <c r="C48" s="118">
        <f t="shared" si="14"/>
        <v>0</v>
      </c>
      <c r="D48" s="119" t="str">
        <f>IFERROR(VLOOKUP(H48,[1]SEMIELABORADOS!$A$2:$M$6000,6,0),"")</f>
        <v/>
      </c>
      <c r="E48" s="119" t="str">
        <f>IFERROR(VLOOKUP(H48,[1]SEMIELABORADOS!$A$2:$M$65536,12,0),"")</f>
        <v/>
      </c>
      <c r="F48" s="119" t="str">
        <f t="shared" si="15"/>
        <v/>
      </c>
      <c r="G48" s="120" t="str">
        <f t="shared" si="16"/>
        <v/>
      </c>
      <c r="H48" s="124"/>
      <c r="I48" s="116"/>
      <c r="J48" s="122"/>
    </row>
    <row r="49" spans="1:17" ht="13.5" hidden="1" x14ac:dyDescent="0.25">
      <c r="A49" s="117">
        <f t="shared" si="13"/>
        <v>0</v>
      </c>
      <c r="B49" s="123" t="str">
        <f>IFERROR(VLOOKUP(H49,[1]SEMIELABORADOS!$A$2:$M$6000,2,0),"")</f>
        <v/>
      </c>
      <c r="C49" s="118">
        <f t="shared" si="14"/>
        <v>0</v>
      </c>
      <c r="D49" s="119" t="str">
        <f>IFERROR(VLOOKUP(H49,[1]SEMIELABORADOS!$A$2:$M$6000,6,0),"")</f>
        <v/>
      </c>
      <c r="E49" s="119" t="str">
        <f>IFERROR(VLOOKUP(H49,[1]SEMIELABORADOS!$A$2:$M$65536,12,0),"")</f>
        <v/>
      </c>
      <c r="F49" s="119" t="str">
        <f t="shared" si="15"/>
        <v/>
      </c>
      <c r="G49" s="120" t="str">
        <f t="shared" si="16"/>
        <v/>
      </c>
      <c r="H49" s="124"/>
      <c r="I49" s="116"/>
      <c r="J49" s="122"/>
    </row>
    <row r="50" spans="1:17" ht="13.5" hidden="1" x14ac:dyDescent="0.25">
      <c r="A50" s="117">
        <f t="shared" si="13"/>
        <v>0</v>
      </c>
      <c r="B50" s="123" t="str">
        <f>IFERROR(VLOOKUP(H50,[1]SEMIELABORADOS!$A$2:$M$6000,2,0),"")</f>
        <v/>
      </c>
      <c r="C50" s="118">
        <f t="shared" si="14"/>
        <v>0</v>
      </c>
      <c r="D50" s="119" t="str">
        <f>IFERROR(VLOOKUP(H50,[1]SEMIELABORADOS!$A$2:$M$6000,6,0),"")</f>
        <v/>
      </c>
      <c r="E50" s="119" t="str">
        <f>IFERROR(VLOOKUP(H50,[1]SEMIELABORADOS!$A$2:$M$65536,12,0),"")</f>
        <v/>
      </c>
      <c r="F50" s="119" t="str">
        <f t="shared" si="15"/>
        <v/>
      </c>
      <c r="G50" s="120" t="str">
        <f t="shared" si="16"/>
        <v/>
      </c>
      <c r="H50" s="123"/>
      <c r="I50" s="116"/>
      <c r="J50" s="122"/>
    </row>
    <row r="51" spans="1:17" ht="13.5" x14ac:dyDescent="0.25">
      <c r="A51" s="117">
        <v>1</v>
      </c>
      <c r="B51" s="123" t="s">
        <v>136</v>
      </c>
      <c r="C51" s="118">
        <f>+A51</f>
        <v>1</v>
      </c>
      <c r="D51" s="118" t="s">
        <v>137</v>
      </c>
      <c r="E51" s="119">
        <f>+F65</f>
        <v>30.5</v>
      </c>
      <c r="F51" s="119">
        <f>IFERROR(C51*E51,"")</f>
        <v>30.5</v>
      </c>
      <c r="G51" s="120">
        <f>IFERROR(F51/$F$66,"")</f>
        <v>0.13705154935653174</v>
      </c>
      <c r="H51" s="128"/>
      <c r="I51" s="128"/>
      <c r="J51" s="122"/>
    </row>
    <row r="52" spans="1:17" ht="14.25" thickBot="1" x14ac:dyDescent="0.3">
      <c r="A52" s="117"/>
      <c r="B52" s="123"/>
      <c r="C52" s="118"/>
      <c r="D52" s="118"/>
      <c r="E52" s="119"/>
      <c r="F52" s="119"/>
      <c r="G52" s="120"/>
      <c r="H52" s="128"/>
      <c r="I52" s="128"/>
      <c r="J52" s="122"/>
    </row>
    <row r="53" spans="1:17" ht="13.5" thickBot="1" x14ac:dyDescent="0.3">
      <c r="A53" s="129"/>
      <c r="B53" s="517" t="s">
        <v>138</v>
      </c>
      <c r="C53" s="517"/>
      <c r="D53" s="517"/>
      <c r="E53" s="517"/>
      <c r="F53" s="131">
        <f>SUM(F8:F14,F17:F24)</f>
        <v>187.2</v>
      </c>
      <c r="G53" s="120">
        <f>+F53/$F$66</f>
        <v>0.84118196850959814</v>
      </c>
      <c r="H53" s="132">
        <f>+F53/$D$60</f>
        <v>187.2</v>
      </c>
      <c r="I53" s="132"/>
      <c r="J53" s="133"/>
      <c r="K53" s="134"/>
      <c r="L53" s="134"/>
      <c r="M53" s="134"/>
      <c r="N53" s="134"/>
      <c r="O53" s="134"/>
      <c r="P53" s="134"/>
      <c r="Q53" s="135"/>
    </row>
    <row r="54" spans="1:17" x14ac:dyDescent="0.2">
      <c r="A54" s="129"/>
      <c r="B54" s="517" t="s">
        <v>139</v>
      </c>
      <c r="C54" s="517"/>
      <c r="D54" s="517"/>
      <c r="E54" s="517"/>
      <c r="F54" s="131">
        <f>SUM(F27:F32,F35:F41)</f>
        <v>1.1000000000000001</v>
      </c>
      <c r="G54" s="120">
        <f>+F54/$F$66</f>
        <v>4.9428427636781947E-3</v>
      </c>
      <c r="H54" s="132">
        <f>+F54/$D$60</f>
        <v>1.1000000000000001</v>
      </c>
      <c r="I54" s="132"/>
      <c r="J54" s="136"/>
      <c r="K54" s="518" t="s">
        <v>140</v>
      </c>
      <c r="L54" s="519"/>
      <c r="M54" s="519"/>
      <c r="N54" s="519"/>
      <c r="O54" s="137">
        <f>+F55</f>
        <v>188.29999999999998</v>
      </c>
      <c r="P54" s="137"/>
      <c r="Q54" s="138"/>
    </row>
    <row r="55" spans="1:17" x14ac:dyDescent="0.2">
      <c r="A55" s="129"/>
      <c r="B55" s="517" t="s">
        <v>141</v>
      </c>
      <c r="C55" s="517"/>
      <c r="D55" s="517"/>
      <c r="E55" s="517"/>
      <c r="F55" s="131">
        <f>+F53+F54</f>
        <v>188.29999999999998</v>
      </c>
      <c r="G55" s="120">
        <f>+F55/$F$66</f>
        <v>0.84612481127327632</v>
      </c>
      <c r="H55" s="132">
        <f>+F55/$D$60</f>
        <v>188.29999999999998</v>
      </c>
      <c r="I55" s="132"/>
      <c r="J55" s="139"/>
      <c r="K55" s="140"/>
      <c r="M55" s="141" t="s">
        <v>142</v>
      </c>
      <c r="N55" s="142"/>
      <c r="O55" s="137">
        <f>+H56</f>
        <v>52.75</v>
      </c>
      <c r="P55" s="137"/>
      <c r="Q55" s="138"/>
    </row>
    <row r="56" spans="1:17" ht="13.5" thickBot="1" x14ac:dyDescent="0.25">
      <c r="A56" s="129"/>
      <c r="B56" s="130"/>
      <c r="C56" s="517" t="s">
        <v>143</v>
      </c>
      <c r="D56" s="517"/>
      <c r="E56" s="517"/>
      <c r="F56" s="131">
        <f>SUM(F44:F51)</f>
        <v>52.75</v>
      </c>
      <c r="G56" s="120">
        <f>+F56/$F$66</f>
        <v>0.23703177798547706</v>
      </c>
      <c r="H56" s="132">
        <f>+F56/$D$60</f>
        <v>52.75</v>
      </c>
      <c r="I56" s="132"/>
      <c r="J56" s="139"/>
      <c r="K56" s="140"/>
      <c r="L56" s="140"/>
      <c r="M56" s="140" t="s">
        <v>144</v>
      </c>
      <c r="N56" s="143"/>
      <c r="O56" s="137">
        <f>O54*N56</f>
        <v>0</v>
      </c>
      <c r="P56" s="137"/>
      <c r="Q56" s="138"/>
    </row>
    <row r="57" spans="1:17" ht="13.5" thickBot="1" x14ac:dyDescent="0.25">
      <c r="A57" s="129"/>
      <c r="B57" s="144"/>
      <c r="C57" s="144"/>
      <c r="D57" s="144"/>
      <c r="E57" s="144"/>
      <c r="F57" s="145"/>
      <c r="G57" s="120"/>
      <c r="H57" s="146"/>
      <c r="I57" s="132"/>
      <c r="J57" s="139"/>
      <c r="K57" s="147"/>
      <c r="M57" s="148" t="s">
        <v>145</v>
      </c>
      <c r="N57" s="149"/>
      <c r="O57" s="150">
        <f>SUM(O54:O56)</f>
        <v>241.04999999999998</v>
      </c>
      <c r="P57" s="151"/>
      <c r="Q57" s="138"/>
    </row>
    <row r="58" spans="1:17" x14ac:dyDescent="0.2">
      <c r="B58" s="520" t="s">
        <v>146</v>
      </c>
      <c r="C58" s="520"/>
      <c r="D58" s="152">
        <v>100</v>
      </c>
      <c r="E58" s="153"/>
      <c r="G58" s="120"/>
      <c r="H58" s="146">
        <f>+H56/61</f>
        <v>0.86475409836065575</v>
      </c>
      <c r="I58" s="154"/>
      <c r="J58" s="139"/>
      <c r="K58" s="147"/>
      <c r="L58" s="140"/>
      <c r="M58" s="140" t="s">
        <v>147</v>
      </c>
      <c r="N58" s="155"/>
      <c r="O58" s="137">
        <f>+H59</f>
        <v>50.155737704918032</v>
      </c>
      <c r="P58" s="137"/>
      <c r="Q58" s="138"/>
    </row>
    <row r="59" spans="1:17" x14ac:dyDescent="0.2">
      <c r="B59" s="520" t="s">
        <v>148</v>
      </c>
      <c r="C59" s="520"/>
      <c r="D59" s="156">
        <v>100</v>
      </c>
      <c r="E59" s="153"/>
      <c r="G59" s="120"/>
      <c r="H59" s="146">
        <f>+H58*58</f>
        <v>50.155737704918032</v>
      </c>
      <c r="I59" s="154"/>
      <c r="J59" s="139"/>
      <c r="K59" s="147"/>
      <c r="L59" s="140"/>
      <c r="M59" s="521" t="s">
        <v>145</v>
      </c>
      <c r="N59" s="521"/>
      <c r="O59" s="137">
        <f>SUM(O57:O58)</f>
        <v>291.20573770491802</v>
      </c>
      <c r="P59" s="137"/>
      <c r="Q59" s="138"/>
    </row>
    <row r="60" spans="1:17" ht="13.5" thickBot="1" x14ac:dyDescent="0.25">
      <c r="B60" s="512" t="s">
        <v>149</v>
      </c>
      <c r="C60" s="512"/>
      <c r="D60" s="152">
        <f>+D58/D59</f>
        <v>1</v>
      </c>
      <c r="E60" s="153"/>
      <c r="F60" s="157"/>
      <c r="G60" s="120"/>
      <c r="H60" s="146"/>
      <c r="I60" s="154"/>
      <c r="J60" s="139"/>
      <c r="K60" s="147"/>
      <c r="L60" s="521"/>
      <c r="M60" s="521"/>
      <c r="N60" s="155"/>
      <c r="O60" s="137">
        <f>+O59*N60</f>
        <v>0</v>
      </c>
      <c r="P60" s="137"/>
      <c r="Q60" s="138"/>
    </row>
    <row r="61" spans="1:17" ht="13.5" thickBot="1" x14ac:dyDescent="0.25">
      <c r="B61" s="512" t="s">
        <v>150</v>
      </c>
      <c r="C61" s="512"/>
      <c r="D61" s="158"/>
      <c r="E61" s="153"/>
      <c r="F61" s="157"/>
      <c r="G61" s="120"/>
      <c r="H61" s="146"/>
      <c r="I61" s="154"/>
      <c r="J61" s="139"/>
      <c r="K61" s="513" t="s">
        <v>151</v>
      </c>
      <c r="L61" s="514"/>
      <c r="M61" s="514"/>
      <c r="N61" s="515"/>
      <c r="O61" s="150">
        <f>SUM(O59:O60)</f>
        <v>291.20573770491802</v>
      </c>
      <c r="P61" s="159" t="s">
        <v>152</v>
      </c>
      <c r="Q61" s="138"/>
    </row>
    <row r="62" spans="1:17" ht="13.5" thickBot="1" x14ac:dyDescent="0.25">
      <c r="C62" s="129" t="s">
        <v>153</v>
      </c>
      <c r="D62" s="160"/>
      <c r="E62" s="103" t="s">
        <v>154</v>
      </c>
      <c r="F62" s="161" t="s">
        <v>155</v>
      </c>
      <c r="G62" s="120"/>
      <c r="H62" s="146"/>
      <c r="I62" s="154"/>
      <c r="J62" s="162"/>
      <c r="K62" s="163"/>
      <c r="L62" s="501" t="s">
        <v>156</v>
      </c>
      <c r="M62" s="501"/>
      <c r="N62" s="501"/>
      <c r="O62" s="164">
        <f>+O61/D60</f>
        <v>291.20573770491802</v>
      </c>
      <c r="P62" s="165">
        <f>+O62/D59</f>
        <v>2.9120573770491802</v>
      </c>
      <c r="Q62" s="166"/>
    </row>
    <row r="63" spans="1:17" ht="13.5" thickBot="1" x14ac:dyDescent="0.25">
      <c r="B63" s="502" t="s">
        <v>141</v>
      </c>
      <c r="C63" s="502"/>
      <c r="D63" s="502"/>
      <c r="E63" s="167">
        <f>+F63/F63</f>
        <v>1</v>
      </c>
      <c r="F63" s="168">
        <f>SUM(F55)</f>
        <v>188.29999999999998</v>
      </c>
      <c r="G63" s="120">
        <f>+F63/$F$66</f>
        <v>0.84612481127327632</v>
      </c>
      <c r="H63" s="146"/>
      <c r="I63" s="154"/>
      <c r="K63" s="503"/>
      <c r="L63" s="504"/>
      <c r="M63" s="504"/>
      <c r="N63" s="504"/>
      <c r="O63" s="169"/>
      <c r="P63" s="170"/>
    </row>
    <row r="64" spans="1:17" ht="13.5" thickBot="1" x14ac:dyDescent="0.3">
      <c r="B64" s="505" t="s">
        <v>157</v>
      </c>
      <c r="C64" s="505"/>
      <c r="D64" s="505"/>
      <c r="E64" s="171">
        <v>0.02</v>
      </c>
      <c r="F64" s="168">
        <f>+F53*E64</f>
        <v>3.7439999999999998</v>
      </c>
      <c r="G64" s="120">
        <f>+F64/$F$66</f>
        <v>1.6823639370191962E-2</v>
      </c>
      <c r="H64" s="132"/>
      <c r="I64" s="154"/>
      <c r="J64" s="172"/>
      <c r="O64" s="173"/>
      <c r="P64" s="130"/>
    </row>
    <row r="65" spans="2:13" ht="13.5" thickBot="1" x14ac:dyDescent="0.3">
      <c r="B65" s="506" t="s">
        <v>158</v>
      </c>
      <c r="C65" s="507"/>
      <c r="D65" s="174">
        <v>0.5</v>
      </c>
      <c r="E65" s="175">
        <v>61</v>
      </c>
      <c r="F65" s="168">
        <f>+E65*D65</f>
        <v>30.5</v>
      </c>
      <c r="G65" s="120">
        <f>+F65/$F$66</f>
        <v>0.13705154935653174</v>
      </c>
      <c r="H65" s="132"/>
      <c r="I65" s="132"/>
      <c r="J65" s="122"/>
    </row>
    <row r="66" spans="2:13" ht="13.5" thickBot="1" x14ac:dyDescent="0.3">
      <c r="B66" s="508" t="s">
        <v>159</v>
      </c>
      <c r="C66" s="509"/>
      <c r="D66" s="509"/>
      <c r="E66" s="510"/>
      <c r="F66" s="145">
        <f>SUM(F63:F65)</f>
        <v>222.54399999999998</v>
      </c>
      <c r="G66" s="120">
        <f>+F66/$F$66</f>
        <v>1</v>
      </c>
      <c r="H66" s="511"/>
      <c r="I66" s="132"/>
      <c r="J66" s="122"/>
      <c r="M66" s="105" t="s">
        <v>160</v>
      </c>
    </row>
    <row r="67" spans="2:13" x14ac:dyDescent="0.25">
      <c r="C67" s="127"/>
      <c r="D67" s="127"/>
      <c r="E67" s="177"/>
      <c r="F67" s="168"/>
      <c r="G67" s="120"/>
      <c r="H67" s="511"/>
      <c r="I67" s="176"/>
      <c r="J67" s="105"/>
      <c r="M67" s="105" t="s">
        <v>161</v>
      </c>
    </row>
    <row r="68" spans="2:13" ht="13.5" thickBot="1" x14ac:dyDescent="0.3">
      <c r="B68" s="496" t="s">
        <v>162</v>
      </c>
      <c r="C68" s="496"/>
      <c r="D68" s="496"/>
      <c r="E68" s="496"/>
      <c r="F68" s="496"/>
      <c r="G68" s="120"/>
      <c r="H68" s="179"/>
      <c r="I68" s="176"/>
      <c r="J68" s="105"/>
      <c r="M68" s="105" t="s">
        <v>163</v>
      </c>
    </row>
    <row r="69" spans="2:13" ht="13.5" thickBot="1" x14ac:dyDescent="0.3">
      <c r="B69" s="180" t="s">
        <v>164</v>
      </c>
      <c r="C69" s="181">
        <f>+F53</f>
        <v>187.2</v>
      </c>
      <c r="D69" s="181">
        <f>+D58</f>
        <v>100</v>
      </c>
      <c r="E69" s="182">
        <f>+C69/D69</f>
        <v>1.8719999999999999</v>
      </c>
      <c r="F69" s="120"/>
      <c r="G69" s="179"/>
      <c r="H69" s="122"/>
      <c r="I69" s="179"/>
      <c r="J69" s="105"/>
    </row>
    <row r="70" spans="2:13" x14ac:dyDescent="0.25">
      <c r="B70" s="183"/>
      <c r="C70" s="184"/>
      <c r="D70" s="185"/>
      <c r="E70" s="168"/>
      <c r="F70" s="120"/>
      <c r="G70" s="179"/>
      <c r="H70" s="122"/>
      <c r="I70" s="122"/>
      <c r="J70" s="105"/>
    </row>
    <row r="71" spans="2:13" x14ac:dyDescent="0.25">
      <c r="B71" s="180" t="s">
        <v>165</v>
      </c>
      <c r="C71" s="181">
        <f>SUM(F63:F64)</f>
        <v>192.04399999999998</v>
      </c>
      <c r="D71" s="181">
        <f>+D58</f>
        <v>100</v>
      </c>
      <c r="E71" s="186">
        <f>+C71/D71</f>
        <v>1.9204399999999999</v>
      </c>
      <c r="F71" s="120"/>
      <c r="G71" s="179"/>
      <c r="H71" s="122"/>
      <c r="I71" s="122"/>
      <c r="J71" s="105"/>
    </row>
    <row r="72" spans="2:13" x14ac:dyDescent="0.25">
      <c r="B72" s="180"/>
      <c r="C72" s="181"/>
      <c r="D72" s="181"/>
      <c r="E72" s="186"/>
      <c r="F72" s="120"/>
      <c r="G72" s="179"/>
      <c r="H72" s="122"/>
      <c r="I72" s="122"/>
      <c r="J72" s="105"/>
    </row>
    <row r="73" spans="2:13" ht="13.5" thickBot="1" x14ac:dyDescent="0.3">
      <c r="B73" s="180" t="s">
        <v>166</v>
      </c>
      <c r="C73" s="181">
        <f>+F65</f>
        <v>30.5</v>
      </c>
      <c r="D73" s="181">
        <f>+D58</f>
        <v>100</v>
      </c>
      <c r="E73" s="186">
        <f>+C73/D73</f>
        <v>0.30499999999999999</v>
      </c>
      <c r="F73" s="120"/>
      <c r="G73" s="179"/>
      <c r="H73" s="122"/>
      <c r="I73" s="122"/>
      <c r="J73" s="105"/>
    </row>
    <row r="74" spans="2:13" ht="13.5" thickBot="1" x14ac:dyDescent="0.3">
      <c r="B74" s="180" t="s">
        <v>167</v>
      </c>
      <c r="C74" s="181">
        <f>+F56</f>
        <v>52.75</v>
      </c>
      <c r="D74" s="181">
        <f>+D73</f>
        <v>100</v>
      </c>
      <c r="E74" s="182">
        <f>+C74/D74</f>
        <v>0.52749999999999997</v>
      </c>
      <c r="F74" s="120"/>
      <c r="G74" s="179"/>
      <c r="H74" s="122"/>
      <c r="I74" s="122"/>
      <c r="J74" s="105"/>
    </row>
    <row r="75" spans="2:13" ht="13.5" thickBot="1" x14ac:dyDescent="0.3">
      <c r="B75" s="144"/>
      <c r="C75" s="145"/>
      <c r="D75" s="145"/>
      <c r="E75" s="186"/>
      <c r="F75" s="120"/>
      <c r="G75" s="179"/>
      <c r="H75" s="122"/>
      <c r="I75" s="122"/>
      <c r="J75" s="105"/>
    </row>
    <row r="76" spans="2:13" ht="13.5" thickBot="1" x14ac:dyDescent="0.3">
      <c r="B76" s="180" t="s">
        <v>168</v>
      </c>
      <c r="C76" s="181">
        <f>+F54</f>
        <v>1.1000000000000001</v>
      </c>
      <c r="D76" s="181">
        <f>+D74</f>
        <v>100</v>
      </c>
      <c r="E76" s="182">
        <f>+C76/D76</f>
        <v>1.1000000000000001E-2</v>
      </c>
      <c r="F76" s="120"/>
      <c r="G76" s="179"/>
      <c r="H76" s="122"/>
      <c r="I76" s="122"/>
      <c r="J76" s="122"/>
    </row>
    <row r="77" spans="2:13" ht="13.5" thickBot="1" x14ac:dyDescent="0.3">
      <c r="B77" s="144"/>
      <c r="C77" s="145"/>
      <c r="D77" s="145"/>
      <c r="E77" s="186"/>
      <c r="F77" s="120"/>
      <c r="G77" s="179"/>
      <c r="H77" s="122"/>
      <c r="I77" s="122"/>
    </row>
    <row r="78" spans="2:13" ht="13.5" thickBot="1" x14ac:dyDescent="0.3">
      <c r="B78" s="497" t="s">
        <v>169</v>
      </c>
      <c r="C78" s="498"/>
      <c r="D78" s="499"/>
      <c r="E78" s="182">
        <f>+E69+E74</f>
        <v>2.3994999999999997</v>
      </c>
      <c r="G78" s="120"/>
      <c r="H78" s="179"/>
      <c r="I78" s="122"/>
      <c r="J78" s="186"/>
    </row>
    <row r="79" spans="2:13" x14ac:dyDescent="0.25">
      <c r="I79" s="179"/>
      <c r="J79" s="105"/>
    </row>
    <row r="80" spans="2:13" ht="13.5" thickBot="1" x14ac:dyDescent="0.3">
      <c r="B80" s="496" t="s">
        <v>170</v>
      </c>
      <c r="C80" s="496"/>
      <c r="D80" s="496"/>
      <c r="E80" s="496"/>
      <c r="F80" s="496"/>
      <c r="G80" s="120"/>
      <c r="H80" s="179"/>
      <c r="J80" s="105"/>
    </row>
    <row r="81" spans="1:10" ht="13.5" thickBot="1" x14ac:dyDescent="0.3">
      <c r="B81" s="180" t="s">
        <v>164</v>
      </c>
      <c r="C81" s="181">
        <f>+C69</f>
        <v>187.2</v>
      </c>
      <c r="D81" s="181">
        <f>+D60</f>
        <v>1</v>
      </c>
      <c r="E81" s="182">
        <f>+C81/D81</f>
        <v>187.2</v>
      </c>
      <c r="F81" s="120"/>
      <c r="G81" s="179"/>
      <c r="H81" s="122"/>
      <c r="I81" s="179"/>
      <c r="J81" s="105"/>
    </row>
    <row r="82" spans="1:10" x14ac:dyDescent="0.25">
      <c r="B82" s="183"/>
      <c r="C82" s="184"/>
      <c r="D82" s="185"/>
      <c r="E82" s="168"/>
      <c r="F82" s="120"/>
      <c r="G82" s="179"/>
      <c r="H82" s="122"/>
      <c r="I82" s="122"/>
      <c r="J82" s="105"/>
    </row>
    <row r="83" spans="1:10" x14ac:dyDescent="0.25">
      <c r="B83" s="180" t="s">
        <v>165</v>
      </c>
      <c r="C83" s="181">
        <f>+C71</f>
        <v>192.04399999999998</v>
      </c>
      <c r="D83" s="181">
        <f>+D60</f>
        <v>1</v>
      </c>
      <c r="E83" s="186">
        <f>+C83/D83</f>
        <v>192.04399999999998</v>
      </c>
      <c r="F83" s="120"/>
      <c r="G83" s="179"/>
      <c r="H83" s="122"/>
      <c r="I83" s="122"/>
      <c r="J83" s="105"/>
    </row>
    <row r="84" spans="1:10" x14ac:dyDescent="0.25">
      <c r="B84" s="180"/>
      <c r="C84" s="181"/>
      <c r="D84" s="181"/>
      <c r="E84" s="186"/>
      <c r="F84" s="120"/>
      <c r="G84" s="179"/>
      <c r="H84" s="122"/>
      <c r="I84" s="122"/>
      <c r="J84" s="105"/>
    </row>
    <row r="85" spans="1:10" ht="13.5" thickBot="1" x14ac:dyDescent="0.3">
      <c r="B85" s="180" t="s">
        <v>167</v>
      </c>
      <c r="C85" s="181">
        <f>+C73</f>
        <v>30.5</v>
      </c>
      <c r="D85" s="181">
        <f>+D60</f>
        <v>1</v>
      </c>
      <c r="E85" s="186">
        <f>+C85/D85</f>
        <v>30.5</v>
      </c>
      <c r="F85" s="188"/>
      <c r="G85" s="178"/>
      <c r="H85" s="104"/>
      <c r="I85" s="122"/>
    </row>
    <row r="86" spans="1:10" ht="13.5" thickBot="1" x14ac:dyDescent="0.3">
      <c r="B86" s="180" t="s">
        <v>167</v>
      </c>
      <c r="C86" s="181">
        <f>+C74</f>
        <v>52.75</v>
      </c>
      <c r="D86" s="181">
        <f>+D85</f>
        <v>1</v>
      </c>
      <c r="E86" s="182">
        <f>+C86/D86</f>
        <v>52.75</v>
      </c>
      <c r="F86" s="187"/>
      <c r="G86" s="178"/>
      <c r="H86" s="104"/>
      <c r="I86" s="104"/>
    </row>
    <row r="87" spans="1:10" x14ac:dyDescent="0.25">
      <c r="I87" s="104"/>
    </row>
    <row r="88" spans="1:10" x14ac:dyDescent="0.2">
      <c r="A88" s="500"/>
      <c r="B88" s="500"/>
      <c r="C88" s="189"/>
      <c r="D88" s="189"/>
      <c r="E88" s="190"/>
      <c r="G88" s="191"/>
    </row>
    <row r="89" spans="1:10" x14ac:dyDescent="0.2">
      <c r="A89" s="123"/>
      <c r="B89" s="192"/>
      <c r="C89" s="193"/>
      <c r="D89" s="193"/>
      <c r="E89" s="194"/>
      <c r="G89" s="191"/>
    </row>
    <row r="90" spans="1:10" x14ac:dyDescent="0.2">
      <c r="A90" s="123"/>
      <c r="B90" s="192"/>
      <c r="C90" s="195"/>
      <c r="D90" s="195"/>
      <c r="E90" s="123"/>
      <c r="G90" s="191"/>
    </row>
    <row r="91" spans="1:10" x14ac:dyDescent="0.2">
      <c r="A91" s="123"/>
      <c r="B91" s="192"/>
      <c r="C91" s="196"/>
      <c r="D91" s="196"/>
      <c r="E91" s="123"/>
      <c r="G91" s="191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9526-6971-4B52-A715-A3E754B6576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4F646-2B0F-4088-9710-FBC66178E0F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FA3C92-EA4A-4C24-9B6D-6A33D0594AC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3F13153D-3B6D-4838-A3C8-33C7FB68DE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4E5339-ACF7-4BE8-92E8-B16C82592D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</vt:i4>
      </vt:variant>
    </vt:vector>
  </HeadingPairs>
  <TitlesOfParts>
    <vt:vector size="17" baseType="lpstr">
      <vt:lpstr>Emsamble Industria</vt:lpstr>
      <vt:lpstr>Costo Industria</vt:lpstr>
      <vt:lpstr>Locales</vt:lpstr>
      <vt:lpstr>Costo Locales </vt:lpstr>
      <vt:lpstr>Pecana triturada </vt:lpstr>
      <vt:lpstr>almibar </vt:lpstr>
      <vt:lpstr>Crema dulce de leche </vt:lpstr>
      <vt:lpstr>Costo Mousse de Manjar</vt:lpstr>
      <vt:lpstr>Costo Relleno suspiro</vt:lpstr>
      <vt:lpstr>Costo Rosquete Arrollado 80</vt:lpstr>
      <vt:lpstr>Hoja1</vt:lpstr>
      <vt:lpstr>Batido arrollado </vt:lpstr>
      <vt:lpstr>Premezcla Batido arrollado</vt:lpstr>
      <vt:lpstr>Costo Rosqute Arr 100</vt:lpstr>
      <vt:lpstr>Hoja4</vt:lpstr>
      <vt:lpstr>Hoja5</vt:lpstr>
      <vt:lpstr>'Emsamble Industria'!Área_de_impresión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Miguel Coto Consultor</cp:lastModifiedBy>
  <cp:lastPrinted>2025-02-27T20:34:33Z</cp:lastPrinted>
  <dcterms:created xsi:type="dcterms:W3CDTF">2023-12-15T05:05:18Z</dcterms:created>
  <dcterms:modified xsi:type="dcterms:W3CDTF">2025-02-27T20:34:34Z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
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45CDDF0F-6148-4703-AA9D-910B32658E11}" xr6:coauthVersionLast="47" xr6:coauthVersionMax="47" xr10:uidLastSave="{61438960-43CC-43D2-A203-A8863126EA09}"/>
  <bookViews>
    <workbookView xWindow="-120" yWindow="-120" windowWidth="20730" windowHeight="11040" tabRatio="835" firstSheet="9" activeTab="9" xr2:uid="{DB727E5C-7261-4A15-B8A1-729D76EEA651}"/>
  </bookViews>
  <sheets>
    <sheet name="Base de Galleta CK" sheetId="21" state="hidden" r:id="rId1"/>
    <sheet name="Base galleta Cheese Cake" sheetId="16" state="hidden" r:id="rId2"/>
    <sheet name="Corte Galleta Chilena " sheetId="17" state="hidden" r:id="rId3"/>
    <sheet name="Pasta torta Chilena " sheetId="18" state="hidden" r:id="rId4"/>
    <sheet name="Premezca pasta chilena " sheetId="19" state="hidden" r:id="rId5"/>
    <sheet name="Costo postre Lemon" sheetId="14" state="hidden" r:id="rId6"/>
    <sheet name="Costo Topping Lemon Court" sheetId="13" state="hidden" r:id="rId7"/>
    <sheet name="Costo Empaque Lemon Court" sheetId="12" state="hidden" r:id="rId8"/>
    <sheet name="Relleno Blanco de Limon" sheetId="10" state="hidden" r:id="rId9"/>
    <sheet name="Relleno Blanco de Limon 2" sheetId="20" r:id="rId10"/>
    <sheet name="Crema Chantilly Blanca" sheetId="15" state="hidden" r:id="rId11"/>
    <sheet name="Costo Relleno Blanco Limon" sheetId="11" state="hidden" r:id="rId12"/>
  </sheets>
  <externalReferences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1" l="1"/>
  <c r="H20" i="21"/>
  <c r="D20" i="21"/>
  <c r="B12" i="11" l="1"/>
  <c r="C8" i="11"/>
  <c r="D74" i="14"/>
  <c r="D76" i="14" s="1"/>
  <c r="D73" i="14"/>
  <c r="D71" i="14"/>
  <c r="D69" i="14"/>
  <c r="F65" i="14"/>
  <c r="E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1" i="14"/>
  <c r="D41" i="14"/>
  <c r="B41" i="14"/>
  <c r="A41" i="14"/>
  <c r="A50" i="14" s="1"/>
  <c r="C50" i="14" s="1"/>
  <c r="E40" i="14"/>
  <c r="D40" i="14"/>
  <c r="B40" i="14"/>
  <c r="A40" i="14"/>
  <c r="C40" i="14" s="1"/>
  <c r="E39" i="14"/>
  <c r="D39" i="14"/>
  <c r="B39" i="14"/>
  <c r="A39" i="14"/>
  <c r="A48" i="14" s="1"/>
  <c r="C48" i="14" s="1"/>
  <c r="A38" i="14"/>
  <c r="C38" i="14" s="1"/>
  <c r="A37" i="14"/>
  <c r="A46" i="14" s="1"/>
  <c r="C46" i="14" s="1"/>
  <c r="A36" i="14"/>
  <c r="C36" i="14" s="1"/>
  <c r="A35" i="14"/>
  <c r="A44" i="14" s="1"/>
  <c r="C44" i="14" s="1"/>
  <c r="F32" i="14"/>
  <c r="C32" i="14"/>
  <c r="C31" i="14"/>
  <c r="F30" i="14"/>
  <c r="C30" i="14"/>
  <c r="C29" i="14"/>
  <c r="C28" i="14"/>
  <c r="F27" i="14"/>
  <c r="C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C20" i="14"/>
  <c r="F19" i="14"/>
  <c r="C19" i="14"/>
  <c r="C18" i="14"/>
  <c r="C17" i="14"/>
  <c r="B15" i="14"/>
  <c r="E14" i="14"/>
  <c r="D14" i="14"/>
  <c r="C14" i="14"/>
  <c r="B14" i="14"/>
  <c r="E13" i="14"/>
  <c r="D13" i="14"/>
  <c r="C13" i="14"/>
  <c r="B13" i="14"/>
  <c r="E12" i="14"/>
  <c r="D12" i="14"/>
  <c r="C12" i="14"/>
  <c r="B12" i="14"/>
  <c r="E11" i="14"/>
  <c r="D11" i="14"/>
  <c r="C11" i="14"/>
  <c r="B11" i="14"/>
  <c r="E10" i="14"/>
  <c r="D10" i="14"/>
  <c r="C10" i="14"/>
  <c r="B10" i="14"/>
  <c r="E9" i="14"/>
  <c r="D9" i="14"/>
  <c r="C9" i="14"/>
  <c r="B9" i="14"/>
  <c r="C8" i="14"/>
  <c r="H6" i="14"/>
  <c r="D73" i="13"/>
  <c r="D74" i="13" s="1"/>
  <c r="D76" i="13" s="1"/>
  <c r="D71" i="13"/>
  <c r="D69" i="13"/>
  <c r="F65" i="13"/>
  <c r="C73" i="13" s="1"/>
  <c r="D60" i="13"/>
  <c r="D85" i="13" s="1"/>
  <c r="D86" i="13" s="1"/>
  <c r="C51" i="13"/>
  <c r="E50" i="13"/>
  <c r="D50" i="13"/>
  <c r="B50" i="13"/>
  <c r="E49" i="13"/>
  <c r="D49" i="13"/>
  <c r="B49" i="13"/>
  <c r="E48" i="13"/>
  <c r="D48" i="13"/>
  <c r="B48" i="13"/>
  <c r="E47" i="13"/>
  <c r="D47" i="13"/>
  <c r="B47" i="13"/>
  <c r="E46" i="13"/>
  <c r="D46" i="13"/>
  <c r="B46" i="13"/>
  <c r="E45" i="13"/>
  <c r="D45" i="13"/>
  <c r="B45" i="13"/>
  <c r="E44" i="13"/>
  <c r="D44" i="13"/>
  <c r="B44" i="13"/>
  <c r="E41" i="13"/>
  <c r="D41" i="13"/>
  <c r="B41" i="13"/>
  <c r="A41" i="13"/>
  <c r="A50" i="13" s="1"/>
  <c r="C50" i="13" s="1"/>
  <c r="E40" i="13"/>
  <c r="D40" i="13"/>
  <c r="B40" i="13"/>
  <c r="A40" i="13"/>
  <c r="C40" i="13" s="1"/>
  <c r="E39" i="13"/>
  <c r="D39" i="13"/>
  <c r="B39" i="13"/>
  <c r="A39" i="13"/>
  <c r="C39" i="13" s="1"/>
  <c r="E38" i="13"/>
  <c r="D38" i="13"/>
  <c r="B38" i="13"/>
  <c r="A38" i="13"/>
  <c r="A47" i="13" s="1"/>
  <c r="C47" i="13" s="1"/>
  <c r="E37" i="13"/>
  <c r="D37" i="13"/>
  <c r="C37" i="13"/>
  <c r="B37" i="13"/>
  <c r="A37" i="13"/>
  <c r="A46" i="13" s="1"/>
  <c r="C46" i="13" s="1"/>
  <c r="E36" i="13"/>
  <c r="F36" i="13" s="1"/>
  <c r="D36" i="13"/>
  <c r="B36" i="13"/>
  <c r="A36" i="13"/>
  <c r="C36" i="13" s="1"/>
  <c r="E35" i="13"/>
  <c r="F35" i="13" s="1"/>
  <c r="D35" i="13"/>
  <c r="B35" i="13"/>
  <c r="A35" i="13"/>
  <c r="C35" i="13" s="1"/>
  <c r="E32" i="13"/>
  <c r="D32" i="13"/>
  <c r="C32" i="13"/>
  <c r="B32" i="13"/>
  <c r="F31" i="13"/>
  <c r="E31" i="13"/>
  <c r="D31" i="13"/>
  <c r="C31" i="13"/>
  <c r="B31" i="13"/>
  <c r="E30" i="13"/>
  <c r="D30" i="13"/>
  <c r="C30" i="13"/>
  <c r="F30" i="13" s="1"/>
  <c r="B30" i="13"/>
  <c r="E29" i="13"/>
  <c r="D29" i="13"/>
  <c r="C29" i="13"/>
  <c r="B29" i="13"/>
  <c r="E28" i="13"/>
  <c r="D28" i="13"/>
  <c r="C28" i="13"/>
  <c r="F28" i="13" s="1"/>
  <c r="B28" i="13"/>
  <c r="E27" i="13"/>
  <c r="D27" i="13"/>
  <c r="C27" i="13"/>
  <c r="F27" i="13" s="1"/>
  <c r="B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E18" i="13"/>
  <c r="F18" i="13" s="1"/>
  <c r="D18" i="13"/>
  <c r="C18" i="13"/>
  <c r="B18" i="13"/>
  <c r="E17" i="13"/>
  <c r="F17" i="13" s="1"/>
  <c r="D17" i="13"/>
  <c r="C17" i="13"/>
  <c r="B17" i="13"/>
  <c r="B15" i="13"/>
  <c r="E14" i="13"/>
  <c r="F14" i="13" s="1"/>
  <c r="D14" i="13"/>
  <c r="C14" i="13"/>
  <c r="B14" i="13"/>
  <c r="F13" i="13"/>
  <c r="C13" i="13"/>
  <c r="F12" i="13"/>
  <c r="C12" i="13"/>
  <c r="C11" i="13"/>
  <c r="C10" i="13"/>
  <c r="C9" i="13"/>
  <c r="F8" i="13"/>
  <c r="C8" i="13"/>
  <c r="H6" i="13"/>
  <c r="D73" i="12"/>
  <c r="D74" i="12" s="1"/>
  <c r="D76" i="12" s="1"/>
  <c r="D71" i="12"/>
  <c r="D69" i="12"/>
  <c r="F65" i="12"/>
  <c r="C73" i="12" s="1"/>
  <c r="D60" i="12"/>
  <c r="D81" i="12" s="1"/>
  <c r="E51" i="12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1" i="12"/>
  <c r="D41" i="12"/>
  <c r="C41" i="12"/>
  <c r="B41" i="12"/>
  <c r="A41" i="12"/>
  <c r="A50" i="12" s="1"/>
  <c r="C50" i="12" s="1"/>
  <c r="E40" i="12"/>
  <c r="D40" i="12"/>
  <c r="B40" i="12"/>
  <c r="A40" i="12"/>
  <c r="C40" i="12" s="1"/>
  <c r="E39" i="12"/>
  <c r="D39" i="12"/>
  <c r="B39" i="12"/>
  <c r="A39" i="12"/>
  <c r="C39" i="12" s="1"/>
  <c r="E38" i="12"/>
  <c r="D38" i="12"/>
  <c r="B38" i="12"/>
  <c r="A38" i="12"/>
  <c r="A47" i="12" s="1"/>
  <c r="C47" i="12" s="1"/>
  <c r="E37" i="12"/>
  <c r="F37" i="12" s="1"/>
  <c r="D37" i="12"/>
  <c r="C37" i="12"/>
  <c r="B37" i="12"/>
  <c r="A37" i="12"/>
  <c r="A46" i="12" s="1"/>
  <c r="C46" i="12" s="1"/>
  <c r="E36" i="12"/>
  <c r="D36" i="12"/>
  <c r="B36" i="12"/>
  <c r="A36" i="12"/>
  <c r="C36" i="12" s="1"/>
  <c r="A35" i="12"/>
  <c r="C35" i="12" s="1"/>
  <c r="E32" i="12"/>
  <c r="D32" i="12"/>
  <c r="C32" i="12"/>
  <c r="B32" i="12"/>
  <c r="E31" i="12"/>
  <c r="D31" i="12"/>
  <c r="C31" i="12"/>
  <c r="B31" i="12"/>
  <c r="E30" i="12"/>
  <c r="F30" i="12" s="1"/>
  <c r="D30" i="12"/>
  <c r="C30" i="12"/>
  <c r="B30" i="12"/>
  <c r="C29" i="12"/>
  <c r="F28" i="12"/>
  <c r="C28" i="12"/>
  <c r="C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E18" i="12"/>
  <c r="F18" i="12" s="1"/>
  <c r="D18" i="12"/>
  <c r="C18" i="12"/>
  <c r="B18" i="12"/>
  <c r="C17" i="12"/>
  <c r="B15" i="12"/>
  <c r="E14" i="12"/>
  <c r="D14" i="12"/>
  <c r="C14" i="12"/>
  <c r="B14" i="12"/>
  <c r="E13" i="12"/>
  <c r="F13" i="12" s="1"/>
  <c r="D13" i="12"/>
  <c r="C13" i="12"/>
  <c r="B13" i="12"/>
  <c r="E12" i="12"/>
  <c r="D12" i="12"/>
  <c r="C12" i="12"/>
  <c r="F12" i="12" s="1"/>
  <c r="B12" i="12"/>
  <c r="E11" i="12"/>
  <c r="D11" i="12"/>
  <c r="C11" i="12"/>
  <c r="F11" i="12" s="1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H6" i="12"/>
  <c r="D73" i="11"/>
  <c r="D74" i="11" s="1"/>
  <c r="D76" i="11" s="1"/>
  <c r="D71" i="11"/>
  <c r="D69" i="11"/>
  <c r="F65" i="11"/>
  <c r="E51" i="11" s="1"/>
  <c r="F51" i="11" s="1"/>
  <c r="D60" i="11"/>
  <c r="D85" i="11" s="1"/>
  <c r="D86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E41" i="11"/>
  <c r="D41" i="11"/>
  <c r="C41" i="11"/>
  <c r="B41" i="11"/>
  <c r="A41" i="11"/>
  <c r="A50" i="11" s="1"/>
  <c r="C50" i="11" s="1"/>
  <c r="E40" i="11"/>
  <c r="D40" i="11"/>
  <c r="C40" i="11"/>
  <c r="B40" i="11"/>
  <c r="A40" i="11"/>
  <c r="A49" i="11" s="1"/>
  <c r="C49" i="11" s="1"/>
  <c r="E39" i="11"/>
  <c r="D39" i="11"/>
  <c r="B39" i="11"/>
  <c r="A39" i="11"/>
  <c r="C39" i="11" s="1"/>
  <c r="E38" i="11"/>
  <c r="F38" i="11" s="1"/>
  <c r="D38" i="11"/>
  <c r="B38" i="11"/>
  <c r="A38" i="11"/>
  <c r="C38" i="11" s="1"/>
  <c r="E37" i="11"/>
  <c r="D37" i="11"/>
  <c r="B37" i="11"/>
  <c r="A37" i="11"/>
  <c r="A46" i="11" s="1"/>
  <c r="C46" i="11" s="1"/>
  <c r="E36" i="11"/>
  <c r="D36" i="11"/>
  <c r="B36" i="11"/>
  <c r="A36" i="11"/>
  <c r="A45" i="11" s="1"/>
  <c r="C45" i="11" s="1"/>
  <c r="A35" i="11"/>
  <c r="C35" i="11" s="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D23" i="11"/>
  <c r="C23" i="11"/>
  <c r="B23" i="11"/>
  <c r="E22" i="11"/>
  <c r="F22" i="11" s="1"/>
  <c r="D22" i="11"/>
  <c r="C22" i="11"/>
  <c r="B22" i="11"/>
  <c r="E21" i="1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C17" i="11"/>
  <c r="B15" i="11"/>
  <c r="E14" i="11"/>
  <c r="F14" i="11" s="1"/>
  <c r="D14" i="11"/>
  <c r="C14" i="11"/>
  <c r="B14" i="11"/>
  <c r="E13" i="11"/>
  <c r="D13" i="11"/>
  <c r="C13" i="11"/>
  <c r="B13" i="11"/>
  <c r="E12" i="11"/>
  <c r="D12" i="11"/>
  <c r="C12" i="11"/>
  <c r="C11" i="11"/>
  <c r="F10" i="11"/>
  <c r="C10" i="11"/>
  <c r="C9" i="11"/>
  <c r="H6" i="11"/>
  <c r="E14" i="10"/>
  <c r="E10" i="10"/>
  <c r="E9" i="10"/>
  <c r="F9" i="12" l="1"/>
  <c r="F29" i="13"/>
  <c r="F48" i="14"/>
  <c r="F10" i="12"/>
  <c r="F51" i="14"/>
  <c r="D81" i="14"/>
  <c r="D83" i="14"/>
  <c r="F50" i="14"/>
  <c r="F40" i="14"/>
  <c r="A47" i="14"/>
  <c r="C47" i="14" s="1"/>
  <c r="C39" i="14"/>
  <c r="F39" i="14" s="1"/>
  <c r="F9" i="14"/>
  <c r="F10" i="14"/>
  <c r="F11" i="14"/>
  <c r="F12" i="14"/>
  <c r="F13" i="14"/>
  <c r="F14" i="14"/>
  <c r="F31" i="14"/>
  <c r="F29" i="14"/>
  <c r="F28" i="14"/>
  <c r="F46" i="14"/>
  <c r="F51" i="12"/>
  <c r="F47" i="12"/>
  <c r="F31" i="12"/>
  <c r="F32" i="12"/>
  <c r="F41" i="12"/>
  <c r="F36" i="12"/>
  <c r="C38" i="12"/>
  <c r="F38" i="12" s="1"/>
  <c r="F14" i="12"/>
  <c r="F8" i="12"/>
  <c r="D85" i="12"/>
  <c r="D86" i="12" s="1"/>
  <c r="F29" i="12"/>
  <c r="F27" i="12"/>
  <c r="F44" i="14"/>
  <c r="F17" i="14"/>
  <c r="C35" i="14"/>
  <c r="F35" i="14"/>
  <c r="F8" i="14"/>
  <c r="C38" i="13"/>
  <c r="F46" i="13"/>
  <c r="F50" i="13"/>
  <c r="F37" i="13"/>
  <c r="C41" i="13"/>
  <c r="F41" i="13" s="1"/>
  <c r="F32" i="13"/>
  <c r="F38" i="13"/>
  <c r="E51" i="13"/>
  <c r="F51" i="13" s="1"/>
  <c r="F11" i="13"/>
  <c r="F10" i="13"/>
  <c r="F9" i="13"/>
  <c r="F27" i="11"/>
  <c r="F28" i="11"/>
  <c r="F29" i="11"/>
  <c r="F30" i="11"/>
  <c r="F31" i="11"/>
  <c r="F32" i="11"/>
  <c r="F45" i="11"/>
  <c r="F40" i="11"/>
  <c r="F50" i="11"/>
  <c r="F39" i="11"/>
  <c r="F21" i="11"/>
  <c r="F23" i="11"/>
  <c r="F46" i="11"/>
  <c r="C36" i="11"/>
  <c r="F36" i="11" s="1"/>
  <c r="F49" i="11"/>
  <c r="C37" i="11"/>
  <c r="F37" i="11" s="1"/>
  <c r="F41" i="11"/>
  <c r="F13" i="11"/>
  <c r="D83" i="11"/>
  <c r="F11" i="11"/>
  <c r="F12" i="11"/>
  <c r="F8" i="11"/>
  <c r="F9" i="11"/>
  <c r="F35" i="11"/>
  <c r="F17" i="11"/>
  <c r="C37" i="14"/>
  <c r="F37" i="14" s="1"/>
  <c r="C41" i="14"/>
  <c r="F41" i="14" s="1"/>
  <c r="A45" i="14"/>
  <c r="C45" i="14" s="1"/>
  <c r="A49" i="14"/>
  <c r="C49" i="14" s="1"/>
  <c r="F49" i="14" s="1"/>
  <c r="C73" i="14"/>
  <c r="C85" i="13"/>
  <c r="E85" i="13" s="1"/>
  <c r="E73" i="13"/>
  <c r="F39" i="13"/>
  <c r="F40" i="13"/>
  <c r="F47" i="13"/>
  <c r="A45" i="13"/>
  <c r="C45" i="13" s="1"/>
  <c r="F45" i="13" s="1"/>
  <c r="A49" i="13"/>
  <c r="C49" i="13" s="1"/>
  <c r="F49" i="13" s="1"/>
  <c r="D83" i="13"/>
  <c r="A44" i="13"/>
  <c r="C44" i="13" s="1"/>
  <c r="F44" i="13" s="1"/>
  <c r="A48" i="13"/>
  <c r="C48" i="13" s="1"/>
  <c r="F48" i="13" s="1"/>
  <c r="D81" i="13"/>
  <c r="F39" i="12"/>
  <c r="F40" i="12"/>
  <c r="F46" i="12"/>
  <c r="F50" i="12"/>
  <c r="C85" i="12"/>
  <c r="E73" i="12"/>
  <c r="A45" i="12"/>
  <c r="C45" i="12" s="1"/>
  <c r="F45" i="12" s="1"/>
  <c r="A49" i="12"/>
  <c r="C49" i="12" s="1"/>
  <c r="F49" i="12" s="1"/>
  <c r="D83" i="12"/>
  <c r="A44" i="12"/>
  <c r="C44" i="12" s="1"/>
  <c r="A48" i="12"/>
  <c r="C48" i="12" s="1"/>
  <c r="F48" i="12" s="1"/>
  <c r="A44" i="11"/>
  <c r="C44" i="11" s="1"/>
  <c r="F44" i="11" s="1"/>
  <c r="A48" i="11"/>
  <c r="C48" i="11" s="1"/>
  <c r="F48" i="11" s="1"/>
  <c r="D81" i="11"/>
  <c r="A47" i="11"/>
  <c r="C47" i="11" s="1"/>
  <c r="F47" i="11" s="1"/>
  <c r="C73" i="11"/>
  <c r="F54" i="13" l="1"/>
  <c r="H54" i="13" s="1"/>
  <c r="G2" i="13" s="1"/>
  <c r="E85" i="12"/>
  <c r="F53" i="13"/>
  <c r="H53" i="13" s="1"/>
  <c r="F2" i="13" s="1"/>
  <c r="F54" i="11"/>
  <c r="H54" i="11" s="1"/>
  <c r="G2" i="11" s="1"/>
  <c r="F53" i="11"/>
  <c r="C85" i="14"/>
  <c r="E85" i="14" s="1"/>
  <c r="E73" i="14"/>
  <c r="F56" i="13"/>
  <c r="F56" i="11"/>
  <c r="C85" i="11"/>
  <c r="E85" i="11" s="1"/>
  <c r="E73" i="11"/>
  <c r="D24" i="10"/>
  <c r="E13" i="10"/>
  <c r="E12" i="10"/>
  <c r="E11" i="10"/>
  <c r="C76" i="13" l="1"/>
  <c r="E76" i="13" s="1"/>
  <c r="E35" i="12" s="1"/>
  <c r="F35" i="12" s="1"/>
  <c r="F54" i="12" s="1"/>
  <c r="C76" i="11"/>
  <c r="E76" i="11" s="1"/>
  <c r="E36" i="14" s="1"/>
  <c r="F36" i="14" s="1"/>
  <c r="C69" i="13"/>
  <c r="E69" i="13" s="1"/>
  <c r="E17" i="12" s="1"/>
  <c r="F17" i="12" s="1"/>
  <c r="F53" i="12" s="1"/>
  <c r="F55" i="13"/>
  <c r="H55" i="13" s="1"/>
  <c r="F64" i="13"/>
  <c r="F55" i="11"/>
  <c r="H55" i="11" s="1"/>
  <c r="H53" i="11"/>
  <c r="F2" i="11" s="1"/>
  <c r="F64" i="11"/>
  <c r="C69" i="11"/>
  <c r="C81" i="11" s="1"/>
  <c r="E81" i="11" s="1"/>
  <c r="H56" i="13"/>
  <c r="C74" i="13"/>
  <c r="H56" i="11"/>
  <c r="C74" i="11"/>
  <c r="C81" i="13" l="1"/>
  <c r="E81" i="13" s="1"/>
  <c r="H54" i="12"/>
  <c r="G2" i="12" s="1"/>
  <c r="C76" i="12"/>
  <c r="E76" i="12" s="1"/>
  <c r="E38" i="14" s="1"/>
  <c r="F38" i="14" s="1"/>
  <c r="F54" i="14" s="1"/>
  <c r="F55" i="12"/>
  <c r="H53" i="12"/>
  <c r="F2" i="12" s="1"/>
  <c r="F64" i="12"/>
  <c r="C69" i="12"/>
  <c r="O54" i="11"/>
  <c r="O56" i="11" s="1"/>
  <c r="F63" i="11"/>
  <c r="E63" i="11" s="1"/>
  <c r="O54" i="13"/>
  <c r="O56" i="13" s="1"/>
  <c r="F63" i="13"/>
  <c r="E63" i="13" s="1"/>
  <c r="E69" i="11"/>
  <c r="E18" i="14" s="1"/>
  <c r="F18" i="14" s="1"/>
  <c r="E74" i="13"/>
  <c r="C86" i="13"/>
  <c r="E86" i="13" s="1"/>
  <c r="H2" i="13"/>
  <c r="H58" i="13"/>
  <c r="H59" i="13" s="1"/>
  <c r="O58" i="13" s="1"/>
  <c r="O55" i="13"/>
  <c r="E74" i="11"/>
  <c r="C86" i="11"/>
  <c r="E86" i="11" s="1"/>
  <c r="H2" i="11"/>
  <c r="H58" i="11"/>
  <c r="H59" i="11" s="1"/>
  <c r="O58" i="11" s="1"/>
  <c r="O55" i="11"/>
  <c r="H54" i="14" l="1"/>
  <c r="G2" i="14" s="1"/>
  <c r="C76" i="14"/>
  <c r="E76" i="14" s="1"/>
  <c r="C71" i="11"/>
  <c r="E71" i="11" s="1"/>
  <c r="E78" i="11"/>
  <c r="E45" i="14"/>
  <c r="F45" i="14" s="1"/>
  <c r="E78" i="13"/>
  <c r="E44" i="12"/>
  <c r="F44" i="12" s="1"/>
  <c r="F56" i="12" s="1"/>
  <c r="C71" i="13"/>
  <c r="C83" i="13" s="1"/>
  <c r="E83" i="13" s="1"/>
  <c r="E69" i="12"/>
  <c r="E20" i="14" s="1"/>
  <c r="F20" i="14" s="1"/>
  <c r="F53" i="14" s="1"/>
  <c r="C81" i="12"/>
  <c r="E81" i="12" s="1"/>
  <c r="F66" i="11"/>
  <c r="G63" i="11" s="1"/>
  <c r="F63" i="12"/>
  <c r="O54" i="12"/>
  <c r="O56" i="12" s="1"/>
  <c r="H55" i="12"/>
  <c r="O57" i="13"/>
  <c r="O59" i="13" s="1"/>
  <c r="O60" i="13" s="1"/>
  <c r="F66" i="13"/>
  <c r="G63" i="13" s="1"/>
  <c r="O57" i="11"/>
  <c r="O59" i="11" s="1"/>
  <c r="O60" i="11"/>
  <c r="O61" i="11" s="1"/>
  <c r="O62" i="11" s="1"/>
  <c r="G18" i="11"/>
  <c r="G19" i="11"/>
  <c r="G41" i="11"/>
  <c r="G13" i="11"/>
  <c r="G39" i="11"/>
  <c r="G65" i="11"/>
  <c r="G47" i="11"/>
  <c r="G49" i="11" l="1"/>
  <c r="G11" i="11"/>
  <c r="G48" i="11"/>
  <c r="G14" i="11"/>
  <c r="G29" i="11"/>
  <c r="G54" i="11"/>
  <c r="G66" i="11"/>
  <c r="G45" i="11"/>
  <c r="G10" i="11"/>
  <c r="G38" i="11"/>
  <c r="G30" i="11"/>
  <c r="G32" i="11"/>
  <c r="G23" i="11"/>
  <c r="G44" i="11"/>
  <c r="G17" i="11"/>
  <c r="G27" i="11"/>
  <c r="G28" i="11"/>
  <c r="G37" i="11"/>
  <c r="G53" i="11"/>
  <c r="G22" i="11"/>
  <c r="G21" i="11"/>
  <c r="C83" i="11"/>
  <c r="E83" i="11" s="1"/>
  <c r="G35" i="11"/>
  <c r="E71" i="13"/>
  <c r="G8" i="11"/>
  <c r="G24" i="11"/>
  <c r="C69" i="14"/>
  <c r="H53" i="14"/>
  <c r="F2" i="14" s="1"/>
  <c r="F55" i="14"/>
  <c r="F64" i="14"/>
  <c r="G45" i="13"/>
  <c r="G9" i="13"/>
  <c r="G14" i="13"/>
  <c r="G19" i="13"/>
  <c r="G10" i="13"/>
  <c r="G8" i="13"/>
  <c r="G40" i="13"/>
  <c r="G51" i="13"/>
  <c r="G32" i="13"/>
  <c r="C71" i="12"/>
  <c r="E63" i="12"/>
  <c r="F66" i="12"/>
  <c r="G37" i="13"/>
  <c r="G28" i="13"/>
  <c r="G35" i="13"/>
  <c r="G13" i="13"/>
  <c r="G46" i="13"/>
  <c r="H56" i="12"/>
  <c r="C74" i="12"/>
  <c r="G55" i="13"/>
  <c r="G17" i="13"/>
  <c r="G56" i="11"/>
  <c r="G40" i="11"/>
  <c r="G20" i="11"/>
  <c r="G9" i="11"/>
  <c r="G56" i="12"/>
  <c r="G64" i="13"/>
  <c r="G38" i="13"/>
  <c r="G55" i="11"/>
  <c r="G12" i="11"/>
  <c r="G50" i="11"/>
  <c r="G31" i="11"/>
  <c r="G54" i="13"/>
  <c r="G20" i="13"/>
  <c r="G64" i="11"/>
  <c r="G51" i="11"/>
  <c r="G36" i="11"/>
  <c r="G46" i="11"/>
  <c r="G47" i="13"/>
  <c r="G11" i="13"/>
  <c r="O61" i="13"/>
  <c r="O62" i="13" s="1"/>
  <c r="E2" i="13" s="1"/>
  <c r="G56" i="13"/>
  <c r="G53" i="13"/>
  <c r="G48" i="13"/>
  <c r="G22" i="13"/>
  <c r="G30" i="13"/>
  <c r="G65" i="13"/>
  <c r="G36" i="13"/>
  <c r="G31" i="13"/>
  <c r="G12" i="13"/>
  <c r="G41" i="13"/>
  <c r="G66" i="13"/>
  <c r="G44" i="13"/>
  <c r="G39" i="13"/>
  <c r="G49" i="13"/>
  <c r="G18" i="13"/>
  <c r="G21" i="13"/>
  <c r="G29" i="13"/>
  <c r="G24" i="13"/>
  <c r="G27" i="13"/>
  <c r="G50" i="13"/>
  <c r="G23" i="13"/>
  <c r="P62" i="11"/>
  <c r="E2" i="11"/>
  <c r="P62" i="13" l="1"/>
  <c r="H58" i="12"/>
  <c r="H59" i="12" s="1"/>
  <c r="O58" i="12" s="1"/>
  <c r="H2" i="12"/>
  <c r="O55" i="12"/>
  <c r="O57" i="12" s="1"/>
  <c r="G8" i="12"/>
  <c r="G17" i="12"/>
  <c r="G31" i="12"/>
  <c r="G50" i="12"/>
  <c r="G41" i="12"/>
  <c r="G35" i="12"/>
  <c r="G21" i="12"/>
  <c r="G55" i="12"/>
  <c r="G19" i="12"/>
  <c r="G51" i="12"/>
  <c r="G38" i="12"/>
  <c r="G32" i="12"/>
  <c r="G18" i="12"/>
  <c r="G45" i="12"/>
  <c r="G64" i="12"/>
  <c r="G22" i="12"/>
  <c r="G10" i="12"/>
  <c r="G40" i="12"/>
  <c r="G63" i="12"/>
  <c r="G14" i="12"/>
  <c r="G28" i="12"/>
  <c r="G12" i="12"/>
  <c r="G47" i="12"/>
  <c r="G30" i="12"/>
  <c r="G11" i="12"/>
  <c r="G46" i="12"/>
  <c r="G20" i="12"/>
  <c r="G27" i="12"/>
  <c r="G54" i="12"/>
  <c r="G39" i="12"/>
  <c r="G44" i="12"/>
  <c r="G66" i="12"/>
  <c r="G37" i="12"/>
  <c r="G23" i="12"/>
  <c r="G48" i="12"/>
  <c r="G29" i="12"/>
  <c r="G36" i="12"/>
  <c r="G49" i="12"/>
  <c r="G9" i="12"/>
  <c r="G24" i="12"/>
  <c r="G65" i="12"/>
  <c r="G13" i="12"/>
  <c r="G53" i="12"/>
  <c r="C83" i="12"/>
  <c r="E83" i="12" s="1"/>
  <c r="E71" i="12"/>
  <c r="O54" i="14"/>
  <c r="F63" i="14"/>
  <c r="H55" i="14"/>
  <c r="E74" i="12"/>
  <c r="C86" i="12"/>
  <c r="E86" i="12" s="1"/>
  <c r="C81" i="14"/>
  <c r="E81" i="14" s="1"/>
  <c r="E69" i="14"/>
  <c r="O59" i="12" l="1"/>
  <c r="O60" i="12" s="1"/>
  <c r="O61" i="12" s="1"/>
  <c r="O62" i="12" s="1"/>
  <c r="E78" i="12"/>
  <c r="E47" i="14"/>
  <c r="F47" i="14" s="1"/>
  <c r="F66" i="14"/>
  <c r="E63" i="14"/>
  <c r="C71" i="14"/>
  <c r="P62" i="12"/>
  <c r="E2" i="12"/>
  <c r="O56" i="14"/>
  <c r="C83" i="14" l="1"/>
  <c r="E83" i="14" s="1"/>
  <c r="E71" i="14"/>
  <c r="G63" i="14"/>
  <c r="G18" i="14"/>
  <c r="G9" i="14"/>
  <c r="G51" i="14"/>
  <c r="G44" i="14"/>
  <c r="G13" i="14"/>
  <c r="G32" i="14"/>
  <c r="G36" i="14"/>
  <c r="G29" i="14"/>
  <c r="G54" i="14"/>
  <c r="G39" i="14"/>
  <c r="G28" i="14"/>
  <c r="G30" i="14"/>
  <c r="G8" i="14"/>
  <c r="G23" i="14"/>
  <c r="G48" i="14"/>
  <c r="G21" i="14"/>
  <c r="G41" i="14"/>
  <c r="G37" i="14"/>
  <c r="G66" i="14"/>
  <c r="G22" i="14"/>
  <c r="G27" i="14"/>
  <c r="G12" i="14"/>
  <c r="G11" i="14"/>
  <c r="G19" i="14"/>
  <c r="G10" i="14"/>
  <c r="G49" i="14"/>
  <c r="G35" i="14"/>
  <c r="G65" i="14"/>
  <c r="G24" i="14"/>
  <c r="G38" i="14"/>
  <c r="G17" i="14"/>
  <c r="G14" i="14"/>
  <c r="G45" i="14"/>
  <c r="G40" i="14"/>
  <c r="G46" i="14"/>
  <c r="G31" i="14"/>
  <c r="G50" i="14"/>
  <c r="G53" i="14"/>
  <c r="G20" i="14"/>
  <c r="G64" i="14"/>
  <c r="G55" i="14"/>
  <c r="G47" i="14"/>
  <c r="F56" i="14"/>
  <c r="H56" i="14" l="1"/>
  <c r="C74" i="14"/>
  <c r="G56" i="14"/>
  <c r="E74" i="14" l="1"/>
  <c r="E78" i="14" s="1"/>
  <c r="C86" i="14"/>
  <c r="E86" i="14" s="1"/>
  <c r="H58" i="14"/>
  <c r="H59" i="14" s="1"/>
  <c r="O58" i="14" s="1"/>
  <c r="O55" i="14"/>
  <c r="O57" i="14" s="1"/>
  <c r="H2" i="14"/>
  <c r="O59" i="14" l="1"/>
  <c r="O60" i="14"/>
  <c r="O61" i="14"/>
  <c r="O62" i="14" s="1"/>
  <c r="P62" i="14" l="1"/>
  <c r="E2" i="14"/>
</calcChain>
</file>

<file path=xl/sharedStrings.xml><?xml version="1.0" encoding="utf-8"?>
<sst xmlns="http://schemas.openxmlformats.org/spreadsheetml/2006/main" count="1049" uniqueCount="269">
  <si>
    <t>SERVICIOS DE PASTELERIA S.A.</t>
  </si>
  <si>
    <t>CÓDIGO: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</si>
  <si>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</si>
  <si>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</si>
  <si>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</si>
  <si>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</si>
  <si>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</si>
  <si>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</si>
  <si>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</si>
  <si>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</si>
  <si>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</si>
  <si>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</si>
  <si>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</si>
  <si>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Cantidad</t>
  </si>
  <si>
    <t xml:space="preserve">Unidad medida </t>
  </si>
  <si>
    <t>FAS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</si>
  <si>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</si>
  <si>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</si>
  <si>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</si>
  <si>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</si>
  <si>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</si>
  <si>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</si>
  <si>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</si>
  <si>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</si>
  <si>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CONTROL DE CAMBIOS</t>
  </si>
  <si>
    <t>ud</t>
  </si>
  <si>
    <t>EM10004</t>
  </si>
  <si>
    <t>ETIQ.FECHA VENCIMIENTO BLANCO (ROLLO)</t>
  </si>
  <si>
    <t>EM10002</t>
  </si>
  <si>
    <t>ETIQ.BLANCA 1 1/4 * 3/4 (UND)</t>
  </si>
  <si>
    <t>MP10074</t>
  </si>
  <si>
    <t>Azucar Blanco Industrial</t>
  </si>
  <si>
    <t>MP10026</t>
  </si>
  <si>
    <t>Almidon Modificado</t>
  </si>
  <si>
    <t>ASEAL</t>
  </si>
  <si>
    <t xml:space="preserve">Agua </t>
  </si>
  <si>
    <t>MP10240</t>
  </si>
  <si>
    <t>Limones Maya</t>
  </si>
  <si>
    <t>MP10008</t>
  </si>
  <si>
    <t>Preservante 1047S</t>
  </si>
  <si>
    <t>MP10239</t>
  </si>
  <si>
    <t>Limon En Polvo</t>
  </si>
  <si>
    <t>MP10150</t>
  </si>
  <si>
    <t>Colorante Gel Egg Yellow</t>
  </si>
  <si>
    <t>NUEVO</t>
  </si>
  <si>
    <t>RELLENO LEMON COURT</t>
  </si>
  <si>
    <t>EM10016</t>
  </si>
  <si>
    <t>BOLSA 17x25 TRANSP (KILO)</t>
  </si>
  <si>
    <t>SE00041</t>
  </si>
  <si>
    <t>SE00010</t>
  </si>
  <si>
    <t>Crema Chantilly Blanca (Spoon-Ind)</t>
  </si>
  <si>
    <t>MP10050</t>
  </si>
  <si>
    <t>Leche Condensada</t>
  </si>
  <si>
    <t>MP10043</t>
  </si>
  <si>
    <t>Gelatina Pura</t>
  </si>
  <si>
    <t>Mayca</t>
  </si>
  <si>
    <t>Nestle</t>
  </si>
  <si>
    <t>Resoco</t>
  </si>
  <si>
    <t>MP10002</t>
  </si>
  <si>
    <t>Aceite Capullo Rbd</t>
  </si>
  <si>
    <t>BASE GALLETA P/CHEESE CAKE (KILO)</t>
  </si>
  <si>
    <t xml:space="preserve">Relleno Blanco de Limon </t>
  </si>
  <si>
    <t>Toping de Lemon Court</t>
  </si>
  <si>
    <t xml:space="preserve">1. En la Batidora agregar la crema cantilly Blanca montada, agregar la leche condensada, el limon el polvo y revolver. </t>
  </si>
  <si>
    <t xml:space="preserve">2. Hidratar la gelatina con el agua, derretirla y temperarla con la mezcla anterior y agregarla en forma de hilo a la mezcla. </t>
  </si>
  <si>
    <t xml:space="preserve">3. Utilizar inmediatamente. </t>
  </si>
  <si>
    <t>Relleno blanco de Limon</t>
  </si>
  <si>
    <t>EM10015</t>
  </si>
  <si>
    <t>TAPA BAND ALUM. DESE 4040)</t>
  </si>
  <si>
    <t>EM10111</t>
  </si>
  <si>
    <t>ETIQ CIRCULO BUCCA DULCE (UND)</t>
  </si>
  <si>
    <t>EM10011</t>
  </si>
  <si>
    <t>Etiqueta Blanca 2 5/8X1 15/16</t>
  </si>
  <si>
    <t>EM10124</t>
  </si>
  <si>
    <t>Etiqueta Blanca R-153</t>
  </si>
  <si>
    <t>ESP-RE-POS-415</t>
  </si>
  <si>
    <t>Mariela Barrantes Sánchez</t>
  </si>
  <si>
    <t>Esteban Cartin, Gte Manufactura</t>
  </si>
  <si>
    <t xml:space="preserve">Postres </t>
  </si>
  <si>
    <t xml:space="preserve"># Código </t>
  </si>
  <si>
    <t>Unidad Internacional</t>
  </si>
  <si>
    <t>Medida alternativa</t>
  </si>
  <si>
    <t xml:space="preserve">Costo - Referencia </t>
  </si>
  <si>
    <t>Colones</t>
  </si>
  <si>
    <t>Tiempo de Horneo:</t>
  </si>
  <si>
    <t>min</t>
  </si>
  <si>
    <t>Horno:</t>
  </si>
  <si>
    <t>tanda</t>
  </si>
  <si>
    <t>Temperatura de Horneo:</t>
  </si>
  <si>
    <t>Otros</t>
  </si>
  <si>
    <t>Para  Gelatina</t>
  </si>
  <si>
    <t>MP10025</t>
  </si>
  <si>
    <t>Preservante 1017S</t>
  </si>
  <si>
    <t>EM10014</t>
  </si>
  <si>
    <t>BANDEJA ALUM DESE 6 PORC #4040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</si>
  <si>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</si>
  <si>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</si>
  <si>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</si>
  <si>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</si>
  <si>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</si>
  <si>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</si>
  <si>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</si>
  <si>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</si>
  <si>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</si>
  <si>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</si>
  <si>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</si>
  <si>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</si>
  <si>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</si>
  <si>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</si>
  <si>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</si>
  <si>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</si>
  <si>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</si>
  <si>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</si>
  <si>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</si>
  <si>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</si>
  <si>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</si>
  <si>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</si>
  <si>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</si>
  <si>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</si>
  <si>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</si>
  <si>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</si>
  <si>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</si>
  <si>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</si>
  <si>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</si>
  <si>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</si>
  <si>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</si>
  <si>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</si>
  <si>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</si>
  <si>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</si>
  <si>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</si>
  <si>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</si>
  <si>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</si>
  <si>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</si>
  <si>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</si>
  <si>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</si>
  <si>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</si>
  <si>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</si>
  <si>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</si>
  <si>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</si>
  <si>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</si>
  <si>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</si>
  <si>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</si>
  <si>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</si>
  <si>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</si>
  <si>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</si>
  <si>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</si>
  <si>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</si>
  <si>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</si>
  <si>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</si>
  <si>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ESP-RE-DES-018</t>
  </si>
  <si>
    <t>Crema Blanca Spoon (20800g)  SE00010</t>
  </si>
  <si>
    <t>Javier Tong, Chef</t>
  </si>
  <si>
    <t>Decoración</t>
  </si>
  <si>
    <t>Decoracion</t>
  </si>
  <si>
    <t>Ensamble</t>
  </si>
  <si>
    <t>MP10047</t>
  </si>
  <si>
    <t>BETTERCREME SUPREMO (UND:4 K)</t>
  </si>
  <si>
    <t>RICHS</t>
  </si>
  <si>
    <t>MP10048</t>
  </si>
  <si>
    <t>CREMA PRESTIGE GRAND (UND:4 K)</t>
  </si>
  <si>
    <t>10415</t>
  </si>
  <si>
    <t>AGUA POTABLE (PLANTA)</t>
  </si>
  <si>
    <t>AYA</t>
  </si>
  <si>
    <t>PRESERVANTE 1047S (PAQ=5 KILO)</t>
  </si>
  <si>
    <t>Empaque</t>
  </si>
  <si>
    <t>ETIQUETA BLANCA 2 5/8X1 15/16 (UND)</t>
  </si>
  <si>
    <t>Etiplas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</si>
  <si>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</si>
  <si>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</si>
  <si>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</si>
  <si>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</si>
  <si>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</si>
  <si>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</si>
  <si>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ESP-RE-POS-011</t>
  </si>
  <si>
    <t xml:space="preserve"> Base Galleta Cheesecake  SE00041</t>
  </si>
  <si>
    <t>Postres</t>
  </si>
  <si>
    <t>10100344</t>
  </si>
  <si>
    <t>MP10523</t>
  </si>
  <si>
    <t xml:space="preserve">GALLETA SODA MOLIDA (PAQ:1 KILO) </t>
  </si>
  <si>
    <t>POZUELO</t>
  </si>
  <si>
    <t>10100345</t>
  </si>
  <si>
    <t>MP10555</t>
  </si>
  <si>
    <t>GALLETA YEMITA (KILO)</t>
  </si>
  <si>
    <t>906000002</t>
  </si>
  <si>
    <t>SE00204</t>
  </si>
  <si>
    <t>CORTE GALLETA CHILENA GRANDE</t>
  </si>
  <si>
    <t>0310107</t>
  </si>
  <si>
    <t>MP10022</t>
  </si>
  <si>
    <t>LACTOCREMA GRANEL (CAJA:25 KG)</t>
  </si>
  <si>
    <t>DOS PINOS</t>
  </si>
  <si>
    <t>MP10041</t>
  </si>
  <si>
    <t>AZUCAR GLASS MOLIDA (PAQ: 4 K)</t>
  </si>
  <si>
    <t>1212410</t>
  </si>
  <si>
    <t/>
  </si>
  <si>
    <t>1.- Derretir la lactocrema. No hervir.</t>
  </si>
  <si>
    <t xml:space="preserve">2, Mezclar la galletas procesada con el azucar y la lactocrema, en batidora con paleta, hasta homogeneo. </t>
  </si>
  <si>
    <t>ESP-RE-PAPS-002</t>
  </si>
  <si>
    <t>Corte Galleta Chilena Grande 143g 906000002(SE00204)</t>
  </si>
  <si>
    <t>Pastas</t>
  </si>
  <si>
    <t>906000035</t>
  </si>
  <si>
    <t>SE00177</t>
  </si>
  <si>
    <t>PASTA TORTA CHILENA SPOON KILO</t>
  </si>
  <si>
    <t>90100137</t>
  </si>
  <si>
    <t>SE00183</t>
  </si>
  <si>
    <t>EMPAQUE HARINA ESTANDAR (KILO)</t>
  </si>
  <si>
    <t>Galletas</t>
  </si>
  <si>
    <r>
      <rPr>
        <b/>
        <sz val="12"/>
        <rFont val="Times New Roman"/>
        <family val="1"/>
      </rPr>
      <t>1-.</t>
    </r>
    <r>
      <rPr>
        <sz val="12"/>
        <rFont val="Times New Roman"/>
        <family val="1"/>
      </rPr>
      <t xml:space="preserve"> Laminar la masa hasta 4 mm con ayuda e la maquina, hacer huecos con el zorro. En la laminadora Rondo a 2.8, en la laminadora Kemplex 3.</t>
    </r>
  </si>
  <si>
    <r>
      <rPr>
        <b/>
        <sz val="12"/>
        <rFont val="Times New Roman"/>
        <family val="1"/>
      </rPr>
      <t>2-.</t>
    </r>
    <r>
      <rPr>
        <sz val="12"/>
        <rFont val="Times New Roman"/>
        <family val="1"/>
      </rPr>
      <t xml:space="preserve"> Cortar con cortador redondo de 23 cm diametro y colocar los 7 circulos en la bandeja</t>
    </r>
  </si>
  <si>
    <r>
      <rPr>
        <b/>
        <sz val="12"/>
        <rFont val="Times New Roman"/>
        <family val="1"/>
      </rPr>
      <t>3-.</t>
    </r>
    <r>
      <rPr>
        <sz val="12"/>
        <rFont val="Times New Roman"/>
        <family val="1"/>
      </rPr>
      <t xml:space="preserve"> Llevar al horno en Dicte 1 por 23 min a 170°C o Dicte 2 por 22 a 24 min a 170°C.</t>
    </r>
  </si>
  <si>
    <r>
      <rPr>
        <b/>
        <sz val="12"/>
        <rFont val="Times New Roman"/>
        <family val="1"/>
      </rPr>
      <t>4-.</t>
    </r>
    <r>
      <rPr>
        <sz val="12"/>
        <rFont val="Times New Roman"/>
        <family val="1"/>
      </rPr>
      <t xml:space="preserve"> Enfriar.</t>
    </r>
  </si>
  <si>
    <t>ESP-RE-PAPS-011</t>
  </si>
  <si>
    <t>PASTA TORTA CHILENA SPOON KILO SE00177</t>
  </si>
  <si>
    <t>SE00178</t>
  </si>
  <si>
    <t>PREMEZCLA P/PASTA CHILENA SPOON</t>
  </si>
  <si>
    <t>Spoon</t>
  </si>
  <si>
    <t>60 min</t>
  </si>
  <si>
    <t>Dicte 1,2,3</t>
  </si>
  <si>
    <t>185 C</t>
  </si>
  <si>
    <t>1.- Colocar la margarina, azucar y harina y preservante. Batir en velocidad 1 por 3 minutos, con ayuda de la paleta.</t>
  </si>
  <si>
    <t>2.- Utilizar de inmediato.</t>
  </si>
  <si>
    <t>ESP-RE-PRES-008</t>
  </si>
  <si>
    <t>PREMEZCLA P/PASTA CHILENA SPOON 901000014(SE00178)</t>
  </si>
  <si>
    <t>Premezclas</t>
  </si>
  <si>
    <t>MP10040</t>
  </si>
  <si>
    <t>MARGARINA BAKER TABLETA (CAJA: 25 K)</t>
  </si>
  <si>
    <t>NUMAR</t>
  </si>
  <si>
    <t>MP10049</t>
  </si>
  <si>
    <t>AZUCAR POLVO P.REAL (PAQ:2.5 Kg)</t>
  </si>
  <si>
    <t>PASTELERO REAL</t>
  </si>
  <si>
    <t>Bolsa</t>
  </si>
  <si>
    <t>MP10051</t>
  </si>
  <si>
    <t>HARINA TRIGO NACARINA (SACO: 25 K)</t>
  </si>
  <si>
    <t>NACARINA</t>
  </si>
  <si>
    <t>ETIPLAST</t>
  </si>
  <si>
    <t>EM10013</t>
  </si>
  <si>
    <t>BOLSA 17x25 TRANSP</t>
  </si>
  <si>
    <t>PLASTICOS P</t>
  </si>
  <si>
    <t>EM10133</t>
  </si>
  <si>
    <t>ETIQUETA ROJA LETRA ALERJENO (UND)</t>
  </si>
  <si>
    <t>AS00020</t>
  </si>
  <si>
    <t>GUANTE LATEX CORRIENTE (CAJA:100 UND)</t>
  </si>
  <si>
    <t>MAYCA</t>
  </si>
  <si>
    <t>Minutos</t>
  </si>
  <si>
    <t>1.- Colocar en 1  bolsa 17*25 la margarina. Etiquetar con nombre y alerjeno</t>
  </si>
  <si>
    <t>2.- Colocar la harina, preservante en otra bolsa 17*25, enviar 1 bolsa de azucar en polvo entera.</t>
  </si>
  <si>
    <t>3.- Etiquetar ambas bolsas con nombre y alerjeno.</t>
  </si>
  <si>
    <t xml:space="preserve">1. En la Batidora agregar la crema cantilly Blanca montada, agregar la leche condensada, el limon el polvo, el colorante y revolver. </t>
  </si>
  <si>
    <t>ESP-RE-POS-031</t>
  </si>
  <si>
    <t>15</t>
  </si>
  <si>
    <t># Codigo Netsuite</t>
  </si>
  <si>
    <t>Medida Costos</t>
  </si>
  <si>
    <t>Corte Galleta Chilena Grande</t>
  </si>
  <si>
    <t>RECORTE DE CHILENA</t>
  </si>
  <si>
    <t>TIEMPO DE HORNEO</t>
  </si>
  <si>
    <t>HORNO</t>
  </si>
  <si>
    <t>TEMPERATURA HORNEO</t>
  </si>
  <si>
    <t>OTROS</t>
  </si>
  <si>
    <t>2.- Mezclar todos los ingredientes en un bowl con el azucar en polvo.</t>
  </si>
  <si>
    <t>Revisión #9: Actualización de codigos</t>
  </si>
  <si>
    <t>Revisión #10: Actualizacion de peso final, y productos de reproceso.</t>
  </si>
  <si>
    <t xml:space="preserve">Revisión #11: Actualizacion completa por cambio de galletas y rendimiento. </t>
  </si>
  <si>
    <t xml:space="preserve">Revision #12: Actualizacion del peso de la lactocrema y el rendimiento. </t>
  </si>
  <si>
    <t>Revision #13: Se elimina galleta Maria y se agrega recorte de galleta chilena Spoon</t>
  </si>
  <si>
    <t>Revision #14: Se le bajo Lactocrema</t>
  </si>
  <si>
    <t>Revisión# 15:Se le aumenta la cantidad de lactocrema a la receta</t>
  </si>
  <si>
    <t xml:space="preserve">SE00754 Relleno Blanco de Limon </t>
  </si>
  <si>
    <t>ESP-RE-POF-049</t>
  </si>
  <si>
    <t xml:space="preserve">2, Se rebaja gelatina y se aumenta agua.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</si>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</sst>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  <numFmt numFmtId="171" formatCode="[$-F400]h:mm:ss\ AM/PM"/>
  </numFmts>
  <fonts count="6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1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  <font>
      <b/>
      <i/>
      <sz val="12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9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2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55">
    <xf numFmtId="0" fontId="0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0" fillId="0" borderId="0"/>
    <xf numFmtId="0" fontId="10" fillId="0" borderId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724">
    <xf numFmtId="0" fontId="0" fillId="0" borderId="0" xfId="0"/>
    <xf numFmtId="14" fontId="6" fillId="2" borderId="0" xfId="1" applyNumberFormat="1" applyFont="1" applyFill="1" applyAlignment="1">
      <alignment horizontal="center" vertical="center" wrapText="1"/>
    </xf>
    <xf numFmtId="1" fontId="8" fillId="0" borderId="5" xfId="2" applyNumberFormat="1" applyFont="1" applyBorder="1" applyAlignment="1">
      <alignment horizontal="center" wrapText="1"/>
    </xf>
    <xf numFmtId="49" fontId="9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18" xfId="2" applyFont="1" applyFill="1" applyBorder="1" applyAlignment="1">
      <alignment horizontal="center"/>
    </xf>
    <xf numFmtId="0" fontId="3" fillId="0" borderId="5" xfId="0" applyFont="1" applyBorder="1" applyAlignment="1">
      <alignment horizontal="right"/>
    </xf>
    <xf numFmtId="1" fontId="3" fillId="0" borderId="14" xfId="0" applyNumberFormat="1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center"/>
    </xf>
    <xf numFmtId="16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" fontId="13" fillId="0" borderId="5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16" fontId="13" fillId="0" borderId="5" xfId="2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49" fontId="12" fillId="0" borderId="5" xfId="0" applyNumberFormat="1" applyFont="1" applyBorder="1"/>
    <xf numFmtId="0" fontId="2" fillId="0" borderId="5" xfId="0" quotePrefix="1" applyFont="1" applyBorder="1"/>
    <xf numFmtId="1" fontId="2" fillId="0" borderId="30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12" fillId="0" borderId="5" xfId="11" applyFont="1" applyBorder="1" applyAlignment="1">
      <alignment horizontal="center"/>
    </xf>
    <xf numFmtId="16" fontId="12" fillId="0" borderId="5" xfId="11" applyNumberFormat="1" applyFont="1" applyBorder="1" applyAlignment="1">
      <alignment horizontal="center"/>
    </xf>
    <xf numFmtId="49" fontId="12" fillId="0" borderId="5" xfId="2" applyNumberFormat="1" applyFont="1" applyBorder="1"/>
    <xf numFmtId="16" fontId="2" fillId="0" borderId="5" xfId="2" applyNumberFormat="1" applyFont="1" applyBorder="1" applyAlignment="1">
      <alignment horizontal="center"/>
    </xf>
    <xf numFmtId="0" fontId="3" fillId="2" borderId="2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2" fillId="2" borderId="30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0" fontId="3" fillId="3" borderId="3" xfId="2" applyFont="1" applyFill="1" applyBorder="1" applyAlignment="1">
      <alignment horizontal="center" vertical="center" wrapText="1"/>
    </xf>
    <xf numFmtId="1" fontId="3" fillId="3" borderId="14" xfId="2" applyNumberFormat="1" applyFont="1" applyFill="1" applyBorder="1" applyAlignment="1">
      <alignment horizontal="center"/>
    </xf>
    <xf numFmtId="1" fontId="3" fillId="3" borderId="14" xfId="2" applyNumberFormat="1" applyFont="1" applyFill="1" applyBorder="1" applyAlignment="1">
      <alignment horizontal="center" wrapText="1"/>
    </xf>
    <xf numFmtId="0" fontId="3" fillId="3" borderId="15" xfId="2" applyFont="1" applyFill="1" applyBorder="1" applyAlignment="1">
      <alignment horizontal="center"/>
    </xf>
    <xf numFmtId="0" fontId="8" fillId="0" borderId="5" xfId="2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/>
    </xf>
    <xf numFmtId="0" fontId="13" fillId="0" borderId="6" xfId="2" applyFont="1" applyBorder="1" applyAlignment="1">
      <alignment horizontal="center"/>
    </xf>
    <xf numFmtId="1" fontId="8" fillId="0" borderId="30" xfId="2" applyNumberFormat="1" applyFont="1" applyBorder="1" applyAlignment="1">
      <alignment horizontal="center"/>
    </xf>
    <xf numFmtId="1" fontId="8" fillId="0" borderId="30" xfId="2" applyNumberFormat="1" applyFont="1" applyBorder="1" applyAlignment="1">
      <alignment horizontal="center" wrapText="1"/>
    </xf>
    <xf numFmtId="49" fontId="13" fillId="0" borderId="16" xfId="2" applyNumberFormat="1" applyFont="1" applyBorder="1" applyAlignment="1">
      <alignment horizontal="center"/>
    </xf>
    <xf numFmtId="49" fontId="13" fillId="0" borderId="10" xfId="2" applyNumberFormat="1" applyFont="1" applyBorder="1" applyAlignment="1">
      <alignment horizontal="center"/>
    </xf>
    <xf numFmtId="0" fontId="13" fillId="0" borderId="5" xfId="2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49" fontId="9" fillId="2" borderId="4" xfId="2" applyNumberFormat="1" applyFont="1" applyFill="1" applyBorder="1" applyAlignment="1">
      <alignment horizontal="center" vertical="center"/>
    </xf>
    <xf numFmtId="0" fontId="2" fillId="3" borderId="19" xfId="2" applyFont="1" applyFill="1" applyBorder="1" applyAlignment="1">
      <alignment horizontal="center"/>
    </xf>
    <xf numFmtId="0" fontId="2" fillId="3" borderId="20" xfId="2" applyFont="1" applyFill="1" applyBorder="1" applyAlignment="1">
      <alignment horizontal="center"/>
    </xf>
    <xf numFmtId="0" fontId="2" fillId="3" borderId="20" xfId="2" applyFont="1" applyFill="1" applyBorder="1"/>
    <xf numFmtId="0" fontId="3" fillId="3" borderId="20" xfId="2" applyFont="1" applyFill="1" applyBorder="1" applyAlignment="1">
      <alignment horizontal="center"/>
    </xf>
    <xf numFmtId="1" fontId="3" fillId="3" borderId="20" xfId="2" applyNumberFormat="1" applyFont="1" applyFill="1" applyBorder="1" applyAlignment="1">
      <alignment horizontal="center"/>
    </xf>
    <xf numFmtId="164" fontId="2" fillId="3" borderId="20" xfId="2" applyNumberFormat="1" applyFont="1" applyFill="1" applyBorder="1" applyAlignment="1">
      <alignment horizontal="center" wrapText="1"/>
    </xf>
    <xf numFmtId="0" fontId="2" fillId="3" borderId="21" xfId="2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4" borderId="0" xfId="0" applyFont="1" applyFill="1" applyAlignment="1">
      <alignment vertical="center"/>
    </xf>
    <xf numFmtId="0" fontId="14" fillId="7" borderId="5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4" fillId="0" borderId="5" xfId="71" applyFont="1" applyFill="1" applyBorder="1" applyAlignment="1">
      <alignment horizontal="center" vertical="center"/>
    </xf>
    <xf numFmtId="43" fontId="14" fillId="0" borderId="0" xfId="71" applyFont="1" applyFill="1" applyBorder="1" applyAlignment="1">
      <alignment horizontal="center" vertical="center"/>
    </xf>
    <xf numFmtId="43" fontId="24" fillId="0" borderId="0" xfId="7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 wrapText="1"/>
    </xf>
    <xf numFmtId="0" fontId="14" fillId="8" borderId="47" xfId="0" applyFont="1" applyFill="1" applyBorder="1" applyAlignment="1">
      <alignment horizontal="center" vertical="center"/>
    </xf>
    <xf numFmtId="0" fontId="14" fillId="8" borderId="48" xfId="0" applyFont="1" applyFill="1" applyBorder="1" applyAlignment="1">
      <alignment horizontal="center" vertical="center"/>
    </xf>
    <xf numFmtId="0" fontId="14" fillId="8" borderId="48" xfId="0" applyFont="1" applyFill="1" applyBorder="1" applyAlignment="1">
      <alignment horizontal="center" vertical="center" wrapText="1"/>
    </xf>
    <xf numFmtId="0" fontId="14" fillId="8" borderId="4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8" fillId="0" borderId="0" xfId="0" applyNumberFormat="1" applyFont="1" applyAlignment="1">
      <alignment horizontal="center"/>
    </xf>
    <xf numFmtId="4" fontId="28" fillId="0" borderId="0" xfId="72" applyNumberFormat="1" applyFont="1" applyFill="1" applyAlignment="1">
      <alignment horizontal="center" vertical="center"/>
    </xf>
    <xf numFmtId="4" fontId="14" fillId="0" borderId="0" xfId="72" applyNumberFormat="1" applyFont="1" applyFill="1" applyAlignment="1">
      <alignment horizontal="center" vertical="center"/>
    </xf>
    <xf numFmtId="10" fontId="14" fillId="0" borderId="0" xfId="12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23" fillId="0" borderId="0" xfId="12" applyNumberFormat="1" applyFont="1" applyFill="1" applyAlignment="1">
      <alignment vertical="center"/>
    </xf>
    <xf numFmtId="0" fontId="12" fillId="0" borderId="0" xfId="0" applyFont="1"/>
    <xf numFmtId="49" fontId="14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71" applyFont="1" applyFill="1" applyAlignment="1">
      <alignment vertical="center"/>
    </xf>
    <xf numFmtId="49" fontId="2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71" applyNumberFormat="1" applyFont="1" applyFill="1" applyAlignment="1">
      <alignment vertical="center"/>
    </xf>
    <xf numFmtId="43" fontId="30" fillId="0" borderId="0" xfId="71" applyFont="1" applyFill="1" applyAlignment="1">
      <alignment horizontal="center" vertical="center"/>
    </xf>
    <xf numFmtId="10" fontId="23" fillId="8" borderId="50" xfId="12" applyNumberFormat="1" applyFont="1" applyFill="1" applyBorder="1" applyAlignment="1">
      <alignment vertical="center"/>
    </xf>
    <xf numFmtId="0" fontId="12" fillId="8" borderId="20" xfId="0" applyFont="1" applyFill="1" applyBorder="1" applyAlignment="1">
      <alignment vertical="center"/>
    </xf>
    <xf numFmtId="0" fontId="12" fillId="8" borderId="50" xfId="0" applyFont="1" applyFill="1" applyBorder="1" applyAlignment="1">
      <alignment vertical="center"/>
    </xf>
    <xf numFmtId="43" fontId="30" fillId="8" borderId="51" xfId="71" applyFont="1" applyFill="1" applyBorder="1" applyAlignment="1">
      <alignment horizontal="center" vertical="center"/>
    </xf>
    <xf numFmtId="43" fontId="32" fillId="0" borderId="0" xfId="71" applyFont="1" applyFill="1" applyBorder="1" applyAlignment="1">
      <alignment horizontal="right"/>
    </xf>
    <xf numFmtId="0" fontId="12" fillId="8" borderId="51" xfId="0" applyFont="1" applyFill="1" applyBorder="1" applyAlignment="1">
      <alignment vertical="center"/>
    </xf>
    <xf numFmtId="10" fontId="23" fillId="8" borderId="51" xfId="12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0" fontId="31" fillId="0" borderId="0" xfId="0" applyFont="1"/>
    <xf numFmtId="9" fontId="31" fillId="0" borderId="0" xfId="0" applyNumberFormat="1" applyFont="1"/>
    <xf numFmtId="9" fontId="33" fillId="0" borderId="0" xfId="12" applyFont="1" applyFill="1" applyAlignment="1">
      <alignment horizontal="center"/>
    </xf>
    <xf numFmtId="0" fontId="30" fillId="0" borderId="0" xfId="0" applyFont="1" applyAlignment="1">
      <alignment horizontal="right" vertical="center"/>
    </xf>
    <xf numFmtId="4" fontId="30" fillId="0" borderId="0" xfId="71" applyNumberFormat="1" applyFont="1" applyFill="1" applyAlignment="1">
      <alignment vertical="center"/>
    </xf>
    <xf numFmtId="4" fontId="30" fillId="0" borderId="0" xfId="72" applyNumberFormat="1" applyFont="1" applyAlignment="1">
      <alignment horizontal="center" vertical="center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5" fillId="0" borderId="18" xfId="0" applyFont="1" applyBorder="1" applyAlignment="1">
      <alignment horizontal="right"/>
    </xf>
    <xf numFmtId="43" fontId="36" fillId="5" borderId="52" xfId="71" applyFont="1" applyFill="1" applyBorder="1" applyAlignment="1">
      <alignment horizontal="right"/>
    </xf>
    <xf numFmtId="43" fontId="36" fillId="0" borderId="0" xfId="71" applyFont="1" applyFill="1" applyBorder="1" applyAlignment="1">
      <alignment horizontal="right"/>
    </xf>
    <xf numFmtId="43" fontId="14" fillId="0" borderId="5" xfId="71" applyFont="1" applyFill="1" applyBorder="1" applyAlignment="1">
      <alignment vertical="center"/>
    </xf>
    <xf numFmtId="0" fontId="37" fillId="0" borderId="0" xfId="0" applyFont="1" applyAlignment="1">
      <alignment horizontal="left" vertical="center"/>
    </xf>
    <xf numFmtId="4" fontId="30" fillId="0" borderId="0" xfId="72" applyNumberFormat="1" applyFont="1" applyFill="1" applyAlignment="1">
      <alignment horizontal="center" vertical="center"/>
    </xf>
    <xf numFmtId="10" fontId="38" fillId="0" borderId="0" xfId="12" applyNumberFormat="1" applyFont="1" applyFill="1" applyAlignment="1">
      <alignment horizontal="right"/>
    </xf>
    <xf numFmtId="168" fontId="14" fillId="8" borderId="5" xfId="71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4" fillId="9" borderId="5" xfId="71" applyFont="1" applyFill="1" applyBorder="1" applyAlignment="1">
      <alignment vertical="center"/>
    </xf>
    <xf numFmtId="165" fontId="39" fillId="0" borderId="0" xfId="0" applyNumberFormat="1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23" fillId="8" borderId="53" xfId="0" applyFont="1" applyFill="1" applyBorder="1" applyAlignment="1">
      <alignment vertical="center"/>
    </xf>
    <xf numFmtId="0" fontId="41" fillId="0" borderId="0" xfId="0" applyFont="1" applyAlignment="1">
      <alignment vertical="center"/>
    </xf>
    <xf numFmtId="2" fontId="38" fillId="0" borderId="0" xfId="71" applyNumberFormat="1" applyFont="1" applyFill="1" applyBorder="1" applyAlignment="1">
      <alignment horizontal="center"/>
    </xf>
    <xf numFmtId="2" fontId="35" fillId="0" borderId="0" xfId="71" applyNumberFormat="1" applyFont="1" applyFill="1" applyBorder="1" applyAlignment="1">
      <alignment horizontal="center"/>
    </xf>
    <xf numFmtId="0" fontId="12" fillId="8" borderId="53" xfId="0" applyFont="1" applyFill="1" applyBorder="1" applyAlignment="1">
      <alignment vertical="center"/>
    </xf>
    <xf numFmtId="10" fontId="12" fillId="0" borderId="0" xfId="12" applyNumberFormat="1" applyFont="1" applyFill="1" applyAlignment="1">
      <alignment vertical="center"/>
    </xf>
    <xf numFmtId="4" fontId="12" fillId="0" borderId="0" xfId="71" applyNumberFormat="1" applyFont="1" applyFill="1" applyAlignment="1">
      <alignment vertical="center"/>
    </xf>
    <xf numFmtId="43" fontId="36" fillId="8" borderId="20" xfId="71" applyFont="1" applyFill="1" applyBorder="1" applyAlignment="1">
      <alignment horizontal="right"/>
    </xf>
    <xf numFmtId="0" fontId="14" fillId="8" borderId="21" xfId="0" applyFont="1" applyFill="1" applyBorder="1" applyAlignment="1">
      <alignment horizontal="right" vertical="center"/>
    </xf>
    <xf numFmtId="10" fontId="42" fillId="0" borderId="0" xfId="71" applyNumberFormat="1" applyFont="1" applyFill="1" applyAlignment="1">
      <alignment vertical="center"/>
    </xf>
    <xf numFmtId="10" fontId="23" fillId="0" borderId="0" xfId="12" applyNumberFormat="1" applyFont="1" applyFill="1" applyBorder="1" applyAlignment="1">
      <alignment vertical="center"/>
    </xf>
    <xf numFmtId="165" fontId="43" fillId="0" borderId="0" xfId="0" applyNumberFormat="1" applyFont="1" applyAlignment="1">
      <alignment horizontal="center" vertical="center"/>
    </xf>
    <xf numFmtId="0" fontId="12" fillId="4" borderId="52" xfId="0" applyFont="1" applyFill="1" applyBorder="1" applyAlignment="1">
      <alignment horizontal="center" vertical="center"/>
    </xf>
    <xf numFmtId="43" fontId="44" fillId="0" borderId="0" xfId="71" applyFont="1" applyFill="1" applyAlignment="1">
      <alignment vertical="center"/>
    </xf>
    <xf numFmtId="4" fontId="45" fillId="0" borderId="0" xfId="72" applyNumberFormat="1" applyFont="1" applyFill="1" applyAlignment="1">
      <alignment horizontal="center" vertical="center" wrapText="1"/>
    </xf>
    <xf numFmtId="9" fontId="12" fillId="0" borderId="0" xfId="71" applyNumberFormat="1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4" fontId="29" fillId="0" borderId="0" xfId="71" applyNumberFormat="1" applyFont="1" applyFill="1" applyAlignment="1">
      <alignment vertical="center"/>
    </xf>
    <xf numFmtId="4" fontId="14" fillId="11" borderId="52" xfId="7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43" fontId="19" fillId="0" borderId="0" xfId="71" applyFont="1" applyFill="1" applyAlignment="1">
      <alignment vertical="center"/>
    </xf>
    <xf numFmtId="9" fontId="19" fillId="0" borderId="0" xfId="71" applyNumberFormat="1" applyFont="1" applyFill="1" applyAlignment="1">
      <alignment vertical="center"/>
    </xf>
    <xf numFmtId="4" fontId="14" fillId="0" borderId="0" xfId="71" applyNumberFormat="1" applyFont="1" applyFill="1" applyAlignment="1">
      <alignment horizontal="center" vertical="center"/>
    </xf>
    <xf numFmtId="10" fontId="39" fillId="0" borderId="0" xfId="12" applyNumberFormat="1" applyFont="1" applyFill="1" applyAlignment="1">
      <alignment vertical="center"/>
    </xf>
    <xf numFmtId="43" fontId="39" fillId="0" borderId="0" xfId="71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71" applyFont="1" applyFill="1" applyBorder="1"/>
    <xf numFmtId="10" fontId="39" fillId="0" borderId="0" xfId="12" applyNumberFormat="1" applyFont="1" applyFill="1" applyBorder="1" applyAlignment="1">
      <alignment vertical="center"/>
    </xf>
    <xf numFmtId="0" fontId="39" fillId="0" borderId="0" xfId="0" applyFont="1" applyAlignment="1">
      <alignment horizontal="right"/>
    </xf>
    <xf numFmtId="43" fontId="12" fillId="0" borderId="0" xfId="71" applyFont="1" applyFill="1" applyBorder="1" applyAlignment="1">
      <alignment horizontal="center"/>
    </xf>
    <xf numFmtId="9" fontId="48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0" fontId="8" fillId="0" borderId="16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49" fillId="0" borderId="5" xfId="2" applyFont="1" applyBorder="1" applyAlignment="1">
      <alignment vertical="center"/>
    </xf>
    <xf numFmtId="0" fontId="50" fillId="4" borderId="16" xfId="0" applyFont="1" applyFill="1" applyBorder="1" applyAlignment="1">
      <alignment horizontal="center"/>
    </xf>
    <xf numFmtId="0" fontId="50" fillId="4" borderId="5" xfId="0" applyFont="1" applyFill="1" applyBorder="1" applyAlignment="1">
      <alignment horizontal="center"/>
    </xf>
    <xf numFmtId="0" fontId="50" fillId="4" borderId="30" xfId="0" applyFont="1" applyFill="1" applyBorder="1"/>
    <xf numFmtId="0" fontId="2" fillId="4" borderId="10" xfId="0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12" fontId="2" fillId="0" borderId="30" xfId="0" applyNumberFormat="1" applyFont="1" applyBorder="1" applyAlignment="1">
      <alignment horizontal="center"/>
    </xf>
    <xf numFmtId="0" fontId="50" fillId="4" borderId="10" xfId="0" applyFont="1" applyFill="1" applyBorder="1" applyAlignment="1">
      <alignment horizontal="center"/>
    </xf>
    <xf numFmtId="0" fontId="50" fillId="4" borderId="5" xfId="0" applyFont="1" applyFill="1" applyBorder="1"/>
    <xf numFmtId="1" fontId="2" fillId="4" borderId="30" xfId="0" applyNumberFormat="1" applyFont="1" applyFill="1" applyBorder="1" applyAlignment="1">
      <alignment horizontal="center"/>
    </xf>
    <xf numFmtId="1" fontId="2" fillId="4" borderId="30" xfId="0" applyNumberFormat="1" applyFont="1" applyFill="1" applyBorder="1" applyAlignment="1">
      <alignment horizontal="center" wrapText="1"/>
    </xf>
    <xf numFmtId="0" fontId="51" fillId="0" borderId="5" xfId="0" applyFont="1" applyBorder="1" applyAlignment="1">
      <alignment horizontal="center"/>
    </xf>
    <xf numFmtId="0" fontId="51" fillId="0" borderId="5" xfId="0" applyFont="1" applyBorder="1" applyAlignment="1">
      <alignment horizontal="center" vertical="center"/>
    </xf>
    <xf numFmtId="0" fontId="51" fillId="12" borderId="5" xfId="0" applyFont="1" applyFill="1" applyBorder="1"/>
    <xf numFmtId="0" fontId="2" fillId="0" borderId="5" xfId="0" applyFont="1" applyBorder="1" applyAlignment="1">
      <alignment horizontal="center" wrapText="1"/>
    </xf>
    <xf numFmtId="0" fontId="51" fillId="12" borderId="0" xfId="0" applyFont="1" applyFill="1" applyAlignment="1">
      <alignment horizontal="center"/>
    </xf>
    <xf numFmtId="0" fontId="51" fillId="12" borderId="0" xfId="0" applyFont="1" applyFill="1"/>
    <xf numFmtId="0" fontId="3" fillId="12" borderId="5" xfId="0" applyFont="1" applyFill="1" applyBorder="1" applyAlignment="1">
      <alignment horizontal="left"/>
    </xf>
    <xf numFmtId="0" fontId="2" fillId="0" borderId="30" xfId="0" applyFont="1" applyBorder="1" applyAlignment="1">
      <alignment horizontal="center"/>
    </xf>
    <xf numFmtId="0" fontId="51" fillId="12" borderId="5" xfId="0" applyFont="1" applyFill="1" applyBorder="1" applyAlignment="1">
      <alignment horizontal="left" vertical="center"/>
    </xf>
    <xf numFmtId="16" fontId="11" fillId="0" borderId="10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0" fontId="17" fillId="4" borderId="5" xfId="2" applyFont="1" applyFill="1" applyBorder="1" applyAlignment="1">
      <alignment horizontal="left"/>
    </xf>
    <xf numFmtId="169" fontId="13" fillId="0" borderId="5" xfId="2" applyNumberFormat="1" applyFont="1" applyBorder="1" applyAlignment="1">
      <alignment horizontal="center"/>
    </xf>
    <xf numFmtId="0" fontId="50" fillId="4" borderId="34" xfId="0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4" borderId="5" xfId="2" applyNumberFormat="1" applyFont="1" applyFill="1" applyBorder="1" applyAlignment="1">
      <alignment horizontal="center"/>
    </xf>
    <xf numFmtId="1" fontId="2" fillId="4" borderId="5" xfId="2" applyNumberFormat="1" applyFont="1" applyFill="1" applyBorder="1" applyAlignment="1">
      <alignment horizontal="center" wrapText="1"/>
    </xf>
    <xf numFmtId="16" fontId="2" fillId="4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2" fillId="0" borderId="30" xfId="0" applyNumberFormat="1" applyFont="1" applyBorder="1" applyAlignment="1">
      <alignment horizontal="center" wrapText="1"/>
    </xf>
    <xf numFmtId="16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wrapText="1"/>
    </xf>
    <xf numFmtId="49" fontId="8" fillId="0" borderId="29" xfId="2" applyNumberFormat="1" applyFont="1" applyBorder="1" applyAlignment="1">
      <alignment horizontal="center"/>
    </xf>
    <xf numFmtId="49" fontId="8" fillId="0" borderId="9" xfId="2" applyNumberFormat="1" applyFont="1" applyBorder="1" applyAlignment="1">
      <alignment horizontal="center"/>
    </xf>
    <xf numFmtId="0" fontId="52" fillId="4" borderId="5" xfId="2" applyFont="1" applyFill="1" applyBorder="1" applyAlignment="1">
      <alignment vertical="center"/>
    </xf>
    <xf numFmtId="0" fontId="8" fillId="0" borderId="10" xfId="2" applyFont="1" applyBorder="1" applyAlignment="1">
      <alignment horizontal="center"/>
    </xf>
    <xf numFmtId="169" fontId="8" fillId="0" borderId="5" xfId="2" applyNumberFormat="1" applyFont="1" applyBorder="1" applyAlignment="1">
      <alignment horizontal="center"/>
    </xf>
    <xf numFmtId="49" fontId="13" fillId="0" borderId="5" xfId="2" applyNumberFormat="1" applyFont="1" applyBorder="1" applyAlignment="1">
      <alignment horizontal="center"/>
    </xf>
    <xf numFmtId="1" fontId="2" fillId="0" borderId="30" xfId="2" applyNumberFormat="1" applyFont="1" applyBorder="1" applyAlignment="1">
      <alignment horizontal="center"/>
    </xf>
    <xf numFmtId="0" fontId="2" fillId="0" borderId="30" xfId="2" applyFont="1" applyBorder="1" applyAlignment="1">
      <alignment horizontal="center"/>
    </xf>
    <xf numFmtId="170" fontId="3" fillId="4" borderId="5" xfId="71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3" fillId="0" borderId="31" xfId="0" applyFont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1" fontId="7" fillId="0" borderId="5" xfId="0" applyNumberFormat="1" applyFont="1" applyBorder="1" applyAlignment="1">
      <alignment horizontal="left" vertical="center"/>
    </xf>
    <xf numFmtId="12" fontId="13" fillId="0" borderId="5" xfId="2" applyNumberFormat="1" applyFont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53" fillId="4" borderId="0" xfId="0" applyFont="1" applyFill="1" applyAlignment="1">
      <alignment horizontal="center"/>
    </xf>
    <xf numFmtId="1" fontId="12" fillId="4" borderId="5" xfId="0" applyNumberFormat="1" applyFont="1" applyFill="1" applyBorder="1"/>
    <xf numFmtId="0" fontId="12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wrapText="1"/>
    </xf>
    <xf numFmtId="1" fontId="13" fillId="0" borderId="5" xfId="2" applyNumberFormat="1" applyFont="1" applyBorder="1" applyAlignment="1">
      <alignment horizontal="center"/>
    </xf>
    <xf numFmtId="1" fontId="11" fillId="0" borderId="5" xfId="2" applyNumberFormat="1" applyFont="1" applyBorder="1" applyAlignment="1">
      <alignment horizontal="center"/>
    </xf>
    <xf numFmtId="0" fontId="13" fillId="0" borderId="45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49" fontId="19" fillId="4" borderId="5" xfId="2" applyNumberFormat="1" applyFont="1" applyFill="1" applyBorder="1" applyAlignment="1">
      <alignment horizontal="center"/>
    </xf>
    <xf numFmtId="0" fontId="19" fillId="0" borderId="5" xfId="2" applyFont="1" applyBorder="1" applyAlignment="1">
      <alignment horizontal="left" wrapText="1"/>
    </xf>
    <xf numFmtId="16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 wrapText="1"/>
    </xf>
    <xf numFmtId="0" fontId="0" fillId="0" borderId="5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4" borderId="5" xfId="0" applyFill="1" applyBorder="1"/>
    <xf numFmtId="16" fontId="13" fillId="2" borderId="5" xfId="0" applyNumberFormat="1" applyFont="1" applyFill="1" applyBorder="1" applyAlignment="1">
      <alignment horizontal="center"/>
    </xf>
    <xf numFmtId="1" fontId="11" fillId="2" borderId="5" xfId="0" applyNumberFormat="1" applyFont="1" applyFill="1" applyBorder="1" applyAlignment="1">
      <alignment horizontal="center"/>
    </xf>
    <xf numFmtId="1" fontId="13" fillId="2" borderId="5" xfId="0" applyNumberFormat="1" applyFont="1" applyFill="1" applyBorder="1" applyAlignment="1">
      <alignment horizontal="center" wrapText="1"/>
    </xf>
    <xf numFmtId="0" fontId="7" fillId="0" borderId="16" xfId="0" quotePrefix="1" applyFont="1" applyBorder="1" applyAlignment="1">
      <alignment horizontal="center"/>
    </xf>
    <xf numFmtId="0" fontId="7" fillId="0" borderId="10" xfId="0" quotePrefix="1" applyFont="1" applyBorder="1" applyAlignment="1">
      <alignment horizontal="center"/>
    </xf>
    <xf numFmtId="0" fontId="7" fillId="0" borderId="5" xfId="0" quotePrefix="1" applyFont="1" applyBorder="1"/>
    <xf numFmtId="0" fontId="0" fillId="0" borderId="16" xfId="0" quotePrefix="1" applyBorder="1" applyAlignment="1">
      <alignment horizontal="center"/>
    </xf>
    <xf numFmtId="0" fontId="0" fillId="0" borderId="10" xfId="0" quotePrefix="1" applyBorder="1" applyAlignment="1">
      <alignment horizontal="center"/>
    </xf>
    <xf numFmtId="1" fontId="0" fillId="0" borderId="5" xfId="0" applyNumberFormat="1" applyBorder="1"/>
    <xf numFmtId="0" fontId="2" fillId="4" borderId="5" xfId="2" applyFont="1" applyFill="1" applyBorder="1" applyAlignment="1">
      <alignment horizontal="center"/>
    </xf>
    <xf numFmtId="49" fontId="2" fillId="4" borderId="30" xfId="0" applyNumberFormat="1" applyFont="1" applyFill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170" fontId="3" fillId="4" borderId="5" xfId="9" applyNumberFormat="1" applyFont="1" applyFill="1" applyBorder="1" applyAlignment="1">
      <alignment horizontal="center"/>
    </xf>
    <xf numFmtId="0" fontId="7" fillId="0" borderId="5" xfId="7" applyBorder="1" applyAlignment="1">
      <alignment horizontal="center"/>
    </xf>
    <xf numFmtId="0" fontId="7" fillId="0" borderId="5" xfId="7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3" fillId="0" borderId="16" xfId="0" applyFont="1" applyBorder="1" applyAlignment="1">
      <alignment horizontal="center"/>
    </xf>
    <xf numFmtId="0" fontId="12" fillId="0" borderId="5" xfId="0" applyFont="1" applyBorder="1"/>
    <xf numFmtId="0" fontId="13" fillId="0" borderId="30" xfId="0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6" fillId="0" borderId="0" xfId="0" applyFont="1"/>
    <xf numFmtId="2" fontId="8" fillId="0" borderId="5" xfId="2" applyNumberFormat="1" applyFont="1" applyBorder="1" applyAlignment="1">
      <alignment horizontal="center"/>
    </xf>
    <xf numFmtId="1" fontId="3" fillId="4" borderId="58" xfId="2" applyNumberFormat="1" applyFont="1" applyFill="1" applyBorder="1" applyAlignment="1">
      <alignment horizontal="center" wrapText="1"/>
    </xf>
    <xf numFmtId="0" fontId="56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2" fontId="8" fillId="0" borderId="5" xfId="2" applyNumberFormat="1" applyFont="1" applyBorder="1" applyAlignment="1">
      <alignment horizontal="center" wrapText="1"/>
    </xf>
    <xf numFmtId="0" fontId="56" fillId="0" borderId="5" xfId="0" applyFont="1" applyBorder="1" applyAlignment="1">
      <alignment horizontal="center"/>
    </xf>
    <xf numFmtId="0" fontId="56" fillId="0" borderId="5" xfId="0" applyFont="1" applyBorder="1"/>
    <xf numFmtId="0" fontId="56" fillId="0" borderId="5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0" fontId="7" fillId="0" borderId="5" xfId="2" applyBorder="1" applyAlignment="1">
      <alignment horizontal="center"/>
    </xf>
    <xf numFmtId="0" fontId="7" fillId="0" borderId="16" xfId="3" applyBorder="1" applyAlignment="1">
      <alignment horizontal="center"/>
    </xf>
    <xf numFmtId="0" fontId="7" fillId="4" borderId="5" xfId="3" applyFill="1" applyBorder="1"/>
    <xf numFmtId="16" fontId="13" fillId="0" borderId="5" xfId="3" applyNumberFormat="1" applyFont="1" applyBorder="1" applyAlignment="1">
      <alignment horizontal="center"/>
    </xf>
    <xf numFmtId="0" fontId="7" fillId="0" borderId="5" xfId="3" applyBorder="1" applyAlignment="1">
      <alignment horizontal="center"/>
    </xf>
    <xf numFmtId="1" fontId="13" fillId="0" borderId="5" xfId="3" applyNumberFormat="1" applyFont="1" applyBorder="1" applyAlignment="1">
      <alignment horizontal="center"/>
    </xf>
    <xf numFmtId="1" fontId="13" fillId="0" borderId="5" xfId="3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0" fontId="18" fillId="0" borderId="16" xfId="0" quotePrefix="1" applyFont="1" applyBorder="1" applyAlignment="1">
      <alignment horizontal="center"/>
    </xf>
    <xf numFmtId="0" fontId="18" fillId="0" borderId="10" xfId="0" quotePrefix="1" applyFont="1" applyBorder="1" applyAlignment="1">
      <alignment horizontal="center"/>
    </xf>
    <xf numFmtId="0" fontId="57" fillId="0" borderId="5" xfId="0" quotePrefix="1" applyFont="1" applyBorder="1"/>
    <xf numFmtId="49" fontId="13" fillId="4" borderId="16" xfId="2" applyNumberFormat="1" applyFont="1" applyFill="1" applyBorder="1" applyAlignment="1">
      <alignment horizontal="center"/>
    </xf>
    <xf numFmtId="49" fontId="13" fillId="4" borderId="10" xfId="2" applyNumberFormat="1" applyFont="1" applyFill="1" applyBorder="1" applyAlignment="1">
      <alignment horizontal="center"/>
    </xf>
    <xf numFmtId="49" fontId="12" fillId="4" borderId="5" xfId="2" applyNumberFormat="1" applyFont="1" applyFill="1" applyBorder="1"/>
    <xf numFmtId="0" fontId="3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7" fillId="0" borderId="0" xfId="2"/>
    <xf numFmtId="0" fontId="2" fillId="0" borderId="5" xfId="2" applyFont="1" applyBorder="1" applyAlignment="1">
      <alignment horizontal="center"/>
    </xf>
    <xf numFmtId="0" fontId="2" fillId="0" borderId="22" xfId="2" applyFont="1" applyBorder="1" applyAlignment="1">
      <alignment horizontal="center"/>
    </xf>
    <xf numFmtId="1" fontId="2" fillId="0" borderId="5" xfId="2" applyNumberFormat="1" applyFont="1" applyBorder="1" applyAlignment="1">
      <alignment horizontal="center"/>
    </xf>
    <xf numFmtId="0" fontId="2" fillId="2" borderId="5" xfId="74" applyFont="1" applyFill="1" applyBorder="1" applyAlignment="1">
      <alignment horizontal="right"/>
    </xf>
    <xf numFmtId="0" fontId="2" fillId="2" borderId="30" xfId="74" applyFont="1" applyFill="1" applyBorder="1" applyAlignment="1">
      <alignment horizontal="right"/>
    </xf>
    <xf numFmtId="49" fontId="2" fillId="2" borderId="6" xfId="74" applyNumberFormat="1" applyFont="1" applyFill="1" applyBorder="1" applyAlignment="1">
      <alignment horizontal="center"/>
    </xf>
    <xf numFmtId="0" fontId="3" fillId="2" borderId="5" xfId="74" applyFont="1" applyFill="1" applyBorder="1" applyAlignment="1">
      <alignment horizontal="right"/>
    </xf>
    <xf numFmtId="0" fontId="2" fillId="2" borderId="3" xfId="74" applyFont="1" applyFill="1" applyBorder="1" applyAlignment="1">
      <alignment horizontal="center"/>
    </xf>
    <xf numFmtId="0" fontId="3" fillId="2" borderId="2" xfId="74" applyFont="1" applyFill="1" applyBorder="1" applyAlignment="1">
      <alignment horizontal="right"/>
    </xf>
    <xf numFmtId="0" fontId="16" fillId="0" borderId="5" xfId="2" applyFont="1" applyBorder="1" applyAlignment="1">
      <alignment horizontal="center" vertical="center"/>
    </xf>
    <xf numFmtId="0" fontId="16" fillId="0" borderId="5" xfId="2" applyFont="1" applyBorder="1" applyAlignment="1">
      <alignment horizontal="left" vertical="center"/>
    </xf>
    <xf numFmtId="0" fontId="13" fillId="0" borderId="30" xfId="2" applyFont="1" applyBorder="1" applyAlignment="1">
      <alignment horizontal="center"/>
    </xf>
    <xf numFmtId="1" fontId="13" fillId="0" borderId="30" xfId="2" applyNumberFormat="1" applyFont="1" applyBorder="1" applyAlignment="1">
      <alignment horizontal="center"/>
    </xf>
    <xf numFmtId="1" fontId="13" fillId="0" borderId="30" xfId="2" applyNumberFormat="1" applyFont="1" applyBorder="1" applyAlignment="1">
      <alignment horizontal="center" wrapText="1"/>
    </xf>
    <xf numFmtId="0" fontId="2" fillId="0" borderId="30" xfId="2" applyFont="1" applyBorder="1" applyAlignment="1">
      <alignment horizontal="center" wrapText="1"/>
    </xf>
    <xf numFmtId="12" fontId="2" fillId="0" borderId="30" xfId="2" applyNumberFormat="1" applyFont="1" applyBorder="1" applyAlignment="1">
      <alignment horizontal="center"/>
    </xf>
    <xf numFmtId="0" fontId="7" fillId="0" borderId="5" xfId="2" applyBorder="1" applyAlignment="1">
      <alignment horizontal="left"/>
    </xf>
    <xf numFmtId="0" fontId="17" fillId="0" borderId="5" xfId="2" applyFont="1" applyBorder="1"/>
    <xf numFmtId="0" fontId="7" fillId="0" borderId="5" xfId="2" applyBorder="1"/>
    <xf numFmtId="0" fontId="50" fillId="4" borderId="16" xfId="2" applyFont="1" applyFill="1" applyBorder="1" applyAlignment="1">
      <alignment horizontal="center"/>
    </xf>
    <xf numFmtId="0" fontId="50" fillId="4" borderId="34" xfId="2" applyFont="1" applyFill="1" applyBorder="1" applyAlignment="1">
      <alignment horizontal="center"/>
    </xf>
    <xf numFmtId="0" fontId="50" fillId="4" borderId="30" xfId="2" applyFont="1" applyFill="1" applyBorder="1"/>
    <xf numFmtId="0" fontId="2" fillId="4" borderId="10" xfId="2" applyFont="1" applyFill="1" applyBorder="1" applyAlignment="1">
      <alignment horizontal="center"/>
    </xf>
    <xf numFmtId="1" fontId="2" fillId="4" borderId="30" xfId="2" applyNumberFormat="1" applyFont="1" applyFill="1" applyBorder="1" applyAlignment="1">
      <alignment horizontal="center"/>
    </xf>
    <xf numFmtId="1" fontId="2" fillId="4" borderId="30" xfId="2" applyNumberFormat="1" applyFont="1" applyFill="1" applyBorder="1" applyAlignment="1">
      <alignment horizontal="center" wrapText="1"/>
    </xf>
    <xf numFmtId="49" fontId="2" fillId="4" borderId="30" xfId="2" applyNumberFormat="1" applyFont="1" applyFill="1" applyBorder="1" applyAlignment="1">
      <alignment horizontal="center"/>
    </xf>
    <xf numFmtId="1" fontId="2" fillId="0" borderId="5" xfId="2" applyNumberFormat="1" applyFont="1" applyBorder="1" applyAlignment="1">
      <alignment horizontal="center" wrapText="1"/>
    </xf>
    <xf numFmtId="49" fontId="14" fillId="0" borderId="5" xfId="2" applyNumberFormat="1" applyFont="1" applyBorder="1"/>
    <xf numFmtId="170" fontId="3" fillId="4" borderId="5" xfId="73" applyNumberFormat="1" applyFont="1" applyFill="1" applyBorder="1" applyAlignment="1">
      <alignment horizontal="center"/>
    </xf>
    <xf numFmtId="0" fontId="58" fillId="0" borderId="16" xfId="2" applyFont="1" applyBorder="1" applyAlignment="1">
      <alignment horizontal="center"/>
    </xf>
    <xf numFmtId="0" fontId="58" fillId="0" borderId="10" xfId="2" applyFont="1" applyBorder="1" applyAlignment="1">
      <alignment horizontal="center"/>
    </xf>
    <xf numFmtId="0" fontId="19" fillId="0" borderId="5" xfId="2" applyFont="1" applyBorder="1"/>
    <xf numFmtId="0" fontId="7" fillId="0" borderId="5" xfId="2" applyBorder="1" applyAlignment="1">
      <alignment horizontal="center" vertical="center"/>
    </xf>
    <xf numFmtId="0" fontId="7" fillId="0" borderId="5" xfId="2" applyBorder="1" applyAlignment="1">
      <alignment horizontal="left" vertical="center"/>
    </xf>
    <xf numFmtId="0" fontId="2" fillId="0" borderId="5" xfId="2" quotePrefix="1" applyFont="1" applyBorder="1" applyAlignment="1">
      <alignment horizontal="center"/>
    </xf>
    <xf numFmtId="0" fontId="2" fillId="0" borderId="5" xfId="2" quotePrefix="1" applyFont="1" applyBorder="1"/>
    <xf numFmtId="171" fontId="2" fillId="0" borderId="5" xfId="2" applyNumberFormat="1" applyFont="1" applyBorder="1" applyAlignment="1">
      <alignment horizontal="center"/>
    </xf>
    <xf numFmtId="1" fontId="2" fillId="0" borderId="14" xfId="2" applyNumberFormat="1" applyFont="1" applyBorder="1" applyAlignment="1">
      <alignment horizontal="center"/>
    </xf>
    <xf numFmtId="0" fontId="2" fillId="0" borderId="14" xfId="2" applyFont="1" applyBorder="1" applyAlignment="1">
      <alignment horizontal="center"/>
    </xf>
    <xf numFmtId="0" fontId="60" fillId="2" borderId="2" xfId="1" applyFont="1" applyFill="1" applyBorder="1" applyAlignment="1">
      <alignment horizontal="right"/>
    </xf>
    <xf numFmtId="0" fontId="7" fillId="2" borderId="0" xfId="0" applyFont="1" applyFill="1"/>
    <xf numFmtId="0" fontId="7" fillId="2" borderId="3" xfId="1" applyFont="1" applyFill="1" applyBorder="1" applyAlignment="1">
      <alignment horizontal="left"/>
    </xf>
    <xf numFmtId="0" fontId="60" fillId="2" borderId="5" xfId="1" applyFont="1" applyFill="1" applyBorder="1" applyAlignment="1">
      <alignment horizontal="right"/>
    </xf>
    <xf numFmtId="49" fontId="7" fillId="2" borderId="6" xfId="1" applyNumberFormat="1" applyFont="1" applyFill="1" applyBorder="1" applyAlignment="1">
      <alignment horizontal="center"/>
    </xf>
    <xf numFmtId="0" fontId="7" fillId="2" borderId="34" xfId="1" applyFont="1" applyFill="1" applyBorder="1" applyAlignment="1">
      <alignment horizontal="right"/>
    </xf>
    <xf numFmtId="0" fontId="7" fillId="2" borderId="24" xfId="1" applyFont="1" applyFill="1" applyBorder="1" applyAlignment="1">
      <alignment horizontal="right"/>
    </xf>
    <xf numFmtId="14" fontId="6" fillId="2" borderId="18" xfId="1" applyNumberFormat="1" applyFont="1" applyFill="1" applyBorder="1" applyAlignment="1">
      <alignment horizontal="center" vertical="center" wrapText="1"/>
    </xf>
    <xf numFmtId="0" fontId="60" fillId="3" borderId="3" xfId="0" applyFont="1" applyFill="1" applyBorder="1" applyAlignment="1">
      <alignment horizontal="center" vertical="center" wrapText="1"/>
    </xf>
    <xf numFmtId="1" fontId="60" fillId="3" borderId="14" xfId="0" applyNumberFormat="1" applyFont="1" applyFill="1" applyBorder="1" applyAlignment="1">
      <alignment horizontal="center"/>
    </xf>
    <xf numFmtId="1" fontId="60" fillId="3" borderId="14" xfId="0" applyNumberFormat="1" applyFont="1" applyFill="1" applyBorder="1" applyAlignment="1">
      <alignment horizontal="center" wrapText="1"/>
    </xf>
    <xf numFmtId="0" fontId="60" fillId="3" borderId="15" xfId="0" applyFont="1" applyFill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164" fontId="13" fillId="0" borderId="30" xfId="0" applyNumberFormat="1" applyFont="1" applyBorder="1" applyAlignment="1">
      <alignment horizontal="right"/>
    </xf>
    <xf numFmtId="1" fontId="13" fillId="0" borderId="30" xfId="0" applyNumberFormat="1" applyFont="1" applyBorder="1"/>
    <xf numFmtId="0" fontId="60" fillId="4" borderId="35" xfId="0" applyFont="1" applyFill="1" applyBorder="1" applyAlignment="1">
      <alignment horizontal="center"/>
    </xf>
    <xf numFmtId="2" fontId="13" fillId="0" borderId="5" xfId="0" applyNumberFormat="1" applyFont="1" applyBorder="1" applyAlignment="1">
      <alignment horizontal="right"/>
    </xf>
    <xf numFmtId="1" fontId="13" fillId="0" borderId="5" xfId="0" applyNumberFormat="1" applyFont="1" applyBorder="1"/>
    <xf numFmtId="0" fontId="60" fillId="4" borderId="6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vertical="center"/>
    </xf>
    <xf numFmtId="164" fontId="13" fillId="0" borderId="5" xfId="0" applyNumberFormat="1" applyFont="1" applyBorder="1" applyAlignment="1">
      <alignment horizontal="right"/>
    </xf>
    <xf numFmtId="0" fontId="60" fillId="4" borderId="5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59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49" fontId="7" fillId="0" borderId="16" xfId="2" applyNumberFormat="1" applyBorder="1" applyAlignment="1">
      <alignment horizontal="center"/>
    </xf>
    <xf numFmtId="49" fontId="7" fillId="0" borderId="10" xfId="2" applyNumberFormat="1" applyBorder="1" applyAlignment="1">
      <alignment horizontal="center"/>
    </xf>
    <xf numFmtId="49" fontId="7" fillId="0" borderId="5" xfId="2" applyNumberFormat="1" applyBorder="1"/>
    <xf numFmtId="16" fontId="7" fillId="0" borderId="5" xfId="2" applyNumberFormat="1" applyBorder="1" applyAlignment="1">
      <alignment horizontal="center"/>
    </xf>
    <xf numFmtId="1" fontId="7" fillId="0" borderId="5" xfId="2" applyNumberFormat="1" applyBorder="1" applyAlignment="1">
      <alignment horizontal="center"/>
    </xf>
    <xf numFmtId="1" fontId="7" fillId="0" borderId="5" xfId="2" applyNumberFormat="1" applyBorder="1" applyAlignment="1">
      <alignment horizontal="center" wrapText="1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0" xfId="0" applyFont="1" applyFill="1" applyAlignment="1">
      <alignment horizontal="left" indent="1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0" xfId="0" applyFont="1" applyFill="1" applyBorder="1"/>
    <xf numFmtId="0" fontId="60" fillId="3" borderId="20" xfId="0" applyFont="1" applyFill="1" applyBorder="1" applyAlignment="1">
      <alignment horizontal="center"/>
    </xf>
    <xf numFmtId="1" fontId="60" fillId="3" borderId="20" xfId="0" applyNumberFormat="1" applyFont="1" applyFill="1" applyBorder="1" applyAlignment="1">
      <alignment horizontal="center"/>
    </xf>
    <xf numFmtId="164" fontId="7" fillId="3" borderId="20" xfId="0" applyNumberFormat="1" applyFont="1" applyFill="1" applyBorder="1" applyAlignment="1">
      <alignment horizontal="center" wrapText="1"/>
    </xf>
    <xf numFmtId="0" fontId="7" fillId="3" borderId="21" xfId="0" applyFont="1" applyFill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60" fillId="0" borderId="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9" fontId="7" fillId="2" borderId="0" xfId="12" applyFont="1" applyFill="1"/>
    <xf numFmtId="1" fontId="7" fillId="0" borderId="5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61" fillId="0" borderId="5" xfId="2" applyFont="1" applyBorder="1" applyAlignment="1">
      <alignment horizontal="center" vertical="center"/>
    </xf>
    <xf numFmtId="0" fontId="62" fillId="0" borderId="5" xfId="0" applyFont="1" applyBorder="1"/>
    <xf numFmtId="16" fontId="63" fillId="0" borderId="5" xfId="0" applyNumberFormat="1" applyFont="1" applyBorder="1" applyAlignment="1">
      <alignment horizontal="center"/>
    </xf>
    <xf numFmtId="1" fontId="63" fillId="0" borderId="5" xfId="0" applyNumberFormat="1" applyFont="1" applyBorder="1" applyAlignment="1">
      <alignment horizontal="center" wrapText="1"/>
    </xf>
    <xf numFmtId="1" fontId="61" fillId="0" borderId="5" xfId="2" applyNumberFormat="1" applyFont="1" applyBorder="1" applyAlignment="1">
      <alignment horizontal="center"/>
    </xf>
    <xf numFmtId="1" fontId="61" fillId="0" borderId="5" xfId="2" applyNumberFormat="1" applyFont="1" applyBorder="1" applyAlignment="1">
      <alignment horizontal="center" wrapText="1"/>
    </xf>
    <xf numFmtId="0" fontId="63" fillId="0" borderId="6" xfId="2" applyFont="1" applyBorder="1" applyAlignment="1">
      <alignment horizontal="center"/>
    </xf>
    <xf numFmtId="0" fontId="63" fillId="0" borderId="5" xfId="0" applyFont="1" applyBorder="1" applyAlignment="1">
      <alignment horizontal="center"/>
    </xf>
    <xf numFmtId="1" fontId="61" fillId="0" borderId="30" xfId="2" applyNumberFormat="1" applyFont="1" applyBorder="1" applyAlignment="1">
      <alignment horizontal="center"/>
    </xf>
    <xf numFmtId="1" fontId="61" fillId="0" borderId="30" xfId="2" applyNumberFormat="1" applyFont="1" applyBorder="1" applyAlignment="1">
      <alignment horizontal="center" wrapText="1"/>
    </xf>
    <xf numFmtId="0" fontId="63" fillId="0" borderId="5" xfId="11" applyFont="1" applyBorder="1" applyAlignment="1">
      <alignment horizontal="center"/>
    </xf>
    <xf numFmtId="16" fontId="63" fillId="0" borderId="5" xfId="11" applyNumberFormat="1" applyFont="1" applyBorder="1" applyAlignment="1">
      <alignment horizontal="center"/>
    </xf>
    <xf numFmtId="1" fontId="63" fillId="0" borderId="5" xfId="0" applyNumberFormat="1" applyFont="1" applyBorder="1" applyAlignment="1">
      <alignment horizontal="center"/>
    </xf>
    <xf numFmtId="0" fontId="62" fillId="0" borderId="5" xfId="0" applyFont="1" applyBorder="1" applyAlignment="1">
      <alignment horizontal="center"/>
    </xf>
    <xf numFmtId="16" fontId="63" fillId="0" borderId="5" xfId="2" applyNumberFormat="1" applyFont="1" applyBorder="1" applyAlignment="1">
      <alignment horizontal="center"/>
    </xf>
    <xf numFmtId="49" fontId="63" fillId="0" borderId="16" xfId="2" applyNumberFormat="1" applyFont="1" applyBorder="1" applyAlignment="1">
      <alignment horizontal="center"/>
    </xf>
    <xf numFmtId="49" fontId="63" fillId="0" borderId="10" xfId="2" applyNumberFormat="1" applyFont="1" applyBorder="1" applyAlignment="1">
      <alignment horizontal="center"/>
    </xf>
    <xf numFmtId="49" fontId="63" fillId="0" borderId="5" xfId="2" applyNumberFormat="1" applyFont="1" applyBorder="1"/>
    <xf numFmtId="0" fontId="63" fillId="0" borderId="5" xfId="2" applyFont="1" applyBorder="1" applyAlignment="1">
      <alignment horizontal="center"/>
    </xf>
    <xf numFmtId="1" fontId="63" fillId="0" borderId="5" xfId="2" applyNumberFormat="1" applyFont="1" applyBorder="1" applyAlignment="1">
      <alignment horizontal="center" wrapText="1"/>
    </xf>
    <xf numFmtId="49" fontId="64" fillId="2" borderId="4" xfId="2" applyNumberFormat="1" applyFont="1" applyFill="1" applyBorder="1" applyAlignment="1">
      <alignment horizontal="center" vertical="center"/>
    </xf>
    <xf numFmtId="49" fontId="64" fillId="2" borderId="0" xfId="2" applyNumberFormat="1" applyFont="1" applyFill="1" applyAlignment="1">
      <alignment horizontal="center" vertical="center"/>
    </xf>
    <xf numFmtId="0" fontId="63" fillId="2" borderId="0" xfId="2" applyFont="1" applyFill="1"/>
    <xf numFmtId="1" fontId="63" fillId="2" borderId="0" xfId="2" applyNumberFormat="1" applyFont="1" applyFill="1" applyAlignment="1">
      <alignment horizontal="center"/>
    </xf>
    <xf numFmtId="164" fontId="63" fillId="2" borderId="0" xfId="2" applyNumberFormat="1" applyFont="1" applyFill="1" applyAlignment="1">
      <alignment horizontal="center" wrapText="1"/>
    </xf>
    <xf numFmtId="0" fontId="63" fillId="2" borderId="18" xfId="2" applyFont="1" applyFill="1" applyBorder="1" applyAlignment="1">
      <alignment horizontal="center"/>
    </xf>
    <xf numFmtId="0" fontId="63" fillId="3" borderId="19" xfId="2" applyFont="1" applyFill="1" applyBorder="1" applyAlignment="1">
      <alignment horizontal="center"/>
    </xf>
    <xf numFmtId="0" fontId="63" fillId="3" borderId="20" xfId="2" applyFont="1" applyFill="1" applyBorder="1" applyAlignment="1">
      <alignment horizontal="center"/>
    </xf>
    <xf numFmtId="0" fontId="63" fillId="3" borderId="20" xfId="2" applyFont="1" applyFill="1" applyBorder="1"/>
    <xf numFmtId="0" fontId="61" fillId="3" borderId="20" xfId="2" applyFont="1" applyFill="1" applyBorder="1" applyAlignment="1">
      <alignment horizontal="center"/>
    </xf>
    <xf numFmtId="1" fontId="61" fillId="3" borderId="20" xfId="2" applyNumberFormat="1" applyFont="1" applyFill="1" applyBorder="1" applyAlignment="1">
      <alignment horizontal="center"/>
    </xf>
    <xf numFmtId="164" fontId="63" fillId="3" borderId="20" xfId="2" applyNumberFormat="1" applyFont="1" applyFill="1" applyBorder="1" applyAlignment="1">
      <alignment horizontal="center" wrapText="1"/>
    </xf>
    <xf numFmtId="0" fontId="63" fillId="3" borderId="21" xfId="2" applyFont="1" applyFill="1" applyBorder="1" applyAlignment="1">
      <alignment horizontal="center"/>
    </xf>
    <xf numFmtId="0" fontId="61" fillId="0" borderId="5" xfId="0" applyFont="1" applyBorder="1" applyAlignment="1">
      <alignment horizontal="right"/>
    </xf>
    <xf numFmtId="0" fontId="63" fillId="0" borderId="22" xfId="0" applyFont="1" applyBorder="1" applyAlignment="1">
      <alignment horizontal="center"/>
    </xf>
    <xf numFmtId="1" fontId="61" fillId="0" borderId="14" xfId="0" applyNumberFormat="1" applyFont="1" applyBorder="1" applyAlignment="1">
      <alignment horizontal="right"/>
    </xf>
    <xf numFmtId="0" fontId="63" fillId="0" borderId="14" xfId="0" applyFont="1" applyBorder="1" applyAlignment="1">
      <alignment horizontal="center"/>
    </xf>
    <xf numFmtId="14" fontId="65" fillId="2" borderId="0" xfId="1" applyNumberFormat="1" applyFont="1" applyFill="1" applyAlignment="1">
      <alignment horizontal="center" vertical="center" wrapText="1"/>
    </xf>
    <xf numFmtId="14" fontId="7" fillId="4" borderId="6" xfId="1" applyNumberFormat="1" applyFont="1" applyFill="1" applyBorder="1" applyAlignment="1">
      <alignment horizontal="center" vertical="center" wrapText="1"/>
    </xf>
    <xf numFmtId="14" fontId="7" fillId="4" borderId="15" xfId="1" applyNumberFormat="1" applyFont="1" applyFill="1" applyBorder="1" applyAlignment="1">
      <alignment horizontal="center" vertical="center" wrapText="1"/>
    </xf>
    <xf numFmtId="0" fontId="55" fillId="2" borderId="30" xfId="1" applyFont="1" applyFill="1" applyBorder="1" applyAlignment="1">
      <alignment horizontal="left"/>
    </xf>
    <xf numFmtId="0" fontId="55" fillId="2" borderId="14" xfId="1" applyFont="1" applyFill="1" applyBorder="1" applyAlignment="1">
      <alignment horizontal="left"/>
    </xf>
    <xf numFmtId="0" fontId="7" fillId="2" borderId="5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center"/>
    </xf>
    <xf numFmtId="0" fontId="54" fillId="5" borderId="20" xfId="1" applyFont="1" applyFill="1" applyBorder="1" applyAlignment="1">
      <alignment horizontal="center" vertical="center" wrapText="1"/>
    </xf>
    <xf numFmtId="0" fontId="54" fillId="5" borderId="21" xfId="1" applyFont="1" applyFill="1" applyBorder="1" applyAlignment="1">
      <alignment horizontal="center" vertical="center" wrapText="1"/>
    </xf>
    <xf numFmtId="0" fontId="60" fillId="2" borderId="10" xfId="1" applyFont="1" applyFill="1" applyBorder="1" applyAlignment="1">
      <alignment horizontal="right" vertical="top" wrapText="1"/>
    </xf>
    <xf numFmtId="0" fontId="60" fillId="2" borderId="5" xfId="1" applyFont="1" applyFill="1" applyBorder="1" applyAlignment="1">
      <alignment horizontal="right" vertical="top" wrapText="1"/>
    </xf>
    <xf numFmtId="0" fontId="60" fillId="2" borderId="14" xfId="1" applyFont="1" applyFill="1" applyBorder="1" applyAlignment="1">
      <alignment horizontal="right" vertical="top" wrapText="1"/>
    </xf>
    <xf numFmtId="0" fontId="5" fillId="2" borderId="4" xfId="1" applyFont="1" applyFill="1" applyBorder="1" applyAlignment="1">
      <alignment horizontal="right"/>
    </xf>
    <xf numFmtId="0" fontId="5" fillId="2" borderId="0" xfId="1" applyFont="1" applyFill="1" applyAlignment="1">
      <alignment horizontal="right"/>
    </xf>
    <xf numFmtId="0" fontId="6" fillId="2" borderId="11" xfId="1" applyFont="1" applyFill="1" applyBorder="1" applyAlignment="1">
      <alignment horizontal="center"/>
    </xf>
    <xf numFmtId="0" fontId="5" fillId="2" borderId="0" xfId="1" applyFont="1" applyFill="1"/>
    <xf numFmtId="0" fontId="60" fillId="3" borderId="12" xfId="0" applyFont="1" applyFill="1" applyBorder="1" applyAlignment="1">
      <alignment horizontal="center" vertical="center"/>
    </xf>
    <xf numFmtId="0" fontId="60" fillId="3" borderId="32" xfId="0" applyFont="1" applyFill="1" applyBorder="1" applyAlignment="1">
      <alignment horizontal="center" vertical="center"/>
    </xf>
    <xf numFmtId="0" fontId="60" fillId="3" borderId="60" xfId="0" applyFont="1" applyFill="1" applyBorder="1" applyAlignment="1">
      <alignment horizontal="center" vertical="center" wrapText="1"/>
    </xf>
    <xf numFmtId="0" fontId="60" fillId="3" borderId="30" xfId="0" applyFont="1" applyFill="1" applyBorder="1" applyAlignment="1">
      <alignment horizontal="center" vertical="center" wrapText="1"/>
    </xf>
    <xf numFmtId="0" fontId="60" fillId="3" borderId="2" xfId="0" applyFont="1" applyFill="1" applyBorder="1" applyAlignment="1">
      <alignment horizontal="center" vertical="center"/>
    </xf>
    <xf numFmtId="0" fontId="60" fillId="3" borderId="31" xfId="0" applyFont="1" applyFill="1" applyBorder="1" applyAlignment="1">
      <alignment horizontal="center" vertical="center"/>
    </xf>
    <xf numFmtId="0" fontId="60" fillId="3" borderId="14" xfId="0" applyFont="1" applyFill="1" applyBorder="1" applyAlignment="1">
      <alignment horizontal="center" vertical="center"/>
    </xf>
    <xf numFmtId="164" fontId="13" fillId="0" borderId="26" xfId="0" applyNumberFormat="1" applyFont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4" fontId="13" fillId="0" borderId="17" xfId="0" applyNumberFormat="1" applyFont="1" applyBorder="1" applyAlignment="1">
      <alignment horizontal="center"/>
    </xf>
    <xf numFmtId="0" fontId="60" fillId="0" borderId="45" xfId="0" applyFont="1" applyBorder="1" applyAlignment="1">
      <alignment horizontal="right"/>
    </xf>
    <xf numFmtId="0" fontId="60" fillId="0" borderId="8" xfId="0" applyFont="1" applyBorder="1" applyAlignment="1">
      <alignment horizontal="right"/>
    </xf>
    <xf numFmtId="0" fontId="60" fillId="0" borderId="34" xfId="0" applyFont="1" applyBorder="1" applyAlignment="1">
      <alignment horizontal="right"/>
    </xf>
    <xf numFmtId="0" fontId="60" fillId="0" borderId="30" xfId="0" applyFont="1" applyBorder="1" applyAlignment="1">
      <alignment horizontal="right"/>
    </xf>
    <xf numFmtId="0" fontId="60" fillId="0" borderId="29" xfId="0" applyFont="1" applyBorder="1" applyAlignment="1">
      <alignment horizontal="right"/>
    </xf>
    <xf numFmtId="0" fontId="60" fillId="0" borderId="9" xfId="0" applyFont="1" applyBorder="1" applyAlignment="1">
      <alignment horizontal="right"/>
    </xf>
    <xf numFmtId="0" fontId="60" fillId="0" borderId="10" xfId="0" applyFont="1" applyBorder="1" applyAlignment="1">
      <alignment horizontal="right"/>
    </xf>
    <xf numFmtId="0" fontId="60" fillId="0" borderId="5" xfId="0" applyFont="1" applyBorder="1" applyAlignment="1">
      <alignment horizontal="right"/>
    </xf>
    <xf numFmtId="164" fontId="7" fillId="0" borderId="26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0" fontId="11" fillId="0" borderId="29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7" fillId="0" borderId="32" xfId="0" applyFont="1" applyBorder="1" applyAlignment="1">
      <alignment horizontal="right"/>
    </xf>
    <xf numFmtId="0" fontId="7" fillId="0" borderId="37" xfId="0" applyFont="1" applyBorder="1" applyAlignment="1">
      <alignment horizontal="right"/>
    </xf>
    <xf numFmtId="0" fontId="7" fillId="0" borderId="31" xfId="0" applyFont="1" applyBorder="1" applyAlignment="1">
      <alignment horizontal="right"/>
    </xf>
    <xf numFmtId="164" fontId="7" fillId="0" borderId="61" xfId="0" applyNumberFormat="1" applyFont="1" applyBorder="1" applyAlignment="1">
      <alignment horizontal="center"/>
    </xf>
    <xf numFmtId="164" fontId="7" fillId="0" borderId="62" xfId="0" applyNumberFormat="1" applyFont="1" applyBorder="1" applyAlignment="1">
      <alignment horizontal="center"/>
    </xf>
    <xf numFmtId="0" fontId="60" fillId="3" borderId="19" xfId="0" applyFont="1" applyFill="1" applyBorder="1" applyAlignment="1">
      <alignment horizontal="center"/>
    </xf>
    <xf numFmtId="0" fontId="60" fillId="3" borderId="20" xfId="0" applyFont="1" applyFill="1" applyBorder="1" applyAlignment="1">
      <alignment horizontal="center"/>
    </xf>
    <xf numFmtId="0" fontId="60" fillId="3" borderId="21" xfId="0" applyFont="1" applyFill="1" applyBorder="1" applyAlignment="1">
      <alignment horizontal="center"/>
    </xf>
    <xf numFmtId="0" fontId="13" fillId="0" borderId="29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55" fillId="4" borderId="57" xfId="2" applyFont="1" applyFill="1" applyBorder="1" applyAlignment="1">
      <alignment horizontal="left"/>
    </xf>
    <xf numFmtId="0" fontId="55" fillId="4" borderId="11" xfId="2" applyFont="1" applyFill="1" applyBorder="1" applyAlignment="1">
      <alignment horizontal="left"/>
    </xf>
    <xf numFmtId="0" fontId="55" fillId="4" borderId="54" xfId="2" applyFont="1" applyFill="1" applyBorder="1" applyAlignment="1">
      <alignment horizontal="left"/>
    </xf>
    <xf numFmtId="0" fontId="55" fillId="0" borderId="45" xfId="2" applyFont="1" applyBorder="1" applyAlignment="1">
      <alignment horizontal="left"/>
    </xf>
    <xf numFmtId="0" fontId="55" fillId="0" borderId="8" xfId="2" applyFont="1" applyBorder="1" applyAlignment="1">
      <alignment horizontal="left"/>
    </xf>
    <xf numFmtId="0" fontId="55" fillId="0" borderId="23" xfId="2" applyFont="1" applyBorder="1" applyAlignment="1">
      <alignment horizontal="left"/>
    </xf>
    <xf numFmtId="0" fontId="55" fillId="0" borderId="57" xfId="2" applyFont="1" applyBorder="1" applyAlignment="1">
      <alignment horizontal="left"/>
    </xf>
    <xf numFmtId="0" fontId="55" fillId="0" borderId="11" xfId="2" applyFont="1" applyBorder="1" applyAlignment="1">
      <alignment horizontal="left"/>
    </xf>
    <xf numFmtId="0" fontId="55" fillId="0" borderId="54" xfId="2" applyFont="1" applyBorder="1" applyAlignment="1">
      <alignment horizontal="left"/>
    </xf>
    <xf numFmtId="0" fontId="2" fillId="2" borderId="33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55" fillId="0" borderId="27" xfId="2" applyFont="1" applyBorder="1" applyAlignment="1">
      <alignment horizontal="left" wrapText="1"/>
    </xf>
    <xf numFmtId="0" fontId="55" fillId="0" borderId="7" xfId="2" applyFont="1" applyBorder="1" applyAlignment="1">
      <alignment horizontal="left" wrapText="1"/>
    </xf>
    <xf numFmtId="0" fontId="55" fillId="0" borderId="28" xfId="2" applyFont="1" applyBorder="1" applyAlignment="1">
      <alignment horizontal="left" wrapText="1"/>
    </xf>
    <xf numFmtId="0" fontId="13" fillId="0" borderId="57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54" xfId="0" applyFont="1" applyBorder="1" applyAlignment="1">
      <alignment horizontal="left"/>
    </xf>
    <xf numFmtId="0" fontId="3" fillId="0" borderId="45" xfId="2" applyFont="1" applyBorder="1" applyAlignment="1">
      <alignment horizontal="left" wrapText="1"/>
    </xf>
    <xf numFmtId="0" fontId="3" fillId="0" borderId="8" xfId="2" applyFont="1" applyBorder="1" applyAlignment="1">
      <alignment horizontal="left" wrapText="1"/>
    </xf>
    <xf numFmtId="0" fontId="3" fillId="0" borderId="23" xfId="2" applyFont="1" applyBorder="1" applyAlignment="1">
      <alignment horizontal="left" wrapText="1"/>
    </xf>
    <xf numFmtId="0" fontId="8" fillId="0" borderId="29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3" fillId="6" borderId="25" xfId="1" applyFont="1" applyFill="1" applyBorder="1" applyAlignment="1">
      <alignment horizontal="center"/>
    </xf>
    <xf numFmtId="0" fontId="3" fillId="6" borderId="1" xfId="1" applyFont="1" applyFill="1" applyBorder="1" applyAlignment="1">
      <alignment horizontal="center"/>
    </xf>
    <xf numFmtId="0" fontId="3" fillId="0" borderId="29" xfId="2" applyFont="1" applyBorder="1" applyAlignment="1">
      <alignment horizontal="right"/>
    </xf>
    <xf numFmtId="0" fontId="3" fillId="0" borderId="9" xfId="2" applyFont="1" applyBorder="1" applyAlignment="1">
      <alignment horizontal="right"/>
    </xf>
    <xf numFmtId="0" fontId="3" fillId="0" borderId="10" xfId="2" applyFont="1" applyBorder="1" applyAlignment="1">
      <alignment horizontal="right"/>
    </xf>
    <xf numFmtId="0" fontId="2" fillId="0" borderId="5" xfId="2" applyFont="1" applyBorder="1" applyAlignment="1">
      <alignment horizontal="right"/>
    </xf>
    <xf numFmtId="164" fontId="2" fillId="0" borderId="26" xfId="2" applyNumberFormat="1" applyFont="1" applyBorder="1" applyAlignment="1">
      <alignment horizontal="center"/>
    </xf>
    <xf numFmtId="164" fontId="2" fillId="0" borderId="17" xfId="2" applyNumberFormat="1" applyFont="1" applyBorder="1" applyAlignment="1">
      <alignment horizontal="center"/>
    </xf>
    <xf numFmtId="164" fontId="2" fillId="0" borderId="26" xfId="2" applyNumberFormat="1" applyFont="1" applyBorder="1" applyAlignment="1">
      <alignment horizontal="right" wrapText="1"/>
    </xf>
    <xf numFmtId="164" fontId="2" fillId="0" borderId="10" xfId="2" applyNumberFormat="1" applyFont="1" applyBorder="1" applyAlignment="1">
      <alignment horizontal="right" wrapText="1"/>
    </xf>
    <xf numFmtId="164" fontId="2" fillId="0" borderId="26" xfId="0" applyNumberFormat="1" applyFont="1" applyBorder="1" applyAlignment="1">
      <alignment horizontal="center" wrapText="1"/>
    </xf>
    <xf numFmtId="164" fontId="2" fillId="0" borderId="17" xfId="0" applyNumberFormat="1" applyFont="1" applyBorder="1" applyAlignment="1">
      <alignment horizontal="center" wrapText="1"/>
    </xf>
    <xf numFmtId="0" fontId="3" fillId="0" borderId="13" xfId="2" applyFont="1" applyBorder="1" applyAlignment="1">
      <alignment horizontal="right"/>
    </xf>
    <xf numFmtId="0" fontId="3" fillId="0" borderId="24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2" fillId="0" borderId="14" xfId="2" applyFont="1" applyBorder="1" applyAlignment="1">
      <alignment horizontal="right"/>
    </xf>
    <xf numFmtId="0" fontId="3" fillId="3" borderId="19" xfId="2" applyFont="1" applyFill="1" applyBorder="1" applyAlignment="1">
      <alignment horizontal="left"/>
    </xf>
    <xf numFmtId="0" fontId="3" fillId="3" borderId="20" xfId="2" applyFont="1" applyFill="1" applyBorder="1" applyAlignment="1">
      <alignment horizontal="left"/>
    </xf>
    <xf numFmtId="0" fontId="3" fillId="3" borderId="21" xfId="2" applyFont="1" applyFill="1" applyBorder="1" applyAlignment="1">
      <alignment horizontal="left"/>
    </xf>
    <xf numFmtId="0" fontId="3" fillId="0" borderId="45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3" fillId="0" borderId="34" xfId="2" applyFont="1" applyBorder="1" applyAlignment="1">
      <alignment horizontal="right"/>
    </xf>
    <xf numFmtId="164" fontId="2" fillId="0" borderId="30" xfId="2" applyNumberFormat="1" applyFont="1" applyBorder="1" applyAlignment="1">
      <alignment horizontal="right"/>
    </xf>
    <xf numFmtId="0" fontId="2" fillId="2" borderId="22" xfId="2" applyFont="1" applyFill="1" applyBorder="1" applyAlignment="1">
      <alignment horizontal="center"/>
    </xf>
    <xf numFmtId="0" fontId="2" fillId="2" borderId="23" xfId="2" applyFont="1" applyFill="1" applyBorder="1" applyAlignment="1">
      <alignment horizontal="center"/>
    </xf>
    <xf numFmtId="0" fontId="3" fillId="3" borderId="12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/>
    </xf>
    <xf numFmtId="0" fontId="3" fillId="3" borderId="12" xfId="2" applyFont="1" applyFill="1" applyBorder="1" applyAlignment="1">
      <alignment horizontal="center" vertical="center" wrapText="1"/>
    </xf>
    <xf numFmtId="0" fontId="3" fillId="3" borderId="13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/>
    </xf>
    <xf numFmtId="0" fontId="3" fillId="3" borderId="14" xfId="2" applyFont="1" applyFill="1" applyBorder="1" applyAlignment="1">
      <alignment horizontal="center" vertical="center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44" xfId="1" applyNumberFormat="1" applyFont="1" applyFill="1" applyBorder="1" applyAlignment="1">
      <alignment horizontal="center" vertical="center" wrapText="1"/>
    </xf>
    <xf numFmtId="14" fontId="2" fillId="2" borderId="35" xfId="1" applyNumberFormat="1" applyFont="1" applyFill="1" applyBorder="1" applyAlignment="1">
      <alignment horizontal="center" vertical="center" wrapText="1"/>
    </xf>
    <xf numFmtId="0" fontId="2" fillId="2" borderId="41" xfId="1" applyFont="1" applyFill="1" applyBorder="1" applyAlignment="1">
      <alignment horizontal="left"/>
    </xf>
    <xf numFmtId="0" fontId="2" fillId="2" borderId="7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left"/>
    </xf>
    <xf numFmtId="0" fontId="2" fillId="2" borderId="26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45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1" fillId="2" borderId="2" xfId="1" applyFont="1" applyFill="1" applyBorder="1" applyAlignment="1">
      <alignment horizontal="center"/>
    </xf>
    <xf numFmtId="0" fontId="21" fillId="2" borderId="38" xfId="1" applyFont="1" applyFill="1" applyBorder="1" applyAlignment="1">
      <alignment horizontal="center"/>
    </xf>
    <xf numFmtId="0" fontId="21" fillId="2" borderId="36" xfId="1" applyFont="1" applyFill="1" applyBorder="1" applyAlignment="1">
      <alignment horizontal="center"/>
    </xf>
    <xf numFmtId="0" fontId="21" fillId="2" borderId="24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right" vertical="top" wrapText="1"/>
    </xf>
    <xf numFmtId="0" fontId="3" fillId="2" borderId="43" xfId="1" applyFont="1" applyFill="1" applyBorder="1" applyAlignment="1">
      <alignment horizontal="right" vertical="top" wrapText="1"/>
    </xf>
    <xf numFmtId="0" fontId="3" fillId="2" borderId="46" xfId="1" applyFont="1" applyFill="1" applyBorder="1" applyAlignment="1">
      <alignment horizontal="right" vertical="top" wrapText="1"/>
    </xf>
    <xf numFmtId="0" fontId="2" fillId="0" borderId="55" xfId="2" applyFont="1" applyBorder="1" applyAlignment="1">
      <alignment horizontal="left"/>
    </xf>
    <xf numFmtId="0" fontId="2" fillId="0" borderId="36" xfId="2" applyFont="1" applyBorder="1" applyAlignment="1">
      <alignment horizontal="left"/>
    </xf>
    <xf numFmtId="0" fontId="2" fillId="0" borderId="56" xfId="2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22" fillId="0" borderId="45" xfId="2" applyFont="1" applyBorder="1" applyAlignment="1">
      <alignment horizontal="left" wrapText="1"/>
    </xf>
    <xf numFmtId="0" fontId="22" fillId="0" borderId="8" xfId="2" applyFont="1" applyBorder="1" applyAlignment="1">
      <alignment horizontal="left" wrapText="1"/>
    </xf>
    <xf numFmtId="0" fontId="22" fillId="0" borderId="23" xfId="2" applyFont="1" applyBorder="1" applyAlignment="1">
      <alignment horizontal="left" wrapText="1"/>
    </xf>
    <xf numFmtId="0" fontId="2" fillId="0" borderId="29" xfId="2" applyFont="1" applyBorder="1" applyAlignment="1">
      <alignment horizontal="left" wrapText="1"/>
    </xf>
    <xf numFmtId="0" fontId="2" fillId="0" borderId="9" xfId="2" applyFont="1" applyBorder="1" applyAlignment="1">
      <alignment horizontal="left" wrapText="1"/>
    </xf>
    <xf numFmtId="0" fontId="2" fillId="0" borderId="17" xfId="2" applyFont="1" applyBorder="1" applyAlignment="1">
      <alignment horizontal="left" wrapText="1"/>
    </xf>
    <xf numFmtId="164" fontId="2" fillId="0" borderId="38" xfId="2" applyNumberFormat="1" applyFont="1" applyBorder="1" applyAlignment="1">
      <alignment horizontal="center"/>
    </xf>
    <xf numFmtId="164" fontId="2" fillId="0" borderId="56" xfId="2" applyNumberFormat="1" applyFont="1" applyBorder="1" applyAlignment="1">
      <alignment horizontal="center"/>
    </xf>
    <xf numFmtId="0" fontId="11" fillId="0" borderId="27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28" xfId="0" applyFont="1" applyBorder="1" applyAlignment="1">
      <alignment horizontal="left" wrapText="1"/>
    </xf>
    <xf numFmtId="0" fontId="4" fillId="5" borderId="19" xfId="1" applyFont="1" applyFill="1" applyBorder="1" applyAlignment="1">
      <alignment horizontal="center" vertical="center" wrapText="1"/>
    </xf>
    <xf numFmtId="0" fontId="4" fillId="5" borderId="20" xfId="1" applyFont="1" applyFill="1" applyBorder="1" applyAlignment="1">
      <alignment horizontal="center" vertical="center" wrapText="1"/>
    </xf>
    <xf numFmtId="0" fontId="4" fillId="5" borderId="21" xfId="1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8" xfId="0" applyFont="1" applyBorder="1" applyAlignment="1">
      <alignment horizontal="left"/>
    </xf>
    <xf numFmtId="14" fontId="2" fillId="2" borderId="40" xfId="74" applyNumberFormat="1" applyFont="1" applyFill="1" applyBorder="1" applyAlignment="1">
      <alignment horizontal="center" vertical="center" wrapText="1"/>
    </xf>
    <xf numFmtId="14" fontId="2" fillId="2" borderId="44" xfId="74" applyNumberFormat="1" applyFont="1" applyFill="1" applyBorder="1" applyAlignment="1">
      <alignment horizontal="center" vertical="center" wrapText="1"/>
    </xf>
    <xf numFmtId="14" fontId="2" fillId="2" borderId="35" xfId="74" applyNumberFormat="1" applyFont="1" applyFill="1" applyBorder="1" applyAlignment="1">
      <alignment horizontal="center" vertical="center" wrapText="1"/>
    </xf>
    <xf numFmtId="0" fontId="2" fillId="2" borderId="41" xfId="74" applyFont="1" applyFill="1" applyBorder="1" applyAlignment="1">
      <alignment horizontal="left"/>
    </xf>
    <xf numFmtId="0" fontId="2" fillId="2" borderId="7" xfId="74" applyFont="1" applyFill="1" applyBorder="1" applyAlignment="1">
      <alignment horizontal="left"/>
    </xf>
    <xf numFmtId="0" fontId="2" fillId="2" borderId="42" xfId="74" applyFont="1" applyFill="1" applyBorder="1" applyAlignment="1">
      <alignment horizontal="left"/>
    </xf>
    <xf numFmtId="0" fontId="2" fillId="2" borderId="26" xfId="74" applyFont="1" applyFill="1" applyBorder="1" applyAlignment="1">
      <alignment horizontal="left"/>
    </xf>
    <xf numFmtId="0" fontId="2" fillId="2" borderId="9" xfId="74" applyFont="1" applyFill="1" applyBorder="1" applyAlignment="1">
      <alignment horizontal="left"/>
    </xf>
    <xf numFmtId="0" fontId="2" fillId="2" borderId="10" xfId="74" applyFont="1" applyFill="1" applyBorder="1" applyAlignment="1">
      <alignment horizontal="left"/>
    </xf>
    <xf numFmtId="0" fontId="2" fillId="2" borderId="39" xfId="74" applyFont="1" applyFill="1" applyBorder="1" applyAlignment="1">
      <alignment horizontal="center"/>
    </xf>
    <xf numFmtId="0" fontId="2" fillId="2" borderId="1" xfId="74" applyFont="1" applyFill="1" applyBorder="1" applyAlignment="1">
      <alignment horizontal="center"/>
    </xf>
    <xf numFmtId="0" fontId="2" fillId="2" borderId="4" xfId="74" applyFont="1" applyFill="1" applyBorder="1" applyAlignment="1">
      <alignment horizontal="center"/>
    </xf>
    <xf numFmtId="0" fontId="2" fillId="2" borderId="0" xfId="74" applyFont="1" applyFill="1" applyAlignment="1">
      <alignment horizontal="center"/>
    </xf>
    <xf numFmtId="0" fontId="2" fillId="2" borderId="45" xfId="74" applyFont="1" applyFill="1" applyBorder="1" applyAlignment="1">
      <alignment horizontal="center"/>
    </xf>
    <xf numFmtId="0" fontId="2" fillId="2" borderId="8" xfId="74" applyFont="1" applyFill="1" applyBorder="1" applyAlignment="1">
      <alignment horizontal="center"/>
    </xf>
    <xf numFmtId="0" fontId="21" fillId="2" borderId="2" xfId="74" applyFont="1" applyFill="1" applyBorder="1" applyAlignment="1">
      <alignment horizontal="center"/>
    </xf>
    <xf numFmtId="0" fontId="21" fillId="2" borderId="38" xfId="74" applyFont="1" applyFill="1" applyBorder="1" applyAlignment="1">
      <alignment horizontal="center"/>
    </xf>
    <xf numFmtId="0" fontId="21" fillId="2" borderId="36" xfId="74" applyFont="1" applyFill="1" applyBorder="1" applyAlignment="1">
      <alignment horizontal="center"/>
    </xf>
    <xf numFmtId="0" fontId="21" fillId="2" borderId="24" xfId="74" applyFont="1" applyFill="1" applyBorder="1" applyAlignment="1">
      <alignment horizontal="center"/>
    </xf>
    <xf numFmtId="0" fontId="4" fillId="5" borderId="19" xfId="74" applyFont="1" applyFill="1" applyBorder="1" applyAlignment="1">
      <alignment horizontal="center" vertical="center" wrapText="1"/>
    </xf>
    <xf numFmtId="0" fontId="4" fillId="5" borderId="20" xfId="74" applyFont="1" applyFill="1" applyBorder="1" applyAlignment="1">
      <alignment horizontal="center" vertical="center" wrapText="1"/>
    </xf>
    <xf numFmtId="0" fontId="4" fillId="5" borderId="21" xfId="74" applyFont="1" applyFill="1" applyBorder="1" applyAlignment="1">
      <alignment horizontal="center" vertical="center" wrapText="1"/>
    </xf>
    <xf numFmtId="0" fontId="3" fillId="2" borderId="37" xfId="74" applyFont="1" applyFill="1" applyBorder="1" applyAlignment="1">
      <alignment horizontal="right" vertical="top" wrapText="1"/>
    </xf>
    <xf numFmtId="0" fontId="3" fillId="2" borderId="43" xfId="74" applyFont="1" applyFill="1" applyBorder="1" applyAlignment="1">
      <alignment horizontal="right" vertical="top" wrapText="1"/>
    </xf>
    <xf numFmtId="0" fontId="3" fillId="2" borderId="46" xfId="74" applyFont="1" applyFill="1" applyBorder="1" applyAlignment="1">
      <alignment horizontal="right" vertical="top" wrapText="1"/>
    </xf>
    <xf numFmtId="0" fontId="11" fillId="0" borderId="16" xfId="2" applyFont="1" applyBorder="1" applyAlignment="1">
      <alignment horizontal="left"/>
    </xf>
    <xf numFmtId="0" fontId="11" fillId="0" borderId="10" xfId="2" applyFont="1" applyBorder="1" applyAlignment="1">
      <alignment horizontal="left"/>
    </xf>
    <xf numFmtId="0" fontId="11" fillId="0" borderId="5" xfId="2" applyFont="1" applyBorder="1" applyAlignment="1">
      <alignment horizontal="left"/>
    </xf>
    <xf numFmtId="0" fontId="11" fillId="0" borderId="6" xfId="2" applyFont="1" applyBorder="1" applyAlignment="1">
      <alignment horizontal="left"/>
    </xf>
    <xf numFmtId="164" fontId="2" fillId="0" borderId="26" xfId="2" applyNumberFormat="1" applyFont="1" applyBorder="1" applyAlignment="1">
      <alignment horizontal="center" wrapText="1"/>
    </xf>
    <xf numFmtId="164" fontId="2" fillId="0" borderId="17" xfId="2" applyNumberFormat="1" applyFont="1" applyBorder="1" applyAlignment="1">
      <alignment horizontal="center" wrapText="1"/>
    </xf>
    <xf numFmtId="0" fontId="11" fillId="0" borderId="39" xfId="2" applyFont="1" applyBorder="1" applyAlignment="1">
      <alignment horizontal="left"/>
    </xf>
    <xf numFmtId="0" fontId="11" fillId="0" borderId="1" xfId="2" applyFont="1" applyBorder="1" applyAlignment="1">
      <alignment horizontal="left"/>
    </xf>
    <xf numFmtId="0" fontId="11" fillId="0" borderId="59" xfId="2" applyFont="1" applyBorder="1" applyAlignment="1">
      <alignment horizontal="left"/>
    </xf>
    <xf numFmtId="0" fontId="3" fillId="6" borderId="25" xfId="74" applyFont="1" applyFill="1" applyBorder="1" applyAlignment="1">
      <alignment horizontal="center"/>
    </xf>
    <xf numFmtId="0" fontId="3" fillId="6" borderId="1" xfId="74" applyFont="1" applyFill="1" applyBorder="1" applyAlignment="1">
      <alignment horizontal="center"/>
    </xf>
    <xf numFmtId="0" fontId="2" fillId="2" borderId="33" xfId="74" applyFont="1" applyFill="1" applyBorder="1" applyAlignment="1">
      <alignment horizontal="left"/>
    </xf>
    <xf numFmtId="0" fontId="2" fillId="2" borderId="0" xfId="74" applyFont="1" applyFill="1" applyAlignment="1">
      <alignment horizontal="left"/>
    </xf>
    <xf numFmtId="0" fontId="11" fillId="0" borderId="57" xfId="2" applyFont="1" applyBorder="1" applyAlignment="1">
      <alignment horizontal="left"/>
    </xf>
    <xf numFmtId="0" fontId="11" fillId="0" borderId="11" xfId="2" applyFont="1" applyBorder="1" applyAlignment="1">
      <alignment horizontal="left"/>
    </xf>
    <xf numFmtId="0" fontId="11" fillId="0" borderId="54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11" fillId="0" borderId="29" xfId="2" applyFont="1" applyBorder="1" applyAlignment="1">
      <alignment horizontal="left" wrapText="1"/>
    </xf>
    <xf numFmtId="0" fontId="11" fillId="0" borderId="9" xfId="2" applyFont="1" applyBorder="1" applyAlignment="1">
      <alignment horizontal="left" wrapText="1"/>
    </xf>
    <xf numFmtId="0" fontId="11" fillId="0" borderId="17" xfId="2" applyFont="1" applyBorder="1" applyAlignment="1">
      <alignment horizontal="left" wrapText="1"/>
    </xf>
    <xf numFmtId="0" fontId="30" fillId="0" borderId="0" xfId="0" applyFont="1" applyAlignment="1">
      <alignment horizontal="center" vertical="center"/>
    </xf>
    <xf numFmtId="0" fontId="46" fillId="0" borderId="19" xfId="0" applyFont="1" applyBorder="1" applyAlignment="1">
      <alignment horizontal="right" vertical="center"/>
    </xf>
    <xf numFmtId="0" fontId="46" fillId="0" borderId="20" xfId="0" applyFont="1" applyBorder="1" applyAlignment="1">
      <alignment horizontal="right" vertical="center"/>
    </xf>
    <xf numFmtId="0" fontId="46" fillId="0" borderId="21" xfId="0" applyFont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38" fillId="0" borderId="11" xfId="0" applyFont="1" applyBorder="1" applyAlignment="1">
      <alignment horizontal="right"/>
    </xf>
    <xf numFmtId="0" fontId="30" fillId="0" borderId="0" xfId="0" applyFont="1" applyAlignment="1">
      <alignment horizontal="right" vertical="center"/>
    </xf>
    <xf numFmtId="0" fontId="36" fillId="8" borderId="19" xfId="0" applyFont="1" applyFill="1" applyBorder="1" applyAlignment="1">
      <alignment horizontal="right"/>
    </xf>
    <xf numFmtId="0" fontId="36" fillId="8" borderId="20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4" fillId="0" borderId="11" xfId="0" applyFont="1" applyBorder="1" applyAlignment="1">
      <alignment horizontal="right" vertical="center"/>
    </xf>
    <xf numFmtId="0" fontId="14" fillId="0" borderId="54" xfId="0" applyFont="1" applyBorder="1" applyAlignment="1">
      <alignment horizontal="right" vertical="center"/>
    </xf>
    <xf numFmtId="0" fontId="14" fillId="10" borderId="19" xfId="0" applyFont="1" applyFill="1" applyBorder="1" applyAlignment="1">
      <alignment horizontal="right" vertical="center"/>
    </xf>
    <xf numFmtId="0" fontId="14" fillId="10" borderId="20" xfId="0" applyFont="1" applyFill="1" applyBorder="1" applyAlignment="1">
      <alignment horizontal="right" vertical="center"/>
    </xf>
    <xf numFmtId="0" fontId="14" fillId="10" borderId="21" xfId="0" applyFont="1" applyFill="1" applyBorder="1" applyAlignment="1">
      <alignment horizontal="right" vertical="center"/>
    </xf>
    <xf numFmtId="4" fontId="45" fillId="0" borderId="0" xfId="72" applyNumberFormat="1" applyFont="1" applyFill="1" applyAlignment="1">
      <alignment horizontal="center" vertical="center" wrapText="1"/>
    </xf>
    <xf numFmtId="0" fontId="39" fillId="0" borderId="5" xfId="0" applyFont="1" applyBorder="1" applyAlignment="1">
      <alignment horizontal="right" vertical="center"/>
    </xf>
    <xf numFmtId="0" fontId="40" fillId="0" borderId="4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40" fillId="0" borderId="18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31" fillId="0" borderId="39" xfId="0" applyFont="1" applyBorder="1" applyAlignment="1">
      <alignment horizontal="right"/>
    </xf>
    <xf numFmtId="0" fontId="31" fillId="0" borderId="1" xfId="0" applyFont="1" applyBorder="1" applyAlignment="1">
      <alignment horizontal="right"/>
    </xf>
    <xf numFmtId="0" fontId="12" fillId="0" borderId="5" xfId="0" applyFont="1" applyBorder="1" applyAlignment="1">
      <alignment horizontal="right" vertical="center"/>
    </xf>
    <xf numFmtId="0" fontId="31" fillId="0" borderId="0" xfId="0" applyFont="1" applyAlignment="1">
      <alignment horizontal="right"/>
    </xf>
    <xf numFmtId="0" fontId="25" fillId="0" borderId="11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right" vertical="center" wrapText="1"/>
    </xf>
    <xf numFmtId="0" fontId="2" fillId="0" borderId="27" xfId="2" applyFont="1" applyBorder="1" applyAlignment="1">
      <alignment horizontal="left" vertical="center" wrapText="1"/>
    </xf>
    <xf numFmtId="0" fontId="2" fillId="0" borderId="7" xfId="2" applyFont="1" applyBorder="1" applyAlignment="1">
      <alignment horizontal="left" vertical="center" wrapText="1"/>
    </xf>
    <xf numFmtId="0" fontId="2" fillId="0" borderId="28" xfId="2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22" fillId="0" borderId="16" xfId="2" applyFont="1" applyBorder="1" applyAlignment="1">
      <alignment horizontal="left" wrapText="1"/>
    </xf>
    <xf numFmtId="0" fontId="22" fillId="0" borderId="10" xfId="2" applyFont="1" applyBorder="1" applyAlignment="1">
      <alignment horizontal="left" wrapText="1"/>
    </xf>
    <xf numFmtId="0" fontId="22" fillId="0" borderId="5" xfId="2" applyFont="1" applyBorder="1" applyAlignment="1">
      <alignment horizontal="left" wrapText="1"/>
    </xf>
    <xf numFmtId="0" fontId="22" fillId="0" borderId="6" xfId="2" applyFont="1" applyBorder="1" applyAlignment="1">
      <alignment horizontal="left" wrapText="1"/>
    </xf>
    <xf numFmtId="0" fontId="3" fillId="3" borderId="32" xfId="2" applyFont="1" applyFill="1" applyBorder="1" applyAlignment="1">
      <alignment horizontal="center" vertical="center"/>
    </xf>
    <xf numFmtId="0" fontId="3" fillId="3" borderId="32" xfId="2" applyFont="1" applyFill="1" applyBorder="1" applyAlignment="1">
      <alignment horizontal="center" vertical="center" wrapText="1"/>
    </xf>
    <xf numFmtId="0" fontId="3" fillId="3" borderId="31" xfId="2" applyFont="1" applyFill="1" applyBorder="1" applyAlignment="1">
      <alignment horizontal="center" vertical="center"/>
    </xf>
    <xf numFmtId="0" fontId="66" fillId="5" borderId="19" xfId="1" applyFont="1" applyFill="1" applyBorder="1" applyAlignment="1">
      <alignment horizontal="center" vertical="center" wrapText="1"/>
    </xf>
    <xf numFmtId="0" fontId="66" fillId="5" borderId="20" xfId="1" applyFont="1" applyFill="1" applyBorder="1" applyAlignment="1">
      <alignment horizontal="center" vertical="center" wrapText="1"/>
    </xf>
    <xf numFmtId="0" fontId="66" fillId="5" borderId="21" xfId="1" applyFont="1" applyFill="1" applyBorder="1" applyAlignment="1">
      <alignment horizontal="center" vertical="center" wrapText="1"/>
    </xf>
    <xf numFmtId="0" fontId="65" fillId="2" borderId="11" xfId="1" applyFont="1" applyFill="1" applyBorder="1" applyAlignment="1">
      <alignment horizontal="center"/>
    </xf>
    <xf numFmtId="0" fontId="61" fillId="0" borderId="45" xfId="2" applyFont="1" applyBorder="1" applyAlignment="1">
      <alignment horizontal="right"/>
    </xf>
    <xf numFmtId="0" fontId="61" fillId="0" borderId="8" xfId="2" applyFont="1" applyBorder="1" applyAlignment="1">
      <alignment horizontal="right"/>
    </xf>
    <xf numFmtId="0" fontId="61" fillId="0" borderId="34" xfId="2" applyFont="1" applyBorder="1" applyAlignment="1">
      <alignment horizontal="right"/>
    </xf>
    <xf numFmtId="164" fontId="63" fillId="0" borderId="30" xfId="2" applyNumberFormat="1" applyFont="1" applyBorder="1" applyAlignment="1">
      <alignment horizontal="right"/>
    </xf>
    <xf numFmtId="0" fontId="63" fillId="2" borderId="22" xfId="2" applyFont="1" applyFill="1" applyBorder="1" applyAlignment="1">
      <alignment horizontal="center"/>
    </xf>
    <xf numFmtId="0" fontId="63" fillId="2" borderId="23" xfId="2" applyFont="1" applyFill="1" applyBorder="1" applyAlignment="1">
      <alignment horizontal="center"/>
    </xf>
    <xf numFmtId="0" fontId="61" fillId="0" borderId="29" xfId="2" applyFont="1" applyBorder="1" applyAlignment="1">
      <alignment horizontal="right"/>
    </xf>
    <xf numFmtId="0" fontId="61" fillId="0" borderId="9" xfId="2" applyFont="1" applyBorder="1" applyAlignment="1">
      <alignment horizontal="right"/>
    </xf>
    <xf numFmtId="0" fontId="61" fillId="0" borderId="10" xfId="2" applyFont="1" applyBorder="1" applyAlignment="1">
      <alignment horizontal="right"/>
    </xf>
    <xf numFmtId="0" fontId="63" fillId="0" borderId="5" xfId="2" applyFont="1" applyBorder="1" applyAlignment="1">
      <alignment horizontal="right"/>
    </xf>
    <xf numFmtId="164" fontId="63" fillId="0" borderId="26" xfId="2" applyNumberFormat="1" applyFont="1" applyBorder="1" applyAlignment="1">
      <alignment horizontal="center"/>
    </xf>
    <xf numFmtId="164" fontId="63" fillId="0" borderId="17" xfId="2" applyNumberFormat="1" applyFont="1" applyBorder="1" applyAlignment="1">
      <alignment horizontal="center"/>
    </xf>
    <xf numFmtId="0" fontId="63" fillId="0" borderId="27" xfId="2" applyFont="1" applyBorder="1" applyAlignment="1">
      <alignment horizontal="left" vertical="center" wrapText="1"/>
    </xf>
    <xf numFmtId="0" fontId="63" fillId="0" borderId="7" xfId="2" applyFont="1" applyBorder="1" applyAlignment="1">
      <alignment horizontal="left" vertical="center" wrapText="1"/>
    </xf>
    <xf numFmtId="0" fontId="63" fillId="0" borderId="28" xfId="2" applyFont="1" applyBorder="1" applyAlignment="1">
      <alignment horizontal="left" vertical="center" wrapText="1"/>
    </xf>
    <xf numFmtId="164" fontId="63" fillId="0" borderId="26" xfId="2" applyNumberFormat="1" applyFont="1" applyBorder="1" applyAlignment="1">
      <alignment horizontal="right" wrapText="1"/>
    </xf>
    <xf numFmtId="164" fontId="63" fillId="0" borderId="10" xfId="2" applyNumberFormat="1" applyFont="1" applyBorder="1" applyAlignment="1">
      <alignment horizontal="right" wrapText="1"/>
    </xf>
    <xf numFmtId="164" fontId="63" fillId="0" borderId="26" xfId="0" applyNumberFormat="1" applyFont="1" applyBorder="1" applyAlignment="1">
      <alignment horizontal="center" wrapText="1"/>
    </xf>
    <xf numFmtId="164" fontId="63" fillId="0" borderId="17" xfId="0" applyNumberFormat="1" applyFont="1" applyBorder="1" applyAlignment="1">
      <alignment horizontal="center" wrapText="1"/>
    </xf>
    <xf numFmtId="0" fontId="61" fillId="0" borderId="13" xfId="2" applyFont="1" applyBorder="1" applyAlignment="1">
      <alignment horizontal="right"/>
    </xf>
    <xf numFmtId="0" fontId="61" fillId="0" borderId="24" xfId="2" applyFont="1" applyBorder="1" applyAlignment="1">
      <alignment horizontal="right"/>
    </xf>
    <xf numFmtId="0" fontId="61" fillId="0" borderId="14" xfId="2" applyFont="1" applyBorder="1" applyAlignment="1">
      <alignment horizontal="right"/>
    </xf>
    <xf numFmtId="0" fontId="63" fillId="0" borderId="14" xfId="2" applyFont="1" applyBorder="1" applyAlignment="1">
      <alignment horizontal="right"/>
    </xf>
    <xf numFmtId="0" fontId="61" fillId="3" borderId="19" xfId="2" applyFont="1" applyFill="1" applyBorder="1" applyAlignment="1">
      <alignment horizontal="center"/>
    </xf>
    <xf numFmtId="0" fontId="61" fillId="3" borderId="20" xfId="2" applyFont="1" applyFill="1" applyBorder="1" applyAlignment="1">
      <alignment horizontal="center"/>
    </xf>
    <xf numFmtId="0" fontId="61" fillId="3" borderId="21" xfId="2" applyFont="1" applyFill="1" applyBorder="1" applyAlignment="1">
      <alignment horizontal="center"/>
    </xf>
    <xf numFmtId="0" fontId="63" fillId="2" borderId="5" xfId="1" applyFont="1" applyFill="1" applyBorder="1" applyAlignment="1">
      <alignment horizontal="left"/>
    </xf>
    <xf numFmtId="0" fontId="62" fillId="0" borderId="5" xfId="0" applyFont="1" applyBorder="1" applyAlignment="1">
      <alignment horizontal="left"/>
    </xf>
    <xf numFmtId="0" fontId="63" fillId="0" borderId="63" xfId="0" applyFont="1" applyBorder="1" applyAlignment="1">
      <alignment horizontal="left"/>
    </xf>
    <xf numFmtId="0" fontId="63" fillId="0" borderId="34" xfId="0" applyFont="1" applyBorder="1" applyAlignment="1">
      <alignment horizontal="left"/>
    </xf>
    <xf numFmtId="0" fontId="63" fillId="0" borderId="30" xfId="0" applyFont="1" applyBorder="1" applyAlignment="1">
      <alignment horizontal="left"/>
    </xf>
    <xf numFmtId="0" fontId="63" fillId="0" borderId="35" xfId="0" applyFont="1" applyBorder="1" applyAlignment="1">
      <alignment horizontal="left"/>
    </xf>
    <xf numFmtId="0" fontId="61" fillId="0" borderId="16" xfId="2" applyFont="1" applyBorder="1" applyAlignment="1">
      <alignment horizontal="left" wrapText="1"/>
    </xf>
    <xf numFmtId="0" fontId="61" fillId="0" borderId="10" xfId="2" applyFont="1" applyBorder="1" applyAlignment="1">
      <alignment horizontal="left" wrapText="1"/>
    </xf>
    <xf numFmtId="0" fontId="61" fillId="0" borderId="5" xfId="2" applyFont="1" applyBorder="1" applyAlignment="1">
      <alignment horizontal="left" wrapText="1"/>
    </xf>
    <xf numFmtId="0" fontId="61" fillId="0" borderId="6" xfId="2" applyFont="1" applyBorder="1" applyAlignment="1">
      <alignment horizontal="left" wrapText="1"/>
    </xf>
    <xf numFmtId="0" fontId="61" fillId="0" borderId="29" xfId="0" applyFont="1" applyBorder="1" applyAlignment="1">
      <alignment horizontal="left"/>
    </xf>
    <xf numFmtId="0" fontId="61" fillId="0" borderId="9" xfId="0" applyFont="1" applyBorder="1" applyAlignment="1">
      <alignment horizontal="left"/>
    </xf>
    <xf numFmtId="0" fontId="61" fillId="0" borderId="17" xfId="0" applyFont="1" applyBorder="1" applyAlignment="1">
      <alignment horizontal="left"/>
    </xf>
    <xf numFmtId="0" fontId="61" fillId="6" borderId="25" xfId="1" applyFont="1" applyFill="1" applyBorder="1" applyAlignment="1">
      <alignment horizontal="center"/>
    </xf>
    <xf numFmtId="0" fontId="61" fillId="6" borderId="1" xfId="1" applyFont="1" applyFill="1" applyBorder="1" applyAlignment="1">
      <alignment horizontal="center"/>
    </xf>
    <xf numFmtId="0" fontId="13" fillId="0" borderId="45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9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55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56" xfId="0" applyFont="1" applyBorder="1" applyAlignment="1">
      <alignment horizontal="left"/>
    </xf>
  </cellXfs>
  <cellStyles count="255">
    <cellStyle name="Millares" xfId="71" builtinId="3"/>
    <cellStyle name="Millares [0]" xfId="72" builtinId="6"/>
    <cellStyle name="Millares [0] 2" xfId="8" xr:uid="{73371371-F543-43D7-8908-AAAA364952D6}"/>
    <cellStyle name="Millares [0] 2 2" xfId="16" xr:uid="{5277948D-D0DA-47EF-A01C-89E7DD5772D1}"/>
    <cellStyle name="Millares [0] 2 2 2" xfId="31" xr:uid="{A10EA61B-A1DE-4C04-8969-B341FF8DBF7A}"/>
    <cellStyle name="Millares [0] 2 2 2 2" xfId="59" xr:uid="{65B73CE9-C885-4964-B4AC-030341EA336D}"/>
    <cellStyle name="Millares [0] 2 2 2 2 2" xfId="123" xr:uid="{06F6362C-5712-4956-A8E2-D4316A468863}"/>
    <cellStyle name="Millares [0] 2 2 2 2 2 2" xfId="244" xr:uid="{E5B8FE92-E275-46CA-A18C-951137117D27}"/>
    <cellStyle name="Millares [0] 2 2 2 2 3" xfId="182" xr:uid="{C0F89ECC-0DF4-4A87-8097-3E77094A32D6}"/>
    <cellStyle name="Millares [0] 2 2 2 3" xfId="95" xr:uid="{8C51EAED-0086-4A01-91A9-6ECFDDEE89BE}"/>
    <cellStyle name="Millares [0] 2 2 2 3 2" xfId="216" xr:uid="{59C78D62-EE51-431C-BCDC-D11C782B78F6}"/>
    <cellStyle name="Millares [0] 2 2 2 4" xfId="154" xr:uid="{758FF101-4D96-42D6-B0AA-9A99A23AC41D}"/>
    <cellStyle name="Millares [0] 2 2 3" xfId="44" xr:uid="{469BEC87-1765-4AFB-AB45-EEDEF9464AB2}"/>
    <cellStyle name="Millares [0] 2 2 3 2" xfId="108" xr:uid="{8BFD0226-3344-4AF8-8C66-154685F2D55A}"/>
    <cellStyle name="Millares [0] 2 2 3 2 2" xfId="229" xr:uid="{E5639660-92BD-41B7-B363-EEFD0CB93BFF}"/>
    <cellStyle name="Millares [0] 2 2 3 3" xfId="167" xr:uid="{CC042475-D7C8-483B-BC23-658E8B30C5AF}"/>
    <cellStyle name="Millares [0] 2 2 4" xfId="80" xr:uid="{6C790AB1-C6DA-4AF3-85F1-951F3B1564D3}"/>
    <cellStyle name="Millares [0] 2 2 4 2" xfId="201" xr:uid="{F843FC3F-5BAC-41B1-BA53-4C6D5687A05E}"/>
    <cellStyle name="Millares [0] 2 2 5" xfId="139" xr:uid="{7E525104-1ED6-4671-B469-6483428E0615}"/>
    <cellStyle name="Millares [0] 2 3" xfId="21" xr:uid="{A495B227-D87E-49A6-8158-8CE2B9B5CF41}"/>
    <cellStyle name="Millares [0] 2 3 2" xfId="36" xr:uid="{8FB77EAC-42B5-4E99-956D-902941DF2BAF}"/>
    <cellStyle name="Millares [0] 2 3 2 2" xfId="64" xr:uid="{256906C5-42F5-4B88-B914-7EFAB1E204BD}"/>
    <cellStyle name="Millares [0] 2 3 2 2 2" xfId="128" xr:uid="{F3F9D5BD-6708-4404-95F0-DDC46E25BDBA}"/>
    <cellStyle name="Millares [0] 2 3 2 2 2 2" xfId="249" xr:uid="{BD71B5D3-27AE-4862-98DC-4BD5A5622F72}"/>
    <cellStyle name="Millares [0] 2 3 2 2 3" xfId="187" xr:uid="{4109E070-9ECF-4D3E-9931-84E1E721113F}"/>
    <cellStyle name="Millares [0] 2 3 2 3" xfId="100" xr:uid="{D109C513-4AFA-437E-B28C-AE450ED7FCE2}"/>
    <cellStyle name="Millares [0] 2 3 2 3 2" xfId="221" xr:uid="{6569F696-22E5-4565-9804-487CCCFDBCB6}"/>
    <cellStyle name="Millares [0] 2 3 2 4" xfId="159" xr:uid="{67901402-E165-4314-9A53-55C93D7A2A72}"/>
    <cellStyle name="Millares [0] 2 3 3" xfId="49" xr:uid="{268F2503-F3C9-4BF3-A383-6EBC8D660435}"/>
    <cellStyle name="Millares [0] 2 3 3 2" xfId="113" xr:uid="{533EEBA8-26CB-44FB-B792-2FE962E5CFA0}"/>
    <cellStyle name="Millares [0] 2 3 3 2 2" xfId="234" xr:uid="{B8EFA0EB-190E-487D-BAF9-8F0B220211FE}"/>
    <cellStyle name="Millares [0] 2 3 3 3" xfId="172" xr:uid="{70B1B508-3690-43C9-83F2-069C60040727}"/>
    <cellStyle name="Millares [0] 2 3 4" xfId="85" xr:uid="{B5CEEB85-4565-431F-A163-889F4923F9CE}"/>
    <cellStyle name="Millares [0] 2 3 4 2" xfId="206" xr:uid="{80E31098-5145-4DE0-B4DE-B3454F4266D3}"/>
    <cellStyle name="Millares [0] 2 3 5" xfId="144" xr:uid="{4A100CBD-D4A8-450C-9A24-126DCD993AE6}"/>
    <cellStyle name="Millares [0] 2 4" xfId="26" xr:uid="{63666CEC-B3E6-44D4-A07C-8F7D335F5A4D}"/>
    <cellStyle name="Millares [0] 2 4 2" xfId="54" xr:uid="{FB0B6EB2-A9D0-4A15-B8CD-9FBC7DD5CDD4}"/>
    <cellStyle name="Millares [0] 2 4 2 2" xfId="118" xr:uid="{54EA44D2-FDD8-4835-AE50-80970A1D3F5A}"/>
    <cellStyle name="Millares [0] 2 4 2 2 2" xfId="239" xr:uid="{243AFEDD-7F95-46DF-BF92-2A5E1FEEC3F4}"/>
    <cellStyle name="Millares [0] 2 4 2 3" xfId="177" xr:uid="{68DB9974-DD38-4B3E-8FC7-CA500A1EA001}"/>
    <cellStyle name="Millares [0] 2 4 3" xfId="90" xr:uid="{78DB34DD-8B27-40EC-9CD0-4BC8337EAB3D}"/>
    <cellStyle name="Millares [0] 2 4 3 2" xfId="211" xr:uid="{61E44835-F80F-45E6-8BA9-1281A7600857}"/>
    <cellStyle name="Millares [0] 2 4 4" xfId="149" xr:uid="{918785CC-5DFC-4E71-A837-0ACAC52A38BE}"/>
    <cellStyle name="Millares [0] 2 5" xfId="39" xr:uid="{AE6E017E-E83D-4398-B3C6-97CFA78B27F8}"/>
    <cellStyle name="Millares [0] 2 5 2" xfId="103" xr:uid="{3E200893-058D-4AC7-9BF2-8401C16BD421}"/>
    <cellStyle name="Millares [0] 2 5 2 2" xfId="224" xr:uid="{350915B5-25DC-44A9-B4D5-734748755C69}"/>
    <cellStyle name="Millares [0] 2 5 3" xfId="162" xr:uid="{F36C5411-F934-48F2-9776-E2F536AD5552}"/>
    <cellStyle name="Millares [0] 2 6" xfId="75" xr:uid="{CF6059E4-285C-47D4-88E7-4443EE85BF7C}"/>
    <cellStyle name="Millares [0] 2 6 2" xfId="196" xr:uid="{7A4E17E2-8F4F-48AB-803A-28030E51CE97}"/>
    <cellStyle name="Millares [0] 2 7" xfId="134" xr:uid="{62BA4A3C-2343-4EE4-B4C4-CB48CE3F7724}"/>
    <cellStyle name="Millares [0] 3" xfId="19" xr:uid="{A3F8510E-070D-46DB-8709-AB0F99B978FE}"/>
    <cellStyle name="Millares [0] 3 2" xfId="34" xr:uid="{2E641034-42E8-4774-B99F-D50BA197A729}"/>
    <cellStyle name="Millares [0] 3 2 2" xfId="62" xr:uid="{570FB30A-1EF1-40AA-AD89-2D7F43C6AA0F}"/>
    <cellStyle name="Millares [0] 3 2 2 2" xfId="126" xr:uid="{57612E31-738C-4C34-89B7-DD2939650CEE}"/>
    <cellStyle name="Millares [0] 3 2 2 2 2" xfId="247" xr:uid="{F22547F1-964E-4A40-B24A-AEDA0CE0CB30}"/>
    <cellStyle name="Millares [0] 3 2 2 3" xfId="185" xr:uid="{C20D2571-69F5-41F7-BD4C-90B5D7B08A74}"/>
    <cellStyle name="Millares [0] 3 2 3" xfId="98" xr:uid="{E5D1A5DA-9D26-4E7F-A978-BA35C88F166E}"/>
    <cellStyle name="Millares [0] 3 2 3 2" xfId="219" xr:uid="{6526DC55-821D-4B80-8561-A97F90DB2444}"/>
    <cellStyle name="Millares [0] 3 2 3 2 3" xfId="14" xr:uid="{D58F9C74-DFF5-48AD-BCD1-37507D3EECF4}"/>
    <cellStyle name="Millares [0] 3 2 3 2 3 2" xfId="29" xr:uid="{22AE7D9C-FAF2-4573-9BD3-DDCE1B3A9B3B}"/>
    <cellStyle name="Millares [0] 3 2 3 2 3 2 2" xfId="57" xr:uid="{1B53BB0E-7F49-4EA5-823C-444EA6AE60C2}"/>
    <cellStyle name="Millares [0] 3 2 3 2 3 2 2 2" xfId="121" xr:uid="{2F9C031C-9622-4392-AB9C-C5CE91F034F2}"/>
    <cellStyle name="Millares [0] 3 2 3 2 3 2 2 2 2" xfId="242" xr:uid="{A095AA06-0BF2-44E0-B32A-D80CFAF05E44}"/>
    <cellStyle name="Millares [0] 3 2 3 2 3 2 2 3" xfId="180" xr:uid="{668CCB02-0CF9-4C22-87F1-94008C3F3CB5}"/>
    <cellStyle name="Millares [0] 3 2 3 2 3 2 3" xfId="93" xr:uid="{4D774EE2-AD59-41BE-B2DD-2DA41C6919E1}"/>
    <cellStyle name="Millares [0] 3 2 3 2 3 2 3 2" xfId="214" xr:uid="{EC543A4F-8052-4472-898D-FF7398F95847}"/>
    <cellStyle name="Millares [0] 3 2 3 2 3 2 4" xfId="152" xr:uid="{E155D18F-FF97-4D7C-A34B-29C346F97F43}"/>
    <cellStyle name="Millares [0] 3 2 3 2 3 3" xfId="42" xr:uid="{ACD56387-5520-4169-B030-E19108E1BA04}"/>
    <cellStyle name="Millares [0] 3 2 3 2 3 3 2" xfId="106" xr:uid="{CEC63FF4-530B-49B0-85AC-1D7903AF7339}"/>
    <cellStyle name="Millares [0] 3 2 3 2 3 3 2 2" xfId="227" xr:uid="{D90BF585-C519-4128-8867-10C092AF2718}"/>
    <cellStyle name="Millares [0] 3 2 3 2 3 3 3" xfId="165" xr:uid="{CB5A1CB5-366D-4ACE-9FBE-433FA133F03D}"/>
    <cellStyle name="Millares [0] 3 2 3 2 3 4" xfId="78" xr:uid="{17EB01DD-DD17-420D-97C9-220B82DD2868}"/>
    <cellStyle name="Millares [0] 3 2 3 2 3 4 2" xfId="199" xr:uid="{9917D45B-FBF6-4EB5-AC83-4DFFA4F56934}"/>
    <cellStyle name="Millares [0] 3 2 3 2 3 5" xfId="137" xr:uid="{8F6EF5C3-258E-4E23-ACFC-4586E75094F6}"/>
    <cellStyle name="Millares [0] 3 2 4" xfId="157" xr:uid="{D1BA5910-9810-478F-B299-6FDEEE36D13F}"/>
    <cellStyle name="Millares [0] 3 3" xfId="47" xr:uid="{29B768F0-20E9-4FCF-8EEA-86AD5AB99A7A}"/>
    <cellStyle name="Millares [0] 3 3 2" xfId="111" xr:uid="{DD00F418-EAB0-4D7D-ACA6-2C20335F3C3E}"/>
    <cellStyle name="Millares [0] 3 3 2 2" xfId="232" xr:uid="{3B9962F9-BAE3-4799-BE7A-17B8CA896FB7}"/>
    <cellStyle name="Millares [0] 3 3 3" xfId="170" xr:uid="{AD9113EA-5814-40E8-B405-B691D8C42800}"/>
    <cellStyle name="Millares [0] 3 4" xfId="83" xr:uid="{32259938-2B50-441E-8C94-DD018D97364A}"/>
    <cellStyle name="Millares [0] 3 4 2" xfId="204" xr:uid="{7B34BCD0-B0B3-4480-9946-C546BB07C4B1}"/>
    <cellStyle name="Millares [0] 3 5" xfId="142" xr:uid="{DCB0E322-9540-4756-BF92-44E00097ABE1}"/>
    <cellStyle name="Millares [0] 4" xfId="53" xr:uid="{619DD870-EC87-4D13-9BF8-05BE82BBE00B}"/>
    <cellStyle name="Millares [0] 4 2" xfId="117" xr:uid="{9353BB79-819E-4A57-9719-6E77D784B711}"/>
    <cellStyle name="Millares [0] 4 2 2" xfId="238" xr:uid="{2AAF5160-601E-4912-82E3-4B1A52171C75}"/>
    <cellStyle name="Millares [0] 4 3" xfId="176" xr:uid="{94D24BE3-05A2-4ADF-913D-ECE8D897C2A1}"/>
    <cellStyle name="Millares [0] 5" xfId="25" xr:uid="{3C482C00-AD41-4CE8-865C-CE14A3BB77DD}"/>
    <cellStyle name="Millares [0] 5 2" xfId="89" xr:uid="{80C2FD01-12AC-480F-8FD9-42CD14A3CCF1}"/>
    <cellStyle name="Millares [0] 5 2 2" xfId="210" xr:uid="{8BD2E5A0-B972-45B0-BADA-145ED43618D8}"/>
    <cellStyle name="Millares [0] 5 3" xfId="148" xr:uid="{3E97187B-87DC-44FA-A4F0-786D15ACBBED}"/>
    <cellStyle name="Millares [0] 6" xfId="194" xr:uid="{365874FC-A3CE-41B7-84B1-B1C56D2D7B44}"/>
    <cellStyle name="Millares 10" xfId="69" xr:uid="{691ECCAC-B647-4642-BC41-B79F1DF26175}"/>
    <cellStyle name="Millares 10 2" xfId="133" xr:uid="{A8A956C7-B398-4BBD-B750-1BFB7D991FFA}"/>
    <cellStyle name="Millares 10 2 2" xfId="254" xr:uid="{9449DCA0-17DD-48C6-9470-1057C449D72B}"/>
    <cellStyle name="Millares 10 3" xfId="192" xr:uid="{86C6717A-3FFC-44CC-A724-AD27E8E1B29B}"/>
    <cellStyle name="Millares 11" xfId="73" xr:uid="{AEE52346-E4E8-419A-B3C1-869E63E73894}"/>
    <cellStyle name="Millares 11 2" xfId="195" xr:uid="{503C3CBB-5051-4F39-B5D9-A68047806EB8}"/>
    <cellStyle name="Millares 12" xfId="193" xr:uid="{38683BE3-B95B-41BC-BA5E-89909BCA49CC}"/>
    <cellStyle name="Millares 2" xfId="9" xr:uid="{CB209AE9-0F7D-40CD-B31D-E36C85322FC3}"/>
    <cellStyle name="Millares 2 2" xfId="15" xr:uid="{1B2B6E5C-4F16-42C7-8F1E-5691CBB2DA91}"/>
    <cellStyle name="Millares 2 2 2" xfId="30" xr:uid="{B8C3243D-F73E-4818-9F14-660087274224}"/>
    <cellStyle name="Millares 2 2 2 2" xfId="58" xr:uid="{EB384E68-3DE1-4B1C-9507-DFB6BEAD4E2C}"/>
    <cellStyle name="Millares 2 2 2 2 2" xfId="122" xr:uid="{055FE493-6DE5-4FFA-AB3C-F371E9B39533}"/>
    <cellStyle name="Millares 2 2 2 2 2 2" xfId="243" xr:uid="{47783B5D-1CEC-434E-BF33-77CCF4785BB3}"/>
    <cellStyle name="Millares 2 2 2 2 3" xfId="181" xr:uid="{BD4EF373-636C-4918-BA1E-4CADE993BFE3}"/>
    <cellStyle name="Millares 2 2 2 3" xfId="94" xr:uid="{DDB0A9E6-7F7E-405C-8CBB-ADBAE1C876A6}"/>
    <cellStyle name="Millares 2 2 2 3 2" xfId="215" xr:uid="{133BBD81-939B-4D82-BB5C-D001086A6C5D}"/>
    <cellStyle name="Millares 2 2 2 4" xfId="153" xr:uid="{AF22D621-4265-43CB-BDBC-E8D94672324A}"/>
    <cellStyle name="Millares 2 2 3" xfId="43" xr:uid="{5FD04799-F745-4FA9-8C70-85E5B813CCE8}"/>
    <cellStyle name="Millares 2 2 3 2" xfId="107" xr:uid="{1FBD293E-0621-4827-A7FF-D9614D8CC465}"/>
    <cellStyle name="Millares 2 2 3 2 2" xfId="228" xr:uid="{B8485C7A-3503-4093-96A2-ADEC48C0DA71}"/>
    <cellStyle name="Millares 2 2 3 3" xfId="166" xr:uid="{6E579EEA-B0A8-4211-8040-44AA33CACD7D}"/>
    <cellStyle name="Millares 2 2 4" xfId="79" xr:uid="{86EC5799-F59A-4394-84B0-B0B44037F672}"/>
    <cellStyle name="Millares 2 2 4 2" xfId="200" xr:uid="{EA3672AB-3678-4996-AADF-6858535E8E63}"/>
    <cellStyle name="Millares 2 2 5" xfId="138" xr:uid="{EA1E7ADE-B82B-4CA2-AA94-B0DB3F1B3990}"/>
    <cellStyle name="Millares 2 3" xfId="20" xr:uid="{5F89DB67-3549-4F47-8680-CF2D8DD916C1}"/>
    <cellStyle name="Millares 2 3 2" xfId="35" xr:uid="{6F83A733-95D5-47B9-A933-C125F20F3F22}"/>
    <cellStyle name="Millares 2 3 2 2" xfId="63" xr:uid="{3EF771B7-56D1-47EB-B88A-E535998B3AB1}"/>
    <cellStyle name="Millares 2 3 2 2 2" xfId="127" xr:uid="{61502D1E-B570-4903-AF03-749B98DC7F95}"/>
    <cellStyle name="Millares 2 3 2 2 2 2" xfId="248" xr:uid="{A98DC5EA-2FC6-49F7-87F8-632157B9FB3F}"/>
    <cellStyle name="Millares 2 3 2 2 3" xfId="186" xr:uid="{095ED319-4199-4E8C-A521-E665FC0E8200}"/>
    <cellStyle name="Millares 2 3 2 3" xfId="99" xr:uid="{5DB99B99-1D0F-46C3-AB45-6057A31B4E18}"/>
    <cellStyle name="Millares 2 3 2 3 2" xfId="220" xr:uid="{CA89C573-0DA7-4821-AB2E-8BAF70E5B168}"/>
    <cellStyle name="Millares 2 3 2 4" xfId="158" xr:uid="{8ABF8AE4-AB61-4905-BDA7-AFBAC5771FFE}"/>
    <cellStyle name="Millares 2 3 3" xfId="48" xr:uid="{7AEFF9ED-F6F3-467E-97F9-13D8F5F633D0}"/>
    <cellStyle name="Millares 2 3 3 2" xfId="112" xr:uid="{96DFE02D-01E7-458A-8399-68C049F458ED}"/>
    <cellStyle name="Millares 2 3 3 2 2" xfId="233" xr:uid="{1268AA6E-4A94-41AD-8CD6-DE58BCB703FE}"/>
    <cellStyle name="Millares 2 3 3 3" xfId="171" xr:uid="{EEA3DE71-C237-4097-BDFA-E07575255DD6}"/>
    <cellStyle name="Millares 2 3 4" xfId="84" xr:uid="{73382107-EE39-448E-98F7-3F4522943845}"/>
    <cellStyle name="Millares 2 3 4 2" xfId="205" xr:uid="{A7A6D8DC-3C5B-42D9-B9CB-984BFCAFBA14}"/>
    <cellStyle name="Millares 2 3 5" xfId="143" xr:uid="{DC79F5B0-558A-474D-B8E7-F9E41ABAA21C}"/>
    <cellStyle name="Millares 2 4" xfId="27" xr:uid="{BDCD1706-A482-4E57-9AA5-6B2F638C05BB}"/>
    <cellStyle name="Millares 2 4 2" xfId="55" xr:uid="{0936025D-B91A-4774-A30C-7CFE20B11457}"/>
    <cellStyle name="Millares 2 4 2 2" xfId="119" xr:uid="{F5222BCD-28A2-4D2E-A3A1-E942A4536F06}"/>
    <cellStyle name="Millares 2 4 2 2 2" xfId="240" xr:uid="{17D9FF35-C2F0-4384-A40B-1DC759133AC8}"/>
    <cellStyle name="Millares 2 4 2 3" xfId="178" xr:uid="{ACDC0FA9-2DDB-4401-B777-76A517B5A360}"/>
    <cellStyle name="Millares 2 4 3" xfId="91" xr:uid="{FAB562C5-9B35-4AE2-AB46-6722536D36DB}"/>
    <cellStyle name="Millares 2 4 3 2" xfId="212" xr:uid="{909DF9FB-B5D0-4DC5-9BC9-DC4F4AFEA871}"/>
    <cellStyle name="Millares 2 4 4" xfId="150" xr:uid="{E57A339A-3E68-4FD6-B378-E57F829ACE0D}"/>
    <cellStyle name="Millares 2 5" xfId="40" xr:uid="{2558DE7B-1271-45B4-9EF0-1938B1F2B4D0}"/>
    <cellStyle name="Millares 2 5 2" xfId="104" xr:uid="{0DF4F3C5-80B6-48CE-8204-562CC7C68694}"/>
    <cellStyle name="Millares 2 5 2 2" xfId="225" xr:uid="{E48A9676-35D5-4A0C-BB0F-0F408C0E5D9C}"/>
    <cellStyle name="Millares 2 5 3" xfId="163" xr:uid="{8E4F27CD-9BA6-49D4-ADB7-C3C223E98A28}"/>
    <cellStyle name="Millares 2 6" xfId="76" xr:uid="{B77D0B15-2159-4E1B-88CA-C1690FF83D24}"/>
    <cellStyle name="Millares 2 6 2" xfId="197" xr:uid="{2DE10119-1BBB-45A4-B1A0-E0BF56D3DDDE}"/>
    <cellStyle name="Millares 2 7" xfId="135" xr:uid="{DB1B0845-1695-47D9-B9BF-4EF3359BF83B}"/>
    <cellStyle name="Millares 3" xfId="10" xr:uid="{74317C1B-7E10-4473-A3B6-1491E72D5C5D}"/>
    <cellStyle name="Millares 3 2" xfId="17" xr:uid="{6C6C5968-D214-48CD-9995-3C58DC5BDE8D}"/>
    <cellStyle name="Millares 3 2 2" xfId="32" xr:uid="{C29950BD-AEDB-40CD-993F-E73A9EF069C6}"/>
    <cellStyle name="Millares 3 2 2 2" xfId="60" xr:uid="{43DEAB43-9E95-425D-98BD-AA6E2F75EE40}"/>
    <cellStyle name="Millares 3 2 2 2 2" xfId="124" xr:uid="{9F7BEF50-5C3E-431F-9C59-190BB1201EE4}"/>
    <cellStyle name="Millares 3 2 2 2 2 2" xfId="245" xr:uid="{02CB70FA-5E8E-4FC5-B0FF-A40C7BE1793D}"/>
    <cellStyle name="Millares 3 2 2 2 3" xfId="183" xr:uid="{896FCDDE-68AA-4764-BC04-48C9282936CF}"/>
    <cellStyle name="Millares 3 2 2 3" xfId="96" xr:uid="{A5602370-6347-4B63-8C13-5112002E7877}"/>
    <cellStyle name="Millares 3 2 2 3 2" xfId="217" xr:uid="{27BBB309-5F52-4470-B02C-09869A998CE6}"/>
    <cellStyle name="Millares 3 2 2 4" xfId="155" xr:uid="{CCE3403A-CAAA-4D8B-94E8-E4ACE81F25D0}"/>
    <cellStyle name="Millares 3 2 3" xfId="45" xr:uid="{8B3529EE-B5B9-4C44-AA80-96D636B8D6DF}"/>
    <cellStyle name="Millares 3 2 3 2" xfId="109" xr:uid="{CE9CC296-0D2F-49CB-86E7-C0F67E2D9C57}"/>
    <cellStyle name="Millares 3 2 3 2 2" xfId="230" xr:uid="{33684FD1-F821-4D36-BD88-68315332AC05}"/>
    <cellStyle name="Millares 3 2 3 3" xfId="168" xr:uid="{CCC8FB48-06B6-4F15-8F57-441079F472C0}"/>
    <cellStyle name="Millares 3 2 4" xfId="81" xr:uid="{72BD6267-2B69-4444-A3EF-3F7492F4586E}"/>
    <cellStyle name="Millares 3 2 4 2" xfId="202" xr:uid="{54106E13-4920-4FDC-B4C2-28A84FCC79F4}"/>
    <cellStyle name="Millares 3 2 5" xfId="140" xr:uid="{FACD008E-48EC-40BB-9B46-C6281693540E}"/>
    <cellStyle name="Millares 3 3" xfId="22" xr:uid="{8AC9163B-932D-42B8-A13D-18D28DAB1789}"/>
    <cellStyle name="Millares 3 3 2" xfId="37" xr:uid="{223FBFFA-F0BA-49CF-8C5F-08281D89F37D}"/>
    <cellStyle name="Millares 3 3 2 2" xfId="65" xr:uid="{25D0088F-FA45-42D2-B5F6-6588F5E95875}"/>
    <cellStyle name="Millares 3 3 2 2 2" xfId="129" xr:uid="{1EDB3934-07B3-46CE-A172-48EB39EA917C}"/>
    <cellStyle name="Millares 3 3 2 2 2 2" xfId="250" xr:uid="{3D6EF233-E5D0-4C46-9954-E053C68AE49F}"/>
    <cellStyle name="Millares 3 3 2 2 3" xfId="188" xr:uid="{8B3C0D92-89D9-473B-B565-B433F0863F4F}"/>
    <cellStyle name="Millares 3 3 2 3" xfId="101" xr:uid="{EEFA5AD1-EA04-44EB-880D-494DDAD1DE76}"/>
    <cellStyle name="Millares 3 3 2 3 2" xfId="222" xr:uid="{CD4C6B2A-1038-48B8-8C3D-9C3AEE52C8D4}"/>
    <cellStyle name="Millares 3 3 2 4" xfId="160" xr:uid="{4C346861-8731-4262-9E8B-A7D912D7AA91}"/>
    <cellStyle name="Millares 3 3 3" xfId="50" xr:uid="{B8237972-87DC-4B8E-B49D-D3103DB9A66B}"/>
    <cellStyle name="Millares 3 3 3 2" xfId="114" xr:uid="{46FC0EFE-17B2-454E-BE1E-D5C21FD9C639}"/>
    <cellStyle name="Millares 3 3 3 2 2" xfId="235" xr:uid="{DE104D3C-FDED-45AB-BA95-F068F36E9AF9}"/>
    <cellStyle name="Millares 3 3 3 3" xfId="173" xr:uid="{119E4823-EED5-4A43-81EB-5863441B1477}"/>
    <cellStyle name="Millares 3 3 4" xfId="86" xr:uid="{B354215C-081A-4A9B-81A0-9C05906DAF06}"/>
    <cellStyle name="Millares 3 3 4 2" xfId="207" xr:uid="{26B0F97F-F0AF-40F1-A428-B3C127365628}"/>
    <cellStyle name="Millares 3 3 5" xfId="145" xr:uid="{580E95A5-3492-4C94-95B2-44B9340D4672}"/>
    <cellStyle name="Millares 3 4" xfId="28" xr:uid="{1F4C9C52-D452-4590-AEF8-138030CA2F80}"/>
    <cellStyle name="Millares 3 4 2" xfId="56" xr:uid="{8E54619C-D0B3-42BF-AAB2-1989CF2FCA9A}"/>
    <cellStyle name="Millares 3 4 2 2" xfId="120" xr:uid="{EB87E07F-D62F-4E49-A335-BB11D67D79DE}"/>
    <cellStyle name="Millares 3 4 2 2 2" xfId="241" xr:uid="{7D9B8448-85D2-45F7-A5B7-829BD6C18F8B}"/>
    <cellStyle name="Millares 3 4 2 3" xfId="179" xr:uid="{291A3AE4-A5F2-40EE-AAE2-82D12184A2AC}"/>
    <cellStyle name="Millares 3 4 3" xfId="92" xr:uid="{30AAD6E8-4064-40AB-BE8F-901C9201AF49}"/>
    <cellStyle name="Millares 3 4 3 2" xfId="213" xr:uid="{077A3C97-F87B-437E-9325-35784323D13B}"/>
    <cellStyle name="Millares 3 4 4" xfId="151" xr:uid="{4F1233FF-B42B-48F2-B158-3AA5D4215252}"/>
    <cellStyle name="Millares 3 5" xfId="41" xr:uid="{397DF4F4-976B-460C-87B5-FAF1685EB799}"/>
    <cellStyle name="Millares 3 5 2" xfId="105" xr:uid="{BD75945D-DC9D-435B-ACE7-F38D836EE88B}"/>
    <cellStyle name="Millares 3 5 2 2" xfId="226" xr:uid="{34B8C6CD-848E-457F-91B7-9F6F1001849E}"/>
    <cellStyle name="Millares 3 5 3" xfId="164" xr:uid="{F2227E5C-0867-4D03-808C-551C1B7A0481}"/>
    <cellStyle name="Millares 3 6" xfId="77" xr:uid="{2EEDE4FD-A08A-4C4B-A138-224A1B7DA6EE}"/>
    <cellStyle name="Millares 3 6 2" xfId="198" xr:uid="{D1270934-D617-43B3-935E-416EDECC6386}"/>
    <cellStyle name="Millares 3 7" xfId="136" xr:uid="{C554A3A0-21D6-4D7D-BABA-2848950CF059}"/>
    <cellStyle name="Millares 4" xfId="23" xr:uid="{AC1881BA-FEEF-4F08-917D-C47CD1E010FC}"/>
    <cellStyle name="Millares 4 2" xfId="38" xr:uid="{1DC30700-382F-4F5D-AC6A-5412799A734C}"/>
    <cellStyle name="Millares 4 2 2" xfId="66" xr:uid="{E15499B6-91F3-46F8-98C7-8E522281690C}"/>
    <cellStyle name="Millares 4 2 2 2" xfId="130" xr:uid="{B5D67F29-19B9-48BA-838C-0A816ADC6033}"/>
    <cellStyle name="Millares 4 2 2 2 2" xfId="251" xr:uid="{3883C27B-E24D-471B-A597-F4639FCF541D}"/>
    <cellStyle name="Millares 4 2 2 3" xfId="189" xr:uid="{1DC24918-41D5-4519-811D-F0533166F233}"/>
    <cellStyle name="Millares 4 2 3" xfId="102" xr:uid="{EE44E8C9-01C0-4D17-B2AB-271D9573B365}"/>
    <cellStyle name="Millares 4 2 3 2" xfId="223" xr:uid="{EC8AEFEF-D653-48C9-B416-872B89160671}"/>
    <cellStyle name="Millares 4 2 4" xfId="161" xr:uid="{14B063E1-FBFD-44E9-9A6F-F38EB754DCA1}"/>
    <cellStyle name="Millares 4 3" xfId="51" xr:uid="{B7A8BE5E-E226-4549-A61B-8F7640652317}"/>
    <cellStyle name="Millares 4 3 2" xfId="115" xr:uid="{FD71D4D2-2370-4D20-8632-B6503D2EA7FA}"/>
    <cellStyle name="Millares 4 3 2 2" xfId="236" xr:uid="{973CF320-7BC3-4F59-8339-0230C10254FE}"/>
    <cellStyle name="Millares 4 3 3" xfId="174" xr:uid="{F5CAD9C3-482C-4394-A6D6-A581D10AA22B}"/>
    <cellStyle name="Millares 4 4" xfId="87" xr:uid="{1AFDFB2B-3F40-4FBE-9E06-18810E7574E5}"/>
    <cellStyle name="Millares 4 4 2" xfId="208" xr:uid="{160FD5A3-F660-44CB-857F-D721EE0BA846}"/>
    <cellStyle name="Millares 4 5" xfId="146" xr:uid="{806F9F1D-936C-4395-8AAF-B94B114041C6}"/>
    <cellStyle name="Millares 5" xfId="18" xr:uid="{6C7D7FDF-E192-4B96-831E-7C5770295392}"/>
    <cellStyle name="Millares 5 2" xfId="33" xr:uid="{27DEBC3D-F1B0-4397-B281-3EDC9E7BA295}"/>
    <cellStyle name="Millares 5 2 2" xfId="61" xr:uid="{3E5AF9FE-D540-433D-A13F-2423133816A5}"/>
    <cellStyle name="Millares 5 2 2 2" xfId="125" xr:uid="{CFD2419F-C11B-49BD-B5C3-4D005A3A87AC}"/>
    <cellStyle name="Millares 5 2 2 2 2" xfId="246" xr:uid="{FC949CED-4E9C-4982-8731-8D60E54FBC88}"/>
    <cellStyle name="Millares 5 2 2 3" xfId="184" xr:uid="{7A07F86C-2DD4-408E-8795-9CDFD7170832}"/>
    <cellStyle name="Millares 5 2 3" xfId="97" xr:uid="{82553F1F-C419-421C-8ADB-3130D127D4DF}"/>
    <cellStyle name="Millares 5 2 3 2" xfId="218" xr:uid="{F76BE086-6706-4707-9C4A-85E117DAEA88}"/>
    <cellStyle name="Millares 5 2 4" xfId="156" xr:uid="{ABDD0C69-0578-4993-88E1-E06431651825}"/>
    <cellStyle name="Millares 5 3" xfId="46" xr:uid="{778075B3-A380-458C-8877-EF30A677F68D}"/>
    <cellStyle name="Millares 5 3 2" xfId="110" xr:uid="{D482EA63-20CA-4B0A-A326-4AF6171D65F9}"/>
    <cellStyle name="Millares 5 3 2 2" xfId="231" xr:uid="{E0CE3B57-862B-430A-AFA7-D5AC37C92E99}"/>
    <cellStyle name="Millares 5 3 3" xfId="169" xr:uid="{7405AB63-121F-484D-AEBB-7DB26D03C90A}"/>
    <cellStyle name="Millares 5 4" xfId="82" xr:uid="{18C4821D-7C83-4515-BC65-C3BA147D1FB5}"/>
    <cellStyle name="Millares 5 4 2" xfId="203" xr:uid="{0221145D-F9E2-421B-8269-3C97811B8BB8}"/>
    <cellStyle name="Millares 5 5" xfId="141" xr:uid="{C4901A39-881C-4CA9-B885-E20D7FCBDBFA}"/>
    <cellStyle name="Millares 6" xfId="52" xr:uid="{B34DDADE-A3AF-479F-B6A5-B4CD70237C77}"/>
    <cellStyle name="Millares 6 2" xfId="116" xr:uid="{0F981447-CB05-4780-A3E6-E527C974A959}"/>
    <cellStyle name="Millares 6 2 2" xfId="237" xr:uid="{272C511A-8031-41DB-B21C-41526E1634F5}"/>
    <cellStyle name="Millares 6 3" xfId="175" xr:uid="{8AE5B5C6-B561-495B-AB3F-A765541959BA}"/>
    <cellStyle name="Millares 7" xfId="67" xr:uid="{B43D82E9-E068-4C6D-AD42-C612AD594C92}"/>
    <cellStyle name="Millares 7 2" xfId="131" xr:uid="{E86EFA9B-A34E-4B0B-ACB4-1AB91E7DC07C}"/>
    <cellStyle name="Millares 7 2 2" xfId="252" xr:uid="{C0191CCC-72A3-49F1-98B1-E18B9A266F17}"/>
    <cellStyle name="Millares 7 3" xfId="190" xr:uid="{6E235A5A-6A12-47E7-B2BA-9AFDF5592C6A}"/>
    <cellStyle name="Millares 8" xfId="24" xr:uid="{64A117E6-D40B-4655-B8FF-0DC99158D86F}"/>
    <cellStyle name="Millares 8 2" xfId="88" xr:uid="{7CD19DD7-F5C0-4B8E-A78E-D147489CB61A}"/>
    <cellStyle name="Millares 8 2 2" xfId="209" xr:uid="{860A92A7-06D2-4779-994E-4EE5C4EE85C1}"/>
    <cellStyle name="Millares 8 3" xfId="147" xr:uid="{8A36D0B3-89D4-45B6-9CD6-5B1694895FA5}"/>
    <cellStyle name="Millares 9" xfId="68" xr:uid="{31628C00-7F7B-4935-BB11-BE6D2C29E2F2}"/>
    <cellStyle name="Millares 9 2" xfId="132" xr:uid="{3827CE0C-9236-4175-B6DE-98C5F9852098}"/>
    <cellStyle name="Millares 9 2 2" xfId="253" xr:uid="{17028DAA-41AB-415F-9084-7BEA5D16560E}"/>
    <cellStyle name="Millares 9 3" xfId="191" xr:uid="{56CDADD1-2E06-4DF0-89CA-790ED58B473A}"/>
    <cellStyle name="Normal" xfId="0" builtinId="0"/>
    <cellStyle name="Normal 2" xfId="2" xr:uid="{F0E50ADB-0AEC-4629-B918-110FA540EAD9}"/>
    <cellStyle name="Normal 2 2" xfId="11" xr:uid="{35D0BA6E-ECA9-40C1-AE0E-10FBEEFDA79D}"/>
    <cellStyle name="Normal 3" xfId="7" xr:uid="{B29AC443-944F-4CD5-8988-527E431CA1FE}"/>
    <cellStyle name="Normal 3 2" xfId="3" xr:uid="{4F9DCEA8-106E-4C47-8641-B18BB36960E3}"/>
    <cellStyle name="Normal 4" xfId="70" xr:uid="{AB84DC0D-111C-4132-8B89-64EC685C5013}"/>
    <cellStyle name="Normal 5" xfId="5" xr:uid="{8493BE70-73E2-4C76-BFAB-704DB73307F9}"/>
    <cellStyle name="Normal 5 3" xfId="6" xr:uid="{CAE30A43-F476-4516-ACB4-01A3B2642E73}"/>
    <cellStyle name="Normal_CRITERIOS DE EVALUACION PT DE GB" xfId="74" xr:uid="{A2A0BFFF-5BCD-45B1-A091-89A46BC17205}"/>
    <cellStyle name="Normal_CRITERIOS DE EVALUACION PT DE GB 2" xfId="1" xr:uid="{50DD5210-3A81-4EF1-8AE2-BA67ACD57489}"/>
    <cellStyle name="Porcentaje 2" xfId="12" xr:uid="{2F8340D0-EA57-41C0-B13B-9220575E5C3D}"/>
    <cellStyle name="Porcentaje 2 2" xfId="4" xr:uid="{7356EC4B-EC1A-4B43-9769-1C0998AFE9FA}"/>
    <cellStyle name="Porcentaje 3 2" xfId="13" xr:uid="{2B51B02B-CC62-4E43-ACBA-7ADF5E0E1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0</xdr:row>
      <xdr:rowOff>0</xdr:rowOff>
    </xdr:from>
    <xdr:to>
      <xdr:col>1</xdr:col>
      <xdr:colOff>144780</xdr:colOff>
      <xdr:row>4</xdr:row>
      <xdr:rowOff>153781</xdr:rowOff>
    </xdr:to>
    <xdr:pic>
      <xdr:nvPicPr>
        <xdr:cNvPr id="3" name="Imagen 4" descr="C:\Users\mbeeche\Desktop\logo de spoon nuevo - copia.gif">
          <a:extLst>
            <a:ext uri="{FF2B5EF4-FFF2-40B4-BE49-F238E27FC236}">
              <a16:creationId xmlns:a16="http://schemas.microsoft.com/office/drawing/2014/main" id="{4682AA05-FE87-4B93-8A96-7645ED0A4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" y="0"/>
          <a:ext cx="717550" cy="984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0</xdr:rowOff>
    </xdr:from>
    <xdr:to>
      <xdr:col>1</xdr:col>
      <xdr:colOff>640080</xdr:colOff>
      <xdr:row>4</xdr:row>
      <xdr:rowOff>165062</xdr:rowOff>
    </xdr:to>
    <xdr:pic>
      <xdr:nvPicPr>
        <xdr:cNvPr id="2" name="Imagen 91">
          <a:extLst>
            <a:ext uri="{FF2B5EF4-FFF2-40B4-BE49-F238E27FC236}">
              <a16:creationId xmlns:a16="http://schemas.microsoft.com/office/drawing/2014/main" id="{7B606E13-9640-4496-B244-C0E23329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0"/>
          <a:ext cx="1158240" cy="1026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107156</xdr:rowOff>
    </xdr:from>
    <xdr:to>
      <xdr:col>1</xdr:col>
      <xdr:colOff>1022740</xdr:colOff>
      <xdr:row>4</xdr:row>
      <xdr:rowOff>107156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26665BDF-8A86-45CD-B70D-C5D15D35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9" y="107156"/>
          <a:ext cx="1713301" cy="940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ECE3-6350-466C-A5F7-34BBF0A74260}">
  <dimension ref="A1:M36"/>
  <sheetViews>
    <sheetView workbookViewId="0">
      <selection sqref="A1:XFD1048576"/>
    </sheetView>
  </sheetViews>
  <sheetFormatPr baseColWidth="10" defaultColWidth="9.28515625" defaultRowHeight="12.75" x14ac:dyDescent="0.2"/>
  <cols>
    <col min="1" max="2" width="16.28515625" style="317" customWidth="1"/>
    <col min="3" max="3" width="40.5703125" style="317" customWidth="1"/>
    <col min="4" max="4" width="18.7109375" style="317" customWidth="1"/>
    <col min="5" max="5" width="9.28515625" style="317"/>
    <col min="6" max="6" width="13.28515625" style="317" customWidth="1"/>
    <col min="7" max="7" width="12.5703125" style="317" customWidth="1"/>
    <col min="8" max="8" width="15.5703125" style="317" customWidth="1"/>
    <col min="9" max="9" width="16" style="317" customWidth="1"/>
    <col min="10" max="16384" width="9.28515625" style="317"/>
  </cols>
  <sheetData>
    <row r="1" spans="1:12" ht="18" x14ac:dyDescent="0.25">
      <c r="A1" s="412"/>
      <c r="B1" s="412"/>
      <c r="C1" s="413" t="s">
        <v>0</v>
      </c>
      <c r="D1" s="414"/>
      <c r="E1" s="414"/>
      <c r="F1" s="414"/>
      <c r="G1" s="414"/>
      <c r="H1" s="316" t="s">
        <v>1</v>
      </c>
      <c r="I1" s="318" t="s">
        <v>247</v>
      </c>
    </row>
    <row r="2" spans="1:12" ht="18.75" thickBot="1" x14ac:dyDescent="0.3">
      <c r="A2" s="412"/>
      <c r="B2" s="412"/>
      <c r="C2" s="415" t="s">
        <v>2</v>
      </c>
      <c r="D2" s="416"/>
      <c r="E2" s="416"/>
      <c r="F2" s="416"/>
      <c r="G2" s="416"/>
      <c r="H2" s="319" t="s">
        <v>3</v>
      </c>
      <c r="I2" s="320" t="s">
        <v>248</v>
      </c>
    </row>
    <row r="3" spans="1:12" ht="15.75" thickBot="1" x14ac:dyDescent="0.25">
      <c r="A3" s="412"/>
      <c r="B3" s="412"/>
      <c r="C3" s="417" t="s">
        <v>174</v>
      </c>
      <c r="D3" s="417"/>
      <c r="E3" s="417"/>
      <c r="F3" s="417"/>
      <c r="G3" s="418"/>
      <c r="H3" s="419" t="s">
        <v>5</v>
      </c>
      <c r="I3" s="408">
        <v>45546</v>
      </c>
    </row>
    <row r="4" spans="1:12" ht="14.25" x14ac:dyDescent="0.2">
      <c r="A4" s="412"/>
      <c r="B4" s="412"/>
      <c r="C4" s="321" t="s">
        <v>6</v>
      </c>
      <c r="D4" s="410" t="s">
        <v>151</v>
      </c>
      <c r="E4" s="410"/>
      <c r="F4" s="410"/>
      <c r="G4" s="410"/>
      <c r="H4" s="420"/>
      <c r="I4" s="408"/>
    </row>
    <row r="5" spans="1:12" ht="15" thickBot="1" x14ac:dyDescent="0.25">
      <c r="A5" s="412"/>
      <c r="B5" s="412"/>
      <c r="C5" s="322" t="s">
        <v>7</v>
      </c>
      <c r="D5" s="411" t="s">
        <v>77</v>
      </c>
      <c r="E5" s="411"/>
      <c r="F5" s="411"/>
      <c r="G5" s="411"/>
      <c r="H5" s="421"/>
      <c r="I5" s="409"/>
    </row>
    <row r="6" spans="1:12" ht="18.75" thickBot="1" x14ac:dyDescent="0.3">
      <c r="A6" s="422" t="s">
        <v>8</v>
      </c>
      <c r="B6" s="423"/>
      <c r="C6" s="423"/>
      <c r="D6" s="424" t="s">
        <v>175</v>
      </c>
      <c r="E6" s="424"/>
      <c r="F6" s="424"/>
      <c r="G6" s="425" t="s">
        <v>9</v>
      </c>
      <c r="H6" s="425"/>
      <c r="I6" s="323" t="s">
        <v>175</v>
      </c>
    </row>
    <row r="7" spans="1:12" ht="25.5" x14ac:dyDescent="0.2">
      <c r="A7" s="426" t="s">
        <v>79</v>
      </c>
      <c r="B7" s="428" t="s">
        <v>249</v>
      </c>
      <c r="C7" s="430" t="s">
        <v>11</v>
      </c>
      <c r="D7" s="430" t="s">
        <v>12</v>
      </c>
      <c r="E7" s="430" t="s">
        <v>80</v>
      </c>
      <c r="F7" s="430"/>
      <c r="G7" s="430" t="s">
        <v>250</v>
      </c>
      <c r="H7" s="430"/>
      <c r="I7" s="324" t="s">
        <v>82</v>
      </c>
    </row>
    <row r="8" spans="1:12" ht="26.25" thickBot="1" x14ac:dyDescent="0.25">
      <c r="A8" s="427"/>
      <c r="B8" s="429"/>
      <c r="C8" s="431"/>
      <c r="D8" s="432"/>
      <c r="E8" s="325" t="s">
        <v>13</v>
      </c>
      <c r="F8" s="326" t="s">
        <v>14</v>
      </c>
      <c r="G8" s="325" t="s">
        <v>13</v>
      </c>
      <c r="H8" s="326" t="s">
        <v>14</v>
      </c>
      <c r="I8" s="327" t="s">
        <v>83</v>
      </c>
    </row>
    <row r="9" spans="1:12" ht="15" x14ac:dyDescent="0.25">
      <c r="A9" s="11" t="s">
        <v>176</v>
      </c>
      <c r="B9" s="11" t="s">
        <v>177</v>
      </c>
      <c r="C9" s="10" t="s">
        <v>178</v>
      </c>
      <c r="D9" s="328" t="s">
        <v>179</v>
      </c>
      <c r="E9" s="329">
        <v>2500</v>
      </c>
      <c r="F9" s="329" t="s">
        <v>16</v>
      </c>
      <c r="G9" s="330"/>
      <c r="H9" s="331"/>
      <c r="I9" s="332"/>
    </row>
    <row r="10" spans="1:12" ht="15" x14ac:dyDescent="0.25">
      <c r="A10" s="11" t="s">
        <v>180</v>
      </c>
      <c r="B10" s="11" t="s">
        <v>181</v>
      </c>
      <c r="C10" s="10" t="s">
        <v>182</v>
      </c>
      <c r="D10" s="328" t="s">
        <v>179</v>
      </c>
      <c r="E10" s="329">
        <v>1500</v>
      </c>
      <c r="F10" s="329" t="s">
        <v>16</v>
      </c>
      <c r="G10" s="333"/>
      <c r="H10" s="334"/>
      <c r="I10" s="335"/>
    </row>
    <row r="11" spans="1:12" ht="15" x14ac:dyDescent="0.25">
      <c r="A11" s="45" t="s">
        <v>183</v>
      </c>
      <c r="B11" s="271" t="s">
        <v>184</v>
      </c>
      <c r="C11" s="272" t="s">
        <v>251</v>
      </c>
      <c r="D11" s="328" t="s">
        <v>15</v>
      </c>
      <c r="E11" s="329">
        <v>1000</v>
      </c>
      <c r="F11" s="329" t="s">
        <v>16</v>
      </c>
      <c r="G11" s="433" t="s">
        <v>252</v>
      </c>
      <c r="H11" s="434"/>
      <c r="I11" s="435"/>
    </row>
    <row r="12" spans="1:12" ht="15" x14ac:dyDescent="0.25">
      <c r="A12" s="336" t="s">
        <v>186</v>
      </c>
      <c r="B12" s="336" t="s">
        <v>187</v>
      </c>
      <c r="C12" s="337" t="s">
        <v>188</v>
      </c>
      <c r="D12" s="328" t="s">
        <v>189</v>
      </c>
      <c r="E12" s="329">
        <v>3000</v>
      </c>
      <c r="F12" s="329" t="s">
        <v>16</v>
      </c>
      <c r="G12" s="338"/>
      <c r="H12" s="13"/>
      <c r="I12" s="339"/>
    </row>
    <row r="13" spans="1:12" ht="15" x14ac:dyDescent="0.25">
      <c r="A13" s="340">
        <v>101000073</v>
      </c>
      <c r="B13" s="340" t="s">
        <v>190</v>
      </c>
      <c r="C13" s="337" t="s">
        <v>191</v>
      </c>
      <c r="D13" s="328"/>
      <c r="E13" s="329">
        <v>1400</v>
      </c>
      <c r="F13" s="329" t="s">
        <v>16</v>
      </c>
      <c r="G13" s="338"/>
      <c r="H13" s="13"/>
      <c r="I13" s="339"/>
    </row>
    <row r="14" spans="1:12" ht="15" x14ac:dyDescent="0.25">
      <c r="A14" s="341" t="s">
        <v>192</v>
      </c>
      <c r="B14" s="341" t="s">
        <v>38</v>
      </c>
      <c r="C14" s="342" t="s">
        <v>163</v>
      </c>
      <c r="D14" s="328"/>
      <c r="E14" s="329">
        <v>10</v>
      </c>
      <c r="F14" s="329" t="s">
        <v>16</v>
      </c>
      <c r="G14" s="338"/>
      <c r="H14" s="13"/>
      <c r="I14" s="339"/>
    </row>
    <row r="15" spans="1:12" ht="15" x14ac:dyDescent="0.25">
      <c r="A15" s="343"/>
      <c r="B15" s="344"/>
      <c r="C15" s="345"/>
      <c r="D15" s="346"/>
      <c r="E15" s="347"/>
      <c r="F15" s="348"/>
      <c r="G15" s="330"/>
      <c r="H15" s="246"/>
      <c r="I15" s="332"/>
    </row>
    <row r="16" spans="1:12" ht="13.5" thickBot="1" x14ac:dyDescent="0.25">
      <c r="A16" s="349"/>
      <c r="B16" s="350"/>
      <c r="E16" s="351"/>
      <c r="F16" s="352"/>
      <c r="I16" s="353"/>
      <c r="L16" s="354"/>
    </row>
    <row r="17" spans="1:13" ht="13.5" thickBot="1" x14ac:dyDescent="0.25">
      <c r="A17" s="355"/>
      <c r="B17" s="356"/>
      <c r="C17" s="357"/>
      <c r="D17" s="358" t="s">
        <v>13</v>
      </c>
      <c r="E17" s="359" t="s">
        <v>17</v>
      </c>
      <c r="F17" s="360"/>
      <c r="G17" s="357"/>
      <c r="H17" s="357"/>
      <c r="I17" s="361"/>
      <c r="L17" s="354"/>
    </row>
    <row r="18" spans="1:13" x14ac:dyDescent="0.2">
      <c r="A18" s="436" t="s">
        <v>18</v>
      </c>
      <c r="B18" s="437"/>
      <c r="C18" s="438"/>
      <c r="D18" s="362">
        <v>9000</v>
      </c>
      <c r="E18" s="363" t="s">
        <v>16</v>
      </c>
      <c r="F18" s="439" t="s">
        <v>253</v>
      </c>
      <c r="G18" s="439"/>
      <c r="L18" s="354"/>
    </row>
    <row r="19" spans="1:13" x14ac:dyDescent="0.2">
      <c r="A19" s="440" t="s">
        <v>19</v>
      </c>
      <c r="B19" s="441"/>
      <c r="C19" s="442"/>
      <c r="D19" s="364">
        <v>15</v>
      </c>
      <c r="E19" s="365" t="s">
        <v>85</v>
      </c>
      <c r="F19" s="443" t="s">
        <v>254</v>
      </c>
      <c r="G19" s="443"/>
      <c r="H19" s="444"/>
      <c r="I19" s="445"/>
      <c r="L19" s="354"/>
      <c r="M19" s="366"/>
    </row>
    <row r="20" spans="1:13" x14ac:dyDescent="0.2">
      <c r="A20" s="440" t="s">
        <v>20</v>
      </c>
      <c r="B20" s="441"/>
      <c r="C20" s="442"/>
      <c r="D20" s="367">
        <f>D18/D21</f>
        <v>1</v>
      </c>
      <c r="E20" s="365" t="s">
        <v>167</v>
      </c>
      <c r="F20" s="443" t="s">
        <v>255</v>
      </c>
      <c r="G20" s="443"/>
      <c r="H20" s="444">
        <f>15/9</f>
        <v>1.6666666666666667</v>
      </c>
      <c r="I20" s="445"/>
      <c r="L20" s="354"/>
    </row>
    <row r="21" spans="1:13" x14ac:dyDescent="0.2">
      <c r="A21" s="440" t="s">
        <v>21</v>
      </c>
      <c r="B21" s="441"/>
      <c r="C21" s="442"/>
      <c r="D21" s="367">
        <v>9000</v>
      </c>
      <c r="E21" s="365" t="s">
        <v>16</v>
      </c>
      <c r="F21" s="443" t="s">
        <v>256</v>
      </c>
      <c r="G21" s="443"/>
      <c r="H21" s="444"/>
      <c r="I21" s="445"/>
    </row>
    <row r="22" spans="1:13" ht="13.5" thickBot="1" x14ac:dyDescent="0.25">
      <c r="A22" s="449" t="s">
        <v>22</v>
      </c>
      <c r="B22" s="450"/>
      <c r="C22" s="451"/>
      <c r="D22" s="368">
        <f>SUM(E9:E15)-D18</f>
        <v>410</v>
      </c>
      <c r="E22" s="369" t="s">
        <v>16</v>
      </c>
      <c r="F22" s="451"/>
      <c r="G22" s="451"/>
      <c r="H22" s="452"/>
      <c r="I22" s="453"/>
    </row>
    <row r="23" spans="1:13" ht="13.5" thickBot="1" x14ac:dyDescent="0.25">
      <c r="A23" s="454" t="s">
        <v>23</v>
      </c>
      <c r="B23" s="455"/>
      <c r="C23" s="455"/>
      <c r="D23" s="455"/>
      <c r="E23" s="455"/>
      <c r="F23" s="455"/>
      <c r="G23" s="455"/>
      <c r="H23" s="455"/>
      <c r="I23" s="456"/>
    </row>
    <row r="24" spans="1:13" ht="15" x14ac:dyDescent="0.25">
      <c r="A24" s="457" t="s">
        <v>194</v>
      </c>
      <c r="B24" s="458"/>
      <c r="C24" s="458"/>
      <c r="D24" s="458"/>
      <c r="E24" s="458"/>
      <c r="F24" s="458"/>
      <c r="G24" s="458"/>
      <c r="H24" s="458"/>
      <c r="I24" s="459"/>
    </row>
    <row r="25" spans="1:13" ht="15.75" hidden="1" x14ac:dyDescent="0.25">
      <c r="A25" s="446" t="s">
        <v>257</v>
      </c>
      <c r="B25" s="447"/>
      <c r="C25" s="447"/>
      <c r="D25" s="447"/>
      <c r="E25" s="447"/>
      <c r="F25" s="447"/>
      <c r="G25" s="447"/>
      <c r="H25" s="447"/>
      <c r="I25" s="448"/>
    </row>
    <row r="26" spans="1:13" ht="15" thickBot="1" x14ac:dyDescent="0.25">
      <c r="A26" s="463" t="s">
        <v>195</v>
      </c>
      <c r="B26" s="464"/>
      <c r="C26" s="464"/>
      <c r="D26" s="464"/>
      <c r="E26" s="464"/>
      <c r="F26" s="464"/>
      <c r="G26" s="464"/>
      <c r="H26" s="464"/>
      <c r="I26" s="465"/>
    </row>
    <row r="27" spans="1:13" ht="15" hidden="1" thickBot="1" x14ac:dyDescent="0.25">
      <c r="A27" s="463"/>
      <c r="B27" s="464"/>
      <c r="C27" s="464"/>
      <c r="D27" s="464"/>
      <c r="E27" s="464"/>
      <c r="F27" s="464"/>
      <c r="G27" s="464"/>
      <c r="H27" s="464"/>
      <c r="I27" s="465"/>
    </row>
    <row r="28" spans="1:13" ht="13.5" thickBot="1" x14ac:dyDescent="0.25">
      <c r="A28" s="454" t="s">
        <v>24</v>
      </c>
      <c r="B28" s="455"/>
      <c r="C28" s="455"/>
      <c r="D28" s="455"/>
      <c r="E28" s="455"/>
      <c r="F28" s="455"/>
      <c r="G28" s="455"/>
      <c r="H28" s="455"/>
      <c r="I28" s="456"/>
    </row>
    <row r="29" spans="1:13" ht="15" thickBot="1" x14ac:dyDescent="0.25">
      <c r="A29" s="466"/>
      <c r="B29" s="467"/>
      <c r="C29" s="467"/>
      <c r="D29" s="467"/>
      <c r="E29" s="467"/>
      <c r="F29" s="467"/>
      <c r="G29" s="467"/>
      <c r="H29" s="467"/>
      <c r="I29" s="468"/>
    </row>
    <row r="30" spans="1:13" ht="15" thickBot="1" x14ac:dyDescent="0.25">
      <c r="A30" s="460" t="s">
        <v>258</v>
      </c>
      <c r="B30" s="461"/>
      <c r="C30" s="461"/>
      <c r="D30" s="461"/>
      <c r="E30" s="461"/>
      <c r="F30" s="461"/>
      <c r="G30" s="461"/>
      <c r="H30" s="461"/>
      <c r="I30" s="462"/>
    </row>
    <row r="31" spans="1:13" ht="15" thickBot="1" x14ac:dyDescent="0.25">
      <c r="A31" s="460" t="s">
        <v>259</v>
      </c>
      <c r="B31" s="461"/>
      <c r="C31" s="461"/>
      <c r="D31" s="461"/>
      <c r="E31" s="461"/>
      <c r="F31" s="461"/>
      <c r="G31" s="461"/>
      <c r="H31" s="461"/>
      <c r="I31" s="462"/>
    </row>
    <row r="32" spans="1:13" ht="15" thickBot="1" x14ac:dyDescent="0.25">
      <c r="A32" s="460" t="s">
        <v>260</v>
      </c>
      <c r="B32" s="461"/>
      <c r="C32" s="461"/>
      <c r="D32" s="461"/>
      <c r="E32" s="461"/>
      <c r="F32" s="461"/>
      <c r="G32" s="461"/>
      <c r="H32" s="461"/>
      <c r="I32" s="462"/>
    </row>
    <row r="33" spans="1:1" x14ac:dyDescent="0.2">
      <c r="A33" s="317" t="s">
        <v>261</v>
      </c>
    </row>
    <row r="34" spans="1:1" x14ac:dyDescent="0.2">
      <c r="A34" s="317" t="s">
        <v>262</v>
      </c>
    </row>
    <row r="35" spans="1:1" x14ac:dyDescent="0.2">
      <c r="A35" s="317" t="s">
        <v>263</v>
      </c>
    </row>
    <row r="36" spans="1:1" x14ac:dyDescent="0.2">
      <c r="A36" s="317" t="s">
        <v>264</v>
      </c>
    </row>
  </sheetData>
  <mergeCells count="42">
    <mergeCell ref="A32:I32"/>
    <mergeCell ref="A26:I26"/>
    <mergeCell ref="A27:I27"/>
    <mergeCell ref="A28:I28"/>
    <mergeCell ref="A29:I29"/>
    <mergeCell ref="A30:I30"/>
    <mergeCell ref="A31:I31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G11:I11"/>
    <mergeCell ref="A18:C18"/>
    <mergeCell ref="F18:G18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7EC1-CDA2-4C87-A6D6-DE547B458A18}">
  <dimension ref="A1:I57"/>
  <sheetViews>
    <sheetView workbookViewId="0">
      <selection activeCell="B12" sqref="B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526"/>
      <c r="B1" s="527"/>
      <c r="C1" s="532" t="s">
        <v>0</v>
      </c>
      <c r="D1" s="532"/>
      <c r="E1" s="532"/>
      <c r="F1" s="532"/>
      <c r="G1" s="532"/>
      <c r="H1" s="30" t="s">
        <v>1</v>
      </c>
      <c r="I1" s="31" t="s">
        <v>173</v>
      </c>
    </row>
    <row r="2" spans="1:9" ht="18" customHeight="1" thickBot="1" x14ac:dyDescent="0.3">
      <c r="A2" s="528"/>
      <c r="B2" s="529"/>
      <c r="C2" s="533" t="s">
        <v>2</v>
      </c>
      <c r="D2" s="534"/>
      <c r="E2" s="534"/>
      <c r="F2" s="534"/>
      <c r="G2" s="535"/>
      <c r="H2" s="32" t="s">
        <v>3</v>
      </c>
      <c r="I2" s="33" t="s">
        <v>4</v>
      </c>
    </row>
    <row r="3" spans="1:9" ht="31.5" customHeight="1" thickBot="1" x14ac:dyDescent="0.3">
      <c r="A3" s="528"/>
      <c r="B3" s="529"/>
      <c r="C3" s="417" t="s">
        <v>174</v>
      </c>
      <c r="D3" s="417"/>
      <c r="E3" s="417"/>
      <c r="F3" s="417"/>
      <c r="G3" s="418"/>
      <c r="H3" s="536" t="s">
        <v>5</v>
      </c>
      <c r="I3" s="517">
        <v>45615</v>
      </c>
    </row>
    <row r="4" spans="1:9" ht="18" customHeight="1" x14ac:dyDescent="0.25">
      <c r="A4" s="528"/>
      <c r="B4" s="529"/>
      <c r="C4" s="34" t="s">
        <v>6</v>
      </c>
      <c r="D4" s="520" t="s">
        <v>151</v>
      </c>
      <c r="E4" s="521"/>
      <c r="F4" s="521"/>
      <c r="G4" s="522"/>
      <c r="H4" s="537"/>
      <c r="I4" s="518"/>
    </row>
    <row r="5" spans="1:9" ht="15.75" thickBot="1" x14ac:dyDescent="0.3">
      <c r="A5" s="530"/>
      <c r="B5" s="531"/>
      <c r="C5" s="35" t="s">
        <v>7</v>
      </c>
      <c r="D5" s="523" t="s">
        <v>77</v>
      </c>
      <c r="E5" s="524"/>
      <c r="F5" s="524"/>
      <c r="G5" s="525"/>
      <c r="H5" s="538"/>
      <c r="I5" s="519"/>
    </row>
    <row r="6" spans="1:9" ht="18.75" thickBot="1" x14ac:dyDescent="0.3">
      <c r="A6" s="423" t="s">
        <v>8</v>
      </c>
      <c r="B6" s="423"/>
      <c r="C6" s="423"/>
      <c r="D6" s="424" t="s">
        <v>175</v>
      </c>
      <c r="E6" s="424"/>
      <c r="F6" s="424"/>
      <c r="G6" s="425" t="s">
        <v>9</v>
      </c>
      <c r="H6" s="425"/>
      <c r="I6" s="1" t="s">
        <v>175</v>
      </c>
    </row>
    <row r="7" spans="1:9" ht="25.5" x14ac:dyDescent="0.25">
      <c r="A7" s="511" t="s">
        <v>79</v>
      </c>
      <c r="B7" s="513" t="s">
        <v>10</v>
      </c>
      <c r="C7" s="515" t="s">
        <v>11</v>
      </c>
      <c r="D7" s="515" t="s">
        <v>12</v>
      </c>
      <c r="E7" s="515" t="s">
        <v>80</v>
      </c>
      <c r="F7" s="515"/>
      <c r="G7" s="515" t="s">
        <v>81</v>
      </c>
      <c r="H7" s="515"/>
      <c r="I7" s="36" t="s">
        <v>82</v>
      </c>
    </row>
    <row r="8" spans="1:9" ht="27" thickBot="1" x14ac:dyDescent="0.3">
      <c r="A8" s="512"/>
      <c r="B8" s="514"/>
      <c r="C8" s="516"/>
      <c r="D8" s="516"/>
      <c r="E8" s="37" t="s">
        <v>13</v>
      </c>
      <c r="F8" s="38" t="s">
        <v>14</v>
      </c>
      <c r="G8" s="37" t="s">
        <v>13</v>
      </c>
      <c r="H8" s="38" t="s">
        <v>14</v>
      </c>
      <c r="I8" s="39" t="s">
        <v>83</v>
      </c>
    </row>
    <row r="9" spans="1:9" ht="18.600000000000001" customHeight="1" x14ac:dyDescent="0.25">
      <c r="A9" s="157"/>
      <c r="B9" s="158"/>
      <c r="C9" s="159" t="s">
        <v>154</v>
      </c>
      <c r="D9" s="40"/>
      <c r="E9" s="41"/>
      <c r="F9" s="2"/>
      <c r="G9" s="41"/>
      <c r="H9" s="2"/>
      <c r="I9" s="42"/>
    </row>
    <row r="10" spans="1:9" ht="18" customHeight="1" x14ac:dyDescent="0.25">
      <c r="A10" s="219" t="s">
        <v>176</v>
      </c>
      <c r="B10" s="219" t="s">
        <v>177</v>
      </c>
      <c r="C10" s="220" t="s">
        <v>178</v>
      </c>
      <c r="D10" s="221" t="s">
        <v>179</v>
      </c>
      <c r="E10" s="222">
        <v>2500</v>
      </c>
      <c r="F10" s="223" t="s">
        <v>16</v>
      </c>
      <c r="G10" s="166"/>
      <c r="H10" s="167"/>
      <c r="I10" s="42"/>
    </row>
    <row r="11" spans="1:9" ht="15.75" x14ac:dyDescent="0.25">
      <c r="A11" s="224" t="s">
        <v>180</v>
      </c>
      <c r="B11" s="225" t="s">
        <v>181</v>
      </c>
      <c r="C11" s="226" t="s">
        <v>182</v>
      </c>
      <c r="D11" s="227" t="s">
        <v>179</v>
      </c>
      <c r="E11" s="228">
        <v>1500</v>
      </c>
      <c r="F11" s="229" t="s">
        <v>16</v>
      </c>
      <c r="G11" s="166"/>
      <c r="H11" s="167"/>
      <c r="I11" s="42"/>
    </row>
    <row r="12" spans="1:9" ht="15.75" x14ac:dyDescent="0.25">
      <c r="A12" s="230" t="s">
        <v>183</v>
      </c>
      <c r="B12" s="231" t="s">
        <v>184</v>
      </c>
      <c r="C12" s="232" t="s">
        <v>185</v>
      </c>
      <c r="D12" s="15" t="s">
        <v>15</v>
      </c>
      <c r="E12" s="15">
        <v>1000</v>
      </c>
      <c r="F12" s="15" t="s">
        <v>16</v>
      </c>
      <c r="G12" s="24"/>
      <c r="H12" s="167"/>
      <c r="I12" s="42"/>
    </row>
    <row r="13" spans="1:9" ht="15.75" x14ac:dyDescent="0.25">
      <c r="A13" s="233" t="s">
        <v>186</v>
      </c>
      <c r="B13" s="234" t="s">
        <v>187</v>
      </c>
      <c r="C13" s="232" t="s">
        <v>188</v>
      </c>
      <c r="D13" s="15" t="s">
        <v>189</v>
      </c>
      <c r="E13" s="15">
        <v>3000</v>
      </c>
      <c r="F13" s="15" t="s">
        <v>16</v>
      </c>
      <c r="G13" s="24"/>
      <c r="H13" s="167"/>
      <c r="I13" s="42"/>
    </row>
    <row r="14" spans="1:9" x14ac:dyDescent="0.25">
      <c r="A14" s="11">
        <v>101000073</v>
      </c>
      <c r="B14" s="11" t="s">
        <v>190</v>
      </c>
      <c r="C14" s="226" t="s">
        <v>191</v>
      </c>
      <c r="D14" s="214"/>
      <c r="E14" s="47">
        <v>1400</v>
      </c>
      <c r="F14" s="17" t="s">
        <v>16</v>
      </c>
      <c r="G14" s="24"/>
      <c r="H14" s="167"/>
      <c r="I14" s="42"/>
    </row>
    <row r="15" spans="1:9" x14ac:dyDescent="0.25">
      <c r="A15" s="11" t="s">
        <v>192</v>
      </c>
      <c r="B15" s="11" t="s">
        <v>38</v>
      </c>
      <c r="C15" s="226" t="s">
        <v>163</v>
      </c>
      <c r="D15" s="214"/>
      <c r="E15" s="47">
        <v>10</v>
      </c>
      <c r="F15" s="17" t="s">
        <v>16</v>
      </c>
      <c r="G15" s="24"/>
      <c r="H15" s="167"/>
      <c r="I15" s="42"/>
    </row>
    <row r="16" spans="1:9" x14ac:dyDescent="0.25">
      <c r="A16" s="11"/>
      <c r="B16" s="11"/>
      <c r="C16" s="226"/>
      <c r="D16" s="214"/>
      <c r="E16" s="47"/>
      <c r="F16" s="17"/>
      <c r="G16" s="24"/>
      <c r="H16" s="167"/>
      <c r="I16" s="42"/>
    </row>
    <row r="17" spans="1:9" x14ac:dyDescent="0.25">
      <c r="A17" s="235"/>
      <c r="B17" s="11"/>
      <c r="C17" s="10"/>
      <c r="D17" s="236"/>
      <c r="E17" s="236"/>
      <c r="F17" s="236"/>
      <c r="G17" s="41"/>
      <c r="H17" s="167"/>
      <c r="I17" s="42"/>
    </row>
    <row r="18" spans="1:9" ht="15.75" x14ac:dyDescent="0.25">
      <c r="A18" s="45"/>
      <c r="B18" s="46"/>
      <c r="C18" s="183" t="s">
        <v>152</v>
      </c>
      <c r="D18" s="47"/>
      <c r="E18" s="184"/>
      <c r="F18" s="17"/>
      <c r="G18" s="41"/>
      <c r="H18" s="2"/>
      <c r="I18" s="42"/>
    </row>
    <row r="19" spans="1:9" x14ac:dyDescent="0.25">
      <c r="A19" s="160"/>
      <c r="B19" s="185"/>
      <c r="C19" s="162"/>
      <c r="D19" s="163"/>
      <c r="E19" s="170"/>
      <c r="F19" s="171"/>
      <c r="G19" s="41"/>
      <c r="H19" s="2"/>
      <c r="I19" s="42"/>
    </row>
    <row r="20" spans="1:9" x14ac:dyDescent="0.25">
      <c r="A20" s="160"/>
      <c r="B20" s="185"/>
      <c r="C20" s="162"/>
      <c r="D20" s="163"/>
      <c r="E20" s="237"/>
      <c r="F20" s="171"/>
      <c r="G20" s="41"/>
      <c r="H20" s="2"/>
      <c r="I20" s="42"/>
    </row>
    <row r="21" spans="1:9" x14ac:dyDescent="0.25">
      <c r="A21" s="160"/>
      <c r="B21" s="185"/>
      <c r="C21" s="162"/>
      <c r="D21" s="163"/>
      <c r="E21" s="170"/>
      <c r="F21" s="171"/>
      <c r="G21" s="41"/>
      <c r="H21" s="2"/>
      <c r="I21" s="42"/>
    </row>
    <row r="22" spans="1:9" x14ac:dyDescent="0.25">
      <c r="A22" s="160"/>
      <c r="B22" s="185"/>
      <c r="C22" s="162"/>
      <c r="D22" s="163"/>
      <c r="E22" s="187"/>
      <c r="F22" s="188"/>
      <c r="G22" s="41"/>
      <c r="H22" s="2"/>
      <c r="I22" s="42"/>
    </row>
    <row r="23" spans="1:9" x14ac:dyDescent="0.25">
      <c r="A23" s="160"/>
      <c r="B23" s="185"/>
      <c r="C23" s="162"/>
      <c r="D23" s="163"/>
      <c r="E23" s="164"/>
      <c r="F23" s="188"/>
      <c r="G23" s="41"/>
      <c r="H23" s="2"/>
      <c r="I23" s="42"/>
    </row>
    <row r="24" spans="1:9" x14ac:dyDescent="0.25">
      <c r="A24" s="59"/>
      <c r="B24" s="59"/>
      <c r="D24" s="189"/>
      <c r="E24" s="190"/>
      <c r="F24" s="191"/>
      <c r="G24" s="41"/>
      <c r="H24" s="2"/>
      <c r="I24" s="42"/>
    </row>
    <row r="25" spans="1:9" x14ac:dyDescent="0.25">
      <c r="A25" s="11"/>
      <c r="B25" s="11"/>
      <c r="C25" s="10"/>
      <c r="D25" s="192"/>
      <c r="E25" s="23"/>
      <c r="F25" s="191"/>
      <c r="G25" s="41"/>
      <c r="H25" s="2"/>
      <c r="I25" s="42"/>
    </row>
    <row r="26" spans="1:9" x14ac:dyDescent="0.25">
      <c r="A26" s="11"/>
      <c r="B26" s="11"/>
      <c r="C26" s="10"/>
      <c r="D26" s="192"/>
      <c r="E26" s="186"/>
      <c r="F26" s="193"/>
      <c r="G26" s="41"/>
      <c r="H26" s="2"/>
      <c r="I26" s="42"/>
    </row>
    <row r="27" spans="1:9" ht="15.75" x14ac:dyDescent="0.25">
      <c r="A27" s="194"/>
      <c r="B27" s="195"/>
      <c r="C27" s="196" t="s">
        <v>164</v>
      </c>
      <c r="D27" s="197"/>
      <c r="E27" s="198"/>
      <c r="F27" s="2"/>
      <c r="G27" s="41"/>
      <c r="I27" s="42"/>
    </row>
    <row r="28" spans="1:9" x14ac:dyDescent="0.25">
      <c r="A28" s="238"/>
      <c r="B28" s="238"/>
      <c r="C28" s="21"/>
      <c r="D28" s="13"/>
      <c r="E28" s="16"/>
      <c r="F28" s="14"/>
      <c r="G28" s="239"/>
      <c r="H28" s="2"/>
      <c r="I28" s="42"/>
    </row>
    <row r="29" spans="1:9" x14ac:dyDescent="0.25">
      <c r="A29" s="240"/>
      <c r="B29" s="240"/>
      <c r="C29" s="241"/>
      <c r="D29" s="13"/>
      <c r="E29" s="16"/>
      <c r="F29" s="14"/>
      <c r="G29" s="239"/>
      <c r="H29" s="2"/>
      <c r="I29" s="42"/>
    </row>
    <row r="30" spans="1:9" x14ac:dyDescent="0.25">
      <c r="A30" s="11"/>
      <c r="B30" s="11"/>
      <c r="C30" s="10"/>
      <c r="D30" s="12"/>
      <c r="E30" s="186"/>
      <c r="F30" s="24"/>
      <c r="G30" s="239"/>
      <c r="H30" s="2"/>
      <c r="I30" s="42"/>
    </row>
    <row r="31" spans="1:9" x14ac:dyDescent="0.25">
      <c r="A31" s="242"/>
      <c r="B31" s="242"/>
      <c r="C31" s="243"/>
      <c r="D31" s="13"/>
      <c r="E31" s="16"/>
      <c r="F31" s="14"/>
      <c r="G31" s="41"/>
      <c r="H31" s="2"/>
      <c r="I31" s="42"/>
    </row>
    <row r="32" spans="1:9" x14ac:dyDescent="0.25">
      <c r="A32" s="242"/>
      <c r="B32" s="242"/>
      <c r="C32" s="243"/>
      <c r="D32" s="13"/>
      <c r="E32" s="16"/>
      <c r="F32" s="14"/>
      <c r="G32" s="41"/>
      <c r="H32" s="2"/>
      <c r="I32" s="42"/>
    </row>
    <row r="33" spans="1:9" x14ac:dyDescent="0.25">
      <c r="A33" s="242"/>
      <c r="B33" s="242"/>
      <c r="C33" s="243" t="s">
        <v>193</v>
      </c>
      <c r="D33" s="13"/>
      <c r="E33" s="16"/>
      <c r="F33" s="14"/>
      <c r="G33" s="208"/>
      <c r="H33" s="2"/>
      <c r="I33" s="42"/>
    </row>
    <row r="34" spans="1:9" ht="15.75" x14ac:dyDescent="0.25">
      <c r="A34" s="242"/>
      <c r="B34" s="242"/>
      <c r="C34" s="243" t="s">
        <v>193</v>
      </c>
      <c r="D34" s="15"/>
      <c r="E34" s="16"/>
      <c r="F34" s="14"/>
      <c r="G34" s="214"/>
      <c r="H34" s="2"/>
      <c r="I34" s="42"/>
    </row>
    <row r="35" spans="1:9" x14ac:dyDescent="0.25">
      <c r="A35" s="20"/>
      <c r="B35" s="20"/>
      <c r="C35" s="22"/>
      <c r="D35" s="13"/>
      <c r="E35" s="193"/>
      <c r="F35" s="193"/>
      <c r="G35" s="214"/>
      <c r="H35" s="2"/>
      <c r="I35" s="42"/>
    </row>
    <row r="36" spans="1:9" x14ac:dyDescent="0.25">
      <c r="A36" s="238"/>
      <c r="B36" s="11"/>
      <c r="C36" s="21"/>
      <c r="D36" s="12"/>
      <c r="E36" s="186"/>
      <c r="F36" s="24"/>
      <c r="G36" s="214"/>
      <c r="H36" s="2"/>
      <c r="I36" s="42"/>
    </row>
    <row r="37" spans="1:9" ht="15.75" x14ac:dyDescent="0.25">
      <c r="A37" s="242"/>
      <c r="B37" s="242"/>
      <c r="C37" s="243"/>
      <c r="D37" s="13"/>
      <c r="E37" s="186"/>
      <c r="F37" s="24"/>
      <c r="G37" s="215"/>
      <c r="H37" s="2"/>
      <c r="I37" s="42"/>
    </row>
    <row r="38" spans="1:9" ht="15.75" x14ac:dyDescent="0.25">
      <c r="A38" s="45"/>
      <c r="B38" s="46"/>
      <c r="C38" s="28"/>
      <c r="D38" s="47"/>
      <c r="E38" s="47"/>
      <c r="F38" s="17"/>
      <c r="G38" s="48"/>
      <c r="H38" s="48"/>
      <c r="I38" s="42"/>
    </row>
    <row r="39" spans="1:9" ht="15.75" thickBot="1" x14ac:dyDescent="0.3">
      <c r="A39" s="49"/>
      <c r="B39" s="3"/>
      <c r="C39" s="4"/>
      <c r="D39" s="4"/>
      <c r="E39" s="5"/>
      <c r="F39" s="6"/>
      <c r="G39" s="4"/>
      <c r="H39" s="4"/>
      <c r="I39" s="7"/>
    </row>
    <row r="40" spans="1:9" ht="15.75" thickBot="1" x14ac:dyDescent="0.3">
      <c r="A40" s="50"/>
      <c r="B40" s="51"/>
      <c r="C40" s="52"/>
      <c r="D40" s="53" t="s">
        <v>13</v>
      </c>
      <c r="E40" s="54" t="s">
        <v>17</v>
      </c>
      <c r="F40" s="55"/>
      <c r="G40" s="52"/>
      <c r="H40" s="52"/>
      <c r="I40" s="56"/>
    </row>
    <row r="41" spans="1:9" x14ac:dyDescent="0.25">
      <c r="A41" s="505" t="s">
        <v>18</v>
      </c>
      <c r="B41" s="506"/>
      <c r="C41" s="507"/>
      <c r="D41" s="23">
        <v>9000</v>
      </c>
      <c r="E41" s="57" t="s">
        <v>16</v>
      </c>
      <c r="F41" s="508" t="s">
        <v>84</v>
      </c>
      <c r="G41" s="508"/>
      <c r="H41" s="509"/>
      <c r="I41" s="510"/>
    </row>
    <row r="42" spans="1:9" x14ac:dyDescent="0.25">
      <c r="A42" s="488" t="s">
        <v>19</v>
      </c>
      <c r="B42" s="489"/>
      <c r="C42" s="490"/>
      <c r="D42" s="186">
        <v>15</v>
      </c>
      <c r="E42" s="24" t="s">
        <v>85</v>
      </c>
      <c r="F42" s="491" t="s">
        <v>86</v>
      </c>
      <c r="G42" s="491"/>
      <c r="H42" s="492"/>
      <c r="I42" s="493"/>
    </row>
    <row r="43" spans="1:9" x14ac:dyDescent="0.25">
      <c r="A43" s="488" t="s">
        <v>20</v>
      </c>
      <c r="B43" s="489"/>
      <c r="C43" s="490"/>
      <c r="D43" s="186">
        <v>1</v>
      </c>
      <c r="E43" s="24" t="s">
        <v>167</v>
      </c>
      <c r="F43" s="491" t="s">
        <v>88</v>
      </c>
      <c r="G43" s="491"/>
      <c r="H43" s="492"/>
      <c r="I43" s="493"/>
    </row>
    <row r="44" spans="1:9" x14ac:dyDescent="0.25">
      <c r="A44" s="488" t="s">
        <v>21</v>
      </c>
      <c r="B44" s="489"/>
      <c r="C44" s="490"/>
      <c r="D44" s="186">
        <v>9000</v>
      </c>
      <c r="E44" s="24" t="s">
        <v>16</v>
      </c>
      <c r="F44" s="494" t="s">
        <v>89</v>
      </c>
      <c r="G44" s="495"/>
      <c r="H44" s="496"/>
      <c r="I44" s="497"/>
    </row>
    <row r="45" spans="1:9" ht="15.75" thickBot="1" x14ac:dyDescent="0.3">
      <c r="A45" s="498" t="s">
        <v>22</v>
      </c>
      <c r="B45" s="499"/>
      <c r="C45" s="500"/>
      <c r="D45" s="25">
        <v>410</v>
      </c>
      <c r="E45" s="58" t="s">
        <v>16</v>
      </c>
      <c r="F45" s="501"/>
      <c r="G45" s="501"/>
      <c r="H45" s="492"/>
      <c r="I45" s="493"/>
    </row>
    <row r="46" spans="1:9" ht="15.75" thickBot="1" x14ac:dyDescent="0.3">
      <c r="A46" s="502" t="s">
        <v>23</v>
      </c>
      <c r="B46" s="503"/>
      <c r="C46" s="503"/>
      <c r="D46" s="503"/>
      <c r="E46" s="503"/>
      <c r="F46" s="503"/>
      <c r="G46" s="503"/>
      <c r="H46" s="503"/>
      <c r="I46" s="504"/>
    </row>
    <row r="47" spans="1:9" ht="18.600000000000001" customHeight="1" x14ac:dyDescent="0.25">
      <c r="A47" s="457" t="s">
        <v>194</v>
      </c>
      <c r="B47" s="458"/>
      <c r="C47" s="458"/>
      <c r="D47" s="458"/>
      <c r="E47" s="458"/>
      <c r="F47" s="458"/>
      <c r="G47" s="458"/>
      <c r="H47" s="458"/>
      <c r="I47" s="459"/>
    </row>
    <row r="48" spans="1:9" x14ac:dyDescent="0.25">
      <c r="A48" s="463" t="s">
        <v>195</v>
      </c>
      <c r="B48" s="464"/>
      <c r="C48" s="464"/>
      <c r="D48" s="464"/>
      <c r="E48" s="464"/>
      <c r="F48" s="464"/>
      <c r="G48" s="464"/>
      <c r="H48" s="464"/>
      <c r="I48" s="465"/>
    </row>
    <row r="49" spans="1:9" ht="14.45" customHeight="1" thickBot="1" x14ac:dyDescent="0.3">
      <c r="A49" s="471"/>
      <c r="B49" s="472"/>
      <c r="C49" s="472"/>
      <c r="D49" s="472"/>
      <c r="E49" s="472"/>
      <c r="F49" s="472"/>
      <c r="G49" s="472"/>
      <c r="H49" s="472"/>
      <c r="I49" s="473"/>
    </row>
    <row r="50" spans="1:9" ht="14.45" customHeight="1" x14ac:dyDescent="0.25">
      <c r="A50" s="474"/>
      <c r="B50" s="475"/>
      <c r="C50" s="475"/>
      <c r="D50" s="475"/>
      <c r="E50" s="475"/>
      <c r="F50" s="475"/>
      <c r="G50" s="475"/>
      <c r="H50" s="475"/>
      <c r="I50" s="476"/>
    </row>
    <row r="51" spans="1:9" ht="14.45" customHeight="1" x14ac:dyDescent="0.25">
      <c r="A51" s="216"/>
      <c r="B51" s="217"/>
      <c r="C51" s="217"/>
      <c r="D51" s="217"/>
      <c r="E51" s="217"/>
      <c r="F51" s="217"/>
      <c r="G51" s="217"/>
      <c r="H51" s="217"/>
      <c r="I51" s="218"/>
    </row>
    <row r="52" spans="1:9" ht="18" customHeight="1" thickBot="1" x14ac:dyDescent="0.3">
      <c r="A52" s="477"/>
      <c r="B52" s="478"/>
      <c r="C52" s="478"/>
      <c r="D52" s="478"/>
      <c r="E52" s="478"/>
      <c r="F52" s="478"/>
      <c r="G52" s="478"/>
      <c r="H52" s="478"/>
      <c r="I52" s="479"/>
    </row>
    <row r="53" spans="1:9" x14ac:dyDescent="0.25">
      <c r="A53" s="480"/>
      <c r="B53" s="481"/>
      <c r="C53" s="481"/>
      <c r="D53" s="481"/>
      <c r="E53" s="481"/>
      <c r="F53" s="481"/>
      <c r="G53" s="481"/>
      <c r="H53" s="481"/>
      <c r="I53" s="482"/>
    </row>
    <row r="54" spans="1:9" ht="15.75" thickBot="1" x14ac:dyDescent="0.3">
      <c r="A54" s="483"/>
      <c r="B54" s="484"/>
      <c r="C54" s="484"/>
      <c r="D54" s="484"/>
      <c r="E54" s="484"/>
      <c r="F54" s="484"/>
      <c r="G54" s="484"/>
      <c r="H54" s="484"/>
      <c r="I54" s="485"/>
    </row>
    <row r="55" spans="1:9" x14ac:dyDescent="0.25">
      <c r="A55" s="486" t="s">
        <v>24</v>
      </c>
      <c r="B55" s="487"/>
      <c r="C55" s="487"/>
      <c r="D55" s="487"/>
      <c r="E55" s="487"/>
      <c r="F55" s="487"/>
      <c r="G55" s="487"/>
      <c r="H55" s="487"/>
      <c r="I55" s="487"/>
    </row>
    <row r="56" spans="1:9" x14ac:dyDescent="0.25">
      <c r="A56" s="469"/>
      <c r="B56" s="470"/>
      <c r="C56" s="470"/>
      <c r="D56" s="470"/>
      <c r="E56" s="470"/>
      <c r="F56" s="470"/>
      <c r="G56" s="470"/>
      <c r="H56" s="470"/>
      <c r="I56" s="470"/>
    </row>
    <row r="57" spans="1:9" x14ac:dyDescent="0.25">
      <c r="A57" s="469"/>
      <c r="B57" s="470"/>
      <c r="C57" s="470"/>
      <c r="D57" s="470"/>
      <c r="E57" s="470"/>
      <c r="F57" s="470"/>
      <c r="G57" s="470"/>
      <c r="H57" s="470"/>
      <c r="I57" s="470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6:I56"/>
    <mergeCell ref="A57:I57"/>
    <mergeCell ref="A49:I49"/>
    <mergeCell ref="A50:I50"/>
    <mergeCell ref="A52:I52"/>
    <mergeCell ref="A53:I53"/>
    <mergeCell ref="A54:I54"/>
    <mergeCell ref="A55:I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7DD3-84C5-4644-9C87-F184EDE50672}">
  <dimension ref="A1:I53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526"/>
      <c r="B1" s="527"/>
      <c r="C1" s="532" t="s">
        <v>0</v>
      </c>
      <c r="D1" s="532"/>
      <c r="E1" s="532"/>
      <c r="F1" s="532"/>
      <c r="G1" s="532"/>
      <c r="H1" s="30" t="s">
        <v>1</v>
      </c>
      <c r="I1" s="31" t="s">
        <v>196</v>
      </c>
    </row>
    <row r="2" spans="1:9" ht="18" customHeight="1" thickBot="1" x14ac:dyDescent="0.3">
      <c r="A2" s="528"/>
      <c r="B2" s="529"/>
      <c r="C2" s="533" t="s">
        <v>2</v>
      </c>
      <c r="D2" s="534"/>
      <c r="E2" s="534"/>
      <c r="F2" s="534"/>
      <c r="G2" s="535"/>
      <c r="H2" s="32" t="s">
        <v>3</v>
      </c>
      <c r="I2" s="33" t="s">
        <v>4</v>
      </c>
    </row>
    <row r="3" spans="1:9" ht="31.5" customHeight="1" thickBot="1" x14ac:dyDescent="0.3">
      <c r="A3" s="528"/>
      <c r="B3" s="529"/>
      <c r="C3" s="559" t="s">
        <v>197</v>
      </c>
      <c r="D3" s="560"/>
      <c r="E3" s="560"/>
      <c r="F3" s="560"/>
      <c r="G3" s="561"/>
      <c r="H3" s="536" t="s">
        <v>5</v>
      </c>
      <c r="I3" s="517">
        <v>45611</v>
      </c>
    </row>
    <row r="4" spans="1:9" ht="18" customHeight="1" x14ac:dyDescent="0.25">
      <c r="A4" s="528"/>
      <c r="B4" s="529"/>
      <c r="C4" s="34" t="s">
        <v>6</v>
      </c>
      <c r="D4" s="520" t="s">
        <v>151</v>
      </c>
      <c r="E4" s="521"/>
      <c r="F4" s="521"/>
      <c r="G4" s="522"/>
      <c r="H4" s="537"/>
      <c r="I4" s="518"/>
    </row>
    <row r="5" spans="1:9" ht="15.75" thickBot="1" x14ac:dyDescent="0.3">
      <c r="A5" s="530"/>
      <c r="B5" s="531"/>
      <c r="C5" s="35" t="s">
        <v>7</v>
      </c>
      <c r="D5" s="523" t="s">
        <v>77</v>
      </c>
      <c r="E5" s="524"/>
      <c r="F5" s="524"/>
      <c r="G5" s="525"/>
      <c r="H5" s="538"/>
      <c r="I5" s="519"/>
    </row>
    <row r="6" spans="1:9" ht="18.75" thickBot="1" x14ac:dyDescent="0.3">
      <c r="A6" s="423" t="s">
        <v>8</v>
      </c>
      <c r="B6" s="423"/>
      <c r="C6" s="423"/>
      <c r="D6" s="424" t="s">
        <v>198</v>
      </c>
      <c r="E6" s="424"/>
      <c r="F6" s="424"/>
      <c r="G6" s="425" t="s">
        <v>9</v>
      </c>
      <c r="H6" s="425"/>
      <c r="I6" s="1" t="s">
        <v>198</v>
      </c>
    </row>
    <row r="7" spans="1:9" ht="25.5" x14ac:dyDescent="0.25">
      <c r="A7" s="511" t="s">
        <v>79</v>
      </c>
      <c r="B7" s="513" t="s">
        <v>10</v>
      </c>
      <c r="C7" s="515" t="s">
        <v>11</v>
      </c>
      <c r="D7" s="515" t="s">
        <v>12</v>
      </c>
      <c r="E7" s="515" t="s">
        <v>80</v>
      </c>
      <c r="F7" s="515"/>
      <c r="G7" s="515" t="s">
        <v>81</v>
      </c>
      <c r="H7" s="515"/>
      <c r="I7" s="36" t="s">
        <v>82</v>
      </c>
    </row>
    <row r="8" spans="1:9" ht="27" thickBot="1" x14ac:dyDescent="0.3">
      <c r="A8" s="512"/>
      <c r="B8" s="514"/>
      <c r="C8" s="516"/>
      <c r="D8" s="516"/>
      <c r="E8" s="37" t="s">
        <v>13</v>
      </c>
      <c r="F8" s="38" t="s">
        <v>14</v>
      </c>
      <c r="G8" s="37" t="s">
        <v>13</v>
      </c>
      <c r="H8" s="38" t="s">
        <v>14</v>
      </c>
      <c r="I8" s="39" t="s">
        <v>83</v>
      </c>
    </row>
    <row r="9" spans="1:9" x14ac:dyDescent="0.25">
      <c r="A9" s="157"/>
      <c r="B9" s="158"/>
      <c r="C9" s="159" t="s">
        <v>154</v>
      </c>
      <c r="D9" s="40"/>
      <c r="E9" s="41"/>
      <c r="F9" s="2"/>
      <c r="G9" s="41"/>
      <c r="H9" s="2"/>
      <c r="I9" s="42"/>
    </row>
    <row r="10" spans="1:9" ht="18" customHeight="1" x14ac:dyDescent="0.25">
      <c r="A10" s="244" t="s">
        <v>199</v>
      </c>
      <c r="B10" s="59" t="s">
        <v>200</v>
      </c>
      <c r="C10" s="245" t="s">
        <v>201</v>
      </c>
      <c r="D10" s="246" t="s">
        <v>15</v>
      </c>
      <c r="E10" s="179">
        <v>1001</v>
      </c>
      <c r="F10" s="179" t="s">
        <v>16</v>
      </c>
      <c r="G10" s="23"/>
      <c r="H10" s="179"/>
      <c r="I10" s="42"/>
    </row>
    <row r="11" spans="1:9" x14ac:dyDescent="0.25">
      <c r="A11" s="247" t="s">
        <v>202</v>
      </c>
      <c r="B11" s="247" t="s">
        <v>203</v>
      </c>
      <c r="C11" s="248" t="s">
        <v>204</v>
      </c>
      <c r="D11" s="13" t="s">
        <v>15</v>
      </c>
      <c r="E11" s="13">
        <v>20</v>
      </c>
      <c r="F11" s="206" t="s">
        <v>16</v>
      </c>
      <c r="G11" s="249"/>
      <c r="H11" s="250"/>
      <c r="I11" s="42"/>
    </row>
    <row r="12" spans="1:9" x14ac:dyDescent="0.25">
      <c r="A12" s="59"/>
      <c r="B12" s="59"/>
      <c r="C12" s="251"/>
      <c r="D12" s="252"/>
      <c r="E12" s="24"/>
      <c r="F12" s="24"/>
      <c r="G12" s="249"/>
      <c r="H12" s="250"/>
      <c r="I12" s="42"/>
    </row>
    <row r="13" spans="1:9" x14ac:dyDescent="0.25">
      <c r="A13" s="59"/>
      <c r="B13" s="59"/>
      <c r="D13" s="252"/>
      <c r="E13" s="252"/>
      <c r="F13" s="253"/>
      <c r="G13" s="249"/>
      <c r="H13" s="254"/>
      <c r="I13" s="42"/>
    </row>
    <row r="14" spans="1:9" x14ac:dyDescent="0.25">
      <c r="A14" s="255"/>
      <c r="B14" s="59"/>
      <c r="C14" s="256"/>
      <c r="D14" s="13"/>
      <c r="E14" s="13"/>
      <c r="F14" s="206"/>
      <c r="G14" s="249"/>
      <c r="H14" s="254"/>
      <c r="I14" s="42"/>
    </row>
    <row r="15" spans="1:9" x14ac:dyDescent="0.25">
      <c r="A15" s="257"/>
      <c r="B15" s="59"/>
      <c r="C15" s="251"/>
      <c r="D15" s="13"/>
      <c r="E15" s="13"/>
      <c r="F15" s="206"/>
      <c r="G15" s="249"/>
      <c r="H15" s="254"/>
      <c r="I15" s="42"/>
    </row>
    <row r="16" spans="1:9" x14ac:dyDescent="0.25">
      <c r="A16" s="258"/>
      <c r="B16" s="11"/>
      <c r="C16" s="10"/>
      <c r="D16" s="259"/>
      <c r="E16" s="259"/>
      <c r="F16" s="259"/>
      <c r="G16" s="249"/>
      <c r="H16" s="254"/>
      <c r="I16" s="42"/>
    </row>
    <row r="17" spans="1:9" x14ac:dyDescent="0.25">
      <c r="A17" s="11"/>
      <c r="B17" s="11"/>
      <c r="C17" s="226"/>
      <c r="D17" s="214"/>
      <c r="E17" s="214"/>
      <c r="F17" s="17"/>
      <c r="G17" s="41"/>
      <c r="H17" s="2"/>
      <c r="I17" s="42"/>
    </row>
    <row r="18" spans="1:9" ht="15.75" x14ac:dyDescent="0.25">
      <c r="A18" s="45"/>
      <c r="B18" s="46"/>
      <c r="C18" s="183" t="s">
        <v>152</v>
      </c>
      <c r="D18" s="47"/>
      <c r="E18" s="184"/>
      <c r="F18" s="17"/>
      <c r="G18" s="41"/>
      <c r="H18" s="2"/>
      <c r="I18" s="42"/>
    </row>
    <row r="19" spans="1:9" x14ac:dyDescent="0.25">
      <c r="A19" s="260"/>
      <c r="B19" s="259"/>
      <c r="C19" s="261"/>
      <c r="D19" s="262"/>
      <c r="E19" s="214"/>
      <c r="F19" s="17"/>
      <c r="G19" s="41"/>
      <c r="H19" s="2"/>
      <c r="I19" s="42"/>
    </row>
    <row r="20" spans="1:9" x14ac:dyDescent="0.25">
      <c r="A20" s="11"/>
      <c r="B20" s="11"/>
      <c r="C20" s="226"/>
      <c r="D20" s="262"/>
      <c r="E20" s="214"/>
      <c r="F20" s="17"/>
      <c r="G20" s="41"/>
      <c r="H20" s="2"/>
      <c r="I20" s="42"/>
    </row>
    <row r="21" spans="1:9" x14ac:dyDescent="0.25">
      <c r="A21" s="263"/>
      <c r="B21" s="263"/>
      <c r="C21" s="261"/>
      <c r="D21" s="262"/>
      <c r="E21" s="214"/>
      <c r="F21" s="17"/>
      <c r="G21" s="41"/>
      <c r="H21" s="2"/>
      <c r="I21" s="42"/>
    </row>
    <row r="22" spans="1:9" x14ac:dyDescent="0.25">
      <c r="A22" s="11"/>
      <c r="B22" s="11"/>
      <c r="C22" s="226"/>
      <c r="D22" s="214"/>
      <c r="E22" s="47"/>
      <c r="F22" s="17"/>
      <c r="G22" s="41"/>
      <c r="H22" s="2"/>
      <c r="I22" s="42"/>
    </row>
    <row r="23" spans="1:9" x14ac:dyDescent="0.25">
      <c r="A23" s="11"/>
      <c r="B23" s="11"/>
      <c r="C23" s="226"/>
      <c r="D23" s="12"/>
      <c r="E23" s="264"/>
      <c r="F23" s="265"/>
      <c r="G23" s="41"/>
      <c r="H23" s="2"/>
      <c r="I23" s="42"/>
    </row>
    <row r="24" spans="1:9" ht="15.75" x14ac:dyDescent="0.25">
      <c r="A24" s="194"/>
      <c r="B24" s="195"/>
      <c r="C24" s="196" t="s">
        <v>164</v>
      </c>
      <c r="D24" s="197"/>
      <c r="E24" s="198"/>
      <c r="F24" s="2"/>
      <c r="G24" s="41"/>
      <c r="I24" s="42"/>
    </row>
    <row r="25" spans="1:9" x14ac:dyDescent="0.25">
      <c r="A25" s="247"/>
      <c r="B25" s="247"/>
      <c r="C25" s="248"/>
      <c r="D25" s="13"/>
      <c r="E25" s="13"/>
      <c r="F25" s="206"/>
      <c r="G25" s="202"/>
      <c r="H25" s="2"/>
      <c r="I25" s="42"/>
    </row>
    <row r="26" spans="1:9" x14ac:dyDescent="0.25">
      <c r="A26" s="257"/>
      <c r="B26" s="59"/>
      <c r="C26" s="251"/>
      <c r="D26" s="13"/>
      <c r="E26" s="13"/>
      <c r="F26" s="206"/>
      <c r="G26" s="202"/>
      <c r="H26" s="2"/>
      <c r="I26" s="42"/>
    </row>
    <row r="27" spans="1:9" x14ac:dyDescent="0.25">
      <c r="A27" s="238"/>
      <c r="B27" s="238"/>
      <c r="C27" s="21"/>
      <c r="D27" s="13"/>
      <c r="E27" s="193"/>
      <c r="F27" s="179"/>
      <c r="G27" s="202"/>
      <c r="H27" s="2"/>
      <c r="I27" s="42"/>
    </row>
    <row r="28" spans="1:9" x14ac:dyDescent="0.25">
      <c r="A28" s="238"/>
      <c r="B28" s="59"/>
      <c r="C28" s="21"/>
      <c r="D28" s="13"/>
      <c r="E28" s="266"/>
      <c r="F28" s="179"/>
      <c r="G28" s="41"/>
      <c r="H28" s="2"/>
      <c r="I28" s="42"/>
    </row>
    <row r="29" spans="1:9" x14ac:dyDescent="0.25">
      <c r="A29" s="267"/>
      <c r="B29" s="268"/>
      <c r="C29" s="269"/>
      <c r="D29" s="13"/>
      <c r="E29" s="164"/>
      <c r="F29" s="165"/>
      <c r="G29" s="41"/>
      <c r="H29" s="2"/>
      <c r="I29" s="42"/>
    </row>
    <row r="30" spans="1:9" x14ac:dyDescent="0.25">
      <c r="A30" s="270"/>
      <c r="B30" s="271"/>
      <c r="C30" s="272"/>
      <c r="D30" s="13"/>
      <c r="E30" s="214"/>
      <c r="F30" s="17"/>
      <c r="G30" s="208"/>
      <c r="H30" s="47"/>
      <c r="I30" s="42"/>
    </row>
    <row r="31" spans="1:9" x14ac:dyDescent="0.25">
      <c r="A31" s="45"/>
      <c r="B31" s="46"/>
      <c r="C31" s="28"/>
      <c r="D31" s="13"/>
      <c r="E31" s="214"/>
      <c r="F31" s="17"/>
      <c r="G31" s="214"/>
      <c r="H31" s="47"/>
      <c r="I31" s="42"/>
    </row>
    <row r="32" spans="1:9" ht="15.75" x14ac:dyDescent="0.25">
      <c r="A32" s="45"/>
      <c r="B32" s="46"/>
      <c r="C32" s="28"/>
      <c r="D32" s="13"/>
      <c r="E32" s="214"/>
      <c r="F32" s="17"/>
      <c r="G32" s="215"/>
      <c r="H32" s="17"/>
      <c r="I32" s="42"/>
    </row>
    <row r="33" spans="1:9" ht="15.75" x14ac:dyDescent="0.25">
      <c r="A33" s="45"/>
      <c r="B33" s="46"/>
      <c r="C33" s="28"/>
      <c r="D33" s="47"/>
      <c r="E33" s="47"/>
      <c r="F33" s="17"/>
      <c r="G33" s="48"/>
      <c r="H33" s="48"/>
      <c r="I33" s="42"/>
    </row>
    <row r="34" spans="1:9" ht="15.75" thickBot="1" x14ac:dyDescent="0.3">
      <c r="A34" s="49"/>
      <c r="B34" s="3"/>
      <c r="C34" s="4"/>
      <c r="D34" s="4"/>
      <c r="E34" s="5"/>
      <c r="F34" s="6"/>
      <c r="G34" s="4"/>
      <c r="H34" s="4"/>
      <c r="I34" s="7"/>
    </row>
    <row r="35" spans="1:9" ht="15.75" thickBot="1" x14ac:dyDescent="0.3">
      <c r="A35" s="50"/>
      <c r="B35" s="51"/>
      <c r="C35" s="52"/>
      <c r="D35" s="53" t="s">
        <v>13</v>
      </c>
      <c r="E35" s="54" t="s">
        <v>17</v>
      </c>
      <c r="F35" s="55"/>
      <c r="G35" s="52"/>
      <c r="H35" s="52"/>
      <c r="I35" s="56"/>
    </row>
    <row r="36" spans="1:9" x14ac:dyDescent="0.25">
      <c r="A36" s="505" t="s">
        <v>18</v>
      </c>
      <c r="B36" s="506"/>
      <c r="C36" s="507"/>
      <c r="D36" s="23">
        <v>1001</v>
      </c>
      <c r="E36" s="57" t="s">
        <v>16</v>
      </c>
      <c r="F36" s="508" t="s">
        <v>84</v>
      </c>
      <c r="G36" s="508"/>
      <c r="H36" s="509"/>
      <c r="I36" s="510"/>
    </row>
    <row r="37" spans="1:9" x14ac:dyDescent="0.25">
      <c r="A37" s="488" t="s">
        <v>19</v>
      </c>
      <c r="B37" s="489"/>
      <c r="C37" s="490"/>
      <c r="D37" s="273">
        <v>2</v>
      </c>
      <c r="E37" s="24" t="s">
        <v>85</v>
      </c>
      <c r="F37" s="491" t="s">
        <v>86</v>
      </c>
      <c r="G37" s="491"/>
      <c r="H37" s="492"/>
      <c r="I37" s="493"/>
    </row>
    <row r="38" spans="1:9" x14ac:dyDescent="0.25">
      <c r="A38" s="488" t="s">
        <v>20</v>
      </c>
      <c r="B38" s="489"/>
      <c r="C38" s="490"/>
      <c r="D38" s="24">
        <v>7</v>
      </c>
      <c r="E38" s="24" t="s">
        <v>205</v>
      </c>
      <c r="F38" s="491" t="s">
        <v>88</v>
      </c>
      <c r="G38" s="491"/>
      <c r="H38" s="492"/>
      <c r="I38" s="493"/>
    </row>
    <row r="39" spans="1:9" x14ac:dyDescent="0.25">
      <c r="A39" s="488" t="s">
        <v>21</v>
      </c>
      <c r="B39" s="489"/>
      <c r="C39" s="490"/>
      <c r="D39" s="186">
        <v>143</v>
      </c>
      <c r="E39" s="24" t="s">
        <v>16</v>
      </c>
      <c r="F39" s="494" t="s">
        <v>89</v>
      </c>
      <c r="G39" s="495"/>
      <c r="H39" s="492"/>
      <c r="I39" s="493"/>
    </row>
    <row r="40" spans="1:9" ht="15.75" thickBot="1" x14ac:dyDescent="0.3">
      <c r="A40" s="498" t="s">
        <v>22</v>
      </c>
      <c r="B40" s="499"/>
      <c r="C40" s="500"/>
      <c r="D40" s="25">
        <v>0</v>
      </c>
      <c r="E40" s="58" t="s">
        <v>16</v>
      </c>
      <c r="F40" s="501"/>
      <c r="G40" s="501"/>
      <c r="H40" s="554"/>
      <c r="I40" s="555"/>
    </row>
    <row r="41" spans="1:9" ht="15.75" thickBot="1" x14ac:dyDescent="0.3">
      <c r="A41" s="502" t="s">
        <v>23</v>
      </c>
      <c r="B41" s="503"/>
      <c r="C41" s="503"/>
      <c r="D41" s="503"/>
      <c r="E41" s="503"/>
      <c r="F41" s="503"/>
      <c r="G41" s="503"/>
      <c r="H41" s="503"/>
      <c r="I41" s="504"/>
    </row>
    <row r="42" spans="1:9" ht="18.600000000000001" customHeight="1" x14ac:dyDescent="0.25">
      <c r="A42" s="556" t="s">
        <v>206</v>
      </c>
      <c r="B42" s="557"/>
      <c r="C42" s="557"/>
      <c r="D42" s="557"/>
      <c r="E42" s="557"/>
      <c r="F42" s="557"/>
      <c r="G42" s="557"/>
      <c r="H42" s="557"/>
      <c r="I42" s="558"/>
    </row>
    <row r="43" spans="1:9" ht="14.45" customHeight="1" x14ac:dyDescent="0.25">
      <c r="A43" s="542" t="s">
        <v>207</v>
      </c>
      <c r="B43" s="543"/>
      <c r="C43" s="543"/>
      <c r="D43" s="543"/>
      <c r="E43" s="543"/>
      <c r="F43" s="543"/>
      <c r="G43" s="543"/>
      <c r="H43" s="543"/>
      <c r="I43" s="544"/>
    </row>
    <row r="44" spans="1:9" ht="14.45" customHeight="1" x14ac:dyDescent="0.25">
      <c r="A44" s="542" t="s">
        <v>208</v>
      </c>
      <c r="B44" s="543"/>
      <c r="C44" s="543"/>
      <c r="D44" s="543"/>
      <c r="E44" s="543"/>
      <c r="F44" s="543"/>
      <c r="G44" s="543"/>
      <c r="H44" s="543"/>
      <c r="I44" s="544"/>
    </row>
    <row r="45" spans="1:9" ht="14.45" customHeight="1" x14ac:dyDescent="0.25">
      <c r="A45" s="446" t="s">
        <v>209</v>
      </c>
      <c r="B45" s="447"/>
      <c r="C45" s="447"/>
      <c r="D45" s="447"/>
      <c r="E45" s="447"/>
      <c r="F45" s="447"/>
      <c r="G45" s="447"/>
      <c r="H45" s="447"/>
      <c r="I45" s="448"/>
    </row>
    <row r="46" spans="1:9" ht="14.45" customHeight="1" x14ac:dyDescent="0.25">
      <c r="A46" s="545"/>
      <c r="B46" s="546"/>
      <c r="C46" s="546"/>
      <c r="D46" s="546"/>
      <c r="E46" s="546"/>
      <c r="F46" s="546"/>
      <c r="G46" s="546"/>
      <c r="H46" s="546"/>
      <c r="I46" s="547"/>
    </row>
    <row r="47" spans="1:9" x14ac:dyDescent="0.25">
      <c r="A47" s="548"/>
      <c r="B47" s="549"/>
      <c r="C47" s="549"/>
      <c r="D47" s="549"/>
      <c r="E47" s="549"/>
      <c r="F47" s="549"/>
      <c r="G47" s="549"/>
      <c r="H47" s="549"/>
      <c r="I47" s="550"/>
    </row>
    <row r="48" spans="1:9" ht="18" customHeight="1" x14ac:dyDescent="0.25">
      <c r="A48" s="545"/>
      <c r="B48" s="546"/>
      <c r="C48" s="546"/>
      <c r="D48" s="546"/>
      <c r="E48" s="546"/>
      <c r="F48" s="546"/>
      <c r="G48" s="546"/>
      <c r="H48" s="546"/>
      <c r="I48" s="547"/>
    </row>
    <row r="49" spans="1:9" x14ac:dyDescent="0.25">
      <c r="A49" s="551"/>
      <c r="B49" s="552"/>
      <c r="C49" s="552"/>
      <c r="D49" s="552"/>
      <c r="E49" s="552"/>
      <c r="F49" s="552"/>
      <c r="G49" s="552"/>
      <c r="H49" s="552"/>
      <c r="I49" s="553"/>
    </row>
    <row r="50" spans="1:9" ht="15.75" thickBot="1" x14ac:dyDescent="0.3">
      <c r="A50" s="539"/>
      <c r="B50" s="540"/>
      <c r="C50" s="540"/>
      <c r="D50" s="540"/>
      <c r="E50" s="540"/>
      <c r="F50" s="540"/>
      <c r="G50" s="540"/>
      <c r="H50" s="540"/>
      <c r="I50" s="541"/>
    </row>
    <row r="51" spans="1:9" x14ac:dyDescent="0.25">
      <c r="A51" s="486" t="s">
        <v>24</v>
      </c>
      <c r="B51" s="487"/>
      <c r="C51" s="487"/>
      <c r="D51" s="487"/>
      <c r="E51" s="487"/>
      <c r="F51" s="487"/>
      <c r="G51" s="487"/>
      <c r="H51" s="487"/>
      <c r="I51" s="487"/>
    </row>
    <row r="52" spans="1:9" x14ac:dyDescent="0.25">
      <c r="A52" s="469"/>
      <c r="B52" s="470"/>
      <c r="C52" s="470"/>
      <c r="D52" s="470"/>
      <c r="E52" s="470"/>
      <c r="F52" s="470"/>
      <c r="G52" s="470"/>
      <c r="H52" s="470"/>
      <c r="I52" s="470"/>
    </row>
    <row r="53" spans="1:9" x14ac:dyDescent="0.25">
      <c r="A53" s="469"/>
      <c r="B53" s="470"/>
      <c r="C53" s="470"/>
      <c r="D53" s="470"/>
      <c r="E53" s="470"/>
      <c r="F53" s="470"/>
      <c r="G53" s="470"/>
      <c r="H53" s="470"/>
      <c r="I53" s="47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5F83-7E20-4718-BC87-C752A1B4FC59}">
  <dimension ref="A1:I51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526"/>
      <c r="B1" s="527"/>
      <c r="C1" s="532" t="s">
        <v>0</v>
      </c>
      <c r="D1" s="532"/>
      <c r="E1" s="532"/>
      <c r="F1" s="532"/>
      <c r="G1" s="532"/>
      <c r="H1" s="30" t="s">
        <v>1</v>
      </c>
      <c r="I1" s="31" t="s">
        <v>210</v>
      </c>
    </row>
    <row r="2" spans="1:9" ht="18" customHeight="1" thickBot="1" x14ac:dyDescent="0.3">
      <c r="A2" s="528"/>
      <c r="B2" s="529"/>
      <c r="C2" s="533" t="s">
        <v>2</v>
      </c>
      <c r="D2" s="534"/>
      <c r="E2" s="534"/>
      <c r="F2" s="534"/>
      <c r="G2" s="535"/>
      <c r="H2" s="32" t="s">
        <v>3</v>
      </c>
      <c r="I2" s="33" t="s">
        <v>4</v>
      </c>
    </row>
    <row r="3" spans="1:9" ht="31.5" customHeight="1" thickBot="1" x14ac:dyDescent="0.3">
      <c r="A3" s="528"/>
      <c r="B3" s="529"/>
      <c r="C3" s="559" t="s">
        <v>211</v>
      </c>
      <c r="D3" s="560"/>
      <c r="E3" s="560"/>
      <c r="F3" s="560"/>
      <c r="G3" s="561"/>
      <c r="H3" s="536" t="s">
        <v>5</v>
      </c>
      <c r="I3" s="517">
        <v>45611</v>
      </c>
    </row>
    <row r="4" spans="1:9" ht="18" customHeight="1" x14ac:dyDescent="0.25">
      <c r="A4" s="528"/>
      <c r="B4" s="529"/>
      <c r="C4" s="34" t="s">
        <v>6</v>
      </c>
      <c r="D4" s="520" t="s">
        <v>151</v>
      </c>
      <c r="E4" s="521"/>
      <c r="F4" s="521"/>
      <c r="G4" s="522"/>
      <c r="H4" s="537"/>
      <c r="I4" s="518"/>
    </row>
    <row r="5" spans="1:9" ht="15.75" thickBot="1" x14ac:dyDescent="0.3">
      <c r="A5" s="530"/>
      <c r="B5" s="531"/>
      <c r="C5" s="35" t="s">
        <v>7</v>
      </c>
      <c r="D5" s="523" t="s">
        <v>77</v>
      </c>
      <c r="E5" s="524"/>
      <c r="F5" s="524"/>
      <c r="G5" s="525"/>
      <c r="H5" s="538"/>
      <c r="I5" s="519"/>
    </row>
    <row r="6" spans="1:9" ht="18.75" thickBot="1" x14ac:dyDescent="0.3">
      <c r="A6" s="423" t="s">
        <v>8</v>
      </c>
      <c r="B6" s="423"/>
      <c r="C6" s="423"/>
      <c r="D6" s="424" t="s">
        <v>198</v>
      </c>
      <c r="E6" s="424"/>
      <c r="F6" s="424"/>
      <c r="G6" s="425" t="s">
        <v>9</v>
      </c>
      <c r="H6" s="425"/>
      <c r="I6" s="1" t="s">
        <v>198</v>
      </c>
    </row>
    <row r="7" spans="1:9" ht="25.5" x14ac:dyDescent="0.25">
      <c r="A7" s="511" t="s">
        <v>79</v>
      </c>
      <c r="B7" s="513" t="s">
        <v>10</v>
      </c>
      <c r="C7" s="515" t="s">
        <v>11</v>
      </c>
      <c r="D7" s="515" t="s">
        <v>12</v>
      </c>
      <c r="E7" s="515" t="s">
        <v>80</v>
      </c>
      <c r="F7" s="515"/>
      <c r="G7" s="515" t="s">
        <v>81</v>
      </c>
      <c r="H7" s="515"/>
      <c r="I7" s="36" t="s">
        <v>82</v>
      </c>
    </row>
    <row r="8" spans="1:9" ht="27" thickBot="1" x14ac:dyDescent="0.3">
      <c r="A8" s="512"/>
      <c r="B8" s="514"/>
      <c r="C8" s="516"/>
      <c r="D8" s="516"/>
      <c r="E8" s="37" t="s">
        <v>13</v>
      </c>
      <c r="F8" s="38" t="s">
        <v>14</v>
      </c>
      <c r="G8" s="37" t="s">
        <v>13</v>
      </c>
      <c r="H8" s="38" t="s">
        <v>14</v>
      </c>
      <c r="I8" s="39" t="s">
        <v>83</v>
      </c>
    </row>
    <row r="9" spans="1:9" x14ac:dyDescent="0.25">
      <c r="A9" s="157"/>
      <c r="B9" s="158"/>
      <c r="C9" s="159" t="s">
        <v>154</v>
      </c>
      <c r="D9" s="40"/>
      <c r="E9" s="41"/>
      <c r="F9" s="2"/>
      <c r="G9" s="41"/>
      <c r="H9" s="2"/>
      <c r="I9" s="42"/>
    </row>
    <row r="10" spans="1:9" ht="18" customHeight="1" x14ac:dyDescent="0.25">
      <c r="A10" s="59">
        <v>901000014</v>
      </c>
      <c r="B10" s="274" t="s">
        <v>212</v>
      </c>
      <c r="C10" t="s">
        <v>213</v>
      </c>
      <c r="D10" s="275" t="s">
        <v>214</v>
      </c>
      <c r="E10" s="16">
        <v>23524</v>
      </c>
      <c r="F10" s="14" t="s">
        <v>16</v>
      </c>
      <c r="G10" s="23"/>
      <c r="H10" s="179"/>
      <c r="I10" s="42"/>
    </row>
    <row r="11" spans="1:9" x14ac:dyDescent="0.25">
      <c r="A11" s="247"/>
      <c r="B11" s="247"/>
      <c r="C11" s="248"/>
      <c r="D11" s="252"/>
      <c r="E11" s="24"/>
      <c r="F11" s="24"/>
      <c r="G11" s="249"/>
      <c r="H11" s="250"/>
      <c r="I11" s="42"/>
    </row>
    <row r="12" spans="1:9" x14ac:dyDescent="0.25">
      <c r="A12" s="59"/>
      <c r="B12" s="59"/>
      <c r="C12" s="251"/>
      <c r="D12" s="252"/>
      <c r="E12" s="24"/>
      <c r="F12" s="24"/>
      <c r="G12" s="249"/>
      <c r="H12" s="250"/>
      <c r="I12" s="42"/>
    </row>
    <row r="13" spans="1:9" x14ac:dyDescent="0.25">
      <c r="A13" s="59"/>
      <c r="B13" s="59"/>
      <c r="D13" s="252"/>
      <c r="E13" s="252"/>
      <c r="F13" s="253"/>
      <c r="G13" s="249"/>
      <c r="H13" s="254"/>
      <c r="I13" s="42"/>
    </row>
    <row r="14" spans="1:9" x14ac:dyDescent="0.25">
      <c r="A14" s="255"/>
      <c r="B14" s="59"/>
      <c r="C14" s="256"/>
      <c r="D14" s="13"/>
      <c r="E14" s="13"/>
      <c r="F14" s="206"/>
      <c r="G14" s="249"/>
      <c r="H14" s="254"/>
      <c r="I14" s="42"/>
    </row>
    <row r="15" spans="1:9" x14ac:dyDescent="0.25">
      <c r="A15" s="11"/>
      <c r="B15" s="11"/>
      <c r="C15" s="226"/>
      <c r="D15" s="214"/>
      <c r="E15" s="214"/>
      <c r="F15" s="17"/>
      <c r="G15" s="41"/>
      <c r="H15" s="2"/>
      <c r="I15" s="42"/>
    </row>
    <row r="16" spans="1:9" ht="15.75" x14ac:dyDescent="0.25">
      <c r="A16" s="45"/>
      <c r="B16" s="46"/>
      <c r="C16" s="183" t="s">
        <v>152</v>
      </c>
      <c r="D16" s="47"/>
      <c r="E16" s="184"/>
      <c r="F16" s="17"/>
      <c r="G16" s="41"/>
      <c r="H16" s="2"/>
      <c r="I16" s="42"/>
    </row>
    <row r="17" spans="1:9" x14ac:dyDescent="0.25">
      <c r="A17" s="260"/>
      <c r="B17" s="259"/>
      <c r="C17" s="261"/>
      <c r="D17" s="262"/>
      <c r="E17" s="214"/>
      <c r="F17" s="17"/>
      <c r="G17" s="41"/>
      <c r="H17" s="2"/>
      <c r="I17" s="42"/>
    </row>
    <row r="18" spans="1:9" x14ac:dyDescent="0.25">
      <c r="A18" s="11"/>
      <c r="B18" s="11"/>
      <c r="C18" s="226"/>
      <c r="D18" s="262"/>
      <c r="E18" s="214"/>
      <c r="F18" s="17"/>
      <c r="G18" s="41"/>
      <c r="H18" s="2"/>
      <c r="I18" s="42"/>
    </row>
    <row r="19" spans="1:9" x14ac:dyDescent="0.25">
      <c r="A19" s="263"/>
      <c r="B19" s="263"/>
      <c r="C19" s="261"/>
      <c r="D19" s="262"/>
      <c r="E19" s="214"/>
      <c r="F19" s="17"/>
      <c r="G19" s="41"/>
      <c r="H19" s="2"/>
      <c r="I19" s="42"/>
    </row>
    <row r="20" spans="1:9" x14ac:dyDescent="0.25">
      <c r="A20" s="11"/>
      <c r="B20" s="11"/>
      <c r="C20" s="226"/>
      <c r="D20" s="214"/>
      <c r="E20" s="47"/>
      <c r="F20" s="17"/>
      <c r="G20" s="41"/>
      <c r="H20" s="2"/>
      <c r="I20" s="42"/>
    </row>
    <row r="21" spans="1:9" x14ac:dyDescent="0.25">
      <c r="A21" s="11"/>
      <c r="B21" s="11"/>
      <c r="C21" s="226"/>
      <c r="D21" s="12"/>
      <c r="E21" s="264"/>
      <c r="F21" s="265"/>
      <c r="G21" s="41"/>
      <c r="H21" s="2"/>
      <c r="I21" s="42"/>
    </row>
    <row r="22" spans="1:9" ht="15.75" x14ac:dyDescent="0.25">
      <c r="A22" s="194"/>
      <c r="B22" s="195"/>
      <c r="C22" s="196" t="s">
        <v>164</v>
      </c>
      <c r="D22" s="197"/>
      <c r="E22" s="198"/>
      <c r="F22" s="2"/>
      <c r="G22" s="41"/>
      <c r="I22" s="42"/>
    </row>
    <row r="23" spans="1:9" x14ac:dyDescent="0.25">
      <c r="A23" s="247"/>
      <c r="B23" s="247"/>
      <c r="C23" s="248"/>
      <c r="D23" s="13"/>
      <c r="E23" s="13"/>
      <c r="F23" s="206"/>
      <c r="G23" s="202"/>
      <c r="H23" s="2"/>
      <c r="I23" s="42"/>
    </row>
    <row r="24" spans="1:9" x14ac:dyDescent="0.25">
      <c r="A24" s="257"/>
      <c r="B24" s="59"/>
      <c r="C24" s="251"/>
      <c r="D24" s="13"/>
      <c r="E24" s="13"/>
      <c r="F24" s="206"/>
      <c r="G24" s="202"/>
      <c r="H24" s="2"/>
      <c r="I24" s="42"/>
    </row>
    <row r="25" spans="1:9" x14ac:dyDescent="0.25">
      <c r="A25" s="238"/>
      <c r="B25" s="238"/>
      <c r="C25" s="21"/>
      <c r="D25" s="13"/>
      <c r="E25" s="193"/>
      <c r="F25" s="179"/>
      <c r="G25" s="202"/>
      <c r="H25" s="2"/>
      <c r="I25" s="42"/>
    </row>
    <row r="26" spans="1:9" x14ac:dyDescent="0.25">
      <c r="A26" s="238"/>
      <c r="B26" s="59"/>
      <c r="C26" s="21"/>
      <c r="D26" s="13"/>
      <c r="E26" s="266"/>
      <c r="F26" s="179"/>
      <c r="G26" s="41"/>
      <c r="H26" s="2"/>
      <c r="I26" s="42"/>
    </row>
    <row r="27" spans="1:9" x14ac:dyDescent="0.25">
      <c r="A27" s="267"/>
      <c r="B27" s="268"/>
      <c r="C27" s="269"/>
      <c r="D27" s="13"/>
      <c r="E27" s="164"/>
      <c r="F27" s="165"/>
      <c r="G27" s="41"/>
      <c r="H27" s="2"/>
      <c r="I27" s="42"/>
    </row>
    <row r="28" spans="1:9" x14ac:dyDescent="0.25">
      <c r="A28" s="270"/>
      <c r="B28" s="271"/>
      <c r="C28" s="272"/>
      <c r="D28" s="13"/>
      <c r="E28" s="214"/>
      <c r="F28" s="17"/>
      <c r="G28" s="208"/>
      <c r="H28" s="47"/>
      <c r="I28" s="42"/>
    </row>
    <row r="29" spans="1:9" x14ac:dyDescent="0.25">
      <c r="A29" s="45"/>
      <c r="B29" s="46"/>
      <c r="C29" s="28"/>
      <c r="D29" s="13"/>
      <c r="E29" s="214"/>
      <c r="F29" s="17"/>
      <c r="G29" s="214"/>
      <c r="H29" s="47"/>
      <c r="I29" s="42"/>
    </row>
    <row r="30" spans="1:9" ht="15.75" x14ac:dyDescent="0.25">
      <c r="A30" s="45"/>
      <c r="B30" s="46"/>
      <c r="C30" s="28"/>
      <c r="D30" s="13"/>
      <c r="E30" s="214"/>
      <c r="F30" s="17"/>
      <c r="G30" s="215"/>
      <c r="H30" s="17"/>
      <c r="I30" s="42"/>
    </row>
    <row r="31" spans="1:9" ht="15.75" x14ac:dyDescent="0.25">
      <c r="A31" s="45"/>
      <c r="B31" s="46"/>
      <c r="C31" s="28"/>
      <c r="D31" s="47"/>
      <c r="E31" s="47"/>
      <c r="F31" s="17"/>
      <c r="G31" s="48"/>
      <c r="H31" s="48"/>
      <c r="I31" s="42"/>
    </row>
    <row r="32" spans="1:9" ht="15.75" thickBot="1" x14ac:dyDescent="0.3">
      <c r="A32" s="49"/>
      <c r="B32" s="3"/>
      <c r="C32" s="4"/>
      <c r="D32" s="4"/>
      <c r="E32" s="5"/>
      <c r="F32" s="6"/>
      <c r="G32" s="4"/>
      <c r="H32" s="4"/>
      <c r="I32" s="7"/>
    </row>
    <row r="33" spans="1:9" ht="15.75" thickBot="1" x14ac:dyDescent="0.3">
      <c r="A33" s="50"/>
      <c r="B33" s="51"/>
      <c r="C33" s="52"/>
      <c r="D33" s="53" t="s">
        <v>13</v>
      </c>
      <c r="E33" s="54" t="s">
        <v>17</v>
      </c>
      <c r="F33" s="55"/>
      <c r="G33" s="52"/>
      <c r="H33" s="52"/>
      <c r="I33" s="56"/>
    </row>
    <row r="34" spans="1:9" x14ac:dyDescent="0.25">
      <c r="A34" s="505" t="s">
        <v>18</v>
      </c>
      <c r="B34" s="506"/>
      <c r="C34" s="507"/>
      <c r="D34" s="23">
        <v>23300</v>
      </c>
      <c r="E34" s="57" t="s">
        <v>16</v>
      </c>
      <c r="F34" s="508" t="s">
        <v>84</v>
      </c>
      <c r="G34" s="508"/>
      <c r="H34" s="509" t="s">
        <v>215</v>
      </c>
      <c r="I34" s="510"/>
    </row>
    <row r="35" spans="1:9" x14ac:dyDescent="0.25">
      <c r="A35" s="488" t="s">
        <v>19</v>
      </c>
      <c r="B35" s="489"/>
      <c r="C35" s="490"/>
      <c r="D35" s="273">
        <v>8</v>
      </c>
      <c r="E35" s="24" t="s">
        <v>85</v>
      </c>
      <c r="F35" s="491" t="s">
        <v>86</v>
      </c>
      <c r="G35" s="491"/>
      <c r="H35" s="492" t="s">
        <v>216</v>
      </c>
      <c r="I35" s="493"/>
    </row>
    <row r="36" spans="1:9" x14ac:dyDescent="0.25">
      <c r="A36" s="488" t="s">
        <v>20</v>
      </c>
      <c r="B36" s="489"/>
      <c r="C36" s="490"/>
      <c r="D36" s="24">
        <v>1</v>
      </c>
      <c r="E36" s="24" t="s">
        <v>167</v>
      </c>
      <c r="F36" s="491" t="s">
        <v>88</v>
      </c>
      <c r="G36" s="491"/>
      <c r="H36" s="492" t="s">
        <v>217</v>
      </c>
      <c r="I36" s="493"/>
    </row>
    <row r="37" spans="1:9" x14ac:dyDescent="0.25">
      <c r="A37" s="488" t="s">
        <v>21</v>
      </c>
      <c r="B37" s="489"/>
      <c r="C37" s="490"/>
      <c r="D37" s="186">
        <v>23300</v>
      </c>
      <c r="E37" s="24" t="s">
        <v>16</v>
      </c>
      <c r="F37" s="494" t="s">
        <v>89</v>
      </c>
      <c r="G37" s="495"/>
      <c r="H37" s="492"/>
      <c r="I37" s="493"/>
    </row>
    <row r="38" spans="1:9" ht="15.75" thickBot="1" x14ac:dyDescent="0.3">
      <c r="A38" s="498" t="s">
        <v>22</v>
      </c>
      <c r="B38" s="499"/>
      <c r="C38" s="500"/>
      <c r="D38" s="25">
        <v>224</v>
      </c>
      <c r="E38" s="58" t="s">
        <v>16</v>
      </c>
      <c r="F38" s="501"/>
      <c r="G38" s="501"/>
      <c r="H38" s="554"/>
      <c r="I38" s="555"/>
    </row>
    <row r="39" spans="1:9" ht="15.75" thickBot="1" x14ac:dyDescent="0.3">
      <c r="A39" s="502" t="s">
        <v>23</v>
      </c>
      <c r="B39" s="503"/>
      <c r="C39" s="503"/>
      <c r="D39" s="503"/>
      <c r="E39" s="503"/>
      <c r="F39" s="503"/>
      <c r="G39" s="503"/>
      <c r="H39" s="503"/>
      <c r="I39" s="504"/>
    </row>
    <row r="40" spans="1:9" ht="18.600000000000001" customHeight="1" x14ac:dyDescent="0.25">
      <c r="A40" s="446" t="s">
        <v>218</v>
      </c>
      <c r="B40" s="447"/>
      <c r="C40" s="447"/>
      <c r="D40" s="447"/>
      <c r="E40" s="447"/>
      <c r="F40" s="447"/>
      <c r="G40" s="447"/>
      <c r="H40" s="447"/>
      <c r="I40" s="448"/>
    </row>
    <row r="41" spans="1:9" ht="14.45" customHeight="1" x14ac:dyDescent="0.25">
      <c r="A41" s="446" t="s">
        <v>219</v>
      </c>
      <c r="B41" s="447"/>
      <c r="C41" s="447"/>
      <c r="D41" s="447"/>
      <c r="E41" s="447"/>
      <c r="F41" s="447"/>
      <c r="G41" s="447"/>
      <c r="H41" s="447"/>
      <c r="I41" s="448"/>
    </row>
    <row r="42" spans="1:9" ht="14.45" customHeight="1" x14ac:dyDescent="0.25">
      <c r="A42" s="562"/>
      <c r="B42" s="563"/>
      <c r="C42" s="563"/>
      <c r="D42" s="563"/>
      <c r="E42" s="563"/>
      <c r="F42" s="563"/>
      <c r="G42" s="563"/>
      <c r="H42" s="563"/>
      <c r="I42" s="564"/>
    </row>
    <row r="43" spans="1:9" x14ac:dyDescent="0.25">
      <c r="A43" s="565"/>
      <c r="B43" s="566"/>
      <c r="C43" s="567"/>
      <c r="D43" s="567"/>
      <c r="E43" s="567"/>
      <c r="F43" s="567"/>
      <c r="G43" s="567"/>
      <c r="H43" s="567"/>
      <c r="I43" s="568"/>
    </row>
    <row r="44" spans="1:9" ht="14.45" customHeight="1" x14ac:dyDescent="0.25">
      <c r="A44" s="565"/>
      <c r="B44" s="566"/>
      <c r="C44" s="567"/>
      <c r="D44" s="567"/>
      <c r="E44" s="567"/>
      <c r="F44" s="567"/>
      <c r="G44" s="567"/>
      <c r="H44" s="567"/>
      <c r="I44" s="568"/>
    </row>
    <row r="45" spans="1:9" ht="14.45" customHeight="1" x14ac:dyDescent="0.25">
      <c r="A45" s="569"/>
      <c r="B45" s="570"/>
      <c r="C45" s="570"/>
      <c r="D45" s="570"/>
      <c r="E45" s="570"/>
      <c r="F45" s="570"/>
      <c r="G45" s="570"/>
      <c r="H45" s="570"/>
      <c r="I45" s="571"/>
    </row>
    <row r="46" spans="1:9" ht="18" customHeight="1" x14ac:dyDescent="0.25">
      <c r="A46" s="483"/>
      <c r="B46" s="484"/>
      <c r="C46" s="484"/>
      <c r="D46" s="484"/>
      <c r="E46" s="484"/>
      <c r="F46" s="484"/>
      <c r="G46" s="484"/>
      <c r="H46" s="484"/>
      <c r="I46" s="485"/>
    </row>
    <row r="47" spans="1:9" x14ac:dyDescent="0.25">
      <c r="A47" s="483"/>
      <c r="B47" s="484"/>
      <c r="C47" s="484"/>
      <c r="D47" s="484"/>
      <c r="E47" s="484"/>
      <c r="F47" s="484"/>
      <c r="G47" s="484"/>
      <c r="H47" s="484"/>
      <c r="I47" s="485"/>
    </row>
    <row r="48" spans="1:9" ht="15.75" thickBot="1" x14ac:dyDescent="0.3">
      <c r="A48" s="483"/>
      <c r="B48" s="484"/>
      <c r="C48" s="484"/>
      <c r="D48" s="484"/>
      <c r="E48" s="484"/>
      <c r="F48" s="484"/>
      <c r="G48" s="484"/>
      <c r="H48" s="484"/>
      <c r="I48" s="485"/>
    </row>
    <row r="49" spans="1:9" x14ac:dyDescent="0.25">
      <c r="A49" s="486" t="s">
        <v>24</v>
      </c>
      <c r="B49" s="487"/>
      <c r="C49" s="487"/>
      <c r="D49" s="487"/>
      <c r="E49" s="487"/>
      <c r="F49" s="487"/>
      <c r="G49" s="487"/>
      <c r="H49" s="487"/>
      <c r="I49" s="487"/>
    </row>
    <row r="50" spans="1:9" x14ac:dyDescent="0.25">
      <c r="A50" s="469"/>
      <c r="B50" s="470"/>
      <c r="C50" s="470"/>
      <c r="D50" s="470"/>
      <c r="E50" s="470"/>
      <c r="F50" s="470"/>
      <c r="G50" s="470"/>
      <c r="H50" s="470"/>
      <c r="I50" s="470"/>
    </row>
    <row r="51" spans="1:9" x14ac:dyDescent="0.25">
      <c r="A51" s="469"/>
      <c r="B51" s="470"/>
      <c r="C51" s="470"/>
      <c r="D51" s="470"/>
      <c r="E51" s="470"/>
      <c r="F51" s="470"/>
      <c r="G51" s="470"/>
      <c r="H51" s="470"/>
      <c r="I51" s="47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9248-15E8-4372-BE23-76CCDEB22A29}">
  <dimension ref="A1:I55"/>
  <sheetViews>
    <sheetView workbookViewId="0">
      <selection sqref="A1:XFD1048576"/>
    </sheetView>
  </sheetViews>
  <sheetFormatPr baseColWidth="10" defaultRowHeight="15" x14ac:dyDescent="0.25"/>
  <cols>
    <col min="3" max="3" width="41.5703125" customWidth="1"/>
    <col min="4" max="4" width="18.85546875" customWidth="1"/>
  </cols>
  <sheetData>
    <row r="1" spans="1:9" ht="15.75" x14ac:dyDescent="0.25">
      <c r="A1" s="581"/>
      <c r="B1" s="582"/>
      <c r="C1" s="587" t="s">
        <v>0</v>
      </c>
      <c r="D1" s="587"/>
      <c r="E1" s="587"/>
      <c r="F1" s="587"/>
      <c r="G1" s="587"/>
      <c r="H1" s="285" t="s">
        <v>1</v>
      </c>
      <c r="I1" s="284" t="s">
        <v>220</v>
      </c>
    </row>
    <row r="2" spans="1:9" ht="16.5" thickBot="1" x14ac:dyDescent="0.3">
      <c r="A2" s="583"/>
      <c r="B2" s="584"/>
      <c r="C2" s="588" t="s">
        <v>2</v>
      </c>
      <c r="D2" s="589"/>
      <c r="E2" s="589"/>
      <c r="F2" s="589"/>
      <c r="G2" s="590"/>
      <c r="H2" s="283" t="s">
        <v>3</v>
      </c>
      <c r="I2" s="282" t="s">
        <v>4</v>
      </c>
    </row>
    <row r="3" spans="1:9" ht="18.75" thickBot="1" x14ac:dyDescent="0.3">
      <c r="A3" s="583"/>
      <c r="B3" s="584"/>
      <c r="C3" s="591" t="s">
        <v>221</v>
      </c>
      <c r="D3" s="592"/>
      <c r="E3" s="592"/>
      <c r="F3" s="592"/>
      <c r="G3" s="593"/>
      <c r="H3" s="594" t="s">
        <v>5</v>
      </c>
      <c r="I3" s="572">
        <v>45616</v>
      </c>
    </row>
    <row r="4" spans="1:9" x14ac:dyDescent="0.25">
      <c r="A4" s="583"/>
      <c r="B4" s="584"/>
      <c r="C4" s="281" t="s">
        <v>6</v>
      </c>
      <c r="D4" s="575" t="s">
        <v>151</v>
      </c>
      <c r="E4" s="576"/>
      <c r="F4" s="576"/>
      <c r="G4" s="577"/>
      <c r="H4" s="595"/>
      <c r="I4" s="573"/>
    </row>
    <row r="5" spans="1:9" ht="15.75" thickBot="1" x14ac:dyDescent="0.3">
      <c r="A5" s="585"/>
      <c r="B5" s="586"/>
      <c r="C5" s="280" t="s">
        <v>7</v>
      </c>
      <c r="D5" s="578" t="s">
        <v>77</v>
      </c>
      <c r="E5" s="579"/>
      <c r="F5" s="579"/>
      <c r="G5" s="580"/>
      <c r="H5" s="596"/>
      <c r="I5" s="574"/>
    </row>
    <row r="6" spans="1:9" ht="26.25" thickBot="1" x14ac:dyDescent="0.3">
      <c r="A6" s="423" t="s">
        <v>8</v>
      </c>
      <c r="B6" s="423"/>
      <c r="C6" s="423"/>
      <c r="D6" s="424" t="s">
        <v>222</v>
      </c>
      <c r="E6" s="424"/>
      <c r="F6" s="424"/>
      <c r="G6" s="425" t="s">
        <v>9</v>
      </c>
      <c r="H6" s="425"/>
      <c r="I6" s="1" t="s">
        <v>222</v>
      </c>
    </row>
    <row r="7" spans="1:9" ht="25.5" x14ac:dyDescent="0.25">
      <c r="A7" s="511" t="s">
        <v>79</v>
      </c>
      <c r="B7" s="513" t="s">
        <v>10</v>
      </c>
      <c r="C7" s="515" t="s">
        <v>11</v>
      </c>
      <c r="D7" s="515" t="s">
        <v>12</v>
      </c>
      <c r="E7" s="515" t="s">
        <v>80</v>
      </c>
      <c r="F7" s="515"/>
      <c r="G7" s="515" t="s">
        <v>81</v>
      </c>
      <c r="H7" s="515"/>
      <c r="I7" s="36" t="s">
        <v>82</v>
      </c>
    </row>
    <row r="8" spans="1:9" ht="27" thickBot="1" x14ac:dyDescent="0.3">
      <c r="A8" s="512"/>
      <c r="B8" s="514"/>
      <c r="C8" s="516"/>
      <c r="D8" s="516"/>
      <c r="E8" s="37" t="s">
        <v>13</v>
      </c>
      <c r="F8" s="38" t="s">
        <v>14</v>
      </c>
      <c r="G8" s="37" t="s">
        <v>13</v>
      </c>
      <c r="H8" s="38" t="s">
        <v>14</v>
      </c>
      <c r="I8" s="39" t="s">
        <v>83</v>
      </c>
    </row>
    <row r="9" spans="1:9" x14ac:dyDescent="0.25">
      <c r="A9" s="157"/>
      <c r="B9" s="158"/>
      <c r="C9" s="159" t="s">
        <v>154</v>
      </c>
      <c r="D9" s="40"/>
      <c r="E9" s="41"/>
      <c r="F9" s="2"/>
      <c r="G9" s="41"/>
      <c r="H9" s="2"/>
      <c r="I9" s="42"/>
    </row>
    <row r="10" spans="1:9" x14ac:dyDescent="0.25">
      <c r="A10" s="286"/>
      <c r="B10" s="286" t="s">
        <v>223</v>
      </c>
      <c r="C10" s="287" t="s">
        <v>224</v>
      </c>
      <c r="D10" s="288" t="s">
        <v>225</v>
      </c>
      <c r="E10" s="289">
        <v>9000</v>
      </c>
      <c r="F10" s="290" t="s">
        <v>16</v>
      </c>
      <c r="G10" s="291"/>
      <c r="H10" s="292"/>
      <c r="I10" s="42"/>
    </row>
    <row r="11" spans="1:9" x14ac:dyDescent="0.25">
      <c r="A11" s="286"/>
      <c r="B11" s="286" t="s">
        <v>226</v>
      </c>
      <c r="C11" s="287" t="s">
        <v>227</v>
      </c>
      <c r="D11" s="47" t="s">
        <v>228</v>
      </c>
      <c r="E11" s="214">
        <v>1</v>
      </c>
      <c r="F11" s="17" t="s">
        <v>229</v>
      </c>
      <c r="G11" s="291"/>
      <c r="H11" s="292"/>
      <c r="I11" s="42"/>
    </row>
    <row r="12" spans="1:9" ht="15.75" x14ac:dyDescent="0.25">
      <c r="A12" s="286"/>
      <c r="B12" s="286" t="s">
        <v>230</v>
      </c>
      <c r="C12" s="287" t="s">
        <v>231</v>
      </c>
      <c r="D12" s="48" t="s">
        <v>232</v>
      </c>
      <c r="E12" s="48">
        <v>12000</v>
      </c>
      <c r="F12" s="48" t="s">
        <v>16</v>
      </c>
      <c r="G12" s="277"/>
      <c r="H12" s="292"/>
      <c r="I12" s="42"/>
    </row>
    <row r="13" spans="1:9" ht="15.75" x14ac:dyDescent="0.25">
      <c r="A13" s="259"/>
      <c r="B13" s="259" t="s">
        <v>38</v>
      </c>
      <c r="C13" s="293" t="s">
        <v>163</v>
      </c>
      <c r="D13" s="48" t="s">
        <v>34</v>
      </c>
      <c r="E13" s="48">
        <v>24</v>
      </c>
      <c r="F13" s="48" t="s">
        <v>16</v>
      </c>
      <c r="G13" s="277"/>
      <c r="H13" s="292"/>
      <c r="I13" s="42"/>
    </row>
    <row r="14" spans="1:9" ht="15.75" x14ac:dyDescent="0.25">
      <c r="A14" s="286"/>
      <c r="B14" s="286"/>
      <c r="C14" s="294"/>
      <c r="D14" s="48"/>
      <c r="E14" s="48"/>
      <c r="F14" s="48"/>
      <c r="G14" s="277"/>
      <c r="H14" s="292"/>
      <c r="I14" s="42"/>
    </row>
    <row r="15" spans="1:9" ht="15.75" x14ac:dyDescent="0.25">
      <c r="A15" s="259"/>
      <c r="B15" s="259"/>
      <c r="C15" s="295"/>
      <c r="D15" s="48"/>
      <c r="E15" s="48"/>
      <c r="F15" s="48"/>
      <c r="G15" s="277"/>
      <c r="H15" s="292"/>
      <c r="I15" s="42"/>
    </row>
    <row r="16" spans="1:9" ht="15.75" x14ac:dyDescent="0.25">
      <c r="A16" s="259"/>
      <c r="B16" s="259"/>
      <c r="C16" s="295"/>
      <c r="D16" s="48"/>
      <c r="E16" s="48"/>
      <c r="F16" s="48"/>
      <c r="G16" s="277"/>
      <c r="H16" s="292"/>
      <c r="I16" s="42"/>
    </row>
    <row r="17" spans="1:9" ht="15.75" x14ac:dyDescent="0.25">
      <c r="A17" s="259"/>
      <c r="B17" s="259"/>
      <c r="C17" s="295"/>
      <c r="D17" s="48"/>
      <c r="E17" s="48"/>
      <c r="F17" s="48"/>
      <c r="G17" s="277"/>
      <c r="H17" s="292"/>
      <c r="I17" s="42"/>
    </row>
    <row r="18" spans="1:9" ht="15.75" x14ac:dyDescent="0.25">
      <c r="A18" s="45"/>
      <c r="B18" s="46"/>
      <c r="C18" s="183" t="s">
        <v>152</v>
      </c>
      <c r="D18" s="236"/>
      <c r="E18" s="236"/>
      <c r="F18" s="236"/>
      <c r="G18" s="41"/>
      <c r="H18" s="292"/>
      <c r="I18" s="42"/>
    </row>
    <row r="19" spans="1:9" ht="15.75" x14ac:dyDescent="0.25">
      <c r="A19" s="45"/>
      <c r="B19" s="46"/>
      <c r="C19" s="183"/>
      <c r="D19" s="47"/>
      <c r="E19" s="184"/>
      <c r="F19" s="17"/>
      <c r="G19" s="41"/>
      <c r="H19" s="292"/>
      <c r="I19" s="42"/>
    </row>
    <row r="20" spans="1:9" x14ac:dyDescent="0.25">
      <c r="A20" s="296"/>
      <c r="B20" s="297"/>
      <c r="C20" s="298"/>
      <c r="D20" s="299"/>
      <c r="E20" s="300"/>
      <c r="F20" s="301"/>
      <c r="G20" s="41"/>
      <c r="H20" s="292"/>
      <c r="I20" s="42"/>
    </row>
    <row r="21" spans="1:9" x14ac:dyDescent="0.25">
      <c r="A21" s="296"/>
      <c r="B21" s="297"/>
      <c r="C21" s="298"/>
      <c r="D21" s="299"/>
      <c r="E21" s="302"/>
      <c r="F21" s="301"/>
      <c r="G21" s="41"/>
      <c r="H21" s="2"/>
      <c r="I21" s="42"/>
    </row>
    <row r="22" spans="1:9" x14ac:dyDescent="0.25">
      <c r="A22" s="296"/>
      <c r="B22" s="297"/>
      <c r="C22" s="298"/>
      <c r="D22" s="299"/>
      <c r="E22" s="300"/>
      <c r="F22" s="301"/>
      <c r="G22" s="41"/>
      <c r="H22" s="2"/>
      <c r="I22" s="42"/>
    </row>
    <row r="23" spans="1:9" x14ac:dyDescent="0.25">
      <c r="A23" s="296"/>
      <c r="B23" s="297"/>
      <c r="C23" s="298"/>
      <c r="D23" s="299"/>
      <c r="E23" s="187"/>
      <c r="F23" s="188"/>
      <c r="G23" s="41"/>
      <c r="H23" s="2"/>
      <c r="I23" s="42"/>
    </row>
    <row r="24" spans="1:9" x14ac:dyDescent="0.25">
      <c r="A24" s="259"/>
      <c r="B24" s="259"/>
      <c r="C24" s="295"/>
      <c r="D24" s="29"/>
      <c r="E24" s="279"/>
      <c r="F24" s="303"/>
      <c r="G24" s="41"/>
      <c r="H24" s="2"/>
      <c r="I24" s="42"/>
    </row>
    <row r="25" spans="1:9" ht="15.75" x14ac:dyDescent="0.25">
      <c r="A25" s="194"/>
      <c r="B25" s="195"/>
      <c r="C25" s="196" t="s">
        <v>164</v>
      </c>
      <c r="D25" s="197"/>
      <c r="E25" s="198"/>
      <c r="F25" s="2"/>
      <c r="G25" s="41"/>
      <c r="H25" s="276"/>
      <c r="I25" s="42"/>
    </row>
    <row r="26" spans="1:9" x14ac:dyDescent="0.25">
      <c r="A26" s="45"/>
      <c r="B26" s="46" t="s">
        <v>71</v>
      </c>
      <c r="C26" s="304" t="s">
        <v>165</v>
      </c>
      <c r="D26" s="47" t="s">
        <v>233</v>
      </c>
      <c r="E26" s="214">
        <v>2</v>
      </c>
      <c r="F26" s="17" t="s">
        <v>25</v>
      </c>
      <c r="G26" s="305"/>
      <c r="H26" s="2"/>
      <c r="I26" s="42"/>
    </row>
    <row r="27" spans="1:9" x14ac:dyDescent="0.25">
      <c r="A27" s="45"/>
      <c r="B27" s="46" t="s">
        <v>234</v>
      </c>
      <c r="C27" s="304" t="s">
        <v>235</v>
      </c>
      <c r="D27" s="47" t="s">
        <v>236</v>
      </c>
      <c r="E27" s="214">
        <v>2</v>
      </c>
      <c r="F27" s="17" t="s">
        <v>25</v>
      </c>
      <c r="G27" s="305"/>
      <c r="H27" s="2"/>
      <c r="I27" s="42"/>
    </row>
    <row r="28" spans="1:9" x14ac:dyDescent="0.25">
      <c r="A28" s="306"/>
      <c r="B28" s="307" t="s">
        <v>237</v>
      </c>
      <c r="C28" s="308" t="s">
        <v>238</v>
      </c>
      <c r="D28" s="47" t="s">
        <v>233</v>
      </c>
      <c r="E28" s="214">
        <v>1</v>
      </c>
      <c r="F28" s="17" t="s">
        <v>25</v>
      </c>
      <c r="G28" s="305"/>
      <c r="H28" s="2"/>
      <c r="I28" s="42"/>
    </row>
    <row r="29" spans="1:9" x14ac:dyDescent="0.25">
      <c r="A29" s="309"/>
      <c r="B29" s="309" t="s">
        <v>239</v>
      </c>
      <c r="C29" s="310" t="s">
        <v>240</v>
      </c>
      <c r="D29" s="47" t="s">
        <v>241</v>
      </c>
      <c r="E29" s="214">
        <v>2</v>
      </c>
      <c r="F29" s="17" t="s">
        <v>25</v>
      </c>
      <c r="G29" s="41"/>
      <c r="H29" s="2"/>
      <c r="I29" s="42"/>
    </row>
    <row r="30" spans="1:9" x14ac:dyDescent="0.25">
      <c r="A30" s="309"/>
      <c r="B30" s="309"/>
      <c r="C30" s="310"/>
      <c r="D30" s="47"/>
      <c r="E30" s="214"/>
      <c r="F30" s="17"/>
      <c r="G30" s="41"/>
      <c r="H30" s="2"/>
      <c r="I30" s="42"/>
    </row>
    <row r="31" spans="1:9" x14ac:dyDescent="0.25">
      <c r="A31" s="309"/>
      <c r="B31" s="309"/>
      <c r="C31" s="310"/>
      <c r="D31" s="47"/>
      <c r="E31" s="214"/>
      <c r="F31" s="17"/>
      <c r="G31" s="208"/>
      <c r="H31" s="2"/>
      <c r="I31" s="42"/>
    </row>
    <row r="32" spans="1:9" ht="15.75" x14ac:dyDescent="0.25">
      <c r="A32" s="309"/>
      <c r="B32" s="309"/>
      <c r="C32" s="310"/>
      <c r="D32" s="48"/>
      <c r="E32" s="214"/>
      <c r="F32" s="17"/>
      <c r="G32" s="214"/>
      <c r="H32" s="2"/>
      <c r="I32" s="42"/>
    </row>
    <row r="33" spans="1:9" x14ac:dyDescent="0.25">
      <c r="A33" s="311"/>
      <c r="B33" s="311"/>
      <c r="C33" s="312"/>
      <c r="D33" s="47"/>
      <c r="E33" s="303"/>
      <c r="F33" s="303"/>
      <c r="G33" s="214"/>
      <c r="H33" s="2"/>
      <c r="I33" s="42"/>
    </row>
    <row r="34" spans="1:9" x14ac:dyDescent="0.25">
      <c r="A34" s="199"/>
      <c r="B34" s="259"/>
      <c r="C34" s="28"/>
      <c r="D34" s="18"/>
      <c r="E34" s="279"/>
      <c r="F34" s="277"/>
      <c r="G34" s="214"/>
      <c r="H34" s="2"/>
      <c r="I34" s="42"/>
    </row>
    <row r="35" spans="1:9" ht="15.75" x14ac:dyDescent="0.25">
      <c r="A35" s="309"/>
      <c r="B35" s="309"/>
      <c r="C35" s="310"/>
      <c r="D35" s="47"/>
      <c r="E35" s="279"/>
      <c r="F35" s="277"/>
      <c r="G35" s="215"/>
      <c r="H35" s="2"/>
      <c r="I35" s="42"/>
    </row>
    <row r="36" spans="1:9" ht="15.75" x14ac:dyDescent="0.25">
      <c r="A36" s="45"/>
      <c r="B36" s="46"/>
      <c r="C36" s="28"/>
      <c r="D36" s="47"/>
      <c r="E36" s="47"/>
      <c r="F36" s="17"/>
      <c r="G36" s="48"/>
      <c r="H36" s="48"/>
      <c r="I36" s="42"/>
    </row>
    <row r="37" spans="1:9" ht="15.75" thickBot="1" x14ac:dyDescent="0.3">
      <c r="A37" s="49"/>
      <c r="B37" s="3"/>
      <c r="C37" s="4"/>
      <c r="D37" s="4"/>
      <c r="E37" s="5"/>
      <c r="F37" s="6"/>
      <c r="G37" s="4"/>
      <c r="H37" s="4"/>
      <c r="I37" s="7"/>
    </row>
    <row r="38" spans="1:9" ht="15.75" thickBot="1" x14ac:dyDescent="0.3">
      <c r="A38" s="50"/>
      <c r="B38" s="51"/>
      <c r="C38" s="52"/>
      <c r="D38" s="53" t="s">
        <v>13</v>
      </c>
      <c r="E38" s="54" t="s">
        <v>17</v>
      </c>
      <c r="F38" s="55"/>
      <c r="G38" s="52"/>
      <c r="H38" s="52"/>
      <c r="I38" s="56"/>
    </row>
    <row r="39" spans="1:9" x14ac:dyDescent="0.25">
      <c r="A39" s="505" t="s">
        <v>18</v>
      </c>
      <c r="B39" s="506"/>
      <c r="C39" s="507"/>
      <c r="D39" s="200">
        <v>23524</v>
      </c>
      <c r="E39" s="278" t="s">
        <v>16</v>
      </c>
      <c r="F39" s="508" t="s">
        <v>84</v>
      </c>
      <c r="G39" s="508"/>
      <c r="H39" s="509"/>
      <c r="I39" s="510"/>
    </row>
    <row r="40" spans="1:9" x14ac:dyDescent="0.25">
      <c r="A40" s="488" t="s">
        <v>19</v>
      </c>
      <c r="B40" s="489"/>
      <c r="C40" s="490"/>
      <c r="D40" s="313">
        <v>0.14583333333333334</v>
      </c>
      <c r="E40" s="277" t="s">
        <v>242</v>
      </c>
      <c r="F40" s="491" t="s">
        <v>86</v>
      </c>
      <c r="G40" s="491"/>
      <c r="H40" s="492"/>
      <c r="I40" s="493"/>
    </row>
    <row r="41" spans="1:9" x14ac:dyDescent="0.25">
      <c r="A41" s="488" t="s">
        <v>20</v>
      </c>
      <c r="B41" s="489"/>
      <c r="C41" s="490"/>
      <c r="D41" s="279">
        <v>1</v>
      </c>
      <c r="E41" s="277" t="s">
        <v>167</v>
      </c>
      <c r="F41" s="491" t="s">
        <v>88</v>
      </c>
      <c r="G41" s="491"/>
      <c r="H41" s="492"/>
      <c r="I41" s="493"/>
    </row>
    <row r="42" spans="1:9" x14ac:dyDescent="0.25">
      <c r="A42" s="488" t="s">
        <v>21</v>
      </c>
      <c r="B42" s="489"/>
      <c r="C42" s="490"/>
      <c r="D42" s="279">
        <v>23524</v>
      </c>
      <c r="E42" s="277" t="s">
        <v>16</v>
      </c>
      <c r="F42" s="494" t="s">
        <v>89</v>
      </c>
      <c r="G42" s="495"/>
      <c r="H42" s="601"/>
      <c r="I42" s="602"/>
    </row>
    <row r="43" spans="1:9" ht="15.75" thickBot="1" x14ac:dyDescent="0.3">
      <c r="A43" s="498" t="s">
        <v>22</v>
      </c>
      <c r="B43" s="499"/>
      <c r="C43" s="500"/>
      <c r="D43" s="314">
        <v>0</v>
      </c>
      <c r="E43" s="315" t="s">
        <v>16</v>
      </c>
      <c r="F43" s="501"/>
      <c r="G43" s="501"/>
      <c r="H43" s="492"/>
      <c r="I43" s="493"/>
    </row>
    <row r="44" spans="1:9" ht="15.75" thickBot="1" x14ac:dyDescent="0.3">
      <c r="A44" s="502" t="s">
        <v>23</v>
      </c>
      <c r="B44" s="503"/>
      <c r="C44" s="503"/>
      <c r="D44" s="503"/>
      <c r="E44" s="503"/>
      <c r="F44" s="503"/>
      <c r="G44" s="503"/>
      <c r="H44" s="503"/>
      <c r="I44" s="504"/>
    </row>
    <row r="45" spans="1:9" ht="15.75" x14ac:dyDescent="0.25">
      <c r="A45" s="603" t="s">
        <v>243</v>
      </c>
      <c r="B45" s="604"/>
      <c r="C45" s="604"/>
      <c r="D45" s="604"/>
      <c r="E45" s="604"/>
      <c r="F45" s="604"/>
      <c r="G45" s="604"/>
      <c r="H45" s="604"/>
      <c r="I45" s="605"/>
    </row>
    <row r="46" spans="1:9" ht="15.75" x14ac:dyDescent="0.25">
      <c r="A46" s="597" t="s">
        <v>244</v>
      </c>
      <c r="B46" s="598"/>
      <c r="C46" s="599"/>
      <c r="D46" s="599"/>
      <c r="E46" s="599"/>
      <c r="F46" s="599"/>
      <c r="G46" s="599"/>
      <c r="H46" s="599"/>
      <c r="I46" s="600"/>
    </row>
    <row r="47" spans="1:9" ht="16.5" thickBot="1" x14ac:dyDescent="0.3">
      <c r="A47" s="610" t="s">
        <v>245</v>
      </c>
      <c r="B47" s="611"/>
      <c r="C47" s="611"/>
      <c r="D47" s="611"/>
      <c r="E47" s="611"/>
      <c r="F47" s="611"/>
      <c r="G47" s="611"/>
      <c r="H47" s="611"/>
      <c r="I47" s="612"/>
    </row>
    <row r="48" spans="1:9" ht="15.75" x14ac:dyDescent="0.25">
      <c r="A48" s="597"/>
      <c r="B48" s="598"/>
      <c r="C48" s="599"/>
      <c r="D48" s="599"/>
      <c r="E48" s="599"/>
      <c r="F48" s="599"/>
      <c r="G48" s="599"/>
      <c r="H48" s="599"/>
      <c r="I48" s="600"/>
    </row>
    <row r="49" spans="1:9" ht="15.75" x14ac:dyDescent="0.25">
      <c r="A49" s="597"/>
      <c r="B49" s="598"/>
      <c r="C49" s="599"/>
      <c r="D49" s="599"/>
      <c r="E49" s="599"/>
      <c r="F49" s="599"/>
      <c r="G49" s="599"/>
      <c r="H49" s="599"/>
      <c r="I49" s="600"/>
    </row>
    <row r="50" spans="1:9" ht="15.75" thickBot="1" x14ac:dyDescent="0.3">
      <c r="A50" s="613"/>
      <c r="B50" s="614"/>
      <c r="C50" s="615"/>
      <c r="D50" s="615"/>
      <c r="E50" s="615"/>
      <c r="F50" s="615"/>
      <c r="G50" s="615"/>
      <c r="H50" s="615"/>
      <c r="I50" s="616"/>
    </row>
    <row r="51" spans="1:9" ht="15.75" x14ac:dyDescent="0.25">
      <c r="A51" s="617"/>
      <c r="B51" s="618"/>
      <c r="C51" s="618"/>
      <c r="D51" s="618"/>
      <c r="E51" s="618"/>
      <c r="F51" s="618"/>
      <c r="G51" s="618"/>
      <c r="H51" s="618"/>
      <c r="I51" s="619"/>
    </row>
    <row r="52" spans="1:9" ht="15.75" thickBot="1" x14ac:dyDescent="0.3">
      <c r="A52" s="463"/>
      <c r="B52" s="464"/>
      <c r="C52" s="464"/>
      <c r="D52" s="464"/>
      <c r="E52" s="464"/>
      <c r="F52" s="464"/>
      <c r="G52" s="464"/>
      <c r="H52" s="464"/>
      <c r="I52" s="465"/>
    </row>
    <row r="53" spans="1:9" x14ac:dyDescent="0.25">
      <c r="A53" s="606" t="s">
        <v>24</v>
      </c>
      <c r="B53" s="607"/>
      <c r="C53" s="607"/>
      <c r="D53" s="607"/>
      <c r="E53" s="607"/>
      <c r="F53" s="607"/>
      <c r="G53" s="607"/>
      <c r="H53" s="607"/>
      <c r="I53" s="607"/>
    </row>
    <row r="54" spans="1:9" x14ac:dyDescent="0.25">
      <c r="A54" s="608"/>
      <c r="B54" s="609"/>
      <c r="C54" s="609"/>
      <c r="D54" s="609"/>
      <c r="E54" s="609"/>
      <c r="F54" s="609"/>
      <c r="G54" s="609"/>
      <c r="H54" s="609"/>
      <c r="I54" s="609"/>
    </row>
    <row r="55" spans="1:9" x14ac:dyDescent="0.25">
      <c r="A55" s="608"/>
      <c r="B55" s="609"/>
      <c r="C55" s="609"/>
      <c r="D55" s="609"/>
      <c r="E55" s="609"/>
      <c r="F55" s="609"/>
      <c r="G55" s="609"/>
      <c r="H55" s="609"/>
      <c r="I55" s="609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7B9F-538A-4027-AEDF-FDF5B73BF6E2}">
  <dimension ref="A1:Q91"/>
  <sheetViews>
    <sheetView topLeftCell="A5" workbookViewId="0">
      <selection activeCell="E47" sqref="E47"/>
    </sheetView>
  </sheetViews>
  <sheetFormatPr baseColWidth="10" defaultColWidth="8.42578125" defaultRowHeight="12.75" x14ac:dyDescent="0.25"/>
  <cols>
    <col min="1" max="1" width="10" style="65" bestFit="1" customWidth="1"/>
    <col min="2" max="2" width="44.28515625" style="65" bestFit="1" customWidth="1"/>
    <col min="3" max="3" width="10.42578125" style="65" bestFit="1" customWidth="1"/>
    <col min="4" max="4" width="10.42578125" style="65" customWidth="1"/>
    <col min="5" max="5" width="9.7109375" style="65" bestFit="1" customWidth="1"/>
    <col min="6" max="6" width="9.5703125" style="65" bestFit="1" customWidth="1"/>
    <col min="7" max="7" width="9.5703125" style="147" bestFit="1" customWidth="1"/>
    <col min="8" max="8" width="10.42578125" style="138" bestFit="1" customWidth="1"/>
    <col min="9" max="9" width="4.5703125" style="138" customWidth="1"/>
    <col min="10" max="10" width="1.85546875" style="64" customWidth="1"/>
    <col min="11" max="11" width="7" style="65" bestFit="1" customWidth="1"/>
    <col min="12" max="12" width="6.285156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28515625" style="65" customWidth="1"/>
    <col min="18" max="256" width="8.42578125" style="65"/>
    <col min="257" max="257" width="10" style="65" bestFit="1" customWidth="1"/>
    <col min="258" max="258" width="44.28515625" style="65" bestFit="1" customWidth="1"/>
    <col min="259" max="259" width="10.42578125" style="65" bestFit="1" customWidth="1"/>
    <col min="260" max="260" width="10.42578125" style="65" customWidth="1"/>
    <col min="261" max="261" width="9.7109375" style="65" bestFit="1" customWidth="1"/>
    <col min="262" max="263" width="9.5703125" style="65" bestFit="1" customWidth="1"/>
    <col min="264" max="264" width="10.42578125" style="65" bestFit="1" customWidth="1"/>
    <col min="265" max="265" width="4.5703125" style="65" customWidth="1"/>
    <col min="266" max="266" width="1.85546875" style="65" customWidth="1"/>
    <col min="267" max="267" width="7" style="65" bestFit="1" customWidth="1"/>
    <col min="268" max="268" width="6.28515625" style="65" customWidth="1"/>
    <col min="269" max="269" width="20.42578125" style="65" customWidth="1"/>
    <col min="270" max="270" width="6.42578125" style="65" bestFit="1" customWidth="1"/>
    <col min="271" max="272" width="8.42578125" style="65"/>
    <col min="273" max="273" width="3.28515625" style="65" customWidth="1"/>
    <col min="274" max="512" width="8.42578125" style="65"/>
    <col min="513" max="513" width="10" style="65" bestFit="1" customWidth="1"/>
    <col min="514" max="514" width="44.28515625" style="65" bestFit="1" customWidth="1"/>
    <col min="515" max="515" width="10.42578125" style="65" bestFit="1" customWidth="1"/>
    <col min="516" max="516" width="10.42578125" style="65" customWidth="1"/>
    <col min="517" max="517" width="9.7109375" style="65" bestFit="1" customWidth="1"/>
    <col min="518" max="519" width="9.5703125" style="65" bestFit="1" customWidth="1"/>
    <col min="520" max="520" width="10.42578125" style="65" bestFit="1" customWidth="1"/>
    <col min="521" max="521" width="4.5703125" style="65" customWidth="1"/>
    <col min="522" max="522" width="1.85546875" style="65" customWidth="1"/>
    <col min="523" max="523" width="7" style="65" bestFit="1" customWidth="1"/>
    <col min="524" max="524" width="6.28515625" style="65" customWidth="1"/>
    <col min="525" max="525" width="20.42578125" style="65" customWidth="1"/>
    <col min="526" max="526" width="6.42578125" style="65" bestFit="1" customWidth="1"/>
    <col min="527" max="528" width="8.42578125" style="65"/>
    <col min="529" max="529" width="3.28515625" style="65" customWidth="1"/>
    <col min="530" max="768" width="8.42578125" style="65"/>
    <col min="769" max="769" width="10" style="65" bestFit="1" customWidth="1"/>
    <col min="770" max="770" width="44.28515625" style="65" bestFit="1" customWidth="1"/>
    <col min="771" max="771" width="10.42578125" style="65" bestFit="1" customWidth="1"/>
    <col min="772" max="772" width="10.42578125" style="65" customWidth="1"/>
    <col min="773" max="773" width="9.7109375" style="65" bestFit="1" customWidth="1"/>
    <col min="774" max="775" width="9.5703125" style="65" bestFit="1" customWidth="1"/>
    <col min="776" max="776" width="10.42578125" style="65" bestFit="1" customWidth="1"/>
    <col min="777" max="777" width="4.5703125" style="65" customWidth="1"/>
    <col min="778" max="778" width="1.85546875" style="65" customWidth="1"/>
    <col min="779" max="779" width="7" style="65" bestFit="1" customWidth="1"/>
    <col min="780" max="780" width="6.28515625" style="65" customWidth="1"/>
    <col min="781" max="781" width="20.42578125" style="65" customWidth="1"/>
    <col min="782" max="782" width="6.42578125" style="65" bestFit="1" customWidth="1"/>
    <col min="783" max="784" width="8.42578125" style="65"/>
    <col min="785" max="785" width="3.28515625" style="65" customWidth="1"/>
    <col min="786" max="1024" width="8.42578125" style="65"/>
    <col min="1025" max="1025" width="10" style="65" bestFit="1" customWidth="1"/>
    <col min="1026" max="1026" width="44.28515625" style="65" bestFit="1" customWidth="1"/>
    <col min="1027" max="1027" width="10.42578125" style="65" bestFit="1" customWidth="1"/>
    <col min="1028" max="1028" width="10.42578125" style="65" customWidth="1"/>
    <col min="1029" max="1029" width="9.7109375" style="65" bestFit="1" customWidth="1"/>
    <col min="1030" max="1031" width="9.5703125" style="65" bestFit="1" customWidth="1"/>
    <col min="1032" max="1032" width="10.42578125" style="65" bestFit="1" customWidth="1"/>
    <col min="1033" max="1033" width="4.5703125" style="65" customWidth="1"/>
    <col min="1034" max="1034" width="1.85546875" style="65" customWidth="1"/>
    <col min="1035" max="1035" width="7" style="65" bestFit="1" customWidth="1"/>
    <col min="1036" max="1036" width="6.28515625" style="65" customWidth="1"/>
    <col min="1037" max="1037" width="20.42578125" style="65" customWidth="1"/>
    <col min="1038" max="1038" width="6.42578125" style="65" bestFit="1" customWidth="1"/>
    <col min="1039" max="1040" width="8.42578125" style="65"/>
    <col min="1041" max="1041" width="3.28515625" style="65" customWidth="1"/>
    <col min="1042" max="1280" width="8.42578125" style="65"/>
    <col min="1281" max="1281" width="10" style="65" bestFit="1" customWidth="1"/>
    <col min="1282" max="1282" width="44.28515625" style="65" bestFit="1" customWidth="1"/>
    <col min="1283" max="1283" width="10.42578125" style="65" bestFit="1" customWidth="1"/>
    <col min="1284" max="1284" width="10.42578125" style="65" customWidth="1"/>
    <col min="1285" max="1285" width="9.7109375" style="65" bestFit="1" customWidth="1"/>
    <col min="1286" max="1287" width="9.5703125" style="65" bestFit="1" customWidth="1"/>
    <col min="1288" max="1288" width="10.42578125" style="65" bestFit="1" customWidth="1"/>
    <col min="1289" max="1289" width="4.5703125" style="65" customWidth="1"/>
    <col min="1290" max="1290" width="1.85546875" style="65" customWidth="1"/>
    <col min="1291" max="1291" width="7" style="65" bestFit="1" customWidth="1"/>
    <col min="1292" max="1292" width="6.28515625" style="65" customWidth="1"/>
    <col min="1293" max="1293" width="20.42578125" style="65" customWidth="1"/>
    <col min="1294" max="1294" width="6.42578125" style="65" bestFit="1" customWidth="1"/>
    <col min="1295" max="1296" width="8.42578125" style="65"/>
    <col min="1297" max="1297" width="3.28515625" style="65" customWidth="1"/>
    <col min="1298" max="1536" width="8.42578125" style="65"/>
    <col min="1537" max="1537" width="10" style="65" bestFit="1" customWidth="1"/>
    <col min="1538" max="1538" width="44.28515625" style="65" bestFit="1" customWidth="1"/>
    <col min="1539" max="1539" width="10.42578125" style="65" bestFit="1" customWidth="1"/>
    <col min="1540" max="1540" width="10.42578125" style="65" customWidth="1"/>
    <col min="1541" max="1541" width="9.7109375" style="65" bestFit="1" customWidth="1"/>
    <col min="1542" max="1543" width="9.5703125" style="65" bestFit="1" customWidth="1"/>
    <col min="1544" max="1544" width="10.42578125" style="65" bestFit="1" customWidth="1"/>
    <col min="1545" max="1545" width="4.5703125" style="65" customWidth="1"/>
    <col min="1546" max="1546" width="1.85546875" style="65" customWidth="1"/>
    <col min="1547" max="1547" width="7" style="65" bestFit="1" customWidth="1"/>
    <col min="1548" max="1548" width="6.28515625" style="65" customWidth="1"/>
    <col min="1549" max="1549" width="20.42578125" style="65" customWidth="1"/>
    <col min="1550" max="1550" width="6.42578125" style="65" bestFit="1" customWidth="1"/>
    <col min="1551" max="1552" width="8.42578125" style="65"/>
    <col min="1553" max="1553" width="3.28515625" style="65" customWidth="1"/>
    <col min="1554" max="1792" width="8.42578125" style="65"/>
    <col min="1793" max="1793" width="10" style="65" bestFit="1" customWidth="1"/>
    <col min="1794" max="1794" width="44.28515625" style="65" bestFit="1" customWidth="1"/>
    <col min="1795" max="1795" width="10.42578125" style="65" bestFit="1" customWidth="1"/>
    <col min="1796" max="1796" width="10.42578125" style="65" customWidth="1"/>
    <col min="1797" max="1797" width="9.7109375" style="65" bestFit="1" customWidth="1"/>
    <col min="1798" max="1799" width="9.5703125" style="65" bestFit="1" customWidth="1"/>
    <col min="1800" max="1800" width="10.42578125" style="65" bestFit="1" customWidth="1"/>
    <col min="1801" max="1801" width="4.5703125" style="65" customWidth="1"/>
    <col min="1802" max="1802" width="1.85546875" style="65" customWidth="1"/>
    <col min="1803" max="1803" width="7" style="65" bestFit="1" customWidth="1"/>
    <col min="1804" max="1804" width="6.28515625" style="65" customWidth="1"/>
    <col min="1805" max="1805" width="20.42578125" style="65" customWidth="1"/>
    <col min="1806" max="1806" width="6.42578125" style="65" bestFit="1" customWidth="1"/>
    <col min="1807" max="1808" width="8.42578125" style="65"/>
    <col min="1809" max="1809" width="3.28515625" style="65" customWidth="1"/>
    <col min="1810" max="2048" width="8.42578125" style="65"/>
    <col min="2049" max="2049" width="10" style="65" bestFit="1" customWidth="1"/>
    <col min="2050" max="2050" width="44.28515625" style="65" bestFit="1" customWidth="1"/>
    <col min="2051" max="2051" width="10.42578125" style="65" bestFit="1" customWidth="1"/>
    <col min="2052" max="2052" width="10.42578125" style="65" customWidth="1"/>
    <col min="2053" max="2053" width="9.7109375" style="65" bestFit="1" customWidth="1"/>
    <col min="2054" max="2055" width="9.5703125" style="65" bestFit="1" customWidth="1"/>
    <col min="2056" max="2056" width="10.42578125" style="65" bestFit="1" customWidth="1"/>
    <col min="2057" max="2057" width="4.5703125" style="65" customWidth="1"/>
    <col min="2058" max="2058" width="1.85546875" style="65" customWidth="1"/>
    <col min="2059" max="2059" width="7" style="65" bestFit="1" customWidth="1"/>
    <col min="2060" max="2060" width="6.28515625" style="65" customWidth="1"/>
    <col min="2061" max="2061" width="20.42578125" style="65" customWidth="1"/>
    <col min="2062" max="2062" width="6.42578125" style="65" bestFit="1" customWidth="1"/>
    <col min="2063" max="2064" width="8.42578125" style="65"/>
    <col min="2065" max="2065" width="3.28515625" style="65" customWidth="1"/>
    <col min="2066" max="2304" width="8.42578125" style="65"/>
    <col min="2305" max="2305" width="10" style="65" bestFit="1" customWidth="1"/>
    <col min="2306" max="2306" width="44.28515625" style="65" bestFit="1" customWidth="1"/>
    <col min="2307" max="2307" width="10.42578125" style="65" bestFit="1" customWidth="1"/>
    <col min="2308" max="2308" width="10.42578125" style="65" customWidth="1"/>
    <col min="2309" max="2309" width="9.7109375" style="65" bestFit="1" customWidth="1"/>
    <col min="2310" max="2311" width="9.5703125" style="65" bestFit="1" customWidth="1"/>
    <col min="2312" max="2312" width="10.42578125" style="65" bestFit="1" customWidth="1"/>
    <col min="2313" max="2313" width="4.5703125" style="65" customWidth="1"/>
    <col min="2314" max="2314" width="1.85546875" style="65" customWidth="1"/>
    <col min="2315" max="2315" width="7" style="65" bestFit="1" customWidth="1"/>
    <col min="2316" max="2316" width="6.28515625" style="65" customWidth="1"/>
    <col min="2317" max="2317" width="20.42578125" style="65" customWidth="1"/>
    <col min="2318" max="2318" width="6.42578125" style="65" bestFit="1" customWidth="1"/>
    <col min="2319" max="2320" width="8.42578125" style="65"/>
    <col min="2321" max="2321" width="3.28515625" style="65" customWidth="1"/>
    <col min="2322" max="2560" width="8.42578125" style="65"/>
    <col min="2561" max="2561" width="10" style="65" bestFit="1" customWidth="1"/>
    <col min="2562" max="2562" width="44.28515625" style="65" bestFit="1" customWidth="1"/>
    <col min="2563" max="2563" width="10.42578125" style="65" bestFit="1" customWidth="1"/>
    <col min="2564" max="2564" width="10.42578125" style="65" customWidth="1"/>
    <col min="2565" max="2565" width="9.7109375" style="65" bestFit="1" customWidth="1"/>
    <col min="2566" max="2567" width="9.5703125" style="65" bestFit="1" customWidth="1"/>
    <col min="2568" max="2568" width="10.42578125" style="65" bestFit="1" customWidth="1"/>
    <col min="2569" max="2569" width="4.5703125" style="65" customWidth="1"/>
    <col min="2570" max="2570" width="1.85546875" style="65" customWidth="1"/>
    <col min="2571" max="2571" width="7" style="65" bestFit="1" customWidth="1"/>
    <col min="2572" max="2572" width="6.28515625" style="65" customWidth="1"/>
    <col min="2573" max="2573" width="20.42578125" style="65" customWidth="1"/>
    <col min="2574" max="2574" width="6.42578125" style="65" bestFit="1" customWidth="1"/>
    <col min="2575" max="2576" width="8.42578125" style="65"/>
    <col min="2577" max="2577" width="3.28515625" style="65" customWidth="1"/>
    <col min="2578" max="2816" width="8.42578125" style="65"/>
    <col min="2817" max="2817" width="10" style="65" bestFit="1" customWidth="1"/>
    <col min="2818" max="2818" width="44.28515625" style="65" bestFit="1" customWidth="1"/>
    <col min="2819" max="2819" width="10.42578125" style="65" bestFit="1" customWidth="1"/>
    <col min="2820" max="2820" width="10.42578125" style="65" customWidth="1"/>
    <col min="2821" max="2821" width="9.7109375" style="65" bestFit="1" customWidth="1"/>
    <col min="2822" max="2823" width="9.5703125" style="65" bestFit="1" customWidth="1"/>
    <col min="2824" max="2824" width="10.42578125" style="65" bestFit="1" customWidth="1"/>
    <col min="2825" max="2825" width="4.5703125" style="65" customWidth="1"/>
    <col min="2826" max="2826" width="1.85546875" style="65" customWidth="1"/>
    <col min="2827" max="2827" width="7" style="65" bestFit="1" customWidth="1"/>
    <col min="2828" max="2828" width="6.28515625" style="65" customWidth="1"/>
    <col min="2829" max="2829" width="20.42578125" style="65" customWidth="1"/>
    <col min="2830" max="2830" width="6.42578125" style="65" bestFit="1" customWidth="1"/>
    <col min="2831" max="2832" width="8.42578125" style="65"/>
    <col min="2833" max="2833" width="3.28515625" style="65" customWidth="1"/>
    <col min="2834" max="3072" width="8.42578125" style="65"/>
    <col min="3073" max="3073" width="10" style="65" bestFit="1" customWidth="1"/>
    <col min="3074" max="3074" width="44.28515625" style="65" bestFit="1" customWidth="1"/>
    <col min="3075" max="3075" width="10.42578125" style="65" bestFit="1" customWidth="1"/>
    <col min="3076" max="3076" width="10.42578125" style="65" customWidth="1"/>
    <col min="3077" max="3077" width="9.7109375" style="65" bestFit="1" customWidth="1"/>
    <col min="3078" max="3079" width="9.5703125" style="65" bestFit="1" customWidth="1"/>
    <col min="3080" max="3080" width="10.42578125" style="65" bestFit="1" customWidth="1"/>
    <col min="3081" max="3081" width="4.5703125" style="65" customWidth="1"/>
    <col min="3082" max="3082" width="1.85546875" style="65" customWidth="1"/>
    <col min="3083" max="3083" width="7" style="65" bestFit="1" customWidth="1"/>
    <col min="3084" max="3084" width="6.28515625" style="65" customWidth="1"/>
    <col min="3085" max="3085" width="20.42578125" style="65" customWidth="1"/>
    <col min="3086" max="3086" width="6.42578125" style="65" bestFit="1" customWidth="1"/>
    <col min="3087" max="3088" width="8.42578125" style="65"/>
    <col min="3089" max="3089" width="3.28515625" style="65" customWidth="1"/>
    <col min="3090" max="3328" width="8.42578125" style="65"/>
    <col min="3329" max="3329" width="10" style="65" bestFit="1" customWidth="1"/>
    <col min="3330" max="3330" width="44.28515625" style="65" bestFit="1" customWidth="1"/>
    <col min="3331" max="3331" width="10.42578125" style="65" bestFit="1" customWidth="1"/>
    <col min="3332" max="3332" width="10.42578125" style="65" customWidth="1"/>
    <col min="3333" max="3333" width="9.7109375" style="65" bestFit="1" customWidth="1"/>
    <col min="3334" max="3335" width="9.5703125" style="65" bestFit="1" customWidth="1"/>
    <col min="3336" max="3336" width="10.42578125" style="65" bestFit="1" customWidth="1"/>
    <col min="3337" max="3337" width="4.5703125" style="65" customWidth="1"/>
    <col min="3338" max="3338" width="1.85546875" style="65" customWidth="1"/>
    <col min="3339" max="3339" width="7" style="65" bestFit="1" customWidth="1"/>
    <col min="3340" max="3340" width="6.28515625" style="65" customWidth="1"/>
    <col min="3341" max="3341" width="20.42578125" style="65" customWidth="1"/>
    <col min="3342" max="3342" width="6.42578125" style="65" bestFit="1" customWidth="1"/>
    <col min="3343" max="3344" width="8.42578125" style="65"/>
    <col min="3345" max="3345" width="3.28515625" style="65" customWidth="1"/>
    <col min="3346" max="3584" width="8.42578125" style="65"/>
    <col min="3585" max="3585" width="10" style="65" bestFit="1" customWidth="1"/>
    <col min="3586" max="3586" width="44.28515625" style="65" bestFit="1" customWidth="1"/>
    <col min="3587" max="3587" width="10.42578125" style="65" bestFit="1" customWidth="1"/>
    <col min="3588" max="3588" width="10.42578125" style="65" customWidth="1"/>
    <col min="3589" max="3589" width="9.7109375" style="65" bestFit="1" customWidth="1"/>
    <col min="3590" max="3591" width="9.5703125" style="65" bestFit="1" customWidth="1"/>
    <col min="3592" max="3592" width="10.42578125" style="65" bestFit="1" customWidth="1"/>
    <col min="3593" max="3593" width="4.5703125" style="65" customWidth="1"/>
    <col min="3594" max="3594" width="1.85546875" style="65" customWidth="1"/>
    <col min="3595" max="3595" width="7" style="65" bestFit="1" customWidth="1"/>
    <col min="3596" max="3596" width="6.28515625" style="65" customWidth="1"/>
    <col min="3597" max="3597" width="20.42578125" style="65" customWidth="1"/>
    <col min="3598" max="3598" width="6.42578125" style="65" bestFit="1" customWidth="1"/>
    <col min="3599" max="3600" width="8.42578125" style="65"/>
    <col min="3601" max="3601" width="3.28515625" style="65" customWidth="1"/>
    <col min="3602" max="3840" width="8.42578125" style="65"/>
    <col min="3841" max="3841" width="10" style="65" bestFit="1" customWidth="1"/>
    <col min="3842" max="3842" width="44.28515625" style="65" bestFit="1" customWidth="1"/>
    <col min="3843" max="3843" width="10.42578125" style="65" bestFit="1" customWidth="1"/>
    <col min="3844" max="3844" width="10.42578125" style="65" customWidth="1"/>
    <col min="3845" max="3845" width="9.7109375" style="65" bestFit="1" customWidth="1"/>
    <col min="3846" max="3847" width="9.5703125" style="65" bestFit="1" customWidth="1"/>
    <col min="3848" max="3848" width="10.42578125" style="65" bestFit="1" customWidth="1"/>
    <col min="3849" max="3849" width="4.5703125" style="65" customWidth="1"/>
    <col min="3850" max="3850" width="1.85546875" style="65" customWidth="1"/>
    <col min="3851" max="3851" width="7" style="65" bestFit="1" customWidth="1"/>
    <col min="3852" max="3852" width="6.28515625" style="65" customWidth="1"/>
    <col min="3853" max="3853" width="20.42578125" style="65" customWidth="1"/>
    <col min="3854" max="3854" width="6.42578125" style="65" bestFit="1" customWidth="1"/>
    <col min="3855" max="3856" width="8.42578125" style="65"/>
    <col min="3857" max="3857" width="3.28515625" style="65" customWidth="1"/>
    <col min="3858" max="4096" width="8.42578125" style="65"/>
    <col min="4097" max="4097" width="10" style="65" bestFit="1" customWidth="1"/>
    <col min="4098" max="4098" width="44.28515625" style="65" bestFit="1" customWidth="1"/>
    <col min="4099" max="4099" width="10.42578125" style="65" bestFit="1" customWidth="1"/>
    <col min="4100" max="4100" width="10.42578125" style="65" customWidth="1"/>
    <col min="4101" max="4101" width="9.7109375" style="65" bestFit="1" customWidth="1"/>
    <col min="4102" max="4103" width="9.5703125" style="65" bestFit="1" customWidth="1"/>
    <col min="4104" max="4104" width="10.42578125" style="65" bestFit="1" customWidth="1"/>
    <col min="4105" max="4105" width="4.5703125" style="65" customWidth="1"/>
    <col min="4106" max="4106" width="1.85546875" style="65" customWidth="1"/>
    <col min="4107" max="4107" width="7" style="65" bestFit="1" customWidth="1"/>
    <col min="4108" max="4108" width="6.28515625" style="65" customWidth="1"/>
    <col min="4109" max="4109" width="20.42578125" style="65" customWidth="1"/>
    <col min="4110" max="4110" width="6.42578125" style="65" bestFit="1" customWidth="1"/>
    <col min="4111" max="4112" width="8.42578125" style="65"/>
    <col min="4113" max="4113" width="3.28515625" style="65" customWidth="1"/>
    <col min="4114" max="4352" width="8.42578125" style="65"/>
    <col min="4353" max="4353" width="10" style="65" bestFit="1" customWidth="1"/>
    <col min="4354" max="4354" width="44.28515625" style="65" bestFit="1" customWidth="1"/>
    <col min="4355" max="4355" width="10.42578125" style="65" bestFit="1" customWidth="1"/>
    <col min="4356" max="4356" width="10.42578125" style="65" customWidth="1"/>
    <col min="4357" max="4357" width="9.7109375" style="65" bestFit="1" customWidth="1"/>
    <col min="4358" max="4359" width="9.5703125" style="65" bestFit="1" customWidth="1"/>
    <col min="4360" max="4360" width="10.42578125" style="65" bestFit="1" customWidth="1"/>
    <col min="4361" max="4361" width="4.5703125" style="65" customWidth="1"/>
    <col min="4362" max="4362" width="1.85546875" style="65" customWidth="1"/>
    <col min="4363" max="4363" width="7" style="65" bestFit="1" customWidth="1"/>
    <col min="4364" max="4364" width="6.28515625" style="65" customWidth="1"/>
    <col min="4365" max="4365" width="20.42578125" style="65" customWidth="1"/>
    <col min="4366" max="4366" width="6.42578125" style="65" bestFit="1" customWidth="1"/>
    <col min="4367" max="4368" width="8.42578125" style="65"/>
    <col min="4369" max="4369" width="3.28515625" style="65" customWidth="1"/>
    <col min="4370" max="4608" width="8.42578125" style="65"/>
    <col min="4609" max="4609" width="10" style="65" bestFit="1" customWidth="1"/>
    <col min="4610" max="4610" width="44.28515625" style="65" bestFit="1" customWidth="1"/>
    <col min="4611" max="4611" width="10.42578125" style="65" bestFit="1" customWidth="1"/>
    <col min="4612" max="4612" width="10.42578125" style="65" customWidth="1"/>
    <col min="4613" max="4613" width="9.7109375" style="65" bestFit="1" customWidth="1"/>
    <col min="4614" max="4615" width="9.5703125" style="65" bestFit="1" customWidth="1"/>
    <col min="4616" max="4616" width="10.42578125" style="65" bestFit="1" customWidth="1"/>
    <col min="4617" max="4617" width="4.5703125" style="65" customWidth="1"/>
    <col min="4618" max="4618" width="1.85546875" style="65" customWidth="1"/>
    <col min="4619" max="4619" width="7" style="65" bestFit="1" customWidth="1"/>
    <col min="4620" max="4620" width="6.28515625" style="65" customWidth="1"/>
    <col min="4621" max="4621" width="20.42578125" style="65" customWidth="1"/>
    <col min="4622" max="4622" width="6.42578125" style="65" bestFit="1" customWidth="1"/>
    <col min="4623" max="4624" width="8.42578125" style="65"/>
    <col min="4625" max="4625" width="3.28515625" style="65" customWidth="1"/>
    <col min="4626" max="4864" width="8.42578125" style="65"/>
    <col min="4865" max="4865" width="10" style="65" bestFit="1" customWidth="1"/>
    <col min="4866" max="4866" width="44.28515625" style="65" bestFit="1" customWidth="1"/>
    <col min="4867" max="4867" width="10.42578125" style="65" bestFit="1" customWidth="1"/>
    <col min="4868" max="4868" width="10.42578125" style="65" customWidth="1"/>
    <col min="4869" max="4869" width="9.7109375" style="65" bestFit="1" customWidth="1"/>
    <col min="4870" max="4871" width="9.5703125" style="65" bestFit="1" customWidth="1"/>
    <col min="4872" max="4872" width="10.42578125" style="65" bestFit="1" customWidth="1"/>
    <col min="4873" max="4873" width="4.5703125" style="65" customWidth="1"/>
    <col min="4874" max="4874" width="1.85546875" style="65" customWidth="1"/>
    <col min="4875" max="4875" width="7" style="65" bestFit="1" customWidth="1"/>
    <col min="4876" max="4876" width="6.28515625" style="65" customWidth="1"/>
    <col min="4877" max="4877" width="20.42578125" style="65" customWidth="1"/>
    <col min="4878" max="4878" width="6.42578125" style="65" bestFit="1" customWidth="1"/>
    <col min="4879" max="4880" width="8.42578125" style="65"/>
    <col min="4881" max="4881" width="3.28515625" style="65" customWidth="1"/>
    <col min="4882" max="5120" width="8.42578125" style="65"/>
    <col min="5121" max="5121" width="10" style="65" bestFit="1" customWidth="1"/>
    <col min="5122" max="5122" width="44.28515625" style="65" bestFit="1" customWidth="1"/>
    <col min="5123" max="5123" width="10.42578125" style="65" bestFit="1" customWidth="1"/>
    <col min="5124" max="5124" width="10.42578125" style="65" customWidth="1"/>
    <col min="5125" max="5125" width="9.7109375" style="65" bestFit="1" customWidth="1"/>
    <col min="5126" max="5127" width="9.5703125" style="65" bestFit="1" customWidth="1"/>
    <col min="5128" max="5128" width="10.42578125" style="65" bestFit="1" customWidth="1"/>
    <col min="5129" max="5129" width="4.5703125" style="65" customWidth="1"/>
    <col min="5130" max="5130" width="1.85546875" style="65" customWidth="1"/>
    <col min="5131" max="5131" width="7" style="65" bestFit="1" customWidth="1"/>
    <col min="5132" max="5132" width="6.28515625" style="65" customWidth="1"/>
    <col min="5133" max="5133" width="20.42578125" style="65" customWidth="1"/>
    <col min="5134" max="5134" width="6.42578125" style="65" bestFit="1" customWidth="1"/>
    <col min="5135" max="5136" width="8.42578125" style="65"/>
    <col min="5137" max="5137" width="3.28515625" style="65" customWidth="1"/>
    <col min="5138" max="5376" width="8.42578125" style="65"/>
    <col min="5377" max="5377" width="10" style="65" bestFit="1" customWidth="1"/>
    <col min="5378" max="5378" width="44.28515625" style="65" bestFit="1" customWidth="1"/>
    <col min="5379" max="5379" width="10.42578125" style="65" bestFit="1" customWidth="1"/>
    <col min="5380" max="5380" width="10.42578125" style="65" customWidth="1"/>
    <col min="5381" max="5381" width="9.7109375" style="65" bestFit="1" customWidth="1"/>
    <col min="5382" max="5383" width="9.5703125" style="65" bestFit="1" customWidth="1"/>
    <col min="5384" max="5384" width="10.42578125" style="65" bestFit="1" customWidth="1"/>
    <col min="5385" max="5385" width="4.5703125" style="65" customWidth="1"/>
    <col min="5386" max="5386" width="1.85546875" style="65" customWidth="1"/>
    <col min="5387" max="5387" width="7" style="65" bestFit="1" customWidth="1"/>
    <col min="5388" max="5388" width="6.28515625" style="65" customWidth="1"/>
    <col min="5389" max="5389" width="20.42578125" style="65" customWidth="1"/>
    <col min="5390" max="5390" width="6.42578125" style="65" bestFit="1" customWidth="1"/>
    <col min="5391" max="5392" width="8.42578125" style="65"/>
    <col min="5393" max="5393" width="3.28515625" style="65" customWidth="1"/>
    <col min="5394" max="5632" width="8.42578125" style="65"/>
    <col min="5633" max="5633" width="10" style="65" bestFit="1" customWidth="1"/>
    <col min="5634" max="5634" width="44.28515625" style="65" bestFit="1" customWidth="1"/>
    <col min="5635" max="5635" width="10.42578125" style="65" bestFit="1" customWidth="1"/>
    <col min="5636" max="5636" width="10.42578125" style="65" customWidth="1"/>
    <col min="5637" max="5637" width="9.7109375" style="65" bestFit="1" customWidth="1"/>
    <col min="5638" max="5639" width="9.5703125" style="65" bestFit="1" customWidth="1"/>
    <col min="5640" max="5640" width="10.42578125" style="65" bestFit="1" customWidth="1"/>
    <col min="5641" max="5641" width="4.5703125" style="65" customWidth="1"/>
    <col min="5642" max="5642" width="1.85546875" style="65" customWidth="1"/>
    <col min="5643" max="5643" width="7" style="65" bestFit="1" customWidth="1"/>
    <col min="5644" max="5644" width="6.28515625" style="65" customWidth="1"/>
    <col min="5645" max="5645" width="20.42578125" style="65" customWidth="1"/>
    <col min="5646" max="5646" width="6.42578125" style="65" bestFit="1" customWidth="1"/>
    <col min="5647" max="5648" width="8.42578125" style="65"/>
    <col min="5649" max="5649" width="3.28515625" style="65" customWidth="1"/>
    <col min="5650" max="5888" width="8.42578125" style="65"/>
    <col min="5889" max="5889" width="10" style="65" bestFit="1" customWidth="1"/>
    <col min="5890" max="5890" width="44.28515625" style="65" bestFit="1" customWidth="1"/>
    <col min="5891" max="5891" width="10.42578125" style="65" bestFit="1" customWidth="1"/>
    <col min="5892" max="5892" width="10.42578125" style="65" customWidth="1"/>
    <col min="5893" max="5893" width="9.7109375" style="65" bestFit="1" customWidth="1"/>
    <col min="5894" max="5895" width="9.5703125" style="65" bestFit="1" customWidth="1"/>
    <col min="5896" max="5896" width="10.42578125" style="65" bestFit="1" customWidth="1"/>
    <col min="5897" max="5897" width="4.5703125" style="65" customWidth="1"/>
    <col min="5898" max="5898" width="1.85546875" style="65" customWidth="1"/>
    <col min="5899" max="5899" width="7" style="65" bestFit="1" customWidth="1"/>
    <col min="5900" max="5900" width="6.28515625" style="65" customWidth="1"/>
    <col min="5901" max="5901" width="20.42578125" style="65" customWidth="1"/>
    <col min="5902" max="5902" width="6.42578125" style="65" bestFit="1" customWidth="1"/>
    <col min="5903" max="5904" width="8.42578125" style="65"/>
    <col min="5905" max="5905" width="3.28515625" style="65" customWidth="1"/>
    <col min="5906" max="6144" width="8.42578125" style="65"/>
    <col min="6145" max="6145" width="10" style="65" bestFit="1" customWidth="1"/>
    <col min="6146" max="6146" width="44.28515625" style="65" bestFit="1" customWidth="1"/>
    <col min="6147" max="6147" width="10.42578125" style="65" bestFit="1" customWidth="1"/>
    <col min="6148" max="6148" width="10.42578125" style="65" customWidth="1"/>
    <col min="6149" max="6149" width="9.7109375" style="65" bestFit="1" customWidth="1"/>
    <col min="6150" max="6151" width="9.5703125" style="65" bestFit="1" customWidth="1"/>
    <col min="6152" max="6152" width="10.42578125" style="65" bestFit="1" customWidth="1"/>
    <col min="6153" max="6153" width="4.5703125" style="65" customWidth="1"/>
    <col min="6154" max="6154" width="1.85546875" style="65" customWidth="1"/>
    <col min="6155" max="6155" width="7" style="65" bestFit="1" customWidth="1"/>
    <col min="6156" max="6156" width="6.28515625" style="65" customWidth="1"/>
    <col min="6157" max="6157" width="20.42578125" style="65" customWidth="1"/>
    <col min="6158" max="6158" width="6.42578125" style="65" bestFit="1" customWidth="1"/>
    <col min="6159" max="6160" width="8.42578125" style="65"/>
    <col min="6161" max="6161" width="3.28515625" style="65" customWidth="1"/>
    <col min="6162" max="6400" width="8.42578125" style="65"/>
    <col min="6401" max="6401" width="10" style="65" bestFit="1" customWidth="1"/>
    <col min="6402" max="6402" width="44.28515625" style="65" bestFit="1" customWidth="1"/>
    <col min="6403" max="6403" width="10.42578125" style="65" bestFit="1" customWidth="1"/>
    <col min="6404" max="6404" width="10.42578125" style="65" customWidth="1"/>
    <col min="6405" max="6405" width="9.7109375" style="65" bestFit="1" customWidth="1"/>
    <col min="6406" max="6407" width="9.5703125" style="65" bestFit="1" customWidth="1"/>
    <col min="6408" max="6408" width="10.42578125" style="65" bestFit="1" customWidth="1"/>
    <col min="6409" max="6409" width="4.5703125" style="65" customWidth="1"/>
    <col min="6410" max="6410" width="1.85546875" style="65" customWidth="1"/>
    <col min="6411" max="6411" width="7" style="65" bestFit="1" customWidth="1"/>
    <col min="6412" max="6412" width="6.28515625" style="65" customWidth="1"/>
    <col min="6413" max="6413" width="20.42578125" style="65" customWidth="1"/>
    <col min="6414" max="6414" width="6.42578125" style="65" bestFit="1" customWidth="1"/>
    <col min="6415" max="6416" width="8.42578125" style="65"/>
    <col min="6417" max="6417" width="3.28515625" style="65" customWidth="1"/>
    <col min="6418" max="6656" width="8.42578125" style="65"/>
    <col min="6657" max="6657" width="10" style="65" bestFit="1" customWidth="1"/>
    <col min="6658" max="6658" width="44.28515625" style="65" bestFit="1" customWidth="1"/>
    <col min="6659" max="6659" width="10.42578125" style="65" bestFit="1" customWidth="1"/>
    <col min="6660" max="6660" width="10.42578125" style="65" customWidth="1"/>
    <col min="6661" max="6661" width="9.7109375" style="65" bestFit="1" customWidth="1"/>
    <col min="6662" max="6663" width="9.5703125" style="65" bestFit="1" customWidth="1"/>
    <col min="6664" max="6664" width="10.42578125" style="65" bestFit="1" customWidth="1"/>
    <col min="6665" max="6665" width="4.5703125" style="65" customWidth="1"/>
    <col min="6666" max="6666" width="1.85546875" style="65" customWidth="1"/>
    <col min="6667" max="6667" width="7" style="65" bestFit="1" customWidth="1"/>
    <col min="6668" max="6668" width="6.28515625" style="65" customWidth="1"/>
    <col min="6669" max="6669" width="20.42578125" style="65" customWidth="1"/>
    <col min="6670" max="6670" width="6.42578125" style="65" bestFit="1" customWidth="1"/>
    <col min="6671" max="6672" width="8.42578125" style="65"/>
    <col min="6673" max="6673" width="3.28515625" style="65" customWidth="1"/>
    <col min="6674" max="6912" width="8.42578125" style="65"/>
    <col min="6913" max="6913" width="10" style="65" bestFit="1" customWidth="1"/>
    <col min="6914" max="6914" width="44.28515625" style="65" bestFit="1" customWidth="1"/>
    <col min="6915" max="6915" width="10.42578125" style="65" bestFit="1" customWidth="1"/>
    <col min="6916" max="6916" width="10.42578125" style="65" customWidth="1"/>
    <col min="6917" max="6917" width="9.7109375" style="65" bestFit="1" customWidth="1"/>
    <col min="6918" max="6919" width="9.5703125" style="65" bestFit="1" customWidth="1"/>
    <col min="6920" max="6920" width="10.42578125" style="65" bestFit="1" customWidth="1"/>
    <col min="6921" max="6921" width="4.5703125" style="65" customWidth="1"/>
    <col min="6922" max="6922" width="1.85546875" style="65" customWidth="1"/>
    <col min="6923" max="6923" width="7" style="65" bestFit="1" customWidth="1"/>
    <col min="6924" max="6924" width="6.28515625" style="65" customWidth="1"/>
    <col min="6925" max="6925" width="20.42578125" style="65" customWidth="1"/>
    <col min="6926" max="6926" width="6.42578125" style="65" bestFit="1" customWidth="1"/>
    <col min="6927" max="6928" width="8.42578125" style="65"/>
    <col min="6929" max="6929" width="3.28515625" style="65" customWidth="1"/>
    <col min="6930" max="7168" width="8.42578125" style="65"/>
    <col min="7169" max="7169" width="10" style="65" bestFit="1" customWidth="1"/>
    <col min="7170" max="7170" width="44.28515625" style="65" bestFit="1" customWidth="1"/>
    <col min="7171" max="7171" width="10.42578125" style="65" bestFit="1" customWidth="1"/>
    <col min="7172" max="7172" width="10.42578125" style="65" customWidth="1"/>
    <col min="7173" max="7173" width="9.7109375" style="65" bestFit="1" customWidth="1"/>
    <col min="7174" max="7175" width="9.5703125" style="65" bestFit="1" customWidth="1"/>
    <col min="7176" max="7176" width="10.42578125" style="65" bestFit="1" customWidth="1"/>
    <col min="7177" max="7177" width="4.5703125" style="65" customWidth="1"/>
    <col min="7178" max="7178" width="1.85546875" style="65" customWidth="1"/>
    <col min="7179" max="7179" width="7" style="65" bestFit="1" customWidth="1"/>
    <col min="7180" max="7180" width="6.28515625" style="65" customWidth="1"/>
    <col min="7181" max="7181" width="20.42578125" style="65" customWidth="1"/>
    <col min="7182" max="7182" width="6.42578125" style="65" bestFit="1" customWidth="1"/>
    <col min="7183" max="7184" width="8.42578125" style="65"/>
    <col min="7185" max="7185" width="3.28515625" style="65" customWidth="1"/>
    <col min="7186" max="7424" width="8.42578125" style="65"/>
    <col min="7425" max="7425" width="10" style="65" bestFit="1" customWidth="1"/>
    <col min="7426" max="7426" width="44.28515625" style="65" bestFit="1" customWidth="1"/>
    <col min="7427" max="7427" width="10.42578125" style="65" bestFit="1" customWidth="1"/>
    <col min="7428" max="7428" width="10.42578125" style="65" customWidth="1"/>
    <col min="7429" max="7429" width="9.7109375" style="65" bestFit="1" customWidth="1"/>
    <col min="7430" max="7431" width="9.5703125" style="65" bestFit="1" customWidth="1"/>
    <col min="7432" max="7432" width="10.42578125" style="65" bestFit="1" customWidth="1"/>
    <col min="7433" max="7433" width="4.5703125" style="65" customWidth="1"/>
    <col min="7434" max="7434" width="1.85546875" style="65" customWidth="1"/>
    <col min="7435" max="7435" width="7" style="65" bestFit="1" customWidth="1"/>
    <col min="7436" max="7436" width="6.28515625" style="65" customWidth="1"/>
    <col min="7437" max="7437" width="20.42578125" style="65" customWidth="1"/>
    <col min="7438" max="7438" width="6.42578125" style="65" bestFit="1" customWidth="1"/>
    <col min="7439" max="7440" width="8.42578125" style="65"/>
    <col min="7441" max="7441" width="3.28515625" style="65" customWidth="1"/>
    <col min="7442" max="7680" width="8.42578125" style="65"/>
    <col min="7681" max="7681" width="10" style="65" bestFit="1" customWidth="1"/>
    <col min="7682" max="7682" width="44.28515625" style="65" bestFit="1" customWidth="1"/>
    <col min="7683" max="7683" width="10.42578125" style="65" bestFit="1" customWidth="1"/>
    <col min="7684" max="7684" width="10.42578125" style="65" customWidth="1"/>
    <col min="7685" max="7685" width="9.7109375" style="65" bestFit="1" customWidth="1"/>
    <col min="7686" max="7687" width="9.5703125" style="65" bestFit="1" customWidth="1"/>
    <col min="7688" max="7688" width="10.42578125" style="65" bestFit="1" customWidth="1"/>
    <col min="7689" max="7689" width="4.5703125" style="65" customWidth="1"/>
    <col min="7690" max="7690" width="1.85546875" style="65" customWidth="1"/>
    <col min="7691" max="7691" width="7" style="65" bestFit="1" customWidth="1"/>
    <col min="7692" max="7692" width="6.28515625" style="65" customWidth="1"/>
    <col min="7693" max="7693" width="20.42578125" style="65" customWidth="1"/>
    <col min="7694" max="7694" width="6.42578125" style="65" bestFit="1" customWidth="1"/>
    <col min="7695" max="7696" width="8.42578125" style="65"/>
    <col min="7697" max="7697" width="3.28515625" style="65" customWidth="1"/>
    <col min="7698" max="7936" width="8.42578125" style="65"/>
    <col min="7937" max="7937" width="10" style="65" bestFit="1" customWidth="1"/>
    <col min="7938" max="7938" width="44.28515625" style="65" bestFit="1" customWidth="1"/>
    <col min="7939" max="7939" width="10.42578125" style="65" bestFit="1" customWidth="1"/>
    <col min="7940" max="7940" width="10.42578125" style="65" customWidth="1"/>
    <col min="7941" max="7941" width="9.7109375" style="65" bestFit="1" customWidth="1"/>
    <col min="7942" max="7943" width="9.5703125" style="65" bestFit="1" customWidth="1"/>
    <col min="7944" max="7944" width="10.42578125" style="65" bestFit="1" customWidth="1"/>
    <col min="7945" max="7945" width="4.5703125" style="65" customWidth="1"/>
    <col min="7946" max="7946" width="1.85546875" style="65" customWidth="1"/>
    <col min="7947" max="7947" width="7" style="65" bestFit="1" customWidth="1"/>
    <col min="7948" max="7948" width="6.28515625" style="65" customWidth="1"/>
    <col min="7949" max="7949" width="20.42578125" style="65" customWidth="1"/>
    <col min="7950" max="7950" width="6.42578125" style="65" bestFit="1" customWidth="1"/>
    <col min="7951" max="7952" width="8.42578125" style="65"/>
    <col min="7953" max="7953" width="3.28515625" style="65" customWidth="1"/>
    <col min="7954" max="8192" width="8.42578125" style="65"/>
    <col min="8193" max="8193" width="10" style="65" bestFit="1" customWidth="1"/>
    <col min="8194" max="8194" width="44.28515625" style="65" bestFit="1" customWidth="1"/>
    <col min="8195" max="8195" width="10.42578125" style="65" bestFit="1" customWidth="1"/>
    <col min="8196" max="8196" width="10.42578125" style="65" customWidth="1"/>
    <col min="8197" max="8197" width="9.7109375" style="65" bestFit="1" customWidth="1"/>
    <col min="8198" max="8199" width="9.5703125" style="65" bestFit="1" customWidth="1"/>
    <col min="8200" max="8200" width="10.42578125" style="65" bestFit="1" customWidth="1"/>
    <col min="8201" max="8201" width="4.5703125" style="65" customWidth="1"/>
    <col min="8202" max="8202" width="1.85546875" style="65" customWidth="1"/>
    <col min="8203" max="8203" width="7" style="65" bestFit="1" customWidth="1"/>
    <col min="8204" max="8204" width="6.28515625" style="65" customWidth="1"/>
    <col min="8205" max="8205" width="20.42578125" style="65" customWidth="1"/>
    <col min="8206" max="8206" width="6.42578125" style="65" bestFit="1" customWidth="1"/>
    <col min="8207" max="8208" width="8.42578125" style="65"/>
    <col min="8209" max="8209" width="3.28515625" style="65" customWidth="1"/>
    <col min="8210" max="8448" width="8.42578125" style="65"/>
    <col min="8449" max="8449" width="10" style="65" bestFit="1" customWidth="1"/>
    <col min="8450" max="8450" width="44.28515625" style="65" bestFit="1" customWidth="1"/>
    <col min="8451" max="8451" width="10.42578125" style="65" bestFit="1" customWidth="1"/>
    <col min="8452" max="8452" width="10.42578125" style="65" customWidth="1"/>
    <col min="8453" max="8453" width="9.7109375" style="65" bestFit="1" customWidth="1"/>
    <col min="8454" max="8455" width="9.5703125" style="65" bestFit="1" customWidth="1"/>
    <col min="8456" max="8456" width="10.42578125" style="65" bestFit="1" customWidth="1"/>
    <col min="8457" max="8457" width="4.5703125" style="65" customWidth="1"/>
    <col min="8458" max="8458" width="1.85546875" style="65" customWidth="1"/>
    <col min="8459" max="8459" width="7" style="65" bestFit="1" customWidth="1"/>
    <col min="8460" max="8460" width="6.28515625" style="65" customWidth="1"/>
    <col min="8461" max="8461" width="20.42578125" style="65" customWidth="1"/>
    <col min="8462" max="8462" width="6.42578125" style="65" bestFit="1" customWidth="1"/>
    <col min="8463" max="8464" width="8.42578125" style="65"/>
    <col min="8465" max="8465" width="3.28515625" style="65" customWidth="1"/>
    <col min="8466" max="8704" width="8.42578125" style="65"/>
    <col min="8705" max="8705" width="10" style="65" bestFit="1" customWidth="1"/>
    <col min="8706" max="8706" width="44.28515625" style="65" bestFit="1" customWidth="1"/>
    <col min="8707" max="8707" width="10.42578125" style="65" bestFit="1" customWidth="1"/>
    <col min="8708" max="8708" width="10.42578125" style="65" customWidth="1"/>
    <col min="8709" max="8709" width="9.7109375" style="65" bestFit="1" customWidth="1"/>
    <col min="8710" max="8711" width="9.5703125" style="65" bestFit="1" customWidth="1"/>
    <col min="8712" max="8712" width="10.42578125" style="65" bestFit="1" customWidth="1"/>
    <col min="8713" max="8713" width="4.5703125" style="65" customWidth="1"/>
    <col min="8714" max="8714" width="1.85546875" style="65" customWidth="1"/>
    <col min="8715" max="8715" width="7" style="65" bestFit="1" customWidth="1"/>
    <col min="8716" max="8716" width="6.28515625" style="65" customWidth="1"/>
    <col min="8717" max="8717" width="20.42578125" style="65" customWidth="1"/>
    <col min="8718" max="8718" width="6.42578125" style="65" bestFit="1" customWidth="1"/>
    <col min="8719" max="8720" width="8.42578125" style="65"/>
    <col min="8721" max="8721" width="3.28515625" style="65" customWidth="1"/>
    <col min="8722" max="8960" width="8.42578125" style="65"/>
    <col min="8961" max="8961" width="10" style="65" bestFit="1" customWidth="1"/>
    <col min="8962" max="8962" width="44.28515625" style="65" bestFit="1" customWidth="1"/>
    <col min="8963" max="8963" width="10.42578125" style="65" bestFit="1" customWidth="1"/>
    <col min="8964" max="8964" width="10.42578125" style="65" customWidth="1"/>
    <col min="8965" max="8965" width="9.7109375" style="65" bestFit="1" customWidth="1"/>
    <col min="8966" max="8967" width="9.5703125" style="65" bestFit="1" customWidth="1"/>
    <col min="8968" max="8968" width="10.42578125" style="65" bestFit="1" customWidth="1"/>
    <col min="8969" max="8969" width="4.5703125" style="65" customWidth="1"/>
    <col min="8970" max="8970" width="1.85546875" style="65" customWidth="1"/>
    <col min="8971" max="8971" width="7" style="65" bestFit="1" customWidth="1"/>
    <col min="8972" max="8972" width="6.28515625" style="65" customWidth="1"/>
    <col min="8973" max="8973" width="20.42578125" style="65" customWidth="1"/>
    <col min="8974" max="8974" width="6.42578125" style="65" bestFit="1" customWidth="1"/>
    <col min="8975" max="8976" width="8.42578125" style="65"/>
    <col min="8977" max="8977" width="3.28515625" style="65" customWidth="1"/>
    <col min="8978" max="9216" width="8.42578125" style="65"/>
    <col min="9217" max="9217" width="10" style="65" bestFit="1" customWidth="1"/>
    <col min="9218" max="9218" width="44.28515625" style="65" bestFit="1" customWidth="1"/>
    <col min="9219" max="9219" width="10.42578125" style="65" bestFit="1" customWidth="1"/>
    <col min="9220" max="9220" width="10.42578125" style="65" customWidth="1"/>
    <col min="9221" max="9221" width="9.7109375" style="65" bestFit="1" customWidth="1"/>
    <col min="9222" max="9223" width="9.5703125" style="65" bestFit="1" customWidth="1"/>
    <col min="9224" max="9224" width="10.42578125" style="65" bestFit="1" customWidth="1"/>
    <col min="9225" max="9225" width="4.5703125" style="65" customWidth="1"/>
    <col min="9226" max="9226" width="1.85546875" style="65" customWidth="1"/>
    <col min="9227" max="9227" width="7" style="65" bestFit="1" customWidth="1"/>
    <col min="9228" max="9228" width="6.28515625" style="65" customWidth="1"/>
    <col min="9229" max="9229" width="20.42578125" style="65" customWidth="1"/>
    <col min="9230" max="9230" width="6.42578125" style="65" bestFit="1" customWidth="1"/>
    <col min="9231" max="9232" width="8.42578125" style="65"/>
    <col min="9233" max="9233" width="3.28515625" style="65" customWidth="1"/>
    <col min="9234" max="9472" width="8.42578125" style="65"/>
    <col min="9473" max="9473" width="10" style="65" bestFit="1" customWidth="1"/>
    <col min="9474" max="9474" width="44.28515625" style="65" bestFit="1" customWidth="1"/>
    <col min="9475" max="9475" width="10.42578125" style="65" bestFit="1" customWidth="1"/>
    <col min="9476" max="9476" width="10.42578125" style="65" customWidth="1"/>
    <col min="9477" max="9477" width="9.7109375" style="65" bestFit="1" customWidth="1"/>
    <col min="9478" max="9479" width="9.5703125" style="65" bestFit="1" customWidth="1"/>
    <col min="9480" max="9480" width="10.42578125" style="65" bestFit="1" customWidth="1"/>
    <col min="9481" max="9481" width="4.5703125" style="65" customWidth="1"/>
    <col min="9482" max="9482" width="1.85546875" style="65" customWidth="1"/>
    <col min="9483" max="9483" width="7" style="65" bestFit="1" customWidth="1"/>
    <col min="9484" max="9484" width="6.28515625" style="65" customWidth="1"/>
    <col min="9485" max="9485" width="20.42578125" style="65" customWidth="1"/>
    <col min="9486" max="9486" width="6.42578125" style="65" bestFit="1" customWidth="1"/>
    <col min="9487" max="9488" width="8.42578125" style="65"/>
    <col min="9489" max="9489" width="3.28515625" style="65" customWidth="1"/>
    <col min="9490" max="9728" width="8.42578125" style="65"/>
    <col min="9729" max="9729" width="10" style="65" bestFit="1" customWidth="1"/>
    <col min="9730" max="9730" width="44.28515625" style="65" bestFit="1" customWidth="1"/>
    <col min="9731" max="9731" width="10.42578125" style="65" bestFit="1" customWidth="1"/>
    <col min="9732" max="9732" width="10.42578125" style="65" customWidth="1"/>
    <col min="9733" max="9733" width="9.7109375" style="65" bestFit="1" customWidth="1"/>
    <col min="9734" max="9735" width="9.5703125" style="65" bestFit="1" customWidth="1"/>
    <col min="9736" max="9736" width="10.42578125" style="65" bestFit="1" customWidth="1"/>
    <col min="9737" max="9737" width="4.5703125" style="65" customWidth="1"/>
    <col min="9738" max="9738" width="1.85546875" style="65" customWidth="1"/>
    <col min="9739" max="9739" width="7" style="65" bestFit="1" customWidth="1"/>
    <col min="9740" max="9740" width="6.28515625" style="65" customWidth="1"/>
    <col min="9741" max="9741" width="20.42578125" style="65" customWidth="1"/>
    <col min="9742" max="9742" width="6.42578125" style="65" bestFit="1" customWidth="1"/>
    <col min="9743" max="9744" width="8.42578125" style="65"/>
    <col min="9745" max="9745" width="3.28515625" style="65" customWidth="1"/>
    <col min="9746" max="9984" width="8.42578125" style="65"/>
    <col min="9985" max="9985" width="10" style="65" bestFit="1" customWidth="1"/>
    <col min="9986" max="9986" width="44.28515625" style="65" bestFit="1" customWidth="1"/>
    <col min="9987" max="9987" width="10.42578125" style="65" bestFit="1" customWidth="1"/>
    <col min="9988" max="9988" width="10.42578125" style="65" customWidth="1"/>
    <col min="9989" max="9989" width="9.7109375" style="65" bestFit="1" customWidth="1"/>
    <col min="9990" max="9991" width="9.5703125" style="65" bestFit="1" customWidth="1"/>
    <col min="9992" max="9992" width="10.42578125" style="65" bestFit="1" customWidth="1"/>
    <col min="9993" max="9993" width="4.5703125" style="65" customWidth="1"/>
    <col min="9994" max="9994" width="1.85546875" style="65" customWidth="1"/>
    <col min="9995" max="9995" width="7" style="65" bestFit="1" customWidth="1"/>
    <col min="9996" max="9996" width="6.28515625" style="65" customWidth="1"/>
    <col min="9997" max="9997" width="20.42578125" style="65" customWidth="1"/>
    <col min="9998" max="9998" width="6.42578125" style="65" bestFit="1" customWidth="1"/>
    <col min="9999" max="10000" width="8.42578125" style="65"/>
    <col min="10001" max="10001" width="3.28515625" style="65" customWidth="1"/>
    <col min="10002" max="10240" width="8.42578125" style="65"/>
    <col min="10241" max="10241" width="10" style="65" bestFit="1" customWidth="1"/>
    <col min="10242" max="10242" width="44.28515625" style="65" bestFit="1" customWidth="1"/>
    <col min="10243" max="10243" width="10.42578125" style="65" bestFit="1" customWidth="1"/>
    <col min="10244" max="10244" width="10.42578125" style="65" customWidth="1"/>
    <col min="10245" max="10245" width="9.7109375" style="65" bestFit="1" customWidth="1"/>
    <col min="10246" max="10247" width="9.5703125" style="65" bestFit="1" customWidth="1"/>
    <col min="10248" max="10248" width="10.42578125" style="65" bestFit="1" customWidth="1"/>
    <col min="10249" max="10249" width="4.5703125" style="65" customWidth="1"/>
    <col min="10250" max="10250" width="1.85546875" style="65" customWidth="1"/>
    <col min="10251" max="10251" width="7" style="65" bestFit="1" customWidth="1"/>
    <col min="10252" max="10252" width="6.28515625" style="65" customWidth="1"/>
    <col min="10253" max="10253" width="20.42578125" style="65" customWidth="1"/>
    <col min="10254" max="10254" width="6.42578125" style="65" bestFit="1" customWidth="1"/>
    <col min="10255" max="10256" width="8.42578125" style="65"/>
    <col min="10257" max="10257" width="3.28515625" style="65" customWidth="1"/>
    <col min="10258" max="10496" width="8.42578125" style="65"/>
    <col min="10497" max="10497" width="10" style="65" bestFit="1" customWidth="1"/>
    <col min="10498" max="10498" width="44.28515625" style="65" bestFit="1" customWidth="1"/>
    <col min="10499" max="10499" width="10.42578125" style="65" bestFit="1" customWidth="1"/>
    <col min="10500" max="10500" width="10.42578125" style="65" customWidth="1"/>
    <col min="10501" max="10501" width="9.7109375" style="65" bestFit="1" customWidth="1"/>
    <col min="10502" max="10503" width="9.5703125" style="65" bestFit="1" customWidth="1"/>
    <col min="10504" max="10504" width="10.42578125" style="65" bestFit="1" customWidth="1"/>
    <col min="10505" max="10505" width="4.5703125" style="65" customWidth="1"/>
    <col min="10506" max="10506" width="1.85546875" style="65" customWidth="1"/>
    <col min="10507" max="10507" width="7" style="65" bestFit="1" customWidth="1"/>
    <col min="10508" max="10508" width="6.28515625" style="65" customWidth="1"/>
    <col min="10509" max="10509" width="20.42578125" style="65" customWidth="1"/>
    <col min="10510" max="10510" width="6.42578125" style="65" bestFit="1" customWidth="1"/>
    <col min="10511" max="10512" width="8.42578125" style="65"/>
    <col min="10513" max="10513" width="3.28515625" style="65" customWidth="1"/>
    <col min="10514" max="10752" width="8.42578125" style="65"/>
    <col min="10753" max="10753" width="10" style="65" bestFit="1" customWidth="1"/>
    <col min="10754" max="10754" width="44.28515625" style="65" bestFit="1" customWidth="1"/>
    <col min="10755" max="10755" width="10.42578125" style="65" bestFit="1" customWidth="1"/>
    <col min="10756" max="10756" width="10.42578125" style="65" customWidth="1"/>
    <col min="10757" max="10757" width="9.7109375" style="65" bestFit="1" customWidth="1"/>
    <col min="10758" max="10759" width="9.5703125" style="65" bestFit="1" customWidth="1"/>
    <col min="10760" max="10760" width="10.42578125" style="65" bestFit="1" customWidth="1"/>
    <col min="10761" max="10761" width="4.5703125" style="65" customWidth="1"/>
    <col min="10762" max="10762" width="1.85546875" style="65" customWidth="1"/>
    <col min="10763" max="10763" width="7" style="65" bestFit="1" customWidth="1"/>
    <col min="10764" max="10764" width="6.28515625" style="65" customWidth="1"/>
    <col min="10765" max="10765" width="20.42578125" style="65" customWidth="1"/>
    <col min="10766" max="10766" width="6.42578125" style="65" bestFit="1" customWidth="1"/>
    <col min="10767" max="10768" width="8.42578125" style="65"/>
    <col min="10769" max="10769" width="3.28515625" style="65" customWidth="1"/>
    <col min="10770" max="11008" width="8.42578125" style="65"/>
    <col min="11009" max="11009" width="10" style="65" bestFit="1" customWidth="1"/>
    <col min="11010" max="11010" width="44.28515625" style="65" bestFit="1" customWidth="1"/>
    <col min="11011" max="11011" width="10.42578125" style="65" bestFit="1" customWidth="1"/>
    <col min="11012" max="11012" width="10.42578125" style="65" customWidth="1"/>
    <col min="11013" max="11013" width="9.7109375" style="65" bestFit="1" customWidth="1"/>
    <col min="11014" max="11015" width="9.5703125" style="65" bestFit="1" customWidth="1"/>
    <col min="11016" max="11016" width="10.42578125" style="65" bestFit="1" customWidth="1"/>
    <col min="11017" max="11017" width="4.5703125" style="65" customWidth="1"/>
    <col min="11018" max="11018" width="1.85546875" style="65" customWidth="1"/>
    <col min="11019" max="11019" width="7" style="65" bestFit="1" customWidth="1"/>
    <col min="11020" max="11020" width="6.28515625" style="65" customWidth="1"/>
    <col min="11021" max="11021" width="20.42578125" style="65" customWidth="1"/>
    <col min="11022" max="11022" width="6.42578125" style="65" bestFit="1" customWidth="1"/>
    <col min="11023" max="11024" width="8.42578125" style="65"/>
    <col min="11025" max="11025" width="3.28515625" style="65" customWidth="1"/>
    <col min="11026" max="11264" width="8.42578125" style="65"/>
    <col min="11265" max="11265" width="10" style="65" bestFit="1" customWidth="1"/>
    <col min="11266" max="11266" width="44.28515625" style="65" bestFit="1" customWidth="1"/>
    <col min="11267" max="11267" width="10.42578125" style="65" bestFit="1" customWidth="1"/>
    <col min="11268" max="11268" width="10.42578125" style="65" customWidth="1"/>
    <col min="11269" max="11269" width="9.7109375" style="65" bestFit="1" customWidth="1"/>
    <col min="11270" max="11271" width="9.5703125" style="65" bestFit="1" customWidth="1"/>
    <col min="11272" max="11272" width="10.42578125" style="65" bestFit="1" customWidth="1"/>
    <col min="11273" max="11273" width="4.5703125" style="65" customWidth="1"/>
    <col min="11274" max="11274" width="1.85546875" style="65" customWidth="1"/>
    <col min="11275" max="11275" width="7" style="65" bestFit="1" customWidth="1"/>
    <col min="11276" max="11276" width="6.28515625" style="65" customWidth="1"/>
    <col min="11277" max="11277" width="20.42578125" style="65" customWidth="1"/>
    <col min="11278" max="11278" width="6.42578125" style="65" bestFit="1" customWidth="1"/>
    <col min="11279" max="11280" width="8.42578125" style="65"/>
    <col min="11281" max="11281" width="3.28515625" style="65" customWidth="1"/>
    <col min="11282" max="11520" width="8.42578125" style="65"/>
    <col min="11521" max="11521" width="10" style="65" bestFit="1" customWidth="1"/>
    <col min="11522" max="11522" width="44.28515625" style="65" bestFit="1" customWidth="1"/>
    <col min="11523" max="11523" width="10.42578125" style="65" bestFit="1" customWidth="1"/>
    <col min="11524" max="11524" width="10.42578125" style="65" customWidth="1"/>
    <col min="11525" max="11525" width="9.7109375" style="65" bestFit="1" customWidth="1"/>
    <col min="11526" max="11527" width="9.5703125" style="65" bestFit="1" customWidth="1"/>
    <col min="11528" max="11528" width="10.42578125" style="65" bestFit="1" customWidth="1"/>
    <col min="11529" max="11529" width="4.5703125" style="65" customWidth="1"/>
    <col min="11530" max="11530" width="1.85546875" style="65" customWidth="1"/>
    <col min="11531" max="11531" width="7" style="65" bestFit="1" customWidth="1"/>
    <col min="11532" max="11532" width="6.28515625" style="65" customWidth="1"/>
    <col min="11533" max="11533" width="20.42578125" style="65" customWidth="1"/>
    <col min="11534" max="11534" width="6.42578125" style="65" bestFit="1" customWidth="1"/>
    <col min="11535" max="11536" width="8.42578125" style="65"/>
    <col min="11537" max="11537" width="3.28515625" style="65" customWidth="1"/>
    <col min="11538" max="11776" width="8.42578125" style="65"/>
    <col min="11777" max="11777" width="10" style="65" bestFit="1" customWidth="1"/>
    <col min="11778" max="11778" width="44.28515625" style="65" bestFit="1" customWidth="1"/>
    <col min="11779" max="11779" width="10.42578125" style="65" bestFit="1" customWidth="1"/>
    <col min="11780" max="11780" width="10.42578125" style="65" customWidth="1"/>
    <col min="11781" max="11781" width="9.7109375" style="65" bestFit="1" customWidth="1"/>
    <col min="11782" max="11783" width="9.5703125" style="65" bestFit="1" customWidth="1"/>
    <col min="11784" max="11784" width="10.42578125" style="65" bestFit="1" customWidth="1"/>
    <col min="11785" max="11785" width="4.5703125" style="65" customWidth="1"/>
    <col min="11786" max="11786" width="1.85546875" style="65" customWidth="1"/>
    <col min="11787" max="11787" width="7" style="65" bestFit="1" customWidth="1"/>
    <col min="11788" max="11788" width="6.28515625" style="65" customWidth="1"/>
    <col min="11789" max="11789" width="20.42578125" style="65" customWidth="1"/>
    <col min="11790" max="11790" width="6.42578125" style="65" bestFit="1" customWidth="1"/>
    <col min="11791" max="11792" width="8.42578125" style="65"/>
    <col min="11793" max="11793" width="3.28515625" style="65" customWidth="1"/>
    <col min="11794" max="12032" width="8.42578125" style="65"/>
    <col min="12033" max="12033" width="10" style="65" bestFit="1" customWidth="1"/>
    <col min="12034" max="12034" width="44.28515625" style="65" bestFit="1" customWidth="1"/>
    <col min="12035" max="12035" width="10.42578125" style="65" bestFit="1" customWidth="1"/>
    <col min="12036" max="12036" width="10.42578125" style="65" customWidth="1"/>
    <col min="12037" max="12037" width="9.7109375" style="65" bestFit="1" customWidth="1"/>
    <col min="12038" max="12039" width="9.5703125" style="65" bestFit="1" customWidth="1"/>
    <col min="12040" max="12040" width="10.42578125" style="65" bestFit="1" customWidth="1"/>
    <col min="12041" max="12041" width="4.5703125" style="65" customWidth="1"/>
    <col min="12042" max="12042" width="1.85546875" style="65" customWidth="1"/>
    <col min="12043" max="12043" width="7" style="65" bestFit="1" customWidth="1"/>
    <col min="12044" max="12044" width="6.28515625" style="65" customWidth="1"/>
    <col min="12045" max="12045" width="20.42578125" style="65" customWidth="1"/>
    <col min="12046" max="12046" width="6.42578125" style="65" bestFit="1" customWidth="1"/>
    <col min="12047" max="12048" width="8.42578125" style="65"/>
    <col min="12049" max="12049" width="3.28515625" style="65" customWidth="1"/>
    <col min="12050" max="12288" width="8.42578125" style="65"/>
    <col min="12289" max="12289" width="10" style="65" bestFit="1" customWidth="1"/>
    <col min="12290" max="12290" width="44.28515625" style="65" bestFit="1" customWidth="1"/>
    <col min="12291" max="12291" width="10.42578125" style="65" bestFit="1" customWidth="1"/>
    <col min="12292" max="12292" width="10.42578125" style="65" customWidth="1"/>
    <col min="12293" max="12293" width="9.7109375" style="65" bestFit="1" customWidth="1"/>
    <col min="12294" max="12295" width="9.5703125" style="65" bestFit="1" customWidth="1"/>
    <col min="12296" max="12296" width="10.42578125" style="65" bestFit="1" customWidth="1"/>
    <col min="12297" max="12297" width="4.5703125" style="65" customWidth="1"/>
    <col min="12298" max="12298" width="1.85546875" style="65" customWidth="1"/>
    <col min="12299" max="12299" width="7" style="65" bestFit="1" customWidth="1"/>
    <col min="12300" max="12300" width="6.28515625" style="65" customWidth="1"/>
    <col min="12301" max="12301" width="20.42578125" style="65" customWidth="1"/>
    <col min="12302" max="12302" width="6.42578125" style="65" bestFit="1" customWidth="1"/>
    <col min="12303" max="12304" width="8.42578125" style="65"/>
    <col min="12305" max="12305" width="3.28515625" style="65" customWidth="1"/>
    <col min="12306" max="12544" width="8.42578125" style="65"/>
    <col min="12545" max="12545" width="10" style="65" bestFit="1" customWidth="1"/>
    <col min="12546" max="12546" width="44.28515625" style="65" bestFit="1" customWidth="1"/>
    <col min="12547" max="12547" width="10.42578125" style="65" bestFit="1" customWidth="1"/>
    <col min="12548" max="12548" width="10.42578125" style="65" customWidth="1"/>
    <col min="12549" max="12549" width="9.7109375" style="65" bestFit="1" customWidth="1"/>
    <col min="12550" max="12551" width="9.5703125" style="65" bestFit="1" customWidth="1"/>
    <col min="12552" max="12552" width="10.42578125" style="65" bestFit="1" customWidth="1"/>
    <col min="12553" max="12553" width="4.5703125" style="65" customWidth="1"/>
    <col min="12554" max="12554" width="1.85546875" style="65" customWidth="1"/>
    <col min="12555" max="12555" width="7" style="65" bestFit="1" customWidth="1"/>
    <col min="12556" max="12556" width="6.28515625" style="65" customWidth="1"/>
    <col min="12557" max="12557" width="20.42578125" style="65" customWidth="1"/>
    <col min="12558" max="12558" width="6.42578125" style="65" bestFit="1" customWidth="1"/>
    <col min="12559" max="12560" width="8.42578125" style="65"/>
    <col min="12561" max="12561" width="3.28515625" style="65" customWidth="1"/>
    <col min="12562" max="12800" width="8.42578125" style="65"/>
    <col min="12801" max="12801" width="10" style="65" bestFit="1" customWidth="1"/>
    <col min="12802" max="12802" width="44.28515625" style="65" bestFit="1" customWidth="1"/>
    <col min="12803" max="12803" width="10.42578125" style="65" bestFit="1" customWidth="1"/>
    <col min="12804" max="12804" width="10.42578125" style="65" customWidth="1"/>
    <col min="12805" max="12805" width="9.7109375" style="65" bestFit="1" customWidth="1"/>
    <col min="12806" max="12807" width="9.5703125" style="65" bestFit="1" customWidth="1"/>
    <col min="12808" max="12808" width="10.42578125" style="65" bestFit="1" customWidth="1"/>
    <col min="12809" max="12809" width="4.5703125" style="65" customWidth="1"/>
    <col min="12810" max="12810" width="1.85546875" style="65" customWidth="1"/>
    <col min="12811" max="12811" width="7" style="65" bestFit="1" customWidth="1"/>
    <col min="12812" max="12812" width="6.28515625" style="65" customWidth="1"/>
    <col min="12813" max="12813" width="20.42578125" style="65" customWidth="1"/>
    <col min="12814" max="12814" width="6.42578125" style="65" bestFit="1" customWidth="1"/>
    <col min="12815" max="12816" width="8.42578125" style="65"/>
    <col min="12817" max="12817" width="3.28515625" style="65" customWidth="1"/>
    <col min="12818" max="13056" width="8.42578125" style="65"/>
    <col min="13057" max="13057" width="10" style="65" bestFit="1" customWidth="1"/>
    <col min="13058" max="13058" width="44.28515625" style="65" bestFit="1" customWidth="1"/>
    <col min="13059" max="13059" width="10.42578125" style="65" bestFit="1" customWidth="1"/>
    <col min="13060" max="13060" width="10.42578125" style="65" customWidth="1"/>
    <col min="13061" max="13061" width="9.7109375" style="65" bestFit="1" customWidth="1"/>
    <col min="13062" max="13063" width="9.5703125" style="65" bestFit="1" customWidth="1"/>
    <col min="13064" max="13064" width="10.42578125" style="65" bestFit="1" customWidth="1"/>
    <col min="13065" max="13065" width="4.5703125" style="65" customWidth="1"/>
    <col min="13066" max="13066" width="1.85546875" style="65" customWidth="1"/>
    <col min="13067" max="13067" width="7" style="65" bestFit="1" customWidth="1"/>
    <col min="13068" max="13068" width="6.28515625" style="65" customWidth="1"/>
    <col min="13069" max="13069" width="20.42578125" style="65" customWidth="1"/>
    <col min="13070" max="13070" width="6.42578125" style="65" bestFit="1" customWidth="1"/>
    <col min="13071" max="13072" width="8.42578125" style="65"/>
    <col min="13073" max="13073" width="3.28515625" style="65" customWidth="1"/>
    <col min="13074" max="13312" width="8.42578125" style="65"/>
    <col min="13313" max="13313" width="10" style="65" bestFit="1" customWidth="1"/>
    <col min="13314" max="13314" width="44.28515625" style="65" bestFit="1" customWidth="1"/>
    <col min="13315" max="13315" width="10.42578125" style="65" bestFit="1" customWidth="1"/>
    <col min="13316" max="13316" width="10.42578125" style="65" customWidth="1"/>
    <col min="13317" max="13317" width="9.7109375" style="65" bestFit="1" customWidth="1"/>
    <col min="13318" max="13319" width="9.5703125" style="65" bestFit="1" customWidth="1"/>
    <col min="13320" max="13320" width="10.42578125" style="65" bestFit="1" customWidth="1"/>
    <col min="13321" max="13321" width="4.5703125" style="65" customWidth="1"/>
    <col min="13322" max="13322" width="1.85546875" style="65" customWidth="1"/>
    <col min="13323" max="13323" width="7" style="65" bestFit="1" customWidth="1"/>
    <col min="13324" max="13324" width="6.28515625" style="65" customWidth="1"/>
    <col min="13325" max="13325" width="20.42578125" style="65" customWidth="1"/>
    <col min="13326" max="13326" width="6.42578125" style="65" bestFit="1" customWidth="1"/>
    <col min="13327" max="13328" width="8.42578125" style="65"/>
    <col min="13329" max="13329" width="3.28515625" style="65" customWidth="1"/>
    <col min="13330" max="13568" width="8.42578125" style="65"/>
    <col min="13569" max="13569" width="10" style="65" bestFit="1" customWidth="1"/>
    <col min="13570" max="13570" width="44.28515625" style="65" bestFit="1" customWidth="1"/>
    <col min="13571" max="13571" width="10.42578125" style="65" bestFit="1" customWidth="1"/>
    <col min="13572" max="13572" width="10.42578125" style="65" customWidth="1"/>
    <col min="13573" max="13573" width="9.7109375" style="65" bestFit="1" customWidth="1"/>
    <col min="13574" max="13575" width="9.5703125" style="65" bestFit="1" customWidth="1"/>
    <col min="13576" max="13576" width="10.42578125" style="65" bestFit="1" customWidth="1"/>
    <col min="13577" max="13577" width="4.5703125" style="65" customWidth="1"/>
    <col min="13578" max="13578" width="1.85546875" style="65" customWidth="1"/>
    <col min="13579" max="13579" width="7" style="65" bestFit="1" customWidth="1"/>
    <col min="13580" max="13580" width="6.28515625" style="65" customWidth="1"/>
    <col min="13581" max="13581" width="20.42578125" style="65" customWidth="1"/>
    <col min="13582" max="13582" width="6.42578125" style="65" bestFit="1" customWidth="1"/>
    <col min="13583" max="13584" width="8.42578125" style="65"/>
    <col min="13585" max="13585" width="3.28515625" style="65" customWidth="1"/>
    <col min="13586" max="13824" width="8.42578125" style="65"/>
    <col min="13825" max="13825" width="10" style="65" bestFit="1" customWidth="1"/>
    <col min="13826" max="13826" width="44.28515625" style="65" bestFit="1" customWidth="1"/>
    <col min="13827" max="13827" width="10.42578125" style="65" bestFit="1" customWidth="1"/>
    <col min="13828" max="13828" width="10.42578125" style="65" customWidth="1"/>
    <col min="13829" max="13829" width="9.7109375" style="65" bestFit="1" customWidth="1"/>
    <col min="13830" max="13831" width="9.5703125" style="65" bestFit="1" customWidth="1"/>
    <col min="13832" max="13832" width="10.42578125" style="65" bestFit="1" customWidth="1"/>
    <col min="13833" max="13833" width="4.5703125" style="65" customWidth="1"/>
    <col min="13834" max="13834" width="1.85546875" style="65" customWidth="1"/>
    <col min="13835" max="13835" width="7" style="65" bestFit="1" customWidth="1"/>
    <col min="13836" max="13836" width="6.28515625" style="65" customWidth="1"/>
    <col min="13837" max="13837" width="20.42578125" style="65" customWidth="1"/>
    <col min="13838" max="13838" width="6.42578125" style="65" bestFit="1" customWidth="1"/>
    <col min="13839" max="13840" width="8.42578125" style="65"/>
    <col min="13841" max="13841" width="3.28515625" style="65" customWidth="1"/>
    <col min="13842" max="14080" width="8.42578125" style="65"/>
    <col min="14081" max="14081" width="10" style="65" bestFit="1" customWidth="1"/>
    <col min="14082" max="14082" width="44.28515625" style="65" bestFit="1" customWidth="1"/>
    <col min="14083" max="14083" width="10.42578125" style="65" bestFit="1" customWidth="1"/>
    <col min="14084" max="14084" width="10.42578125" style="65" customWidth="1"/>
    <col min="14085" max="14085" width="9.7109375" style="65" bestFit="1" customWidth="1"/>
    <col min="14086" max="14087" width="9.5703125" style="65" bestFit="1" customWidth="1"/>
    <col min="14088" max="14088" width="10.42578125" style="65" bestFit="1" customWidth="1"/>
    <col min="14089" max="14089" width="4.5703125" style="65" customWidth="1"/>
    <col min="14090" max="14090" width="1.85546875" style="65" customWidth="1"/>
    <col min="14091" max="14091" width="7" style="65" bestFit="1" customWidth="1"/>
    <col min="14092" max="14092" width="6.28515625" style="65" customWidth="1"/>
    <col min="14093" max="14093" width="20.42578125" style="65" customWidth="1"/>
    <col min="14094" max="14094" width="6.42578125" style="65" bestFit="1" customWidth="1"/>
    <col min="14095" max="14096" width="8.42578125" style="65"/>
    <col min="14097" max="14097" width="3.28515625" style="65" customWidth="1"/>
    <col min="14098" max="14336" width="8.42578125" style="65"/>
    <col min="14337" max="14337" width="10" style="65" bestFit="1" customWidth="1"/>
    <col min="14338" max="14338" width="44.28515625" style="65" bestFit="1" customWidth="1"/>
    <col min="14339" max="14339" width="10.42578125" style="65" bestFit="1" customWidth="1"/>
    <col min="14340" max="14340" width="10.42578125" style="65" customWidth="1"/>
    <col min="14341" max="14341" width="9.7109375" style="65" bestFit="1" customWidth="1"/>
    <col min="14342" max="14343" width="9.5703125" style="65" bestFit="1" customWidth="1"/>
    <col min="14344" max="14344" width="10.42578125" style="65" bestFit="1" customWidth="1"/>
    <col min="14345" max="14345" width="4.5703125" style="65" customWidth="1"/>
    <col min="14346" max="14346" width="1.85546875" style="65" customWidth="1"/>
    <col min="14347" max="14347" width="7" style="65" bestFit="1" customWidth="1"/>
    <col min="14348" max="14348" width="6.28515625" style="65" customWidth="1"/>
    <col min="14349" max="14349" width="20.42578125" style="65" customWidth="1"/>
    <col min="14350" max="14350" width="6.42578125" style="65" bestFit="1" customWidth="1"/>
    <col min="14351" max="14352" width="8.42578125" style="65"/>
    <col min="14353" max="14353" width="3.28515625" style="65" customWidth="1"/>
    <col min="14354" max="14592" width="8.42578125" style="65"/>
    <col min="14593" max="14593" width="10" style="65" bestFit="1" customWidth="1"/>
    <col min="14594" max="14594" width="44.28515625" style="65" bestFit="1" customWidth="1"/>
    <col min="14595" max="14595" width="10.42578125" style="65" bestFit="1" customWidth="1"/>
    <col min="14596" max="14596" width="10.42578125" style="65" customWidth="1"/>
    <col min="14597" max="14597" width="9.7109375" style="65" bestFit="1" customWidth="1"/>
    <col min="14598" max="14599" width="9.5703125" style="65" bestFit="1" customWidth="1"/>
    <col min="14600" max="14600" width="10.42578125" style="65" bestFit="1" customWidth="1"/>
    <col min="14601" max="14601" width="4.5703125" style="65" customWidth="1"/>
    <col min="14602" max="14602" width="1.85546875" style="65" customWidth="1"/>
    <col min="14603" max="14603" width="7" style="65" bestFit="1" customWidth="1"/>
    <col min="14604" max="14604" width="6.28515625" style="65" customWidth="1"/>
    <col min="14605" max="14605" width="20.42578125" style="65" customWidth="1"/>
    <col min="14606" max="14606" width="6.42578125" style="65" bestFit="1" customWidth="1"/>
    <col min="14607" max="14608" width="8.42578125" style="65"/>
    <col min="14609" max="14609" width="3.28515625" style="65" customWidth="1"/>
    <col min="14610" max="14848" width="8.42578125" style="65"/>
    <col min="14849" max="14849" width="10" style="65" bestFit="1" customWidth="1"/>
    <col min="14850" max="14850" width="44.28515625" style="65" bestFit="1" customWidth="1"/>
    <col min="14851" max="14851" width="10.42578125" style="65" bestFit="1" customWidth="1"/>
    <col min="14852" max="14852" width="10.42578125" style="65" customWidth="1"/>
    <col min="14853" max="14853" width="9.7109375" style="65" bestFit="1" customWidth="1"/>
    <col min="14854" max="14855" width="9.5703125" style="65" bestFit="1" customWidth="1"/>
    <col min="14856" max="14856" width="10.42578125" style="65" bestFit="1" customWidth="1"/>
    <col min="14857" max="14857" width="4.5703125" style="65" customWidth="1"/>
    <col min="14858" max="14858" width="1.85546875" style="65" customWidth="1"/>
    <col min="14859" max="14859" width="7" style="65" bestFit="1" customWidth="1"/>
    <col min="14860" max="14860" width="6.28515625" style="65" customWidth="1"/>
    <col min="14861" max="14861" width="20.42578125" style="65" customWidth="1"/>
    <col min="14862" max="14862" width="6.42578125" style="65" bestFit="1" customWidth="1"/>
    <col min="14863" max="14864" width="8.42578125" style="65"/>
    <col min="14865" max="14865" width="3.28515625" style="65" customWidth="1"/>
    <col min="14866" max="15104" width="8.42578125" style="65"/>
    <col min="15105" max="15105" width="10" style="65" bestFit="1" customWidth="1"/>
    <col min="15106" max="15106" width="44.28515625" style="65" bestFit="1" customWidth="1"/>
    <col min="15107" max="15107" width="10.42578125" style="65" bestFit="1" customWidth="1"/>
    <col min="15108" max="15108" width="10.42578125" style="65" customWidth="1"/>
    <col min="15109" max="15109" width="9.7109375" style="65" bestFit="1" customWidth="1"/>
    <col min="15110" max="15111" width="9.5703125" style="65" bestFit="1" customWidth="1"/>
    <col min="15112" max="15112" width="10.42578125" style="65" bestFit="1" customWidth="1"/>
    <col min="15113" max="15113" width="4.5703125" style="65" customWidth="1"/>
    <col min="15114" max="15114" width="1.85546875" style="65" customWidth="1"/>
    <col min="15115" max="15115" width="7" style="65" bestFit="1" customWidth="1"/>
    <col min="15116" max="15116" width="6.28515625" style="65" customWidth="1"/>
    <col min="15117" max="15117" width="20.42578125" style="65" customWidth="1"/>
    <col min="15118" max="15118" width="6.42578125" style="65" bestFit="1" customWidth="1"/>
    <col min="15119" max="15120" width="8.42578125" style="65"/>
    <col min="15121" max="15121" width="3.28515625" style="65" customWidth="1"/>
    <col min="15122" max="15360" width="8.42578125" style="65"/>
    <col min="15361" max="15361" width="10" style="65" bestFit="1" customWidth="1"/>
    <col min="15362" max="15362" width="44.28515625" style="65" bestFit="1" customWidth="1"/>
    <col min="15363" max="15363" width="10.42578125" style="65" bestFit="1" customWidth="1"/>
    <col min="15364" max="15364" width="10.42578125" style="65" customWidth="1"/>
    <col min="15365" max="15365" width="9.7109375" style="65" bestFit="1" customWidth="1"/>
    <col min="15366" max="15367" width="9.5703125" style="65" bestFit="1" customWidth="1"/>
    <col min="15368" max="15368" width="10.42578125" style="65" bestFit="1" customWidth="1"/>
    <col min="15369" max="15369" width="4.5703125" style="65" customWidth="1"/>
    <col min="15370" max="15370" width="1.85546875" style="65" customWidth="1"/>
    <col min="15371" max="15371" width="7" style="65" bestFit="1" customWidth="1"/>
    <col min="15372" max="15372" width="6.28515625" style="65" customWidth="1"/>
    <col min="15373" max="15373" width="20.42578125" style="65" customWidth="1"/>
    <col min="15374" max="15374" width="6.42578125" style="65" bestFit="1" customWidth="1"/>
    <col min="15375" max="15376" width="8.42578125" style="65"/>
    <col min="15377" max="15377" width="3.28515625" style="65" customWidth="1"/>
    <col min="15378" max="15616" width="8.42578125" style="65"/>
    <col min="15617" max="15617" width="10" style="65" bestFit="1" customWidth="1"/>
    <col min="15618" max="15618" width="44.28515625" style="65" bestFit="1" customWidth="1"/>
    <col min="15619" max="15619" width="10.42578125" style="65" bestFit="1" customWidth="1"/>
    <col min="15620" max="15620" width="10.42578125" style="65" customWidth="1"/>
    <col min="15621" max="15621" width="9.7109375" style="65" bestFit="1" customWidth="1"/>
    <col min="15622" max="15623" width="9.5703125" style="65" bestFit="1" customWidth="1"/>
    <col min="15624" max="15624" width="10.42578125" style="65" bestFit="1" customWidth="1"/>
    <col min="15625" max="15625" width="4.5703125" style="65" customWidth="1"/>
    <col min="15626" max="15626" width="1.85546875" style="65" customWidth="1"/>
    <col min="15627" max="15627" width="7" style="65" bestFit="1" customWidth="1"/>
    <col min="15628" max="15628" width="6.28515625" style="65" customWidth="1"/>
    <col min="15629" max="15629" width="20.42578125" style="65" customWidth="1"/>
    <col min="15630" max="15630" width="6.42578125" style="65" bestFit="1" customWidth="1"/>
    <col min="15631" max="15632" width="8.42578125" style="65"/>
    <col min="15633" max="15633" width="3.28515625" style="65" customWidth="1"/>
    <col min="15634" max="15872" width="8.42578125" style="65"/>
    <col min="15873" max="15873" width="10" style="65" bestFit="1" customWidth="1"/>
    <col min="15874" max="15874" width="44.28515625" style="65" bestFit="1" customWidth="1"/>
    <col min="15875" max="15875" width="10.42578125" style="65" bestFit="1" customWidth="1"/>
    <col min="15876" max="15876" width="10.42578125" style="65" customWidth="1"/>
    <col min="15877" max="15877" width="9.7109375" style="65" bestFit="1" customWidth="1"/>
    <col min="15878" max="15879" width="9.5703125" style="65" bestFit="1" customWidth="1"/>
    <col min="15880" max="15880" width="10.42578125" style="65" bestFit="1" customWidth="1"/>
    <col min="15881" max="15881" width="4.5703125" style="65" customWidth="1"/>
    <col min="15882" max="15882" width="1.85546875" style="65" customWidth="1"/>
    <col min="15883" max="15883" width="7" style="65" bestFit="1" customWidth="1"/>
    <col min="15884" max="15884" width="6.28515625" style="65" customWidth="1"/>
    <col min="15885" max="15885" width="20.42578125" style="65" customWidth="1"/>
    <col min="15886" max="15886" width="6.42578125" style="65" bestFit="1" customWidth="1"/>
    <col min="15887" max="15888" width="8.42578125" style="65"/>
    <col min="15889" max="15889" width="3.28515625" style="65" customWidth="1"/>
    <col min="15890" max="16128" width="8.42578125" style="65"/>
    <col min="16129" max="16129" width="10" style="65" bestFit="1" customWidth="1"/>
    <col min="16130" max="16130" width="44.28515625" style="65" bestFit="1" customWidth="1"/>
    <col min="16131" max="16131" width="10.42578125" style="65" bestFit="1" customWidth="1"/>
    <col min="16132" max="16132" width="10.42578125" style="65" customWidth="1"/>
    <col min="16133" max="16133" width="9.7109375" style="65" bestFit="1" customWidth="1"/>
    <col min="16134" max="16135" width="9.5703125" style="65" bestFit="1" customWidth="1"/>
    <col min="16136" max="16136" width="10.42578125" style="65" bestFit="1" customWidth="1"/>
    <col min="16137" max="16137" width="4.5703125" style="65" customWidth="1"/>
    <col min="16138" max="16138" width="1.85546875" style="65" customWidth="1"/>
    <col min="16139" max="16139" width="7" style="65" bestFit="1" customWidth="1"/>
    <col min="16140" max="16140" width="6.28515625" style="65" customWidth="1"/>
    <col min="16141" max="16141" width="20.42578125" style="65" customWidth="1"/>
    <col min="16142" max="16142" width="6.42578125" style="65" bestFit="1" customWidth="1"/>
    <col min="16143" max="16144" width="8.42578125" style="65"/>
    <col min="16145" max="16145" width="3.28515625" style="65" customWidth="1"/>
    <col min="16146" max="16384" width="8.42578125" style="65"/>
  </cols>
  <sheetData>
    <row r="1" spans="1:10" ht="27.75" customHeight="1" x14ac:dyDescent="0.25">
      <c r="A1" s="60"/>
      <c r="B1" s="60"/>
      <c r="C1" s="60"/>
      <c r="D1" s="60"/>
      <c r="E1" s="61" t="s">
        <v>95</v>
      </c>
      <c r="F1" s="62" t="s">
        <v>96</v>
      </c>
      <c r="G1" s="62" t="s">
        <v>97</v>
      </c>
      <c r="H1" s="62" t="s">
        <v>98</v>
      </c>
      <c r="I1" s="63"/>
    </row>
    <row r="2" spans="1:10" ht="30.75" customHeight="1" x14ac:dyDescent="0.25">
      <c r="A2" s="60"/>
      <c r="B2" s="60"/>
      <c r="C2" s="60"/>
      <c r="D2" s="60"/>
      <c r="E2" s="66">
        <f>IFERROR(O62,"")</f>
        <v>2671.0357932077923</v>
      </c>
      <c r="F2" s="66">
        <f>IFERROR(H53,"")</f>
        <v>1908.8277609999998</v>
      </c>
      <c r="G2" s="66">
        <f>IFERROR(H54,"")</f>
        <v>389.28463999999997</v>
      </c>
      <c r="H2" s="66">
        <f>IFERROR(H56,"")</f>
        <v>203.6532</v>
      </c>
      <c r="I2" s="67"/>
    </row>
    <row r="3" spans="1:10" ht="15" customHeight="1" x14ac:dyDescent="0.25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3">
      <c r="A4" s="646"/>
      <c r="B4" s="646"/>
      <c r="C4" s="646"/>
      <c r="D4" s="646"/>
      <c r="E4" s="646"/>
      <c r="F4" s="646"/>
      <c r="G4" s="646"/>
      <c r="H4" s="646"/>
      <c r="I4" s="69"/>
    </row>
    <row r="5" spans="1:10" ht="19.5" customHeight="1" thickBot="1" x14ac:dyDescent="0.3">
      <c r="A5" s="647" t="s">
        <v>99</v>
      </c>
      <c r="B5" s="648"/>
      <c r="C5" s="648"/>
      <c r="D5" s="648"/>
      <c r="E5" s="648"/>
      <c r="F5" s="648"/>
      <c r="G5" s="648"/>
      <c r="H5" s="649"/>
      <c r="I5" s="70"/>
    </row>
    <row r="6" spans="1:10" ht="19.5" thickBot="1" x14ac:dyDescent="0.3">
      <c r="A6" s="70"/>
      <c r="B6" s="70"/>
      <c r="C6" s="70"/>
      <c r="D6" s="70"/>
      <c r="E6" s="70"/>
      <c r="F6" s="650" t="s">
        <v>100</v>
      </c>
      <c r="G6" s="650"/>
      <c r="H6" s="71">
        <f ca="1">TODAY()</f>
        <v>46064</v>
      </c>
      <c r="I6" s="71"/>
    </row>
    <row r="7" spans="1:10" ht="26.25" thickBot="1" x14ac:dyDescent="0.3">
      <c r="A7" s="72" t="s">
        <v>101</v>
      </c>
      <c r="B7" s="73" t="s">
        <v>102</v>
      </c>
      <c r="C7" s="73" t="s">
        <v>101</v>
      </c>
      <c r="D7" s="74" t="s">
        <v>103</v>
      </c>
      <c r="E7" s="74" t="s">
        <v>104</v>
      </c>
      <c r="F7" s="74" t="s">
        <v>105</v>
      </c>
      <c r="G7" s="74" t="s">
        <v>106</v>
      </c>
      <c r="H7" s="75" t="s">
        <v>107</v>
      </c>
      <c r="I7" s="76"/>
    </row>
    <row r="8" spans="1:10" ht="13.5" x14ac:dyDescent="0.25">
      <c r="A8" s="77">
        <v>5</v>
      </c>
      <c r="B8" s="65" t="s">
        <v>59</v>
      </c>
      <c r="C8" s="78">
        <f>+A8</f>
        <v>5</v>
      </c>
      <c r="D8" s="79" t="s">
        <v>147</v>
      </c>
      <c r="E8" s="79">
        <v>0.89</v>
      </c>
      <c r="F8" s="79">
        <f>IFERROR(C8*E8,"")</f>
        <v>4.45</v>
      </c>
      <c r="G8" s="80">
        <f t="shared" ref="G8:G14" si="0">IFERROR(F8/$F$66,"")</f>
        <v>1.843956559172324E-3</v>
      </c>
      <c r="H8" s="81" t="s">
        <v>58</v>
      </c>
      <c r="I8" s="81"/>
      <c r="J8" s="82"/>
    </row>
    <row r="9" spans="1:10" ht="13.5" hidden="1" x14ac:dyDescent="0.25">
      <c r="A9" s="77"/>
      <c r="B9" s="65" t="str">
        <f>IFERROR(VLOOKUP(H9,'[1]Consolidado MP Planta'!$A$2:$M$823,3,0),"")</f>
        <v/>
      </c>
      <c r="C9" s="78">
        <f t="shared" ref="C9:C14" si="1">+A9</f>
        <v>0</v>
      </c>
      <c r="D9" s="79" t="str">
        <f>IFERROR(VLOOKUP(H9,'[1]Consolidado MP Planta'!$A$2:$M$823,13,0),"")</f>
        <v/>
      </c>
      <c r="E9" s="79" t="str">
        <f>IFERROR(VLOOKUP(H9,'[1]Consolidado MP Planta'!$A$2:$M$823,12,0),"")</f>
        <v/>
      </c>
      <c r="F9" s="79" t="str">
        <f t="shared" ref="F9:F14" si="2">IFERROR(C9*E9,"")</f>
        <v/>
      </c>
      <c r="G9" s="80" t="str">
        <f t="shared" si="0"/>
        <v/>
      </c>
      <c r="H9" s="81"/>
      <c r="I9" s="81"/>
      <c r="J9" s="82"/>
    </row>
    <row r="10" spans="1:10" ht="13.5" hidden="1" x14ac:dyDescent="0.25">
      <c r="A10" s="77"/>
      <c r="B10" s="65" t="str">
        <f>IFERROR(VLOOKUP(H10,'[1]Consolidado MP Planta'!$A$2:$M$823,3,0),"")</f>
        <v/>
      </c>
      <c r="C10" s="78">
        <f t="shared" si="1"/>
        <v>0</v>
      </c>
      <c r="D10" s="79" t="str">
        <f>IFERROR(VLOOKUP(H10,'[1]Consolidado MP Planta'!$A$2:$M$823,13,0),"")</f>
        <v/>
      </c>
      <c r="E10" s="79" t="str">
        <f>IFERROR(VLOOKUP(H10,'[1]Consolidado MP Planta'!$A$2:$M$823,12,0),"")</f>
        <v/>
      </c>
      <c r="F10" s="79" t="str">
        <f t="shared" si="2"/>
        <v/>
      </c>
      <c r="G10" s="80" t="str">
        <f t="shared" si="0"/>
        <v/>
      </c>
      <c r="H10" s="81"/>
      <c r="I10" s="81"/>
      <c r="J10" s="82"/>
    </row>
    <row r="11" spans="1:10" ht="13.5" hidden="1" x14ac:dyDescent="0.25">
      <c r="A11" s="77"/>
      <c r="B11" s="65" t="str">
        <f>IFERROR(VLOOKUP(H11,'[1]Consolidado MP Planta'!$A$2:$M$823,3,0),"")</f>
        <v/>
      </c>
      <c r="C11" s="78">
        <f t="shared" si="1"/>
        <v>0</v>
      </c>
      <c r="D11" s="79" t="str">
        <f>IFERROR(VLOOKUP(H11,'[1]Consolidado MP Planta'!$A$2:$M$823,13,0),"")</f>
        <v/>
      </c>
      <c r="E11" s="79" t="str">
        <f>IFERROR(VLOOKUP(H11,'[1]Consolidado MP Planta'!$A$2:$M$823,12,0),"")</f>
        <v/>
      </c>
      <c r="F11" s="79" t="str">
        <f t="shared" si="2"/>
        <v/>
      </c>
      <c r="G11" s="80" t="str">
        <f t="shared" si="0"/>
        <v/>
      </c>
      <c r="H11" s="81"/>
      <c r="I11" s="81"/>
      <c r="J11" s="82"/>
    </row>
    <row r="12" spans="1:10" ht="13.5" hidden="1" x14ac:dyDescent="0.25">
      <c r="A12" s="77"/>
      <c r="B12" s="65" t="str">
        <f>IFERROR(VLOOKUP(H12,'[1]Consolidado MP Planta'!$A$2:$M$823,3,0),"")</f>
        <v/>
      </c>
      <c r="C12" s="78">
        <f t="shared" si="1"/>
        <v>0</v>
      </c>
      <c r="D12" s="79" t="str">
        <f>IFERROR(VLOOKUP(H12,'[1]Consolidado MP Planta'!$A$2:$M$823,13,0),"")</f>
        <v/>
      </c>
      <c r="E12" s="79" t="str">
        <f>IFERROR(VLOOKUP(H12,'[1]Consolidado MP Planta'!$A$2:$M$823,12,0),"")</f>
        <v/>
      </c>
      <c r="F12" s="79" t="str">
        <f t="shared" si="2"/>
        <v/>
      </c>
      <c r="G12" s="80" t="str">
        <f t="shared" si="0"/>
        <v/>
      </c>
      <c r="H12" s="81"/>
      <c r="I12" s="81"/>
      <c r="J12" s="82"/>
    </row>
    <row r="13" spans="1:10" ht="13.5" hidden="1" x14ac:dyDescent="0.25">
      <c r="A13" s="77"/>
      <c r="B13" s="65" t="str">
        <f>IFERROR(VLOOKUP(H13,'[1]Consolidado MP Planta'!$A$2:$M$823,3,0),"")</f>
        <v/>
      </c>
      <c r="C13" s="78">
        <f t="shared" si="1"/>
        <v>0</v>
      </c>
      <c r="D13" s="79" t="str">
        <f>IFERROR(VLOOKUP(H13,'[1]Consolidado MP Planta'!$A$2:$M$823,13,0),"")</f>
        <v/>
      </c>
      <c r="E13" s="79" t="str">
        <f>IFERROR(VLOOKUP(H13,'[1]Consolidado MP Planta'!$A$2:$M$823,12,0),"")</f>
        <v/>
      </c>
      <c r="F13" s="79" t="str">
        <f t="shared" si="2"/>
        <v/>
      </c>
      <c r="G13" s="80" t="str">
        <f t="shared" si="0"/>
        <v/>
      </c>
      <c r="H13" s="81"/>
      <c r="I13" s="81"/>
      <c r="J13" s="82"/>
    </row>
    <row r="14" spans="1:10" ht="13.5" hidden="1" x14ac:dyDescent="0.25">
      <c r="A14" s="77"/>
      <c r="B14" s="65" t="str">
        <f>IFERROR(VLOOKUP(H14,'[1]Consolidado MP Planta'!$A$2:$M$823,3,0),"")</f>
        <v/>
      </c>
      <c r="C14" s="78">
        <f t="shared" si="1"/>
        <v>0</v>
      </c>
      <c r="D14" s="79" t="str">
        <f>IFERROR(VLOOKUP(H14,'[1]Consolidado MP Planta'!$A$2:$M$823,13,0),"")</f>
        <v/>
      </c>
      <c r="E14" s="79" t="str">
        <f>IFERROR(VLOOKUP(H14,'[1]Consolidado MP Planta'!$A$2:$M$823,12,0),"")</f>
        <v/>
      </c>
      <c r="F14" s="79" t="str">
        <f t="shared" si="2"/>
        <v/>
      </c>
      <c r="G14" s="80" t="str">
        <f t="shared" si="0"/>
        <v/>
      </c>
      <c r="H14" s="81"/>
      <c r="I14" s="81"/>
      <c r="J14" s="82"/>
    </row>
    <row r="15" spans="1:10" ht="14.25" thickBot="1" x14ac:dyDescent="0.3">
      <c r="A15" s="77"/>
      <c r="B15" s="65" t="str">
        <f>IFERROR(VLOOKUP(H15,'[2]ARTICULOS MP PLANTA'!$A$2:$G$589,2,0),"")</f>
        <v/>
      </c>
      <c r="C15" s="78"/>
      <c r="D15" s="79"/>
      <c r="E15" s="79"/>
      <c r="F15" s="79"/>
      <c r="G15" s="80"/>
      <c r="H15" s="81"/>
      <c r="I15" s="81"/>
      <c r="J15" s="82"/>
    </row>
    <row r="16" spans="1:10" ht="26.25" thickBot="1" x14ac:dyDescent="0.3">
      <c r="A16" s="72" t="s">
        <v>101</v>
      </c>
      <c r="B16" s="73" t="s">
        <v>108</v>
      </c>
      <c r="C16" s="73" t="s">
        <v>101</v>
      </c>
      <c r="D16" s="74" t="s">
        <v>103</v>
      </c>
      <c r="E16" s="74" t="s">
        <v>104</v>
      </c>
      <c r="F16" s="74" t="s">
        <v>105</v>
      </c>
      <c r="G16" s="74" t="s">
        <v>106</v>
      </c>
      <c r="H16" s="75" t="s">
        <v>107</v>
      </c>
      <c r="I16" s="76"/>
      <c r="J16" s="82"/>
    </row>
    <row r="17" spans="1:12" ht="13.5" x14ac:dyDescent="0.25">
      <c r="A17" s="77">
        <v>300</v>
      </c>
      <c r="B17" s="65" t="s">
        <v>60</v>
      </c>
      <c r="C17" s="78">
        <f>+A17</f>
        <v>300</v>
      </c>
      <c r="D17" s="78" t="s">
        <v>147</v>
      </c>
      <c r="E17" s="79">
        <v>2.5</v>
      </c>
      <c r="F17" s="79">
        <f>IFERROR(E17*C17,"")</f>
        <v>750</v>
      </c>
      <c r="G17" s="80">
        <f t="shared" ref="G17:G24" si="3">IFERROR(F17/$F$66,"")</f>
        <v>0.31077919536612203</v>
      </c>
      <c r="H17" s="81" t="s">
        <v>48</v>
      </c>
      <c r="I17" s="81"/>
      <c r="J17" s="82"/>
    </row>
    <row r="18" spans="1:12" ht="13.5" x14ac:dyDescent="0.25">
      <c r="A18" s="77">
        <v>400</v>
      </c>
      <c r="B18" s="65" t="s">
        <v>66</v>
      </c>
      <c r="C18" s="78">
        <f t="shared" ref="C18:C24" si="4">+A18</f>
        <v>400</v>
      </c>
      <c r="D18" s="78" t="s">
        <v>147</v>
      </c>
      <c r="E18" s="79">
        <f>+'Costo Relleno Blanco Limon'!E69</f>
        <v>2.43649308</v>
      </c>
      <c r="F18" s="79">
        <f t="shared" ref="F18:F24" si="5">IFERROR(E18*C18,"")</f>
        <v>974.59723199999996</v>
      </c>
      <c r="G18" s="80">
        <f t="shared" si="3"/>
        <v>0.40384605808934632</v>
      </c>
      <c r="H18" s="81" t="s">
        <v>44</v>
      </c>
      <c r="I18" s="81"/>
      <c r="J18" s="82"/>
    </row>
    <row r="19" spans="1:12" ht="13.5" x14ac:dyDescent="0.25">
      <c r="A19" s="77">
        <v>30</v>
      </c>
      <c r="B19" s="65" t="s">
        <v>50</v>
      </c>
      <c r="C19" s="78">
        <f>+A19</f>
        <v>30</v>
      </c>
      <c r="D19" s="78" t="s">
        <v>147</v>
      </c>
      <c r="E19" s="79">
        <v>2.2200000000000002</v>
      </c>
      <c r="F19" s="79">
        <f>IFERROR(E19*C19,"")</f>
        <v>66.600000000000009</v>
      </c>
      <c r="G19" s="80">
        <f t="shared" si="3"/>
        <v>2.7597192548511638E-2</v>
      </c>
      <c r="H19" s="81" t="s">
        <v>49</v>
      </c>
      <c r="I19" s="81"/>
      <c r="J19" s="82"/>
    </row>
    <row r="20" spans="1:12" ht="13.5" x14ac:dyDescent="0.25">
      <c r="A20" s="77">
        <v>220</v>
      </c>
      <c r="B20" s="65" t="s">
        <v>62</v>
      </c>
      <c r="C20" s="78">
        <f>+A20</f>
        <v>220</v>
      </c>
      <c r="D20" s="78" t="s">
        <v>147</v>
      </c>
      <c r="E20" s="79">
        <f>+'Costo Empaque Lemon Court'!E69</f>
        <v>0.51445695000000002</v>
      </c>
      <c r="F20" s="79">
        <f>IFERROR(E20*C20,"")</f>
        <v>113.18052900000001</v>
      </c>
      <c r="G20" s="80">
        <f t="shared" si="3"/>
        <v>4.6898871644976053E-2</v>
      </c>
      <c r="H20" s="81" t="s">
        <v>44</v>
      </c>
      <c r="I20" s="81"/>
      <c r="J20" s="82"/>
    </row>
    <row r="21" spans="1:12" ht="13.5" hidden="1" x14ac:dyDescent="0.25">
      <c r="A21" s="77"/>
      <c r="B21" s="65" t="str">
        <f>IFERROR(VLOOKUP(H21,[1]SEMIELABORADOS!$A$2:$M$6000,2,0),"")</f>
        <v/>
      </c>
      <c r="C21" s="78">
        <f>+A21</f>
        <v>0</v>
      </c>
      <c r="D21" s="78" t="str">
        <f>IFERROR(VLOOKUP(H21,[1]SEMIELABORADOS!$A$2:$M$6000,6,0),"")</f>
        <v/>
      </c>
      <c r="E21" s="79" t="str">
        <f>IFERROR(VLOOKUP(H21,[1]SEMIELABORADOS!$A$2:$H$65536,8,0),"")</f>
        <v/>
      </c>
      <c r="F21" s="79" t="str">
        <f>IFERROR(E21*C21,"")</f>
        <v/>
      </c>
      <c r="G21" s="80" t="str">
        <f t="shared" si="3"/>
        <v/>
      </c>
      <c r="H21" s="81"/>
      <c r="I21" s="81"/>
      <c r="J21" s="82"/>
    </row>
    <row r="22" spans="1:12" ht="13.5" hidden="1" x14ac:dyDescent="0.25">
      <c r="A22" s="77"/>
      <c r="B22" s="65" t="str">
        <f>IFERROR(VLOOKUP(H22,[1]SEMIELABORADOS!$A$2:$M$6000,2,0),"")</f>
        <v/>
      </c>
      <c r="C22" s="78">
        <f t="shared" si="4"/>
        <v>0</v>
      </c>
      <c r="D22" s="78" t="str">
        <f>IFERROR(VLOOKUP(H22,[1]SEMIELABORADOS!$A$2:$M$6000,6,0),"")</f>
        <v/>
      </c>
      <c r="E22" s="79" t="str">
        <f>IFERROR(VLOOKUP(H22,[1]SEMIELABORADOS!$A$2:$H$65536,8,0),"")</f>
        <v/>
      </c>
      <c r="F22" s="79" t="str">
        <f t="shared" si="5"/>
        <v/>
      </c>
      <c r="G22" s="80" t="str">
        <f t="shared" si="3"/>
        <v/>
      </c>
      <c r="H22" s="81"/>
      <c r="I22" s="81"/>
      <c r="J22" s="82"/>
    </row>
    <row r="23" spans="1:12" ht="13.5" hidden="1" x14ac:dyDescent="0.25">
      <c r="A23" s="77"/>
      <c r="B23" s="65" t="str">
        <f>IFERROR(VLOOKUP(H23,[1]SEMIELABORADOS!$A$2:$M$6000,2,0),"")</f>
        <v/>
      </c>
      <c r="C23" s="78">
        <f t="shared" si="4"/>
        <v>0</v>
      </c>
      <c r="D23" s="78" t="str">
        <f>IFERROR(VLOOKUP(H23,[1]SEMIELABORADOS!$A$2:$M$6000,6,0),"")</f>
        <v/>
      </c>
      <c r="E23" s="79" t="str">
        <f>IFERROR(VLOOKUP(H23,[1]SEMIELABORADOS!$A$2:$H$65536,8,0),"")</f>
        <v/>
      </c>
      <c r="F23" s="79" t="str">
        <f t="shared" si="5"/>
        <v/>
      </c>
      <c r="G23" s="80" t="str">
        <f t="shared" si="3"/>
        <v/>
      </c>
      <c r="H23" s="81"/>
      <c r="I23" s="81"/>
      <c r="J23" s="82"/>
    </row>
    <row r="24" spans="1:12" ht="13.5" hidden="1" x14ac:dyDescent="0.25">
      <c r="A24" s="77"/>
      <c r="B24" s="65" t="str">
        <f>IFERROR(VLOOKUP(H24,[1]SEMIELABORADOS!$A$2:$M$6000,2,0),"")</f>
        <v/>
      </c>
      <c r="C24" s="78">
        <f t="shared" si="4"/>
        <v>0</v>
      </c>
      <c r="D24" s="78" t="str">
        <f>IFERROR(VLOOKUP(H24,[1]SEMIELABORADOS!$A$2:$M$6000,6,0),"")</f>
        <v/>
      </c>
      <c r="E24" s="79" t="str">
        <f>IFERROR(VLOOKUP(H24,[1]SEMIELABORADOS!$A$2:$H$65536,8,0),"")</f>
        <v/>
      </c>
      <c r="F24" s="79" t="str">
        <f t="shared" si="5"/>
        <v/>
      </c>
      <c r="G24" s="80" t="str">
        <f t="shared" si="3"/>
        <v/>
      </c>
      <c r="H24" s="81"/>
      <c r="I24" s="81"/>
      <c r="J24" s="82"/>
    </row>
    <row r="25" spans="1:12" ht="14.25" thickBot="1" x14ac:dyDescent="0.3">
      <c r="A25" s="77"/>
      <c r="C25" s="78"/>
      <c r="D25" s="78"/>
      <c r="E25" s="79"/>
      <c r="F25" s="79"/>
      <c r="G25" s="80"/>
      <c r="H25" s="81"/>
      <c r="I25" s="81"/>
      <c r="J25" s="82"/>
    </row>
    <row r="26" spans="1:12" ht="26.25" thickBot="1" x14ac:dyDescent="0.3">
      <c r="A26" s="72" t="s">
        <v>101</v>
      </c>
      <c r="B26" s="73" t="s">
        <v>109</v>
      </c>
      <c r="C26" s="73" t="s">
        <v>101</v>
      </c>
      <c r="D26" s="74" t="s">
        <v>103</v>
      </c>
      <c r="E26" s="74" t="s">
        <v>104</v>
      </c>
      <c r="F26" s="74" t="s">
        <v>105</v>
      </c>
      <c r="G26" s="74" t="s">
        <v>106</v>
      </c>
      <c r="H26" s="75" t="s">
        <v>107</v>
      </c>
      <c r="I26" s="76"/>
    </row>
    <row r="27" spans="1:12" ht="13.5" x14ac:dyDescent="0.25">
      <c r="A27" s="77">
        <v>1</v>
      </c>
      <c r="B27" s="83" t="s">
        <v>68</v>
      </c>
      <c r="C27" s="78">
        <f t="shared" ref="C27:C32" si="6">+A27</f>
        <v>1</v>
      </c>
      <c r="D27" s="79" t="s">
        <v>148</v>
      </c>
      <c r="E27" s="79">
        <v>116.05</v>
      </c>
      <c r="F27" s="79">
        <f t="shared" ref="F27:F32" si="7">IFERROR(C27*E27,"")</f>
        <v>116.05</v>
      </c>
      <c r="G27" s="80">
        <f t="shared" ref="G27:G32" si="8">IFERROR(F27/$F$66,"")</f>
        <v>4.8087900829651281E-2</v>
      </c>
      <c r="H27" s="84" t="s">
        <v>67</v>
      </c>
      <c r="I27" s="84"/>
      <c r="J27" s="82"/>
      <c r="K27" s="640"/>
      <c r="L27" s="640"/>
    </row>
    <row r="28" spans="1:12" ht="13.5" x14ac:dyDescent="0.25">
      <c r="A28" s="77">
        <v>1</v>
      </c>
      <c r="B28" s="83" t="s">
        <v>94</v>
      </c>
      <c r="C28" s="78">
        <f t="shared" si="6"/>
        <v>1</v>
      </c>
      <c r="D28" s="79" t="s">
        <v>148</v>
      </c>
      <c r="E28" s="79">
        <v>253.98</v>
      </c>
      <c r="F28" s="79">
        <f t="shared" si="7"/>
        <v>253.98</v>
      </c>
      <c r="G28" s="80">
        <f t="shared" si="8"/>
        <v>0.10524226671878356</v>
      </c>
      <c r="H28" s="84" t="s">
        <v>93</v>
      </c>
      <c r="I28" s="84"/>
      <c r="J28" s="82"/>
      <c r="K28" s="640"/>
      <c r="L28" s="640"/>
    </row>
    <row r="29" spans="1:12" ht="13.5" x14ac:dyDescent="0.25">
      <c r="A29" s="77">
        <v>1</v>
      </c>
      <c r="B29" s="83" t="s">
        <v>29</v>
      </c>
      <c r="C29" s="78">
        <f t="shared" si="6"/>
        <v>1</v>
      </c>
      <c r="D29" s="79" t="s">
        <v>148</v>
      </c>
      <c r="E29" s="79">
        <v>0.57999999999999996</v>
      </c>
      <c r="F29" s="79">
        <f t="shared" si="7"/>
        <v>0.57999999999999996</v>
      </c>
      <c r="G29" s="80">
        <f t="shared" si="8"/>
        <v>2.4033591108313433E-4</v>
      </c>
      <c r="H29" s="84" t="s">
        <v>28</v>
      </c>
      <c r="I29" s="84"/>
      <c r="J29" s="82"/>
      <c r="K29" s="640"/>
      <c r="L29" s="640"/>
    </row>
    <row r="30" spans="1:12" ht="13.5" x14ac:dyDescent="0.25">
      <c r="A30" s="77">
        <v>1</v>
      </c>
      <c r="B30" s="83" t="s">
        <v>70</v>
      </c>
      <c r="C30" s="78">
        <f t="shared" si="6"/>
        <v>1</v>
      </c>
      <c r="D30" s="79" t="s">
        <v>148</v>
      </c>
      <c r="E30" s="79">
        <v>10</v>
      </c>
      <c r="F30" s="79">
        <f t="shared" si="7"/>
        <v>10</v>
      </c>
      <c r="G30" s="80">
        <f t="shared" si="8"/>
        <v>4.1437226048816273E-3</v>
      </c>
      <c r="H30" s="84" t="s">
        <v>69</v>
      </c>
      <c r="I30" s="84"/>
      <c r="J30" s="82"/>
      <c r="K30" s="640"/>
      <c r="L30" s="640"/>
    </row>
    <row r="31" spans="1:12" ht="13.5" x14ac:dyDescent="0.25">
      <c r="A31" s="77">
        <v>1</v>
      </c>
      <c r="B31" s="83" t="s">
        <v>72</v>
      </c>
      <c r="C31" s="78">
        <f t="shared" si="6"/>
        <v>1</v>
      </c>
      <c r="D31" s="79" t="s">
        <v>148</v>
      </c>
      <c r="E31" s="79">
        <v>2.13</v>
      </c>
      <c r="F31" s="79">
        <f t="shared" si="7"/>
        <v>2.13</v>
      </c>
      <c r="G31" s="80">
        <f t="shared" si="8"/>
        <v>8.8261291483978646E-4</v>
      </c>
      <c r="H31" s="84" t="s">
        <v>71</v>
      </c>
      <c r="I31" s="84"/>
      <c r="J31" s="82"/>
      <c r="K31" s="85"/>
      <c r="L31" s="86"/>
    </row>
    <row r="32" spans="1:12" ht="13.5" x14ac:dyDescent="0.25">
      <c r="A32" s="77">
        <v>1</v>
      </c>
      <c r="B32" s="83" t="s">
        <v>74</v>
      </c>
      <c r="C32" s="78">
        <f t="shared" si="6"/>
        <v>1</v>
      </c>
      <c r="D32" s="79" t="s">
        <v>148</v>
      </c>
      <c r="E32" s="79">
        <v>0.39</v>
      </c>
      <c r="F32" s="79">
        <f t="shared" si="7"/>
        <v>0.39</v>
      </c>
      <c r="G32" s="80">
        <f t="shared" si="8"/>
        <v>1.6160518159038346E-4</v>
      </c>
      <c r="H32" s="84" t="s">
        <v>73</v>
      </c>
      <c r="I32" s="84"/>
      <c r="J32" s="82"/>
    </row>
    <row r="33" spans="1:13" ht="14.25" thickBot="1" x14ac:dyDescent="0.3">
      <c r="A33" s="77"/>
      <c r="B33" s="83"/>
      <c r="C33" s="78"/>
      <c r="D33" s="79"/>
      <c r="E33" s="79"/>
      <c r="F33" s="79"/>
      <c r="G33" s="80"/>
      <c r="H33" s="84"/>
      <c r="I33" s="84"/>
      <c r="J33" s="82"/>
    </row>
    <row r="34" spans="1:13" ht="26.25" thickBot="1" x14ac:dyDescent="0.25">
      <c r="A34" s="72" t="s">
        <v>101</v>
      </c>
      <c r="B34" s="73" t="s">
        <v>110</v>
      </c>
      <c r="C34" s="73" t="s">
        <v>101</v>
      </c>
      <c r="D34" s="74" t="s">
        <v>103</v>
      </c>
      <c r="E34" s="74" t="s">
        <v>104</v>
      </c>
      <c r="F34" s="74" t="s">
        <v>105</v>
      </c>
      <c r="G34" s="74" t="s">
        <v>106</v>
      </c>
      <c r="H34" s="75" t="s">
        <v>107</v>
      </c>
      <c r="I34" s="84"/>
      <c r="J34" s="82"/>
    </row>
    <row r="35" spans="1:13" ht="13.5" x14ac:dyDescent="0.25">
      <c r="A35" s="77">
        <f>+A17</f>
        <v>300</v>
      </c>
      <c r="B35" s="65" t="s">
        <v>60</v>
      </c>
      <c r="C35" s="78">
        <f>+A35</f>
        <v>300</v>
      </c>
      <c r="D35" s="79" t="s">
        <v>147</v>
      </c>
      <c r="E35" s="79">
        <v>0</v>
      </c>
      <c r="F35" s="79">
        <f>IFERROR(E35*C35,"")</f>
        <v>0</v>
      </c>
      <c r="G35" s="80">
        <f t="shared" ref="G35:G41" si="9">IFERROR(F35/$F$66,"")</f>
        <v>0</v>
      </c>
      <c r="H35" s="81" t="s">
        <v>48</v>
      </c>
      <c r="I35" s="84"/>
      <c r="J35" s="82"/>
    </row>
    <row r="36" spans="1:13" ht="15.75" customHeight="1" x14ac:dyDescent="0.25">
      <c r="A36" s="77">
        <f t="shared" ref="A36:A41" si="10">+A18</f>
        <v>400</v>
      </c>
      <c r="B36" s="83" t="s">
        <v>66</v>
      </c>
      <c r="C36" s="78">
        <f t="shared" ref="C36:C41" si="11">+A36</f>
        <v>400</v>
      </c>
      <c r="D36" s="79" t="s">
        <v>147</v>
      </c>
      <c r="E36" s="79">
        <f>+'Costo Relleno Blanco Limon'!E76</f>
        <v>9.0419999999999997E-3</v>
      </c>
      <c r="F36" s="79">
        <f t="shared" ref="F36:F41" si="12">IFERROR(E36*C36,"")</f>
        <v>3.6168</v>
      </c>
      <c r="G36" s="80">
        <f t="shared" si="9"/>
        <v>1.4987015917335869E-3</v>
      </c>
      <c r="H36" s="84" t="s">
        <v>44</v>
      </c>
      <c r="I36" s="84"/>
      <c r="J36" s="82"/>
    </row>
    <row r="37" spans="1:13" ht="13.5" x14ac:dyDescent="0.25">
      <c r="A37" s="77">
        <f t="shared" si="10"/>
        <v>30</v>
      </c>
      <c r="B37" s="65" t="s">
        <v>50</v>
      </c>
      <c r="C37" s="78">
        <f t="shared" si="11"/>
        <v>30</v>
      </c>
      <c r="D37" s="79" t="s">
        <v>147</v>
      </c>
      <c r="E37" s="79">
        <v>0.01</v>
      </c>
      <c r="F37" s="79">
        <f t="shared" si="12"/>
        <v>0.3</v>
      </c>
      <c r="G37" s="80">
        <f t="shared" si="9"/>
        <v>1.243116781464488E-4</v>
      </c>
      <c r="H37" s="81" t="s">
        <v>49</v>
      </c>
      <c r="I37" s="84"/>
      <c r="J37" s="82"/>
    </row>
    <row r="38" spans="1:13" ht="13.5" x14ac:dyDescent="0.25">
      <c r="A38" s="77">
        <f t="shared" si="10"/>
        <v>220</v>
      </c>
      <c r="B38" s="83" t="s">
        <v>62</v>
      </c>
      <c r="C38" s="78">
        <f>+A38</f>
        <v>220</v>
      </c>
      <c r="D38" s="79" t="s">
        <v>147</v>
      </c>
      <c r="E38" s="79">
        <f>+'Costo Empaque Lemon Court'!E76</f>
        <v>1.0172E-2</v>
      </c>
      <c r="F38" s="79">
        <f>IFERROR(E38*C38,"")</f>
        <v>2.2378400000000003</v>
      </c>
      <c r="G38" s="80">
        <f t="shared" si="9"/>
        <v>9.2729881941083011E-4</v>
      </c>
      <c r="H38" s="84" t="s">
        <v>44</v>
      </c>
      <c r="I38" s="84"/>
      <c r="J38" s="82"/>
    </row>
    <row r="39" spans="1:13" ht="13.5" hidden="1" x14ac:dyDescent="0.25">
      <c r="A39" s="77">
        <f t="shared" si="10"/>
        <v>0</v>
      </c>
      <c r="B39" s="83" t="str">
        <f>IFERROR(VLOOKUP(H39,[1]SEMIELABORADOS!$A$2:$M$6000,2,0),"")</f>
        <v/>
      </c>
      <c r="C39" s="78">
        <f>+A39</f>
        <v>0</v>
      </c>
      <c r="D39" s="79" t="str">
        <f>IFERROR(VLOOKUP(H39,[1]SEMIELABORADOS!$A$2:$M$6000,6,0),"")</f>
        <v/>
      </c>
      <c r="E39" s="79" t="str">
        <f>IFERROR(VLOOKUP(H39,[1]SEMIELABORADOS!$A$2:$M$65536,10,0),"")</f>
        <v/>
      </c>
      <c r="F39" s="79" t="str">
        <f>IFERROR(E39*C39,"")</f>
        <v/>
      </c>
      <c r="G39" s="80" t="str">
        <f t="shared" si="9"/>
        <v/>
      </c>
      <c r="H39" s="84"/>
      <c r="I39" s="84"/>
      <c r="J39" s="82"/>
    </row>
    <row r="40" spans="1:13" ht="13.5" hidden="1" x14ac:dyDescent="0.25">
      <c r="A40" s="77">
        <f t="shared" si="10"/>
        <v>0</v>
      </c>
      <c r="B40" s="83" t="str">
        <f>IFERROR(VLOOKUP(H40,[1]SEMIELABORADOS!$A$2:$M$6000,2,0),"")</f>
        <v/>
      </c>
      <c r="C40" s="78">
        <f t="shared" si="11"/>
        <v>0</v>
      </c>
      <c r="D40" s="79" t="str">
        <f>IFERROR(VLOOKUP(H40,[1]SEMIELABORADOS!$A$2:$M$6000,6,0),"")</f>
        <v/>
      </c>
      <c r="E40" s="79" t="str">
        <f>IFERROR(VLOOKUP(H40,[1]SEMIELABORADOS!$A$2:$M$65536,10,0),"")</f>
        <v/>
      </c>
      <c r="F40" s="79" t="str">
        <f t="shared" si="12"/>
        <v/>
      </c>
      <c r="G40" s="80" t="str">
        <f t="shared" si="9"/>
        <v/>
      </c>
      <c r="H40" s="84"/>
      <c r="I40" s="84"/>
      <c r="J40" s="82"/>
    </row>
    <row r="41" spans="1:13" ht="13.5" hidden="1" x14ac:dyDescent="0.25">
      <c r="A41" s="77">
        <f t="shared" si="10"/>
        <v>0</v>
      </c>
      <c r="B41" s="83" t="str">
        <f>IFERROR(VLOOKUP(H41,[1]SEMIELABORADOS!$A$2:$M$6000,2,0),"")</f>
        <v/>
      </c>
      <c r="C41" s="78">
        <f t="shared" si="11"/>
        <v>0</v>
      </c>
      <c r="D41" s="79" t="str">
        <f>IFERROR(VLOOKUP(H41,[1]SEMIELABORADOS!$A$2:$M$6000,6,0),"")</f>
        <v/>
      </c>
      <c r="E41" s="79" t="str">
        <f>IFERROR(VLOOKUP(H41,[1]SEMIELABORADOS!$A$2:$M$65536,10,0),"")</f>
        <v/>
      </c>
      <c r="F41" s="79" t="str">
        <f t="shared" si="12"/>
        <v/>
      </c>
      <c r="G41" s="80" t="str">
        <f t="shared" si="9"/>
        <v/>
      </c>
      <c r="H41" s="84"/>
      <c r="I41" s="84"/>
      <c r="J41" s="82"/>
    </row>
    <row r="42" spans="1:13" ht="14.25" thickBot="1" x14ac:dyDescent="0.3">
      <c r="A42" s="77"/>
      <c r="B42" s="83"/>
      <c r="C42" s="78"/>
      <c r="D42" s="79"/>
      <c r="E42" s="79"/>
      <c r="F42" s="79"/>
      <c r="G42" s="80"/>
      <c r="H42" s="84"/>
      <c r="I42" s="84"/>
      <c r="J42" s="82"/>
    </row>
    <row r="43" spans="1:13" ht="26.25" thickBot="1" x14ac:dyDescent="0.3">
      <c r="A43" s="72" t="s">
        <v>101</v>
      </c>
      <c r="B43" s="73" t="s">
        <v>111</v>
      </c>
      <c r="C43" s="73" t="s">
        <v>101</v>
      </c>
      <c r="D43" s="74" t="s">
        <v>103</v>
      </c>
      <c r="E43" s="74" t="s">
        <v>104</v>
      </c>
      <c r="F43" s="74" t="s">
        <v>105</v>
      </c>
      <c r="G43" s="74" t="s">
        <v>106</v>
      </c>
      <c r="H43" s="75" t="s">
        <v>107</v>
      </c>
      <c r="I43" s="76"/>
      <c r="J43" s="82"/>
    </row>
    <row r="44" spans="1:13" ht="13.5" x14ac:dyDescent="0.25">
      <c r="A44" s="77">
        <f>+A35</f>
        <v>300</v>
      </c>
      <c r="B44" s="65" t="s">
        <v>60</v>
      </c>
      <c r="C44" s="78">
        <f>+A44</f>
        <v>300</v>
      </c>
      <c r="D44" s="79" t="s">
        <v>147</v>
      </c>
      <c r="E44" s="79">
        <v>0.16</v>
      </c>
      <c r="F44" s="79">
        <f>IFERROR(E44*C44,"")</f>
        <v>48</v>
      </c>
      <c r="G44" s="80">
        <f>IFERROR(F44/$F$66,"")</f>
        <v>1.9889868503431808E-2</v>
      </c>
      <c r="H44" s="81" t="s">
        <v>48</v>
      </c>
      <c r="I44" s="76"/>
      <c r="J44" s="82"/>
    </row>
    <row r="45" spans="1:13" ht="13.5" x14ac:dyDescent="0.25">
      <c r="A45" s="77">
        <f t="shared" ref="A45:A50" si="13">+A36</f>
        <v>400</v>
      </c>
      <c r="B45" s="83" t="s">
        <v>66</v>
      </c>
      <c r="C45" s="78">
        <f t="shared" ref="C45:C50" si="14">+A45</f>
        <v>400</v>
      </c>
      <c r="D45" s="79" t="s">
        <v>147</v>
      </c>
      <c r="E45" s="79">
        <f>+'Costo Relleno Blanco Limon'!E74</f>
        <v>0.113168</v>
      </c>
      <c r="F45" s="79">
        <f t="shared" ref="F45:F50" si="15">IFERROR(E45*C45,"")</f>
        <v>45.267200000000003</v>
      </c>
      <c r="G45" s="80">
        <f t="shared" ref="G45:G50" si="16">IFERROR(F45/$F$66,"")</f>
        <v>1.875747198996976E-2</v>
      </c>
      <c r="H45" s="84" t="s">
        <v>44</v>
      </c>
      <c r="I45" s="76"/>
      <c r="J45" s="82"/>
      <c r="M45" s="87"/>
    </row>
    <row r="46" spans="1:13" ht="13.5" x14ac:dyDescent="0.25">
      <c r="A46" s="77">
        <f t="shared" si="13"/>
        <v>30</v>
      </c>
      <c r="B46" s="65" t="s">
        <v>50</v>
      </c>
      <c r="C46" s="78">
        <f t="shared" si="14"/>
        <v>30</v>
      </c>
      <c r="D46" s="79" t="s">
        <v>147</v>
      </c>
      <c r="E46" s="79">
        <v>0.04</v>
      </c>
      <c r="F46" s="79">
        <f t="shared" si="15"/>
        <v>1.2</v>
      </c>
      <c r="G46" s="80">
        <f t="shared" si="16"/>
        <v>4.9724671258579518E-4</v>
      </c>
      <c r="H46" s="81" t="s">
        <v>49</v>
      </c>
      <c r="I46" s="76"/>
      <c r="J46" s="82"/>
    </row>
    <row r="47" spans="1:13" ht="13.5" x14ac:dyDescent="0.25">
      <c r="A47" s="77">
        <f t="shared" si="13"/>
        <v>220</v>
      </c>
      <c r="B47" s="83" t="s">
        <v>62</v>
      </c>
      <c r="C47" s="78">
        <f t="shared" si="14"/>
        <v>220</v>
      </c>
      <c r="D47" s="79" t="s">
        <v>147</v>
      </c>
      <c r="E47" s="79">
        <f>+'Costo Empaque Lemon Court'!E74</f>
        <v>0.14630000000000001</v>
      </c>
      <c r="F47" s="79">
        <f t="shared" si="15"/>
        <v>32.186</v>
      </c>
      <c r="G47" s="80">
        <f t="shared" si="16"/>
        <v>1.3336985576072003E-2</v>
      </c>
      <c r="H47" s="84" t="s">
        <v>44</v>
      </c>
      <c r="I47" s="76"/>
      <c r="J47" s="82"/>
    </row>
    <row r="48" spans="1:13" ht="13.5" hidden="1" x14ac:dyDescent="0.25">
      <c r="A48" s="77">
        <f t="shared" si="13"/>
        <v>0</v>
      </c>
      <c r="B48" s="83" t="str">
        <f>IFERROR(VLOOKUP(H48,[1]SEMIELABORADOS!$A$2:$M$6000,2,0),"")</f>
        <v/>
      </c>
      <c r="C48" s="78">
        <f t="shared" si="14"/>
        <v>0</v>
      </c>
      <c r="D48" s="79" t="str">
        <f>IFERROR(VLOOKUP(H48,[1]SEMIELABORADOS!$A$2:$M$6000,6,0),"")</f>
        <v/>
      </c>
      <c r="E48" s="79" t="str">
        <f>IFERROR(VLOOKUP(H48,[1]SEMIELABORADOS!$A$2:$M$65536,12,0),"")</f>
        <v/>
      </c>
      <c r="F48" s="79" t="str">
        <f t="shared" si="15"/>
        <v/>
      </c>
      <c r="G48" s="80" t="str">
        <f t="shared" si="16"/>
        <v/>
      </c>
      <c r="H48" s="84"/>
      <c r="I48" s="76"/>
      <c r="J48" s="82"/>
    </row>
    <row r="49" spans="1:17" ht="13.5" hidden="1" x14ac:dyDescent="0.25">
      <c r="A49" s="77">
        <f t="shared" si="13"/>
        <v>0</v>
      </c>
      <c r="B49" s="83" t="str">
        <f>IFERROR(VLOOKUP(H49,[1]SEMIELABORADOS!$A$2:$M$6000,2,0),"")</f>
        <v/>
      </c>
      <c r="C49" s="78">
        <f t="shared" si="14"/>
        <v>0</v>
      </c>
      <c r="D49" s="79" t="str">
        <f>IFERROR(VLOOKUP(H49,[1]SEMIELABORADOS!$A$2:$M$6000,6,0),"")</f>
        <v/>
      </c>
      <c r="E49" s="79" t="str">
        <f>IFERROR(VLOOKUP(H49,[1]SEMIELABORADOS!$A$2:$M$65536,12,0),"")</f>
        <v/>
      </c>
      <c r="F49" s="79" t="str">
        <f t="shared" si="15"/>
        <v/>
      </c>
      <c r="G49" s="80" t="str">
        <f t="shared" si="16"/>
        <v/>
      </c>
      <c r="H49" s="84"/>
      <c r="I49" s="76"/>
      <c r="J49" s="82"/>
    </row>
    <row r="50" spans="1:17" ht="13.5" hidden="1" x14ac:dyDescent="0.25">
      <c r="A50" s="77">
        <f t="shared" si="13"/>
        <v>0</v>
      </c>
      <c r="B50" s="83" t="str">
        <f>IFERROR(VLOOKUP(H50,[1]SEMIELABORADOS!$A$2:$M$6000,2,0),"")</f>
        <v/>
      </c>
      <c r="C50" s="78">
        <f t="shared" si="14"/>
        <v>0</v>
      </c>
      <c r="D50" s="79" t="str">
        <f>IFERROR(VLOOKUP(H50,[1]SEMIELABORADOS!$A$2:$M$6000,6,0),"")</f>
        <v/>
      </c>
      <c r="E50" s="79" t="str">
        <f>IFERROR(VLOOKUP(H50,[1]SEMIELABORADOS!$A$2:$M$65536,12,0),"")</f>
        <v/>
      </c>
      <c r="F50" s="79" t="str">
        <f t="shared" si="15"/>
        <v/>
      </c>
      <c r="G50" s="80" t="str">
        <f t="shared" si="16"/>
        <v/>
      </c>
      <c r="H50" s="83"/>
      <c r="I50" s="76"/>
      <c r="J50" s="82"/>
    </row>
    <row r="51" spans="1:17" ht="13.5" x14ac:dyDescent="0.25">
      <c r="A51" s="77">
        <v>1</v>
      </c>
      <c r="B51" s="83" t="s">
        <v>112</v>
      </c>
      <c r="C51" s="78">
        <f>+A51</f>
        <v>1</v>
      </c>
      <c r="D51" s="78" t="s">
        <v>113</v>
      </c>
      <c r="E51" s="79">
        <f>+F65</f>
        <v>77</v>
      </c>
      <c r="F51" s="79">
        <f>IFERROR(C51*E51,"")</f>
        <v>77</v>
      </c>
      <c r="G51" s="80">
        <f>IFERROR(F51/$F$66,"")</f>
        <v>3.1906664057588525E-2</v>
      </c>
      <c r="H51" s="88"/>
      <c r="I51" s="88"/>
      <c r="J51" s="82"/>
    </row>
    <row r="52" spans="1:17" ht="14.25" thickBot="1" x14ac:dyDescent="0.3">
      <c r="A52" s="77"/>
      <c r="B52" s="83"/>
      <c r="C52" s="78"/>
      <c r="D52" s="78"/>
      <c r="E52" s="79"/>
      <c r="F52" s="79"/>
      <c r="G52" s="80"/>
      <c r="H52" s="88"/>
      <c r="I52" s="88"/>
      <c r="J52" s="82"/>
    </row>
    <row r="53" spans="1:17" ht="13.5" thickBot="1" x14ac:dyDescent="0.3">
      <c r="A53" s="89"/>
      <c r="B53" s="641" t="s">
        <v>114</v>
      </c>
      <c r="C53" s="641"/>
      <c r="D53" s="641"/>
      <c r="E53" s="641"/>
      <c r="F53" s="91">
        <f>SUM(F8:F14,F17:F24)</f>
        <v>1908.8277609999998</v>
      </c>
      <c r="G53" s="80">
        <f>+F53/$F$66</f>
        <v>0.79096527420812823</v>
      </c>
      <c r="H53" s="92">
        <f>+F53/$D$60</f>
        <v>1908.8277609999998</v>
      </c>
      <c r="I53" s="92"/>
      <c r="J53" s="93"/>
      <c r="K53" s="94"/>
      <c r="L53" s="94"/>
      <c r="M53" s="94"/>
      <c r="N53" s="94"/>
      <c r="O53" s="94"/>
      <c r="P53" s="94"/>
      <c r="Q53" s="95"/>
    </row>
    <row r="54" spans="1:17" x14ac:dyDescent="0.2">
      <c r="A54" s="89"/>
      <c r="B54" s="641" t="s">
        <v>115</v>
      </c>
      <c r="C54" s="641"/>
      <c r="D54" s="641"/>
      <c r="E54" s="641"/>
      <c r="F54" s="91">
        <f>SUM(F27:F32,F35:F41)</f>
        <v>389.28463999999997</v>
      </c>
      <c r="G54" s="80">
        <f>+F54/$F$66</f>
        <v>0.16130875625012062</v>
      </c>
      <c r="H54" s="92">
        <f>+F54/$D$60</f>
        <v>389.28463999999997</v>
      </c>
      <c r="I54" s="92"/>
      <c r="J54" s="96"/>
      <c r="K54" s="642" t="s">
        <v>116</v>
      </c>
      <c r="L54" s="643"/>
      <c r="M54" s="643"/>
      <c r="N54" s="643"/>
      <c r="O54" s="97">
        <f>+F55</f>
        <v>2298.1124009999999</v>
      </c>
      <c r="P54" s="97"/>
      <c r="Q54" s="98"/>
    </row>
    <row r="55" spans="1:17" x14ac:dyDescent="0.2">
      <c r="A55" s="89"/>
      <c r="B55" s="641" t="s">
        <v>117</v>
      </c>
      <c r="C55" s="641"/>
      <c r="D55" s="641"/>
      <c r="E55" s="641"/>
      <c r="F55" s="91">
        <f>+F53+F54</f>
        <v>2298.1124009999999</v>
      </c>
      <c r="G55" s="80">
        <f>+F55/$F$66</f>
        <v>0.95227403045824888</v>
      </c>
      <c r="H55" s="92">
        <f>+F55/$D$60</f>
        <v>2298.1124009999999</v>
      </c>
      <c r="I55" s="92"/>
      <c r="J55" s="99"/>
      <c r="K55" s="100"/>
      <c r="M55" s="101" t="s">
        <v>118</v>
      </c>
      <c r="N55" s="102"/>
      <c r="O55" s="97">
        <f>+H56</f>
        <v>203.6532</v>
      </c>
      <c r="P55" s="97"/>
      <c r="Q55" s="98"/>
    </row>
    <row r="56" spans="1:17" ht="13.5" thickBot="1" x14ac:dyDescent="0.25">
      <c r="A56" s="89"/>
      <c r="B56" s="90"/>
      <c r="C56" s="641" t="s">
        <v>119</v>
      </c>
      <c r="D56" s="641"/>
      <c r="E56" s="641"/>
      <c r="F56" s="91">
        <f>SUM(F44:F51)</f>
        <v>203.6532</v>
      </c>
      <c r="G56" s="80">
        <f>+F56/$F$66</f>
        <v>8.4388236839647898E-2</v>
      </c>
      <c r="H56" s="92">
        <f>+F56/$D$60</f>
        <v>203.6532</v>
      </c>
      <c r="I56" s="92"/>
      <c r="J56" s="99"/>
      <c r="K56" s="100"/>
      <c r="L56" s="100"/>
      <c r="M56" s="100" t="s">
        <v>120</v>
      </c>
      <c r="N56" s="103"/>
      <c r="O56" s="97">
        <f>O54*N56</f>
        <v>0</v>
      </c>
      <c r="P56" s="97"/>
      <c r="Q56" s="98"/>
    </row>
    <row r="57" spans="1:17" ht="13.5" thickBot="1" x14ac:dyDescent="0.25">
      <c r="A57" s="89"/>
      <c r="B57" s="104"/>
      <c r="C57" s="104"/>
      <c r="D57" s="104"/>
      <c r="E57" s="104"/>
      <c r="F57" s="105"/>
      <c r="G57" s="80"/>
      <c r="H57" s="106"/>
      <c r="I57" s="92"/>
      <c r="J57" s="99"/>
      <c r="K57" s="107"/>
      <c r="M57" s="108" t="s">
        <v>121</v>
      </c>
      <c r="N57" s="109"/>
      <c r="O57" s="110">
        <f>SUM(O54:O56)</f>
        <v>2501.7656010000001</v>
      </c>
      <c r="P57" s="111"/>
      <c r="Q57" s="98"/>
    </row>
    <row r="58" spans="1:17" x14ac:dyDescent="0.2">
      <c r="B58" s="644" t="s">
        <v>122</v>
      </c>
      <c r="C58" s="644"/>
      <c r="D58" s="112">
        <v>930</v>
      </c>
      <c r="E58" s="113"/>
      <c r="G58" s="80"/>
      <c r="H58" s="106">
        <f>+H56/77</f>
        <v>2.6448467532467532</v>
      </c>
      <c r="I58" s="114"/>
      <c r="J58" s="99"/>
      <c r="K58" s="107"/>
      <c r="L58" s="100"/>
      <c r="M58" s="100" t="s">
        <v>123</v>
      </c>
      <c r="N58" s="115"/>
      <c r="O58" s="97">
        <f>+H59</f>
        <v>169.27019220779221</v>
      </c>
      <c r="P58" s="97"/>
      <c r="Q58" s="98"/>
    </row>
    <row r="59" spans="1:17" x14ac:dyDescent="0.2">
      <c r="B59" s="644" t="s">
        <v>124</v>
      </c>
      <c r="C59" s="644"/>
      <c r="D59" s="116">
        <v>930</v>
      </c>
      <c r="E59" s="113"/>
      <c r="G59" s="80"/>
      <c r="H59" s="106">
        <f>+H58*64</f>
        <v>169.27019220779221</v>
      </c>
      <c r="I59" s="114"/>
      <c r="J59" s="99"/>
      <c r="K59" s="107"/>
      <c r="L59" s="100"/>
      <c r="M59" s="645" t="s">
        <v>121</v>
      </c>
      <c r="N59" s="645"/>
      <c r="O59" s="97">
        <f>SUM(O57:O58)</f>
        <v>2671.0357932077923</v>
      </c>
      <c r="P59" s="97"/>
      <c r="Q59" s="98"/>
    </row>
    <row r="60" spans="1:17" ht="13.5" thickBot="1" x14ac:dyDescent="0.25">
      <c r="B60" s="636" t="s">
        <v>125</v>
      </c>
      <c r="C60" s="636"/>
      <c r="D60" s="112">
        <f>+D58/D59</f>
        <v>1</v>
      </c>
      <c r="E60" s="113"/>
      <c r="F60" s="117"/>
      <c r="G60" s="80"/>
      <c r="H60" s="106"/>
      <c r="I60" s="114"/>
      <c r="J60" s="99"/>
      <c r="K60" s="107"/>
      <c r="L60" s="645"/>
      <c r="M60" s="645"/>
      <c r="N60" s="115"/>
      <c r="O60" s="97">
        <f>+O59*N60</f>
        <v>0</v>
      </c>
      <c r="P60" s="97"/>
      <c r="Q60" s="98"/>
    </row>
    <row r="61" spans="1:17" ht="13.5" thickBot="1" x14ac:dyDescent="0.25">
      <c r="B61" s="636" t="s">
        <v>126</v>
      </c>
      <c r="C61" s="636"/>
      <c r="D61" s="118"/>
      <c r="E61" s="113"/>
      <c r="F61" s="117"/>
      <c r="G61" s="80"/>
      <c r="H61" s="106"/>
      <c r="I61" s="114"/>
      <c r="J61" s="99"/>
      <c r="K61" s="637" t="s">
        <v>127</v>
      </c>
      <c r="L61" s="638"/>
      <c r="M61" s="638"/>
      <c r="N61" s="639"/>
      <c r="O61" s="110">
        <f>SUM(O59:O60)</f>
        <v>2671.0357932077923</v>
      </c>
      <c r="P61" s="119" t="s">
        <v>128</v>
      </c>
      <c r="Q61" s="98"/>
    </row>
    <row r="62" spans="1:17" ht="13.5" thickBot="1" x14ac:dyDescent="0.25">
      <c r="C62" s="89" t="s">
        <v>129</v>
      </c>
      <c r="D62" s="120"/>
      <c r="E62" s="63" t="s">
        <v>130</v>
      </c>
      <c r="F62" s="121" t="s">
        <v>131</v>
      </c>
      <c r="G62" s="80"/>
      <c r="H62" s="106"/>
      <c r="I62" s="114"/>
      <c r="J62" s="122"/>
      <c r="K62" s="123"/>
      <c r="L62" s="625" t="s">
        <v>132</v>
      </c>
      <c r="M62" s="625"/>
      <c r="N62" s="625"/>
      <c r="O62" s="124">
        <f>+O61/D60</f>
        <v>2671.0357932077923</v>
      </c>
      <c r="P62" s="125">
        <f>+O62/D59</f>
        <v>2.872081498072895</v>
      </c>
      <c r="Q62" s="126"/>
    </row>
    <row r="63" spans="1:17" ht="13.5" thickBot="1" x14ac:dyDescent="0.25">
      <c r="B63" s="626" t="s">
        <v>117</v>
      </c>
      <c r="C63" s="626"/>
      <c r="D63" s="626"/>
      <c r="E63" s="127">
        <f>+F63/F63</f>
        <v>1</v>
      </c>
      <c r="F63" s="128">
        <f>SUM(F55)</f>
        <v>2298.1124009999999</v>
      </c>
      <c r="G63" s="80">
        <f>+F63/$F$66</f>
        <v>0.95227403045824888</v>
      </c>
      <c r="H63" s="106"/>
      <c r="I63" s="114"/>
      <c r="K63" s="627"/>
      <c r="L63" s="628"/>
      <c r="M63" s="628"/>
      <c r="N63" s="628"/>
      <c r="O63" s="129"/>
      <c r="P63" s="130"/>
    </row>
    <row r="64" spans="1:17" ht="13.5" thickBot="1" x14ac:dyDescent="0.3">
      <c r="B64" s="629" t="s">
        <v>133</v>
      </c>
      <c r="C64" s="629"/>
      <c r="D64" s="629"/>
      <c r="E64" s="131">
        <v>0.02</v>
      </c>
      <c r="F64" s="128">
        <f>+F53*E64</f>
        <v>38.176555219999997</v>
      </c>
      <c r="G64" s="80">
        <f>+F64/$F$66</f>
        <v>1.5819305484162566E-2</v>
      </c>
      <c r="H64" s="92"/>
      <c r="I64" s="114"/>
      <c r="J64" s="132"/>
      <c r="O64" s="133"/>
      <c r="P64" s="90"/>
    </row>
    <row r="65" spans="2:13" ht="13.5" thickBot="1" x14ac:dyDescent="0.3">
      <c r="B65" s="630" t="s">
        <v>134</v>
      </c>
      <c r="C65" s="631"/>
      <c r="D65" s="134">
        <v>1</v>
      </c>
      <c r="E65" s="135">
        <v>77</v>
      </c>
      <c r="F65" s="128">
        <f>+E65*D65</f>
        <v>77</v>
      </c>
      <c r="G65" s="80">
        <f>+F65/$F$66</f>
        <v>3.1906664057588525E-2</v>
      </c>
      <c r="H65" s="92"/>
      <c r="I65" s="92"/>
      <c r="J65" s="82"/>
    </row>
    <row r="66" spans="2:13" ht="13.5" thickBot="1" x14ac:dyDescent="0.3">
      <c r="B66" s="632" t="s">
        <v>135</v>
      </c>
      <c r="C66" s="633"/>
      <c r="D66" s="633"/>
      <c r="E66" s="634"/>
      <c r="F66" s="105">
        <f>SUM(F63:F65)</f>
        <v>2413.2889562199998</v>
      </c>
      <c r="G66" s="80">
        <f>+F66/$F$66</f>
        <v>1</v>
      </c>
      <c r="H66" s="635"/>
      <c r="I66" s="92"/>
      <c r="J66" s="82"/>
      <c r="M66" s="65" t="s">
        <v>136</v>
      </c>
    </row>
    <row r="67" spans="2:13" x14ac:dyDescent="0.25">
      <c r="C67" s="87"/>
      <c r="D67" s="87"/>
      <c r="E67" s="137"/>
      <c r="F67" s="128"/>
      <c r="G67" s="80"/>
      <c r="H67" s="635"/>
      <c r="I67" s="136"/>
      <c r="J67" s="65"/>
      <c r="M67" s="65" t="s">
        <v>137</v>
      </c>
    </row>
    <row r="68" spans="2:13" ht="13.5" thickBot="1" x14ac:dyDescent="0.3">
      <c r="B68" s="620" t="s">
        <v>138</v>
      </c>
      <c r="C68" s="620"/>
      <c r="D68" s="620"/>
      <c r="E68" s="620"/>
      <c r="F68" s="620"/>
      <c r="G68" s="80"/>
      <c r="H68" s="139"/>
      <c r="I68" s="136"/>
      <c r="J68" s="65"/>
      <c r="M68" s="65" t="s">
        <v>139</v>
      </c>
    </row>
    <row r="69" spans="2:13" ht="13.5" thickBot="1" x14ac:dyDescent="0.3">
      <c r="B69" s="140" t="s">
        <v>140</v>
      </c>
      <c r="C69" s="141">
        <f>+F53</f>
        <v>1908.8277609999998</v>
      </c>
      <c r="D69" s="141">
        <f>+D58</f>
        <v>930</v>
      </c>
      <c r="E69" s="142">
        <f>+C69/D69</f>
        <v>2.0525029688172043</v>
      </c>
      <c r="F69" s="80"/>
      <c r="G69" s="139"/>
      <c r="H69" s="82"/>
      <c r="I69" s="139"/>
      <c r="J69" s="65"/>
    </row>
    <row r="70" spans="2:13" x14ac:dyDescent="0.25">
      <c r="B70" s="143"/>
      <c r="C70" s="144"/>
      <c r="D70" s="145"/>
      <c r="E70" s="128"/>
      <c r="F70" s="80"/>
      <c r="G70" s="139"/>
      <c r="H70" s="82"/>
      <c r="I70" s="82"/>
      <c r="J70" s="65"/>
    </row>
    <row r="71" spans="2:13" x14ac:dyDescent="0.25">
      <c r="B71" s="140" t="s">
        <v>141</v>
      </c>
      <c r="C71" s="141">
        <f>SUM(F63:F64)</f>
        <v>2336.2889562199998</v>
      </c>
      <c r="D71" s="141">
        <f>+D58</f>
        <v>930</v>
      </c>
      <c r="E71" s="146">
        <f>+C71/D71</f>
        <v>2.5121386626021502</v>
      </c>
      <c r="F71" s="80"/>
      <c r="G71" s="139"/>
      <c r="H71" s="82"/>
      <c r="I71" s="82"/>
      <c r="J71" s="65"/>
    </row>
    <row r="72" spans="2:13" x14ac:dyDescent="0.25">
      <c r="B72" s="140"/>
      <c r="C72" s="141"/>
      <c r="D72" s="141"/>
      <c r="E72" s="146"/>
      <c r="F72" s="80"/>
      <c r="G72" s="139"/>
      <c r="H72" s="82"/>
      <c r="I72" s="82"/>
      <c r="J72" s="65"/>
    </row>
    <row r="73" spans="2:13" ht="13.5" thickBot="1" x14ac:dyDescent="0.3">
      <c r="B73" s="140" t="s">
        <v>142</v>
      </c>
      <c r="C73" s="141">
        <f>+F65</f>
        <v>77</v>
      </c>
      <c r="D73" s="141">
        <f>+D58</f>
        <v>930</v>
      </c>
      <c r="E73" s="146">
        <f>+C73/D73</f>
        <v>8.2795698924731181E-2</v>
      </c>
      <c r="F73" s="80"/>
      <c r="G73" s="139"/>
      <c r="H73" s="82"/>
      <c r="I73" s="82"/>
      <c r="J73" s="65"/>
    </row>
    <row r="74" spans="2:13" ht="13.5" thickBot="1" x14ac:dyDescent="0.3">
      <c r="B74" s="140" t="s">
        <v>143</v>
      </c>
      <c r="C74" s="141">
        <f>+F56</f>
        <v>203.6532</v>
      </c>
      <c r="D74" s="141">
        <f>+D73</f>
        <v>930</v>
      </c>
      <c r="E74" s="142">
        <f>+C74/D74</f>
        <v>0.21898193548387096</v>
      </c>
      <c r="F74" s="80"/>
      <c r="G74" s="139"/>
      <c r="H74" s="82"/>
      <c r="I74" s="82"/>
      <c r="J74" s="65"/>
    </row>
    <row r="75" spans="2:13" ht="13.5" thickBot="1" x14ac:dyDescent="0.3">
      <c r="B75" s="104"/>
      <c r="C75" s="105"/>
      <c r="D75" s="105"/>
      <c r="E75" s="146"/>
      <c r="F75" s="80"/>
      <c r="G75" s="139"/>
      <c r="H75" s="82"/>
      <c r="I75" s="82"/>
      <c r="J75" s="65"/>
    </row>
    <row r="76" spans="2:13" ht="13.5" thickBot="1" x14ac:dyDescent="0.3">
      <c r="B76" s="140" t="s">
        <v>144</v>
      </c>
      <c r="C76" s="141">
        <f>+F54</f>
        <v>389.28463999999997</v>
      </c>
      <c r="D76" s="141">
        <f>+D74</f>
        <v>930</v>
      </c>
      <c r="E76" s="142">
        <f>+C76/D76</f>
        <v>0.41858563440860214</v>
      </c>
      <c r="F76" s="80"/>
      <c r="G76" s="139"/>
      <c r="H76" s="82"/>
      <c r="I76" s="82"/>
      <c r="J76" s="82"/>
    </row>
    <row r="77" spans="2:13" ht="13.5" thickBot="1" x14ac:dyDescent="0.3">
      <c r="B77" s="104"/>
      <c r="C77" s="105"/>
      <c r="D77" s="105"/>
      <c r="E77" s="146"/>
      <c r="F77" s="80"/>
      <c r="G77" s="139"/>
      <c r="H77" s="82"/>
      <c r="I77" s="82"/>
    </row>
    <row r="78" spans="2:13" ht="13.5" thickBot="1" x14ac:dyDescent="0.3">
      <c r="B78" s="621" t="s">
        <v>145</v>
      </c>
      <c r="C78" s="622"/>
      <c r="D78" s="623"/>
      <c r="E78" s="142">
        <f>+E69+E74</f>
        <v>2.2714849043010754</v>
      </c>
      <c r="G78" s="80"/>
      <c r="H78" s="139"/>
      <c r="I78" s="82"/>
      <c r="J78" s="146"/>
    </row>
    <row r="79" spans="2:13" x14ac:dyDescent="0.25">
      <c r="I79" s="139"/>
      <c r="J79" s="65"/>
    </row>
    <row r="80" spans="2:13" ht="13.5" thickBot="1" x14ac:dyDescent="0.3">
      <c r="B80" s="620" t="s">
        <v>146</v>
      </c>
      <c r="C80" s="620"/>
      <c r="D80" s="620"/>
      <c r="E80" s="620"/>
      <c r="F80" s="620"/>
      <c r="G80" s="80"/>
      <c r="H80" s="139"/>
      <c r="J80" s="65"/>
    </row>
    <row r="81" spans="1:10" ht="13.5" thickBot="1" x14ac:dyDescent="0.3">
      <c r="B81" s="140" t="s">
        <v>140</v>
      </c>
      <c r="C81" s="141">
        <f>+C69</f>
        <v>1908.8277609999998</v>
      </c>
      <c r="D81" s="141">
        <f>+D60</f>
        <v>1</v>
      </c>
      <c r="E81" s="142">
        <f>+C81/D81</f>
        <v>1908.8277609999998</v>
      </c>
      <c r="F81" s="80"/>
      <c r="G81" s="139"/>
      <c r="H81" s="82"/>
      <c r="I81" s="139"/>
      <c r="J81" s="65"/>
    </row>
    <row r="82" spans="1:10" x14ac:dyDescent="0.25">
      <c r="B82" s="143"/>
      <c r="C82" s="144"/>
      <c r="D82" s="145"/>
      <c r="E82" s="128"/>
      <c r="F82" s="80"/>
      <c r="G82" s="139"/>
      <c r="H82" s="82"/>
      <c r="I82" s="82"/>
      <c r="J82" s="65"/>
    </row>
    <row r="83" spans="1:10" x14ac:dyDescent="0.25">
      <c r="B83" s="140" t="s">
        <v>141</v>
      </c>
      <c r="C83" s="141">
        <f>+C71</f>
        <v>2336.2889562199998</v>
      </c>
      <c r="D83" s="141">
        <f>+D60</f>
        <v>1</v>
      </c>
      <c r="E83" s="146">
        <f>+C83/D83</f>
        <v>2336.2889562199998</v>
      </c>
      <c r="F83" s="80"/>
      <c r="G83" s="139"/>
      <c r="H83" s="82"/>
      <c r="I83" s="82"/>
      <c r="J83" s="65"/>
    </row>
    <row r="84" spans="1:10" x14ac:dyDescent="0.25">
      <c r="B84" s="140"/>
      <c r="C84" s="141"/>
      <c r="D84" s="141"/>
      <c r="E84" s="146"/>
      <c r="F84" s="80"/>
      <c r="G84" s="139"/>
      <c r="H84" s="82"/>
      <c r="I84" s="82"/>
      <c r="J84" s="65"/>
    </row>
    <row r="85" spans="1:10" ht="13.5" thickBot="1" x14ac:dyDescent="0.3">
      <c r="B85" s="140" t="s">
        <v>143</v>
      </c>
      <c r="C85" s="141">
        <f>+C73</f>
        <v>77</v>
      </c>
      <c r="D85" s="141">
        <f>+D60</f>
        <v>1</v>
      </c>
      <c r="E85" s="146">
        <f>+C85/D85</f>
        <v>77</v>
      </c>
      <c r="F85" s="148"/>
      <c r="G85" s="138"/>
      <c r="H85" s="64"/>
      <c r="I85" s="82"/>
    </row>
    <row r="86" spans="1:10" ht="13.5" thickBot="1" x14ac:dyDescent="0.3">
      <c r="B86" s="140" t="s">
        <v>143</v>
      </c>
      <c r="C86" s="141">
        <f>+C74</f>
        <v>203.6532</v>
      </c>
      <c r="D86" s="141">
        <f>+D85</f>
        <v>1</v>
      </c>
      <c r="E86" s="142">
        <f>+C86/D86</f>
        <v>203.6532</v>
      </c>
      <c r="F86" s="147"/>
      <c r="G86" s="138"/>
      <c r="H86" s="64"/>
      <c r="I86" s="64"/>
    </row>
    <row r="87" spans="1:10" x14ac:dyDescent="0.25">
      <c r="I87" s="64"/>
    </row>
    <row r="88" spans="1:10" x14ac:dyDescent="0.2">
      <c r="A88" s="624"/>
      <c r="B88" s="624"/>
      <c r="C88" s="149"/>
      <c r="D88" s="149"/>
      <c r="E88" s="150"/>
      <c r="G88" s="151"/>
    </row>
    <row r="89" spans="1:10" x14ac:dyDescent="0.2">
      <c r="A89" s="83"/>
      <c r="B89" s="152"/>
      <c r="C89" s="153"/>
      <c r="D89" s="153"/>
      <c r="E89" s="154"/>
      <c r="G89" s="151"/>
    </row>
    <row r="90" spans="1:10" x14ac:dyDescent="0.2">
      <c r="A90" s="83"/>
      <c r="B90" s="152"/>
      <c r="C90" s="155"/>
      <c r="D90" s="155"/>
      <c r="E90" s="83"/>
      <c r="G90" s="151"/>
    </row>
    <row r="91" spans="1:10" x14ac:dyDescent="0.2">
      <c r="A91" s="83"/>
      <c r="B91" s="152"/>
      <c r="C91" s="156"/>
      <c r="D91" s="156"/>
      <c r="E91" s="83"/>
      <c r="G91" s="15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E27A-2A36-4321-82A2-237CCFA02C4E}">
  <dimension ref="A1:Q91"/>
  <sheetViews>
    <sheetView topLeftCell="A58" workbookViewId="0">
      <selection activeCell="B51" sqref="B51"/>
    </sheetView>
  </sheetViews>
  <sheetFormatPr baseColWidth="10" defaultColWidth="8.42578125" defaultRowHeight="12.75" x14ac:dyDescent="0.25"/>
  <cols>
    <col min="1" max="1" width="10" style="65" bestFit="1" customWidth="1"/>
    <col min="2" max="2" width="44.28515625" style="65" bestFit="1" customWidth="1"/>
    <col min="3" max="3" width="10.42578125" style="65" bestFit="1" customWidth="1"/>
    <col min="4" max="4" width="10.42578125" style="65" customWidth="1"/>
    <col min="5" max="5" width="9.7109375" style="65" bestFit="1" customWidth="1"/>
    <col min="6" max="6" width="9.5703125" style="65" bestFit="1" customWidth="1"/>
    <col min="7" max="7" width="9.5703125" style="147" bestFit="1" customWidth="1"/>
    <col min="8" max="8" width="10.42578125" style="138" bestFit="1" customWidth="1"/>
    <col min="9" max="9" width="4.5703125" style="138" customWidth="1"/>
    <col min="10" max="10" width="1.85546875" style="64" customWidth="1"/>
    <col min="11" max="11" width="7" style="65" bestFit="1" customWidth="1"/>
    <col min="12" max="12" width="6.285156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28515625" style="65" customWidth="1"/>
    <col min="18" max="256" width="8.42578125" style="65"/>
    <col min="257" max="257" width="10" style="65" bestFit="1" customWidth="1"/>
    <col min="258" max="258" width="44.28515625" style="65" bestFit="1" customWidth="1"/>
    <col min="259" max="259" width="10.42578125" style="65" bestFit="1" customWidth="1"/>
    <col min="260" max="260" width="10.42578125" style="65" customWidth="1"/>
    <col min="261" max="261" width="9.7109375" style="65" bestFit="1" customWidth="1"/>
    <col min="262" max="263" width="9.5703125" style="65" bestFit="1" customWidth="1"/>
    <col min="264" max="264" width="10.42578125" style="65" bestFit="1" customWidth="1"/>
    <col min="265" max="265" width="4.5703125" style="65" customWidth="1"/>
    <col min="266" max="266" width="1.85546875" style="65" customWidth="1"/>
    <col min="267" max="267" width="7" style="65" bestFit="1" customWidth="1"/>
    <col min="268" max="268" width="6.28515625" style="65" customWidth="1"/>
    <col min="269" max="269" width="20.42578125" style="65" customWidth="1"/>
    <col min="270" max="270" width="6.42578125" style="65" bestFit="1" customWidth="1"/>
    <col min="271" max="272" width="8.42578125" style="65"/>
    <col min="273" max="273" width="3.28515625" style="65" customWidth="1"/>
    <col min="274" max="512" width="8.42578125" style="65"/>
    <col min="513" max="513" width="10" style="65" bestFit="1" customWidth="1"/>
    <col min="514" max="514" width="44.28515625" style="65" bestFit="1" customWidth="1"/>
    <col min="515" max="515" width="10.42578125" style="65" bestFit="1" customWidth="1"/>
    <col min="516" max="516" width="10.42578125" style="65" customWidth="1"/>
    <col min="517" max="517" width="9.7109375" style="65" bestFit="1" customWidth="1"/>
    <col min="518" max="519" width="9.5703125" style="65" bestFit="1" customWidth="1"/>
    <col min="520" max="520" width="10.42578125" style="65" bestFit="1" customWidth="1"/>
    <col min="521" max="521" width="4.5703125" style="65" customWidth="1"/>
    <col min="522" max="522" width="1.85546875" style="65" customWidth="1"/>
    <col min="523" max="523" width="7" style="65" bestFit="1" customWidth="1"/>
    <col min="524" max="524" width="6.28515625" style="65" customWidth="1"/>
    <col min="525" max="525" width="20.42578125" style="65" customWidth="1"/>
    <col min="526" max="526" width="6.42578125" style="65" bestFit="1" customWidth="1"/>
    <col min="527" max="528" width="8.42578125" style="65"/>
    <col min="529" max="529" width="3.28515625" style="65" customWidth="1"/>
    <col min="530" max="768" width="8.42578125" style="65"/>
    <col min="769" max="769" width="10" style="65" bestFit="1" customWidth="1"/>
    <col min="770" max="770" width="44.28515625" style="65" bestFit="1" customWidth="1"/>
    <col min="771" max="771" width="10.42578125" style="65" bestFit="1" customWidth="1"/>
    <col min="772" max="772" width="10.42578125" style="65" customWidth="1"/>
    <col min="773" max="773" width="9.7109375" style="65" bestFit="1" customWidth="1"/>
    <col min="774" max="775" width="9.5703125" style="65" bestFit="1" customWidth="1"/>
    <col min="776" max="776" width="10.42578125" style="65" bestFit="1" customWidth="1"/>
    <col min="777" max="777" width="4.5703125" style="65" customWidth="1"/>
    <col min="778" max="778" width="1.85546875" style="65" customWidth="1"/>
    <col min="779" max="779" width="7" style="65" bestFit="1" customWidth="1"/>
    <col min="780" max="780" width="6.28515625" style="65" customWidth="1"/>
    <col min="781" max="781" width="20.42578125" style="65" customWidth="1"/>
    <col min="782" max="782" width="6.42578125" style="65" bestFit="1" customWidth="1"/>
    <col min="783" max="784" width="8.42578125" style="65"/>
    <col min="785" max="785" width="3.28515625" style="65" customWidth="1"/>
    <col min="786" max="1024" width="8.42578125" style="65"/>
    <col min="1025" max="1025" width="10" style="65" bestFit="1" customWidth="1"/>
    <col min="1026" max="1026" width="44.28515625" style="65" bestFit="1" customWidth="1"/>
    <col min="1027" max="1027" width="10.42578125" style="65" bestFit="1" customWidth="1"/>
    <col min="1028" max="1028" width="10.42578125" style="65" customWidth="1"/>
    <col min="1029" max="1029" width="9.7109375" style="65" bestFit="1" customWidth="1"/>
    <col min="1030" max="1031" width="9.5703125" style="65" bestFit="1" customWidth="1"/>
    <col min="1032" max="1032" width="10.42578125" style="65" bestFit="1" customWidth="1"/>
    <col min="1033" max="1033" width="4.5703125" style="65" customWidth="1"/>
    <col min="1034" max="1034" width="1.85546875" style="65" customWidth="1"/>
    <col min="1035" max="1035" width="7" style="65" bestFit="1" customWidth="1"/>
    <col min="1036" max="1036" width="6.28515625" style="65" customWidth="1"/>
    <col min="1037" max="1037" width="20.42578125" style="65" customWidth="1"/>
    <col min="1038" max="1038" width="6.42578125" style="65" bestFit="1" customWidth="1"/>
    <col min="1039" max="1040" width="8.42578125" style="65"/>
    <col min="1041" max="1041" width="3.28515625" style="65" customWidth="1"/>
    <col min="1042" max="1280" width="8.42578125" style="65"/>
    <col min="1281" max="1281" width="10" style="65" bestFit="1" customWidth="1"/>
    <col min="1282" max="1282" width="44.28515625" style="65" bestFit="1" customWidth="1"/>
    <col min="1283" max="1283" width="10.42578125" style="65" bestFit="1" customWidth="1"/>
    <col min="1284" max="1284" width="10.42578125" style="65" customWidth="1"/>
    <col min="1285" max="1285" width="9.7109375" style="65" bestFit="1" customWidth="1"/>
    <col min="1286" max="1287" width="9.5703125" style="65" bestFit="1" customWidth="1"/>
    <col min="1288" max="1288" width="10.42578125" style="65" bestFit="1" customWidth="1"/>
    <col min="1289" max="1289" width="4.5703125" style="65" customWidth="1"/>
    <col min="1290" max="1290" width="1.85546875" style="65" customWidth="1"/>
    <col min="1291" max="1291" width="7" style="65" bestFit="1" customWidth="1"/>
    <col min="1292" max="1292" width="6.28515625" style="65" customWidth="1"/>
    <col min="1293" max="1293" width="20.42578125" style="65" customWidth="1"/>
    <col min="1294" max="1294" width="6.42578125" style="65" bestFit="1" customWidth="1"/>
    <col min="1295" max="1296" width="8.42578125" style="65"/>
    <col min="1297" max="1297" width="3.28515625" style="65" customWidth="1"/>
    <col min="1298" max="1536" width="8.42578125" style="65"/>
    <col min="1537" max="1537" width="10" style="65" bestFit="1" customWidth="1"/>
    <col min="1538" max="1538" width="44.28515625" style="65" bestFit="1" customWidth="1"/>
    <col min="1539" max="1539" width="10.42578125" style="65" bestFit="1" customWidth="1"/>
    <col min="1540" max="1540" width="10.42578125" style="65" customWidth="1"/>
    <col min="1541" max="1541" width="9.7109375" style="65" bestFit="1" customWidth="1"/>
    <col min="1542" max="1543" width="9.5703125" style="65" bestFit="1" customWidth="1"/>
    <col min="1544" max="1544" width="10.42578125" style="65" bestFit="1" customWidth="1"/>
    <col min="1545" max="1545" width="4.5703125" style="65" customWidth="1"/>
    <col min="1546" max="1546" width="1.85546875" style="65" customWidth="1"/>
    <col min="1547" max="1547" width="7" style="65" bestFit="1" customWidth="1"/>
    <col min="1548" max="1548" width="6.28515625" style="65" customWidth="1"/>
    <col min="1549" max="1549" width="20.42578125" style="65" customWidth="1"/>
    <col min="1550" max="1550" width="6.42578125" style="65" bestFit="1" customWidth="1"/>
    <col min="1551" max="1552" width="8.42578125" style="65"/>
    <col min="1553" max="1553" width="3.28515625" style="65" customWidth="1"/>
    <col min="1554" max="1792" width="8.42578125" style="65"/>
    <col min="1793" max="1793" width="10" style="65" bestFit="1" customWidth="1"/>
    <col min="1794" max="1794" width="44.28515625" style="65" bestFit="1" customWidth="1"/>
    <col min="1795" max="1795" width="10.42578125" style="65" bestFit="1" customWidth="1"/>
    <col min="1796" max="1796" width="10.42578125" style="65" customWidth="1"/>
    <col min="1797" max="1797" width="9.7109375" style="65" bestFit="1" customWidth="1"/>
    <col min="1798" max="1799" width="9.5703125" style="65" bestFit="1" customWidth="1"/>
    <col min="1800" max="1800" width="10.42578125" style="65" bestFit="1" customWidth="1"/>
    <col min="1801" max="1801" width="4.5703125" style="65" customWidth="1"/>
    <col min="1802" max="1802" width="1.85546875" style="65" customWidth="1"/>
    <col min="1803" max="1803" width="7" style="65" bestFit="1" customWidth="1"/>
    <col min="1804" max="1804" width="6.28515625" style="65" customWidth="1"/>
    <col min="1805" max="1805" width="20.42578125" style="65" customWidth="1"/>
    <col min="1806" max="1806" width="6.42578125" style="65" bestFit="1" customWidth="1"/>
    <col min="1807" max="1808" width="8.42578125" style="65"/>
    <col min="1809" max="1809" width="3.28515625" style="65" customWidth="1"/>
    <col min="1810" max="2048" width="8.42578125" style="65"/>
    <col min="2049" max="2049" width="10" style="65" bestFit="1" customWidth="1"/>
    <col min="2050" max="2050" width="44.28515625" style="65" bestFit="1" customWidth="1"/>
    <col min="2051" max="2051" width="10.42578125" style="65" bestFit="1" customWidth="1"/>
    <col min="2052" max="2052" width="10.42578125" style="65" customWidth="1"/>
    <col min="2053" max="2053" width="9.7109375" style="65" bestFit="1" customWidth="1"/>
    <col min="2054" max="2055" width="9.5703125" style="65" bestFit="1" customWidth="1"/>
    <col min="2056" max="2056" width="10.42578125" style="65" bestFit="1" customWidth="1"/>
    <col min="2057" max="2057" width="4.5703125" style="65" customWidth="1"/>
    <col min="2058" max="2058" width="1.85546875" style="65" customWidth="1"/>
    <col min="2059" max="2059" width="7" style="65" bestFit="1" customWidth="1"/>
    <col min="2060" max="2060" width="6.28515625" style="65" customWidth="1"/>
    <col min="2061" max="2061" width="20.42578125" style="65" customWidth="1"/>
    <col min="2062" max="2062" width="6.42578125" style="65" bestFit="1" customWidth="1"/>
    <col min="2063" max="2064" width="8.42578125" style="65"/>
    <col min="2065" max="2065" width="3.28515625" style="65" customWidth="1"/>
    <col min="2066" max="2304" width="8.42578125" style="65"/>
    <col min="2305" max="2305" width="10" style="65" bestFit="1" customWidth="1"/>
    <col min="2306" max="2306" width="44.28515625" style="65" bestFit="1" customWidth="1"/>
    <col min="2307" max="2307" width="10.42578125" style="65" bestFit="1" customWidth="1"/>
    <col min="2308" max="2308" width="10.42578125" style="65" customWidth="1"/>
    <col min="2309" max="2309" width="9.7109375" style="65" bestFit="1" customWidth="1"/>
    <col min="2310" max="2311" width="9.5703125" style="65" bestFit="1" customWidth="1"/>
    <col min="2312" max="2312" width="10.42578125" style="65" bestFit="1" customWidth="1"/>
    <col min="2313" max="2313" width="4.5703125" style="65" customWidth="1"/>
    <col min="2314" max="2314" width="1.85546875" style="65" customWidth="1"/>
    <col min="2315" max="2315" width="7" style="65" bestFit="1" customWidth="1"/>
    <col min="2316" max="2316" width="6.28515625" style="65" customWidth="1"/>
    <col min="2317" max="2317" width="20.42578125" style="65" customWidth="1"/>
    <col min="2318" max="2318" width="6.42578125" style="65" bestFit="1" customWidth="1"/>
    <col min="2319" max="2320" width="8.42578125" style="65"/>
    <col min="2321" max="2321" width="3.28515625" style="65" customWidth="1"/>
    <col min="2322" max="2560" width="8.42578125" style="65"/>
    <col min="2561" max="2561" width="10" style="65" bestFit="1" customWidth="1"/>
    <col min="2562" max="2562" width="44.28515625" style="65" bestFit="1" customWidth="1"/>
    <col min="2563" max="2563" width="10.42578125" style="65" bestFit="1" customWidth="1"/>
    <col min="2564" max="2564" width="10.42578125" style="65" customWidth="1"/>
    <col min="2565" max="2565" width="9.7109375" style="65" bestFit="1" customWidth="1"/>
    <col min="2566" max="2567" width="9.5703125" style="65" bestFit="1" customWidth="1"/>
    <col min="2568" max="2568" width="10.42578125" style="65" bestFit="1" customWidth="1"/>
    <col min="2569" max="2569" width="4.5703125" style="65" customWidth="1"/>
    <col min="2570" max="2570" width="1.85546875" style="65" customWidth="1"/>
    <col min="2571" max="2571" width="7" style="65" bestFit="1" customWidth="1"/>
    <col min="2572" max="2572" width="6.28515625" style="65" customWidth="1"/>
    <col min="2573" max="2573" width="20.42578125" style="65" customWidth="1"/>
    <col min="2574" max="2574" width="6.42578125" style="65" bestFit="1" customWidth="1"/>
    <col min="2575" max="2576" width="8.42578125" style="65"/>
    <col min="2577" max="2577" width="3.28515625" style="65" customWidth="1"/>
    <col min="2578" max="2816" width="8.42578125" style="65"/>
    <col min="2817" max="2817" width="10" style="65" bestFit="1" customWidth="1"/>
    <col min="2818" max="2818" width="44.28515625" style="65" bestFit="1" customWidth="1"/>
    <col min="2819" max="2819" width="10.42578125" style="65" bestFit="1" customWidth="1"/>
    <col min="2820" max="2820" width="10.42578125" style="65" customWidth="1"/>
    <col min="2821" max="2821" width="9.7109375" style="65" bestFit="1" customWidth="1"/>
    <col min="2822" max="2823" width="9.5703125" style="65" bestFit="1" customWidth="1"/>
    <col min="2824" max="2824" width="10.42578125" style="65" bestFit="1" customWidth="1"/>
    <col min="2825" max="2825" width="4.5703125" style="65" customWidth="1"/>
    <col min="2826" max="2826" width="1.85546875" style="65" customWidth="1"/>
    <col min="2827" max="2827" width="7" style="65" bestFit="1" customWidth="1"/>
    <col min="2828" max="2828" width="6.28515625" style="65" customWidth="1"/>
    <col min="2829" max="2829" width="20.42578125" style="65" customWidth="1"/>
    <col min="2830" max="2830" width="6.42578125" style="65" bestFit="1" customWidth="1"/>
    <col min="2831" max="2832" width="8.42578125" style="65"/>
    <col min="2833" max="2833" width="3.28515625" style="65" customWidth="1"/>
    <col min="2834" max="3072" width="8.42578125" style="65"/>
    <col min="3073" max="3073" width="10" style="65" bestFit="1" customWidth="1"/>
    <col min="3074" max="3074" width="44.28515625" style="65" bestFit="1" customWidth="1"/>
    <col min="3075" max="3075" width="10.42578125" style="65" bestFit="1" customWidth="1"/>
    <col min="3076" max="3076" width="10.42578125" style="65" customWidth="1"/>
    <col min="3077" max="3077" width="9.7109375" style="65" bestFit="1" customWidth="1"/>
    <col min="3078" max="3079" width="9.5703125" style="65" bestFit="1" customWidth="1"/>
    <col min="3080" max="3080" width="10.42578125" style="65" bestFit="1" customWidth="1"/>
    <col min="3081" max="3081" width="4.5703125" style="65" customWidth="1"/>
    <col min="3082" max="3082" width="1.85546875" style="65" customWidth="1"/>
    <col min="3083" max="3083" width="7" style="65" bestFit="1" customWidth="1"/>
    <col min="3084" max="3084" width="6.28515625" style="65" customWidth="1"/>
    <col min="3085" max="3085" width="20.42578125" style="65" customWidth="1"/>
    <col min="3086" max="3086" width="6.42578125" style="65" bestFit="1" customWidth="1"/>
    <col min="3087" max="3088" width="8.42578125" style="65"/>
    <col min="3089" max="3089" width="3.28515625" style="65" customWidth="1"/>
    <col min="3090" max="3328" width="8.42578125" style="65"/>
    <col min="3329" max="3329" width="10" style="65" bestFit="1" customWidth="1"/>
    <col min="3330" max="3330" width="44.28515625" style="65" bestFit="1" customWidth="1"/>
    <col min="3331" max="3331" width="10.42578125" style="65" bestFit="1" customWidth="1"/>
    <col min="3332" max="3332" width="10.42578125" style="65" customWidth="1"/>
    <col min="3333" max="3333" width="9.7109375" style="65" bestFit="1" customWidth="1"/>
    <col min="3334" max="3335" width="9.5703125" style="65" bestFit="1" customWidth="1"/>
    <col min="3336" max="3336" width="10.42578125" style="65" bestFit="1" customWidth="1"/>
    <col min="3337" max="3337" width="4.5703125" style="65" customWidth="1"/>
    <col min="3338" max="3338" width="1.85546875" style="65" customWidth="1"/>
    <col min="3339" max="3339" width="7" style="65" bestFit="1" customWidth="1"/>
    <col min="3340" max="3340" width="6.28515625" style="65" customWidth="1"/>
    <col min="3341" max="3341" width="20.42578125" style="65" customWidth="1"/>
    <col min="3342" max="3342" width="6.42578125" style="65" bestFit="1" customWidth="1"/>
    <col min="3343" max="3344" width="8.42578125" style="65"/>
    <col min="3345" max="3345" width="3.28515625" style="65" customWidth="1"/>
    <col min="3346" max="3584" width="8.42578125" style="65"/>
    <col min="3585" max="3585" width="10" style="65" bestFit="1" customWidth="1"/>
    <col min="3586" max="3586" width="44.28515625" style="65" bestFit="1" customWidth="1"/>
    <col min="3587" max="3587" width="10.42578125" style="65" bestFit="1" customWidth="1"/>
    <col min="3588" max="3588" width="10.42578125" style="65" customWidth="1"/>
    <col min="3589" max="3589" width="9.7109375" style="65" bestFit="1" customWidth="1"/>
    <col min="3590" max="3591" width="9.5703125" style="65" bestFit="1" customWidth="1"/>
    <col min="3592" max="3592" width="10.42578125" style="65" bestFit="1" customWidth="1"/>
    <col min="3593" max="3593" width="4.5703125" style="65" customWidth="1"/>
    <col min="3594" max="3594" width="1.85546875" style="65" customWidth="1"/>
    <col min="3595" max="3595" width="7" style="65" bestFit="1" customWidth="1"/>
    <col min="3596" max="3596" width="6.28515625" style="65" customWidth="1"/>
    <col min="3597" max="3597" width="20.42578125" style="65" customWidth="1"/>
    <col min="3598" max="3598" width="6.42578125" style="65" bestFit="1" customWidth="1"/>
    <col min="3599" max="3600" width="8.42578125" style="65"/>
    <col min="3601" max="3601" width="3.28515625" style="65" customWidth="1"/>
    <col min="3602" max="3840" width="8.42578125" style="65"/>
    <col min="3841" max="3841" width="10" style="65" bestFit="1" customWidth="1"/>
    <col min="3842" max="3842" width="44.28515625" style="65" bestFit="1" customWidth="1"/>
    <col min="3843" max="3843" width="10.42578125" style="65" bestFit="1" customWidth="1"/>
    <col min="3844" max="3844" width="10.42578125" style="65" customWidth="1"/>
    <col min="3845" max="3845" width="9.7109375" style="65" bestFit="1" customWidth="1"/>
    <col min="3846" max="3847" width="9.5703125" style="65" bestFit="1" customWidth="1"/>
    <col min="3848" max="3848" width="10.42578125" style="65" bestFit="1" customWidth="1"/>
    <col min="3849" max="3849" width="4.5703125" style="65" customWidth="1"/>
    <col min="3850" max="3850" width="1.85546875" style="65" customWidth="1"/>
    <col min="3851" max="3851" width="7" style="65" bestFit="1" customWidth="1"/>
    <col min="3852" max="3852" width="6.28515625" style="65" customWidth="1"/>
    <col min="3853" max="3853" width="20.42578125" style="65" customWidth="1"/>
    <col min="3854" max="3854" width="6.42578125" style="65" bestFit="1" customWidth="1"/>
    <col min="3855" max="3856" width="8.42578125" style="65"/>
    <col min="3857" max="3857" width="3.28515625" style="65" customWidth="1"/>
    <col min="3858" max="4096" width="8.42578125" style="65"/>
    <col min="4097" max="4097" width="10" style="65" bestFit="1" customWidth="1"/>
    <col min="4098" max="4098" width="44.28515625" style="65" bestFit="1" customWidth="1"/>
    <col min="4099" max="4099" width="10.42578125" style="65" bestFit="1" customWidth="1"/>
    <col min="4100" max="4100" width="10.42578125" style="65" customWidth="1"/>
    <col min="4101" max="4101" width="9.7109375" style="65" bestFit="1" customWidth="1"/>
    <col min="4102" max="4103" width="9.5703125" style="65" bestFit="1" customWidth="1"/>
    <col min="4104" max="4104" width="10.42578125" style="65" bestFit="1" customWidth="1"/>
    <col min="4105" max="4105" width="4.5703125" style="65" customWidth="1"/>
    <col min="4106" max="4106" width="1.85546875" style="65" customWidth="1"/>
    <col min="4107" max="4107" width="7" style="65" bestFit="1" customWidth="1"/>
    <col min="4108" max="4108" width="6.28515625" style="65" customWidth="1"/>
    <col min="4109" max="4109" width="20.42578125" style="65" customWidth="1"/>
    <col min="4110" max="4110" width="6.42578125" style="65" bestFit="1" customWidth="1"/>
    <col min="4111" max="4112" width="8.42578125" style="65"/>
    <col min="4113" max="4113" width="3.28515625" style="65" customWidth="1"/>
    <col min="4114" max="4352" width="8.42578125" style="65"/>
    <col min="4353" max="4353" width="10" style="65" bestFit="1" customWidth="1"/>
    <col min="4354" max="4354" width="44.28515625" style="65" bestFit="1" customWidth="1"/>
    <col min="4355" max="4355" width="10.42578125" style="65" bestFit="1" customWidth="1"/>
    <col min="4356" max="4356" width="10.42578125" style="65" customWidth="1"/>
    <col min="4357" max="4357" width="9.7109375" style="65" bestFit="1" customWidth="1"/>
    <col min="4358" max="4359" width="9.5703125" style="65" bestFit="1" customWidth="1"/>
    <col min="4360" max="4360" width="10.42578125" style="65" bestFit="1" customWidth="1"/>
    <col min="4361" max="4361" width="4.5703125" style="65" customWidth="1"/>
    <col min="4362" max="4362" width="1.85546875" style="65" customWidth="1"/>
    <col min="4363" max="4363" width="7" style="65" bestFit="1" customWidth="1"/>
    <col min="4364" max="4364" width="6.28515625" style="65" customWidth="1"/>
    <col min="4365" max="4365" width="20.42578125" style="65" customWidth="1"/>
    <col min="4366" max="4366" width="6.42578125" style="65" bestFit="1" customWidth="1"/>
    <col min="4367" max="4368" width="8.42578125" style="65"/>
    <col min="4369" max="4369" width="3.28515625" style="65" customWidth="1"/>
    <col min="4370" max="4608" width="8.42578125" style="65"/>
    <col min="4609" max="4609" width="10" style="65" bestFit="1" customWidth="1"/>
    <col min="4610" max="4610" width="44.28515625" style="65" bestFit="1" customWidth="1"/>
    <col min="4611" max="4611" width="10.42578125" style="65" bestFit="1" customWidth="1"/>
    <col min="4612" max="4612" width="10.42578125" style="65" customWidth="1"/>
    <col min="4613" max="4613" width="9.7109375" style="65" bestFit="1" customWidth="1"/>
    <col min="4614" max="4615" width="9.5703125" style="65" bestFit="1" customWidth="1"/>
    <col min="4616" max="4616" width="10.42578125" style="65" bestFit="1" customWidth="1"/>
    <col min="4617" max="4617" width="4.5703125" style="65" customWidth="1"/>
    <col min="4618" max="4618" width="1.85546875" style="65" customWidth="1"/>
    <col min="4619" max="4619" width="7" style="65" bestFit="1" customWidth="1"/>
    <col min="4620" max="4620" width="6.28515625" style="65" customWidth="1"/>
    <col min="4621" max="4621" width="20.42578125" style="65" customWidth="1"/>
    <col min="4622" max="4622" width="6.42578125" style="65" bestFit="1" customWidth="1"/>
    <col min="4623" max="4624" width="8.42578125" style="65"/>
    <col min="4625" max="4625" width="3.28515625" style="65" customWidth="1"/>
    <col min="4626" max="4864" width="8.42578125" style="65"/>
    <col min="4865" max="4865" width="10" style="65" bestFit="1" customWidth="1"/>
    <col min="4866" max="4866" width="44.28515625" style="65" bestFit="1" customWidth="1"/>
    <col min="4867" max="4867" width="10.42578125" style="65" bestFit="1" customWidth="1"/>
    <col min="4868" max="4868" width="10.42578125" style="65" customWidth="1"/>
    <col min="4869" max="4869" width="9.7109375" style="65" bestFit="1" customWidth="1"/>
    <col min="4870" max="4871" width="9.5703125" style="65" bestFit="1" customWidth="1"/>
    <col min="4872" max="4872" width="10.42578125" style="65" bestFit="1" customWidth="1"/>
    <col min="4873" max="4873" width="4.5703125" style="65" customWidth="1"/>
    <col min="4874" max="4874" width="1.85546875" style="65" customWidth="1"/>
    <col min="4875" max="4875" width="7" style="65" bestFit="1" customWidth="1"/>
    <col min="4876" max="4876" width="6.28515625" style="65" customWidth="1"/>
    <col min="4877" max="4877" width="20.42578125" style="65" customWidth="1"/>
    <col min="4878" max="4878" width="6.42578125" style="65" bestFit="1" customWidth="1"/>
    <col min="4879" max="4880" width="8.42578125" style="65"/>
    <col min="4881" max="4881" width="3.28515625" style="65" customWidth="1"/>
    <col min="4882" max="5120" width="8.42578125" style="65"/>
    <col min="5121" max="5121" width="10" style="65" bestFit="1" customWidth="1"/>
    <col min="5122" max="5122" width="44.28515625" style="65" bestFit="1" customWidth="1"/>
    <col min="5123" max="5123" width="10.42578125" style="65" bestFit="1" customWidth="1"/>
    <col min="5124" max="5124" width="10.42578125" style="65" customWidth="1"/>
    <col min="5125" max="5125" width="9.7109375" style="65" bestFit="1" customWidth="1"/>
    <col min="5126" max="5127" width="9.5703125" style="65" bestFit="1" customWidth="1"/>
    <col min="5128" max="5128" width="10.42578125" style="65" bestFit="1" customWidth="1"/>
    <col min="5129" max="5129" width="4.5703125" style="65" customWidth="1"/>
    <col min="5130" max="5130" width="1.85546875" style="65" customWidth="1"/>
    <col min="5131" max="5131" width="7" style="65" bestFit="1" customWidth="1"/>
    <col min="5132" max="5132" width="6.28515625" style="65" customWidth="1"/>
    <col min="5133" max="5133" width="20.42578125" style="65" customWidth="1"/>
    <col min="5134" max="5134" width="6.42578125" style="65" bestFit="1" customWidth="1"/>
    <col min="5135" max="5136" width="8.42578125" style="65"/>
    <col min="5137" max="5137" width="3.28515625" style="65" customWidth="1"/>
    <col min="5138" max="5376" width="8.42578125" style="65"/>
    <col min="5377" max="5377" width="10" style="65" bestFit="1" customWidth="1"/>
    <col min="5378" max="5378" width="44.28515625" style="65" bestFit="1" customWidth="1"/>
    <col min="5379" max="5379" width="10.42578125" style="65" bestFit="1" customWidth="1"/>
    <col min="5380" max="5380" width="10.42578125" style="65" customWidth="1"/>
    <col min="5381" max="5381" width="9.7109375" style="65" bestFit="1" customWidth="1"/>
    <col min="5382" max="5383" width="9.5703125" style="65" bestFit="1" customWidth="1"/>
    <col min="5384" max="5384" width="10.42578125" style="65" bestFit="1" customWidth="1"/>
    <col min="5385" max="5385" width="4.5703125" style="65" customWidth="1"/>
    <col min="5386" max="5386" width="1.85546875" style="65" customWidth="1"/>
    <col min="5387" max="5387" width="7" style="65" bestFit="1" customWidth="1"/>
    <col min="5388" max="5388" width="6.28515625" style="65" customWidth="1"/>
    <col min="5389" max="5389" width="20.42578125" style="65" customWidth="1"/>
    <col min="5390" max="5390" width="6.42578125" style="65" bestFit="1" customWidth="1"/>
    <col min="5391" max="5392" width="8.42578125" style="65"/>
    <col min="5393" max="5393" width="3.28515625" style="65" customWidth="1"/>
    <col min="5394" max="5632" width="8.42578125" style="65"/>
    <col min="5633" max="5633" width="10" style="65" bestFit="1" customWidth="1"/>
    <col min="5634" max="5634" width="44.28515625" style="65" bestFit="1" customWidth="1"/>
    <col min="5635" max="5635" width="10.42578125" style="65" bestFit="1" customWidth="1"/>
    <col min="5636" max="5636" width="10.42578125" style="65" customWidth="1"/>
    <col min="5637" max="5637" width="9.7109375" style="65" bestFit="1" customWidth="1"/>
    <col min="5638" max="5639" width="9.5703125" style="65" bestFit="1" customWidth="1"/>
    <col min="5640" max="5640" width="10.42578125" style="65" bestFit="1" customWidth="1"/>
    <col min="5641" max="5641" width="4.5703125" style="65" customWidth="1"/>
    <col min="5642" max="5642" width="1.85546875" style="65" customWidth="1"/>
    <col min="5643" max="5643" width="7" style="65" bestFit="1" customWidth="1"/>
    <col min="5644" max="5644" width="6.28515625" style="65" customWidth="1"/>
    <col min="5645" max="5645" width="20.42578125" style="65" customWidth="1"/>
    <col min="5646" max="5646" width="6.42578125" style="65" bestFit="1" customWidth="1"/>
    <col min="5647" max="5648" width="8.42578125" style="65"/>
    <col min="5649" max="5649" width="3.28515625" style="65" customWidth="1"/>
    <col min="5650" max="5888" width="8.42578125" style="65"/>
    <col min="5889" max="5889" width="10" style="65" bestFit="1" customWidth="1"/>
    <col min="5890" max="5890" width="44.28515625" style="65" bestFit="1" customWidth="1"/>
    <col min="5891" max="5891" width="10.42578125" style="65" bestFit="1" customWidth="1"/>
    <col min="5892" max="5892" width="10.42578125" style="65" customWidth="1"/>
    <col min="5893" max="5893" width="9.7109375" style="65" bestFit="1" customWidth="1"/>
    <col min="5894" max="5895" width="9.5703125" style="65" bestFit="1" customWidth="1"/>
    <col min="5896" max="5896" width="10.42578125" style="65" bestFit="1" customWidth="1"/>
    <col min="5897" max="5897" width="4.5703125" style="65" customWidth="1"/>
    <col min="5898" max="5898" width="1.85546875" style="65" customWidth="1"/>
    <col min="5899" max="5899" width="7" style="65" bestFit="1" customWidth="1"/>
    <col min="5900" max="5900" width="6.28515625" style="65" customWidth="1"/>
    <col min="5901" max="5901" width="20.42578125" style="65" customWidth="1"/>
    <col min="5902" max="5902" width="6.42578125" style="65" bestFit="1" customWidth="1"/>
    <col min="5903" max="5904" width="8.42578125" style="65"/>
    <col min="5905" max="5905" width="3.28515625" style="65" customWidth="1"/>
    <col min="5906" max="6144" width="8.42578125" style="65"/>
    <col min="6145" max="6145" width="10" style="65" bestFit="1" customWidth="1"/>
    <col min="6146" max="6146" width="44.28515625" style="65" bestFit="1" customWidth="1"/>
    <col min="6147" max="6147" width="10.42578125" style="65" bestFit="1" customWidth="1"/>
    <col min="6148" max="6148" width="10.42578125" style="65" customWidth="1"/>
    <col min="6149" max="6149" width="9.7109375" style="65" bestFit="1" customWidth="1"/>
    <col min="6150" max="6151" width="9.5703125" style="65" bestFit="1" customWidth="1"/>
    <col min="6152" max="6152" width="10.42578125" style="65" bestFit="1" customWidth="1"/>
    <col min="6153" max="6153" width="4.5703125" style="65" customWidth="1"/>
    <col min="6154" max="6154" width="1.85546875" style="65" customWidth="1"/>
    <col min="6155" max="6155" width="7" style="65" bestFit="1" customWidth="1"/>
    <col min="6156" max="6156" width="6.28515625" style="65" customWidth="1"/>
    <col min="6157" max="6157" width="20.42578125" style="65" customWidth="1"/>
    <col min="6158" max="6158" width="6.42578125" style="65" bestFit="1" customWidth="1"/>
    <col min="6159" max="6160" width="8.42578125" style="65"/>
    <col min="6161" max="6161" width="3.28515625" style="65" customWidth="1"/>
    <col min="6162" max="6400" width="8.42578125" style="65"/>
    <col min="6401" max="6401" width="10" style="65" bestFit="1" customWidth="1"/>
    <col min="6402" max="6402" width="44.28515625" style="65" bestFit="1" customWidth="1"/>
    <col min="6403" max="6403" width="10.42578125" style="65" bestFit="1" customWidth="1"/>
    <col min="6404" max="6404" width="10.42578125" style="65" customWidth="1"/>
    <col min="6405" max="6405" width="9.7109375" style="65" bestFit="1" customWidth="1"/>
    <col min="6406" max="6407" width="9.5703125" style="65" bestFit="1" customWidth="1"/>
    <col min="6408" max="6408" width="10.42578125" style="65" bestFit="1" customWidth="1"/>
    <col min="6409" max="6409" width="4.5703125" style="65" customWidth="1"/>
    <col min="6410" max="6410" width="1.85546875" style="65" customWidth="1"/>
    <col min="6411" max="6411" width="7" style="65" bestFit="1" customWidth="1"/>
    <col min="6412" max="6412" width="6.28515625" style="65" customWidth="1"/>
    <col min="6413" max="6413" width="20.42578125" style="65" customWidth="1"/>
    <col min="6414" max="6414" width="6.42578125" style="65" bestFit="1" customWidth="1"/>
    <col min="6415" max="6416" width="8.42578125" style="65"/>
    <col min="6417" max="6417" width="3.28515625" style="65" customWidth="1"/>
    <col min="6418" max="6656" width="8.42578125" style="65"/>
    <col min="6657" max="6657" width="10" style="65" bestFit="1" customWidth="1"/>
    <col min="6658" max="6658" width="44.28515625" style="65" bestFit="1" customWidth="1"/>
    <col min="6659" max="6659" width="10.42578125" style="65" bestFit="1" customWidth="1"/>
    <col min="6660" max="6660" width="10.42578125" style="65" customWidth="1"/>
    <col min="6661" max="6661" width="9.7109375" style="65" bestFit="1" customWidth="1"/>
    <col min="6662" max="6663" width="9.5703125" style="65" bestFit="1" customWidth="1"/>
    <col min="6664" max="6664" width="10.42578125" style="65" bestFit="1" customWidth="1"/>
    <col min="6665" max="6665" width="4.5703125" style="65" customWidth="1"/>
    <col min="6666" max="6666" width="1.85546875" style="65" customWidth="1"/>
    <col min="6667" max="6667" width="7" style="65" bestFit="1" customWidth="1"/>
    <col min="6668" max="6668" width="6.28515625" style="65" customWidth="1"/>
    <col min="6669" max="6669" width="20.42578125" style="65" customWidth="1"/>
    <col min="6670" max="6670" width="6.42578125" style="65" bestFit="1" customWidth="1"/>
    <col min="6671" max="6672" width="8.42578125" style="65"/>
    <col min="6673" max="6673" width="3.28515625" style="65" customWidth="1"/>
    <col min="6674" max="6912" width="8.42578125" style="65"/>
    <col min="6913" max="6913" width="10" style="65" bestFit="1" customWidth="1"/>
    <col min="6914" max="6914" width="44.28515625" style="65" bestFit="1" customWidth="1"/>
    <col min="6915" max="6915" width="10.42578125" style="65" bestFit="1" customWidth="1"/>
    <col min="6916" max="6916" width="10.42578125" style="65" customWidth="1"/>
    <col min="6917" max="6917" width="9.7109375" style="65" bestFit="1" customWidth="1"/>
    <col min="6918" max="6919" width="9.5703125" style="65" bestFit="1" customWidth="1"/>
    <col min="6920" max="6920" width="10.42578125" style="65" bestFit="1" customWidth="1"/>
    <col min="6921" max="6921" width="4.5703125" style="65" customWidth="1"/>
    <col min="6922" max="6922" width="1.85546875" style="65" customWidth="1"/>
    <col min="6923" max="6923" width="7" style="65" bestFit="1" customWidth="1"/>
    <col min="6924" max="6924" width="6.28515625" style="65" customWidth="1"/>
    <col min="6925" max="6925" width="20.42578125" style="65" customWidth="1"/>
    <col min="6926" max="6926" width="6.42578125" style="65" bestFit="1" customWidth="1"/>
    <col min="6927" max="6928" width="8.42578125" style="65"/>
    <col min="6929" max="6929" width="3.28515625" style="65" customWidth="1"/>
    <col min="6930" max="7168" width="8.42578125" style="65"/>
    <col min="7169" max="7169" width="10" style="65" bestFit="1" customWidth="1"/>
    <col min="7170" max="7170" width="44.28515625" style="65" bestFit="1" customWidth="1"/>
    <col min="7171" max="7171" width="10.42578125" style="65" bestFit="1" customWidth="1"/>
    <col min="7172" max="7172" width="10.42578125" style="65" customWidth="1"/>
    <col min="7173" max="7173" width="9.7109375" style="65" bestFit="1" customWidth="1"/>
    <col min="7174" max="7175" width="9.5703125" style="65" bestFit="1" customWidth="1"/>
    <col min="7176" max="7176" width="10.42578125" style="65" bestFit="1" customWidth="1"/>
    <col min="7177" max="7177" width="4.5703125" style="65" customWidth="1"/>
    <col min="7178" max="7178" width="1.85546875" style="65" customWidth="1"/>
    <col min="7179" max="7179" width="7" style="65" bestFit="1" customWidth="1"/>
    <col min="7180" max="7180" width="6.28515625" style="65" customWidth="1"/>
    <col min="7181" max="7181" width="20.42578125" style="65" customWidth="1"/>
    <col min="7182" max="7182" width="6.42578125" style="65" bestFit="1" customWidth="1"/>
    <col min="7183" max="7184" width="8.42578125" style="65"/>
    <col min="7185" max="7185" width="3.28515625" style="65" customWidth="1"/>
    <col min="7186" max="7424" width="8.42578125" style="65"/>
    <col min="7425" max="7425" width="10" style="65" bestFit="1" customWidth="1"/>
    <col min="7426" max="7426" width="44.28515625" style="65" bestFit="1" customWidth="1"/>
    <col min="7427" max="7427" width="10.42578125" style="65" bestFit="1" customWidth="1"/>
    <col min="7428" max="7428" width="10.42578125" style="65" customWidth="1"/>
    <col min="7429" max="7429" width="9.7109375" style="65" bestFit="1" customWidth="1"/>
    <col min="7430" max="7431" width="9.5703125" style="65" bestFit="1" customWidth="1"/>
    <col min="7432" max="7432" width="10.42578125" style="65" bestFit="1" customWidth="1"/>
    <col min="7433" max="7433" width="4.5703125" style="65" customWidth="1"/>
    <col min="7434" max="7434" width="1.85546875" style="65" customWidth="1"/>
    <col min="7435" max="7435" width="7" style="65" bestFit="1" customWidth="1"/>
    <col min="7436" max="7436" width="6.28515625" style="65" customWidth="1"/>
    <col min="7437" max="7437" width="20.42578125" style="65" customWidth="1"/>
    <col min="7438" max="7438" width="6.42578125" style="65" bestFit="1" customWidth="1"/>
    <col min="7439" max="7440" width="8.42578125" style="65"/>
    <col min="7441" max="7441" width="3.28515625" style="65" customWidth="1"/>
    <col min="7442" max="7680" width="8.42578125" style="65"/>
    <col min="7681" max="7681" width="10" style="65" bestFit="1" customWidth="1"/>
    <col min="7682" max="7682" width="44.28515625" style="65" bestFit="1" customWidth="1"/>
    <col min="7683" max="7683" width="10.42578125" style="65" bestFit="1" customWidth="1"/>
    <col min="7684" max="7684" width="10.42578125" style="65" customWidth="1"/>
    <col min="7685" max="7685" width="9.7109375" style="65" bestFit="1" customWidth="1"/>
    <col min="7686" max="7687" width="9.5703125" style="65" bestFit="1" customWidth="1"/>
    <col min="7688" max="7688" width="10.42578125" style="65" bestFit="1" customWidth="1"/>
    <col min="7689" max="7689" width="4.5703125" style="65" customWidth="1"/>
    <col min="7690" max="7690" width="1.85546875" style="65" customWidth="1"/>
    <col min="7691" max="7691" width="7" style="65" bestFit="1" customWidth="1"/>
    <col min="7692" max="7692" width="6.28515625" style="65" customWidth="1"/>
    <col min="7693" max="7693" width="20.42578125" style="65" customWidth="1"/>
    <col min="7694" max="7694" width="6.42578125" style="65" bestFit="1" customWidth="1"/>
    <col min="7695" max="7696" width="8.42578125" style="65"/>
    <col min="7697" max="7697" width="3.28515625" style="65" customWidth="1"/>
    <col min="7698" max="7936" width="8.42578125" style="65"/>
    <col min="7937" max="7937" width="10" style="65" bestFit="1" customWidth="1"/>
    <col min="7938" max="7938" width="44.28515625" style="65" bestFit="1" customWidth="1"/>
    <col min="7939" max="7939" width="10.42578125" style="65" bestFit="1" customWidth="1"/>
    <col min="7940" max="7940" width="10.42578125" style="65" customWidth="1"/>
    <col min="7941" max="7941" width="9.7109375" style="65" bestFit="1" customWidth="1"/>
    <col min="7942" max="7943" width="9.5703125" style="65" bestFit="1" customWidth="1"/>
    <col min="7944" max="7944" width="10.42578125" style="65" bestFit="1" customWidth="1"/>
    <col min="7945" max="7945" width="4.5703125" style="65" customWidth="1"/>
    <col min="7946" max="7946" width="1.85546875" style="65" customWidth="1"/>
    <col min="7947" max="7947" width="7" style="65" bestFit="1" customWidth="1"/>
    <col min="7948" max="7948" width="6.28515625" style="65" customWidth="1"/>
    <col min="7949" max="7949" width="20.42578125" style="65" customWidth="1"/>
    <col min="7950" max="7950" width="6.42578125" style="65" bestFit="1" customWidth="1"/>
    <col min="7951" max="7952" width="8.42578125" style="65"/>
    <col min="7953" max="7953" width="3.28515625" style="65" customWidth="1"/>
    <col min="7954" max="8192" width="8.42578125" style="65"/>
    <col min="8193" max="8193" width="10" style="65" bestFit="1" customWidth="1"/>
    <col min="8194" max="8194" width="44.28515625" style="65" bestFit="1" customWidth="1"/>
    <col min="8195" max="8195" width="10.42578125" style="65" bestFit="1" customWidth="1"/>
    <col min="8196" max="8196" width="10.42578125" style="65" customWidth="1"/>
    <col min="8197" max="8197" width="9.7109375" style="65" bestFit="1" customWidth="1"/>
    <col min="8198" max="8199" width="9.5703125" style="65" bestFit="1" customWidth="1"/>
    <col min="8200" max="8200" width="10.42578125" style="65" bestFit="1" customWidth="1"/>
    <col min="8201" max="8201" width="4.5703125" style="65" customWidth="1"/>
    <col min="8202" max="8202" width="1.85546875" style="65" customWidth="1"/>
    <col min="8203" max="8203" width="7" style="65" bestFit="1" customWidth="1"/>
    <col min="8204" max="8204" width="6.28515625" style="65" customWidth="1"/>
    <col min="8205" max="8205" width="20.42578125" style="65" customWidth="1"/>
    <col min="8206" max="8206" width="6.42578125" style="65" bestFit="1" customWidth="1"/>
    <col min="8207" max="8208" width="8.42578125" style="65"/>
    <col min="8209" max="8209" width="3.28515625" style="65" customWidth="1"/>
    <col min="8210" max="8448" width="8.42578125" style="65"/>
    <col min="8449" max="8449" width="10" style="65" bestFit="1" customWidth="1"/>
    <col min="8450" max="8450" width="44.28515625" style="65" bestFit="1" customWidth="1"/>
    <col min="8451" max="8451" width="10.42578125" style="65" bestFit="1" customWidth="1"/>
    <col min="8452" max="8452" width="10.42578125" style="65" customWidth="1"/>
    <col min="8453" max="8453" width="9.7109375" style="65" bestFit="1" customWidth="1"/>
    <col min="8454" max="8455" width="9.5703125" style="65" bestFit="1" customWidth="1"/>
    <col min="8456" max="8456" width="10.42578125" style="65" bestFit="1" customWidth="1"/>
    <col min="8457" max="8457" width="4.5703125" style="65" customWidth="1"/>
    <col min="8458" max="8458" width="1.85546875" style="65" customWidth="1"/>
    <col min="8459" max="8459" width="7" style="65" bestFit="1" customWidth="1"/>
    <col min="8460" max="8460" width="6.28515625" style="65" customWidth="1"/>
    <col min="8461" max="8461" width="20.42578125" style="65" customWidth="1"/>
    <col min="8462" max="8462" width="6.42578125" style="65" bestFit="1" customWidth="1"/>
    <col min="8463" max="8464" width="8.42578125" style="65"/>
    <col min="8465" max="8465" width="3.28515625" style="65" customWidth="1"/>
    <col min="8466" max="8704" width="8.42578125" style="65"/>
    <col min="8705" max="8705" width="10" style="65" bestFit="1" customWidth="1"/>
    <col min="8706" max="8706" width="44.28515625" style="65" bestFit="1" customWidth="1"/>
    <col min="8707" max="8707" width="10.42578125" style="65" bestFit="1" customWidth="1"/>
    <col min="8708" max="8708" width="10.42578125" style="65" customWidth="1"/>
    <col min="8709" max="8709" width="9.7109375" style="65" bestFit="1" customWidth="1"/>
    <col min="8710" max="8711" width="9.5703125" style="65" bestFit="1" customWidth="1"/>
    <col min="8712" max="8712" width="10.42578125" style="65" bestFit="1" customWidth="1"/>
    <col min="8713" max="8713" width="4.5703125" style="65" customWidth="1"/>
    <col min="8714" max="8714" width="1.85546875" style="65" customWidth="1"/>
    <col min="8715" max="8715" width="7" style="65" bestFit="1" customWidth="1"/>
    <col min="8716" max="8716" width="6.28515625" style="65" customWidth="1"/>
    <col min="8717" max="8717" width="20.42578125" style="65" customWidth="1"/>
    <col min="8718" max="8718" width="6.42578125" style="65" bestFit="1" customWidth="1"/>
    <col min="8719" max="8720" width="8.42578125" style="65"/>
    <col min="8721" max="8721" width="3.28515625" style="65" customWidth="1"/>
    <col min="8722" max="8960" width="8.42578125" style="65"/>
    <col min="8961" max="8961" width="10" style="65" bestFit="1" customWidth="1"/>
    <col min="8962" max="8962" width="44.28515625" style="65" bestFit="1" customWidth="1"/>
    <col min="8963" max="8963" width="10.42578125" style="65" bestFit="1" customWidth="1"/>
    <col min="8964" max="8964" width="10.42578125" style="65" customWidth="1"/>
    <col min="8965" max="8965" width="9.7109375" style="65" bestFit="1" customWidth="1"/>
    <col min="8966" max="8967" width="9.5703125" style="65" bestFit="1" customWidth="1"/>
    <col min="8968" max="8968" width="10.42578125" style="65" bestFit="1" customWidth="1"/>
    <col min="8969" max="8969" width="4.5703125" style="65" customWidth="1"/>
    <col min="8970" max="8970" width="1.85546875" style="65" customWidth="1"/>
    <col min="8971" max="8971" width="7" style="65" bestFit="1" customWidth="1"/>
    <col min="8972" max="8972" width="6.28515625" style="65" customWidth="1"/>
    <col min="8973" max="8973" width="20.42578125" style="65" customWidth="1"/>
    <col min="8974" max="8974" width="6.42578125" style="65" bestFit="1" customWidth="1"/>
    <col min="8975" max="8976" width="8.42578125" style="65"/>
    <col min="8977" max="8977" width="3.28515625" style="65" customWidth="1"/>
    <col min="8978" max="9216" width="8.42578125" style="65"/>
    <col min="9217" max="9217" width="10" style="65" bestFit="1" customWidth="1"/>
    <col min="9218" max="9218" width="44.28515625" style="65" bestFit="1" customWidth="1"/>
    <col min="9219" max="9219" width="10.42578125" style="65" bestFit="1" customWidth="1"/>
    <col min="9220" max="9220" width="10.42578125" style="65" customWidth="1"/>
    <col min="9221" max="9221" width="9.7109375" style="65" bestFit="1" customWidth="1"/>
    <col min="9222" max="9223" width="9.5703125" style="65" bestFit="1" customWidth="1"/>
    <col min="9224" max="9224" width="10.42578125" style="65" bestFit="1" customWidth="1"/>
    <col min="9225" max="9225" width="4.5703125" style="65" customWidth="1"/>
    <col min="9226" max="9226" width="1.85546875" style="65" customWidth="1"/>
    <col min="9227" max="9227" width="7" style="65" bestFit="1" customWidth="1"/>
    <col min="9228" max="9228" width="6.28515625" style="65" customWidth="1"/>
    <col min="9229" max="9229" width="20.42578125" style="65" customWidth="1"/>
    <col min="9230" max="9230" width="6.42578125" style="65" bestFit="1" customWidth="1"/>
    <col min="9231" max="9232" width="8.42578125" style="65"/>
    <col min="9233" max="9233" width="3.28515625" style="65" customWidth="1"/>
    <col min="9234" max="9472" width="8.42578125" style="65"/>
    <col min="9473" max="9473" width="10" style="65" bestFit="1" customWidth="1"/>
    <col min="9474" max="9474" width="44.28515625" style="65" bestFit="1" customWidth="1"/>
    <col min="9475" max="9475" width="10.42578125" style="65" bestFit="1" customWidth="1"/>
    <col min="9476" max="9476" width="10.42578125" style="65" customWidth="1"/>
    <col min="9477" max="9477" width="9.7109375" style="65" bestFit="1" customWidth="1"/>
    <col min="9478" max="9479" width="9.5703125" style="65" bestFit="1" customWidth="1"/>
    <col min="9480" max="9480" width="10.42578125" style="65" bestFit="1" customWidth="1"/>
    <col min="9481" max="9481" width="4.5703125" style="65" customWidth="1"/>
    <col min="9482" max="9482" width="1.85546875" style="65" customWidth="1"/>
    <col min="9483" max="9483" width="7" style="65" bestFit="1" customWidth="1"/>
    <col min="9484" max="9484" width="6.28515625" style="65" customWidth="1"/>
    <col min="9485" max="9485" width="20.42578125" style="65" customWidth="1"/>
    <col min="9486" max="9486" width="6.42578125" style="65" bestFit="1" customWidth="1"/>
    <col min="9487" max="9488" width="8.42578125" style="65"/>
    <col min="9489" max="9489" width="3.28515625" style="65" customWidth="1"/>
    <col min="9490" max="9728" width="8.42578125" style="65"/>
    <col min="9729" max="9729" width="10" style="65" bestFit="1" customWidth="1"/>
    <col min="9730" max="9730" width="44.28515625" style="65" bestFit="1" customWidth="1"/>
    <col min="9731" max="9731" width="10.42578125" style="65" bestFit="1" customWidth="1"/>
    <col min="9732" max="9732" width="10.42578125" style="65" customWidth="1"/>
    <col min="9733" max="9733" width="9.7109375" style="65" bestFit="1" customWidth="1"/>
    <col min="9734" max="9735" width="9.5703125" style="65" bestFit="1" customWidth="1"/>
    <col min="9736" max="9736" width="10.42578125" style="65" bestFit="1" customWidth="1"/>
    <col min="9737" max="9737" width="4.5703125" style="65" customWidth="1"/>
    <col min="9738" max="9738" width="1.85546875" style="65" customWidth="1"/>
    <col min="9739" max="9739" width="7" style="65" bestFit="1" customWidth="1"/>
    <col min="9740" max="9740" width="6.28515625" style="65" customWidth="1"/>
    <col min="9741" max="9741" width="20.42578125" style="65" customWidth="1"/>
    <col min="9742" max="9742" width="6.42578125" style="65" bestFit="1" customWidth="1"/>
    <col min="9743" max="9744" width="8.42578125" style="65"/>
    <col min="9745" max="9745" width="3.28515625" style="65" customWidth="1"/>
    <col min="9746" max="9984" width="8.42578125" style="65"/>
    <col min="9985" max="9985" width="10" style="65" bestFit="1" customWidth="1"/>
    <col min="9986" max="9986" width="44.28515625" style="65" bestFit="1" customWidth="1"/>
    <col min="9987" max="9987" width="10.42578125" style="65" bestFit="1" customWidth="1"/>
    <col min="9988" max="9988" width="10.42578125" style="65" customWidth="1"/>
    <col min="9989" max="9989" width="9.7109375" style="65" bestFit="1" customWidth="1"/>
    <col min="9990" max="9991" width="9.5703125" style="65" bestFit="1" customWidth="1"/>
    <col min="9992" max="9992" width="10.42578125" style="65" bestFit="1" customWidth="1"/>
    <col min="9993" max="9993" width="4.5703125" style="65" customWidth="1"/>
    <col min="9994" max="9994" width="1.85546875" style="65" customWidth="1"/>
    <col min="9995" max="9995" width="7" style="65" bestFit="1" customWidth="1"/>
    <col min="9996" max="9996" width="6.28515625" style="65" customWidth="1"/>
    <col min="9997" max="9997" width="20.42578125" style="65" customWidth="1"/>
    <col min="9998" max="9998" width="6.42578125" style="65" bestFit="1" customWidth="1"/>
    <col min="9999" max="10000" width="8.42578125" style="65"/>
    <col min="10001" max="10001" width="3.28515625" style="65" customWidth="1"/>
    <col min="10002" max="10240" width="8.42578125" style="65"/>
    <col min="10241" max="10241" width="10" style="65" bestFit="1" customWidth="1"/>
    <col min="10242" max="10242" width="44.28515625" style="65" bestFit="1" customWidth="1"/>
    <col min="10243" max="10243" width="10.42578125" style="65" bestFit="1" customWidth="1"/>
    <col min="10244" max="10244" width="10.42578125" style="65" customWidth="1"/>
    <col min="10245" max="10245" width="9.7109375" style="65" bestFit="1" customWidth="1"/>
    <col min="10246" max="10247" width="9.5703125" style="65" bestFit="1" customWidth="1"/>
    <col min="10248" max="10248" width="10.42578125" style="65" bestFit="1" customWidth="1"/>
    <col min="10249" max="10249" width="4.5703125" style="65" customWidth="1"/>
    <col min="10250" max="10250" width="1.85546875" style="65" customWidth="1"/>
    <col min="10251" max="10251" width="7" style="65" bestFit="1" customWidth="1"/>
    <col min="10252" max="10252" width="6.28515625" style="65" customWidth="1"/>
    <col min="10253" max="10253" width="20.42578125" style="65" customWidth="1"/>
    <col min="10254" max="10254" width="6.42578125" style="65" bestFit="1" customWidth="1"/>
    <col min="10255" max="10256" width="8.42578125" style="65"/>
    <col min="10257" max="10257" width="3.28515625" style="65" customWidth="1"/>
    <col min="10258" max="10496" width="8.42578125" style="65"/>
    <col min="10497" max="10497" width="10" style="65" bestFit="1" customWidth="1"/>
    <col min="10498" max="10498" width="44.28515625" style="65" bestFit="1" customWidth="1"/>
    <col min="10499" max="10499" width="10.42578125" style="65" bestFit="1" customWidth="1"/>
    <col min="10500" max="10500" width="10.42578125" style="65" customWidth="1"/>
    <col min="10501" max="10501" width="9.7109375" style="65" bestFit="1" customWidth="1"/>
    <col min="10502" max="10503" width="9.5703125" style="65" bestFit="1" customWidth="1"/>
    <col min="10504" max="10504" width="10.42578125" style="65" bestFit="1" customWidth="1"/>
    <col min="10505" max="10505" width="4.5703125" style="65" customWidth="1"/>
    <col min="10506" max="10506" width="1.85546875" style="65" customWidth="1"/>
    <col min="10507" max="10507" width="7" style="65" bestFit="1" customWidth="1"/>
    <col min="10508" max="10508" width="6.28515625" style="65" customWidth="1"/>
    <col min="10509" max="10509" width="20.42578125" style="65" customWidth="1"/>
    <col min="10510" max="10510" width="6.42578125" style="65" bestFit="1" customWidth="1"/>
    <col min="10511" max="10512" width="8.42578125" style="65"/>
    <col min="10513" max="10513" width="3.28515625" style="65" customWidth="1"/>
    <col min="10514" max="10752" width="8.42578125" style="65"/>
    <col min="10753" max="10753" width="10" style="65" bestFit="1" customWidth="1"/>
    <col min="10754" max="10754" width="44.28515625" style="65" bestFit="1" customWidth="1"/>
    <col min="10755" max="10755" width="10.42578125" style="65" bestFit="1" customWidth="1"/>
    <col min="10756" max="10756" width="10.42578125" style="65" customWidth="1"/>
    <col min="10757" max="10757" width="9.7109375" style="65" bestFit="1" customWidth="1"/>
    <col min="10758" max="10759" width="9.5703125" style="65" bestFit="1" customWidth="1"/>
    <col min="10760" max="10760" width="10.42578125" style="65" bestFit="1" customWidth="1"/>
    <col min="10761" max="10761" width="4.5703125" style="65" customWidth="1"/>
    <col min="10762" max="10762" width="1.85546875" style="65" customWidth="1"/>
    <col min="10763" max="10763" width="7" style="65" bestFit="1" customWidth="1"/>
    <col min="10764" max="10764" width="6.28515625" style="65" customWidth="1"/>
    <col min="10765" max="10765" width="20.42578125" style="65" customWidth="1"/>
    <col min="10766" max="10766" width="6.42578125" style="65" bestFit="1" customWidth="1"/>
    <col min="10767" max="10768" width="8.42578125" style="65"/>
    <col min="10769" max="10769" width="3.28515625" style="65" customWidth="1"/>
    <col min="10770" max="11008" width="8.42578125" style="65"/>
    <col min="11009" max="11009" width="10" style="65" bestFit="1" customWidth="1"/>
    <col min="11010" max="11010" width="44.28515625" style="65" bestFit="1" customWidth="1"/>
    <col min="11011" max="11011" width="10.42578125" style="65" bestFit="1" customWidth="1"/>
    <col min="11012" max="11012" width="10.42578125" style="65" customWidth="1"/>
    <col min="11013" max="11013" width="9.7109375" style="65" bestFit="1" customWidth="1"/>
    <col min="11014" max="11015" width="9.5703125" style="65" bestFit="1" customWidth="1"/>
    <col min="11016" max="11016" width="10.42578125" style="65" bestFit="1" customWidth="1"/>
    <col min="11017" max="11017" width="4.5703125" style="65" customWidth="1"/>
    <col min="11018" max="11018" width="1.85546875" style="65" customWidth="1"/>
    <col min="11019" max="11019" width="7" style="65" bestFit="1" customWidth="1"/>
    <col min="11020" max="11020" width="6.28515625" style="65" customWidth="1"/>
    <col min="11021" max="11021" width="20.42578125" style="65" customWidth="1"/>
    <col min="11022" max="11022" width="6.42578125" style="65" bestFit="1" customWidth="1"/>
    <col min="11023" max="11024" width="8.42578125" style="65"/>
    <col min="11025" max="11025" width="3.28515625" style="65" customWidth="1"/>
    <col min="11026" max="11264" width="8.42578125" style="65"/>
    <col min="11265" max="11265" width="10" style="65" bestFit="1" customWidth="1"/>
    <col min="11266" max="11266" width="44.28515625" style="65" bestFit="1" customWidth="1"/>
    <col min="11267" max="11267" width="10.42578125" style="65" bestFit="1" customWidth="1"/>
    <col min="11268" max="11268" width="10.42578125" style="65" customWidth="1"/>
    <col min="11269" max="11269" width="9.7109375" style="65" bestFit="1" customWidth="1"/>
    <col min="11270" max="11271" width="9.5703125" style="65" bestFit="1" customWidth="1"/>
    <col min="11272" max="11272" width="10.42578125" style="65" bestFit="1" customWidth="1"/>
    <col min="11273" max="11273" width="4.5703125" style="65" customWidth="1"/>
    <col min="11274" max="11274" width="1.85546875" style="65" customWidth="1"/>
    <col min="11275" max="11275" width="7" style="65" bestFit="1" customWidth="1"/>
    <col min="11276" max="11276" width="6.28515625" style="65" customWidth="1"/>
    <col min="11277" max="11277" width="20.42578125" style="65" customWidth="1"/>
    <col min="11278" max="11278" width="6.42578125" style="65" bestFit="1" customWidth="1"/>
    <col min="11279" max="11280" width="8.42578125" style="65"/>
    <col min="11281" max="11281" width="3.28515625" style="65" customWidth="1"/>
    <col min="11282" max="11520" width="8.42578125" style="65"/>
    <col min="11521" max="11521" width="10" style="65" bestFit="1" customWidth="1"/>
    <col min="11522" max="11522" width="44.28515625" style="65" bestFit="1" customWidth="1"/>
    <col min="11523" max="11523" width="10.42578125" style="65" bestFit="1" customWidth="1"/>
    <col min="11524" max="11524" width="10.42578125" style="65" customWidth="1"/>
    <col min="11525" max="11525" width="9.7109375" style="65" bestFit="1" customWidth="1"/>
    <col min="11526" max="11527" width="9.5703125" style="65" bestFit="1" customWidth="1"/>
    <col min="11528" max="11528" width="10.42578125" style="65" bestFit="1" customWidth="1"/>
    <col min="11529" max="11529" width="4.5703125" style="65" customWidth="1"/>
    <col min="11530" max="11530" width="1.85546875" style="65" customWidth="1"/>
    <col min="11531" max="11531" width="7" style="65" bestFit="1" customWidth="1"/>
    <col min="11532" max="11532" width="6.28515625" style="65" customWidth="1"/>
    <col min="11533" max="11533" width="20.42578125" style="65" customWidth="1"/>
    <col min="11534" max="11534" width="6.42578125" style="65" bestFit="1" customWidth="1"/>
    <col min="11535" max="11536" width="8.42578125" style="65"/>
    <col min="11537" max="11537" width="3.28515625" style="65" customWidth="1"/>
    <col min="11538" max="11776" width="8.42578125" style="65"/>
    <col min="11777" max="11777" width="10" style="65" bestFit="1" customWidth="1"/>
    <col min="11778" max="11778" width="44.28515625" style="65" bestFit="1" customWidth="1"/>
    <col min="11779" max="11779" width="10.42578125" style="65" bestFit="1" customWidth="1"/>
    <col min="11780" max="11780" width="10.42578125" style="65" customWidth="1"/>
    <col min="11781" max="11781" width="9.7109375" style="65" bestFit="1" customWidth="1"/>
    <col min="11782" max="11783" width="9.5703125" style="65" bestFit="1" customWidth="1"/>
    <col min="11784" max="11784" width="10.42578125" style="65" bestFit="1" customWidth="1"/>
    <col min="11785" max="11785" width="4.5703125" style="65" customWidth="1"/>
    <col min="11786" max="11786" width="1.85546875" style="65" customWidth="1"/>
    <col min="11787" max="11787" width="7" style="65" bestFit="1" customWidth="1"/>
    <col min="11788" max="11788" width="6.28515625" style="65" customWidth="1"/>
    <col min="11789" max="11789" width="20.42578125" style="65" customWidth="1"/>
    <col min="11790" max="11790" width="6.42578125" style="65" bestFit="1" customWidth="1"/>
    <col min="11791" max="11792" width="8.42578125" style="65"/>
    <col min="11793" max="11793" width="3.28515625" style="65" customWidth="1"/>
    <col min="11794" max="12032" width="8.42578125" style="65"/>
    <col min="12033" max="12033" width="10" style="65" bestFit="1" customWidth="1"/>
    <col min="12034" max="12034" width="44.28515625" style="65" bestFit="1" customWidth="1"/>
    <col min="12035" max="12035" width="10.42578125" style="65" bestFit="1" customWidth="1"/>
    <col min="12036" max="12036" width="10.42578125" style="65" customWidth="1"/>
    <col min="12037" max="12037" width="9.7109375" style="65" bestFit="1" customWidth="1"/>
    <col min="12038" max="12039" width="9.5703125" style="65" bestFit="1" customWidth="1"/>
    <col min="12040" max="12040" width="10.42578125" style="65" bestFit="1" customWidth="1"/>
    <col min="12041" max="12041" width="4.5703125" style="65" customWidth="1"/>
    <col min="12042" max="12042" width="1.85546875" style="65" customWidth="1"/>
    <col min="12043" max="12043" width="7" style="65" bestFit="1" customWidth="1"/>
    <col min="12044" max="12044" width="6.28515625" style="65" customWidth="1"/>
    <col min="12045" max="12045" width="20.42578125" style="65" customWidth="1"/>
    <col min="12046" max="12046" width="6.42578125" style="65" bestFit="1" customWidth="1"/>
    <col min="12047" max="12048" width="8.42578125" style="65"/>
    <col min="12049" max="12049" width="3.28515625" style="65" customWidth="1"/>
    <col min="12050" max="12288" width="8.42578125" style="65"/>
    <col min="12289" max="12289" width="10" style="65" bestFit="1" customWidth="1"/>
    <col min="12290" max="12290" width="44.28515625" style="65" bestFit="1" customWidth="1"/>
    <col min="12291" max="12291" width="10.42578125" style="65" bestFit="1" customWidth="1"/>
    <col min="12292" max="12292" width="10.42578125" style="65" customWidth="1"/>
    <col min="12293" max="12293" width="9.7109375" style="65" bestFit="1" customWidth="1"/>
    <col min="12294" max="12295" width="9.5703125" style="65" bestFit="1" customWidth="1"/>
    <col min="12296" max="12296" width="10.42578125" style="65" bestFit="1" customWidth="1"/>
    <col min="12297" max="12297" width="4.5703125" style="65" customWidth="1"/>
    <col min="12298" max="12298" width="1.85546875" style="65" customWidth="1"/>
    <col min="12299" max="12299" width="7" style="65" bestFit="1" customWidth="1"/>
    <col min="12300" max="12300" width="6.28515625" style="65" customWidth="1"/>
    <col min="12301" max="12301" width="20.42578125" style="65" customWidth="1"/>
    <col min="12302" max="12302" width="6.42578125" style="65" bestFit="1" customWidth="1"/>
    <col min="12303" max="12304" width="8.42578125" style="65"/>
    <col min="12305" max="12305" width="3.28515625" style="65" customWidth="1"/>
    <col min="12306" max="12544" width="8.42578125" style="65"/>
    <col min="12545" max="12545" width="10" style="65" bestFit="1" customWidth="1"/>
    <col min="12546" max="12546" width="44.28515625" style="65" bestFit="1" customWidth="1"/>
    <col min="12547" max="12547" width="10.42578125" style="65" bestFit="1" customWidth="1"/>
    <col min="12548" max="12548" width="10.42578125" style="65" customWidth="1"/>
    <col min="12549" max="12549" width="9.7109375" style="65" bestFit="1" customWidth="1"/>
    <col min="12550" max="12551" width="9.5703125" style="65" bestFit="1" customWidth="1"/>
    <col min="12552" max="12552" width="10.42578125" style="65" bestFit="1" customWidth="1"/>
    <col min="12553" max="12553" width="4.5703125" style="65" customWidth="1"/>
    <col min="12554" max="12554" width="1.85546875" style="65" customWidth="1"/>
    <col min="12555" max="12555" width="7" style="65" bestFit="1" customWidth="1"/>
    <col min="12556" max="12556" width="6.28515625" style="65" customWidth="1"/>
    <col min="12557" max="12557" width="20.42578125" style="65" customWidth="1"/>
    <col min="12558" max="12558" width="6.42578125" style="65" bestFit="1" customWidth="1"/>
    <col min="12559" max="12560" width="8.42578125" style="65"/>
    <col min="12561" max="12561" width="3.28515625" style="65" customWidth="1"/>
    <col min="12562" max="12800" width="8.42578125" style="65"/>
    <col min="12801" max="12801" width="10" style="65" bestFit="1" customWidth="1"/>
    <col min="12802" max="12802" width="44.28515625" style="65" bestFit="1" customWidth="1"/>
    <col min="12803" max="12803" width="10.42578125" style="65" bestFit="1" customWidth="1"/>
    <col min="12804" max="12804" width="10.42578125" style="65" customWidth="1"/>
    <col min="12805" max="12805" width="9.7109375" style="65" bestFit="1" customWidth="1"/>
    <col min="12806" max="12807" width="9.5703125" style="65" bestFit="1" customWidth="1"/>
    <col min="12808" max="12808" width="10.42578125" style="65" bestFit="1" customWidth="1"/>
    <col min="12809" max="12809" width="4.5703125" style="65" customWidth="1"/>
    <col min="12810" max="12810" width="1.85546875" style="65" customWidth="1"/>
    <col min="12811" max="12811" width="7" style="65" bestFit="1" customWidth="1"/>
    <col min="12812" max="12812" width="6.28515625" style="65" customWidth="1"/>
    <col min="12813" max="12813" width="20.42578125" style="65" customWidth="1"/>
    <col min="12814" max="12814" width="6.42578125" style="65" bestFit="1" customWidth="1"/>
    <col min="12815" max="12816" width="8.42578125" style="65"/>
    <col min="12817" max="12817" width="3.28515625" style="65" customWidth="1"/>
    <col min="12818" max="13056" width="8.42578125" style="65"/>
    <col min="13057" max="13057" width="10" style="65" bestFit="1" customWidth="1"/>
    <col min="13058" max="13058" width="44.28515625" style="65" bestFit="1" customWidth="1"/>
    <col min="13059" max="13059" width="10.42578125" style="65" bestFit="1" customWidth="1"/>
    <col min="13060" max="13060" width="10.42578125" style="65" customWidth="1"/>
    <col min="13061" max="13061" width="9.7109375" style="65" bestFit="1" customWidth="1"/>
    <col min="13062" max="13063" width="9.5703125" style="65" bestFit="1" customWidth="1"/>
    <col min="13064" max="13064" width="10.42578125" style="65" bestFit="1" customWidth="1"/>
    <col min="13065" max="13065" width="4.5703125" style="65" customWidth="1"/>
    <col min="13066" max="13066" width="1.85546875" style="65" customWidth="1"/>
    <col min="13067" max="13067" width="7" style="65" bestFit="1" customWidth="1"/>
    <col min="13068" max="13068" width="6.28515625" style="65" customWidth="1"/>
    <col min="13069" max="13069" width="20.42578125" style="65" customWidth="1"/>
    <col min="13070" max="13070" width="6.42578125" style="65" bestFit="1" customWidth="1"/>
    <col min="13071" max="13072" width="8.42578125" style="65"/>
    <col min="13073" max="13073" width="3.28515625" style="65" customWidth="1"/>
    <col min="13074" max="13312" width="8.42578125" style="65"/>
    <col min="13313" max="13313" width="10" style="65" bestFit="1" customWidth="1"/>
    <col min="13314" max="13314" width="44.28515625" style="65" bestFit="1" customWidth="1"/>
    <col min="13315" max="13315" width="10.42578125" style="65" bestFit="1" customWidth="1"/>
    <col min="13316" max="13316" width="10.42578125" style="65" customWidth="1"/>
    <col min="13317" max="13317" width="9.7109375" style="65" bestFit="1" customWidth="1"/>
    <col min="13318" max="13319" width="9.5703125" style="65" bestFit="1" customWidth="1"/>
    <col min="13320" max="13320" width="10.42578125" style="65" bestFit="1" customWidth="1"/>
    <col min="13321" max="13321" width="4.5703125" style="65" customWidth="1"/>
    <col min="13322" max="13322" width="1.85546875" style="65" customWidth="1"/>
    <col min="13323" max="13323" width="7" style="65" bestFit="1" customWidth="1"/>
    <col min="13324" max="13324" width="6.28515625" style="65" customWidth="1"/>
    <col min="13325" max="13325" width="20.42578125" style="65" customWidth="1"/>
    <col min="13326" max="13326" width="6.42578125" style="65" bestFit="1" customWidth="1"/>
    <col min="13327" max="13328" width="8.42578125" style="65"/>
    <col min="13329" max="13329" width="3.28515625" style="65" customWidth="1"/>
    <col min="13330" max="13568" width="8.42578125" style="65"/>
    <col min="13569" max="13569" width="10" style="65" bestFit="1" customWidth="1"/>
    <col min="13570" max="13570" width="44.28515625" style="65" bestFit="1" customWidth="1"/>
    <col min="13571" max="13571" width="10.42578125" style="65" bestFit="1" customWidth="1"/>
    <col min="13572" max="13572" width="10.42578125" style="65" customWidth="1"/>
    <col min="13573" max="13573" width="9.7109375" style="65" bestFit="1" customWidth="1"/>
    <col min="13574" max="13575" width="9.5703125" style="65" bestFit="1" customWidth="1"/>
    <col min="13576" max="13576" width="10.42578125" style="65" bestFit="1" customWidth="1"/>
    <col min="13577" max="13577" width="4.5703125" style="65" customWidth="1"/>
    <col min="13578" max="13578" width="1.85546875" style="65" customWidth="1"/>
    <col min="13579" max="13579" width="7" style="65" bestFit="1" customWidth="1"/>
    <col min="13580" max="13580" width="6.28515625" style="65" customWidth="1"/>
    <col min="13581" max="13581" width="20.42578125" style="65" customWidth="1"/>
    <col min="13582" max="13582" width="6.42578125" style="65" bestFit="1" customWidth="1"/>
    <col min="13583" max="13584" width="8.42578125" style="65"/>
    <col min="13585" max="13585" width="3.28515625" style="65" customWidth="1"/>
    <col min="13586" max="13824" width="8.42578125" style="65"/>
    <col min="13825" max="13825" width="10" style="65" bestFit="1" customWidth="1"/>
    <col min="13826" max="13826" width="44.28515625" style="65" bestFit="1" customWidth="1"/>
    <col min="13827" max="13827" width="10.42578125" style="65" bestFit="1" customWidth="1"/>
    <col min="13828" max="13828" width="10.42578125" style="65" customWidth="1"/>
    <col min="13829" max="13829" width="9.7109375" style="65" bestFit="1" customWidth="1"/>
    <col min="13830" max="13831" width="9.5703125" style="65" bestFit="1" customWidth="1"/>
    <col min="13832" max="13832" width="10.42578125" style="65" bestFit="1" customWidth="1"/>
    <col min="13833" max="13833" width="4.5703125" style="65" customWidth="1"/>
    <col min="13834" max="13834" width="1.85546875" style="65" customWidth="1"/>
    <col min="13835" max="13835" width="7" style="65" bestFit="1" customWidth="1"/>
    <col min="13836" max="13836" width="6.28515625" style="65" customWidth="1"/>
    <col min="13837" max="13837" width="20.42578125" style="65" customWidth="1"/>
    <col min="13838" max="13838" width="6.42578125" style="65" bestFit="1" customWidth="1"/>
    <col min="13839" max="13840" width="8.42578125" style="65"/>
    <col min="13841" max="13841" width="3.28515625" style="65" customWidth="1"/>
    <col min="13842" max="14080" width="8.42578125" style="65"/>
    <col min="14081" max="14081" width="10" style="65" bestFit="1" customWidth="1"/>
    <col min="14082" max="14082" width="44.28515625" style="65" bestFit="1" customWidth="1"/>
    <col min="14083" max="14083" width="10.42578125" style="65" bestFit="1" customWidth="1"/>
    <col min="14084" max="14084" width="10.42578125" style="65" customWidth="1"/>
    <col min="14085" max="14085" width="9.7109375" style="65" bestFit="1" customWidth="1"/>
    <col min="14086" max="14087" width="9.5703125" style="65" bestFit="1" customWidth="1"/>
    <col min="14088" max="14088" width="10.42578125" style="65" bestFit="1" customWidth="1"/>
    <col min="14089" max="14089" width="4.5703125" style="65" customWidth="1"/>
    <col min="14090" max="14090" width="1.85546875" style="65" customWidth="1"/>
    <col min="14091" max="14091" width="7" style="65" bestFit="1" customWidth="1"/>
    <col min="14092" max="14092" width="6.28515625" style="65" customWidth="1"/>
    <col min="14093" max="14093" width="20.42578125" style="65" customWidth="1"/>
    <col min="14094" max="14094" width="6.42578125" style="65" bestFit="1" customWidth="1"/>
    <col min="14095" max="14096" width="8.42578125" style="65"/>
    <col min="14097" max="14097" width="3.28515625" style="65" customWidth="1"/>
    <col min="14098" max="14336" width="8.42578125" style="65"/>
    <col min="14337" max="14337" width="10" style="65" bestFit="1" customWidth="1"/>
    <col min="14338" max="14338" width="44.28515625" style="65" bestFit="1" customWidth="1"/>
    <col min="14339" max="14339" width="10.42578125" style="65" bestFit="1" customWidth="1"/>
    <col min="14340" max="14340" width="10.42578125" style="65" customWidth="1"/>
    <col min="14341" max="14341" width="9.7109375" style="65" bestFit="1" customWidth="1"/>
    <col min="14342" max="14343" width="9.5703125" style="65" bestFit="1" customWidth="1"/>
    <col min="14344" max="14344" width="10.42578125" style="65" bestFit="1" customWidth="1"/>
    <col min="14345" max="14345" width="4.5703125" style="65" customWidth="1"/>
    <col min="14346" max="14346" width="1.85546875" style="65" customWidth="1"/>
    <col min="14347" max="14347" width="7" style="65" bestFit="1" customWidth="1"/>
    <col min="14348" max="14348" width="6.28515625" style="65" customWidth="1"/>
    <col min="14349" max="14349" width="20.42578125" style="65" customWidth="1"/>
    <col min="14350" max="14350" width="6.42578125" style="65" bestFit="1" customWidth="1"/>
    <col min="14351" max="14352" width="8.42578125" style="65"/>
    <col min="14353" max="14353" width="3.28515625" style="65" customWidth="1"/>
    <col min="14354" max="14592" width="8.42578125" style="65"/>
    <col min="14593" max="14593" width="10" style="65" bestFit="1" customWidth="1"/>
    <col min="14594" max="14594" width="44.28515625" style="65" bestFit="1" customWidth="1"/>
    <col min="14595" max="14595" width="10.42578125" style="65" bestFit="1" customWidth="1"/>
    <col min="14596" max="14596" width="10.42578125" style="65" customWidth="1"/>
    <col min="14597" max="14597" width="9.7109375" style="65" bestFit="1" customWidth="1"/>
    <col min="14598" max="14599" width="9.5703125" style="65" bestFit="1" customWidth="1"/>
    <col min="14600" max="14600" width="10.42578125" style="65" bestFit="1" customWidth="1"/>
    <col min="14601" max="14601" width="4.5703125" style="65" customWidth="1"/>
    <col min="14602" max="14602" width="1.85546875" style="65" customWidth="1"/>
    <col min="14603" max="14603" width="7" style="65" bestFit="1" customWidth="1"/>
    <col min="14604" max="14604" width="6.28515625" style="65" customWidth="1"/>
    <col min="14605" max="14605" width="20.42578125" style="65" customWidth="1"/>
    <col min="14606" max="14606" width="6.42578125" style="65" bestFit="1" customWidth="1"/>
    <col min="14607" max="14608" width="8.42578125" style="65"/>
    <col min="14609" max="14609" width="3.28515625" style="65" customWidth="1"/>
    <col min="14610" max="14848" width="8.42578125" style="65"/>
    <col min="14849" max="14849" width="10" style="65" bestFit="1" customWidth="1"/>
    <col min="14850" max="14850" width="44.28515625" style="65" bestFit="1" customWidth="1"/>
    <col min="14851" max="14851" width="10.42578125" style="65" bestFit="1" customWidth="1"/>
    <col min="14852" max="14852" width="10.42578125" style="65" customWidth="1"/>
    <col min="14853" max="14853" width="9.7109375" style="65" bestFit="1" customWidth="1"/>
    <col min="14854" max="14855" width="9.5703125" style="65" bestFit="1" customWidth="1"/>
    <col min="14856" max="14856" width="10.42578125" style="65" bestFit="1" customWidth="1"/>
    <col min="14857" max="14857" width="4.5703125" style="65" customWidth="1"/>
    <col min="14858" max="14858" width="1.85546875" style="65" customWidth="1"/>
    <col min="14859" max="14859" width="7" style="65" bestFit="1" customWidth="1"/>
    <col min="14860" max="14860" width="6.28515625" style="65" customWidth="1"/>
    <col min="14861" max="14861" width="20.42578125" style="65" customWidth="1"/>
    <col min="14862" max="14862" width="6.42578125" style="65" bestFit="1" customWidth="1"/>
    <col min="14863" max="14864" width="8.42578125" style="65"/>
    <col min="14865" max="14865" width="3.28515625" style="65" customWidth="1"/>
    <col min="14866" max="15104" width="8.42578125" style="65"/>
    <col min="15105" max="15105" width="10" style="65" bestFit="1" customWidth="1"/>
    <col min="15106" max="15106" width="44.28515625" style="65" bestFit="1" customWidth="1"/>
    <col min="15107" max="15107" width="10.42578125" style="65" bestFit="1" customWidth="1"/>
    <col min="15108" max="15108" width="10.42578125" style="65" customWidth="1"/>
    <col min="15109" max="15109" width="9.7109375" style="65" bestFit="1" customWidth="1"/>
    <col min="15110" max="15111" width="9.5703125" style="65" bestFit="1" customWidth="1"/>
    <col min="15112" max="15112" width="10.42578125" style="65" bestFit="1" customWidth="1"/>
    <col min="15113" max="15113" width="4.5703125" style="65" customWidth="1"/>
    <col min="15114" max="15114" width="1.85546875" style="65" customWidth="1"/>
    <col min="15115" max="15115" width="7" style="65" bestFit="1" customWidth="1"/>
    <col min="15116" max="15116" width="6.28515625" style="65" customWidth="1"/>
    <col min="15117" max="15117" width="20.42578125" style="65" customWidth="1"/>
    <col min="15118" max="15118" width="6.42578125" style="65" bestFit="1" customWidth="1"/>
    <col min="15119" max="15120" width="8.42578125" style="65"/>
    <col min="15121" max="15121" width="3.28515625" style="65" customWidth="1"/>
    <col min="15122" max="15360" width="8.42578125" style="65"/>
    <col min="15361" max="15361" width="10" style="65" bestFit="1" customWidth="1"/>
    <col min="15362" max="15362" width="44.28515625" style="65" bestFit="1" customWidth="1"/>
    <col min="15363" max="15363" width="10.42578125" style="65" bestFit="1" customWidth="1"/>
    <col min="15364" max="15364" width="10.42578125" style="65" customWidth="1"/>
    <col min="15365" max="15365" width="9.7109375" style="65" bestFit="1" customWidth="1"/>
    <col min="15366" max="15367" width="9.5703125" style="65" bestFit="1" customWidth="1"/>
    <col min="15368" max="15368" width="10.42578125" style="65" bestFit="1" customWidth="1"/>
    <col min="15369" max="15369" width="4.5703125" style="65" customWidth="1"/>
    <col min="15370" max="15370" width="1.85546875" style="65" customWidth="1"/>
    <col min="15371" max="15371" width="7" style="65" bestFit="1" customWidth="1"/>
    <col min="15372" max="15372" width="6.28515625" style="65" customWidth="1"/>
    <col min="15373" max="15373" width="20.42578125" style="65" customWidth="1"/>
    <col min="15374" max="15374" width="6.42578125" style="65" bestFit="1" customWidth="1"/>
    <col min="15375" max="15376" width="8.42578125" style="65"/>
    <col min="15377" max="15377" width="3.28515625" style="65" customWidth="1"/>
    <col min="15378" max="15616" width="8.42578125" style="65"/>
    <col min="15617" max="15617" width="10" style="65" bestFit="1" customWidth="1"/>
    <col min="15618" max="15618" width="44.28515625" style="65" bestFit="1" customWidth="1"/>
    <col min="15619" max="15619" width="10.42578125" style="65" bestFit="1" customWidth="1"/>
    <col min="15620" max="15620" width="10.42578125" style="65" customWidth="1"/>
    <col min="15621" max="15621" width="9.7109375" style="65" bestFit="1" customWidth="1"/>
    <col min="15622" max="15623" width="9.5703125" style="65" bestFit="1" customWidth="1"/>
    <col min="15624" max="15624" width="10.42578125" style="65" bestFit="1" customWidth="1"/>
    <col min="15625" max="15625" width="4.5703125" style="65" customWidth="1"/>
    <col min="15626" max="15626" width="1.85546875" style="65" customWidth="1"/>
    <col min="15627" max="15627" width="7" style="65" bestFit="1" customWidth="1"/>
    <col min="15628" max="15628" width="6.28515625" style="65" customWidth="1"/>
    <col min="15629" max="15629" width="20.42578125" style="65" customWidth="1"/>
    <col min="15630" max="15630" width="6.42578125" style="65" bestFit="1" customWidth="1"/>
    <col min="15631" max="15632" width="8.42578125" style="65"/>
    <col min="15633" max="15633" width="3.28515625" style="65" customWidth="1"/>
    <col min="15634" max="15872" width="8.42578125" style="65"/>
    <col min="15873" max="15873" width="10" style="65" bestFit="1" customWidth="1"/>
    <col min="15874" max="15874" width="44.28515625" style="65" bestFit="1" customWidth="1"/>
    <col min="15875" max="15875" width="10.42578125" style="65" bestFit="1" customWidth="1"/>
    <col min="15876" max="15876" width="10.42578125" style="65" customWidth="1"/>
    <col min="15877" max="15877" width="9.7109375" style="65" bestFit="1" customWidth="1"/>
    <col min="15878" max="15879" width="9.5703125" style="65" bestFit="1" customWidth="1"/>
    <col min="15880" max="15880" width="10.42578125" style="65" bestFit="1" customWidth="1"/>
    <col min="15881" max="15881" width="4.5703125" style="65" customWidth="1"/>
    <col min="15882" max="15882" width="1.85546875" style="65" customWidth="1"/>
    <col min="15883" max="15883" width="7" style="65" bestFit="1" customWidth="1"/>
    <col min="15884" max="15884" width="6.28515625" style="65" customWidth="1"/>
    <col min="15885" max="15885" width="20.42578125" style="65" customWidth="1"/>
    <col min="15886" max="15886" width="6.42578125" style="65" bestFit="1" customWidth="1"/>
    <col min="15887" max="15888" width="8.42578125" style="65"/>
    <col min="15889" max="15889" width="3.28515625" style="65" customWidth="1"/>
    <col min="15890" max="16128" width="8.42578125" style="65"/>
    <col min="16129" max="16129" width="10" style="65" bestFit="1" customWidth="1"/>
    <col min="16130" max="16130" width="44.28515625" style="65" bestFit="1" customWidth="1"/>
    <col min="16131" max="16131" width="10.42578125" style="65" bestFit="1" customWidth="1"/>
    <col min="16132" max="16132" width="10.42578125" style="65" customWidth="1"/>
    <col min="16133" max="16133" width="9.7109375" style="65" bestFit="1" customWidth="1"/>
    <col min="16134" max="16135" width="9.5703125" style="65" bestFit="1" customWidth="1"/>
    <col min="16136" max="16136" width="10.42578125" style="65" bestFit="1" customWidth="1"/>
    <col min="16137" max="16137" width="4.5703125" style="65" customWidth="1"/>
    <col min="16138" max="16138" width="1.85546875" style="65" customWidth="1"/>
    <col min="16139" max="16139" width="7" style="65" bestFit="1" customWidth="1"/>
    <col min="16140" max="16140" width="6.28515625" style="65" customWidth="1"/>
    <col min="16141" max="16141" width="20.42578125" style="65" customWidth="1"/>
    <col min="16142" max="16142" width="6.42578125" style="65" bestFit="1" customWidth="1"/>
    <col min="16143" max="16144" width="8.42578125" style="65"/>
    <col min="16145" max="16145" width="3.28515625" style="65" customWidth="1"/>
    <col min="16146" max="16384" width="8.42578125" style="65"/>
  </cols>
  <sheetData>
    <row r="1" spans="1:10" ht="27.75" customHeight="1" x14ac:dyDescent="0.25">
      <c r="A1" s="60"/>
      <c r="B1" s="60"/>
      <c r="C1" s="60"/>
      <c r="D1" s="60"/>
      <c r="E1" s="61" t="s">
        <v>95</v>
      </c>
      <c r="F1" s="62" t="s">
        <v>96</v>
      </c>
      <c r="G1" s="62" t="s">
        <v>97</v>
      </c>
      <c r="H1" s="62" t="s">
        <v>98</v>
      </c>
      <c r="I1" s="63"/>
    </row>
    <row r="2" spans="1:10" ht="30.75" customHeight="1" x14ac:dyDescent="0.25">
      <c r="A2" s="60"/>
      <c r="B2" s="60"/>
      <c r="C2" s="60"/>
      <c r="D2" s="60"/>
      <c r="E2" s="66">
        <f>IFERROR(O62,"")</f>
        <v>7259.5695000000005</v>
      </c>
      <c r="F2" s="66">
        <f>IFERROR(H53,"")</f>
        <v>5144.5695000000005</v>
      </c>
      <c r="G2" s="66">
        <f>IFERROR(H54,"")</f>
        <v>0</v>
      </c>
      <c r="H2" s="66">
        <f>IFERROR(H56,"")</f>
        <v>1155</v>
      </c>
      <c r="I2" s="67"/>
    </row>
    <row r="3" spans="1:10" ht="15" customHeight="1" x14ac:dyDescent="0.25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3">
      <c r="A4" s="646"/>
      <c r="B4" s="646"/>
      <c r="C4" s="646"/>
      <c r="D4" s="646"/>
      <c r="E4" s="646"/>
      <c r="F4" s="646"/>
      <c r="G4" s="646"/>
      <c r="H4" s="646"/>
      <c r="I4" s="69"/>
    </row>
    <row r="5" spans="1:10" ht="19.5" customHeight="1" thickBot="1" x14ac:dyDescent="0.3">
      <c r="A5" s="647" t="s">
        <v>99</v>
      </c>
      <c r="B5" s="648"/>
      <c r="C5" s="648"/>
      <c r="D5" s="648"/>
      <c r="E5" s="648"/>
      <c r="F5" s="648"/>
      <c r="G5" s="648"/>
      <c r="H5" s="649"/>
      <c r="I5" s="70"/>
    </row>
    <row r="6" spans="1:10" ht="19.5" thickBot="1" x14ac:dyDescent="0.3">
      <c r="A6" s="70"/>
      <c r="B6" s="70"/>
      <c r="C6" s="70"/>
      <c r="D6" s="70"/>
      <c r="E6" s="70"/>
      <c r="F6" s="650" t="s">
        <v>100</v>
      </c>
      <c r="G6" s="650"/>
      <c r="H6" s="71">
        <f ca="1">TODAY()</f>
        <v>46064</v>
      </c>
      <c r="I6" s="71"/>
    </row>
    <row r="7" spans="1:10" ht="26.25" thickBot="1" x14ac:dyDescent="0.3">
      <c r="A7" s="72" t="s">
        <v>101</v>
      </c>
      <c r="B7" s="73" t="s">
        <v>102</v>
      </c>
      <c r="C7" s="73" t="s">
        <v>101</v>
      </c>
      <c r="D7" s="74" t="s">
        <v>103</v>
      </c>
      <c r="E7" s="74" t="s">
        <v>104</v>
      </c>
      <c r="F7" s="74" t="s">
        <v>105</v>
      </c>
      <c r="G7" s="74" t="s">
        <v>106</v>
      </c>
      <c r="H7" s="75" t="s">
        <v>107</v>
      </c>
      <c r="I7" s="76"/>
    </row>
    <row r="8" spans="1:10" ht="13.5" x14ac:dyDescent="0.25">
      <c r="A8" s="77">
        <v>4344.8500000000004</v>
      </c>
      <c r="B8" s="65" t="s">
        <v>31</v>
      </c>
      <c r="C8" s="78">
        <f>+A8</f>
        <v>4344.8500000000004</v>
      </c>
      <c r="D8" s="79" t="s">
        <v>147</v>
      </c>
      <c r="E8" s="79">
        <v>0.43</v>
      </c>
      <c r="F8" s="79">
        <f>IFERROR(C8*E8,"")</f>
        <v>1868.2855000000002</v>
      </c>
      <c r="G8" s="80">
        <f t="shared" ref="G8:G14" si="0">IFERROR(F8/$F$66,"")</f>
        <v>0.29180740532411126</v>
      </c>
      <c r="H8" s="81" t="s">
        <v>30</v>
      </c>
      <c r="I8" s="81"/>
      <c r="J8" s="82"/>
    </row>
    <row r="9" spans="1:10" ht="13.5" x14ac:dyDescent="0.25">
      <c r="A9" s="77">
        <v>692.1</v>
      </c>
      <c r="B9" s="65" t="s">
        <v>33</v>
      </c>
      <c r="C9" s="78">
        <f t="shared" ref="C9:C14" si="1">+A9</f>
        <v>692.1</v>
      </c>
      <c r="D9" s="79" t="s">
        <v>147</v>
      </c>
      <c r="E9" s="79">
        <v>2.04</v>
      </c>
      <c r="F9" s="79">
        <f t="shared" ref="F9:F14" si="2">IFERROR(C9*E9,"")</f>
        <v>1411.884</v>
      </c>
      <c r="G9" s="80">
        <f t="shared" si="0"/>
        <v>0.2205220811587027</v>
      </c>
      <c r="H9" s="81" t="s">
        <v>32</v>
      </c>
      <c r="I9" s="81"/>
      <c r="J9" s="82"/>
    </row>
    <row r="10" spans="1:10" ht="13.5" x14ac:dyDescent="0.25">
      <c r="A10" s="77">
        <v>8</v>
      </c>
      <c r="B10" s="65" t="s">
        <v>37</v>
      </c>
      <c r="C10" s="78">
        <f t="shared" si="1"/>
        <v>8</v>
      </c>
      <c r="D10" s="79" t="s">
        <v>147</v>
      </c>
      <c r="E10" s="79">
        <v>200</v>
      </c>
      <c r="F10" s="79">
        <f t="shared" si="2"/>
        <v>1600</v>
      </c>
      <c r="G10" s="80">
        <f t="shared" si="0"/>
        <v>0.24990390843293381</v>
      </c>
      <c r="H10" s="81" t="s">
        <v>36</v>
      </c>
      <c r="I10" s="81"/>
      <c r="J10" s="82"/>
    </row>
    <row r="11" spans="1:10" ht="13.5" x14ac:dyDescent="0.25">
      <c r="A11" s="77">
        <v>8</v>
      </c>
      <c r="B11" s="65" t="s">
        <v>92</v>
      </c>
      <c r="C11" s="78">
        <f t="shared" si="1"/>
        <v>8</v>
      </c>
      <c r="D11" s="79" t="s">
        <v>147</v>
      </c>
      <c r="E11" s="79">
        <v>8.59</v>
      </c>
      <c r="F11" s="79">
        <f t="shared" si="2"/>
        <v>68.72</v>
      </c>
      <c r="G11" s="80">
        <f t="shared" si="0"/>
        <v>1.0733372867194507E-2</v>
      </c>
      <c r="H11" s="81" t="s">
        <v>91</v>
      </c>
      <c r="I11" s="81"/>
      <c r="J11" s="82"/>
    </row>
    <row r="12" spans="1:10" ht="13.5" x14ac:dyDescent="0.25">
      <c r="A12" s="77">
        <v>8</v>
      </c>
      <c r="B12" s="65" t="s">
        <v>41</v>
      </c>
      <c r="C12" s="78">
        <f t="shared" si="1"/>
        <v>8</v>
      </c>
      <c r="D12" s="79" t="s">
        <v>147</v>
      </c>
      <c r="E12" s="79">
        <v>6</v>
      </c>
      <c r="F12" s="79">
        <f t="shared" si="2"/>
        <v>48</v>
      </c>
      <c r="G12" s="80">
        <f t="shared" si="0"/>
        <v>7.4971172529880144E-3</v>
      </c>
      <c r="H12" s="81" t="s">
        <v>40</v>
      </c>
      <c r="I12" s="81"/>
      <c r="J12" s="82"/>
    </row>
    <row r="13" spans="1:10" ht="13.5" x14ac:dyDescent="0.25">
      <c r="A13" s="77">
        <v>8</v>
      </c>
      <c r="B13" s="65" t="s">
        <v>43</v>
      </c>
      <c r="C13" s="78">
        <f t="shared" si="1"/>
        <v>8</v>
      </c>
      <c r="D13" s="79" t="s">
        <v>147</v>
      </c>
      <c r="E13" s="79">
        <v>18.46</v>
      </c>
      <c r="F13" s="79">
        <f t="shared" si="2"/>
        <v>147.68</v>
      </c>
      <c r="G13" s="80">
        <f t="shared" si="0"/>
        <v>2.3066130748359791E-2</v>
      </c>
      <c r="H13" s="81" t="s">
        <v>42</v>
      </c>
      <c r="I13" s="81"/>
      <c r="J13" s="82"/>
    </row>
    <row r="14" spans="1:10" ht="13.5" x14ac:dyDescent="0.25">
      <c r="A14" s="77"/>
      <c r="B14" s="65" t="str">
        <f>IFERROR(VLOOKUP(H14,'[1]Consolidado MP Planta'!$A$2:$M$823,3,0),"")</f>
        <v/>
      </c>
      <c r="C14" s="78">
        <f t="shared" si="1"/>
        <v>0</v>
      </c>
      <c r="D14" s="79" t="str">
        <f>IFERROR(VLOOKUP(H14,'[1]Consolidado MP Planta'!$A$2:$M$823,13,0),"")</f>
        <v/>
      </c>
      <c r="E14" s="79" t="str">
        <f>IFERROR(VLOOKUP(H14,'[1]Consolidado MP Planta'!$A$2:$M$823,12,0),"")</f>
        <v/>
      </c>
      <c r="F14" s="79" t="str">
        <f t="shared" si="2"/>
        <v/>
      </c>
      <c r="G14" s="80" t="str">
        <f t="shared" si="0"/>
        <v/>
      </c>
      <c r="H14" s="81"/>
      <c r="I14" s="81"/>
      <c r="J14" s="82"/>
    </row>
    <row r="15" spans="1:10" ht="14.25" thickBot="1" x14ac:dyDescent="0.3">
      <c r="A15" s="77"/>
      <c r="B15" s="65" t="str">
        <f>IFERROR(VLOOKUP(H15,'[2]ARTICULOS MP PLANTA'!$A$2:$G$589,2,0),"")</f>
        <v/>
      </c>
      <c r="C15" s="78"/>
      <c r="D15" s="79"/>
      <c r="E15" s="79"/>
      <c r="F15" s="79"/>
      <c r="G15" s="80"/>
      <c r="H15" s="81"/>
      <c r="I15" s="81"/>
      <c r="J15" s="82"/>
    </row>
    <row r="16" spans="1:10" ht="26.25" hidden="1" thickBot="1" x14ac:dyDescent="0.3">
      <c r="A16" s="72" t="s">
        <v>101</v>
      </c>
      <c r="B16" s="73" t="s">
        <v>108</v>
      </c>
      <c r="C16" s="73" t="s">
        <v>101</v>
      </c>
      <c r="D16" s="74" t="s">
        <v>103</v>
      </c>
      <c r="E16" s="74" t="s">
        <v>104</v>
      </c>
      <c r="F16" s="74" t="s">
        <v>105</v>
      </c>
      <c r="G16" s="74" t="s">
        <v>106</v>
      </c>
      <c r="H16" s="75" t="s">
        <v>107</v>
      </c>
      <c r="I16" s="76"/>
      <c r="J16" s="82"/>
    </row>
    <row r="17" spans="1:12" ht="13.5" hidden="1" x14ac:dyDescent="0.25">
      <c r="A17" s="77"/>
      <c r="B17" s="65" t="str">
        <f>IFERROR(VLOOKUP(H17,[1]SEMIELABORADOS!$A$2:$M$6000,2,0),"")</f>
        <v/>
      </c>
      <c r="C17" s="78">
        <f>+A17</f>
        <v>0</v>
      </c>
      <c r="D17" s="78" t="str">
        <f>IFERROR(VLOOKUP(H17,[1]SEMIELABORADOS!$A$2:$M$6000,6,0),"")</f>
        <v/>
      </c>
      <c r="E17" s="79" t="str">
        <f>IFERROR(VLOOKUP(H17,[1]SEMIELABORADOS!$A$2:$H$65536,8,0),"")</f>
        <v/>
      </c>
      <c r="F17" s="79" t="str">
        <f>IFERROR(E17*C17,"")</f>
        <v/>
      </c>
      <c r="G17" s="80" t="str">
        <f t="shared" ref="G17:G24" si="3">IFERROR(F17/$F$66,"")</f>
        <v/>
      </c>
      <c r="H17" s="81"/>
      <c r="I17" s="81"/>
      <c r="J17" s="82"/>
    </row>
    <row r="18" spans="1:12" ht="13.5" hidden="1" x14ac:dyDescent="0.25">
      <c r="A18" s="77"/>
      <c r="B18" s="65" t="str">
        <f>IFERROR(VLOOKUP(H18,[1]SEMIELABORADOS!$A$2:$M$6000,2,0),"")</f>
        <v/>
      </c>
      <c r="C18" s="78">
        <f t="shared" ref="C18:C24" si="4">+A18</f>
        <v>0</v>
      </c>
      <c r="D18" s="78" t="str">
        <f>IFERROR(VLOOKUP(H18,[1]SEMIELABORADOS!$A$2:$M$6000,6,0),"")</f>
        <v/>
      </c>
      <c r="E18" s="79" t="str">
        <f>IFERROR(VLOOKUP(H18,[1]SEMIELABORADOS!$A$2:$H$65536,8,0),"")</f>
        <v/>
      </c>
      <c r="F18" s="79" t="str">
        <f t="shared" ref="F18:F24" si="5">IFERROR(E18*C18,"")</f>
        <v/>
      </c>
      <c r="G18" s="80" t="str">
        <f t="shared" si="3"/>
        <v/>
      </c>
      <c r="H18" s="81"/>
      <c r="I18" s="81"/>
      <c r="J18" s="82"/>
    </row>
    <row r="19" spans="1:12" ht="13.5" hidden="1" x14ac:dyDescent="0.25">
      <c r="A19" s="77"/>
      <c r="B19" s="65" t="str">
        <f>IFERROR(VLOOKUP(H19,[1]SEMIELABORADOS!$A$2:$M$6000,2,0),"")</f>
        <v/>
      </c>
      <c r="C19" s="78">
        <f>+A19</f>
        <v>0</v>
      </c>
      <c r="D19" s="78" t="str">
        <f>IFERROR(VLOOKUP(H19,[1]SEMIELABORADOS!$A$2:$M$6000,6,0),"")</f>
        <v/>
      </c>
      <c r="E19" s="79" t="str">
        <f>IFERROR(VLOOKUP(H19,[1]SEMIELABORADOS!$A$2:$H$65536,8,0),"")</f>
        <v/>
      </c>
      <c r="F19" s="79" t="str">
        <f>IFERROR(E19*C19,"")</f>
        <v/>
      </c>
      <c r="G19" s="80" t="str">
        <f t="shared" si="3"/>
        <v/>
      </c>
      <c r="H19" s="81"/>
      <c r="I19" s="81"/>
      <c r="J19" s="82"/>
    </row>
    <row r="20" spans="1:12" ht="13.5" hidden="1" x14ac:dyDescent="0.25">
      <c r="A20" s="77"/>
      <c r="B20" s="65" t="str">
        <f>IFERROR(VLOOKUP(H20,[1]SEMIELABORADOS!$A$2:$M$6000,2,0),"")</f>
        <v/>
      </c>
      <c r="C20" s="78">
        <f>+A20</f>
        <v>0</v>
      </c>
      <c r="D20" s="78" t="str">
        <f>IFERROR(VLOOKUP(H20,[1]SEMIELABORADOS!$A$2:$M$6000,6,0),"")</f>
        <v/>
      </c>
      <c r="E20" s="79" t="str">
        <f>IFERROR(VLOOKUP(H20,[1]SEMIELABORADOS!$A$2:$H$65536,8,0),"")</f>
        <v/>
      </c>
      <c r="F20" s="79" t="str">
        <f>IFERROR(E20*C20,"")</f>
        <v/>
      </c>
      <c r="G20" s="80" t="str">
        <f t="shared" si="3"/>
        <v/>
      </c>
      <c r="H20" s="81"/>
      <c r="I20" s="81"/>
      <c r="J20" s="82"/>
    </row>
    <row r="21" spans="1:12" ht="13.5" hidden="1" x14ac:dyDescent="0.25">
      <c r="A21" s="77"/>
      <c r="B21" s="65" t="str">
        <f>IFERROR(VLOOKUP(H21,[1]SEMIELABORADOS!$A$2:$M$6000,2,0),"")</f>
        <v/>
      </c>
      <c r="C21" s="78">
        <f>+A21</f>
        <v>0</v>
      </c>
      <c r="D21" s="78" t="str">
        <f>IFERROR(VLOOKUP(H21,[1]SEMIELABORADOS!$A$2:$M$6000,6,0),"")</f>
        <v/>
      </c>
      <c r="E21" s="79" t="str">
        <f>IFERROR(VLOOKUP(H21,[1]SEMIELABORADOS!$A$2:$H$65536,8,0),"")</f>
        <v/>
      </c>
      <c r="F21" s="79" t="str">
        <f>IFERROR(E21*C21,"")</f>
        <v/>
      </c>
      <c r="G21" s="80" t="str">
        <f t="shared" si="3"/>
        <v/>
      </c>
      <c r="H21" s="81"/>
      <c r="I21" s="81"/>
      <c r="J21" s="82"/>
    </row>
    <row r="22" spans="1:12" ht="13.5" hidden="1" x14ac:dyDescent="0.25">
      <c r="A22" s="77"/>
      <c r="B22" s="65" t="str">
        <f>IFERROR(VLOOKUP(H22,[1]SEMIELABORADOS!$A$2:$M$6000,2,0),"")</f>
        <v/>
      </c>
      <c r="C22" s="78">
        <f t="shared" si="4"/>
        <v>0</v>
      </c>
      <c r="D22" s="78" t="str">
        <f>IFERROR(VLOOKUP(H22,[1]SEMIELABORADOS!$A$2:$M$6000,6,0),"")</f>
        <v/>
      </c>
      <c r="E22" s="79" t="str">
        <f>IFERROR(VLOOKUP(H22,[1]SEMIELABORADOS!$A$2:$H$65536,8,0),"")</f>
        <v/>
      </c>
      <c r="F22" s="79" t="str">
        <f t="shared" si="5"/>
        <v/>
      </c>
      <c r="G22" s="80" t="str">
        <f t="shared" si="3"/>
        <v/>
      </c>
      <c r="H22" s="81"/>
      <c r="I22" s="81"/>
      <c r="J22" s="82"/>
    </row>
    <row r="23" spans="1:12" ht="13.5" hidden="1" x14ac:dyDescent="0.25">
      <c r="A23" s="77"/>
      <c r="B23" s="65" t="str">
        <f>IFERROR(VLOOKUP(H23,[1]SEMIELABORADOS!$A$2:$M$6000,2,0),"")</f>
        <v/>
      </c>
      <c r="C23" s="78">
        <f t="shared" si="4"/>
        <v>0</v>
      </c>
      <c r="D23" s="78" t="str">
        <f>IFERROR(VLOOKUP(H23,[1]SEMIELABORADOS!$A$2:$M$6000,6,0),"")</f>
        <v/>
      </c>
      <c r="E23" s="79" t="str">
        <f>IFERROR(VLOOKUP(H23,[1]SEMIELABORADOS!$A$2:$H$65536,8,0),"")</f>
        <v/>
      </c>
      <c r="F23" s="79" t="str">
        <f t="shared" si="5"/>
        <v/>
      </c>
      <c r="G23" s="80" t="str">
        <f t="shared" si="3"/>
        <v/>
      </c>
      <c r="H23" s="81"/>
      <c r="I23" s="81"/>
      <c r="J23" s="82"/>
    </row>
    <row r="24" spans="1:12" ht="13.5" hidden="1" x14ac:dyDescent="0.25">
      <c r="A24" s="77"/>
      <c r="B24" s="65" t="str">
        <f>IFERROR(VLOOKUP(H24,[1]SEMIELABORADOS!$A$2:$M$6000,2,0),"")</f>
        <v/>
      </c>
      <c r="C24" s="78">
        <f t="shared" si="4"/>
        <v>0</v>
      </c>
      <c r="D24" s="78" t="str">
        <f>IFERROR(VLOOKUP(H24,[1]SEMIELABORADOS!$A$2:$M$6000,6,0),"")</f>
        <v/>
      </c>
      <c r="E24" s="79" t="str">
        <f>IFERROR(VLOOKUP(H24,[1]SEMIELABORADOS!$A$2:$H$65536,8,0),"")</f>
        <v/>
      </c>
      <c r="F24" s="79" t="str">
        <f t="shared" si="5"/>
        <v/>
      </c>
      <c r="G24" s="80" t="str">
        <f t="shared" si="3"/>
        <v/>
      </c>
      <c r="H24" s="81"/>
      <c r="I24" s="81"/>
      <c r="J24" s="82"/>
    </row>
    <row r="25" spans="1:12" ht="14.25" hidden="1" thickBot="1" x14ac:dyDescent="0.3">
      <c r="A25" s="77"/>
      <c r="C25" s="78"/>
      <c r="D25" s="78"/>
      <c r="E25" s="79"/>
      <c r="F25" s="79"/>
      <c r="G25" s="80"/>
      <c r="H25" s="81"/>
      <c r="I25" s="81"/>
      <c r="J25" s="82"/>
    </row>
    <row r="26" spans="1:12" ht="26.25" hidden="1" thickBot="1" x14ac:dyDescent="0.3">
      <c r="A26" s="72" t="s">
        <v>101</v>
      </c>
      <c r="B26" s="73" t="s">
        <v>109</v>
      </c>
      <c r="C26" s="73" t="s">
        <v>101</v>
      </c>
      <c r="D26" s="74" t="s">
        <v>103</v>
      </c>
      <c r="E26" s="74" t="s">
        <v>104</v>
      </c>
      <c r="F26" s="74" t="s">
        <v>105</v>
      </c>
      <c r="G26" s="74" t="s">
        <v>106</v>
      </c>
      <c r="H26" s="75" t="s">
        <v>107</v>
      </c>
      <c r="I26" s="76"/>
    </row>
    <row r="27" spans="1:12" ht="13.5" hidden="1" x14ac:dyDescent="0.25">
      <c r="A27" s="77">
        <v>0</v>
      </c>
      <c r="B27" s="83" t="str">
        <f>IFERROR(VLOOKUP(H27,'[1]Consolidado MP Planta'!$A$2:$M$823,3,0),"")</f>
        <v/>
      </c>
      <c r="C27" s="78">
        <f t="shared" ref="C27:C32" si="6">+A27</f>
        <v>0</v>
      </c>
      <c r="D27" s="79" t="str">
        <f>IFERROR(VLOOKUP(H27,'[1]Consolidado MP Planta'!$A$2:$M$823,13,0),"")</f>
        <v/>
      </c>
      <c r="E27" s="79" t="str">
        <f>IFERROR(VLOOKUP(H27,'[1]Consolidado MP Planta'!$A$2:$M$823,12,0),"")</f>
        <v/>
      </c>
      <c r="F27" s="79" t="str">
        <f t="shared" ref="F27:F32" si="7">IFERROR(C27*E27,"")</f>
        <v/>
      </c>
      <c r="G27" s="80" t="str">
        <f t="shared" ref="G27:G32" si="8">IFERROR(F27/$F$66,"")</f>
        <v/>
      </c>
      <c r="H27" s="84"/>
      <c r="I27" s="84"/>
      <c r="J27" s="82"/>
      <c r="K27" s="640"/>
      <c r="L27" s="640"/>
    </row>
    <row r="28" spans="1:12" ht="13.5" hidden="1" x14ac:dyDescent="0.25">
      <c r="A28" s="77"/>
      <c r="B28" s="83" t="str">
        <f>IFERROR(VLOOKUP(H28,'[1]Consolidado MP Planta'!$A$2:$M$823,3,0),"")</f>
        <v/>
      </c>
      <c r="C28" s="78">
        <f t="shared" si="6"/>
        <v>0</v>
      </c>
      <c r="D28" s="79" t="str">
        <f>IFERROR(VLOOKUP(H28,'[1]Consolidado MP Planta'!$A$2:$M$823,13,0),"")</f>
        <v/>
      </c>
      <c r="E28" s="79" t="str">
        <f>IFERROR(VLOOKUP(H28,'[1]Consolidado MP Planta'!$A$2:$M$823,12,0),"")</f>
        <v/>
      </c>
      <c r="F28" s="79" t="str">
        <f t="shared" si="7"/>
        <v/>
      </c>
      <c r="G28" s="80" t="str">
        <f t="shared" si="8"/>
        <v/>
      </c>
      <c r="H28" s="84"/>
      <c r="I28" s="84"/>
      <c r="J28" s="82"/>
      <c r="K28" s="640"/>
      <c r="L28" s="640"/>
    </row>
    <row r="29" spans="1:12" ht="13.5" hidden="1" x14ac:dyDescent="0.25">
      <c r="A29" s="77"/>
      <c r="B29" s="83" t="str">
        <f>IFERROR(VLOOKUP(H29,'[1]Consolidado MP Planta'!$A$2:$M$823,3,0),"")</f>
        <v/>
      </c>
      <c r="C29" s="78">
        <f t="shared" si="6"/>
        <v>0</v>
      </c>
      <c r="D29" s="79" t="str">
        <f>IFERROR(VLOOKUP(H29,'[1]Consolidado MP Planta'!$A$2:$M$823,13,0),"")</f>
        <v/>
      </c>
      <c r="E29" s="79" t="str">
        <f>IFERROR(VLOOKUP(H29,'[1]Consolidado MP Planta'!$A$2:$M$823,12,0),"")</f>
        <v/>
      </c>
      <c r="F29" s="79" t="str">
        <f t="shared" si="7"/>
        <v/>
      </c>
      <c r="G29" s="80" t="str">
        <f t="shared" si="8"/>
        <v/>
      </c>
      <c r="H29" s="84"/>
      <c r="I29" s="84"/>
      <c r="J29" s="82"/>
      <c r="K29" s="640"/>
      <c r="L29" s="640"/>
    </row>
    <row r="30" spans="1:12" ht="13.5" hidden="1" x14ac:dyDescent="0.25">
      <c r="A30" s="77"/>
      <c r="B30" s="83" t="str">
        <f>IFERROR(VLOOKUP(H30,'[1]Consolidado MP Planta'!$A$2:$M$823,3,0),"")</f>
        <v/>
      </c>
      <c r="C30" s="78">
        <f t="shared" si="6"/>
        <v>0</v>
      </c>
      <c r="D30" s="79" t="str">
        <f>IFERROR(VLOOKUP(H30,'[1]Consolidado MP Planta'!$A$2:$M$823,13,0),"")</f>
        <v/>
      </c>
      <c r="E30" s="79" t="str">
        <f>IFERROR(VLOOKUP(H30,'[1]Consolidado MP Planta'!$A$2:$M$823,12,0),"")</f>
        <v/>
      </c>
      <c r="F30" s="79" t="str">
        <f t="shared" si="7"/>
        <v/>
      </c>
      <c r="G30" s="80" t="str">
        <f t="shared" si="8"/>
        <v/>
      </c>
      <c r="H30" s="84"/>
      <c r="I30" s="84"/>
      <c r="J30" s="82"/>
      <c r="K30" s="640"/>
      <c r="L30" s="640"/>
    </row>
    <row r="31" spans="1:12" ht="13.5" hidden="1" x14ac:dyDescent="0.25">
      <c r="A31" s="77"/>
      <c r="B31" s="83" t="str">
        <f>IFERROR(VLOOKUP(H31,'[1]Consolidado MP Planta'!$A$2:$M$823,3,0),"")</f>
        <v/>
      </c>
      <c r="C31" s="78">
        <f t="shared" si="6"/>
        <v>0</v>
      </c>
      <c r="D31" s="79" t="str">
        <f>IFERROR(VLOOKUP(H31,'[1]Consolidado MP Planta'!$A$2:$M$823,13,0),"")</f>
        <v/>
      </c>
      <c r="E31" s="79" t="str">
        <f>IFERROR(VLOOKUP(H31,'[1]Consolidado MP Planta'!$A$2:$M$823,12,0),"")</f>
        <v/>
      </c>
      <c r="F31" s="79" t="str">
        <f t="shared" si="7"/>
        <v/>
      </c>
      <c r="G31" s="80" t="str">
        <f t="shared" si="8"/>
        <v/>
      </c>
      <c r="H31" s="84"/>
      <c r="I31" s="84"/>
      <c r="J31" s="82"/>
      <c r="K31" s="85"/>
      <c r="L31" s="86"/>
    </row>
    <row r="32" spans="1:12" ht="13.5" hidden="1" x14ac:dyDescent="0.25">
      <c r="A32" s="77"/>
      <c r="B32" s="83" t="str">
        <f>IFERROR(VLOOKUP(H32,'[1]Consolidado MP Planta'!$A$2:$M$823,3,0),"")</f>
        <v/>
      </c>
      <c r="C32" s="78">
        <f t="shared" si="6"/>
        <v>0</v>
      </c>
      <c r="D32" s="79" t="str">
        <f>IFERROR(VLOOKUP(H32,'[1]Consolidado MP Planta'!$A$2:$M$823,13,0),"")</f>
        <v/>
      </c>
      <c r="E32" s="79" t="str">
        <f>IFERROR(VLOOKUP(H32,'[1]Consolidado MP Planta'!$A$2:$M$823,12,0),"")</f>
        <v/>
      </c>
      <c r="F32" s="79" t="str">
        <f t="shared" si="7"/>
        <v/>
      </c>
      <c r="G32" s="80" t="str">
        <f t="shared" si="8"/>
        <v/>
      </c>
      <c r="H32" s="84"/>
      <c r="I32" s="84"/>
      <c r="J32" s="82"/>
    </row>
    <row r="33" spans="1:13" ht="14.25" hidden="1" thickBot="1" x14ac:dyDescent="0.3">
      <c r="A33" s="77"/>
      <c r="B33" s="83"/>
      <c r="C33" s="78"/>
      <c r="D33" s="79"/>
      <c r="E33" s="79"/>
      <c r="F33" s="79"/>
      <c r="G33" s="80"/>
      <c r="H33" s="84"/>
      <c r="I33" s="84"/>
      <c r="J33" s="82"/>
    </row>
    <row r="34" spans="1:13" ht="26.25" hidden="1" thickBot="1" x14ac:dyDescent="0.25">
      <c r="A34" s="72" t="s">
        <v>101</v>
      </c>
      <c r="B34" s="73" t="s">
        <v>110</v>
      </c>
      <c r="C34" s="73" t="s">
        <v>101</v>
      </c>
      <c r="D34" s="74" t="s">
        <v>103</v>
      </c>
      <c r="E34" s="74" t="s">
        <v>104</v>
      </c>
      <c r="F34" s="74" t="s">
        <v>105</v>
      </c>
      <c r="G34" s="74" t="s">
        <v>106</v>
      </c>
      <c r="H34" s="75" t="s">
        <v>107</v>
      </c>
      <c r="I34" s="84"/>
      <c r="J34" s="82"/>
    </row>
    <row r="35" spans="1:13" ht="13.5" hidden="1" x14ac:dyDescent="0.25">
      <c r="A35" s="77">
        <f>+A17</f>
        <v>0</v>
      </c>
      <c r="B35" s="83" t="str">
        <f>IFERROR(VLOOKUP(H35,[1]SEMIELABORADOS!$A$2:$M$6000,2,0),"")</f>
        <v/>
      </c>
      <c r="C35" s="78">
        <f>+A35</f>
        <v>0</v>
      </c>
      <c r="D35" s="79" t="str">
        <f>IFERROR(VLOOKUP(H35,[1]SEMIELABORADOS!$A$2:$M$6000,6,0),"")</f>
        <v/>
      </c>
      <c r="E35" s="79" t="str">
        <f>IFERROR(VLOOKUP(H35,[1]SEMIELABORADOS!$A$2:$M$65536,10,0),"")</f>
        <v/>
      </c>
      <c r="F35" s="79" t="str">
        <f>IFERROR(E35*C35,"")</f>
        <v/>
      </c>
      <c r="G35" s="80" t="str">
        <f t="shared" ref="G35:G41" si="9">IFERROR(F35/$F$66,"")</f>
        <v/>
      </c>
      <c r="H35" s="84"/>
      <c r="I35" s="84"/>
      <c r="J35" s="82"/>
    </row>
    <row r="36" spans="1:13" ht="13.5" hidden="1" x14ac:dyDescent="0.25">
      <c r="A36" s="77">
        <f t="shared" ref="A36:A41" si="10">+A18</f>
        <v>0</v>
      </c>
      <c r="B36" s="83" t="str">
        <f>IFERROR(VLOOKUP(H36,[1]SEMIELABORADOS!$A$2:$M$6000,2,0),"")</f>
        <v/>
      </c>
      <c r="C36" s="78">
        <f t="shared" ref="C36:C41" si="11">+A36</f>
        <v>0</v>
      </c>
      <c r="D36" s="79" t="str">
        <f>IFERROR(VLOOKUP(H36,[1]SEMIELABORADOS!$A$2:$M$6000,6,0),"")</f>
        <v/>
      </c>
      <c r="E36" s="79" t="str">
        <f>IFERROR(VLOOKUP(H36,[1]SEMIELABORADOS!$A$2:$M$65536,10,0),"")</f>
        <v/>
      </c>
      <c r="F36" s="79" t="str">
        <f t="shared" ref="F36:F41" si="12">IFERROR(E36*C36,"")</f>
        <v/>
      </c>
      <c r="G36" s="80" t="str">
        <f t="shared" si="9"/>
        <v/>
      </c>
      <c r="H36" s="84"/>
      <c r="I36" s="84"/>
      <c r="J36" s="82"/>
    </row>
    <row r="37" spans="1:13" ht="13.5" hidden="1" x14ac:dyDescent="0.25">
      <c r="A37" s="77">
        <f t="shared" si="10"/>
        <v>0</v>
      </c>
      <c r="B37" s="83" t="str">
        <f>IFERROR(VLOOKUP(H37,[1]SEMIELABORADOS!$A$2:$M$6000,2,0),"")</f>
        <v/>
      </c>
      <c r="C37" s="78">
        <f t="shared" si="11"/>
        <v>0</v>
      </c>
      <c r="D37" s="79" t="str">
        <f>IFERROR(VLOOKUP(H37,[1]SEMIELABORADOS!$A$2:$M$6000,6,0),"")</f>
        <v/>
      </c>
      <c r="E37" s="79" t="str">
        <f>IFERROR(VLOOKUP(H37,[1]SEMIELABORADOS!$A$2:$M$65536,10,0),"")</f>
        <v/>
      </c>
      <c r="F37" s="79" t="str">
        <f t="shared" si="12"/>
        <v/>
      </c>
      <c r="G37" s="80" t="str">
        <f t="shared" si="9"/>
        <v/>
      </c>
      <c r="H37" s="84"/>
      <c r="I37" s="84"/>
      <c r="J37" s="82"/>
    </row>
    <row r="38" spans="1:13" ht="13.5" hidden="1" x14ac:dyDescent="0.25">
      <c r="A38" s="77">
        <f t="shared" si="10"/>
        <v>0</v>
      </c>
      <c r="B38" s="83" t="str">
        <f>IFERROR(VLOOKUP(H38,[1]SEMIELABORADOS!$A$2:$M$6000,2,0),"")</f>
        <v/>
      </c>
      <c r="C38" s="78">
        <f>+A38</f>
        <v>0</v>
      </c>
      <c r="D38" s="79" t="str">
        <f>IFERROR(VLOOKUP(H38,[1]SEMIELABORADOS!$A$2:$M$6000,6,0),"")</f>
        <v/>
      </c>
      <c r="E38" s="79" t="str">
        <f>IFERROR(VLOOKUP(H38,[1]SEMIELABORADOS!$A$2:$M$65536,10,0),"")</f>
        <v/>
      </c>
      <c r="F38" s="79" t="str">
        <f>IFERROR(E38*C38,"")</f>
        <v/>
      </c>
      <c r="G38" s="80" t="str">
        <f t="shared" si="9"/>
        <v/>
      </c>
      <c r="H38" s="84"/>
      <c r="I38" s="84"/>
      <c r="J38" s="82"/>
    </row>
    <row r="39" spans="1:13" ht="13.5" hidden="1" x14ac:dyDescent="0.25">
      <c r="A39" s="77">
        <f t="shared" si="10"/>
        <v>0</v>
      </c>
      <c r="B39" s="83" t="str">
        <f>IFERROR(VLOOKUP(H39,[1]SEMIELABORADOS!$A$2:$M$6000,2,0),"")</f>
        <v/>
      </c>
      <c r="C39" s="78">
        <f>+A39</f>
        <v>0</v>
      </c>
      <c r="D39" s="79" t="str">
        <f>IFERROR(VLOOKUP(H39,[1]SEMIELABORADOS!$A$2:$M$6000,6,0),"")</f>
        <v/>
      </c>
      <c r="E39" s="79" t="str">
        <f>IFERROR(VLOOKUP(H39,[1]SEMIELABORADOS!$A$2:$M$65536,10,0),"")</f>
        <v/>
      </c>
      <c r="F39" s="79" t="str">
        <f>IFERROR(E39*C39,"")</f>
        <v/>
      </c>
      <c r="G39" s="80" t="str">
        <f t="shared" si="9"/>
        <v/>
      </c>
      <c r="H39" s="84"/>
      <c r="I39" s="84"/>
      <c r="J39" s="82"/>
    </row>
    <row r="40" spans="1:13" ht="13.5" hidden="1" x14ac:dyDescent="0.25">
      <c r="A40" s="77">
        <f t="shared" si="10"/>
        <v>0</v>
      </c>
      <c r="B40" s="83" t="str">
        <f>IFERROR(VLOOKUP(H40,[1]SEMIELABORADOS!$A$2:$M$6000,2,0),"")</f>
        <v/>
      </c>
      <c r="C40" s="78">
        <f t="shared" si="11"/>
        <v>0</v>
      </c>
      <c r="D40" s="79" t="str">
        <f>IFERROR(VLOOKUP(H40,[1]SEMIELABORADOS!$A$2:$M$6000,6,0),"")</f>
        <v/>
      </c>
      <c r="E40" s="79" t="str">
        <f>IFERROR(VLOOKUP(H40,[1]SEMIELABORADOS!$A$2:$M$65536,10,0),"")</f>
        <v/>
      </c>
      <c r="F40" s="79" t="str">
        <f t="shared" si="12"/>
        <v/>
      </c>
      <c r="G40" s="80" t="str">
        <f t="shared" si="9"/>
        <v/>
      </c>
      <c r="H40" s="84"/>
      <c r="I40" s="84"/>
      <c r="J40" s="82"/>
    </row>
    <row r="41" spans="1:13" ht="13.5" hidden="1" x14ac:dyDescent="0.25">
      <c r="A41" s="77">
        <f t="shared" si="10"/>
        <v>0</v>
      </c>
      <c r="B41" s="83" t="str">
        <f>IFERROR(VLOOKUP(H41,[1]SEMIELABORADOS!$A$2:$M$6000,2,0),"")</f>
        <v/>
      </c>
      <c r="C41" s="78">
        <f t="shared" si="11"/>
        <v>0</v>
      </c>
      <c r="D41" s="79" t="str">
        <f>IFERROR(VLOOKUP(H41,[1]SEMIELABORADOS!$A$2:$M$6000,6,0),"")</f>
        <v/>
      </c>
      <c r="E41" s="79" t="str">
        <f>IFERROR(VLOOKUP(H41,[1]SEMIELABORADOS!$A$2:$M$65536,10,0),"")</f>
        <v/>
      </c>
      <c r="F41" s="79" t="str">
        <f t="shared" si="12"/>
        <v/>
      </c>
      <c r="G41" s="80" t="str">
        <f t="shared" si="9"/>
        <v/>
      </c>
      <c r="H41" s="84"/>
      <c r="I41" s="84"/>
      <c r="J41" s="82"/>
    </row>
    <row r="42" spans="1:13" ht="14.25" hidden="1" thickBot="1" x14ac:dyDescent="0.3">
      <c r="A42" s="77"/>
      <c r="B42" s="83"/>
      <c r="C42" s="78"/>
      <c r="D42" s="79"/>
      <c r="E42" s="79"/>
      <c r="F42" s="79"/>
      <c r="G42" s="80"/>
      <c r="H42" s="84"/>
      <c r="I42" s="84"/>
      <c r="J42" s="82"/>
    </row>
    <row r="43" spans="1:13" ht="26.25" thickBot="1" x14ac:dyDescent="0.3">
      <c r="A43" s="72" t="s">
        <v>101</v>
      </c>
      <c r="B43" s="73" t="s">
        <v>111</v>
      </c>
      <c r="C43" s="73" t="s">
        <v>101</v>
      </c>
      <c r="D43" s="74" t="s">
        <v>103</v>
      </c>
      <c r="E43" s="74" t="s">
        <v>104</v>
      </c>
      <c r="F43" s="74" t="s">
        <v>105</v>
      </c>
      <c r="G43" s="74" t="s">
        <v>106</v>
      </c>
      <c r="H43" s="75" t="s">
        <v>107</v>
      </c>
      <c r="I43" s="76"/>
      <c r="J43" s="82"/>
    </row>
    <row r="44" spans="1:13" ht="13.5" hidden="1" x14ac:dyDescent="0.25">
      <c r="A44" s="77">
        <f>+A35</f>
        <v>0</v>
      </c>
      <c r="B44" s="83" t="str">
        <f>IFERROR(VLOOKUP(H44,[1]SEMIELABORADOS!$A$2:$M$6000,2,0),"")</f>
        <v/>
      </c>
      <c r="C44" s="78">
        <f>+A44</f>
        <v>0</v>
      </c>
      <c r="D44" s="79" t="str">
        <f>IFERROR(VLOOKUP(H44,[1]SEMIELABORADOS!$A$2:$M$6000,6,0),"")</f>
        <v/>
      </c>
      <c r="E44" s="79" t="str">
        <f>IFERROR(VLOOKUP(H44,[1]SEMIELABORADOS!$A$2:$M$65536,12,0),"")</f>
        <v/>
      </c>
      <c r="F44" s="79" t="str">
        <f>IFERROR(E44*C44,"")</f>
        <v/>
      </c>
      <c r="G44" s="80" t="str">
        <f>IFERROR(F44/$F$66,"")</f>
        <v/>
      </c>
      <c r="H44" s="84"/>
      <c r="I44" s="76"/>
      <c r="J44" s="82"/>
    </row>
    <row r="45" spans="1:13" ht="13.5" hidden="1" x14ac:dyDescent="0.25">
      <c r="A45" s="77">
        <f t="shared" ref="A45:A50" si="13">+A36</f>
        <v>0</v>
      </c>
      <c r="B45" s="83" t="str">
        <f>IFERROR(VLOOKUP(H45,[1]SEMIELABORADOS!$A$2:$M$6000,2,0),"")</f>
        <v/>
      </c>
      <c r="C45" s="78">
        <f t="shared" ref="C45:C50" si="14">+A45</f>
        <v>0</v>
      </c>
      <c r="D45" s="79" t="str">
        <f>IFERROR(VLOOKUP(H45,[1]SEMIELABORADOS!$A$2:$M$6000,6,0),"")</f>
        <v/>
      </c>
      <c r="E45" s="79" t="str">
        <f>IFERROR(VLOOKUP(H45,[1]SEMIELABORADOS!$A$2:$M$65536,12,0),"")</f>
        <v/>
      </c>
      <c r="F45" s="79" t="str">
        <f t="shared" ref="F45:F50" si="15">IFERROR(E45*C45,"")</f>
        <v/>
      </c>
      <c r="G45" s="80" t="str">
        <f t="shared" ref="G45:G50" si="16">IFERROR(F45/$F$66,"")</f>
        <v/>
      </c>
      <c r="H45" s="84"/>
      <c r="I45" s="76"/>
      <c r="J45" s="82"/>
      <c r="M45" s="87"/>
    </row>
    <row r="46" spans="1:13" ht="13.5" hidden="1" x14ac:dyDescent="0.25">
      <c r="A46" s="77">
        <f t="shared" si="13"/>
        <v>0</v>
      </c>
      <c r="B46" s="83" t="str">
        <f>IFERROR(VLOOKUP(H46,[1]SEMIELABORADOS!$A$2:$M$6000,2,0),"")</f>
        <v/>
      </c>
      <c r="C46" s="78">
        <f t="shared" si="14"/>
        <v>0</v>
      </c>
      <c r="D46" s="79" t="str">
        <f>IFERROR(VLOOKUP(H46,[1]SEMIELABORADOS!$A$2:$M$6000,6,0),"")</f>
        <v/>
      </c>
      <c r="E46" s="79" t="str">
        <f>IFERROR(VLOOKUP(H46,[1]SEMIELABORADOS!$A$2:$M$65536,12,0),"")</f>
        <v/>
      </c>
      <c r="F46" s="79" t="str">
        <f t="shared" si="15"/>
        <v/>
      </c>
      <c r="G46" s="80" t="str">
        <f t="shared" si="16"/>
        <v/>
      </c>
      <c r="H46" s="84"/>
      <c r="I46" s="76"/>
      <c r="J46" s="82"/>
    </row>
    <row r="47" spans="1:13" ht="13.5" hidden="1" x14ac:dyDescent="0.25">
      <c r="A47" s="77">
        <f t="shared" si="13"/>
        <v>0</v>
      </c>
      <c r="B47" s="83" t="str">
        <f>IFERROR(VLOOKUP(H47,[1]SEMIELABORADOS!$A$2:$M$6000,2,0),"")</f>
        <v/>
      </c>
      <c r="C47" s="78">
        <f t="shared" si="14"/>
        <v>0</v>
      </c>
      <c r="D47" s="79" t="str">
        <f>IFERROR(VLOOKUP(H47,[1]SEMIELABORADOS!$A$2:$M$6000,6,0),"")</f>
        <v/>
      </c>
      <c r="E47" s="79" t="str">
        <f>IFERROR(VLOOKUP(H47,[1]SEMIELABORADOS!$A$2:$M$65536,12,0),"")</f>
        <v/>
      </c>
      <c r="F47" s="79" t="str">
        <f t="shared" si="15"/>
        <v/>
      </c>
      <c r="G47" s="80" t="str">
        <f t="shared" si="16"/>
        <v/>
      </c>
      <c r="H47" s="84"/>
      <c r="I47" s="76"/>
      <c r="J47" s="82"/>
    </row>
    <row r="48" spans="1:13" ht="13.5" hidden="1" x14ac:dyDescent="0.25">
      <c r="A48" s="77">
        <f t="shared" si="13"/>
        <v>0</v>
      </c>
      <c r="B48" s="83" t="str">
        <f>IFERROR(VLOOKUP(H48,[1]SEMIELABORADOS!$A$2:$M$6000,2,0),"")</f>
        <v/>
      </c>
      <c r="C48" s="78">
        <f t="shared" si="14"/>
        <v>0</v>
      </c>
      <c r="D48" s="79" t="str">
        <f>IFERROR(VLOOKUP(H48,[1]SEMIELABORADOS!$A$2:$M$6000,6,0),"")</f>
        <v/>
      </c>
      <c r="E48" s="79" t="str">
        <f>IFERROR(VLOOKUP(H48,[1]SEMIELABORADOS!$A$2:$M$65536,12,0),"")</f>
        <v/>
      </c>
      <c r="F48" s="79" t="str">
        <f t="shared" si="15"/>
        <v/>
      </c>
      <c r="G48" s="80" t="str">
        <f t="shared" si="16"/>
        <v/>
      </c>
      <c r="H48" s="84"/>
      <c r="I48" s="76"/>
      <c r="J48" s="82"/>
    </row>
    <row r="49" spans="1:17" ht="13.5" hidden="1" x14ac:dyDescent="0.25">
      <c r="A49" s="77">
        <f t="shared" si="13"/>
        <v>0</v>
      </c>
      <c r="B49" s="83" t="str">
        <f>IFERROR(VLOOKUP(H49,[1]SEMIELABORADOS!$A$2:$M$6000,2,0),"")</f>
        <v/>
      </c>
      <c r="C49" s="78">
        <f t="shared" si="14"/>
        <v>0</v>
      </c>
      <c r="D49" s="79" t="str">
        <f>IFERROR(VLOOKUP(H49,[1]SEMIELABORADOS!$A$2:$M$6000,6,0),"")</f>
        <v/>
      </c>
      <c r="E49" s="79" t="str">
        <f>IFERROR(VLOOKUP(H49,[1]SEMIELABORADOS!$A$2:$M$65536,12,0),"")</f>
        <v/>
      </c>
      <c r="F49" s="79" t="str">
        <f t="shared" si="15"/>
        <v/>
      </c>
      <c r="G49" s="80" t="str">
        <f t="shared" si="16"/>
        <v/>
      </c>
      <c r="H49" s="84"/>
      <c r="I49" s="76"/>
      <c r="J49" s="82"/>
    </row>
    <row r="50" spans="1:17" ht="13.5" hidden="1" x14ac:dyDescent="0.25">
      <c r="A50" s="77">
        <f t="shared" si="13"/>
        <v>0</v>
      </c>
      <c r="B50" s="83" t="str">
        <f>IFERROR(VLOOKUP(H50,[1]SEMIELABORADOS!$A$2:$M$6000,2,0),"")</f>
        <v/>
      </c>
      <c r="C50" s="78">
        <f t="shared" si="14"/>
        <v>0</v>
      </c>
      <c r="D50" s="79" t="str">
        <f>IFERROR(VLOOKUP(H50,[1]SEMIELABORADOS!$A$2:$M$6000,6,0),"")</f>
        <v/>
      </c>
      <c r="E50" s="79" t="str">
        <f>IFERROR(VLOOKUP(H50,[1]SEMIELABORADOS!$A$2:$M$65536,12,0),"")</f>
        <v/>
      </c>
      <c r="F50" s="79" t="str">
        <f t="shared" si="15"/>
        <v/>
      </c>
      <c r="G50" s="80" t="str">
        <f t="shared" si="16"/>
        <v/>
      </c>
      <c r="H50" s="83"/>
      <c r="I50" s="76"/>
      <c r="J50" s="82"/>
    </row>
    <row r="51" spans="1:17" ht="13.5" x14ac:dyDescent="0.25">
      <c r="A51" s="77">
        <v>1</v>
      </c>
      <c r="B51" s="83" t="s">
        <v>112</v>
      </c>
      <c r="C51" s="78">
        <f>+A51</f>
        <v>1</v>
      </c>
      <c r="D51" s="78" t="s">
        <v>113</v>
      </c>
      <c r="E51" s="79">
        <f>+F65</f>
        <v>1155</v>
      </c>
      <c r="F51" s="79">
        <f>IFERROR(C51*E51,"")</f>
        <v>1155</v>
      </c>
      <c r="G51" s="80">
        <f>IFERROR(F51/$F$66,"")</f>
        <v>0.18039938390002411</v>
      </c>
      <c r="H51" s="88"/>
      <c r="I51" s="88"/>
      <c r="J51" s="82"/>
    </row>
    <row r="52" spans="1:17" ht="14.25" thickBot="1" x14ac:dyDescent="0.3">
      <c r="A52" s="77"/>
      <c r="B52" s="83"/>
      <c r="C52" s="78"/>
      <c r="D52" s="78"/>
      <c r="E52" s="79"/>
      <c r="F52" s="79"/>
      <c r="G52" s="80"/>
      <c r="H52" s="88"/>
      <c r="I52" s="88"/>
      <c r="J52" s="82"/>
    </row>
    <row r="53" spans="1:17" ht="13.5" thickBot="1" x14ac:dyDescent="0.3">
      <c r="A53" s="89"/>
      <c r="B53" s="641" t="s">
        <v>114</v>
      </c>
      <c r="C53" s="641"/>
      <c r="D53" s="641"/>
      <c r="E53" s="641"/>
      <c r="F53" s="91">
        <f>SUM(F8:F14,F17:F24)</f>
        <v>5144.5695000000005</v>
      </c>
      <c r="G53" s="80">
        <f>+F53/$F$66</f>
        <v>0.80353001578429017</v>
      </c>
      <c r="H53" s="92">
        <f>+F53/$D$60</f>
        <v>5144.5695000000005</v>
      </c>
      <c r="I53" s="92"/>
      <c r="J53" s="93"/>
      <c r="K53" s="94"/>
      <c r="L53" s="94"/>
      <c r="M53" s="94"/>
      <c r="N53" s="94"/>
      <c r="O53" s="94"/>
      <c r="P53" s="94"/>
      <c r="Q53" s="95"/>
    </row>
    <row r="54" spans="1:17" x14ac:dyDescent="0.2">
      <c r="A54" s="89"/>
      <c r="B54" s="641" t="s">
        <v>115</v>
      </c>
      <c r="C54" s="641"/>
      <c r="D54" s="641"/>
      <c r="E54" s="641"/>
      <c r="F54" s="91">
        <f>SUM(F27:F32,F35:F41)</f>
        <v>0</v>
      </c>
      <c r="G54" s="80">
        <f>+F54/$F$66</f>
        <v>0</v>
      </c>
      <c r="H54" s="92">
        <f>+F54/$D$60</f>
        <v>0</v>
      </c>
      <c r="I54" s="92"/>
      <c r="J54" s="96"/>
      <c r="K54" s="642" t="s">
        <v>116</v>
      </c>
      <c r="L54" s="643"/>
      <c r="M54" s="643"/>
      <c r="N54" s="643"/>
      <c r="O54" s="97">
        <f>+F55</f>
        <v>5144.5695000000005</v>
      </c>
      <c r="P54" s="97"/>
      <c r="Q54" s="98"/>
    </row>
    <row r="55" spans="1:17" x14ac:dyDescent="0.2">
      <c r="A55" s="89"/>
      <c r="B55" s="641" t="s">
        <v>117</v>
      </c>
      <c r="C55" s="641"/>
      <c r="D55" s="641"/>
      <c r="E55" s="641"/>
      <c r="F55" s="91">
        <f>+F53+F54</f>
        <v>5144.5695000000005</v>
      </c>
      <c r="G55" s="80">
        <f>+F55/$F$66</f>
        <v>0.80353001578429017</v>
      </c>
      <c r="H55" s="92">
        <f>+F55/$D$60</f>
        <v>5144.5695000000005</v>
      </c>
      <c r="I55" s="92"/>
      <c r="J55" s="99"/>
      <c r="K55" s="100"/>
      <c r="M55" s="101" t="s">
        <v>118</v>
      </c>
      <c r="N55" s="102"/>
      <c r="O55" s="97">
        <f>+H56</f>
        <v>1155</v>
      </c>
      <c r="P55" s="97"/>
      <c r="Q55" s="98"/>
    </row>
    <row r="56" spans="1:17" ht="13.5" thickBot="1" x14ac:dyDescent="0.25">
      <c r="A56" s="89"/>
      <c r="B56" s="90"/>
      <c r="C56" s="641" t="s">
        <v>119</v>
      </c>
      <c r="D56" s="641"/>
      <c r="E56" s="641"/>
      <c r="F56" s="91">
        <f>SUM(F44:F51)</f>
        <v>1155</v>
      </c>
      <c r="G56" s="80">
        <f>+F56/$F$66</f>
        <v>0.18039938390002411</v>
      </c>
      <c r="H56" s="92">
        <f>+F56/$D$60</f>
        <v>1155</v>
      </c>
      <c r="I56" s="92"/>
      <c r="J56" s="99"/>
      <c r="K56" s="100"/>
      <c r="L56" s="100"/>
      <c r="M56" s="100" t="s">
        <v>120</v>
      </c>
      <c r="N56" s="103"/>
      <c r="O56" s="97">
        <f>O54*N56</f>
        <v>0</v>
      </c>
      <c r="P56" s="97"/>
      <c r="Q56" s="98"/>
    </row>
    <row r="57" spans="1:17" ht="13.5" thickBot="1" x14ac:dyDescent="0.25">
      <c r="A57" s="89"/>
      <c r="B57" s="104"/>
      <c r="C57" s="104"/>
      <c r="D57" s="104"/>
      <c r="E57" s="104"/>
      <c r="F57" s="105"/>
      <c r="G57" s="80"/>
      <c r="H57" s="106"/>
      <c r="I57" s="92"/>
      <c r="J57" s="99"/>
      <c r="K57" s="107"/>
      <c r="M57" s="108" t="s">
        <v>121</v>
      </c>
      <c r="N57" s="109"/>
      <c r="O57" s="110">
        <f>SUM(O54:O56)</f>
        <v>6299.5695000000005</v>
      </c>
      <c r="P57" s="111"/>
      <c r="Q57" s="98"/>
    </row>
    <row r="58" spans="1:17" x14ac:dyDescent="0.2">
      <c r="B58" s="644" t="s">
        <v>122</v>
      </c>
      <c r="C58" s="644"/>
      <c r="D58" s="112">
        <v>10000</v>
      </c>
      <c r="E58" s="113"/>
      <c r="G58" s="80"/>
      <c r="H58" s="106">
        <f>+H56/77</f>
        <v>15</v>
      </c>
      <c r="I58" s="114"/>
      <c r="J58" s="99"/>
      <c r="K58" s="107"/>
      <c r="L58" s="100"/>
      <c r="M58" s="100" t="s">
        <v>123</v>
      </c>
      <c r="N58" s="115"/>
      <c r="O58" s="97">
        <f>+H59</f>
        <v>960</v>
      </c>
      <c r="P58" s="97"/>
      <c r="Q58" s="98"/>
    </row>
    <row r="59" spans="1:17" x14ac:dyDescent="0.2">
      <c r="B59" s="644" t="s">
        <v>124</v>
      </c>
      <c r="C59" s="644"/>
      <c r="D59" s="116">
        <v>10000</v>
      </c>
      <c r="E59" s="113"/>
      <c r="G59" s="80"/>
      <c r="H59" s="106">
        <f>+H58*64</f>
        <v>960</v>
      </c>
      <c r="I59" s="114"/>
      <c r="J59" s="99"/>
      <c r="K59" s="107"/>
      <c r="L59" s="100"/>
      <c r="M59" s="645" t="s">
        <v>121</v>
      </c>
      <c r="N59" s="645"/>
      <c r="O59" s="97">
        <f>SUM(O57:O58)</f>
        <v>7259.5695000000005</v>
      </c>
      <c r="P59" s="97"/>
      <c r="Q59" s="98"/>
    </row>
    <row r="60" spans="1:17" ht="13.5" thickBot="1" x14ac:dyDescent="0.25">
      <c r="B60" s="636" t="s">
        <v>125</v>
      </c>
      <c r="C60" s="636"/>
      <c r="D60" s="112">
        <f>+D58/D59</f>
        <v>1</v>
      </c>
      <c r="E60" s="113"/>
      <c r="F60" s="117"/>
      <c r="G60" s="80"/>
      <c r="H60" s="106"/>
      <c r="I60" s="114"/>
      <c r="J60" s="99"/>
      <c r="K60" s="107"/>
      <c r="L60" s="645"/>
      <c r="M60" s="645"/>
      <c r="N60" s="115"/>
      <c r="O60" s="97">
        <f>+O59*N60</f>
        <v>0</v>
      </c>
      <c r="P60" s="97"/>
      <c r="Q60" s="98"/>
    </row>
    <row r="61" spans="1:17" ht="13.5" thickBot="1" x14ac:dyDescent="0.25">
      <c r="B61" s="636" t="s">
        <v>126</v>
      </c>
      <c r="C61" s="636"/>
      <c r="D61" s="118"/>
      <c r="E61" s="113"/>
      <c r="F61" s="117"/>
      <c r="G61" s="80"/>
      <c r="H61" s="106"/>
      <c r="I61" s="114"/>
      <c r="J61" s="99"/>
      <c r="K61" s="637" t="s">
        <v>127</v>
      </c>
      <c r="L61" s="638"/>
      <c r="M61" s="638"/>
      <c r="N61" s="639"/>
      <c r="O61" s="110">
        <f>SUM(O59:O60)</f>
        <v>7259.5695000000005</v>
      </c>
      <c r="P61" s="119" t="s">
        <v>128</v>
      </c>
      <c r="Q61" s="98"/>
    </row>
    <row r="62" spans="1:17" ht="13.5" thickBot="1" x14ac:dyDescent="0.25">
      <c r="C62" s="89" t="s">
        <v>129</v>
      </c>
      <c r="D62" s="120"/>
      <c r="E62" s="63" t="s">
        <v>130</v>
      </c>
      <c r="F62" s="121" t="s">
        <v>131</v>
      </c>
      <c r="G62" s="80"/>
      <c r="H62" s="106"/>
      <c r="I62" s="114"/>
      <c r="J62" s="122"/>
      <c r="K62" s="123"/>
      <c r="L62" s="625" t="s">
        <v>132</v>
      </c>
      <c r="M62" s="625"/>
      <c r="N62" s="625"/>
      <c r="O62" s="124">
        <f>+O61/D60</f>
        <v>7259.5695000000005</v>
      </c>
      <c r="P62" s="125">
        <f>+O62/D59</f>
        <v>0.72595695000000005</v>
      </c>
      <c r="Q62" s="126"/>
    </row>
    <row r="63" spans="1:17" ht="13.5" thickBot="1" x14ac:dyDescent="0.25">
      <c r="B63" s="626" t="s">
        <v>117</v>
      </c>
      <c r="C63" s="626"/>
      <c r="D63" s="626"/>
      <c r="E63" s="127">
        <f>+F63/F63</f>
        <v>1</v>
      </c>
      <c r="F63" s="128">
        <f>SUM(F55)</f>
        <v>5144.5695000000005</v>
      </c>
      <c r="G63" s="80">
        <f>+F63/$F$66</f>
        <v>0.80353001578429017</v>
      </c>
      <c r="H63" s="106"/>
      <c r="I63" s="114"/>
      <c r="K63" s="627"/>
      <c r="L63" s="628"/>
      <c r="M63" s="628"/>
      <c r="N63" s="628"/>
      <c r="O63" s="129"/>
      <c r="P63" s="130"/>
    </row>
    <row r="64" spans="1:17" ht="13.5" thickBot="1" x14ac:dyDescent="0.3">
      <c r="B64" s="629" t="s">
        <v>133</v>
      </c>
      <c r="C64" s="629"/>
      <c r="D64" s="629"/>
      <c r="E64" s="131">
        <v>0.02</v>
      </c>
      <c r="F64" s="128">
        <f>+F53*E64</f>
        <v>102.89139000000002</v>
      </c>
      <c r="G64" s="80">
        <f>+F64/$F$66</f>
        <v>1.6070600315685805E-2</v>
      </c>
      <c r="H64" s="92"/>
      <c r="I64" s="114"/>
      <c r="J64" s="132"/>
      <c r="O64" s="133"/>
      <c r="P64" s="90"/>
    </row>
    <row r="65" spans="2:13" ht="13.5" thickBot="1" x14ac:dyDescent="0.3">
      <c r="B65" s="630" t="s">
        <v>134</v>
      </c>
      <c r="C65" s="631"/>
      <c r="D65" s="134">
        <v>15</v>
      </c>
      <c r="E65" s="135">
        <v>77</v>
      </c>
      <c r="F65" s="128">
        <f>+E65*D65</f>
        <v>1155</v>
      </c>
      <c r="G65" s="80">
        <f>+F65/$F$66</f>
        <v>0.18039938390002411</v>
      </c>
      <c r="H65" s="92"/>
      <c r="I65" s="92"/>
      <c r="J65" s="82"/>
    </row>
    <row r="66" spans="2:13" ht="13.5" thickBot="1" x14ac:dyDescent="0.3">
      <c r="B66" s="632" t="s">
        <v>135</v>
      </c>
      <c r="C66" s="633"/>
      <c r="D66" s="633"/>
      <c r="E66" s="634"/>
      <c r="F66" s="105">
        <f>SUM(F63:F65)</f>
        <v>6402.4608900000003</v>
      </c>
      <c r="G66" s="80">
        <f>+F66/$F$66</f>
        <v>1</v>
      </c>
      <c r="H66" s="635"/>
      <c r="I66" s="92"/>
      <c r="J66" s="82"/>
      <c r="M66" s="65" t="s">
        <v>136</v>
      </c>
    </row>
    <row r="67" spans="2:13" x14ac:dyDescent="0.25">
      <c r="C67" s="87"/>
      <c r="D67" s="87"/>
      <c r="E67" s="137"/>
      <c r="F67" s="128"/>
      <c r="G67" s="80"/>
      <c r="H67" s="635"/>
      <c r="I67" s="136"/>
      <c r="J67" s="65"/>
      <c r="M67" s="65" t="s">
        <v>137</v>
      </c>
    </row>
    <row r="68" spans="2:13" ht="13.5" thickBot="1" x14ac:dyDescent="0.3">
      <c r="B68" s="620" t="s">
        <v>138</v>
      </c>
      <c r="C68" s="620"/>
      <c r="D68" s="620"/>
      <c r="E68" s="620"/>
      <c r="F68" s="620"/>
      <c r="G68" s="80"/>
      <c r="H68" s="139"/>
      <c r="I68" s="136"/>
      <c r="J68" s="65"/>
      <c r="M68" s="65" t="s">
        <v>139</v>
      </c>
    </row>
    <row r="69" spans="2:13" ht="13.5" thickBot="1" x14ac:dyDescent="0.3">
      <c r="B69" s="140" t="s">
        <v>140</v>
      </c>
      <c r="C69" s="141">
        <f>+F53</f>
        <v>5144.5695000000005</v>
      </c>
      <c r="D69" s="141">
        <f>+D58</f>
        <v>10000</v>
      </c>
      <c r="E69" s="142">
        <f>+C69/D69</f>
        <v>0.51445695000000002</v>
      </c>
      <c r="F69" s="80"/>
      <c r="G69" s="139"/>
      <c r="H69" s="82"/>
      <c r="I69" s="139"/>
      <c r="J69" s="65"/>
    </row>
    <row r="70" spans="2:13" x14ac:dyDescent="0.25">
      <c r="B70" s="143"/>
      <c r="C70" s="144"/>
      <c r="D70" s="145"/>
      <c r="E70" s="128"/>
      <c r="F70" s="80"/>
      <c r="G70" s="139"/>
      <c r="H70" s="82"/>
      <c r="I70" s="82"/>
      <c r="J70" s="65"/>
    </row>
    <row r="71" spans="2:13" x14ac:dyDescent="0.25">
      <c r="B71" s="140" t="s">
        <v>141</v>
      </c>
      <c r="C71" s="141">
        <f>SUM(F63:F64)</f>
        <v>5247.4608900000003</v>
      </c>
      <c r="D71" s="141">
        <f>+D58</f>
        <v>10000</v>
      </c>
      <c r="E71" s="146">
        <f>+C71/D71</f>
        <v>0.52474608900000008</v>
      </c>
      <c r="F71" s="80"/>
      <c r="G71" s="139"/>
      <c r="H71" s="82"/>
      <c r="I71" s="82"/>
      <c r="J71" s="65"/>
    </row>
    <row r="72" spans="2:13" x14ac:dyDescent="0.25">
      <c r="B72" s="140"/>
      <c r="C72" s="141"/>
      <c r="D72" s="141"/>
      <c r="E72" s="146"/>
      <c r="F72" s="80"/>
      <c r="G72" s="139"/>
      <c r="H72" s="82"/>
      <c r="I72" s="82"/>
      <c r="J72" s="65"/>
    </row>
    <row r="73" spans="2:13" ht="13.5" thickBot="1" x14ac:dyDescent="0.3">
      <c r="B73" s="140" t="s">
        <v>142</v>
      </c>
      <c r="C73" s="141">
        <f>+F65</f>
        <v>1155</v>
      </c>
      <c r="D73" s="141">
        <f>+D58</f>
        <v>10000</v>
      </c>
      <c r="E73" s="146">
        <f>+C73/D73</f>
        <v>0.11550000000000001</v>
      </c>
      <c r="F73" s="80"/>
      <c r="G73" s="139"/>
      <c r="H73" s="82"/>
      <c r="I73" s="82"/>
      <c r="J73" s="65"/>
    </row>
    <row r="74" spans="2:13" ht="13.5" thickBot="1" x14ac:dyDescent="0.3">
      <c r="B74" s="140" t="s">
        <v>143</v>
      </c>
      <c r="C74" s="141">
        <f>+F56</f>
        <v>1155</v>
      </c>
      <c r="D74" s="141">
        <f>+D73</f>
        <v>10000</v>
      </c>
      <c r="E74" s="142">
        <f>+C74/D74</f>
        <v>0.11550000000000001</v>
      </c>
      <c r="F74" s="80"/>
      <c r="G74" s="139"/>
      <c r="H74" s="82"/>
      <c r="I74" s="82"/>
      <c r="J74" s="65"/>
    </row>
    <row r="75" spans="2:13" ht="13.5" thickBot="1" x14ac:dyDescent="0.3">
      <c r="B75" s="104"/>
      <c r="C75" s="105"/>
      <c r="D75" s="105"/>
      <c r="E75" s="146"/>
      <c r="F75" s="80"/>
      <c r="G75" s="139"/>
      <c r="H75" s="82"/>
      <c r="I75" s="82"/>
      <c r="J75" s="65"/>
    </row>
    <row r="76" spans="2:13" ht="13.5" thickBot="1" x14ac:dyDescent="0.3">
      <c r="B76" s="140" t="s">
        <v>144</v>
      </c>
      <c r="C76" s="141">
        <f>+F54</f>
        <v>0</v>
      </c>
      <c r="D76" s="141">
        <f>+D74</f>
        <v>10000</v>
      </c>
      <c r="E76" s="142">
        <f>+C76/D76</f>
        <v>0</v>
      </c>
      <c r="F76" s="80"/>
      <c r="G76" s="139"/>
      <c r="H76" s="82"/>
      <c r="I76" s="82"/>
      <c r="J76" s="82"/>
    </row>
    <row r="77" spans="2:13" ht="13.5" thickBot="1" x14ac:dyDescent="0.3">
      <c r="B77" s="104"/>
      <c r="C77" s="105"/>
      <c r="D77" s="105"/>
      <c r="E77" s="146"/>
      <c r="F77" s="80"/>
      <c r="G77" s="139"/>
      <c r="H77" s="82"/>
      <c r="I77" s="82"/>
    </row>
    <row r="78" spans="2:13" ht="13.5" thickBot="1" x14ac:dyDescent="0.3">
      <c r="B78" s="621" t="s">
        <v>145</v>
      </c>
      <c r="C78" s="622"/>
      <c r="D78" s="623"/>
      <c r="E78" s="142">
        <f>+E69+E74</f>
        <v>0.62995695000000007</v>
      </c>
      <c r="G78" s="80"/>
      <c r="H78" s="139"/>
      <c r="I78" s="82"/>
      <c r="J78" s="146"/>
    </row>
    <row r="79" spans="2:13" x14ac:dyDescent="0.25">
      <c r="I79" s="139"/>
      <c r="J79" s="65"/>
    </row>
    <row r="80" spans="2:13" ht="13.5" thickBot="1" x14ac:dyDescent="0.3">
      <c r="B80" s="620" t="s">
        <v>146</v>
      </c>
      <c r="C80" s="620"/>
      <c r="D80" s="620"/>
      <c r="E80" s="620"/>
      <c r="F80" s="620"/>
      <c r="G80" s="80"/>
      <c r="H80" s="139"/>
      <c r="J80" s="65"/>
    </row>
    <row r="81" spans="1:10" ht="13.5" thickBot="1" x14ac:dyDescent="0.3">
      <c r="B81" s="140" t="s">
        <v>140</v>
      </c>
      <c r="C81" s="141">
        <f>+C69</f>
        <v>5144.5695000000005</v>
      </c>
      <c r="D81" s="141">
        <f>+D60</f>
        <v>1</v>
      </c>
      <c r="E81" s="142">
        <f>+C81/D81</f>
        <v>5144.5695000000005</v>
      </c>
      <c r="F81" s="80"/>
      <c r="G81" s="139"/>
      <c r="H81" s="82"/>
      <c r="I81" s="139"/>
      <c r="J81" s="65"/>
    </row>
    <row r="82" spans="1:10" x14ac:dyDescent="0.25">
      <c r="B82" s="143"/>
      <c r="C82" s="144"/>
      <c r="D82" s="145"/>
      <c r="E82" s="128"/>
      <c r="F82" s="80"/>
      <c r="G82" s="139"/>
      <c r="H82" s="82"/>
      <c r="I82" s="82"/>
      <c r="J82" s="65"/>
    </row>
    <row r="83" spans="1:10" x14ac:dyDescent="0.25">
      <c r="B83" s="140" t="s">
        <v>141</v>
      </c>
      <c r="C83" s="141">
        <f>+C71</f>
        <v>5247.4608900000003</v>
      </c>
      <c r="D83" s="141">
        <f>+D60</f>
        <v>1</v>
      </c>
      <c r="E83" s="146">
        <f>+C83/D83</f>
        <v>5247.4608900000003</v>
      </c>
      <c r="F83" s="80"/>
      <c r="G83" s="139"/>
      <c r="H83" s="82"/>
      <c r="I83" s="82"/>
      <c r="J83" s="65"/>
    </row>
    <row r="84" spans="1:10" x14ac:dyDescent="0.25">
      <c r="B84" s="140"/>
      <c r="C84" s="141"/>
      <c r="D84" s="141"/>
      <c r="E84" s="146"/>
      <c r="F84" s="80"/>
      <c r="G84" s="139"/>
      <c r="H84" s="82"/>
      <c r="I84" s="82"/>
      <c r="J84" s="65"/>
    </row>
    <row r="85" spans="1:10" ht="13.5" thickBot="1" x14ac:dyDescent="0.3">
      <c r="B85" s="140" t="s">
        <v>143</v>
      </c>
      <c r="C85" s="141">
        <f>+C73</f>
        <v>1155</v>
      </c>
      <c r="D85" s="141">
        <f>+D60</f>
        <v>1</v>
      </c>
      <c r="E85" s="146">
        <f>+C85/D85</f>
        <v>1155</v>
      </c>
      <c r="F85" s="148"/>
      <c r="G85" s="138"/>
      <c r="H85" s="64"/>
      <c r="I85" s="82"/>
    </row>
    <row r="86" spans="1:10" ht="13.5" thickBot="1" x14ac:dyDescent="0.3">
      <c r="B86" s="140" t="s">
        <v>143</v>
      </c>
      <c r="C86" s="141">
        <f>+C74</f>
        <v>1155</v>
      </c>
      <c r="D86" s="141">
        <f>+D85</f>
        <v>1</v>
      </c>
      <c r="E86" s="142">
        <f>+C86/D86</f>
        <v>1155</v>
      </c>
      <c r="F86" s="147"/>
      <c r="G86" s="138"/>
      <c r="H86" s="64"/>
      <c r="I86" s="64"/>
    </row>
    <row r="87" spans="1:10" x14ac:dyDescent="0.25">
      <c r="I87" s="64"/>
    </row>
    <row r="88" spans="1:10" x14ac:dyDescent="0.2">
      <c r="A88" s="624"/>
      <c r="B88" s="624"/>
      <c r="C88" s="149"/>
      <c r="D88" s="149"/>
      <c r="E88" s="150"/>
      <c r="G88" s="151"/>
    </row>
    <row r="89" spans="1:10" x14ac:dyDescent="0.2">
      <c r="A89" s="83"/>
      <c r="B89" s="152"/>
      <c r="C89" s="153"/>
      <c r="D89" s="153"/>
      <c r="E89" s="154"/>
      <c r="G89" s="151"/>
    </row>
    <row r="90" spans="1:10" x14ac:dyDescent="0.2">
      <c r="A90" s="83"/>
      <c r="B90" s="152"/>
      <c r="C90" s="155"/>
      <c r="D90" s="155"/>
      <c r="E90" s="83"/>
      <c r="G90" s="151"/>
    </row>
    <row r="91" spans="1:10" x14ac:dyDescent="0.2">
      <c r="A91" s="83"/>
      <c r="B91" s="152"/>
      <c r="C91" s="156"/>
      <c r="D91" s="156"/>
      <c r="E91" s="83"/>
      <c r="G91" s="15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940A-F075-4DA4-8ED8-0349261288E6}">
  <dimension ref="A1:Q91"/>
  <sheetViews>
    <sheetView topLeftCell="A59" workbookViewId="0">
      <selection activeCell="B66" sqref="B66:E66"/>
    </sheetView>
  </sheetViews>
  <sheetFormatPr baseColWidth="10" defaultColWidth="8.42578125" defaultRowHeight="12.75" x14ac:dyDescent="0.25"/>
  <cols>
    <col min="1" max="1" width="10" style="65" bestFit="1" customWidth="1"/>
    <col min="2" max="2" width="44.28515625" style="65" bestFit="1" customWidth="1"/>
    <col min="3" max="3" width="10.42578125" style="65" bestFit="1" customWidth="1"/>
    <col min="4" max="4" width="10.42578125" style="65" customWidth="1"/>
    <col min="5" max="5" width="9.7109375" style="65" bestFit="1" customWidth="1"/>
    <col min="6" max="6" width="9.5703125" style="65" bestFit="1" customWidth="1"/>
    <col min="7" max="7" width="9.5703125" style="147" bestFit="1" customWidth="1"/>
    <col min="8" max="8" width="10.42578125" style="138" bestFit="1" customWidth="1"/>
    <col min="9" max="9" width="4.5703125" style="138" customWidth="1"/>
    <col min="10" max="10" width="1.85546875" style="64" customWidth="1"/>
    <col min="11" max="11" width="7" style="65" bestFit="1" customWidth="1"/>
    <col min="12" max="12" width="6.285156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28515625" style="65" customWidth="1"/>
    <col min="18" max="256" width="8.42578125" style="65"/>
    <col min="257" max="257" width="10" style="65" bestFit="1" customWidth="1"/>
    <col min="258" max="258" width="44.28515625" style="65" bestFit="1" customWidth="1"/>
    <col min="259" max="259" width="10.42578125" style="65" bestFit="1" customWidth="1"/>
    <col min="260" max="260" width="10.42578125" style="65" customWidth="1"/>
    <col min="261" max="261" width="9.7109375" style="65" bestFit="1" customWidth="1"/>
    <col min="262" max="263" width="9.5703125" style="65" bestFit="1" customWidth="1"/>
    <col min="264" max="264" width="10.42578125" style="65" bestFit="1" customWidth="1"/>
    <col min="265" max="265" width="4.5703125" style="65" customWidth="1"/>
    <col min="266" max="266" width="1.85546875" style="65" customWidth="1"/>
    <col min="267" max="267" width="7" style="65" bestFit="1" customWidth="1"/>
    <col min="268" max="268" width="6.28515625" style="65" customWidth="1"/>
    <col min="269" max="269" width="20.42578125" style="65" customWidth="1"/>
    <col min="270" max="270" width="6.42578125" style="65" bestFit="1" customWidth="1"/>
    <col min="271" max="272" width="8.42578125" style="65"/>
    <col min="273" max="273" width="3.28515625" style="65" customWidth="1"/>
    <col min="274" max="512" width="8.42578125" style="65"/>
    <col min="513" max="513" width="10" style="65" bestFit="1" customWidth="1"/>
    <col min="514" max="514" width="44.28515625" style="65" bestFit="1" customWidth="1"/>
    <col min="515" max="515" width="10.42578125" style="65" bestFit="1" customWidth="1"/>
    <col min="516" max="516" width="10.42578125" style="65" customWidth="1"/>
    <col min="517" max="517" width="9.7109375" style="65" bestFit="1" customWidth="1"/>
    <col min="518" max="519" width="9.5703125" style="65" bestFit="1" customWidth="1"/>
    <col min="520" max="520" width="10.42578125" style="65" bestFit="1" customWidth="1"/>
    <col min="521" max="521" width="4.5703125" style="65" customWidth="1"/>
    <col min="522" max="522" width="1.85546875" style="65" customWidth="1"/>
    <col min="523" max="523" width="7" style="65" bestFit="1" customWidth="1"/>
    <col min="524" max="524" width="6.28515625" style="65" customWidth="1"/>
    <col min="525" max="525" width="20.42578125" style="65" customWidth="1"/>
    <col min="526" max="526" width="6.42578125" style="65" bestFit="1" customWidth="1"/>
    <col min="527" max="528" width="8.42578125" style="65"/>
    <col min="529" max="529" width="3.28515625" style="65" customWidth="1"/>
    <col min="530" max="768" width="8.42578125" style="65"/>
    <col min="769" max="769" width="10" style="65" bestFit="1" customWidth="1"/>
    <col min="770" max="770" width="44.28515625" style="65" bestFit="1" customWidth="1"/>
    <col min="771" max="771" width="10.42578125" style="65" bestFit="1" customWidth="1"/>
    <col min="772" max="772" width="10.42578125" style="65" customWidth="1"/>
    <col min="773" max="773" width="9.7109375" style="65" bestFit="1" customWidth="1"/>
    <col min="774" max="775" width="9.5703125" style="65" bestFit="1" customWidth="1"/>
    <col min="776" max="776" width="10.42578125" style="65" bestFit="1" customWidth="1"/>
    <col min="777" max="777" width="4.5703125" style="65" customWidth="1"/>
    <col min="778" max="778" width="1.85546875" style="65" customWidth="1"/>
    <col min="779" max="779" width="7" style="65" bestFit="1" customWidth="1"/>
    <col min="780" max="780" width="6.28515625" style="65" customWidth="1"/>
    <col min="781" max="781" width="20.42578125" style="65" customWidth="1"/>
    <col min="782" max="782" width="6.42578125" style="65" bestFit="1" customWidth="1"/>
    <col min="783" max="784" width="8.42578125" style="65"/>
    <col min="785" max="785" width="3.28515625" style="65" customWidth="1"/>
    <col min="786" max="1024" width="8.42578125" style="65"/>
    <col min="1025" max="1025" width="10" style="65" bestFit="1" customWidth="1"/>
    <col min="1026" max="1026" width="44.28515625" style="65" bestFit="1" customWidth="1"/>
    <col min="1027" max="1027" width="10.42578125" style="65" bestFit="1" customWidth="1"/>
    <col min="1028" max="1028" width="10.42578125" style="65" customWidth="1"/>
    <col min="1029" max="1029" width="9.7109375" style="65" bestFit="1" customWidth="1"/>
    <col min="1030" max="1031" width="9.5703125" style="65" bestFit="1" customWidth="1"/>
    <col min="1032" max="1032" width="10.42578125" style="65" bestFit="1" customWidth="1"/>
    <col min="1033" max="1033" width="4.5703125" style="65" customWidth="1"/>
    <col min="1034" max="1034" width="1.85546875" style="65" customWidth="1"/>
    <col min="1035" max="1035" width="7" style="65" bestFit="1" customWidth="1"/>
    <col min="1036" max="1036" width="6.28515625" style="65" customWidth="1"/>
    <col min="1037" max="1037" width="20.42578125" style="65" customWidth="1"/>
    <col min="1038" max="1038" width="6.42578125" style="65" bestFit="1" customWidth="1"/>
    <col min="1039" max="1040" width="8.42578125" style="65"/>
    <col min="1041" max="1041" width="3.28515625" style="65" customWidth="1"/>
    <col min="1042" max="1280" width="8.42578125" style="65"/>
    <col min="1281" max="1281" width="10" style="65" bestFit="1" customWidth="1"/>
    <col min="1282" max="1282" width="44.28515625" style="65" bestFit="1" customWidth="1"/>
    <col min="1283" max="1283" width="10.42578125" style="65" bestFit="1" customWidth="1"/>
    <col min="1284" max="1284" width="10.42578125" style="65" customWidth="1"/>
    <col min="1285" max="1285" width="9.7109375" style="65" bestFit="1" customWidth="1"/>
    <col min="1286" max="1287" width="9.5703125" style="65" bestFit="1" customWidth="1"/>
    <col min="1288" max="1288" width="10.42578125" style="65" bestFit="1" customWidth="1"/>
    <col min="1289" max="1289" width="4.5703125" style="65" customWidth="1"/>
    <col min="1290" max="1290" width="1.85546875" style="65" customWidth="1"/>
    <col min="1291" max="1291" width="7" style="65" bestFit="1" customWidth="1"/>
    <col min="1292" max="1292" width="6.28515625" style="65" customWidth="1"/>
    <col min="1293" max="1293" width="20.42578125" style="65" customWidth="1"/>
    <col min="1294" max="1294" width="6.42578125" style="65" bestFit="1" customWidth="1"/>
    <col min="1295" max="1296" width="8.42578125" style="65"/>
    <col min="1297" max="1297" width="3.28515625" style="65" customWidth="1"/>
    <col min="1298" max="1536" width="8.42578125" style="65"/>
    <col min="1537" max="1537" width="10" style="65" bestFit="1" customWidth="1"/>
    <col min="1538" max="1538" width="44.28515625" style="65" bestFit="1" customWidth="1"/>
    <col min="1539" max="1539" width="10.42578125" style="65" bestFit="1" customWidth="1"/>
    <col min="1540" max="1540" width="10.42578125" style="65" customWidth="1"/>
    <col min="1541" max="1541" width="9.7109375" style="65" bestFit="1" customWidth="1"/>
    <col min="1542" max="1543" width="9.5703125" style="65" bestFit="1" customWidth="1"/>
    <col min="1544" max="1544" width="10.42578125" style="65" bestFit="1" customWidth="1"/>
    <col min="1545" max="1545" width="4.5703125" style="65" customWidth="1"/>
    <col min="1546" max="1546" width="1.85546875" style="65" customWidth="1"/>
    <col min="1547" max="1547" width="7" style="65" bestFit="1" customWidth="1"/>
    <col min="1548" max="1548" width="6.28515625" style="65" customWidth="1"/>
    <col min="1549" max="1549" width="20.42578125" style="65" customWidth="1"/>
    <col min="1550" max="1550" width="6.42578125" style="65" bestFit="1" customWidth="1"/>
    <col min="1551" max="1552" width="8.42578125" style="65"/>
    <col min="1553" max="1553" width="3.28515625" style="65" customWidth="1"/>
    <col min="1554" max="1792" width="8.42578125" style="65"/>
    <col min="1793" max="1793" width="10" style="65" bestFit="1" customWidth="1"/>
    <col min="1794" max="1794" width="44.28515625" style="65" bestFit="1" customWidth="1"/>
    <col min="1795" max="1795" width="10.42578125" style="65" bestFit="1" customWidth="1"/>
    <col min="1796" max="1796" width="10.42578125" style="65" customWidth="1"/>
    <col min="1797" max="1797" width="9.7109375" style="65" bestFit="1" customWidth="1"/>
    <col min="1798" max="1799" width="9.5703125" style="65" bestFit="1" customWidth="1"/>
    <col min="1800" max="1800" width="10.42578125" style="65" bestFit="1" customWidth="1"/>
    <col min="1801" max="1801" width="4.5703125" style="65" customWidth="1"/>
    <col min="1802" max="1802" width="1.85546875" style="65" customWidth="1"/>
    <col min="1803" max="1803" width="7" style="65" bestFit="1" customWidth="1"/>
    <col min="1804" max="1804" width="6.28515625" style="65" customWidth="1"/>
    <col min="1805" max="1805" width="20.42578125" style="65" customWidth="1"/>
    <col min="1806" max="1806" width="6.42578125" style="65" bestFit="1" customWidth="1"/>
    <col min="1807" max="1808" width="8.42578125" style="65"/>
    <col min="1809" max="1809" width="3.28515625" style="65" customWidth="1"/>
    <col min="1810" max="2048" width="8.42578125" style="65"/>
    <col min="2049" max="2049" width="10" style="65" bestFit="1" customWidth="1"/>
    <col min="2050" max="2050" width="44.28515625" style="65" bestFit="1" customWidth="1"/>
    <col min="2051" max="2051" width="10.42578125" style="65" bestFit="1" customWidth="1"/>
    <col min="2052" max="2052" width="10.42578125" style="65" customWidth="1"/>
    <col min="2053" max="2053" width="9.7109375" style="65" bestFit="1" customWidth="1"/>
    <col min="2054" max="2055" width="9.5703125" style="65" bestFit="1" customWidth="1"/>
    <col min="2056" max="2056" width="10.42578125" style="65" bestFit="1" customWidth="1"/>
    <col min="2057" max="2057" width="4.5703125" style="65" customWidth="1"/>
    <col min="2058" max="2058" width="1.85546875" style="65" customWidth="1"/>
    <col min="2059" max="2059" width="7" style="65" bestFit="1" customWidth="1"/>
    <col min="2060" max="2060" width="6.28515625" style="65" customWidth="1"/>
    <col min="2061" max="2061" width="20.42578125" style="65" customWidth="1"/>
    <col min="2062" max="2062" width="6.42578125" style="65" bestFit="1" customWidth="1"/>
    <col min="2063" max="2064" width="8.42578125" style="65"/>
    <col min="2065" max="2065" width="3.28515625" style="65" customWidth="1"/>
    <col min="2066" max="2304" width="8.42578125" style="65"/>
    <col min="2305" max="2305" width="10" style="65" bestFit="1" customWidth="1"/>
    <col min="2306" max="2306" width="44.28515625" style="65" bestFit="1" customWidth="1"/>
    <col min="2307" max="2307" width="10.42578125" style="65" bestFit="1" customWidth="1"/>
    <col min="2308" max="2308" width="10.42578125" style="65" customWidth="1"/>
    <col min="2309" max="2309" width="9.7109375" style="65" bestFit="1" customWidth="1"/>
    <col min="2310" max="2311" width="9.5703125" style="65" bestFit="1" customWidth="1"/>
    <col min="2312" max="2312" width="10.42578125" style="65" bestFit="1" customWidth="1"/>
    <col min="2313" max="2313" width="4.5703125" style="65" customWidth="1"/>
    <col min="2314" max="2314" width="1.85546875" style="65" customWidth="1"/>
    <col min="2315" max="2315" width="7" style="65" bestFit="1" customWidth="1"/>
    <col min="2316" max="2316" width="6.28515625" style="65" customWidth="1"/>
    <col min="2317" max="2317" width="20.42578125" style="65" customWidth="1"/>
    <col min="2318" max="2318" width="6.42578125" style="65" bestFit="1" customWidth="1"/>
    <col min="2319" max="2320" width="8.42578125" style="65"/>
    <col min="2321" max="2321" width="3.28515625" style="65" customWidth="1"/>
    <col min="2322" max="2560" width="8.42578125" style="65"/>
    <col min="2561" max="2561" width="10" style="65" bestFit="1" customWidth="1"/>
    <col min="2562" max="2562" width="44.28515625" style="65" bestFit="1" customWidth="1"/>
    <col min="2563" max="2563" width="10.42578125" style="65" bestFit="1" customWidth="1"/>
    <col min="2564" max="2564" width="10.42578125" style="65" customWidth="1"/>
    <col min="2565" max="2565" width="9.7109375" style="65" bestFit="1" customWidth="1"/>
    <col min="2566" max="2567" width="9.5703125" style="65" bestFit="1" customWidth="1"/>
    <col min="2568" max="2568" width="10.42578125" style="65" bestFit="1" customWidth="1"/>
    <col min="2569" max="2569" width="4.5703125" style="65" customWidth="1"/>
    <col min="2570" max="2570" width="1.85546875" style="65" customWidth="1"/>
    <col min="2571" max="2571" width="7" style="65" bestFit="1" customWidth="1"/>
    <col min="2572" max="2572" width="6.28515625" style="65" customWidth="1"/>
    <col min="2573" max="2573" width="20.42578125" style="65" customWidth="1"/>
    <col min="2574" max="2574" width="6.42578125" style="65" bestFit="1" customWidth="1"/>
    <col min="2575" max="2576" width="8.42578125" style="65"/>
    <col min="2577" max="2577" width="3.28515625" style="65" customWidth="1"/>
    <col min="2578" max="2816" width="8.42578125" style="65"/>
    <col min="2817" max="2817" width="10" style="65" bestFit="1" customWidth="1"/>
    <col min="2818" max="2818" width="44.28515625" style="65" bestFit="1" customWidth="1"/>
    <col min="2819" max="2819" width="10.42578125" style="65" bestFit="1" customWidth="1"/>
    <col min="2820" max="2820" width="10.42578125" style="65" customWidth="1"/>
    <col min="2821" max="2821" width="9.7109375" style="65" bestFit="1" customWidth="1"/>
    <col min="2822" max="2823" width="9.5703125" style="65" bestFit="1" customWidth="1"/>
    <col min="2824" max="2824" width="10.42578125" style="65" bestFit="1" customWidth="1"/>
    <col min="2825" max="2825" width="4.5703125" style="65" customWidth="1"/>
    <col min="2826" max="2826" width="1.85546875" style="65" customWidth="1"/>
    <col min="2827" max="2827" width="7" style="65" bestFit="1" customWidth="1"/>
    <col min="2828" max="2828" width="6.28515625" style="65" customWidth="1"/>
    <col min="2829" max="2829" width="20.42578125" style="65" customWidth="1"/>
    <col min="2830" max="2830" width="6.42578125" style="65" bestFit="1" customWidth="1"/>
    <col min="2831" max="2832" width="8.42578125" style="65"/>
    <col min="2833" max="2833" width="3.28515625" style="65" customWidth="1"/>
    <col min="2834" max="3072" width="8.42578125" style="65"/>
    <col min="3073" max="3073" width="10" style="65" bestFit="1" customWidth="1"/>
    <col min="3074" max="3074" width="44.28515625" style="65" bestFit="1" customWidth="1"/>
    <col min="3075" max="3075" width="10.42578125" style="65" bestFit="1" customWidth="1"/>
    <col min="3076" max="3076" width="10.42578125" style="65" customWidth="1"/>
    <col min="3077" max="3077" width="9.7109375" style="65" bestFit="1" customWidth="1"/>
    <col min="3078" max="3079" width="9.5703125" style="65" bestFit="1" customWidth="1"/>
    <col min="3080" max="3080" width="10.42578125" style="65" bestFit="1" customWidth="1"/>
    <col min="3081" max="3081" width="4.5703125" style="65" customWidth="1"/>
    <col min="3082" max="3082" width="1.85546875" style="65" customWidth="1"/>
    <col min="3083" max="3083" width="7" style="65" bestFit="1" customWidth="1"/>
    <col min="3084" max="3084" width="6.28515625" style="65" customWidth="1"/>
    <col min="3085" max="3085" width="20.42578125" style="65" customWidth="1"/>
    <col min="3086" max="3086" width="6.42578125" style="65" bestFit="1" customWidth="1"/>
    <col min="3087" max="3088" width="8.42578125" style="65"/>
    <col min="3089" max="3089" width="3.28515625" style="65" customWidth="1"/>
    <col min="3090" max="3328" width="8.42578125" style="65"/>
    <col min="3329" max="3329" width="10" style="65" bestFit="1" customWidth="1"/>
    <col min="3330" max="3330" width="44.28515625" style="65" bestFit="1" customWidth="1"/>
    <col min="3331" max="3331" width="10.42578125" style="65" bestFit="1" customWidth="1"/>
    <col min="3332" max="3332" width="10.42578125" style="65" customWidth="1"/>
    <col min="3333" max="3333" width="9.7109375" style="65" bestFit="1" customWidth="1"/>
    <col min="3334" max="3335" width="9.5703125" style="65" bestFit="1" customWidth="1"/>
    <col min="3336" max="3336" width="10.42578125" style="65" bestFit="1" customWidth="1"/>
    <col min="3337" max="3337" width="4.5703125" style="65" customWidth="1"/>
    <col min="3338" max="3338" width="1.85546875" style="65" customWidth="1"/>
    <col min="3339" max="3339" width="7" style="65" bestFit="1" customWidth="1"/>
    <col min="3340" max="3340" width="6.28515625" style="65" customWidth="1"/>
    <col min="3341" max="3341" width="20.42578125" style="65" customWidth="1"/>
    <col min="3342" max="3342" width="6.42578125" style="65" bestFit="1" customWidth="1"/>
    <col min="3343" max="3344" width="8.42578125" style="65"/>
    <col min="3345" max="3345" width="3.28515625" style="65" customWidth="1"/>
    <col min="3346" max="3584" width="8.42578125" style="65"/>
    <col min="3585" max="3585" width="10" style="65" bestFit="1" customWidth="1"/>
    <col min="3586" max="3586" width="44.28515625" style="65" bestFit="1" customWidth="1"/>
    <col min="3587" max="3587" width="10.42578125" style="65" bestFit="1" customWidth="1"/>
    <col min="3588" max="3588" width="10.42578125" style="65" customWidth="1"/>
    <col min="3589" max="3589" width="9.7109375" style="65" bestFit="1" customWidth="1"/>
    <col min="3590" max="3591" width="9.5703125" style="65" bestFit="1" customWidth="1"/>
    <col min="3592" max="3592" width="10.42578125" style="65" bestFit="1" customWidth="1"/>
    <col min="3593" max="3593" width="4.5703125" style="65" customWidth="1"/>
    <col min="3594" max="3594" width="1.85546875" style="65" customWidth="1"/>
    <col min="3595" max="3595" width="7" style="65" bestFit="1" customWidth="1"/>
    <col min="3596" max="3596" width="6.28515625" style="65" customWidth="1"/>
    <col min="3597" max="3597" width="20.42578125" style="65" customWidth="1"/>
    <col min="3598" max="3598" width="6.42578125" style="65" bestFit="1" customWidth="1"/>
    <col min="3599" max="3600" width="8.42578125" style="65"/>
    <col min="3601" max="3601" width="3.28515625" style="65" customWidth="1"/>
    <col min="3602" max="3840" width="8.42578125" style="65"/>
    <col min="3841" max="3841" width="10" style="65" bestFit="1" customWidth="1"/>
    <col min="3842" max="3842" width="44.28515625" style="65" bestFit="1" customWidth="1"/>
    <col min="3843" max="3843" width="10.42578125" style="65" bestFit="1" customWidth="1"/>
    <col min="3844" max="3844" width="10.42578125" style="65" customWidth="1"/>
    <col min="3845" max="3845" width="9.7109375" style="65" bestFit="1" customWidth="1"/>
    <col min="3846" max="3847" width="9.5703125" style="65" bestFit="1" customWidth="1"/>
    <col min="3848" max="3848" width="10.42578125" style="65" bestFit="1" customWidth="1"/>
    <col min="3849" max="3849" width="4.5703125" style="65" customWidth="1"/>
    <col min="3850" max="3850" width="1.85546875" style="65" customWidth="1"/>
    <col min="3851" max="3851" width="7" style="65" bestFit="1" customWidth="1"/>
    <col min="3852" max="3852" width="6.28515625" style="65" customWidth="1"/>
    <col min="3853" max="3853" width="20.42578125" style="65" customWidth="1"/>
    <col min="3854" max="3854" width="6.42578125" style="65" bestFit="1" customWidth="1"/>
    <col min="3855" max="3856" width="8.42578125" style="65"/>
    <col min="3857" max="3857" width="3.28515625" style="65" customWidth="1"/>
    <col min="3858" max="4096" width="8.42578125" style="65"/>
    <col min="4097" max="4097" width="10" style="65" bestFit="1" customWidth="1"/>
    <col min="4098" max="4098" width="44.28515625" style="65" bestFit="1" customWidth="1"/>
    <col min="4099" max="4099" width="10.42578125" style="65" bestFit="1" customWidth="1"/>
    <col min="4100" max="4100" width="10.42578125" style="65" customWidth="1"/>
    <col min="4101" max="4101" width="9.7109375" style="65" bestFit="1" customWidth="1"/>
    <col min="4102" max="4103" width="9.5703125" style="65" bestFit="1" customWidth="1"/>
    <col min="4104" max="4104" width="10.42578125" style="65" bestFit="1" customWidth="1"/>
    <col min="4105" max="4105" width="4.5703125" style="65" customWidth="1"/>
    <col min="4106" max="4106" width="1.85546875" style="65" customWidth="1"/>
    <col min="4107" max="4107" width="7" style="65" bestFit="1" customWidth="1"/>
    <col min="4108" max="4108" width="6.28515625" style="65" customWidth="1"/>
    <col min="4109" max="4109" width="20.42578125" style="65" customWidth="1"/>
    <col min="4110" max="4110" width="6.42578125" style="65" bestFit="1" customWidth="1"/>
    <col min="4111" max="4112" width="8.42578125" style="65"/>
    <col min="4113" max="4113" width="3.28515625" style="65" customWidth="1"/>
    <col min="4114" max="4352" width="8.42578125" style="65"/>
    <col min="4353" max="4353" width="10" style="65" bestFit="1" customWidth="1"/>
    <col min="4354" max="4354" width="44.28515625" style="65" bestFit="1" customWidth="1"/>
    <col min="4355" max="4355" width="10.42578125" style="65" bestFit="1" customWidth="1"/>
    <col min="4356" max="4356" width="10.42578125" style="65" customWidth="1"/>
    <col min="4357" max="4357" width="9.7109375" style="65" bestFit="1" customWidth="1"/>
    <col min="4358" max="4359" width="9.5703125" style="65" bestFit="1" customWidth="1"/>
    <col min="4360" max="4360" width="10.42578125" style="65" bestFit="1" customWidth="1"/>
    <col min="4361" max="4361" width="4.5703125" style="65" customWidth="1"/>
    <col min="4362" max="4362" width="1.85546875" style="65" customWidth="1"/>
    <col min="4363" max="4363" width="7" style="65" bestFit="1" customWidth="1"/>
    <col min="4364" max="4364" width="6.28515625" style="65" customWidth="1"/>
    <col min="4365" max="4365" width="20.42578125" style="65" customWidth="1"/>
    <col min="4366" max="4366" width="6.42578125" style="65" bestFit="1" customWidth="1"/>
    <col min="4367" max="4368" width="8.42578125" style="65"/>
    <col min="4369" max="4369" width="3.28515625" style="65" customWidth="1"/>
    <col min="4370" max="4608" width="8.42578125" style="65"/>
    <col min="4609" max="4609" width="10" style="65" bestFit="1" customWidth="1"/>
    <col min="4610" max="4610" width="44.28515625" style="65" bestFit="1" customWidth="1"/>
    <col min="4611" max="4611" width="10.42578125" style="65" bestFit="1" customWidth="1"/>
    <col min="4612" max="4612" width="10.42578125" style="65" customWidth="1"/>
    <col min="4613" max="4613" width="9.7109375" style="65" bestFit="1" customWidth="1"/>
    <col min="4614" max="4615" width="9.5703125" style="65" bestFit="1" customWidth="1"/>
    <col min="4616" max="4616" width="10.42578125" style="65" bestFit="1" customWidth="1"/>
    <col min="4617" max="4617" width="4.5703125" style="65" customWidth="1"/>
    <col min="4618" max="4618" width="1.85546875" style="65" customWidth="1"/>
    <col min="4619" max="4619" width="7" style="65" bestFit="1" customWidth="1"/>
    <col min="4620" max="4620" width="6.28515625" style="65" customWidth="1"/>
    <col min="4621" max="4621" width="20.42578125" style="65" customWidth="1"/>
    <col min="4622" max="4622" width="6.42578125" style="65" bestFit="1" customWidth="1"/>
    <col min="4623" max="4624" width="8.42578125" style="65"/>
    <col min="4625" max="4625" width="3.28515625" style="65" customWidth="1"/>
    <col min="4626" max="4864" width="8.42578125" style="65"/>
    <col min="4865" max="4865" width="10" style="65" bestFit="1" customWidth="1"/>
    <col min="4866" max="4866" width="44.28515625" style="65" bestFit="1" customWidth="1"/>
    <col min="4867" max="4867" width="10.42578125" style="65" bestFit="1" customWidth="1"/>
    <col min="4868" max="4868" width="10.42578125" style="65" customWidth="1"/>
    <col min="4869" max="4869" width="9.7109375" style="65" bestFit="1" customWidth="1"/>
    <col min="4870" max="4871" width="9.5703125" style="65" bestFit="1" customWidth="1"/>
    <col min="4872" max="4872" width="10.42578125" style="65" bestFit="1" customWidth="1"/>
    <col min="4873" max="4873" width="4.5703125" style="65" customWidth="1"/>
    <col min="4874" max="4874" width="1.85546875" style="65" customWidth="1"/>
    <col min="4875" max="4875" width="7" style="65" bestFit="1" customWidth="1"/>
    <col min="4876" max="4876" width="6.28515625" style="65" customWidth="1"/>
    <col min="4877" max="4877" width="20.42578125" style="65" customWidth="1"/>
    <col min="4878" max="4878" width="6.42578125" style="65" bestFit="1" customWidth="1"/>
    <col min="4879" max="4880" width="8.42578125" style="65"/>
    <col min="4881" max="4881" width="3.28515625" style="65" customWidth="1"/>
    <col min="4882" max="5120" width="8.42578125" style="65"/>
    <col min="5121" max="5121" width="10" style="65" bestFit="1" customWidth="1"/>
    <col min="5122" max="5122" width="44.28515625" style="65" bestFit="1" customWidth="1"/>
    <col min="5123" max="5123" width="10.42578125" style="65" bestFit="1" customWidth="1"/>
    <col min="5124" max="5124" width="10.42578125" style="65" customWidth="1"/>
    <col min="5125" max="5125" width="9.7109375" style="65" bestFit="1" customWidth="1"/>
    <col min="5126" max="5127" width="9.5703125" style="65" bestFit="1" customWidth="1"/>
    <col min="5128" max="5128" width="10.42578125" style="65" bestFit="1" customWidth="1"/>
    <col min="5129" max="5129" width="4.5703125" style="65" customWidth="1"/>
    <col min="5130" max="5130" width="1.85546875" style="65" customWidth="1"/>
    <col min="5131" max="5131" width="7" style="65" bestFit="1" customWidth="1"/>
    <col min="5132" max="5132" width="6.28515625" style="65" customWidth="1"/>
    <col min="5133" max="5133" width="20.42578125" style="65" customWidth="1"/>
    <col min="5134" max="5134" width="6.42578125" style="65" bestFit="1" customWidth="1"/>
    <col min="5135" max="5136" width="8.42578125" style="65"/>
    <col min="5137" max="5137" width="3.28515625" style="65" customWidth="1"/>
    <col min="5138" max="5376" width="8.42578125" style="65"/>
    <col min="5377" max="5377" width="10" style="65" bestFit="1" customWidth="1"/>
    <col min="5378" max="5378" width="44.28515625" style="65" bestFit="1" customWidth="1"/>
    <col min="5379" max="5379" width="10.42578125" style="65" bestFit="1" customWidth="1"/>
    <col min="5380" max="5380" width="10.42578125" style="65" customWidth="1"/>
    <col min="5381" max="5381" width="9.7109375" style="65" bestFit="1" customWidth="1"/>
    <col min="5382" max="5383" width="9.5703125" style="65" bestFit="1" customWidth="1"/>
    <col min="5384" max="5384" width="10.42578125" style="65" bestFit="1" customWidth="1"/>
    <col min="5385" max="5385" width="4.5703125" style="65" customWidth="1"/>
    <col min="5386" max="5386" width="1.85546875" style="65" customWidth="1"/>
    <col min="5387" max="5387" width="7" style="65" bestFit="1" customWidth="1"/>
    <col min="5388" max="5388" width="6.28515625" style="65" customWidth="1"/>
    <col min="5389" max="5389" width="20.42578125" style="65" customWidth="1"/>
    <col min="5390" max="5390" width="6.42578125" style="65" bestFit="1" customWidth="1"/>
    <col min="5391" max="5392" width="8.42578125" style="65"/>
    <col min="5393" max="5393" width="3.28515625" style="65" customWidth="1"/>
    <col min="5394" max="5632" width="8.42578125" style="65"/>
    <col min="5633" max="5633" width="10" style="65" bestFit="1" customWidth="1"/>
    <col min="5634" max="5634" width="44.28515625" style="65" bestFit="1" customWidth="1"/>
    <col min="5635" max="5635" width="10.42578125" style="65" bestFit="1" customWidth="1"/>
    <col min="5636" max="5636" width="10.42578125" style="65" customWidth="1"/>
    <col min="5637" max="5637" width="9.7109375" style="65" bestFit="1" customWidth="1"/>
    <col min="5638" max="5639" width="9.5703125" style="65" bestFit="1" customWidth="1"/>
    <col min="5640" max="5640" width="10.42578125" style="65" bestFit="1" customWidth="1"/>
    <col min="5641" max="5641" width="4.5703125" style="65" customWidth="1"/>
    <col min="5642" max="5642" width="1.85546875" style="65" customWidth="1"/>
    <col min="5643" max="5643" width="7" style="65" bestFit="1" customWidth="1"/>
    <col min="5644" max="5644" width="6.28515625" style="65" customWidth="1"/>
    <col min="5645" max="5645" width="20.42578125" style="65" customWidth="1"/>
    <col min="5646" max="5646" width="6.42578125" style="65" bestFit="1" customWidth="1"/>
    <col min="5647" max="5648" width="8.42578125" style="65"/>
    <col min="5649" max="5649" width="3.28515625" style="65" customWidth="1"/>
    <col min="5650" max="5888" width="8.42578125" style="65"/>
    <col min="5889" max="5889" width="10" style="65" bestFit="1" customWidth="1"/>
    <col min="5890" max="5890" width="44.28515625" style="65" bestFit="1" customWidth="1"/>
    <col min="5891" max="5891" width="10.42578125" style="65" bestFit="1" customWidth="1"/>
    <col min="5892" max="5892" width="10.42578125" style="65" customWidth="1"/>
    <col min="5893" max="5893" width="9.7109375" style="65" bestFit="1" customWidth="1"/>
    <col min="5894" max="5895" width="9.5703125" style="65" bestFit="1" customWidth="1"/>
    <col min="5896" max="5896" width="10.42578125" style="65" bestFit="1" customWidth="1"/>
    <col min="5897" max="5897" width="4.5703125" style="65" customWidth="1"/>
    <col min="5898" max="5898" width="1.85546875" style="65" customWidth="1"/>
    <col min="5899" max="5899" width="7" style="65" bestFit="1" customWidth="1"/>
    <col min="5900" max="5900" width="6.28515625" style="65" customWidth="1"/>
    <col min="5901" max="5901" width="20.42578125" style="65" customWidth="1"/>
    <col min="5902" max="5902" width="6.42578125" style="65" bestFit="1" customWidth="1"/>
    <col min="5903" max="5904" width="8.42578125" style="65"/>
    <col min="5905" max="5905" width="3.28515625" style="65" customWidth="1"/>
    <col min="5906" max="6144" width="8.42578125" style="65"/>
    <col min="6145" max="6145" width="10" style="65" bestFit="1" customWidth="1"/>
    <col min="6146" max="6146" width="44.28515625" style="65" bestFit="1" customWidth="1"/>
    <col min="6147" max="6147" width="10.42578125" style="65" bestFit="1" customWidth="1"/>
    <col min="6148" max="6148" width="10.42578125" style="65" customWidth="1"/>
    <col min="6149" max="6149" width="9.7109375" style="65" bestFit="1" customWidth="1"/>
    <col min="6150" max="6151" width="9.5703125" style="65" bestFit="1" customWidth="1"/>
    <col min="6152" max="6152" width="10.42578125" style="65" bestFit="1" customWidth="1"/>
    <col min="6153" max="6153" width="4.5703125" style="65" customWidth="1"/>
    <col min="6154" max="6154" width="1.85546875" style="65" customWidth="1"/>
    <col min="6155" max="6155" width="7" style="65" bestFit="1" customWidth="1"/>
    <col min="6156" max="6156" width="6.28515625" style="65" customWidth="1"/>
    <col min="6157" max="6157" width="20.42578125" style="65" customWidth="1"/>
    <col min="6158" max="6158" width="6.42578125" style="65" bestFit="1" customWidth="1"/>
    <col min="6159" max="6160" width="8.42578125" style="65"/>
    <col min="6161" max="6161" width="3.28515625" style="65" customWidth="1"/>
    <col min="6162" max="6400" width="8.42578125" style="65"/>
    <col min="6401" max="6401" width="10" style="65" bestFit="1" customWidth="1"/>
    <col min="6402" max="6402" width="44.28515625" style="65" bestFit="1" customWidth="1"/>
    <col min="6403" max="6403" width="10.42578125" style="65" bestFit="1" customWidth="1"/>
    <col min="6404" max="6404" width="10.42578125" style="65" customWidth="1"/>
    <col min="6405" max="6405" width="9.7109375" style="65" bestFit="1" customWidth="1"/>
    <col min="6406" max="6407" width="9.5703125" style="65" bestFit="1" customWidth="1"/>
    <col min="6408" max="6408" width="10.42578125" style="65" bestFit="1" customWidth="1"/>
    <col min="6409" max="6409" width="4.5703125" style="65" customWidth="1"/>
    <col min="6410" max="6410" width="1.85546875" style="65" customWidth="1"/>
    <col min="6411" max="6411" width="7" style="65" bestFit="1" customWidth="1"/>
    <col min="6412" max="6412" width="6.28515625" style="65" customWidth="1"/>
    <col min="6413" max="6413" width="20.42578125" style="65" customWidth="1"/>
    <col min="6414" max="6414" width="6.42578125" style="65" bestFit="1" customWidth="1"/>
    <col min="6415" max="6416" width="8.42578125" style="65"/>
    <col min="6417" max="6417" width="3.28515625" style="65" customWidth="1"/>
    <col min="6418" max="6656" width="8.42578125" style="65"/>
    <col min="6657" max="6657" width="10" style="65" bestFit="1" customWidth="1"/>
    <col min="6658" max="6658" width="44.28515625" style="65" bestFit="1" customWidth="1"/>
    <col min="6659" max="6659" width="10.42578125" style="65" bestFit="1" customWidth="1"/>
    <col min="6660" max="6660" width="10.42578125" style="65" customWidth="1"/>
    <col min="6661" max="6661" width="9.7109375" style="65" bestFit="1" customWidth="1"/>
    <col min="6662" max="6663" width="9.5703125" style="65" bestFit="1" customWidth="1"/>
    <col min="6664" max="6664" width="10.42578125" style="65" bestFit="1" customWidth="1"/>
    <col min="6665" max="6665" width="4.5703125" style="65" customWidth="1"/>
    <col min="6666" max="6666" width="1.85546875" style="65" customWidth="1"/>
    <col min="6667" max="6667" width="7" style="65" bestFit="1" customWidth="1"/>
    <col min="6668" max="6668" width="6.28515625" style="65" customWidth="1"/>
    <col min="6669" max="6669" width="20.42578125" style="65" customWidth="1"/>
    <col min="6670" max="6670" width="6.42578125" style="65" bestFit="1" customWidth="1"/>
    <col min="6671" max="6672" width="8.42578125" style="65"/>
    <col min="6673" max="6673" width="3.28515625" style="65" customWidth="1"/>
    <col min="6674" max="6912" width="8.42578125" style="65"/>
    <col min="6913" max="6913" width="10" style="65" bestFit="1" customWidth="1"/>
    <col min="6914" max="6914" width="44.28515625" style="65" bestFit="1" customWidth="1"/>
    <col min="6915" max="6915" width="10.42578125" style="65" bestFit="1" customWidth="1"/>
    <col min="6916" max="6916" width="10.42578125" style="65" customWidth="1"/>
    <col min="6917" max="6917" width="9.7109375" style="65" bestFit="1" customWidth="1"/>
    <col min="6918" max="6919" width="9.5703125" style="65" bestFit="1" customWidth="1"/>
    <col min="6920" max="6920" width="10.42578125" style="65" bestFit="1" customWidth="1"/>
    <col min="6921" max="6921" width="4.5703125" style="65" customWidth="1"/>
    <col min="6922" max="6922" width="1.85546875" style="65" customWidth="1"/>
    <col min="6923" max="6923" width="7" style="65" bestFit="1" customWidth="1"/>
    <col min="6924" max="6924" width="6.28515625" style="65" customWidth="1"/>
    <col min="6925" max="6925" width="20.42578125" style="65" customWidth="1"/>
    <col min="6926" max="6926" width="6.42578125" style="65" bestFit="1" customWidth="1"/>
    <col min="6927" max="6928" width="8.42578125" style="65"/>
    <col min="6929" max="6929" width="3.28515625" style="65" customWidth="1"/>
    <col min="6930" max="7168" width="8.42578125" style="65"/>
    <col min="7169" max="7169" width="10" style="65" bestFit="1" customWidth="1"/>
    <col min="7170" max="7170" width="44.28515625" style="65" bestFit="1" customWidth="1"/>
    <col min="7171" max="7171" width="10.42578125" style="65" bestFit="1" customWidth="1"/>
    <col min="7172" max="7172" width="10.42578125" style="65" customWidth="1"/>
    <col min="7173" max="7173" width="9.7109375" style="65" bestFit="1" customWidth="1"/>
    <col min="7174" max="7175" width="9.5703125" style="65" bestFit="1" customWidth="1"/>
    <col min="7176" max="7176" width="10.42578125" style="65" bestFit="1" customWidth="1"/>
    <col min="7177" max="7177" width="4.5703125" style="65" customWidth="1"/>
    <col min="7178" max="7178" width="1.85546875" style="65" customWidth="1"/>
    <col min="7179" max="7179" width="7" style="65" bestFit="1" customWidth="1"/>
    <col min="7180" max="7180" width="6.28515625" style="65" customWidth="1"/>
    <col min="7181" max="7181" width="20.42578125" style="65" customWidth="1"/>
    <col min="7182" max="7182" width="6.42578125" style="65" bestFit="1" customWidth="1"/>
    <col min="7183" max="7184" width="8.42578125" style="65"/>
    <col min="7185" max="7185" width="3.28515625" style="65" customWidth="1"/>
    <col min="7186" max="7424" width="8.42578125" style="65"/>
    <col min="7425" max="7425" width="10" style="65" bestFit="1" customWidth="1"/>
    <col min="7426" max="7426" width="44.28515625" style="65" bestFit="1" customWidth="1"/>
    <col min="7427" max="7427" width="10.42578125" style="65" bestFit="1" customWidth="1"/>
    <col min="7428" max="7428" width="10.42578125" style="65" customWidth="1"/>
    <col min="7429" max="7429" width="9.7109375" style="65" bestFit="1" customWidth="1"/>
    <col min="7430" max="7431" width="9.5703125" style="65" bestFit="1" customWidth="1"/>
    <col min="7432" max="7432" width="10.42578125" style="65" bestFit="1" customWidth="1"/>
    <col min="7433" max="7433" width="4.5703125" style="65" customWidth="1"/>
    <col min="7434" max="7434" width="1.85546875" style="65" customWidth="1"/>
    <col min="7435" max="7435" width="7" style="65" bestFit="1" customWidth="1"/>
    <col min="7436" max="7436" width="6.28515625" style="65" customWidth="1"/>
    <col min="7437" max="7437" width="20.42578125" style="65" customWidth="1"/>
    <col min="7438" max="7438" width="6.42578125" style="65" bestFit="1" customWidth="1"/>
    <col min="7439" max="7440" width="8.42578125" style="65"/>
    <col min="7441" max="7441" width="3.28515625" style="65" customWidth="1"/>
    <col min="7442" max="7680" width="8.42578125" style="65"/>
    <col min="7681" max="7681" width="10" style="65" bestFit="1" customWidth="1"/>
    <col min="7682" max="7682" width="44.28515625" style="65" bestFit="1" customWidth="1"/>
    <col min="7683" max="7683" width="10.42578125" style="65" bestFit="1" customWidth="1"/>
    <col min="7684" max="7684" width="10.42578125" style="65" customWidth="1"/>
    <col min="7685" max="7685" width="9.7109375" style="65" bestFit="1" customWidth="1"/>
    <col min="7686" max="7687" width="9.5703125" style="65" bestFit="1" customWidth="1"/>
    <col min="7688" max="7688" width="10.42578125" style="65" bestFit="1" customWidth="1"/>
    <col min="7689" max="7689" width="4.5703125" style="65" customWidth="1"/>
    <col min="7690" max="7690" width="1.85546875" style="65" customWidth="1"/>
    <col min="7691" max="7691" width="7" style="65" bestFit="1" customWidth="1"/>
    <col min="7692" max="7692" width="6.28515625" style="65" customWidth="1"/>
    <col min="7693" max="7693" width="20.42578125" style="65" customWidth="1"/>
    <col min="7694" max="7694" width="6.42578125" style="65" bestFit="1" customWidth="1"/>
    <col min="7695" max="7696" width="8.42578125" style="65"/>
    <col min="7697" max="7697" width="3.28515625" style="65" customWidth="1"/>
    <col min="7698" max="7936" width="8.42578125" style="65"/>
    <col min="7937" max="7937" width="10" style="65" bestFit="1" customWidth="1"/>
    <col min="7938" max="7938" width="44.28515625" style="65" bestFit="1" customWidth="1"/>
    <col min="7939" max="7939" width="10.42578125" style="65" bestFit="1" customWidth="1"/>
    <col min="7940" max="7940" width="10.42578125" style="65" customWidth="1"/>
    <col min="7941" max="7941" width="9.7109375" style="65" bestFit="1" customWidth="1"/>
    <col min="7942" max="7943" width="9.5703125" style="65" bestFit="1" customWidth="1"/>
    <col min="7944" max="7944" width="10.42578125" style="65" bestFit="1" customWidth="1"/>
    <col min="7945" max="7945" width="4.5703125" style="65" customWidth="1"/>
    <col min="7946" max="7946" width="1.85546875" style="65" customWidth="1"/>
    <col min="7947" max="7947" width="7" style="65" bestFit="1" customWidth="1"/>
    <col min="7948" max="7948" width="6.28515625" style="65" customWidth="1"/>
    <col min="7949" max="7949" width="20.42578125" style="65" customWidth="1"/>
    <col min="7950" max="7950" width="6.42578125" style="65" bestFit="1" customWidth="1"/>
    <col min="7951" max="7952" width="8.42578125" style="65"/>
    <col min="7953" max="7953" width="3.28515625" style="65" customWidth="1"/>
    <col min="7954" max="8192" width="8.42578125" style="65"/>
    <col min="8193" max="8193" width="10" style="65" bestFit="1" customWidth="1"/>
    <col min="8194" max="8194" width="44.28515625" style="65" bestFit="1" customWidth="1"/>
    <col min="8195" max="8195" width="10.42578125" style="65" bestFit="1" customWidth="1"/>
    <col min="8196" max="8196" width="10.42578125" style="65" customWidth="1"/>
    <col min="8197" max="8197" width="9.7109375" style="65" bestFit="1" customWidth="1"/>
    <col min="8198" max="8199" width="9.5703125" style="65" bestFit="1" customWidth="1"/>
    <col min="8200" max="8200" width="10.42578125" style="65" bestFit="1" customWidth="1"/>
    <col min="8201" max="8201" width="4.5703125" style="65" customWidth="1"/>
    <col min="8202" max="8202" width="1.85546875" style="65" customWidth="1"/>
    <col min="8203" max="8203" width="7" style="65" bestFit="1" customWidth="1"/>
    <col min="8204" max="8204" width="6.28515625" style="65" customWidth="1"/>
    <col min="8205" max="8205" width="20.42578125" style="65" customWidth="1"/>
    <col min="8206" max="8206" width="6.42578125" style="65" bestFit="1" customWidth="1"/>
    <col min="8207" max="8208" width="8.42578125" style="65"/>
    <col min="8209" max="8209" width="3.28515625" style="65" customWidth="1"/>
    <col min="8210" max="8448" width="8.42578125" style="65"/>
    <col min="8449" max="8449" width="10" style="65" bestFit="1" customWidth="1"/>
    <col min="8450" max="8450" width="44.28515625" style="65" bestFit="1" customWidth="1"/>
    <col min="8451" max="8451" width="10.42578125" style="65" bestFit="1" customWidth="1"/>
    <col min="8452" max="8452" width="10.42578125" style="65" customWidth="1"/>
    <col min="8453" max="8453" width="9.7109375" style="65" bestFit="1" customWidth="1"/>
    <col min="8454" max="8455" width="9.5703125" style="65" bestFit="1" customWidth="1"/>
    <col min="8456" max="8456" width="10.42578125" style="65" bestFit="1" customWidth="1"/>
    <col min="8457" max="8457" width="4.5703125" style="65" customWidth="1"/>
    <col min="8458" max="8458" width="1.85546875" style="65" customWidth="1"/>
    <col min="8459" max="8459" width="7" style="65" bestFit="1" customWidth="1"/>
    <col min="8460" max="8460" width="6.28515625" style="65" customWidth="1"/>
    <col min="8461" max="8461" width="20.42578125" style="65" customWidth="1"/>
    <col min="8462" max="8462" width="6.42578125" style="65" bestFit="1" customWidth="1"/>
    <col min="8463" max="8464" width="8.42578125" style="65"/>
    <col min="8465" max="8465" width="3.28515625" style="65" customWidth="1"/>
    <col min="8466" max="8704" width="8.42578125" style="65"/>
    <col min="8705" max="8705" width="10" style="65" bestFit="1" customWidth="1"/>
    <col min="8706" max="8706" width="44.28515625" style="65" bestFit="1" customWidth="1"/>
    <col min="8707" max="8707" width="10.42578125" style="65" bestFit="1" customWidth="1"/>
    <col min="8708" max="8708" width="10.42578125" style="65" customWidth="1"/>
    <col min="8709" max="8709" width="9.7109375" style="65" bestFit="1" customWidth="1"/>
    <col min="8710" max="8711" width="9.5703125" style="65" bestFit="1" customWidth="1"/>
    <col min="8712" max="8712" width="10.42578125" style="65" bestFit="1" customWidth="1"/>
    <col min="8713" max="8713" width="4.5703125" style="65" customWidth="1"/>
    <col min="8714" max="8714" width="1.85546875" style="65" customWidth="1"/>
    <col min="8715" max="8715" width="7" style="65" bestFit="1" customWidth="1"/>
    <col min="8716" max="8716" width="6.28515625" style="65" customWidth="1"/>
    <col min="8717" max="8717" width="20.42578125" style="65" customWidth="1"/>
    <col min="8718" max="8718" width="6.42578125" style="65" bestFit="1" customWidth="1"/>
    <col min="8719" max="8720" width="8.42578125" style="65"/>
    <col min="8721" max="8721" width="3.28515625" style="65" customWidth="1"/>
    <col min="8722" max="8960" width="8.42578125" style="65"/>
    <col min="8961" max="8961" width="10" style="65" bestFit="1" customWidth="1"/>
    <col min="8962" max="8962" width="44.28515625" style="65" bestFit="1" customWidth="1"/>
    <col min="8963" max="8963" width="10.42578125" style="65" bestFit="1" customWidth="1"/>
    <col min="8964" max="8964" width="10.42578125" style="65" customWidth="1"/>
    <col min="8965" max="8965" width="9.7109375" style="65" bestFit="1" customWidth="1"/>
    <col min="8966" max="8967" width="9.5703125" style="65" bestFit="1" customWidth="1"/>
    <col min="8968" max="8968" width="10.42578125" style="65" bestFit="1" customWidth="1"/>
    <col min="8969" max="8969" width="4.5703125" style="65" customWidth="1"/>
    <col min="8970" max="8970" width="1.85546875" style="65" customWidth="1"/>
    <col min="8971" max="8971" width="7" style="65" bestFit="1" customWidth="1"/>
    <col min="8972" max="8972" width="6.28515625" style="65" customWidth="1"/>
    <col min="8973" max="8973" width="20.42578125" style="65" customWidth="1"/>
    <col min="8974" max="8974" width="6.42578125" style="65" bestFit="1" customWidth="1"/>
    <col min="8975" max="8976" width="8.42578125" style="65"/>
    <col min="8977" max="8977" width="3.28515625" style="65" customWidth="1"/>
    <col min="8978" max="9216" width="8.42578125" style="65"/>
    <col min="9217" max="9217" width="10" style="65" bestFit="1" customWidth="1"/>
    <col min="9218" max="9218" width="44.28515625" style="65" bestFit="1" customWidth="1"/>
    <col min="9219" max="9219" width="10.42578125" style="65" bestFit="1" customWidth="1"/>
    <col min="9220" max="9220" width="10.42578125" style="65" customWidth="1"/>
    <col min="9221" max="9221" width="9.7109375" style="65" bestFit="1" customWidth="1"/>
    <col min="9222" max="9223" width="9.5703125" style="65" bestFit="1" customWidth="1"/>
    <col min="9224" max="9224" width="10.42578125" style="65" bestFit="1" customWidth="1"/>
    <col min="9225" max="9225" width="4.5703125" style="65" customWidth="1"/>
    <col min="9226" max="9226" width="1.85546875" style="65" customWidth="1"/>
    <col min="9227" max="9227" width="7" style="65" bestFit="1" customWidth="1"/>
    <col min="9228" max="9228" width="6.28515625" style="65" customWidth="1"/>
    <col min="9229" max="9229" width="20.42578125" style="65" customWidth="1"/>
    <col min="9230" max="9230" width="6.42578125" style="65" bestFit="1" customWidth="1"/>
    <col min="9231" max="9232" width="8.42578125" style="65"/>
    <col min="9233" max="9233" width="3.28515625" style="65" customWidth="1"/>
    <col min="9234" max="9472" width="8.42578125" style="65"/>
    <col min="9473" max="9473" width="10" style="65" bestFit="1" customWidth="1"/>
    <col min="9474" max="9474" width="44.28515625" style="65" bestFit="1" customWidth="1"/>
    <col min="9475" max="9475" width="10.42578125" style="65" bestFit="1" customWidth="1"/>
    <col min="9476" max="9476" width="10.42578125" style="65" customWidth="1"/>
    <col min="9477" max="9477" width="9.7109375" style="65" bestFit="1" customWidth="1"/>
    <col min="9478" max="9479" width="9.5703125" style="65" bestFit="1" customWidth="1"/>
    <col min="9480" max="9480" width="10.42578125" style="65" bestFit="1" customWidth="1"/>
    <col min="9481" max="9481" width="4.5703125" style="65" customWidth="1"/>
    <col min="9482" max="9482" width="1.85546875" style="65" customWidth="1"/>
    <col min="9483" max="9483" width="7" style="65" bestFit="1" customWidth="1"/>
    <col min="9484" max="9484" width="6.28515625" style="65" customWidth="1"/>
    <col min="9485" max="9485" width="20.42578125" style="65" customWidth="1"/>
    <col min="9486" max="9486" width="6.42578125" style="65" bestFit="1" customWidth="1"/>
    <col min="9487" max="9488" width="8.42578125" style="65"/>
    <col min="9489" max="9489" width="3.28515625" style="65" customWidth="1"/>
    <col min="9490" max="9728" width="8.42578125" style="65"/>
    <col min="9729" max="9729" width="10" style="65" bestFit="1" customWidth="1"/>
    <col min="9730" max="9730" width="44.28515625" style="65" bestFit="1" customWidth="1"/>
    <col min="9731" max="9731" width="10.42578125" style="65" bestFit="1" customWidth="1"/>
    <col min="9732" max="9732" width="10.42578125" style="65" customWidth="1"/>
    <col min="9733" max="9733" width="9.7109375" style="65" bestFit="1" customWidth="1"/>
    <col min="9734" max="9735" width="9.5703125" style="65" bestFit="1" customWidth="1"/>
    <col min="9736" max="9736" width="10.42578125" style="65" bestFit="1" customWidth="1"/>
    <col min="9737" max="9737" width="4.5703125" style="65" customWidth="1"/>
    <col min="9738" max="9738" width="1.85546875" style="65" customWidth="1"/>
    <col min="9739" max="9739" width="7" style="65" bestFit="1" customWidth="1"/>
    <col min="9740" max="9740" width="6.28515625" style="65" customWidth="1"/>
    <col min="9741" max="9741" width="20.42578125" style="65" customWidth="1"/>
    <col min="9742" max="9742" width="6.42578125" style="65" bestFit="1" customWidth="1"/>
    <col min="9743" max="9744" width="8.42578125" style="65"/>
    <col min="9745" max="9745" width="3.28515625" style="65" customWidth="1"/>
    <col min="9746" max="9984" width="8.42578125" style="65"/>
    <col min="9985" max="9985" width="10" style="65" bestFit="1" customWidth="1"/>
    <col min="9986" max="9986" width="44.28515625" style="65" bestFit="1" customWidth="1"/>
    <col min="9987" max="9987" width="10.42578125" style="65" bestFit="1" customWidth="1"/>
    <col min="9988" max="9988" width="10.42578125" style="65" customWidth="1"/>
    <col min="9989" max="9989" width="9.7109375" style="65" bestFit="1" customWidth="1"/>
    <col min="9990" max="9991" width="9.5703125" style="65" bestFit="1" customWidth="1"/>
    <col min="9992" max="9992" width="10.42578125" style="65" bestFit="1" customWidth="1"/>
    <col min="9993" max="9993" width="4.5703125" style="65" customWidth="1"/>
    <col min="9994" max="9994" width="1.85546875" style="65" customWidth="1"/>
    <col min="9995" max="9995" width="7" style="65" bestFit="1" customWidth="1"/>
    <col min="9996" max="9996" width="6.28515625" style="65" customWidth="1"/>
    <col min="9997" max="9997" width="20.42578125" style="65" customWidth="1"/>
    <col min="9998" max="9998" width="6.42578125" style="65" bestFit="1" customWidth="1"/>
    <col min="9999" max="10000" width="8.42578125" style="65"/>
    <col min="10001" max="10001" width="3.28515625" style="65" customWidth="1"/>
    <col min="10002" max="10240" width="8.42578125" style="65"/>
    <col min="10241" max="10241" width="10" style="65" bestFit="1" customWidth="1"/>
    <col min="10242" max="10242" width="44.28515625" style="65" bestFit="1" customWidth="1"/>
    <col min="10243" max="10243" width="10.42578125" style="65" bestFit="1" customWidth="1"/>
    <col min="10244" max="10244" width="10.42578125" style="65" customWidth="1"/>
    <col min="10245" max="10245" width="9.7109375" style="65" bestFit="1" customWidth="1"/>
    <col min="10246" max="10247" width="9.5703125" style="65" bestFit="1" customWidth="1"/>
    <col min="10248" max="10248" width="10.42578125" style="65" bestFit="1" customWidth="1"/>
    <col min="10249" max="10249" width="4.5703125" style="65" customWidth="1"/>
    <col min="10250" max="10250" width="1.85546875" style="65" customWidth="1"/>
    <col min="10251" max="10251" width="7" style="65" bestFit="1" customWidth="1"/>
    <col min="10252" max="10252" width="6.28515625" style="65" customWidth="1"/>
    <col min="10253" max="10253" width="20.42578125" style="65" customWidth="1"/>
    <col min="10254" max="10254" width="6.42578125" style="65" bestFit="1" customWidth="1"/>
    <col min="10255" max="10256" width="8.42578125" style="65"/>
    <col min="10257" max="10257" width="3.28515625" style="65" customWidth="1"/>
    <col min="10258" max="10496" width="8.42578125" style="65"/>
    <col min="10497" max="10497" width="10" style="65" bestFit="1" customWidth="1"/>
    <col min="10498" max="10498" width="44.28515625" style="65" bestFit="1" customWidth="1"/>
    <col min="10499" max="10499" width="10.42578125" style="65" bestFit="1" customWidth="1"/>
    <col min="10500" max="10500" width="10.42578125" style="65" customWidth="1"/>
    <col min="10501" max="10501" width="9.7109375" style="65" bestFit="1" customWidth="1"/>
    <col min="10502" max="10503" width="9.5703125" style="65" bestFit="1" customWidth="1"/>
    <col min="10504" max="10504" width="10.42578125" style="65" bestFit="1" customWidth="1"/>
    <col min="10505" max="10505" width="4.5703125" style="65" customWidth="1"/>
    <col min="10506" max="10506" width="1.85546875" style="65" customWidth="1"/>
    <col min="10507" max="10507" width="7" style="65" bestFit="1" customWidth="1"/>
    <col min="10508" max="10508" width="6.28515625" style="65" customWidth="1"/>
    <col min="10509" max="10509" width="20.42578125" style="65" customWidth="1"/>
    <col min="10510" max="10510" width="6.42578125" style="65" bestFit="1" customWidth="1"/>
    <col min="10511" max="10512" width="8.42578125" style="65"/>
    <col min="10513" max="10513" width="3.28515625" style="65" customWidth="1"/>
    <col min="10514" max="10752" width="8.42578125" style="65"/>
    <col min="10753" max="10753" width="10" style="65" bestFit="1" customWidth="1"/>
    <col min="10754" max="10754" width="44.28515625" style="65" bestFit="1" customWidth="1"/>
    <col min="10755" max="10755" width="10.42578125" style="65" bestFit="1" customWidth="1"/>
    <col min="10756" max="10756" width="10.42578125" style="65" customWidth="1"/>
    <col min="10757" max="10757" width="9.7109375" style="65" bestFit="1" customWidth="1"/>
    <col min="10758" max="10759" width="9.5703125" style="65" bestFit="1" customWidth="1"/>
    <col min="10760" max="10760" width="10.42578125" style="65" bestFit="1" customWidth="1"/>
    <col min="10761" max="10761" width="4.5703125" style="65" customWidth="1"/>
    <col min="10762" max="10762" width="1.85546875" style="65" customWidth="1"/>
    <col min="10763" max="10763" width="7" style="65" bestFit="1" customWidth="1"/>
    <col min="10764" max="10764" width="6.28515625" style="65" customWidth="1"/>
    <col min="10765" max="10765" width="20.42578125" style="65" customWidth="1"/>
    <col min="10766" max="10766" width="6.42578125" style="65" bestFit="1" customWidth="1"/>
    <col min="10767" max="10768" width="8.42578125" style="65"/>
    <col min="10769" max="10769" width="3.28515625" style="65" customWidth="1"/>
    <col min="10770" max="11008" width="8.42578125" style="65"/>
    <col min="11009" max="11009" width="10" style="65" bestFit="1" customWidth="1"/>
    <col min="11010" max="11010" width="44.28515625" style="65" bestFit="1" customWidth="1"/>
    <col min="11011" max="11011" width="10.42578125" style="65" bestFit="1" customWidth="1"/>
    <col min="11012" max="11012" width="10.42578125" style="65" customWidth="1"/>
    <col min="11013" max="11013" width="9.7109375" style="65" bestFit="1" customWidth="1"/>
    <col min="11014" max="11015" width="9.5703125" style="65" bestFit="1" customWidth="1"/>
    <col min="11016" max="11016" width="10.42578125" style="65" bestFit="1" customWidth="1"/>
    <col min="11017" max="11017" width="4.5703125" style="65" customWidth="1"/>
    <col min="11018" max="11018" width="1.85546875" style="65" customWidth="1"/>
    <col min="11019" max="11019" width="7" style="65" bestFit="1" customWidth="1"/>
    <col min="11020" max="11020" width="6.28515625" style="65" customWidth="1"/>
    <col min="11021" max="11021" width="20.42578125" style="65" customWidth="1"/>
    <col min="11022" max="11022" width="6.42578125" style="65" bestFit="1" customWidth="1"/>
    <col min="11023" max="11024" width="8.42578125" style="65"/>
    <col min="11025" max="11025" width="3.28515625" style="65" customWidth="1"/>
    <col min="11026" max="11264" width="8.42578125" style="65"/>
    <col min="11265" max="11265" width="10" style="65" bestFit="1" customWidth="1"/>
    <col min="11266" max="11266" width="44.28515625" style="65" bestFit="1" customWidth="1"/>
    <col min="11267" max="11267" width="10.42578125" style="65" bestFit="1" customWidth="1"/>
    <col min="11268" max="11268" width="10.42578125" style="65" customWidth="1"/>
    <col min="11269" max="11269" width="9.7109375" style="65" bestFit="1" customWidth="1"/>
    <col min="11270" max="11271" width="9.5703125" style="65" bestFit="1" customWidth="1"/>
    <col min="11272" max="11272" width="10.42578125" style="65" bestFit="1" customWidth="1"/>
    <col min="11273" max="11273" width="4.5703125" style="65" customWidth="1"/>
    <col min="11274" max="11274" width="1.85546875" style="65" customWidth="1"/>
    <col min="11275" max="11275" width="7" style="65" bestFit="1" customWidth="1"/>
    <col min="11276" max="11276" width="6.28515625" style="65" customWidth="1"/>
    <col min="11277" max="11277" width="20.42578125" style="65" customWidth="1"/>
    <col min="11278" max="11278" width="6.42578125" style="65" bestFit="1" customWidth="1"/>
    <col min="11279" max="11280" width="8.42578125" style="65"/>
    <col min="11281" max="11281" width="3.28515625" style="65" customWidth="1"/>
    <col min="11282" max="11520" width="8.42578125" style="65"/>
    <col min="11521" max="11521" width="10" style="65" bestFit="1" customWidth="1"/>
    <col min="11522" max="11522" width="44.28515625" style="65" bestFit="1" customWidth="1"/>
    <col min="11523" max="11523" width="10.42578125" style="65" bestFit="1" customWidth="1"/>
    <col min="11524" max="11524" width="10.42578125" style="65" customWidth="1"/>
    <col min="11525" max="11525" width="9.7109375" style="65" bestFit="1" customWidth="1"/>
    <col min="11526" max="11527" width="9.5703125" style="65" bestFit="1" customWidth="1"/>
    <col min="11528" max="11528" width="10.42578125" style="65" bestFit="1" customWidth="1"/>
    <col min="11529" max="11529" width="4.5703125" style="65" customWidth="1"/>
    <col min="11530" max="11530" width="1.85546875" style="65" customWidth="1"/>
    <col min="11531" max="11531" width="7" style="65" bestFit="1" customWidth="1"/>
    <col min="11532" max="11532" width="6.28515625" style="65" customWidth="1"/>
    <col min="11533" max="11533" width="20.42578125" style="65" customWidth="1"/>
    <col min="11534" max="11534" width="6.42578125" style="65" bestFit="1" customWidth="1"/>
    <col min="11535" max="11536" width="8.42578125" style="65"/>
    <col min="11537" max="11537" width="3.28515625" style="65" customWidth="1"/>
    <col min="11538" max="11776" width="8.42578125" style="65"/>
    <col min="11777" max="11777" width="10" style="65" bestFit="1" customWidth="1"/>
    <col min="11778" max="11778" width="44.28515625" style="65" bestFit="1" customWidth="1"/>
    <col min="11779" max="11779" width="10.42578125" style="65" bestFit="1" customWidth="1"/>
    <col min="11780" max="11780" width="10.42578125" style="65" customWidth="1"/>
    <col min="11781" max="11781" width="9.7109375" style="65" bestFit="1" customWidth="1"/>
    <col min="11782" max="11783" width="9.5703125" style="65" bestFit="1" customWidth="1"/>
    <col min="11784" max="11784" width="10.42578125" style="65" bestFit="1" customWidth="1"/>
    <col min="11785" max="11785" width="4.5703125" style="65" customWidth="1"/>
    <col min="11786" max="11786" width="1.85546875" style="65" customWidth="1"/>
    <col min="11787" max="11787" width="7" style="65" bestFit="1" customWidth="1"/>
    <col min="11788" max="11788" width="6.28515625" style="65" customWidth="1"/>
    <col min="11789" max="11789" width="20.42578125" style="65" customWidth="1"/>
    <col min="11790" max="11790" width="6.42578125" style="65" bestFit="1" customWidth="1"/>
    <col min="11791" max="11792" width="8.42578125" style="65"/>
    <col min="11793" max="11793" width="3.28515625" style="65" customWidth="1"/>
    <col min="11794" max="12032" width="8.42578125" style="65"/>
    <col min="12033" max="12033" width="10" style="65" bestFit="1" customWidth="1"/>
    <col min="12034" max="12034" width="44.28515625" style="65" bestFit="1" customWidth="1"/>
    <col min="12035" max="12035" width="10.42578125" style="65" bestFit="1" customWidth="1"/>
    <col min="12036" max="12036" width="10.42578125" style="65" customWidth="1"/>
    <col min="12037" max="12037" width="9.7109375" style="65" bestFit="1" customWidth="1"/>
    <col min="12038" max="12039" width="9.5703125" style="65" bestFit="1" customWidth="1"/>
    <col min="12040" max="12040" width="10.42578125" style="65" bestFit="1" customWidth="1"/>
    <col min="12041" max="12041" width="4.5703125" style="65" customWidth="1"/>
    <col min="12042" max="12042" width="1.85546875" style="65" customWidth="1"/>
    <col min="12043" max="12043" width="7" style="65" bestFit="1" customWidth="1"/>
    <col min="12044" max="12044" width="6.28515625" style="65" customWidth="1"/>
    <col min="12045" max="12045" width="20.42578125" style="65" customWidth="1"/>
    <col min="12046" max="12046" width="6.42578125" style="65" bestFit="1" customWidth="1"/>
    <col min="12047" max="12048" width="8.42578125" style="65"/>
    <col min="12049" max="12049" width="3.28515625" style="65" customWidth="1"/>
    <col min="12050" max="12288" width="8.42578125" style="65"/>
    <col min="12289" max="12289" width="10" style="65" bestFit="1" customWidth="1"/>
    <col min="12290" max="12290" width="44.28515625" style="65" bestFit="1" customWidth="1"/>
    <col min="12291" max="12291" width="10.42578125" style="65" bestFit="1" customWidth="1"/>
    <col min="12292" max="12292" width="10.42578125" style="65" customWidth="1"/>
    <col min="12293" max="12293" width="9.7109375" style="65" bestFit="1" customWidth="1"/>
    <col min="12294" max="12295" width="9.5703125" style="65" bestFit="1" customWidth="1"/>
    <col min="12296" max="12296" width="10.42578125" style="65" bestFit="1" customWidth="1"/>
    <col min="12297" max="12297" width="4.5703125" style="65" customWidth="1"/>
    <col min="12298" max="12298" width="1.85546875" style="65" customWidth="1"/>
    <col min="12299" max="12299" width="7" style="65" bestFit="1" customWidth="1"/>
    <col min="12300" max="12300" width="6.28515625" style="65" customWidth="1"/>
    <col min="12301" max="12301" width="20.42578125" style="65" customWidth="1"/>
    <col min="12302" max="12302" width="6.42578125" style="65" bestFit="1" customWidth="1"/>
    <col min="12303" max="12304" width="8.42578125" style="65"/>
    <col min="12305" max="12305" width="3.28515625" style="65" customWidth="1"/>
    <col min="12306" max="12544" width="8.42578125" style="65"/>
    <col min="12545" max="12545" width="10" style="65" bestFit="1" customWidth="1"/>
    <col min="12546" max="12546" width="44.28515625" style="65" bestFit="1" customWidth="1"/>
    <col min="12547" max="12547" width="10.42578125" style="65" bestFit="1" customWidth="1"/>
    <col min="12548" max="12548" width="10.42578125" style="65" customWidth="1"/>
    <col min="12549" max="12549" width="9.7109375" style="65" bestFit="1" customWidth="1"/>
    <col min="12550" max="12551" width="9.5703125" style="65" bestFit="1" customWidth="1"/>
    <col min="12552" max="12552" width="10.42578125" style="65" bestFit="1" customWidth="1"/>
    <col min="12553" max="12553" width="4.5703125" style="65" customWidth="1"/>
    <col min="12554" max="12554" width="1.85546875" style="65" customWidth="1"/>
    <col min="12555" max="12555" width="7" style="65" bestFit="1" customWidth="1"/>
    <col min="12556" max="12556" width="6.28515625" style="65" customWidth="1"/>
    <col min="12557" max="12557" width="20.42578125" style="65" customWidth="1"/>
    <col min="12558" max="12558" width="6.42578125" style="65" bestFit="1" customWidth="1"/>
    <col min="12559" max="12560" width="8.42578125" style="65"/>
    <col min="12561" max="12561" width="3.28515625" style="65" customWidth="1"/>
    <col min="12562" max="12800" width="8.42578125" style="65"/>
    <col min="12801" max="12801" width="10" style="65" bestFit="1" customWidth="1"/>
    <col min="12802" max="12802" width="44.28515625" style="65" bestFit="1" customWidth="1"/>
    <col min="12803" max="12803" width="10.42578125" style="65" bestFit="1" customWidth="1"/>
    <col min="12804" max="12804" width="10.42578125" style="65" customWidth="1"/>
    <col min="12805" max="12805" width="9.7109375" style="65" bestFit="1" customWidth="1"/>
    <col min="12806" max="12807" width="9.5703125" style="65" bestFit="1" customWidth="1"/>
    <col min="12808" max="12808" width="10.42578125" style="65" bestFit="1" customWidth="1"/>
    <col min="12809" max="12809" width="4.5703125" style="65" customWidth="1"/>
    <col min="12810" max="12810" width="1.85546875" style="65" customWidth="1"/>
    <col min="12811" max="12811" width="7" style="65" bestFit="1" customWidth="1"/>
    <col min="12812" max="12812" width="6.28515625" style="65" customWidth="1"/>
    <col min="12813" max="12813" width="20.42578125" style="65" customWidth="1"/>
    <col min="12814" max="12814" width="6.42578125" style="65" bestFit="1" customWidth="1"/>
    <col min="12815" max="12816" width="8.42578125" style="65"/>
    <col min="12817" max="12817" width="3.28515625" style="65" customWidth="1"/>
    <col min="12818" max="13056" width="8.42578125" style="65"/>
    <col min="13057" max="13057" width="10" style="65" bestFit="1" customWidth="1"/>
    <col min="13058" max="13058" width="44.28515625" style="65" bestFit="1" customWidth="1"/>
    <col min="13059" max="13059" width="10.42578125" style="65" bestFit="1" customWidth="1"/>
    <col min="13060" max="13060" width="10.42578125" style="65" customWidth="1"/>
    <col min="13061" max="13061" width="9.7109375" style="65" bestFit="1" customWidth="1"/>
    <col min="13062" max="13063" width="9.5703125" style="65" bestFit="1" customWidth="1"/>
    <col min="13064" max="13064" width="10.42578125" style="65" bestFit="1" customWidth="1"/>
    <col min="13065" max="13065" width="4.5703125" style="65" customWidth="1"/>
    <col min="13066" max="13066" width="1.85546875" style="65" customWidth="1"/>
    <col min="13067" max="13067" width="7" style="65" bestFit="1" customWidth="1"/>
    <col min="13068" max="13068" width="6.28515625" style="65" customWidth="1"/>
    <col min="13069" max="13069" width="20.42578125" style="65" customWidth="1"/>
    <col min="13070" max="13070" width="6.42578125" style="65" bestFit="1" customWidth="1"/>
    <col min="13071" max="13072" width="8.42578125" style="65"/>
    <col min="13073" max="13073" width="3.28515625" style="65" customWidth="1"/>
    <col min="13074" max="13312" width="8.42578125" style="65"/>
    <col min="13313" max="13313" width="10" style="65" bestFit="1" customWidth="1"/>
    <col min="13314" max="13314" width="44.28515625" style="65" bestFit="1" customWidth="1"/>
    <col min="13315" max="13315" width="10.42578125" style="65" bestFit="1" customWidth="1"/>
    <col min="13316" max="13316" width="10.42578125" style="65" customWidth="1"/>
    <col min="13317" max="13317" width="9.7109375" style="65" bestFit="1" customWidth="1"/>
    <col min="13318" max="13319" width="9.5703125" style="65" bestFit="1" customWidth="1"/>
    <col min="13320" max="13320" width="10.42578125" style="65" bestFit="1" customWidth="1"/>
    <col min="13321" max="13321" width="4.5703125" style="65" customWidth="1"/>
    <col min="13322" max="13322" width="1.85546875" style="65" customWidth="1"/>
    <col min="13323" max="13323" width="7" style="65" bestFit="1" customWidth="1"/>
    <col min="13324" max="13324" width="6.28515625" style="65" customWidth="1"/>
    <col min="13325" max="13325" width="20.42578125" style="65" customWidth="1"/>
    <col min="13326" max="13326" width="6.42578125" style="65" bestFit="1" customWidth="1"/>
    <col min="13327" max="13328" width="8.42578125" style="65"/>
    <col min="13329" max="13329" width="3.28515625" style="65" customWidth="1"/>
    <col min="13330" max="13568" width="8.42578125" style="65"/>
    <col min="13569" max="13569" width="10" style="65" bestFit="1" customWidth="1"/>
    <col min="13570" max="13570" width="44.28515625" style="65" bestFit="1" customWidth="1"/>
    <col min="13571" max="13571" width="10.42578125" style="65" bestFit="1" customWidth="1"/>
    <col min="13572" max="13572" width="10.42578125" style="65" customWidth="1"/>
    <col min="13573" max="13573" width="9.7109375" style="65" bestFit="1" customWidth="1"/>
    <col min="13574" max="13575" width="9.5703125" style="65" bestFit="1" customWidth="1"/>
    <col min="13576" max="13576" width="10.42578125" style="65" bestFit="1" customWidth="1"/>
    <col min="13577" max="13577" width="4.5703125" style="65" customWidth="1"/>
    <col min="13578" max="13578" width="1.85546875" style="65" customWidth="1"/>
    <col min="13579" max="13579" width="7" style="65" bestFit="1" customWidth="1"/>
    <col min="13580" max="13580" width="6.28515625" style="65" customWidth="1"/>
    <col min="13581" max="13581" width="20.42578125" style="65" customWidth="1"/>
    <col min="13582" max="13582" width="6.42578125" style="65" bestFit="1" customWidth="1"/>
    <col min="13583" max="13584" width="8.42578125" style="65"/>
    <col min="13585" max="13585" width="3.28515625" style="65" customWidth="1"/>
    <col min="13586" max="13824" width="8.42578125" style="65"/>
    <col min="13825" max="13825" width="10" style="65" bestFit="1" customWidth="1"/>
    <col min="13826" max="13826" width="44.28515625" style="65" bestFit="1" customWidth="1"/>
    <col min="13827" max="13827" width="10.42578125" style="65" bestFit="1" customWidth="1"/>
    <col min="13828" max="13828" width="10.42578125" style="65" customWidth="1"/>
    <col min="13829" max="13829" width="9.7109375" style="65" bestFit="1" customWidth="1"/>
    <col min="13830" max="13831" width="9.5703125" style="65" bestFit="1" customWidth="1"/>
    <col min="13832" max="13832" width="10.42578125" style="65" bestFit="1" customWidth="1"/>
    <col min="13833" max="13833" width="4.5703125" style="65" customWidth="1"/>
    <col min="13834" max="13834" width="1.85546875" style="65" customWidth="1"/>
    <col min="13835" max="13835" width="7" style="65" bestFit="1" customWidth="1"/>
    <col min="13836" max="13836" width="6.28515625" style="65" customWidth="1"/>
    <col min="13837" max="13837" width="20.42578125" style="65" customWidth="1"/>
    <col min="13838" max="13838" width="6.42578125" style="65" bestFit="1" customWidth="1"/>
    <col min="13839" max="13840" width="8.42578125" style="65"/>
    <col min="13841" max="13841" width="3.28515625" style="65" customWidth="1"/>
    <col min="13842" max="14080" width="8.42578125" style="65"/>
    <col min="14081" max="14081" width="10" style="65" bestFit="1" customWidth="1"/>
    <col min="14082" max="14082" width="44.28515625" style="65" bestFit="1" customWidth="1"/>
    <col min="14083" max="14083" width="10.42578125" style="65" bestFit="1" customWidth="1"/>
    <col min="14084" max="14084" width="10.42578125" style="65" customWidth="1"/>
    <col min="14085" max="14085" width="9.7109375" style="65" bestFit="1" customWidth="1"/>
    <col min="14086" max="14087" width="9.5703125" style="65" bestFit="1" customWidth="1"/>
    <col min="14088" max="14088" width="10.42578125" style="65" bestFit="1" customWidth="1"/>
    <col min="14089" max="14089" width="4.5703125" style="65" customWidth="1"/>
    <col min="14090" max="14090" width="1.85546875" style="65" customWidth="1"/>
    <col min="14091" max="14091" width="7" style="65" bestFit="1" customWidth="1"/>
    <col min="14092" max="14092" width="6.28515625" style="65" customWidth="1"/>
    <col min="14093" max="14093" width="20.42578125" style="65" customWidth="1"/>
    <col min="14094" max="14094" width="6.42578125" style="65" bestFit="1" customWidth="1"/>
    <col min="14095" max="14096" width="8.42578125" style="65"/>
    <col min="14097" max="14097" width="3.28515625" style="65" customWidth="1"/>
    <col min="14098" max="14336" width="8.42578125" style="65"/>
    <col min="14337" max="14337" width="10" style="65" bestFit="1" customWidth="1"/>
    <col min="14338" max="14338" width="44.28515625" style="65" bestFit="1" customWidth="1"/>
    <col min="14339" max="14339" width="10.42578125" style="65" bestFit="1" customWidth="1"/>
    <col min="14340" max="14340" width="10.42578125" style="65" customWidth="1"/>
    <col min="14341" max="14341" width="9.7109375" style="65" bestFit="1" customWidth="1"/>
    <col min="14342" max="14343" width="9.5703125" style="65" bestFit="1" customWidth="1"/>
    <col min="14344" max="14344" width="10.42578125" style="65" bestFit="1" customWidth="1"/>
    <col min="14345" max="14345" width="4.5703125" style="65" customWidth="1"/>
    <col min="14346" max="14346" width="1.85546875" style="65" customWidth="1"/>
    <col min="14347" max="14347" width="7" style="65" bestFit="1" customWidth="1"/>
    <col min="14348" max="14348" width="6.28515625" style="65" customWidth="1"/>
    <col min="14349" max="14349" width="20.42578125" style="65" customWidth="1"/>
    <col min="14350" max="14350" width="6.42578125" style="65" bestFit="1" customWidth="1"/>
    <col min="14351" max="14352" width="8.42578125" style="65"/>
    <col min="14353" max="14353" width="3.28515625" style="65" customWidth="1"/>
    <col min="14354" max="14592" width="8.42578125" style="65"/>
    <col min="14593" max="14593" width="10" style="65" bestFit="1" customWidth="1"/>
    <col min="14594" max="14594" width="44.28515625" style="65" bestFit="1" customWidth="1"/>
    <col min="14595" max="14595" width="10.42578125" style="65" bestFit="1" customWidth="1"/>
    <col min="14596" max="14596" width="10.42578125" style="65" customWidth="1"/>
    <col min="14597" max="14597" width="9.7109375" style="65" bestFit="1" customWidth="1"/>
    <col min="14598" max="14599" width="9.5703125" style="65" bestFit="1" customWidth="1"/>
    <col min="14600" max="14600" width="10.42578125" style="65" bestFit="1" customWidth="1"/>
    <col min="14601" max="14601" width="4.5703125" style="65" customWidth="1"/>
    <col min="14602" max="14602" width="1.85546875" style="65" customWidth="1"/>
    <col min="14603" max="14603" width="7" style="65" bestFit="1" customWidth="1"/>
    <col min="14604" max="14604" width="6.28515625" style="65" customWidth="1"/>
    <col min="14605" max="14605" width="20.42578125" style="65" customWidth="1"/>
    <col min="14606" max="14606" width="6.42578125" style="65" bestFit="1" customWidth="1"/>
    <col min="14607" max="14608" width="8.42578125" style="65"/>
    <col min="14609" max="14609" width="3.28515625" style="65" customWidth="1"/>
    <col min="14610" max="14848" width="8.42578125" style="65"/>
    <col min="14849" max="14849" width="10" style="65" bestFit="1" customWidth="1"/>
    <col min="14850" max="14850" width="44.28515625" style="65" bestFit="1" customWidth="1"/>
    <col min="14851" max="14851" width="10.42578125" style="65" bestFit="1" customWidth="1"/>
    <col min="14852" max="14852" width="10.42578125" style="65" customWidth="1"/>
    <col min="14853" max="14853" width="9.7109375" style="65" bestFit="1" customWidth="1"/>
    <col min="14854" max="14855" width="9.5703125" style="65" bestFit="1" customWidth="1"/>
    <col min="14856" max="14856" width="10.42578125" style="65" bestFit="1" customWidth="1"/>
    <col min="14857" max="14857" width="4.5703125" style="65" customWidth="1"/>
    <col min="14858" max="14858" width="1.85546875" style="65" customWidth="1"/>
    <col min="14859" max="14859" width="7" style="65" bestFit="1" customWidth="1"/>
    <col min="14860" max="14860" width="6.28515625" style="65" customWidth="1"/>
    <col min="14861" max="14861" width="20.42578125" style="65" customWidth="1"/>
    <col min="14862" max="14862" width="6.42578125" style="65" bestFit="1" customWidth="1"/>
    <col min="14863" max="14864" width="8.42578125" style="65"/>
    <col min="14865" max="14865" width="3.28515625" style="65" customWidth="1"/>
    <col min="14866" max="15104" width="8.42578125" style="65"/>
    <col min="15105" max="15105" width="10" style="65" bestFit="1" customWidth="1"/>
    <col min="15106" max="15106" width="44.28515625" style="65" bestFit="1" customWidth="1"/>
    <col min="15107" max="15107" width="10.42578125" style="65" bestFit="1" customWidth="1"/>
    <col min="15108" max="15108" width="10.42578125" style="65" customWidth="1"/>
    <col min="15109" max="15109" width="9.7109375" style="65" bestFit="1" customWidth="1"/>
    <col min="15110" max="15111" width="9.5703125" style="65" bestFit="1" customWidth="1"/>
    <col min="15112" max="15112" width="10.42578125" style="65" bestFit="1" customWidth="1"/>
    <col min="15113" max="15113" width="4.5703125" style="65" customWidth="1"/>
    <col min="15114" max="15114" width="1.85546875" style="65" customWidth="1"/>
    <col min="15115" max="15115" width="7" style="65" bestFit="1" customWidth="1"/>
    <col min="15116" max="15116" width="6.28515625" style="65" customWidth="1"/>
    <col min="15117" max="15117" width="20.42578125" style="65" customWidth="1"/>
    <col min="15118" max="15118" width="6.42578125" style="65" bestFit="1" customWidth="1"/>
    <col min="15119" max="15120" width="8.42578125" style="65"/>
    <col min="15121" max="15121" width="3.28515625" style="65" customWidth="1"/>
    <col min="15122" max="15360" width="8.42578125" style="65"/>
    <col min="15361" max="15361" width="10" style="65" bestFit="1" customWidth="1"/>
    <col min="15362" max="15362" width="44.28515625" style="65" bestFit="1" customWidth="1"/>
    <col min="15363" max="15363" width="10.42578125" style="65" bestFit="1" customWidth="1"/>
    <col min="15364" max="15364" width="10.42578125" style="65" customWidth="1"/>
    <col min="15365" max="15365" width="9.7109375" style="65" bestFit="1" customWidth="1"/>
    <col min="15366" max="15367" width="9.5703125" style="65" bestFit="1" customWidth="1"/>
    <col min="15368" max="15368" width="10.42578125" style="65" bestFit="1" customWidth="1"/>
    <col min="15369" max="15369" width="4.5703125" style="65" customWidth="1"/>
    <col min="15370" max="15370" width="1.85546875" style="65" customWidth="1"/>
    <col min="15371" max="15371" width="7" style="65" bestFit="1" customWidth="1"/>
    <col min="15372" max="15372" width="6.28515625" style="65" customWidth="1"/>
    <col min="15373" max="15373" width="20.42578125" style="65" customWidth="1"/>
    <col min="15374" max="15374" width="6.42578125" style="65" bestFit="1" customWidth="1"/>
    <col min="15375" max="15376" width="8.42578125" style="65"/>
    <col min="15377" max="15377" width="3.28515625" style="65" customWidth="1"/>
    <col min="15378" max="15616" width="8.42578125" style="65"/>
    <col min="15617" max="15617" width="10" style="65" bestFit="1" customWidth="1"/>
    <col min="15618" max="15618" width="44.28515625" style="65" bestFit="1" customWidth="1"/>
    <col min="15619" max="15619" width="10.42578125" style="65" bestFit="1" customWidth="1"/>
    <col min="15620" max="15620" width="10.42578125" style="65" customWidth="1"/>
    <col min="15621" max="15621" width="9.7109375" style="65" bestFit="1" customWidth="1"/>
    <col min="15622" max="15623" width="9.5703125" style="65" bestFit="1" customWidth="1"/>
    <col min="15624" max="15624" width="10.42578125" style="65" bestFit="1" customWidth="1"/>
    <col min="15625" max="15625" width="4.5703125" style="65" customWidth="1"/>
    <col min="15626" max="15626" width="1.85546875" style="65" customWidth="1"/>
    <col min="15627" max="15627" width="7" style="65" bestFit="1" customWidth="1"/>
    <col min="15628" max="15628" width="6.28515625" style="65" customWidth="1"/>
    <col min="15629" max="15629" width="20.42578125" style="65" customWidth="1"/>
    <col min="15630" max="15630" width="6.42578125" style="65" bestFit="1" customWidth="1"/>
    <col min="15631" max="15632" width="8.42578125" style="65"/>
    <col min="15633" max="15633" width="3.28515625" style="65" customWidth="1"/>
    <col min="15634" max="15872" width="8.42578125" style="65"/>
    <col min="15873" max="15873" width="10" style="65" bestFit="1" customWidth="1"/>
    <col min="15874" max="15874" width="44.28515625" style="65" bestFit="1" customWidth="1"/>
    <col min="15875" max="15875" width="10.42578125" style="65" bestFit="1" customWidth="1"/>
    <col min="15876" max="15876" width="10.42578125" style="65" customWidth="1"/>
    <col min="15877" max="15877" width="9.7109375" style="65" bestFit="1" customWidth="1"/>
    <col min="15878" max="15879" width="9.5703125" style="65" bestFit="1" customWidth="1"/>
    <col min="15880" max="15880" width="10.42578125" style="65" bestFit="1" customWidth="1"/>
    <col min="15881" max="15881" width="4.5703125" style="65" customWidth="1"/>
    <col min="15882" max="15882" width="1.85546875" style="65" customWidth="1"/>
    <col min="15883" max="15883" width="7" style="65" bestFit="1" customWidth="1"/>
    <col min="15884" max="15884" width="6.28515625" style="65" customWidth="1"/>
    <col min="15885" max="15885" width="20.42578125" style="65" customWidth="1"/>
    <col min="15886" max="15886" width="6.42578125" style="65" bestFit="1" customWidth="1"/>
    <col min="15887" max="15888" width="8.42578125" style="65"/>
    <col min="15889" max="15889" width="3.28515625" style="65" customWidth="1"/>
    <col min="15890" max="16128" width="8.42578125" style="65"/>
    <col min="16129" max="16129" width="10" style="65" bestFit="1" customWidth="1"/>
    <col min="16130" max="16130" width="44.28515625" style="65" bestFit="1" customWidth="1"/>
    <col min="16131" max="16131" width="10.42578125" style="65" bestFit="1" customWidth="1"/>
    <col min="16132" max="16132" width="10.42578125" style="65" customWidth="1"/>
    <col min="16133" max="16133" width="9.7109375" style="65" bestFit="1" customWidth="1"/>
    <col min="16134" max="16135" width="9.5703125" style="65" bestFit="1" customWidth="1"/>
    <col min="16136" max="16136" width="10.42578125" style="65" bestFit="1" customWidth="1"/>
    <col min="16137" max="16137" width="4.5703125" style="65" customWidth="1"/>
    <col min="16138" max="16138" width="1.85546875" style="65" customWidth="1"/>
    <col min="16139" max="16139" width="7" style="65" bestFit="1" customWidth="1"/>
    <col min="16140" max="16140" width="6.28515625" style="65" customWidth="1"/>
    <col min="16141" max="16141" width="20.42578125" style="65" customWidth="1"/>
    <col min="16142" max="16142" width="6.42578125" style="65" bestFit="1" customWidth="1"/>
    <col min="16143" max="16144" width="8.42578125" style="65"/>
    <col min="16145" max="16145" width="3.28515625" style="65" customWidth="1"/>
    <col min="16146" max="16384" width="8.42578125" style="65"/>
  </cols>
  <sheetData>
    <row r="1" spans="1:10" ht="27.75" customHeight="1" x14ac:dyDescent="0.25">
      <c r="A1" s="60"/>
      <c r="B1" s="60"/>
      <c r="C1" s="60"/>
      <c r="D1" s="60"/>
      <c r="E1" s="61" t="s">
        <v>95</v>
      </c>
      <c r="F1" s="62" t="s">
        <v>96</v>
      </c>
      <c r="G1" s="62" t="s">
        <v>97</v>
      </c>
      <c r="H1" s="62" t="s">
        <v>98</v>
      </c>
      <c r="I1" s="63"/>
    </row>
    <row r="2" spans="1:10" ht="30.75" customHeight="1" x14ac:dyDescent="0.25">
      <c r="A2" s="60"/>
      <c r="B2" s="60"/>
      <c r="C2" s="60"/>
      <c r="D2" s="60"/>
      <c r="E2" s="66">
        <f>IFERROR(O62,"")</f>
        <v>3962.6447500000004</v>
      </c>
      <c r="F2" s="66">
        <f>IFERROR(H53,"")</f>
        <v>2572.2847500000003</v>
      </c>
      <c r="G2" s="66">
        <f>IFERROR(H54,"")</f>
        <v>50.86</v>
      </c>
      <c r="H2" s="66">
        <f>IFERROR(H56,"")</f>
        <v>731.5</v>
      </c>
      <c r="I2" s="67"/>
    </row>
    <row r="3" spans="1:10" ht="15" customHeight="1" x14ac:dyDescent="0.25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3">
      <c r="A4" s="646"/>
      <c r="B4" s="646"/>
      <c r="C4" s="646"/>
      <c r="D4" s="646"/>
      <c r="E4" s="646"/>
      <c r="F4" s="646"/>
      <c r="G4" s="646"/>
      <c r="H4" s="646"/>
      <c r="I4" s="69"/>
    </row>
    <row r="5" spans="1:10" ht="19.5" customHeight="1" thickBot="1" x14ac:dyDescent="0.3">
      <c r="A5" s="647" t="s">
        <v>99</v>
      </c>
      <c r="B5" s="648"/>
      <c r="C5" s="648"/>
      <c r="D5" s="648"/>
      <c r="E5" s="648"/>
      <c r="F5" s="648"/>
      <c r="G5" s="648"/>
      <c r="H5" s="649"/>
      <c r="I5" s="70"/>
    </row>
    <row r="6" spans="1:10" ht="19.5" thickBot="1" x14ac:dyDescent="0.3">
      <c r="A6" s="70"/>
      <c r="B6" s="70"/>
      <c r="C6" s="70"/>
      <c r="D6" s="70"/>
      <c r="E6" s="70"/>
      <c r="F6" s="650" t="s">
        <v>100</v>
      </c>
      <c r="G6" s="650"/>
      <c r="H6" s="71">
        <f ca="1">TODAY()</f>
        <v>46064</v>
      </c>
      <c r="I6" s="71"/>
    </row>
    <row r="7" spans="1:10" ht="26.25" hidden="1" thickBot="1" x14ac:dyDescent="0.3">
      <c r="A7" s="72" t="s">
        <v>101</v>
      </c>
      <c r="B7" s="73" t="s">
        <v>102</v>
      </c>
      <c r="C7" s="73" t="s">
        <v>101</v>
      </c>
      <c r="D7" s="74" t="s">
        <v>103</v>
      </c>
      <c r="E7" s="74" t="s">
        <v>104</v>
      </c>
      <c r="F7" s="74" t="s">
        <v>105</v>
      </c>
      <c r="G7" s="74" t="s">
        <v>106</v>
      </c>
      <c r="H7" s="75" t="s">
        <v>107</v>
      </c>
      <c r="I7" s="76"/>
    </row>
    <row r="8" spans="1:10" ht="13.5" hidden="1" x14ac:dyDescent="0.25">
      <c r="A8" s="77"/>
      <c r="B8" s="65" t="str">
        <f>IFERROR(VLOOKUP(H8,'[1]Consolidado MP Planta'!$A$2:$M$823,3,0),"")</f>
        <v/>
      </c>
      <c r="C8" s="78">
        <f>+A8</f>
        <v>0</v>
      </c>
      <c r="D8" s="79" t="str">
        <f>IFERROR(VLOOKUP(H8,'[1]Consolidado MP Planta'!$A$2:$M$823,13,0),"")</f>
        <v/>
      </c>
      <c r="E8" s="79" t="str">
        <f>IFERROR(VLOOKUP(H8,'[1]Consolidado MP Planta'!$A$2:$M$823,12,0),"")</f>
        <v/>
      </c>
      <c r="F8" s="79" t="str">
        <f>IFERROR(C8*E8,"")</f>
        <v/>
      </c>
      <c r="G8" s="80" t="str">
        <f t="shared" ref="G8:G14" si="0">IFERROR(F8/$F$66,"")</f>
        <v/>
      </c>
      <c r="H8" s="81"/>
      <c r="I8" s="81"/>
      <c r="J8" s="82"/>
    </row>
    <row r="9" spans="1:10" ht="13.5" hidden="1" x14ac:dyDescent="0.25">
      <c r="A9" s="77"/>
      <c r="B9" s="65" t="str">
        <f>IFERROR(VLOOKUP(H9,'[1]Consolidado MP Planta'!$A$2:$M$823,3,0),"")</f>
        <v/>
      </c>
      <c r="C9" s="78">
        <f t="shared" ref="C9:C14" si="1">+A9</f>
        <v>0</v>
      </c>
      <c r="D9" s="79" t="str">
        <f>IFERROR(VLOOKUP(H9,'[1]Consolidado MP Planta'!$A$2:$M$823,13,0),"")</f>
        <v/>
      </c>
      <c r="E9" s="79" t="str">
        <f>IFERROR(VLOOKUP(H9,'[1]Consolidado MP Planta'!$A$2:$M$823,12,0),"")</f>
        <v/>
      </c>
      <c r="F9" s="79" t="str">
        <f t="shared" ref="F9:F14" si="2">IFERROR(C9*E9,"")</f>
        <v/>
      </c>
      <c r="G9" s="80" t="str">
        <f t="shared" si="0"/>
        <v/>
      </c>
      <c r="H9" s="81"/>
      <c r="I9" s="81"/>
      <c r="J9" s="82"/>
    </row>
    <row r="10" spans="1:10" ht="13.5" hidden="1" x14ac:dyDescent="0.25">
      <c r="A10" s="77"/>
      <c r="B10" s="65" t="str">
        <f>IFERROR(VLOOKUP(H10,'[1]Consolidado MP Planta'!$A$2:$M$823,3,0),"")</f>
        <v/>
      </c>
      <c r="C10" s="78">
        <f t="shared" si="1"/>
        <v>0</v>
      </c>
      <c r="D10" s="79" t="str">
        <f>IFERROR(VLOOKUP(H10,'[1]Consolidado MP Planta'!$A$2:$M$823,13,0),"")</f>
        <v/>
      </c>
      <c r="E10" s="79" t="str">
        <f>IFERROR(VLOOKUP(H10,'[1]Consolidado MP Planta'!$A$2:$M$823,12,0),"")</f>
        <v/>
      </c>
      <c r="F10" s="79" t="str">
        <f t="shared" si="2"/>
        <v/>
      </c>
      <c r="G10" s="80" t="str">
        <f t="shared" si="0"/>
        <v/>
      </c>
      <c r="H10" s="81"/>
      <c r="I10" s="81"/>
      <c r="J10" s="82"/>
    </row>
    <row r="11" spans="1:10" ht="13.5" hidden="1" x14ac:dyDescent="0.25">
      <c r="A11" s="77"/>
      <c r="B11" s="65" t="str">
        <f>IFERROR(VLOOKUP(H11,'[1]Consolidado MP Planta'!$A$2:$M$823,3,0),"")</f>
        <v/>
      </c>
      <c r="C11" s="78">
        <f t="shared" si="1"/>
        <v>0</v>
      </c>
      <c r="D11" s="79" t="str">
        <f>IFERROR(VLOOKUP(H11,'[1]Consolidado MP Planta'!$A$2:$M$823,13,0),"")</f>
        <v/>
      </c>
      <c r="E11" s="79" t="str">
        <f>IFERROR(VLOOKUP(H11,'[1]Consolidado MP Planta'!$A$2:$M$823,12,0),"")</f>
        <v/>
      </c>
      <c r="F11" s="79" t="str">
        <f t="shared" si="2"/>
        <v/>
      </c>
      <c r="G11" s="80" t="str">
        <f t="shared" si="0"/>
        <v/>
      </c>
      <c r="H11" s="81"/>
      <c r="I11" s="81"/>
      <c r="J11" s="82"/>
    </row>
    <row r="12" spans="1:10" ht="13.5" hidden="1" x14ac:dyDescent="0.25">
      <c r="A12" s="77"/>
      <c r="B12" s="65" t="str">
        <f>IFERROR(VLOOKUP(H12,'[1]Consolidado MP Planta'!$A$2:$M$823,3,0),"")</f>
        <v/>
      </c>
      <c r="C12" s="78">
        <f t="shared" si="1"/>
        <v>0</v>
      </c>
      <c r="D12" s="79" t="str">
        <f>IFERROR(VLOOKUP(H12,'[1]Consolidado MP Planta'!$A$2:$M$823,13,0),"")</f>
        <v/>
      </c>
      <c r="E12" s="79" t="str">
        <f>IFERROR(VLOOKUP(H12,'[1]Consolidado MP Planta'!$A$2:$M$823,12,0),"")</f>
        <v/>
      </c>
      <c r="F12" s="79" t="str">
        <f t="shared" si="2"/>
        <v/>
      </c>
      <c r="G12" s="80" t="str">
        <f t="shared" si="0"/>
        <v/>
      </c>
      <c r="H12" s="81"/>
      <c r="I12" s="81"/>
      <c r="J12" s="82"/>
    </row>
    <row r="13" spans="1:10" ht="13.5" hidden="1" x14ac:dyDescent="0.25">
      <c r="A13" s="77"/>
      <c r="B13" s="65" t="str">
        <f>IFERROR(VLOOKUP(H13,'[1]Consolidado MP Planta'!$A$2:$M$823,3,0),"")</f>
        <v/>
      </c>
      <c r="C13" s="78">
        <f t="shared" si="1"/>
        <v>0</v>
      </c>
      <c r="D13" s="79" t="str">
        <f>IFERROR(VLOOKUP(H13,'[1]Consolidado MP Planta'!$A$2:$M$823,13,0),"")</f>
        <v/>
      </c>
      <c r="E13" s="79" t="str">
        <f>IFERROR(VLOOKUP(H13,'[1]Consolidado MP Planta'!$A$2:$M$823,12,0),"")</f>
        <v/>
      </c>
      <c r="F13" s="79" t="str">
        <f t="shared" si="2"/>
        <v/>
      </c>
      <c r="G13" s="80" t="str">
        <f t="shared" si="0"/>
        <v/>
      </c>
      <c r="H13" s="81"/>
      <c r="I13" s="81"/>
      <c r="J13" s="82"/>
    </row>
    <row r="14" spans="1:10" ht="13.5" hidden="1" x14ac:dyDescent="0.25">
      <c r="A14" s="77"/>
      <c r="B14" s="65" t="str">
        <f>IFERROR(VLOOKUP(H14,'[1]Consolidado MP Planta'!$A$2:$M$823,3,0),"")</f>
        <v/>
      </c>
      <c r="C14" s="78">
        <f t="shared" si="1"/>
        <v>0</v>
      </c>
      <c r="D14" s="79" t="str">
        <f>IFERROR(VLOOKUP(H14,'[1]Consolidado MP Planta'!$A$2:$M$823,13,0),"")</f>
        <v/>
      </c>
      <c r="E14" s="79" t="str">
        <f>IFERROR(VLOOKUP(H14,'[1]Consolidado MP Planta'!$A$2:$M$823,12,0),"")</f>
        <v/>
      </c>
      <c r="F14" s="79" t="str">
        <f t="shared" si="2"/>
        <v/>
      </c>
      <c r="G14" s="80" t="str">
        <f t="shared" si="0"/>
        <v/>
      </c>
      <c r="H14" s="81"/>
      <c r="I14" s="81"/>
      <c r="J14" s="82"/>
    </row>
    <row r="15" spans="1:10" ht="14.25" hidden="1" thickBot="1" x14ac:dyDescent="0.3">
      <c r="A15" s="77"/>
      <c r="B15" s="65" t="str">
        <f>IFERROR(VLOOKUP(H15,'[2]ARTICULOS MP PLANTA'!$A$2:$G$589,2,0),"")</f>
        <v/>
      </c>
      <c r="C15" s="78"/>
      <c r="D15" s="79"/>
      <c r="E15" s="79"/>
      <c r="F15" s="79"/>
      <c r="G15" s="80"/>
      <c r="H15" s="81"/>
      <c r="I15" s="81"/>
      <c r="J15" s="82"/>
    </row>
    <row r="16" spans="1:10" ht="26.25" thickBot="1" x14ac:dyDescent="0.3">
      <c r="A16" s="72" t="s">
        <v>101</v>
      </c>
      <c r="B16" s="73" t="s">
        <v>108</v>
      </c>
      <c r="C16" s="73" t="s">
        <v>101</v>
      </c>
      <c r="D16" s="74" t="s">
        <v>103</v>
      </c>
      <c r="E16" s="74" t="s">
        <v>104</v>
      </c>
      <c r="F16" s="74" t="s">
        <v>105</v>
      </c>
      <c r="G16" s="74" t="s">
        <v>106</v>
      </c>
      <c r="H16" s="75" t="s">
        <v>107</v>
      </c>
      <c r="I16" s="76"/>
      <c r="J16" s="82"/>
    </row>
    <row r="17" spans="1:12" ht="13.5" x14ac:dyDescent="0.25">
      <c r="A17" s="77">
        <v>5000</v>
      </c>
      <c r="B17" s="65" t="s">
        <v>45</v>
      </c>
      <c r="C17" s="78">
        <f>+A17</f>
        <v>5000</v>
      </c>
      <c r="D17" s="78" t="s">
        <v>147</v>
      </c>
      <c r="E17" s="79">
        <f>+'Costo Topping Lemon Court'!E69</f>
        <v>0.51445695000000002</v>
      </c>
      <c r="F17" s="79">
        <f>IFERROR(E17*C17,"")</f>
        <v>2572.2847500000003</v>
      </c>
      <c r="G17" s="80">
        <f t="shared" ref="G17:G24" si="3">IFERROR(F17/$F$66,"")</f>
        <v>0.90938748469116037</v>
      </c>
      <c r="H17" s="81"/>
      <c r="I17" s="81"/>
      <c r="J17" s="82"/>
    </row>
    <row r="18" spans="1:12" ht="13.5" hidden="1" x14ac:dyDescent="0.25">
      <c r="A18" s="77"/>
      <c r="B18" s="65" t="str">
        <f>IFERROR(VLOOKUP(H18,[1]SEMIELABORADOS!$A$2:$M$6000,2,0),"")</f>
        <v/>
      </c>
      <c r="C18" s="78">
        <f t="shared" ref="C18:C24" si="4">+A18</f>
        <v>0</v>
      </c>
      <c r="D18" s="78" t="str">
        <f>IFERROR(VLOOKUP(H18,[1]SEMIELABORADOS!$A$2:$M$6000,6,0),"")</f>
        <v/>
      </c>
      <c r="E18" s="79" t="str">
        <f>IFERROR(VLOOKUP(H18,[1]SEMIELABORADOS!$A$2:$H$65536,8,0),"")</f>
        <v/>
      </c>
      <c r="F18" s="79" t="str">
        <f t="shared" ref="F18:F24" si="5">IFERROR(E18*C18,"")</f>
        <v/>
      </c>
      <c r="G18" s="80" t="str">
        <f t="shared" si="3"/>
        <v/>
      </c>
      <c r="H18" s="81"/>
      <c r="I18" s="81"/>
      <c r="J18" s="82"/>
    </row>
    <row r="19" spans="1:12" ht="13.5" hidden="1" x14ac:dyDescent="0.25">
      <c r="A19" s="77"/>
      <c r="B19" s="65" t="str">
        <f>IFERROR(VLOOKUP(H19,[1]SEMIELABORADOS!$A$2:$M$6000,2,0),"")</f>
        <v/>
      </c>
      <c r="C19" s="78">
        <f>+A19</f>
        <v>0</v>
      </c>
      <c r="D19" s="78" t="str">
        <f>IFERROR(VLOOKUP(H19,[1]SEMIELABORADOS!$A$2:$M$6000,6,0),"")</f>
        <v/>
      </c>
      <c r="E19" s="79" t="str">
        <f>IFERROR(VLOOKUP(H19,[1]SEMIELABORADOS!$A$2:$H$65536,8,0),"")</f>
        <v/>
      </c>
      <c r="F19" s="79" t="str">
        <f>IFERROR(E19*C19,"")</f>
        <v/>
      </c>
      <c r="G19" s="80" t="str">
        <f t="shared" si="3"/>
        <v/>
      </c>
      <c r="H19" s="81"/>
      <c r="I19" s="81"/>
      <c r="J19" s="82"/>
    </row>
    <row r="20" spans="1:12" ht="13.5" hidden="1" x14ac:dyDescent="0.25">
      <c r="A20" s="77"/>
      <c r="B20" s="65" t="str">
        <f>IFERROR(VLOOKUP(H20,[1]SEMIELABORADOS!$A$2:$M$6000,2,0),"")</f>
        <v/>
      </c>
      <c r="C20" s="78">
        <f>+A20</f>
        <v>0</v>
      </c>
      <c r="D20" s="78" t="str">
        <f>IFERROR(VLOOKUP(H20,[1]SEMIELABORADOS!$A$2:$M$6000,6,0),"")</f>
        <v/>
      </c>
      <c r="E20" s="79" t="str">
        <f>IFERROR(VLOOKUP(H20,[1]SEMIELABORADOS!$A$2:$H$65536,8,0),"")</f>
        <v/>
      </c>
      <c r="F20" s="79" t="str">
        <f>IFERROR(E20*C20,"")</f>
        <v/>
      </c>
      <c r="G20" s="80" t="str">
        <f t="shared" si="3"/>
        <v/>
      </c>
      <c r="H20" s="81"/>
      <c r="I20" s="81"/>
      <c r="J20" s="82"/>
    </row>
    <row r="21" spans="1:12" ht="13.5" hidden="1" x14ac:dyDescent="0.25">
      <c r="A21" s="77"/>
      <c r="B21" s="65" t="str">
        <f>IFERROR(VLOOKUP(H21,[1]SEMIELABORADOS!$A$2:$M$6000,2,0),"")</f>
        <v/>
      </c>
      <c r="C21" s="78">
        <f>+A21</f>
        <v>0</v>
      </c>
      <c r="D21" s="78" t="str">
        <f>IFERROR(VLOOKUP(H21,[1]SEMIELABORADOS!$A$2:$M$6000,6,0),"")</f>
        <v/>
      </c>
      <c r="E21" s="79" t="str">
        <f>IFERROR(VLOOKUP(H21,[1]SEMIELABORADOS!$A$2:$H$65536,8,0),"")</f>
        <v/>
      </c>
      <c r="F21" s="79" t="str">
        <f>IFERROR(E21*C21,"")</f>
        <v/>
      </c>
      <c r="G21" s="80" t="str">
        <f t="shared" si="3"/>
        <v/>
      </c>
      <c r="H21" s="81"/>
      <c r="I21" s="81"/>
      <c r="J21" s="82"/>
    </row>
    <row r="22" spans="1:12" ht="13.5" hidden="1" x14ac:dyDescent="0.25">
      <c r="A22" s="77"/>
      <c r="B22" s="65" t="str">
        <f>IFERROR(VLOOKUP(H22,[1]SEMIELABORADOS!$A$2:$M$6000,2,0),"")</f>
        <v/>
      </c>
      <c r="C22" s="78">
        <f t="shared" si="4"/>
        <v>0</v>
      </c>
      <c r="D22" s="78" t="str">
        <f>IFERROR(VLOOKUP(H22,[1]SEMIELABORADOS!$A$2:$M$6000,6,0),"")</f>
        <v/>
      </c>
      <c r="E22" s="79" t="str">
        <f>IFERROR(VLOOKUP(H22,[1]SEMIELABORADOS!$A$2:$H$65536,8,0),"")</f>
        <v/>
      </c>
      <c r="F22" s="79" t="str">
        <f t="shared" si="5"/>
        <v/>
      </c>
      <c r="G22" s="80" t="str">
        <f t="shared" si="3"/>
        <v/>
      </c>
      <c r="H22" s="81"/>
      <c r="I22" s="81"/>
      <c r="J22" s="82"/>
    </row>
    <row r="23" spans="1:12" ht="13.5" hidden="1" x14ac:dyDescent="0.25">
      <c r="A23" s="77"/>
      <c r="B23" s="65" t="str">
        <f>IFERROR(VLOOKUP(H23,[1]SEMIELABORADOS!$A$2:$M$6000,2,0),"")</f>
        <v/>
      </c>
      <c r="C23" s="78">
        <f t="shared" si="4"/>
        <v>0</v>
      </c>
      <c r="D23" s="78" t="str">
        <f>IFERROR(VLOOKUP(H23,[1]SEMIELABORADOS!$A$2:$M$6000,6,0),"")</f>
        <v/>
      </c>
      <c r="E23" s="79" t="str">
        <f>IFERROR(VLOOKUP(H23,[1]SEMIELABORADOS!$A$2:$H$65536,8,0),"")</f>
        <v/>
      </c>
      <c r="F23" s="79" t="str">
        <f t="shared" si="5"/>
        <v/>
      </c>
      <c r="G23" s="80" t="str">
        <f t="shared" si="3"/>
        <v/>
      </c>
      <c r="H23" s="81"/>
      <c r="I23" s="81"/>
      <c r="J23" s="82"/>
    </row>
    <row r="24" spans="1:12" ht="13.5" hidden="1" x14ac:dyDescent="0.25">
      <c r="A24" s="77"/>
      <c r="B24" s="65" t="str">
        <f>IFERROR(VLOOKUP(H24,[1]SEMIELABORADOS!$A$2:$M$6000,2,0),"")</f>
        <v/>
      </c>
      <c r="C24" s="78">
        <f t="shared" si="4"/>
        <v>0</v>
      </c>
      <c r="D24" s="78" t="str">
        <f>IFERROR(VLOOKUP(H24,[1]SEMIELABORADOS!$A$2:$M$6000,6,0),"")</f>
        <v/>
      </c>
      <c r="E24" s="79" t="str">
        <f>IFERROR(VLOOKUP(H24,[1]SEMIELABORADOS!$A$2:$H$65536,8,0),"")</f>
        <v/>
      </c>
      <c r="F24" s="79" t="str">
        <f t="shared" si="5"/>
        <v/>
      </c>
      <c r="G24" s="80" t="str">
        <f t="shared" si="3"/>
        <v/>
      </c>
      <c r="H24" s="81"/>
      <c r="I24" s="81"/>
      <c r="J24" s="82"/>
    </row>
    <row r="25" spans="1:12" ht="14.25" thickBot="1" x14ac:dyDescent="0.3">
      <c r="A25" s="77"/>
      <c r="C25" s="78"/>
      <c r="D25" s="78"/>
      <c r="E25" s="79"/>
      <c r="F25" s="79"/>
      <c r="G25" s="80"/>
      <c r="H25" s="81"/>
      <c r="I25" s="81"/>
      <c r="J25" s="82"/>
    </row>
    <row r="26" spans="1:12" ht="26.25" thickBot="1" x14ac:dyDescent="0.3">
      <c r="A26" s="72" t="s">
        <v>101</v>
      </c>
      <c r="B26" s="73" t="s">
        <v>109</v>
      </c>
      <c r="C26" s="73" t="s">
        <v>101</v>
      </c>
      <c r="D26" s="74" t="s">
        <v>103</v>
      </c>
      <c r="E26" s="74" t="s">
        <v>104</v>
      </c>
      <c r="F26" s="74" t="s">
        <v>105</v>
      </c>
      <c r="G26" s="74" t="s">
        <v>106</v>
      </c>
      <c r="H26" s="75" t="s">
        <v>107</v>
      </c>
      <c r="I26" s="76"/>
    </row>
    <row r="27" spans="1:12" ht="13.5" x14ac:dyDescent="0.25">
      <c r="A27" s="77">
        <v>1</v>
      </c>
      <c r="B27" s="83" t="s">
        <v>47</v>
      </c>
      <c r="C27" s="78">
        <f t="shared" ref="C27:C32" si="6">+A27</f>
        <v>1</v>
      </c>
      <c r="D27" s="79" t="s">
        <v>148</v>
      </c>
      <c r="E27" s="79">
        <v>50</v>
      </c>
      <c r="F27" s="79">
        <f t="shared" ref="F27:F32" si="7">IFERROR(C27*E27,"")</f>
        <v>50</v>
      </c>
      <c r="G27" s="80">
        <f t="shared" ref="G27:G32" si="8">IFERROR(F27/$F$66,"")</f>
        <v>1.7676648837014648E-2</v>
      </c>
      <c r="H27" s="84" t="s">
        <v>46</v>
      </c>
      <c r="I27" s="84"/>
      <c r="J27" s="82"/>
      <c r="K27" s="640"/>
      <c r="L27" s="640"/>
    </row>
    <row r="28" spans="1:12" ht="13.5" x14ac:dyDescent="0.25">
      <c r="A28" s="77">
        <v>1</v>
      </c>
      <c r="B28" s="83" t="s">
        <v>29</v>
      </c>
      <c r="C28" s="78">
        <f t="shared" si="6"/>
        <v>1</v>
      </c>
      <c r="D28" s="79" t="s">
        <v>148</v>
      </c>
      <c r="E28" s="79">
        <v>0.57999999999999996</v>
      </c>
      <c r="F28" s="79">
        <f t="shared" si="7"/>
        <v>0.57999999999999996</v>
      </c>
      <c r="G28" s="80">
        <f t="shared" si="8"/>
        <v>2.0504912650936991E-4</v>
      </c>
      <c r="H28" s="84" t="s">
        <v>28</v>
      </c>
      <c r="I28" s="84"/>
      <c r="J28" s="82"/>
      <c r="K28" s="640"/>
      <c r="L28" s="640"/>
    </row>
    <row r="29" spans="1:12" ht="13.5" x14ac:dyDescent="0.25">
      <c r="A29" s="77">
        <v>1</v>
      </c>
      <c r="B29" s="83" t="s">
        <v>27</v>
      </c>
      <c r="C29" s="78">
        <f t="shared" si="6"/>
        <v>1</v>
      </c>
      <c r="D29" s="79" t="s">
        <v>148</v>
      </c>
      <c r="E29" s="79">
        <v>0.28000000000000003</v>
      </c>
      <c r="F29" s="79">
        <f t="shared" si="7"/>
        <v>0.28000000000000003</v>
      </c>
      <c r="G29" s="80">
        <f t="shared" si="8"/>
        <v>9.8989233487282037E-5</v>
      </c>
      <c r="H29" s="84" t="s">
        <v>26</v>
      </c>
      <c r="I29" s="84"/>
      <c r="J29" s="82"/>
      <c r="K29" s="640"/>
      <c r="L29" s="640"/>
    </row>
    <row r="30" spans="1:12" ht="13.5" hidden="1" x14ac:dyDescent="0.25">
      <c r="A30" s="77"/>
      <c r="B30" s="83" t="str">
        <f>IFERROR(VLOOKUP(H30,'[1]Consolidado MP Planta'!$A$2:$M$823,3,0),"")</f>
        <v/>
      </c>
      <c r="C30" s="78">
        <f t="shared" si="6"/>
        <v>0</v>
      </c>
      <c r="D30" s="79" t="str">
        <f>IFERROR(VLOOKUP(H30,'[1]Consolidado MP Planta'!$A$2:$M$823,13,0),"")</f>
        <v/>
      </c>
      <c r="E30" s="79" t="str">
        <f>IFERROR(VLOOKUP(H30,'[1]Consolidado MP Planta'!$A$2:$M$823,12,0),"")</f>
        <v/>
      </c>
      <c r="F30" s="79" t="str">
        <f t="shared" si="7"/>
        <v/>
      </c>
      <c r="G30" s="80" t="str">
        <f t="shared" si="8"/>
        <v/>
      </c>
      <c r="H30" s="84"/>
      <c r="I30" s="84"/>
      <c r="J30" s="82"/>
      <c r="K30" s="640"/>
      <c r="L30" s="640"/>
    </row>
    <row r="31" spans="1:12" ht="13.5" hidden="1" x14ac:dyDescent="0.25">
      <c r="A31" s="77"/>
      <c r="B31" s="83" t="str">
        <f>IFERROR(VLOOKUP(H31,'[1]Consolidado MP Planta'!$A$2:$M$823,3,0),"")</f>
        <v/>
      </c>
      <c r="C31" s="78">
        <f t="shared" si="6"/>
        <v>0</v>
      </c>
      <c r="D31" s="79" t="str">
        <f>IFERROR(VLOOKUP(H31,'[1]Consolidado MP Planta'!$A$2:$M$823,13,0),"")</f>
        <v/>
      </c>
      <c r="E31" s="79" t="str">
        <f>IFERROR(VLOOKUP(H31,'[1]Consolidado MP Planta'!$A$2:$M$823,12,0),"")</f>
        <v/>
      </c>
      <c r="F31" s="79" t="str">
        <f t="shared" si="7"/>
        <v/>
      </c>
      <c r="G31" s="80" t="str">
        <f t="shared" si="8"/>
        <v/>
      </c>
      <c r="H31" s="84"/>
      <c r="I31" s="84"/>
      <c r="J31" s="82"/>
      <c r="K31" s="85"/>
      <c r="L31" s="86"/>
    </row>
    <row r="32" spans="1:12" ht="13.5" hidden="1" x14ac:dyDescent="0.25">
      <c r="A32" s="77"/>
      <c r="B32" s="83" t="str">
        <f>IFERROR(VLOOKUP(H32,'[1]Consolidado MP Planta'!$A$2:$M$823,3,0),"")</f>
        <v/>
      </c>
      <c r="C32" s="78">
        <f t="shared" si="6"/>
        <v>0</v>
      </c>
      <c r="D32" s="79" t="str">
        <f>IFERROR(VLOOKUP(H32,'[1]Consolidado MP Planta'!$A$2:$M$823,13,0),"")</f>
        <v/>
      </c>
      <c r="E32" s="79" t="str">
        <f>IFERROR(VLOOKUP(H32,'[1]Consolidado MP Planta'!$A$2:$M$823,12,0),"")</f>
        <v/>
      </c>
      <c r="F32" s="79" t="str">
        <f t="shared" si="7"/>
        <v/>
      </c>
      <c r="G32" s="80" t="str">
        <f t="shared" si="8"/>
        <v/>
      </c>
      <c r="H32" s="84"/>
      <c r="I32" s="84"/>
      <c r="J32" s="82"/>
    </row>
    <row r="33" spans="1:13" ht="14.25" thickBot="1" x14ac:dyDescent="0.3">
      <c r="A33" s="77"/>
      <c r="B33" s="83"/>
      <c r="C33" s="78"/>
      <c r="D33" s="79"/>
      <c r="E33" s="79"/>
      <c r="F33" s="79"/>
      <c r="G33" s="80"/>
      <c r="H33" s="84"/>
      <c r="I33" s="84"/>
      <c r="J33" s="82"/>
    </row>
    <row r="34" spans="1:13" ht="26.25" thickBot="1" x14ac:dyDescent="0.25">
      <c r="A34" s="72" t="s">
        <v>101</v>
      </c>
      <c r="B34" s="73" t="s">
        <v>110</v>
      </c>
      <c r="C34" s="73" t="s">
        <v>101</v>
      </c>
      <c r="D34" s="74" t="s">
        <v>103</v>
      </c>
      <c r="E34" s="74" t="s">
        <v>104</v>
      </c>
      <c r="F34" s="74" t="s">
        <v>105</v>
      </c>
      <c r="G34" s="74" t="s">
        <v>106</v>
      </c>
      <c r="H34" s="75" t="s">
        <v>107</v>
      </c>
      <c r="I34" s="84"/>
      <c r="J34" s="82"/>
    </row>
    <row r="35" spans="1:13" ht="13.5" x14ac:dyDescent="0.25">
      <c r="A35" s="77">
        <f>+A17</f>
        <v>5000</v>
      </c>
      <c r="B35" s="83" t="s">
        <v>45</v>
      </c>
      <c r="C35" s="78">
        <f>+A35</f>
        <v>5000</v>
      </c>
      <c r="D35" s="79" t="s">
        <v>147</v>
      </c>
      <c r="E35" s="79">
        <f>+'Costo Topping Lemon Court'!E76</f>
        <v>0</v>
      </c>
      <c r="F35" s="79">
        <f>IFERROR(E35*C35,"")</f>
        <v>0</v>
      </c>
      <c r="G35" s="80">
        <f t="shared" ref="G35:G41" si="9">IFERROR(F35/$F$66,"")</f>
        <v>0</v>
      </c>
      <c r="H35" s="84"/>
      <c r="I35" s="84"/>
      <c r="J35" s="82"/>
    </row>
    <row r="36" spans="1:13" ht="13.5" hidden="1" x14ac:dyDescent="0.25">
      <c r="A36" s="77">
        <f t="shared" ref="A36:A41" si="10">+A18</f>
        <v>0</v>
      </c>
      <c r="B36" s="83" t="str">
        <f>IFERROR(VLOOKUP(H36,[1]SEMIELABORADOS!$A$2:$M$6000,2,0),"")</f>
        <v/>
      </c>
      <c r="C36" s="78">
        <f t="shared" ref="C36:C41" si="11">+A36</f>
        <v>0</v>
      </c>
      <c r="D36" s="79" t="str">
        <f>IFERROR(VLOOKUP(H36,[1]SEMIELABORADOS!$A$2:$M$6000,6,0),"")</f>
        <v/>
      </c>
      <c r="E36" s="79" t="str">
        <f>IFERROR(VLOOKUP(H36,[1]SEMIELABORADOS!$A$2:$M$65536,10,0),"")</f>
        <v/>
      </c>
      <c r="F36" s="79" t="str">
        <f t="shared" ref="F36:F41" si="12">IFERROR(E36*C36,"")</f>
        <v/>
      </c>
      <c r="G36" s="80" t="str">
        <f t="shared" si="9"/>
        <v/>
      </c>
      <c r="H36" s="84"/>
      <c r="I36" s="84"/>
      <c r="J36" s="82"/>
    </row>
    <row r="37" spans="1:13" ht="13.5" hidden="1" x14ac:dyDescent="0.25">
      <c r="A37" s="77">
        <f t="shared" si="10"/>
        <v>0</v>
      </c>
      <c r="B37" s="83" t="str">
        <f>IFERROR(VLOOKUP(H37,[1]SEMIELABORADOS!$A$2:$M$6000,2,0),"")</f>
        <v/>
      </c>
      <c r="C37" s="78">
        <f t="shared" si="11"/>
        <v>0</v>
      </c>
      <c r="D37" s="79" t="str">
        <f>IFERROR(VLOOKUP(H37,[1]SEMIELABORADOS!$A$2:$M$6000,6,0),"")</f>
        <v/>
      </c>
      <c r="E37" s="79" t="str">
        <f>IFERROR(VLOOKUP(H37,[1]SEMIELABORADOS!$A$2:$M$65536,10,0),"")</f>
        <v/>
      </c>
      <c r="F37" s="79" t="str">
        <f t="shared" si="12"/>
        <v/>
      </c>
      <c r="G37" s="80" t="str">
        <f t="shared" si="9"/>
        <v/>
      </c>
      <c r="H37" s="84"/>
      <c r="I37" s="84"/>
      <c r="J37" s="82"/>
    </row>
    <row r="38" spans="1:13" ht="13.5" hidden="1" x14ac:dyDescent="0.25">
      <c r="A38" s="77">
        <f t="shared" si="10"/>
        <v>0</v>
      </c>
      <c r="B38" s="83" t="str">
        <f>IFERROR(VLOOKUP(H38,[1]SEMIELABORADOS!$A$2:$M$6000,2,0),"")</f>
        <v/>
      </c>
      <c r="C38" s="78">
        <f>+A38</f>
        <v>0</v>
      </c>
      <c r="D38" s="79" t="str">
        <f>IFERROR(VLOOKUP(H38,[1]SEMIELABORADOS!$A$2:$M$6000,6,0),"")</f>
        <v/>
      </c>
      <c r="E38" s="79" t="str">
        <f>IFERROR(VLOOKUP(H38,[1]SEMIELABORADOS!$A$2:$M$65536,10,0),"")</f>
        <v/>
      </c>
      <c r="F38" s="79" t="str">
        <f>IFERROR(E38*C38,"")</f>
        <v/>
      </c>
      <c r="G38" s="80" t="str">
        <f t="shared" si="9"/>
        <v/>
      </c>
      <c r="H38" s="84"/>
      <c r="I38" s="84"/>
      <c r="J38" s="82"/>
    </row>
    <row r="39" spans="1:13" ht="13.5" hidden="1" x14ac:dyDescent="0.25">
      <c r="A39" s="77">
        <f t="shared" si="10"/>
        <v>0</v>
      </c>
      <c r="B39" s="83" t="str">
        <f>IFERROR(VLOOKUP(H39,[1]SEMIELABORADOS!$A$2:$M$6000,2,0),"")</f>
        <v/>
      </c>
      <c r="C39" s="78">
        <f>+A39</f>
        <v>0</v>
      </c>
      <c r="D39" s="79" t="str">
        <f>IFERROR(VLOOKUP(H39,[1]SEMIELABORADOS!$A$2:$M$6000,6,0),"")</f>
        <v/>
      </c>
      <c r="E39" s="79" t="str">
        <f>IFERROR(VLOOKUP(H39,[1]SEMIELABORADOS!$A$2:$M$65536,10,0),"")</f>
        <v/>
      </c>
      <c r="F39" s="79" t="str">
        <f>IFERROR(E39*C39,"")</f>
        <v/>
      </c>
      <c r="G39" s="80" t="str">
        <f t="shared" si="9"/>
        <v/>
      </c>
      <c r="H39" s="84"/>
      <c r="I39" s="84"/>
      <c r="J39" s="82"/>
    </row>
    <row r="40" spans="1:13" ht="13.5" hidden="1" x14ac:dyDescent="0.25">
      <c r="A40" s="77">
        <f t="shared" si="10"/>
        <v>0</v>
      </c>
      <c r="B40" s="83" t="str">
        <f>IFERROR(VLOOKUP(H40,[1]SEMIELABORADOS!$A$2:$M$6000,2,0),"")</f>
        <v/>
      </c>
      <c r="C40" s="78">
        <f t="shared" si="11"/>
        <v>0</v>
      </c>
      <c r="D40" s="79" t="str">
        <f>IFERROR(VLOOKUP(H40,[1]SEMIELABORADOS!$A$2:$M$6000,6,0),"")</f>
        <v/>
      </c>
      <c r="E40" s="79" t="str">
        <f>IFERROR(VLOOKUP(H40,[1]SEMIELABORADOS!$A$2:$M$65536,10,0),"")</f>
        <v/>
      </c>
      <c r="F40" s="79" t="str">
        <f t="shared" si="12"/>
        <v/>
      </c>
      <c r="G40" s="80" t="str">
        <f t="shared" si="9"/>
        <v/>
      </c>
      <c r="H40" s="84"/>
      <c r="I40" s="84"/>
      <c r="J40" s="82"/>
    </row>
    <row r="41" spans="1:13" ht="13.5" hidden="1" x14ac:dyDescent="0.25">
      <c r="A41" s="77">
        <f t="shared" si="10"/>
        <v>0</v>
      </c>
      <c r="B41" s="83" t="str">
        <f>IFERROR(VLOOKUP(H41,[1]SEMIELABORADOS!$A$2:$M$6000,2,0),"")</f>
        <v/>
      </c>
      <c r="C41" s="78">
        <f t="shared" si="11"/>
        <v>0</v>
      </c>
      <c r="D41" s="79" t="str">
        <f>IFERROR(VLOOKUP(H41,[1]SEMIELABORADOS!$A$2:$M$6000,6,0),"")</f>
        <v/>
      </c>
      <c r="E41" s="79" t="str">
        <f>IFERROR(VLOOKUP(H41,[1]SEMIELABORADOS!$A$2:$M$65536,10,0),"")</f>
        <v/>
      </c>
      <c r="F41" s="79" t="str">
        <f t="shared" si="12"/>
        <v/>
      </c>
      <c r="G41" s="80" t="str">
        <f t="shared" si="9"/>
        <v/>
      </c>
      <c r="H41" s="84"/>
      <c r="I41" s="84"/>
      <c r="J41" s="82"/>
    </row>
    <row r="42" spans="1:13" ht="14.25" thickBot="1" x14ac:dyDescent="0.3">
      <c r="A42" s="77"/>
      <c r="B42" s="83"/>
      <c r="C42" s="78"/>
      <c r="D42" s="79"/>
      <c r="E42" s="79"/>
      <c r="F42" s="79"/>
      <c r="G42" s="80"/>
      <c r="H42" s="84"/>
      <c r="I42" s="84"/>
      <c r="J42" s="82"/>
    </row>
    <row r="43" spans="1:13" ht="26.25" thickBot="1" x14ac:dyDescent="0.3">
      <c r="A43" s="72" t="s">
        <v>101</v>
      </c>
      <c r="B43" s="73" t="s">
        <v>111</v>
      </c>
      <c r="C43" s="73" t="s">
        <v>101</v>
      </c>
      <c r="D43" s="74" t="s">
        <v>103</v>
      </c>
      <c r="E43" s="74" t="s">
        <v>104</v>
      </c>
      <c r="F43" s="74" t="s">
        <v>105</v>
      </c>
      <c r="G43" s="74" t="s">
        <v>106</v>
      </c>
      <c r="H43" s="75" t="s">
        <v>107</v>
      </c>
      <c r="I43" s="76"/>
      <c r="J43" s="82"/>
    </row>
    <row r="44" spans="1:13" ht="13.5" x14ac:dyDescent="0.25">
      <c r="A44" s="77">
        <f>+A35</f>
        <v>5000</v>
      </c>
      <c r="B44" s="83" t="s">
        <v>45</v>
      </c>
      <c r="C44" s="78">
        <f>+A44</f>
        <v>5000</v>
      </c>
      <c r="D44" s="79" t="s">
        <v>147</v>
      </c>
      <c r="E44" s="79">
        <f>+'Costo Topping Lemon Court'!E74</f>
        <v>0.11550000000000001</v>
      </c>
      <c r="F44" s="79">
        <f>IFERROR(E44*C44,"")</f>
        <v>577.5</v>
      </c>
      <c r="G44" s="80">
        <f>IFERROR(F44/$F$66,"")</f>
        <v>0.20416529406751918</v>
      </c>
      <c r="H44" s="84"/>
      <c r="I44" s="76"/>
      <c r="J44" s="82"/>
    </row>
    <row r="45" spans="1:13" ht="13.5" hidden="1" x14ac:dyDescent="0.25">
      <c r="A45" s="77">
        <f t="shared" ref="A45:A50" si="13">+A36</f>
        <v>0</v>
      </c>
      <c r="B45" s="83" t="str">
        <f>IFERROR(VLOOKUP(H45,[1]SEMIELABORADOS!$A$2:$M$6000,2,0),"")</f>
        <v/>
      </c>
      <c r="C45" s="78">
        <f t="shared" ref="C45:C50" si="14">+A45</f>
        <v>0</v>
      </c>
      <c r="D45" s="79" t="str">
        <f>IFERROR(VLOOKUP(H45,[1]SEMIELABORADOS!$A$2:$M$6000,6,0),"")</f>
        <v/>
      </c>
      <c r="E45" s="79" t="str">
        <f>IFERROR(VLOOKUP(H45,[1]SEMIELABORADOS!$A$2:$M$65536,12,0),"")</f>
        <v/>
      </c>
      <c r="F45" s="79" t="str">
        <f t="shared" ref="F45:F50" si="15">IFERROR(E45*C45,"")</f>
        <v/>
      </c>
      <c r="G45" s="80" t="str">
        <f t="shared" ref="G45:G50" si="16">IFERROR(F45/$F$66,"")</f>
        <v/>
      </c>
      <c r="H45" s="84"/>
      <c r="I45" s="76"/>
      <c r="J45" s="82"/>
      <c r="M45" s="87"/>
    </row>
    <row r="46" spans="1:13" ht="13.5" hidden="1" x14ac:dyDescent="0.25">
      <c r="A46" s="77">
        <f t="shared" si="13"/>
        <v>0</v>
      </c>
      <c r="B46" s="83" t="str">
        <f>IFERROR(VLOOKUP(H46,[1]SEMIELABORADOS!$A$2:$M$6000,2,0),"")</f>
        <v/>
      </c>
      <c r="C46" s="78">
        <f t="shared" si="14"/>
        <v>0</v>
      </c>
      <c r="D46" s="79" t="str">
        <f>IFERROR(VLOOKUP(H46,[1]SEMIELABORADOS!$A$2:$M$6000,6,0),"")</f>
        <v/>
      </c>
      <c r="E46" s="79" t="str">
        <f>IFERROR(VLOOKUP(H46,[1]SEMIELABORADOS!$A$2:$M$65536,12,0),"")</f>
        <v/>
      </c>
      <c r="F46" s="79" t="str">
        <f t="shared" si="15"/>
        <v/>
      </c>
      <c r="G46" s="80" t="str">
        <f t="shared" si="16"/>
        <v/>
      </c>
      <c r="H46" s="84"/>
      <c r="I46" s="76"/>
      <c r="J46" s="82"/>
    </row>
    <row r="47" spans="1:13" ht="13.5" hidden="1" x14ac:dyDescent="0.25">
      <c r="A47" s="77">
        <f t="shared" si="13"/>
        <v>0</v>
      </c>
      <c r="B47" s="83" t="str">
        <f>IFERROR(VLOOKUP(H47,[1]SEMIELABORADOS!$A$2:$M$6000,2,0),"")</f>
        <v/>
      </c>
      <c r="C47" s="78">
        <f t="shared" si="14"/>
        <v>0</v>
      </c>
      <c r="D47" s="79" t="str">
        <f>IFERROR(VLOOKUP(H47,[1]SEMIELABORADOS!$A$2:$M$6000,6,0),"")</f>
        <v/>
      </c>
      <c r="E47" s="79" t="str">
        <f>IFERROR(VLOOKUP(H47,[1]SEMIELABORADOS!$A$2:$M$65536,12,0),"")</f>
        <v/>
      </c>
      <c r="F47" s="79" t="str">
        <f t="shared" si="15"/>
        <v/>
      </c>
      <c r="G47" s="80" t="str">
        <f t="shared" si="16"/>
        <v/>
      </c>
      <c r="H47" s="84"/>
      <c r="I47" s="76"/>
      <c r="J47" s="82"/>
    </row>
    <row r="48" spans="1:13" ht="13.5" hidden="1" x14ac:dyDescent="0.25">
      <c r="A48" s="77">
        <f t="shared" si="13"/>
        <v>0</v>
      </c>
      <c r="B48" s="83" t="str">
        <f>IFERROR(VLOOKUP(H48,[1]SEMIELABORADOS!$A$2:$M$6000,2,0),"")</f>
        <v/>
      </c>
      <c r="C48" s="78">
        <f t="shared" si="14"/>
        <v>0</v>
      </c>
      <c r="D48" s="79" t="str">
        <f>IFERROR(VLOOKUP(H48,[1]SEMIELABORADOS!$A$2:$M$6000,6,0),"")</f>
        <v/>
      </c>
      <c r="E48" s="79" t="str">
        <f>IFERROR(VLOOKUP(H48,[1]SEMIELABORADOS!$A$2:$M$65536,12,0),"")</f>
        <v/>
      </c>
      <c r="F48" s="79" t="str">
        <f t="shared" si="15"/>
        <v/>
      </c>
      <c r="G48" s="80" t="str">
        <f t="shared" si="16"/>
        <v/>
      </c>
      <c r="H48" s="84"/>
      <c r="I48" s="76"/>
      <c r="J48" s="82"/>
    </row>
    <row r="49" spans="1:17" ht="13.5" hidden="1" x14ac:dyDescent="0.25">
      <c r="A49" s="77">
        <f t="shared" si="13"/>
        <v>0</v>
      </c>
      <c r="B49" s="83" t="str">
        <f>IFERROR(VLOOKUP(H49,[1]SEMIELABORADOS!$A$2:$M$6000,2,0),"")</f>
        <v/>
      </c>
      <c r="C49" s="78">
        <f t="shared" si="14"/>
        <v>0</v>
      </c>
      <c r="D49" s="79" t="str">
        <f>IFERROR(VLOOKUP(H49,[1]SEMIELABORADOS!$A$2:$M$6000,6,0),"")</f>
        <v/>
      </c>
      <c r="E49" s="79" t="str">
        <f>IFERROR(VLOOKUP(H49,[1]SEMIELABORADOS!$A$2:$M$65536,12,0),"")</f>
        <v/>
      </c>
      <c r="F49" s="79" t="str">
        <f t="shared" si="15"/>
        <v/>
      </c>
      <c r="G49" s="80" t="str">
        <f t="shared" si="16"/>
        <v/>
      </c>
      <c r="H49" s="84"/>
      <c r="I49" s="76"/>
      <c r="J49" s="82"/>
    </row>
    <row r="50" spans="1:17" ht="13.5" hidden="1" x14ac:dyDescent="0.25">
      <c r="A50" s="77">
        <f t="shared" si="13"/>
        <v>0</v>
      </c>
      <c r="B50" s="83" t="str">
        <f>IFERROR(VLOOKUP(H50,[1]SEMIELABORADOS!$A$2:$M$6000,2,0),"")</f>
        <v/>
      </c>
      <c r="C50" s="78">
        <f t="shared" si="14"/>
        <v>0</v>
      </c>
      <c r="D50" s="79" t="str">
        <f>IFERROR(VLOOKUP(H50,[1]SEMIELABORADOS!$A$2:$M$6000,6,0),"")</f>
        <v/>
      </c>
      <c r="E50" s="79" t="str">
        <f>IFERROR(VLOOKUP(H50,[1]SEMIELABORADOS!$A$2:$M$65536,12,0),"")</f>
        <v/>
      </c>
      <c r="F50" s="79" t="str">
        <f t="shared" si="15"/>
        <v/>
      </c>
      <c r="G50" s="80" t="str">
        <f t="shared" si="16"/>
        <v/>
      </c>
      <c r="H50" s="83"/>
      <c r="I50" s="76"/>
      <c r="J50" s="82"/>
    </row>
    <row r="51" spans="1:17" ht="13.5" x14ac:dyDescent="0.25">
      <c r="A51" s="77">
        <v>1</v>
      </c>
      <c r="B51" s="83" t="s">
        <v>112</v>
      </c>
      <c r="C51" s="78">
        <f>+A51</f>
        <v>1</v>
      </c>
      <c r="D51" s="78" t="s">
        <v>113</v>
      </c>
      <c r="E51" s="79">
        <f>+F65</f>
        <v>154</v>
      </c>
      <c r="F51" s="79">
        <f>IFERROR(C51*E51,"")</f>
        <v>154</v>
      </c>
      <c r="G51" s="80">
        <f>IFERROR(F51/$F$66,"")</f>
        <v>5.4444078418005117E-2</v>
      </c>
      <c r="H51" s="88"/>
      <c r="I51" s="88"/>
      <c r="J51" s="82"/>
    </row>
    <row r="52" spans="1:17" ht="14.25" thickBot="1" x14ac:dyDescent="0.3">
      <c r="A52" s="77"/>
      <c r="B52" s="83"/>
      <c r="C52" s="78"/>
      <c r="D52" s="78"/>
      <c r="E52" s="79"/>
      <c r="F52" s="79"/>
      <c r="G52" s="80"/>
      <c r="H52" s="88"/>
      <c r="I52" s="88"/>
      <c r="J52" s="82"/>
    </row>
    <row r="53" spans="1:17" ht="13.5" thickBot="1" x14ac:dyDescent="0.3">
      <c r="A53" s="89"/>
      <c r="B53" s="641" t="s">
        <v>114</v>
      </c>
      <c r="C53" s="641"/>
      <c r="D53" s="641"/>
      <c r="E53" s="641"/>
      <c r="F53" s="91">
        <f>SUM(F8:F14,F17:F24)</f>
        <v>2572.2847500000003</v>
      </c>
      <c r="G53" s="80">
        <f>+F53/$F$66</f>
        <v>0.90938748469116037</v>
      </c>
      <c r="H53" s="92">
        <f>+F53/$D$60</f>
        <v>2572.2847500000003</v>
      </c>
      <c r="I53" s="92"/>
      <c r="J53" s="93"/>
      <c r="K53" s="94"/>
      <c r="L53" s="94"/>
      <c r="M53" s="94"/>
      <c r="N53" s="94"/>
      <c r="O53" s="94"/>
      <c r="P53" s="94"/>
      <c r="Q53" s="95"/>
    </row>
    <row r="54" spans="1:17" x14ac:dyDescent="0.2">
      <c r="A54" s="89"/>
      <c r="B54" s="641" t="s">
        <v>115</v>
      </c>
      <c r="C54" s="641"/>
      <c r="D54" s="641"/>
      <c r="E54" s="641"/>
      <c r="F54" s="91">
        <f>SUM(F27:F32,F35:F41)</f>
        <v>50.86</v>
      </c>
      <c r="G54" s="80">
        <f>+F54/$F$66</f>
        <v>1.7980687197011298E-2</v>
      </c>
      <c r="H54" s="92">
        <f>+F54/$D$60</f>
        <v>50.86</v>
      </c>
      <c r="I54" s="92"/>
      <c r="J54" s="96"/>
      <c r="K54" s="642" t="s">
        <v>116</v>
      </c>
      <c r="L54" s="643"/>
      <c r="M54" s="643"/>
      <c r="N54" s="643"/>
      <c r="O54" s="97">
        <f>+F55</f>
        <v>2623.1447500000004</v>
      </c>
      <c r="P54" s="97"/>
      <c r="Q54" s="98"/>
    </row>
    <row r="55" spans="1:17" x14ac:dyDescent="0.2">
      <c r="A55" s="89"/>
      <c r="B55" s="641" t="s">
        <v>117</v>
      </c>
      <c r="C55" s="641"/>
      <c r="D55" s="641"/>
      <c r="E55" s="641"/>
      <c r="F55" s="91">
        <f>+F53+F54</f>
        <v>2623.1447500000004</v>
      </c>
      <c r="G55" s="80">
        <f>+F55/$F$66</f>
        <v>0.92736817188817167</v>
      </c>
      <c r="H55" s="92">
        <f>+F55/$D$60</f>
        <v>2623.1447500000004</v>
      </c>
      <c r="I55" s="92"/>
      <c r="J55" s="99"/>
      <c r="K55" s="100"/>
      <c r="M55" s="101" t="s">
        <v>118</v>
      </c>
      <c r="N55" s="102"/>
      <c r="O55" s="97">
        <f>+H56</f>
        <v>731.5</v>
      </c>
      <c r="P55" s="97"/>
      <c r="Q55" s="98"/>
    </row>
    <row r="56" spans="1:17" ht="13.5" thickBot="1" x14ac:dyDescent="0.25">
      <c r="A56" s="89"/>
      <c r="B56" s="90"/>
      <c r="C56" s="641" t="s">
        <v>119</v>
      </c>
      <c r="D56" s="641"/>
      <c r="E56" s="641"/>
      <c r="F56" s="91">
        <f>SUM(F44:F51)</f>
        <v>731.5</v>
      </c>
      <c r="G56" s="80">
        <f>+F56/$F$66</f>
        <v>0.25860937248552429</v>
      </c>
      <c r="H56" s="92">
        <f>+F56/$D$60</f>
        <v>731.5</v>
      </c>
      <c r="I56" s="92"/>
      <c r="J56" s="99"/>
      <c r="K56" s="100"/>
      <c r="L56" s="100"/>
      <c r="M56" s="100" t="s">
        <v>120</v>
      </c>
      <c r="N56" s="103"/>
      <c r="O56" s="97">
        <f>O54*N56</f>
        <v>0</v>
      </c>
      <c r="P56" s="97"/>
      <c r="Q56" s="98"/>
    </row>
    <row r="57" spans="1:17" ht="13.5" thickBot="1" x14ac:dyDescent="0.25">
      <c r="A57" s="89"/>
      <c r="B57" s="104"/>
      <c r="C57" s="104"/>
      <c r="D57" s="104"/>
      <c r="E57" s="104"/>
      <c r="F57" s="105"/>
      <c r="G57" s="80"/>
      <c r="H57" s="106"/>
      <c r="I57" s="92"/>
      <c r="J57" s="99"/>
      <c r="K57" s="107"/>
      <c r="M57" s="108" t="s">
        <v>121</v>
      </c>
      <c r="N57" s="109"/>
      <c r="O57" s="110">
        <f>SUM(O54:O56)</f>
        <v>3354.6447500000004</v>
      </c>
      <c r="P57" s="111"/>
      <c r="Q57" s="98"/>
    </row>
    <row r="58" spans="1:17" x14ac:dyDescent="0.2">
      <c r="B58" s="644" t="s">
        <v>122</v>
      </c>
      <c r="C58" s="644"/>
      <c r="D58" s="112">
        <v>5000</v>
      </c>
      <c r="E58" s="113"/>
      <c r="G58" s="80"/>
      <c r="H58" s="106">
        <f>+H56/77</f>
        <v>9.5</v>
      </c>
      <c r="I58" s="114"/>
      <c r="J58" s="99"/>
      <c r="K58" s="107"/>
      <c r="L58" s="100"/>
      <c r="M58" s="100" t="s">
        <v>123</v>
      </c>
      <c r="N58" s="115"/>
      <c r="O58" s="97">
        <f>+H59</f>
        <v>608</v>
      </c>
      <c r="P58" s="97"/>
      <c r="Q58" s="98"/>
    </row>
    <row r="59" spans="1:17" x14ac:dyDescent="0.2">
      <c r="B59" s="644" t="s">
        <v>124</v>
      </c>
      <c r="C59" s="644"/>
      <c r="D59" s="116">
        <v>5000</v>
      </c>
      <c r="E59" s="113"/>
      <c r="G59" s="80"/>
      <c r="H59" s="106">
        <f>+H58*64</f>
        <v>608</v>
      </c>
      <c r="I59" s="114"/>
      <c r="J59" s="99"/>
      <c r="K59" s="107"/>
      <c r="L59" s="100"/>
      <c r="M59" s="645" t="s">
        <v>121</v>
      </c>
      <c r="N59" s="645"/>
      <c r="O59" s="97">
        <f>SUM(O57:O58)</f>
        <v>3962.6447500000004</v>
      </c>
      <c r="P59" s="97"/>
      <c r="Q59" s="98"/>
    </row>
    <row r="60" spans="1:17" ht="13.5" thickBot="1" x14ac:dyDescent="0.25">
      <c r="B60" s="636" t="s">
        <v>125</v>
      </c>
      <c r="C60" s="636"/>
      <c r="D60" s="112">
        <f>+D58/D59</f>
        <v>1</v>
      </c>
      <c r="E60" s="113"/>
      <c r="F60" s="117"/>
      <c r="G60" s="80"/>
      <c r="H60" s="106"/>
      <c r="I60" s="114"/>
      <c r="J60" s="99"/>
      <c r="K60" s="107"/>
      <c r="L60" s="645"/>
      <c r="M60" s="645"/>
      <c r="N60" s="115"/>
      <c r="O60" s="97">
        <f>+O59*N60</f>
        <v>0</v>
      </c>
      <c r="P60" s="97"/>
      <c r="Q60" s="98"/>
    </row>
    <row r="61" spans="1:17" ht="13.5" thickBot="1" x14ac:dyDescent="0.25">
      <c r="B61" s="636" t="s">
        <v>126</v>
      </c>
      <c r="C61" s="636"/>
      <c r="D61" s="118"/>
      <c r="E61" s="113"/>
      <c r="F61" s="117"/>
      <c r="G61" s="80"/>
      <c r="H61" s="106"/>
      <c r="I61" s="114"/>
      <c r="J61" s="99"/>
      <c r="K61" s="637" t="s">
        <v>127</v>
      </c>
      <c r="L61" s="638"/>
      <c r="M61" s="638"/>
      <c r="N61" s="639"/>
      <c r="O61" s="110">
        <f>SUM(O59:O60)</f>
        <v>3962.6447500000004</v>
      </c>
      <c r="P61" s="119" t="s">
        <v>128</v>
      </c>
      <c r="Q61" s="98"/>
    </row>
    <row r="62" spans="1:17" ht="13.5" thickBot="1" x14ac:dyDescent="0.25">
      <c r="C62" s="89" t="s">
        <v>129</v>
      </c>
      <c r="D62" s="120"/>
      <c r="E62" s="63" t="s">
        <v>130</v>
      </c>
      <c r="F62" s="121" t="s">
        <v>131</v>
      </c>
      <c r="G62" s="80"/>
      <c r="H62" s="106"/>
      <c r="I62" s="114"/>
      <c r="J62" s="122"/>
      <c r="K62" s="123"/>
      <c r="L62" s="625" t="s">
        <v>132</v>
      </c>
      <c r="M62" s="625"/>
      <c r="N62" s="625"/>
      <c r="O62" s="124">
        <f>+O61/D60</f>
        <v>3962.6447500000004</v>
      </c>
      <c r="P62" s="125">
        <f>+O62/D59</f>
        <v>0.79252895000000012</v>
      </c>
      <c r="Q62" s="126"/>
    </row>
    <row r="63" spans="1:17" ht="13.5" thickBot="1" x14ac:dyDescent="0.25">
      <c r="B63" s="626" t="s">
        <v>117</v>
      </c>
      <c r="C63" s="626"/>
      <c r="D63" s="626"/>
      <c r="E63" s="127">
        <f>+F63/F63</f>
        <v>1</v>
      </c>
      <c r="F63" s="128">
        <f>SUM(F55)</f>
        <v>2623.1447500000004</v>
      </c>
      <c r="G63" s="80">
        <f>+F63/$F$66</f>
        <v>0.92736817188817167</v>
      </c>
      <c r="H63" s="106"/>
      <c r="I63" s="114"/>
      <c r="K63" s="627"/>
      <c r="L63" s="628"/>
      <c r="M63" s="628"/>
      <c r="N63" s="628"/>
      <c r="O63" s="129"/>
      <c r="P63" s="130"/>
    </row>
    <row r="64" spans="1:17" ht="13.5" thickBot="1" x14ac:dyDescent="0.3">
      <c r="B64" s="629" t="s">
        <v>133</v>
      </c>
      <c r="C64" s="629"/>
      <c r="D64" s="629"/>
      <c r="E64" s="131">
        <v>0.02</v>
      </c>
      <c r="F64" s="128">
        <f>+F53*E64</f>
        <v>51.445695000000008</v>
      </c>
      <c r="G64" s="80">
        <f>+F64/$F$66</f>
        <v>1.8187749693823207E-2</v>
      </c>
      <c r="H64" s="92"/>
      <c r="I64" s="114"/>
      <c r="J64" s="132"/>
      <c r="O64" s="133"/>
      <c r="P64" s="90"/>
    </row>
    <row r="65" spans="2:13" ht="13.5" thickBot="1" x14ac:dyDescent="0.3">
      <c r="B65" s="630" t="s">
        <v>134</v>
      </c>
      <c r="C65" s="631"/>
      <c r="D65" s="134">
        <v>2</v>
      </c>
      <c r="E65" s="135">
        <v>77</v>
      </c>
      <c r="F65" s="128">
        <f>+E65*D65</f>
        <v>154</v>
      </c>
      <c r="G65" s="80">
        <f>+F65/$F$66</f>
        <v>5.4444078418005117E-2</v>
      </c>
      <c r="H65" s="92"/>
      <c r="I65" s="92"/>
      <c r="J65" s="82"/>
    </row>
    <row r="66" spans="2:13" ht="13.5" thickBot="1" x14ac:dyDescent="0.3">
      <c r="B66" s="632" t="s">
        <v>135</v>
      </c>
      <c r="C66" s="633"/>
      <c r="D66" s="633"/>
      <c r="E66" s="634"/>
      <c r="F66" s="105">
        <f>SUM(F63:F65)</f>
        <v>2828.5904450000003</v>
      </c>
      <c r="G66" s="80">
        <f>+F66/$F$66</f>
        <v>1</v>
      </c>
      <c r="H66" s="635"/>
      <c r="I66" s="92"/>
      <c r="J66" s="82"/>
      <c r="M66" s="65" t="s">
        <v>136</v>
      </c>
    </row>
    <row r="67" spans="2:13" x14ac:dyDescent="0.25">
      <c r="C67" s="87"/>
      <c r="D67" s="87"/>
      <c r="E67" s="137"/>
      <c r="F67" s="128"/>
      <c r="G67" s="80"/>
      <c r="H67" s="635"/>
      <c r="I67" s="136"/>
      <c r="J67" s="65"/>
      <c r="M67" s="65" t="s">
        <v>137</v>
      </c>
    </row>
    <row r="68" spans="2:13" ht="13.5" thickBot="1" x14ac:dyDescent="0.3">
      <c r="B68" s="620" t="s">
        <v>138</v>
      </c>
      <c r="C68" s="620"/>
      <c r="D68" s="620"/>
      <c r="E68" s="620"/>
      <c r="F68" s="620"/>
      <c r="G68" s="80"/>
      <c r="H68" s="139"/>
      <c r="I68" s="136"/>
      <c r="J68" s="65"/>
      <c r="M68" s="65" t="s">
        <v>139</v>
      </c>
    </row>
    <row r="69" spans="2:13" ht="13.5" thickBot="1" x14ac:dyDescent="0.3">
      <c r="B69" s="140" t="s">
        <v>140</v>
      </c>
      <c r="C69" s="141">
        <f>+F53</f>
        <v>2572.2847500000003</v>
      </c>
      <c r="D69" s="141">
        <f>+D58</f>
        <v>5000</v>
      </c>
      <c r="E69" s="142">
        <f>+C69/D69</f>
        <v>0.51445695000000002</v>
      </c>
      <c r="F69" s="80"/>
      <c r="G69" s="139"/>
      <c r="H69" s="82"/>
      <c r="I69" s="139"/>
      <c r="J69" s="65"/>
    </row>
    <row r="70" spans="2:13" x14ac:dyDescent="0.25">
      <c r="B70" s="143"/>
      <c r="C70" s="144"/>
      <c r="D70" s="145"/>
      <c r="E70" s="128"/>
      <c r="F70" s="80"/>
      <c r="G70" s="139"/>
      <c r="H70" s="82"/>
      <c r="I70" s="82"/>
      <c r="J70" s="65"/>
    </row>
    <row r="71" spans="2:13" x14ac:dyDescent="0.25">
      <c r="B71" s="140" t="s">
        <v>141</v>
      </c>
      <c r="C71" s="141">
        <f>SUM(F63:F64)</f>
        <v>2674.5904450000003</v>
      </c>
      <c r="D71" s="141">
        <f>+D58</f>
        <v>5000</v>
      </c>
      <c r="E71" s="146">
        <f>+C71/D71</f>
        <v>0.53491808900000004</v>
      </c>
      <c r="F71" s="80"/>
      <c r="G71" s="139"/>
      <c r="H71" s="82"/>
      <c r="I71" s="82"/>
      <c r="J71" s="65"/>
    </row>
    <row r="72" spans="2:13" x14ac:dyDescent="0.25">
      <c r="B72" s="140"/>
      <c r="C72" s="141"/>
      <c r="D72" s="141"/>
      <c r="E72" s="146"/>
      <c r="F72" s="80"/>
      <c r="G72" s="139"/>
      <c r="H72" s="82"/>
      <c r="I72" s="82"/>
      <c r="J72" s="65"/>
    </row>
    <row r="73" spans="2:13" ht="13.5" thickBot="1" x14ac:dyDescent="0.3">
      <c r="B73" s="140" t="s">
        <v>142</v>
      </c>
      <c r="C73" s="141">
        <f>+F65</f>
        <v>154</v>
      </c>
      <c r="D73" s="141">
        <f>+D58</f>
        <v>5000</v>
      </c>
      <c r="E73" s="146">
        <f>+C73/D73</f>
        <v>3.0800000000000001E-2</v>
      </c>
      <c r="F73" s="80"/>
      <c r="G73" s="139"/>
      <c r="H73" s="82"/>
      <c r="I73" s="82"/>
      <c r="J73" s="65"/>
    </row>
    <row r="74" spans="2:13" ht="13.5" thickBot="1" x14ac:dyDescent="0.3">
      <c r="B74" s="140" t="s">
        <v>143</v>
      </c>
      <c r="C74" s="141">
        <f>+F56</f>
        <v>731.5</v>
      </c>
      <c r="D74" s="141">
        <f>+D73</f>
        <v>5000</v>
      </c>
      <c r="E74" s="142">
        <f>+C74/D74</f>
        <v>0.14630000000000001</v>
      </c>
      <c r="F74" s="80"/>
      <c r="G74" s="139"/>
      <c r="H74" s="82"/>
      <c r="I74" s="82"/>
      <c r="J74" s="65"/>
    </row>
    <row r="75" spans="2:13" ht="13.5" thickBot="1" x14ac:dyDescent="0.3">
      <c r="B75" s="104"/>
      <c r="C75" s="105"/>
      <c r="D75" s="105"/>
      <c r="E75" s="146"/>
      <c r="F75" s="80"/>
      <c r="G75" s="139"/>
      <c r="H75" s="82"/>
      <c r="I75" s="82"/>
      <c r="J75" s="65"/>
    </row>
    <row r="76" spans="2:13" ht="13.5" thickBot="1" x14ac:dyDescent="0.3">
      <c r="B76" s="140" t="s">
        <v>144</v>
      </c>
      <c r="C76" s="141">
        <f>+F54</f>
        <v>50.86</v>
      </c>
      <c r="D76" s="141">
        <f>+D74</f>
        <v>5000</v>
      </c>
      <c r="E76" s="142">
        <f>+C76/D76</f>
        <v>1.0172E-2</v>
      </c>
      <c r="F76" s="80"/>
      <c r="G76" s="139"/>
      <c r="H76" s="82"/>
      <c r="I76" s="82"/>
      <c r="J76" s="82"/>
    </row>
    <row r="77" spans="2:13" ht="13.5" thickBot="1" x14ac:dyDescent="0.3">
      <c r="B77" s="104"/>
      <c r="C77" s="105"/>
      <c r="D77" s="105"/>
      <c r="E77" s="146"/>
      <c r="F77" s="80"/>
      <c r="G77" s="139"/>
      <c r="H77" s="82"/>
      <c r="I77" s="82"/>
    </row>
    <row r="78" spans="2:13" ht="13.5" thickBot="1" x14ac:dyDescent="0.3">
      <c r="B78" s="621" t="s">
        <v>145</v>
      </c>
      <c r="C78" s="622"/>
      <c r="D78" s="623"/>
      <c r="E78" s="142">
        <f>+E69+E74</f>
        <v>0.66075695000000001</v>
      </c>
      <c r="G78" s="80"/>
      <c r="H78" s="139"/>
      <c r="I78" s="82"/>
      <c r="J78" s="146"/>
    </row>
    <row r="79" spans="2:13" x14ac:dyDescent="0.25">
      <c r="I79" s="139"/>
      <c r="J79" s="65"/>
    </row>
    <row r="80" spans="2:13" ht="13.5" thickBot="1" x14ac:dyDescent="0.3">
      <c r="B80" s="620" t="s">
        <v>146</v>
      </c>
      <c r="C80" s="620"/>
      <c r="D80" s="620"/>
      <c r="E80" s="620"/>
      <c r="F80" s="620"/>
      <c r="G80" s="80"/>
      <c r="H80" s="139"/>
      <c r="J80" s="65"/>
    </row>
    <row r="81" spans="1:10" ht="13.5" thickBot="1" x14ac:dyDescent="0.3">
      <c r="B81" s="140" t="s">
        <v>140</v>
      </c>
      <c r="C81" s="141">
        <f>+C69</f>
        <v>2572.2847500000003</v>
      </c>
      <c r="D81" s="141">
        <f>+D60</f>
        <v>1</v>
      </c>
      <c r="E81" s="142">
        <f>+C81/D81</f>
        <v>2572.2847500000003</v>
      </c>
      <c r="F81" s="80"/>
      <c r="G81" s="139"/>
      <c r="H81" s="82"/>
      <c r="I81" s="139"/>
      <c r="J81" s="65"/>
    </row>
    <row r="82" spans="1:10" x14ac:dyDescent="0.25">
      <c r="B82" s="143"/>
      <c r="C82" s="144"/>
      <c r="D82" s="145"/>
      <c r="E82" s="128"/>
      <c r="F82" s="80"/>
      <c r="G82" s="139"/>
      <c r="H82" s="82"/>
      <c r="I82" s="82"/>
      <c r="J82" s="65"/>
    </row>
    <row r="83" spans="1:10" x14ac:dyDescent="0.25">
      <c r="B83" s="140" t="s">
        <v>141</v>
      </c>
      <c r="C83" s="141">
        <f>+C71</f>
        <v>2674.5904450000003</v>
      </c>
      <c r="D83" s="141">
        <f>+D60</f>
        <v>1</v>
      </c>
      <c r="E83" s="146">
        <f>+C83/D83</f>
        <v>2674.5904450000003</v>
      </c>
      <c r="F83" s="80"/>
      <c r="G83" s="139"/>
      <c r="H83" s="82"/>
      <c r="I83" s="82"/>
      <c r="J83" s="65"/>
    </row>
    <row r="84" spans="1:10" x14ac:dyDescent="0.25">
      <c r="B84" s="140"/>
      <c r="C84" s="141"/>
      <c r="D84" s="141"/>
      <c r="E84" s="146"/>
      <c r="F84" s="80"/>
      <c r="G84" s="139"/>
      <c r="H84" s="82"/>
      <c r="I84" s="82"/>
      <c r="J84" s="65"/>
    </row>
    <row r="85" spans="1:10" ht="13.5" thickBot="1" x14ac:dyDescent="0.3">
      <c r="B85" s="140" t="s">
        <v>143</v>
      </c>
      <c r="C85" s="141">
        <f>+C73</f>
        <v>154</v>
      </c>
      <c r="D85" s="141">
        <f>+D60</f>
        <v>1</v>
      </c>
      <c r="E85" s="146">
        <f>+C85/D85</f>
        <v>154</v>
      </c>
      <c r="F85" s="148"/>
      <c r="G85" s="138"/>
      <c r="H85" s="64"/>
      <c r="I85" s="82"/>
    </row>
    <row r="86" spans="1:10" ht="13.5" thickBot="1" x14ac:dyDescent="0.3">
      <c r="B86" s="140" t="s">
        <v>143</v>
      </c>
      <c r="C86" s="141">
        <f>+C74</f>
        <v>731.5</v>
      </c>
      <c r="D86" s="141">
        <f>+D85</f>
        <v>1</v>
      </c>
      <c r="E86" s="142">
        <f>+C86/D86</f>
        <v>731.5</v>
      </c>
      <c r="F86" s="147"/>
      <c r="G86" s="138"/>
      <c r="H86" s="64"/>
      <c r="I86" s="64"/>
    </row>
    <row r="87" spans="1:10" x14ac:dyDescent="0.25">
      <c r="I87" s="64"/>
    </row>
    <row r="88" spans="1:10" x14ac:dyDescent="0.2">
      <c r="A88" s="624"/>
      <c r="B88" s="624"/>
      <c r="C88" s="149"/>
      <c r="D88" s="149"/>
      <c r="E88" s="150"/>
      <c r="G88" s="151"/>
    </row>
    <row r="89" spans="1:10" x14ac:dyDescent="0.2">
      <c r="A89" s="83"/>
      <c r="B89" s="152"/>
      <c r="C89" s="153"/>
      <c r="D89" s="153"/>
      <c r="E89" s="154"/>
      <c r="G89" s="151"/>
    </row>
    <row r="90" spans="1:10" x14ac:dyDescent="0.2">
      <c r="A90" s="83"/>
      <c r="B90" s="152"/>
      <c r="C90" s="155"/>
      <c r="D90" s="155"/>
      <c r="E90" s="83"/>
      <c r="G90" s="151"/>
    </row>
    <row r="91" spans="1:10" x14ac:dyDescent="0.2">
      <c r="A91" s="83"/>
      <c r="B91" s="152"/>
      <c r="C91" s="156"/>
      <c r="D91" s="156"/>
      <c r="E91" s="83"/>
      <c r="G91" s="15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145F-D519-4A44-9C0B-4FF4DCF9AAB1}">
  <dimension ref="A1:I35"/>
  <sheetViews>
    <sheetView workbookViewId="0">
      <selection activeCell="C14" sqref="C14"/>
    </sheetView>
  </sheetViews>
  <sheetFormatPr baseColWidth="10" defaultRowHeight="15" x14ac:dyDescent="0.25"/>
  <cols>
    <col min="3" max="3" width="44.28515625" customWidth="1"/>
    <col min="4" max="4" width="22.140625" customWidth="1"/>
    <col min="7" max="7" width="11.85546875" customWidth="1"/>
    <col min="8" max="8" width="26.42578125" customWidth="1"/>
    <col min="9" max="9" width="17.42578125" bestFit="1" customWidth="1"/>
  </cols>
  <sheetData>
    <row r="1" spans="1:9" ht="15.75" x14ac:dyDescent="0.25">
      <c r="A1" s="526"/>
      <c r="B1" s="527"/>
      <c r="C1" s="532" t="s">
        <v>0</v>
      </c>
      <c r="D1" s="532"/>
      <c r="E1" s="532"/>
      <c r="F1" s="532"/>
      <c r="G1" s="532"/>
      <c r="H1" s="30" t="s">
        <v>1</v>
      </c>
      <c r="I1" s="31" t="s">
        <v>75</v>
      </c>
    </row>
    <row r="2" spans="1:9" ht="16.5" thickBot="1" x14ac:dyDescent="0.3">
      <c r="A2" s="528"/>
      <c r="B2" s="529"/>
      <c r="C2" s="533" t="s">
        <v>2</v>
      </c>
      <c r="D2" s="534"/>
      <c r="E2" s="534"/>
      <c r="F2" s="534"/>
      <c r="G2" s="535"/>
      <c r="H2" s="32" t="s">
        <v>3</v>
      </c>
      <c r="I2" s="33" t="s">
        <v>4</v>
      </c>
    </row>
    <row r="3" spans="1:9" ht="18.75" thickBot="1" x14ac:dyDescent="0.3">
      <c r="A3" s="528"/>
      <c r="B3" s="529"/>
      <c r="C3" s="559" t="s">
        <v>61</v>
      </c>
      <c r="D3" s="560"/>
      <c r="E3" s="560"/>
      <c r="F3" s="560"/>
      <c r="G3" s="561"/>
      <c r="H3" s="536" t="s">
        <v>5</v>
      </c>
      <c r="I3" s="517">
        <v>45615</v>
      </c>
    </row>
    <row r="4" spans="1:9" ht="18" customHeight="1" x14ac:dyDescent="0.25">
      <c r="A4" s="528"/>
      <c r="B4" s="529"/>
      <c r="C4" s="34" t="s">
        <v>6</v>
      </c>
      <c r="D4" s="520" t="s">
        <v>76</v>
      </c>
      <c r="E4" s="521"/>
      <c r="F4" s="521"/>
      <c r="G4" s="522"/>
      <c r="H4" s="537"/>
      <c r="I4" s="518"/>
    </row>
    <row r="5" spans="1:9" ht="15.75" thickBot="1" x14ac:dyDescent="0.3">
      <c r="A5" s="530"/>
      <c r="B5" s="531"/>
      <c r="C5" s="35" t="s">
        <v>7</v>
      </c>
      <c r="D5" s="523" t="s">
        <v>77</v>
      </c>
      <c r="E5" s="524"/>
      <c r="F5" s="524"/>
      <c r="G5" s="525"/>
      <c r="H5" s="538"/>
      <c r="I5" s="519"/>
    </row>
    <row r="6" spans="1:9" ht="18.75" thickBot="1" x14ac:dyDescent="0.3">
      <c r="A6" s="423" t="s">
        <v>8</v>
      </c>
      <c r="B6" s="423"/>
      <c r="C6" s="423"/>
      <c r="D6" s="424" t="s">
        <v>78</v>
      </c>
      <c r="E6" s="424"/>
      <c r="F6" s="424"/>
      <c r="G6" s="425" t="s">
        <v>9</v>
      </c>
      <c r="H6" s="425"/>
      <c r="I6" s="1" t="s">
        <v>78</v>
      </c>
    </row>
    <row r="7" spans="1:9" ht="25.5" x14ac:dyDescent="0.25">
      <c r="A7" s="511" t="s">
        <v>79</v>
      </c>
      <c r="B7" s="513" t="s">
        <v>10</v>
      </c>
      <c r="C7" s="515" t="s">
        <v>11</v>
      </c>
      <c r="D7" s="515" t="s">
        <v>12</v>
      </c>
      <c r="E7" s="515" t="s">
        <v>80</v>
      </c>
      <c r="F7" s="515"/>
      <c r="G7" s="515" t="s">
        <v>81</v>
      </c>
      <c r="H7" s="515"/>
      <c r="I7" s="36" t="s">
        <v>82</v>
      </c>
    </row>
    <row r="8" spans="1:9" ht="27" thickBot="1" x14ac:dyDescent="0.3">
      <c r="A8" s="663"/>
      <c r="B8" s="664"/>
      <c r="C8" s="665"/>
      <c r="D8" s="516"/>
      <c r="E8" s="37" t="s">
        <v>13</v>
      </c>
      <c r="F8" s="38" t="s">
        <v>14</v>
      </c>
      <c r="G8" s="37" t="s">
        <v>13</v>
      </c>
      <c r="H8" s="38" t="s">
        <v>14</v>
      </c>
      <c r="I8" s="39" t="s">
        <v>83</v>
      </c>
    </row>
    <row r="9" spans="1:9" x14ac:dyDescent="0.25">
      <c r="A9" s="40"/>
      <c r="B9" s="10" t="s">
        <v>49</v>
      </c>
      <c r="C9" s="10" t="s">
        <v>50</v>
      </c>
      <c r="D9" s="12" t="s">
        <v>15</v>
      </c>
      <c r="E9" s="14">
        <f>1100*8.22</f>
        <v>9042</v>
      </c>
      <c r="F9" s="14" t="s">
        <v>16</v>
      </c>
      <c r="G9" s="41"/>
      <c r="H9" s="2"/>
      <c r="I9" s="42"/>
    </row>
    <row r="10" spans="1:9" x14ac:dyDescent="0.25">
      <c r="A10" s="40"/>
      <c r="B10" s="10" t="s">
        <v>51</v>
      </c>
      <c r="C10" s="10" t="s">
        <v>52</v>
      </c>
      <c r="D10" s="13" t="s">
        <v>56</v>
      </c>
      <c r="E10" s="14">
        <f>120*8.22</f>
        <v>986.40000000000009</v>
      </c>
      <c r="F10" s="14" t="s">
        <v>16</v>
      </c>
      <c r="G10" s="43"/>
      <c r="H10" s="44"/>
      <c r="I10" s="42"/>
    </row>
    <row r="11" spans="1:9" x14ac:dyDescent="0.25">
      <c r="A11" s="40"/>
      <c r="B11" s="10" t="s">
        <v>40</v>
      </c>
      <c r="C11" s="10" t="s">
        <v>41</v>
      </c>
      <c r="D11" s="26" t="s">
        <v>57</v>
      </c>
      <c r="E11" s="14">
        <f>11*8.22</f>
        <v>90.42</v>
      </c>
      <c r="F11" s="14" t="s">
        <v>16</v>
      </c>
      <c r="G11" s="43"/>
      <c r="H11" s="44"/>
      <c r="I11" s="42"/>
    </row>
    <row r="12" spans="1:9" x14ac:dyDescent="0.25">
      <c r="A12" s="40"/>
      <c r="B12" s="10" t="s">
        <v>53</v>
      </c>
      <c r="C12" s="10" t="s">
        <v>54</v>
      </c>
      <c r="D12" s="27" t="s">
        <v>55</v>
      </c>
      <c r="E12" s="14">
        <f>14*8.22</f>
        <v>115.08000000000001</v>
      </c>
      <c r="F12" s="14" t="s">
        <v>16</v>
      </c>
      <c r="G12" s="43"/>
      <c r="H12" s="44"/>
      <c r="I12" s="42"/>
    </row>
    <row r="13" spans="1:9" x14ac:dyDescent="0.25">
      <c r="A13" s="40"/>
      <c r="B13" s="10"/>
      <c r="C13" s="10" t="s">
        <v>35</v>
      </c>
      <c r="D13" s="12" t="s">
        <v>15</v>
      </c>
      <c r="E13" s="14">
        <f>42*8.22</f>
        <v>345.24</v>
      </c>
      <c r="F13" s="14" t="s">
        <v>16</v>
      </c>
      <c r="G13" s="43"/>
      <c r="H13" s="44" t="s">
        <v>90</v>
      </c>
      <c r="I13" s="42"/>
    </row>
    <row r="14" spans="1:9" x14ac:dyDescent="0.25">
      <c r="A14" s="40"/>
      <c r="B14" s="10" t="s">
        <v>38</v>
      </c>
      <c r="C14" s="10" t="s">
        <v>39</v>
      </c>
      <c r="D14" s="12"/>
      <c r="E14" s="16">
        <f>1*18.22</f>
        <v>18.22</v>
      </c>
      <c r="F14" s="14"/>
      <c r="G14" s="43"/>
      <c r="H14" s="44"/>
      <c r="I14" s="42"/>
    </row>
    <row r="15" spans="1:9" ht="15.75" x14ac:dyDescent="0.25">
      <c r="A15" s="40"/>
      <c r="B15" s="10"/>
      <c r="C15" s="10"/>
      <c r="D15" s="15"/>
      <c r="E15" s="19"/>
      <c r="F15" s="15"/>
      <c r="G15" s="43"/>
      <c r="H15" s="44"/>
      <c r="I15" s="42"/>
    </row>
    <row r="16" spans="1:9" ht="18" customHeight="1" x14ac:dyDescent="0.25">
      <c r="A16" s="40"/>
      <c r="B16" s="11"/>
      <c r="C16" s="10"/>
      <c r="D16" s="29"/>
      <c r="E16" s="15"/>
      <c r="F16" s="15"/>
      <c r="G16" s="43"/>
      <c r="H16" s="44"/>
      <c r="I16" s="42"/>
    </row>
    <row r="17" spans="1:9" ht="15.75" x14ac:dyDescent="0.25">
      <c r="A17" s="45"/>
      <c r="B17" s="46"/>
      <c r="C17" s="28"/>
      <c r="D17" s="47"/>
      <c r="E17" s="47"/>
      <c r="F17" s="17"/>
      <c r="G17" s="48"/>
      <c r="H17" s="48"/>
      <c r="I17" s="42"/>
    </row>
    <row r="18" spans="1:9" ht="15.75" thickBot="1" x14ac:dyDescent="0.3">
      <c r="A18" s="49"/>
      <c r="B18" s="3"/>
      <c r="C18" s="4"/>
      <c r="D18" s="4"/>
      <c r="E18" s="5"/>
      <c r="F18" s="6"/>
      <c r="G18" s="4"/>
      <c r="H18" s="4"/>
      <c r="I18" s="7"/>
    </row>
    <row r="19" spans="1:9" ht="15.75" thickBot="1" x14ac:dyDescent="0.3">
      <c r="A19" s="50"/>
      <c r="B19" s="51"/>
      <c r="C19" s="52"/>
      <c r="D19" s="53" t="s">
        <v>13</v>
      </c>
      <c r="E19" s="54" t="s">
        <v>17</v>
      </c>
      <c r="F19" s="55"/>
      <c r="G19" s="52"/>
      <c r="H19" s="52"/>
      <c r="I19" s="56"/>
    </row>
    <row r="20" spans="1:9" x14ac:dyDescent="0.25">
      <c r="A20" s="505" t="s">
        <v>18</v>
      </c>
      <c r="B20" s="506"/>
      <c r="C20" s="507"/>
      <c r="D20" s="8">
        <v>10000</v>
      </c>
      <c r="E20" s="57" t="s">
        <v>16</v>
      </c>
      <c r="F20" s="508" t="s">
        <v>84</v>
      </c>
      <c r="G20" s="508"/>
      <c r="H20" s="509"/>
      <c r="I20" s="510"/>
    </row>
    <row r="21" spans="1:9" x14ac:dyDescent="0.25">
      <c r="A21" s="488" t="s">
        <v>19</v>
      </c>
      <c r="B21" s="489"/>
      <c r="C21" s="490"/>
      <c r="D21" s="8">
        <v>10</v>
      </c>
      <c r="E21" s="24" t="s">
        <v>85</v>
      </c>
      <c r="F21" s="491" t="s">
        <v>86</v>
      </c>
      <c r="G21" s="491"/>
      <c r="H21" s="492"/>
      <c r="I21" s="493"/>
    </row>
    <row r="22" spans="1:9" x14ac:dyDescent="0.25">
      <c r="A22" s="488" t="s">
        <v>20</v>
      </c>
      <c r="B22" s="489"/>
      <c r="C22" s="490"/>
      <c r="D22" s="8">
        <v>1</v>
      </c>
      <c r="E22" s="24" t="s">
        <v>87</v>
      </c>
      <c r="F22" s="491" t="s">
        <v>88</v>
      </c>
      <c r="G22" s="491"/>
      <c r="H22" s="492"/>
      <c r="I22" s="493"/>
    </row>
    <row r="23" spans="1:9" x14ac:dyDescent="0.25">
      <c r="A23" s="488" t="s">
        <v>21</v>
      </c>
      <c r="B23" s="489"/>
      <c r="C23" s="490"/>
      <c r="D23" s="8">
        <v>10000</v>
      </c>
      <c r="E23" s="24" t="s">
        <v>16</v>
      </c>
      <c r="F23" s="494" t="s">
        <v>89</v>
      </c>
      <c r="G23" s="495"/>
      <c r="H23" s="496"/>
      <c r="I23" s="497"/>
    </row>
    <row r="24" spans="1:9" ht="15.75" thickBot="1" x14ac:dyDescent="0.3">
      <c r="A24" s="498" t="s">
        <v>22</v>
      </c>
      <c r="B24" s="499"/>
      <c r="C24" s="500"/>
      <c r="D24" s="9">
        <f>SUM(E9:E13)-D20</f>
        <v>579.13999999999942</v>
      </c>
      <c r="E24" s="58" t="s">
        <v>16</v>
      </c>
      <c r="F24" s="501"/>
      <c r="G24" s="501"/>
      <c r="H24" s="492"/>
      <c r="I24" s="493"/>
    </row>
    <row r="25" spans="1:9" ht="15.75" thickBot="1" x14ac:dyDescent="0.3">
      <c r="A25" s="502" t="s">
        <v>23</v>
      </c>
      <c r="B25" s="503"/>
      <c r="C25" s="503"/>
      <c r="D25" s="503"/>
      <c r="E25" s="503"/>
      <c r="F25" s="503"/>
      <c r="G25" s="503"/>
      <c r="H25" s="503"/>
      <c r="I25" s="504"/>
    </row>
    <row r="26" spans="1:9" ht="15.4" customHeight="1" thickBot="1" x14ac:dyDescent="0.3">
      <c r="A26" s="651" t="s">
        <v>63</v>
      </c>
      <c r="B26" s="652"/>
      <c r="C26" s="652"/>
      <c r="D26" s="652"/>
      <c r="E26" s="652"/>
      <c r="F26" s="652"/>
      <c r="G26" s="652"/>
      <c r="H26" s="652"/>
      <c r="I26" s="653"/>
    </row>
    <row r="27" spans="1:9" ht="14.65" customHeight="1" thickBot="1" x14ac:dyDescent="0.3">
      <c r="A27" s="651" t="s">
        <v>64</v>
      </c>
      <c r="B27" s="652"/>
      <c r="C27" s="652"/>
      <c r="D27" s="652"/>
      <c r="E27" s="652"/>
      <c r="F27" s="652"/>
      <c r="G27" s="652"/>
      <c r="H27" s="652"/>
      <c r="I27" s="653"/>
    </row>
    <row r="28" spans="1:9" x14ac:dyDescent="0.25">
      <c r="A28" s="651" t="s">
        <v>65</v>
      </c>
      <c r="B28" s="652"/>
      <c r="C28" s="652"/>
      <c r="D28" s="652"/>
      <c r="E28" s="652"/>
      <c r="F28" s="652"/>
      <c r="G28" s="652"/>
      <c r="H28" s="652"/>
      <c r="I28" s="653"/>
    </row>
    <row r="29" spans="1:9" ht="17.25" thickBot="1" x14ac:dyDescent="0.35">
      <c r="A29" s="654"/>
      <c r="B29" s="654"/>
      <c r="C29" s="654"/>
      <c r="D29" s="654"/>
      <c r="E29" s="654"/>
      <c r="F29" s="654"/>
      <c r="G29" s="654"/>
      <c r="H29" s="654"/>
      <c r="I29" s="654"/>
    </row>
    <row r="30" spans="1:9" ht="15.75" x14ac:dyDescent="0.25">
      <c r="A30" s="655"/>
      <c r="B30" s="656"/>
      <c r="C30" s="657"/>
      <c r="D30" s="657"/>
      <c r="E30" s="657"/>
      <c r="F30" s="657"/>
      <c r="G30" s="657"/>
      <c r="H30" s="657"/>
      <c r="I30" s="658"/>
    </row>
    <row r="31" spans="1:9" x14ac:dyDescent="0.25">
      <c r="A31" s="659"/>
      <c r="B31" s="660"/>
      <c r="C31" s="661"/>
      <c r="D31" s="661"/>
      <c r="E31" s="661"/>
      <c r="F31" s="661"/>
      <c r="G31" s="661"/>
      <c r="H31" s="661"/>
      <c r="I31" s="662"/>
    </row>
    <row r="32" spans="1:9" ht="15.75" thickBot="1" x14ac:dyDescent="0.3">
      <c r="A32" s="483"/>
      <c r="B32" s="484"/>
      <c r="C32" s="484"/>
      <c r="D32" s="484"/>
      <c r="E32" s="484"/>
      <c r="F32" s="484"/>
      <c r="G32" s="484"/>
      <c r="H32" s="484"/>
      <c r="I32" s="485"/>
    </row>
    <row r="33" spans="1:9" x14ac:dyDescent="0.25">
      <c r="A33" s="486" t="s">
        <v>24</v>
      </c>
      <c r="B33" s="487"/>
      <c r="C33" s="487"/>
      <c r="D33" s="487"/>
      <c r="E33" s="487"/>
      <c r="F33" s="487"/>
      <c r="G33" s="487"/>
      <c r="H33" s="487"/>
      <c r="I33" s="487"/>
    </row>
    <row r="34" spans="1:9" x14ac:dyDescent="0.25">
      <c r="A34" s="469"/>
      <c r="B34" s="470"/>
      <c r="C34" s="470"/>
      <c r="D34" s="470"/>
      <c r="E34" s="470"/>
      <c r="F34" s="470"/>
      <c r="G34" s="470"/>
      <c r="H34" s="470"/>
      <c r="I34" s="470"/>
    </row>
    <row r="35" spans="1:9" x14ac:dyDescent="0.25">
      <c r="A35" s="469"/>
      <c r="B35" s="470"/>
      <c r="C35" s="470"/>
      <c r="D35" s="470"/>
      <c r="E35" s="470"/>
      <c r="F35" s="470"/>
      <c r="G35" s="470"/>
      <c r="H35" s="470"/>
      <c r="I35" s="470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4:I34"/>
    <mergeCell ref="A35:I35"/>
    <mergeCell ref="A28:I28"/>
    <mergeCell ref="A29:I29"/>
    <mergeCell ref="A30:I30"/>
    <mergeCell ref="A31:I31"/>
    <mergeCell ref="A32:I32"/>
    <mergeCell ref="A33:I3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E49C-B94B-491B-B6AE-BE48809F4C4B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.85546875" customWidth="1"/>
    <col min="3" max="3" width="49" customWidth="1"/>
    <col min="4" max="4" width="11.85546875" customWidth="1"/>
    <col min="7" max="7" width="22" customWidth="1"/>
    <col min="8" max="8" width="15.28515625" customWidth="1"/>
    <col min="9" max="9" width="19.28515625" bestFit="1" customWidth="1"/>
  </cols>
  <sheetData>
    <row r="1" spans="1:9" ht="15.75" x14ac:dyDescent="0.25">
      <c r="A1" s="526"/>
      <c r="B1" s="527"/>
      <c r="C1" s="532" t="s">
        <v>0</v>
      </c>
      <c r="D1" s="532"/>
      <c r="E1" s="532"/>
      <c r="F1" s="532"/>
      <c r="G1" s="532"/>
      <c r="H1" s="30" t="s">
        <v>1</v>
      </c>
      <c r="I1" s="31" t="s">
        <v>266</v>
      </c>
    </row>
    <row r="2" spans="1:9" ht="16.5" thickBot="1" x14ac:dyDescent="0.3">
      <c r="A2" s="528"/>
      <c r="B2" s="529"/>
      <c r="C2" s="533" t="s">
        <v>2</v>
      </c>
      <c r="D2" s="534"/>
      <c r="E2" s="534"/>
      <c r="F2" s="534"/>
      <c r="G2" s="535"/>
      <c r="H2" s="32" t="s">
        <v>3</v>
      </c>
      <c r="I2" s="33" t="s">
        <v>268</v>
      </c>
    </row>
    <row r="3" spans="1:9" ht="26.25" thickBot="1" x14ac:dyDescent="0.3">
      <c r="A3" s="528"/>
      <c r="B3" s="529"/>
      <c r="C3" s="666" t="s">
        <v>265</v>
      </c>
      <c r="D3" s="667"/>
      <c r="E3" s="667"/>
      <c r="F3" s="667"/>
      <c r="G3" s="668"/>
      <c r="H3" s="536" t="s">
        <v>5</v>
      </c>
      <c r="I3" s="517">
        <v>45919</v>
      </c>
    </row>
    <row r="4" spans="1:9" x14ac:dyDescent="0.25">
      <c r="A4" s="528"/>
      <c r="B4" s="529"/>
      <c r="C4" s="34" t="s">
        <v>6</v>
      </c>
      <c r="D4" s="520" t="s">
        <v>76</v>
      </c>
      <c r="E4" s="521"/>
      <c r="F4" s="521"/>
      <c r="G4" s="522"/>
      <c r="H4" s="537"/>
      <c r="I4" s="518"/>
    </row>
    <row r="5" spans="1:9" ht="15.75" thickBot="1" x14ac:dyDescent="0.3">
      <c r="A5" s="530"/>
      <c r="B5" s="531"/>
      <c r="C5" s="35" t="s">
        <v>7</v>
      </c>
      <c r="D5" s="523" t="s">
        <v>77</v>
      </c>
      <c r="E5" s="524"/>
      <c r="F5" s="524"/>
      <c r="G5" s="525"/>
      <c r="H5" s="538"/>
      <c r="I5" s="519"/>
    </row>
    <row r="6" spans="1:9" ht="18.75" thickBot="1" x14ac:dyDescent="0.3">
      <c r="A6" s="423" t="s">
        <v>8</v>
      </c>
      <c r="B6" s="423"/>
      <c r="C6" s="423"/>
      <c r="D6" s="669" t="s">
        <v>78</v>
      </c>
      <c r="E6" s="669"/>
      <c r="F6" s="669"/>
      <c r="G6" s="425" t="s">
        <v>9</v>
      </c>
      <c r="H6" s="425"/>
      <c r="I6" s="407" t="s">
        <v>78</v>
      </c>
    </row>
    <row r="7" spans="1:9" x14ac:dyDescent="0.25">
      <c r="A7" s="511" t="s">
        <v>79</v>
      </c>
      <c r="B7" s="513" t="s">
        <v>10</v>
      </c>
      <c r="C7" s="515" t="s">
        <v>11</v>
      </c>
      <c r="D7" s="515" t="s">
        <v>12</v>
      </c>
      <c r="E7" s="515" t="s">
        <v>80</v>
      </c>
      <c r="F7" s="515"/>
      <c r="G7" s="515" t="s">
        <v>81</v>
      </c>
      <c r="H7" s="515"/>
      <c r="I7" s="36" t="s">
        <v>82</v>
      </c>
    </row>
    <row r="8" spans="1:9" ht="27" thickBot="1" x14ac:dyDescent="0.3">
      <c r="A8" s="663"/>
      <c r="B8" s="664"/>
      <c r="C8" s="665"/>
      <c r="D8" s="516"/>
      <c r="E8" s="37" t="s">
        <v>13</v>
      </c>
      <c r="F8" s="38" t="s">
        <v>14</v>
      </c>
      <c r="G8" s="37" t="s">
        <v>13</v>
      </c>
      <c r="H8" s="38" t="s">
        <v>14</v>
      </c>
      <c r="I8" s="39" t="s">
        <v>83</v>
      </c>
    </row>
    <row r="9" spans="1:9" ht="20.25" x14ac:dyDescent="0.3">
      <c r="A9" s="370"/>
      <c r="B9" s="371" t="s">
        <v>49</v>
      </c>
      <c r="C9" s="371" t="s">
        <v>50</v>
      </c>
      <c r="D9" s="372" t="s">
        <v>15</v>
      </c>
      <c r="E9" s="373">
        <v>9042</v>
      </c>
      <c r="F9" s="373" t="s">
        <v>16</v>
      </c>
      <c r="G9" s="374"/>
      <c r="H9" s="375"/>
      <c r="I9" s="376"/>
    </row>
    <row r="10" spans="1:9" ht="20.25" x14ac:dyDescent="0.3">
      <c r="A10" s="370"/>
      <c r="B10" s="371" t="s">
        <v>51</v>
      </c>
      <c r="C10" s="371" t="s">
        <v>52</v>
      </c>
      <c r="D10" s="377" t="s">
        <v>56</v>
      </c>
      <c r="E10" s="373">
        <v>986.40000000000009</v>
      </c>
      <c r="F10" s="373" t="s">
        <v>16</v>
      </c>
      <c r="G10" s="378"/>
      <c r="H10" s="379"/>
      <c r="I10" s="376"/>
    </row>
    <row r="11" spans="1:9" ht="20.25" x14ac:dyDescent="0.3">
      <c r="A11" s="370"/>
      <c r="B11" s="371" t="s">
        <v>40</v>
      </c>
      <c r="C11" s="371" t="s">
        <v>41</v>
      </c>
      <c r="D11" s="380" t="s">
        <v>57</v>
      </c>
      <c r="E11" s="373">
        <v>90.42</v>
      </c>
      <c r="F11" s="373" t="s">
        <v>16</v>
      </c>
      <c r="G11" s="378"/>
      <c r="H11" s="379"/>
      <c r="I11" s="376"/>
    </row>
    <row r="12" spans="1:9" ht="20.25" x14ac:dyDescent="0.3">
      <c r="A12" s="370"/>
      <c r="B12" s="371" t="s">
        <v>53</v>
      </c>
      <c r="C12" s="371" t="s">
        <v>54</v>
      </c>
      <c r="D12" s="381" t="s">
        <v>55</v>
      </c>
      <c r="E12" s="373">
        <v>30</v>
      </c>
      <c r="F12" s="373" t="s">
        <v>16</v>
      </c>
      <c r="G12" s="378"/>
      <c r="H12" s="379"/>
      <c r="I12" s="376"/>
    </row>
    <row r="13" spans="1:9" ht="40.5" x14ac:dyDescent="0.3">
      <c r="A13" s="370"/>
      <c r="B13" s="371"/>
      <c r="C13" s="371" t="s">
        <v>35</v>
      </c>
      <c r="D13" s="372" t="s">
        <v>15</v>
      </c>
      <c r="E13" s="373">
        <v>400</v>
      </c>
      <c r="F13" s="373" t="s">
        <v>16</v>
      </c>
      <c r="G13" s="378"/>
      <c r="H13" s="379" t="s">
        <v>90</v>
      </c>
      <c r="I13" s="376"/>
    </row>
    <row r="14" spans="1:9" ht="20.25" x14ac:dyDescent="0.3">
      <c r="A14" s="370"/>
      <c r="B14" s="371" t="s">
        <v>38</v>
      </c>
      <c r="C14" s="371" t="s">
        <v>39</v>
      </c>
      <c r="D14" s="372"/>
      <c r="E14" s="382">
        <v>18.22</v>
      </c>
      <c r="F14" s="373" t="s">
        <v>16</v>
      </c>
      <c r="G14" s="378"/>
      <c r="H14" s="379"/>
      <c r="I14" s="376"/>
    </row>
    <row r="15" spans="1:9" ht="20.25" x14ac:dyDescent="0.3">
      <c r="A15" s="370"/>
      <c r="B15" s="371" t="s">
        <v>42</v>
      </c>
      <c r="C15" s="371" t="s">
        <v>43</v>
      </c>
      <c r="D15" s="377"/>
      <c r="E15" s="382">
        <v>18.22</v>
      </c>
      <c r="F15" s="377" t="s">
        <v>16</v>
      </c>
      <c r="G15" s="378"/>
      <c r="H15" s="379"/>
      <c r="I15" s="376"/>
    </row>
    <row r="16" spans="1:9" ht="20.25" x14ac:dyDescent="0.3">
      <c r="A16" s="370"/>
      <c r="B16" s="383"/>
      <c r="C16" s="371"/>
      <c r="D16" s="384"/>
      <c r="E16" s="377"/>
      <c r="F16" s="377"/>
      <c r="G16" s="378"/>
      <c r="H16" s="379"/>
      <c r="I16" s="376"/>
    </row>
    <row r="17" spans="1:9" ht="20.25" x14ac:dyDescent="0.3">
      <c r="A17" s="385"/>
      <c r="B17" s="386"/>
      <c r="C17" s="387"/>
      <c r="D17" s="388"/>
      <c r="E17" s="388"/>
      <c r="F17" s="389"/>
      <c r="G17" s="388"/>
      <c r="H17" s="388"/>
      <c r="I17" s="376"/>
    </row>
    <row r="18" spans="1:9" ht="21" thickBot="1" x14ac:dyDescent="0.35">
      <c r="A18" s="390"/>
      <c r="B18" s="391"/>
      <c r="C18" s="392"/>
      <c r="D18" s="392"/>
      <c r="E18" s="393"/>
      <c r="F18" s="394"/>
      <c r="G18" s="392"/>
      <c r="H18" s="392"/>
      <c r="I18" s="395"/>
    </row>
    <row r="19" spans="1:9" ht="21" thickBot="1" x14ac:dyDescent="0.35">
      <c r="A19" s="396"/>
      <c r="B19" s="397"/>
      <c r="C19" s="398"/>
      <c r="D19" s="399" t="s">
        <v>13</v>
      </c>
      <c r="E19" s="400" t="s">
        <v>17</v>
      </c>
      <c r="F19" s="401"/>
      <c r="G19" s="398"/>
      <c r="H19" s="398"/>
      <c r="I19" s="402"/>
    </row>
    <row r="20" spans="1:9" ht="20.25" x14ac:dyDescent="0.3">
      <c r="A20" s="670" t="s">
        <v>18</v>
      </c>
      <c r="B20" s="671"/>
      <c r="C20" s="672"/>
      <c r="D20" s="403">
        <v>10000</v>
      </c>
      <c r="E20" s="404" t="s">
        <v>16</v>
      </c>
      <c r="F20" s="673" t="s">
        <v>84</v>
      </c>
      <c r="G20" s="673"/>
      <c r="H20" s="674"/>
      <c r="I20" s="675"/>
    </row>
    <row r="21" spans="1:9" ht="20.25" x14ac:dyDescent="0.3">
      <c r="A21" s="676" t="s">
        <v>19</v>
      </c>
      <c r="B21" s="677"/>
      <c r="C21" s="678"/>
      <c r="D21" s="403">
        <v>10</v>
      </c>
      <c r="E21" s="377" t="s">
        <v>85</v>
      </c>
      <c r="F21" s="679" t="s">
        <v>86</v>
      </c>
      <c r="G21" s="679"/>
      <c r="H21" s="680"/>
      <c r="I21" s="681"/>
    </row>
    <row r="22" spans="1:9" ht="20.25" x14ac:dyDescent="0.3">
      <c r="A22" s="676" t="s">
        <v>20</v>
      </c>
      <c r="B22" s="677"/>
      <c r="C22" s="678"/>
      <c r="D22" s="403">
        <v>1</v>
      </c>
      <c r="E22" s="377" t="s">
        <v>87</v>
      </c>
      <c r="F22" s="679" t="s">
        <v>88</v>
      </c>
      <c r="G22" s="679"/>
      <c r="H22" s="680"/>
      <c r="I22" s="681"/>
    </row>
    <row r="23" spans="1:9" ht="20.25" x14ac:dyDescent="0.3">
      <c r="A23" s="676" t="s">
        <v>21</v>
      </c>
      <c r="B23" s="677"/>
      <c r="C23" s="678"/>
      <c r="D23" s="403">
        <v>10000</v>
      </c>
      <c r="E23" s="377" t="s">
        <v>16</v>
      </c>
      <c r="F23" s="685" t="s">
        <v>89</v>
      </c>
      <c r="G23" s="686"/>
      <c r="H23" s="687"/>
      <c r="I23" s="688"/>
    </row>
    <row r="24" spans="1:9" ht="21" thickBot="1" x14ac:dyDescent="0.35">
      <c r="A24" s="689" t="s">
        <v>22</v>
      </c>
      <c r="B24" s="690"/>
      <c r="C24" s="691"/>
      <c r="D24" s="405">
        <v>579.13999999999942</v>
      </c>
      <c r="E24" s="406" t="s">
        <v>16</v>
      </c>
      <c r="F24" s="692"/>
      <c r="G24" s="692"/>
      <c r="H24" s="680"/>
      <c r="I24" s="681"/>
    </row>
    <row r="25" spans="1:9" ht="21" thickBot="1" x14ac:dyDescent="0.35">
      <c r="A25" s="693" t="s">
        <v>23</v>
      </c>
      <c r="B25" s="694"/>
      <c r="C25" s="694"/>
      <c r="D25" s="694"/>
      <c r="E25" s="694"/>
      <c r="F25" s="694"/>
      <c r="G25" s="694"/>
      <c r="H25" s="694"/>
      <c r="I25" s="695"/>
    </row>
    <row r="26" spans="1:9" ht="45.75" customHeight="1" thickBot="1" x14ac:dyDescent="0.3">
      <c r="A26" s="682" t="s">
        <v>246</v>
      </c>
      <c r="B26" s="683"/>
      <c r="C26" s="683"/>
      <c r="D26" s="683"/>
      <c r="E26" s="683"/>
      <c r="F26" s="683"/>
      <c r="G26" s="683"/>
      <c r="H26" s="683"/>
      <c r="I26" s="684"/>
    </row>
    <row r="27" spans="1:9" ht="21" thickBot="1" x14ac:dyDescent="0.3">
      <c r="A27" s="682" t="s">
        <v>64</v>
      </c>
      <c r="B27" s="683"/>
      <c r="C27" s="683"/>
      <c r="D27" s="683"/>
      <c r="E27" s="683"/>
      <c r="F27" s="683"/>
      <c r="G27" s="683"/>
      <c r="H27" s="683"/>
      <c r="I27" s="684"/>
    </row>
    <row r="28" spans="1:9" ht="20.25" x14ac:dyDescent="0.25">
      <c r="A28" s="682" t="s">
        <v>65</v>
      </c>
      <c r="B28" s="683"/>
      <c r="C28" s="683"/>
      <c r="D28" s="683"/>
      <c r="E28" s="683"/>
      <c r="F28" s="683"/>
      <c r="G28" s="683"/>
      <c r="H28" s="683"/>
      <c r="I28" s="684"/>
    </row>
    <row r="29" spans="1:9" ht="20.25" x14ac:dyDescent="0.3">
      <c r="A29" s="697"/>
      <c r="B29" s="697"/>
      <c r="C29" s="697"/>
      <c r="D29" s="697"/>
      <c r="E29" s="697"/>
      <c r="F29" s="697"/>
      <c r="G29" s="697"/>
      <c r="H29" s="697"/>
      <c r="I29" s="697"/>
    </row>
    <row r="30" spans="1:9" ht="20.25" x14ac:dyDescent="0.3">
      <c r="A30" s="698"/>
      <c r="B30" s="699"/>
      <c r="C30" s="700"/>
      <c r="D30" s="700"/>
      <c r="E30" s="700"/>
      <c r="F30" s="700"/>
      <c r="G30" s="700"/>
      <c r="H30" s="700"/>
      <c r="I30" s="701"/>
    </row>
    <row r="31" spans="1:9" ht="20.25" x14ac:dyDescent="0.3">
      <c r="A31" s="702"/>
      <c r="B31" s="703"/>
      <c r="C31" s="704"/>
      <c r="D31" s="704"/>
      <c r="E31" s="704"/>
      <c r="F31" s="704"/>
      <c r="G31" s="704"/>
      <c r="H31" s="704"/>
      <c r="I31" s="705"/>
    </row>
    <row r="32" spans="1:9" ht="21" thickBot="1" x14ac:dyDescent="0.35">
      <c r="A32" s="706"/>
      <c r="B32" s="707"/>
      <c r="C32" s="707"/>
      <c r="D32" s="707"/>
      <c r="E32" s="707"/>
      <c r="F32" s="707"/>
      <c r="G32" s="707"/>
      <c r="H32" s="707"/>
      <c r="I32" s="708"/>
    </row>
    <row r="33" spans="1:9" ht="20.25" x14ac:dyDescent="0.3">
      <c r="A33" s="709" t="s">
        <v>24</v>
      </c>
      <c r="B33" s="710"/>
      <c r="C33" s="710"/>
      <c r="D33" s="710"/>
      <c r="E33" s="710"/>
      <c r="F33" s="710"/>
      <c r="G33" s="710"/>
      <c r="H33" s="710"/>
      <c r="I33" s="710"/>
    </row>
    <row r="34" spans="1:9" ht="20.25" x14ac:dyDescent="0.3">
      <c r="A34" s="696" t="s">
        <v>267</v>
      </c>
      <c r="B34" s="696"/>
      <c r="C34" s="696"/>
      <c r="D34" s="696"/>
      <c r="E34" s="696"/>
      <c r="F34" s="696"/>
      <c r="G34" s="696"/>
      <c r="H34" s="696"/>
      <c r="I34" s="696"/>
    </row>
    <row r="35" spans="1:9" ht="20.25" x14ac:dyDescent="0.3">
      <c r="A35" s="696"/>
      <c r="B35" s="696"/>
      <c r="C35" s="696"/>
      <c r="D35" s="696"/>
      <c r="E35" s="696"/>
      <c r="F35" s="696"/>
      <c r="G35" s="696"/>
      <c r="H35" s="696"/>
      <c r="I35" s="696"/>
    </row>
  </sheetData>
  <mergeCells count="43">
    <mergeCell ref="A35:I35"/>
    <mergeCell ref="A28:I28"/>
    <mergeCell ref="A29:I29"/>
    <mergeCell ref="A30:I30"/>
    <mergeCell ref="A31:I31"/>
    <mergeCell ref="A32:I32"/>
    <mergeCell ref="A33:I33"/>
    <mergeCell ref="A34:I34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6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3C19-7639-4946-9CBF-0700463CC945}">
  <dimension ref="A1:I58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3.5703125" bestFit="1" customWidth="1"/>
    <col min="9" max="9" width="17.42578125" bestFit="1" customWidth="1"/>
  </cols>
  <sheetData>
    <row r="1" spans="1:9" ht="15.75" x14ac:dyDescent="0.25">
      <c r="A1" s="526"/>
      <c r="B1" s="527"/>
      <c r="C1" s="532" t="s">
        <v>0</v>
      </c>
      <c r="D1" s="532"/>
      <c r="E1" s="532"/>
      <c r="F1" s="532"/>
      <c r="G1" s="532"/>
      <c r="H1" s="30" t="s">
        <v>1</v>
      </c>
      <c r="I1" s="31" t="s">
        <v>149</v>
      </c>
    </row>
    <row r="2" spans="1:9" ht="18" customHeight="1" thickBot="1" x14ac:dyDescent="0.3">
      <c r="A2" s="528"/>
      <c r="B2" s="529"/>
      <c r="C2" s="533" t="s">
        <v>2</v>
      </c>
      <c r="D2" s="534"/>
      <c r="E2" s="534"/>
      <c r="F2" s="534"/>
      <c r="G2" s="535"/>
      <c r="H2" s="32" t="s">
        <v>3</v>
      </c>
      <c r="I2" s="33" t="s">
        <v>4</v>
      </c>
    </row>
    <row r="3" spans="1:9" ht="31.5" customHeight="1" thickBot="1" x14ac:dyDescent="0.3">
      <c r="A3" s="528"/>
      <c r="B3" s="529"/>
      <c r="C3" s="559" t="s">
        <v>150</v>
      </c>
      <c r="D3" s="560"/>
      <c r="E3" s="560"/>
      <c r="F3" s="560"/>
      <c r="G3" s="561"/>
      <c r="H3" s="536" t="s">
        <v>5</v>
      </c>
      <c r="I3" s="517">
        <v>45613</v>
      </c>
    </row>
    <row r="4" spans="1:9" ht="18" customHeight="1" x14ac:dyDescent="0.25">
      <c r="A4" s="528"/>
      <c r="B4" s="529"/>
      <c r="C4" s="34" t="s">
        <v>6</v>
      </c>
      <c r="D4" s="520" t="s">
        <v>151</v>
      </c>
      <c r="E4" s="521"/>
      <c r="F4" s="521"/>
      <c r="G4" s="522"/>
      <c r="H4" s="537"/>
      <c r="I4" s="518"/>
    </row>
    <row r="5" spans="1:9" ht="15.75" thickBot="1" x14ac:dyDescent="0.3">
      <c r="A5" s="530"/>
      <c r="B5" s="531"/>
      <c r="C5" s="35" t="s">
        <v>7</v>
      </c>
      <c r="D5" s="523" t="s">
        <v>77</v>
      </c>
      <c r="E5" s="524"/>
      <c r="F5" s="524"/>
      <c r="G5" s="525"/>
      <c r="H5" s="538"/>
      <c r="I5" s="519"/>
    </row>
    <row r="6" spans="1:9" ht="18.75" thickBot="1" x14ac:dyDescent="0.3">
      <c r="A6" s="423" t="s">
        <v>8</v>
      </c>
      <c r="B6" s="423"/>
      <c r="C6" s="423"/>
      <c r="D6" s="424" t="s">
        <v>152</v>
      </c>
      <c r="E6" s="424"/>
      <c r="F6" s="424"/>
      <c r="G6" s="425" t="s">
        <v>9</v>
      </c>
      <c r="H6" s="425"/>
      <c r="I6" s="1" t="s">
        <v>153</v>
      </c>
    </row>
    <row r="7" spans="1:9" ht="25.5" x14ac:dyDescent="0.25">
      <c r="A7" s="511" t="s">
        <v>79</v>
      </c>
      <c r="B7" s="513" t="s">
        <v>10</v>
      </c>
      <c r="C7" s="515" t="s">
        <v>11</v>
      </c>
      <c r="D7" s="515" t="s">
        <v>12</v>
      </c>
      <c r="E7" s="515" t="s">
        <v>80</v>
      </c>
      <c r="F7" s="515"/>
      <c r="G7" s="515" t="s">
        <v>81</v>
      </c>
      <c r="H7" s="515"/>
      <c r="I7" s="36" t="s">
        <v>82</v>
      </c>
    </row>
    <row r="8" spans="1:9" ht="27" thickBot="1" x14ac:dyDescent="0.3">
      <c r="A8" s="512"/>
      <c r="B8" s="514"/>
      <c r="C8" s="516"/>
      <c r="D8" s="516"/>
      <c r="E8" s="37" t="s">
        <v>13</v>
      </c>
      <c r="F8" s="38" t="s">
        <v>14</v>
      </c>
      <c r="G8" s="37" t="s">
        <v>13</v>
      </c>
      <c r="H8" s="38" t="s">
        <v>14</v>
      </c>
      <c r="I8" s="39" t="s">
        <v>83</v>
      </c>
    </row>
    <row r="9" spans="1:9" x14ac:dyDescent="0.25">
      <c r="A9" s="157"/>
      <c r="B9" s="158"/>
      <c r="C9" s="159" t="s">
        <v>154</v>
      </c>
      <c r="D9" s="40"/>
      <c r="E9" s="41"/>
      <c r="F9" s="2"/>
      <c r="G9" s="41"/>
      <c r="H9" s="2"/>
      <c r="I9" s="42"/>
    </row>
    <row r="10" spans="1:9" ht="18" customHeight="1" x14ac:dyDescent="0.25">
      <c r="A10" s="160">
        <v>310148</v>
      </c>
      <c r="B10" s="161" t="s">
        <v>155</v>
      </c>
      <c r="C10" s="162" t="s">
        <v>156</v>
      </c>
      <c r="D10" s="163" t="s">
        <v>157</v>
      </c>
      <c r="E10" s="164">
        <v>12800</v>
      </c>
      <c r="F10" s="165" t="s">
        <v>16</v>
      </c>
      <c r="G10" s="166"/>
      <c r="H10" s="167"/>
      <c r="I10" s="42"/>
    </row>
    <row r="11" spans="1:9" x14ac:dyDescent="0.25">
      <c r="A11" s="160">
        <v>11400031</v>
      </c>
      <c r="B11" s="168" t="s">
        <v>158</v>
      </c>
      <c r="C11" s="169" t="s">
        <v>159</v>
      </c>
      <c r="D11" s="163" t="s">
        <v>157</v>
      </c>
      <c r="E11" s="170">
        <v>3200</v>
      </c>
      <c r="F11" s="171" t="s">
        <v>16</v>
      </c>
      <c r="G11" s="166"/>
      <c r="H11" s="167"/>
      <c r="I11" s="42"/>
    </row>
    <row r="12" spans="1:9" x14ac:dyDescent="0.25">
      <c r="A12" s="160" t="s">
        <v>160</v>
      </c>
      <c r="B12" s="168"/>
      <c r="C12" s="169" t="s">
        <v>161</v>
      </c>
      <c r="D12" s="163" t="s">
        <v>162</v>
      </c>
      <c r="E12" s="170">
        <v>800</v>
      </c>
      <c r="F12" s="171" t="s">
        <v>16</v>
      </c>
      <c r="G12" s="24"/>
      <c r="H12" s="167"/>
      <c r="I12" s="42"/>
    </row>
    <row r="13" spans="1:9" x14ac:dyDescent="0.25">
      <c r="A13" s="160">
        <v>1212410</v>
      </c>
      <c r="B13" s="168" t="s">
        <v>38</v>
      </c>
      <c r="C13" s="169" t="s">
        <v>163</v>
      </c>
      <c r="D13" s="163" t="s">
        <v>34</v>
      </c>
      <c r="E13" s="170">
        <v>12</v>
      </c>
      <c r="F13" s="171" t="s">
        <v>16</v>
      </c>
      <c r="G13" s="24"/>
      <c r="H13" s="167"/>
      <c r="I13" s="42"/>
    </row>
    <row r="14" spans="1:9" x14ac:dyDescent="0.25">
      <c r="A14" s="172"/>
      <c r="B14" s="173"/>
      <c r="C14" s="174"/>
      <c r="D14" s="24"/>
      <c r="E14" s="24"/>
      <c r="F14" s="175"/>
      <c r="G14" s="24"/>
      <c r="H14" s="167"/>
      <c r="I14" s="42"/>
    </row>
    <row r="15" spans="1:9" x14ac:dyDescent="0.25">
      <c r="A15" s="176"/>
      <c r="B15" s="173"/>
      <c r="C15" s="177"/>
      <c r="D15" s="24"/>
      <c r="E15" s="24"/>
      <c r="F15" s="175"/>
      <c r="G15" s="24"/>
      <c r="H15" s="167"/>
      <c r="I15" s="42"/>
    </row>
    <row r="16" spans="1:9" x14ac:dyDescent="0.25">
      <c r="A16" s="24"/>
      <c r="B16" s="24"/>
      <c r="C16" s="178"/>
      <c r="D16" s="179"/>
      <c r="E16" s="179"/>
      <c r="F16" s="166"/>
      <c r="G16" s="24"/>
      <c r="H16" s="167"/>
      <c r="I16" s="42"/>
    </row>
    <row r="17" spans="1:9" x14ac:dyDescent="0.25">
      <c r="A17" s="173"/>
      <c r="B17" s="173"/>
      <c r="C17" s="180"/>
      <c r="D17" s="24"/>
      <c r="E17" s="24"/>
      <c r="F17" s="175"/>
      <c r="G17" s="24"/>
      <c r="H17" s="167"/>
      <c r="I17" s="42"/>
    </row>
    <row r="18" spans="1:9" x14ac:dyDescent="0.25">
      <c r="A18" s="172"/>
      <c r="B18" s="173"/>
      <c r="C18" s="174"/>
      <c r="D18" s="24"/>
      <c r="E18" s="24"/>
      <c r="F18" s="175"/>
      <c r="G18" s="24"/>
      <c r="H18" s="167"/>
      <c r="I18" s="42"/>
    </row>
    <row r="19" spans="1:9" ht="15.75" x14ac:dyDescent="0.25">
      <c r="A19" s="11"/>
      <c r="B19" s="11"/>
      <c r="C19" s="10"/>
      <c r="D19" s="181"/>
      <c r="E19" s="19"/>
      <c r="F19" s="182"/>
      <c r="G19" s="41"/>
      <c r="H19" s="167"/>
      <c r="I19" s="42"/>
    </row>
    <row r="20" spans="1:9" ht="15.75" x14ac:dyDescent="0.25">
      <c r="A20" s="45"/>
      <c r="B20" s="46"/>
      <c r="C20" s="183" t="s">
        <v>152</v>
      </c>
      <c r="D20" s="47"/>
      <c r="E20" s="184"/>
      <c r="F20" s="17"/>
      <c r="G20" s="41"/>
      <c r="H20" s="2"/>
      <c r="I20" s="42"/>
    </row>
    <row r="21" spans="1:9" x14ac:dyDescent="0.25">
      <c r="A21" s="160"/>
      <c r="B21" s="185"/>
      <c r="C21" s="162"/>
      <c r="D21" s="163"/>
      <c r="E21" s="170"/>
      <c r="F21" s="171"/>
      <c r="G21" s="41"/>
      <c r="H21" s="2"/>
      <c r="I21" s="42"/>
    </row>
    <row r="22" spans="1:9" x14ac:dyDescent="0.25">
      <c r="A22" s="160"/>
      <c r="B22" s="185"/>
      <c r="C22" s="162"/>
      <c r="D22" s="163"/>
      <c r="E22" s="186"/>
      <c r="F22" s="171"/>
      <c r="G22" s="41"/>
      <c r="H22" s="2"/>
      <c r="I22" s="42"/>
    </row>
    <row r="23" spans="1:9" x14ac:dyDescent="0.25">
      <c r="A23" s="160"/>
      <c r="B23" s="185"/>
      <c r="C23" s="162"/>
      <c r="D23" s="163"/>
      <c r="E23" s="170"/>
      <c r="F23" s="171"/>
      <c r="G23" s="41"/>
      <c r="H23" s="2"/>
      <c r="I23" s="42"/>
    </row>
    <row r="24" spans="1:9" x14ac:dyDescent="0.25">
      <c r="A24" s="160"/>
      <c r="B24" s="185"/>
      <c r="C24" s="162"/>
      <c r="D24" s="163"/>
      <c r="E24" s="187"/>
      <c r="F24" s="188"/>
      <c r="G24" s="41"/>
      <c r="H24" s="2"/>
      <c r="I24" s="42"/>
    </row>
    <row r="25" spans="1:9" x14ac:dyDescent="0.25">
      <c r="A25" s="160"/>
      <c r="B25" s="185"/>
      <c r="C25" s="162"/>
      <c r="D25" s="163"/>
      <c r="E25" s="164"/>
      <c r="F25" s="188"/>
      <c r="G25" s="41"/>
      <c r="H25" s="2"/>
      <c r="I25" s="42"/>
    </row>
    <row r="26" spans="1:9" x14ac:dyDescent="0.25">
      <c r="A26" s="59"/>
      <c r="B26" s="59"/>
      <c r="D26" s="189"/>
      <c r="E26" s="190"/>
      <c r="F26" s="191"/>
      <c r="G26" s="41"/>
      <c r="H26" s="2"/>
      <c r="I26" s="42"/>
    </row>
    <row r="27" spans="1:9" x14ac:dyDescent="0.25">
      <c r="A27" s="11"/>
      <c r="B27" s="11"/>
      <c r="C27" s="10"/>
      <c r="D27" s="192"/>
      <c r="E27" s="23"/>
      <c r="F27" s="191"/>
      <c r="G27" s="41"/>
      <c r="H27" s="2"/>
      <c r="I27" s="42"/>
    </row>
    <row r="28" spans="1:9" x14ac:dyDescent="0.25">
      <c r="A28" s="11"/>
      <c r="B28" s="11"/>
      <c r="C28" s="10"/>
      <c r="D28" s="192"/>
      <c r="E28" s="186"/>
      <c r="F28" s="193"/>
      <c r="G28" s="41"/>
      <c r="H28" s="2"/>
      <c r="I28" s="42"/>
    </row>
    <row r="29" spans="1:9" ht="15.75" x14ac:dyDescent="0.25">
      <c r="A29" s="194"/>
      <c r="B29" s="195"/>
      <c r="C29" s="196" t="s">
        <v>164</v>
      </c>
      <c r="D29" s="197"/>
      <c r="E29" s="198"/>
      <c r="F29" s="2"/>
      <c r="G29" s="41"/>
      <c r="I29" s="42"/>
    </row>
    <row r="30" spans="1:9" x14ac:dyDescent="0.25">
      <c r="A30" s="199">
        <v>702123</v>
      </c>
      <c r="B30" s="199" t="s">
        <v>71</v>
      </c>
      <c r="C30" s="28" t="s">
        <v>165</v>
      </c>
      <c r="D30" s="18" t="s">
        <v>166</v>
      </c>
      <c r="E30" s="200">
        <v>1</v>
      </c>
      <c r="F30" s="201" t="s">
        <v>25</v>
      </c>
      <c r="G30" s="202"/>
      <c r="H30" s="2"/>
      <c r="I30" s="42"/>
    </row>
    <row r="31" spans="1:9" x14ac:dyDescent="0.25">
      <c r="A31" s="199"/>
      <c r="B31" s="199"/>
      <c r="C31" s="28"/>
      <c r="D31" s="18"/>
      <c r="E31" s="200"/>
      <c r="F31" s="201"/>
      <c r="G31" s="202"/>
      <c r="H31" s="2"/>
      <c r="I31" s="42"/>
    </row>
    <row r="32" spans="1:9" x14ac:dyDescent="0.25">
      <c r="A32" s="199"/>
      <c r="B32" s="199"/>
      <c r="C32" s="28"/>
      <c r="D32" s="18"/>
      <c r="E32" s="200"/>
      <c r="F32" s="201"/>
      <c r="G32" s="202"/>
      <c r="H32" s="2"/>
      <c r="I32" s="42"/>
    </row>
    <row r="33" spans="1:9" x14ac:dyDescent="0.25">
      <c r="A33" s="203"/>
      <c r="B33" s="203"/>
      <c r="C33" s="204"/>
      <c r="D33" s="13"/>
      <c r="E33" s="205"/>
      <c r="F33" s="206"/>
      <c r="G33" s="41"/>
      <c r="H33" s="2"/>
      <c r="I33" s="42"/>
    </row>
    <row r="34" spans="1:9" x14ac:dyDescent="0.25">
      <c r="A34" s="203"/>
      <c r="B34" s="203"/>
      <c r="C34" s="207"/>
      <c r="D34" s="13"/>
      <c r="E34" s="13"/>
      <c r="F34" s="206"/>
      <c r="G34" s="41"/>
      <c r="H34" s="2"/>
      <c r="I34" s="42"/>
    </row>
    <row r="35" spans="1:9" x14ac:dyDescent="0.25">
      <c r="A35" s="203"/>
      <c r="B35" s="203"/>
      <c r="C35" s="207"/>
      <c r="D35" s="13"/>
      <c r="E35" s="13"/>
      <c r="F35" s="206"/>
      <c r="G35" s="208"/>
      <c r="H35" s="2"/>
      <c r="I35" s="42"/>
    </row>
    <row r="36" spans="1:9" ht="15.75" x14ac:dyDescent="0.25">
      <c r="A36" s="209"/>
      <c r="B36" s="210"/>
      <c r="C36" s="211"/>
      <c r="D36" s="212"/>
      <c r="E36" s="212"/>
      <c r="F36" s="213"/>
      <c r="G36" s="214"/>
      <c r="H36" s="2"/>
      <c r="I36" s="42"/>
    </row>
    <row r="37" spans="1:9" ht="15.75" x14ac:dyDescent="0.25">
      <c r="A37" s="45"/>
      <c r="B37" s="46"/>
      <c r="C37" s="28"/>
      <c r="D37" s="13"/>
      <c r="E37" s="214"/>
      <c r="F37" s="17"/>
      <c r="G37" s="215"/>
      <c r="H37" s="2"/>
      <c r="I37" s="42"/>
    </row>
    <row r="38" spans="1:9" ht="15.75" x14ac:dyDescent="0.25">
      <c r="A38" s="45"/>
      <c r="B38" s="46"/>
      <c r="C38" s="28"/>
      <c r="D38" s="47"/>
      <c r="E38" s="47"/>
      <c r="F38" s="17"/>
      <c r="G38" s="48"/>
      <c r="H38" s="48"/>
      <c r="I38" s="42"/>
    </row>
    <row r="39" spans="1:9" ht="15.75" thickBot="1" x14ac:dyDescent="0.3">
      <c r="A39" s="49"/>
      <c r="B39" s="3"/>
      <c r="C39" s="4"/>
      <c r="D39" s="4"/>
      <c r="E39" s="5"/>
      <c r="F39" s="6"/>
      <c r="G39" s="4"/>
      <c r="H39" s="4"/>
      <c r="I39" s="7"/>
    </row>
    <row r="40" spans="1:9" ht="15.75" thickBot="1" x14ac:dyDescent="0.3">
      <c r="A40" s="50"/>
      <c r="B40" s="51"/>
      <c r="C40" s="52"/>
      <c r="D40" s="53" t="s">
        <v>13</v>
      </c>
      <c r="E40" s="54" t="s">
        <v>17</v>
      </c>
      <c r="F40" s="55"/>
      <c r="G40" s="52"/>
      <c r="H40" s="52"/>
      <c r="I40" s="56"/>
    </row>
    <row r="41" spans="1:9" x14ac:dyDescent="0.25">
      <c r="A41" s="505" t="s">
        <v>18</v>
      </c>
      <c r="B41" s="506"/>
      <c r="C41" s="507"/>
      <c r="D41" s="23">
        <v>16597</v>
      </c>
      <c r="E41" s="57" t="s">
        <v>16</v>
      </c>
      <c r="F41" s="508" t="s">
        <v>84</v>
      </c>
      <c r="G41" s="508"/>
      <c r="H41" s="509"/>
      <c r="I41" s="510"/>
    </row>
    <row r="42" spans="1:9" x14ac:dyDescent="0.25">
      <c r="A42" s="488" t="s">
        <v>19</v>
      </c>
      <c r="B42" s="489"/>
      <c r="C42" s="490"/>
      <c r="D42" s="24">
        <v>10</v>
      </c>
      <c r="E42" s="24" t="s">
        <v>85</v>
      </c>
      <c r="F42" s="491" t="s">
        <v>86</v>
      </c>
      <c r="G42" s="491"/>
      <c r="H42" s="492"/>
      <c r="I42" s="493"/>
    </row>
    <row r="43" spans="1:9" x14ac:dyDescent="0.25">
      <c r="A43" s="488" t="s">
        <v>20</v>
      </c>
      <c r="B43" s="489"/>
      <c r="C43" s="490"/>
      <c r="D43" s="24">
        <v>1</v>
      </c>
      <c r="E43" s="24" t="s">
        <v>167</v>
      </c>
      <c r="F43" s="491" t="s">
        <v>88</v>
      </c>
      <c r="G43" s="491"/>
      <c r="H43" s="492"/>
      <c r="I43" s="493"/>
    </row>
    <row r="44" spans="1:9" x14ac:dyDescent="0.25">
      <c r="A44" s="488" t="s">
        <v>21</v>
      </c>
      <c r="B44" s="489"/>
      <c r="C44" s="490"/>
      <c r="D44" s="186">
        <v>16597</v>
      </c>
      <c r="E44" s="24" t="s">
        <v>16</v>
      </c>
      <c r="F44" s="494" t="s">
        <v>89</v>
      </c>
      <c r="G44" s="495"/>
      <c r="H44" s="496"/>
      <c r="I44" s="497"/>
    </row>
    <row r="45" spans="1:9" ht="15.75" thickBot="1" x14ac:dyDescent="0.3">
      <c r="A45" s="498" t="s">
        <v>22</v>
      </c>
      <c r="B45" s="499"/>
      <c r="C45" s="500"/>
      <c r="D45" s="25">
        <v>215</v>
      </c>
      <c r="E45" s="58" t="s">
        <v>16</v>
      </c>
      <c r="F45" s="501"/>
      <c r="G45" s="501"/>
      <c r="H45" s="492"/>
      <c r="I45" s="493"/>
    </row>
    <row r="46" spans="1:9" ht="15.75" thickBot="1" x14ac:dyDescent="0.3">
      <c r="A46" s="502" t="s">
        <v>23</v>
      </c>
      <c r="B46" s="503"/>
      <c r="C46" s="503"/>
      <c r="D46" s="503"/>
      <c r="E46" s="503"/>
      <c r="F46" s="503"/>
      <c r="G46" s="503"/>
      <c r="H46" s="503"/>
      <c r="I46" s="504"/>
    </row>
    <row r="47" spans="1:9" ht="18.600000000000001" customHeight="1" x14ac:dyDescent="0.25">
      <c r="A47" s="711" t="s">
        <v>168</v>
      </c>
      <c r="B47" s="712"/>
      <c r="C47" s="712"/>
      <c r="D47" s="712"/>
      <c r="E47" s="712"/>
      <c r="F47" s="712"/>
      <c r="G47" s="712"/>
      <c r="H47" s="712"/>
      <c r="I47" s="713"/>
    </row>
    <row r="48" spans="1:9" ht="14.45" customHeight="1" x14ac:dyDescent="0.25">
      <c r="A48" s="711" t="s">
        <v>169</v>
      </c>
      <c r="B48" s="712"/>
      <c r="C48" s="712"/>
      <c r="D48" s="712"/>
      <c r="E48" s="712"/>
      <c r="F48" s="712"/>
      <c r="G48" s="712"/>
      <c r="H48" s="712"/>
      <c r="I48" s="713"/>
    </row>
    <row r="49" spans="1:9" ht="14.45" customHeight="1" x14ac:dyDescent="0.25">
      <c r="A49" s="711" t="s">
        <v>170</v>
      </c>
      <c r="B49" s="712"/>
      <c r="C49" s="712"/>
      <c r="D49" s="712"/>
      <c r="E49" s="712"/>
      <c r="F49" s="712"/>
      <c r="G49" s="712"/>
      <c r="H49" s="712"/>
      <c r="I49" s="713"/>
    </row>
    <row r="50" spans="1:9" ht="14.45" customHeight="1" x14ac:dyDescent="0.25">
      <c r="A50" s="711" t="s">
        <v>171</v>
      </c>
      <c r="B50" s="712"/>
      <c r="C50" s="712"/>
      <c r="D50" s="712"/>
      <c r="E50" s="712"/>
      <c r="F50" s="712"/>
      <c r="G50" s="712"/>
      <c r="H50" s="712"/>
      <c r="I50" s="713"/>
    </row>
    <row r="51" spans="1:9" ht="14.45" customHeight="1" x14ac:dyDescent="0.25">
      <c r="A51" s="711" t="s">
        <v>172</v>
      </c>
      <c r="B51" s="712"/>
      <c r="C51" s="712"/>
      <c r="D51" s="712"/>
      <c r="E51" s="712"/>
      <c r="F51" s="712"/>
      <c r="G51" s="712"/>
      <c r="H51" s="712"/>
      <c r="I51" s="713"/>
    </row>
    <row r="52" spans="1:9" ht="14.45" customHeight="1" x14ac:dyDescent="0.25">
      <c r="A52" s="714"/>
      <c r="B52" s="715"/>
      <c r="C52" s="716"/>
      <c r="D52" s="716"/>
      <c r="E52" s="716"/>
      <c r="F52" s="716"/>
      <c r="G52" s="716"/>
      <c r="H52" s="716"/>
      <c r="I52" s="717"/>
    </row>
    <row r="53" spans="1:9" ht="18" customHeight="1" x14ac:dyDescent="0.25">
      <c r="A53" s="718"/>
      <c r="B53" s="719"/>
      <c r="C53" s="719"/>
      <c r="D53" s="719"/>
      <c r="E53" s="719"/>
      <c r="F53" s="719"/>
      <c r="G53" s="719"/>
      <c r="H53" s="719"/>
      <c r="I53" s="720"/>
    </row>
    <row r="54" spans="1:9" ht="15.75" thickBot="1" x14ac:dyDescent="0.3">
      <c r="A54" s="721"/>
      <c r="B54" s="722"/>
      <c r="C54" s="722"/>
      <c r="D54" s="722"/>
      <c r="E54" s="722"/>
      <c r="F54" s="722"/>
      <c r="G54" s="722"/>
      <c r="H54" s="722"/>
      <c r="I54" s="723"/>
    </row>
    <row r="55" spans="1:9" ht="15.75" thickBot="1" x14ac:dyDescent="0.3">
      <c r="A55" s="483"/>
      <c r="B55" s="484"/>
      <c r="C55" s="484"/>
      <c r="D55" s="484"/>
      <c r="E55" s="484"/>
      <c r="F55" s="484"/>
      <c r="G55" s="484"/>
      <c r="H55" s="484"/>
      <c r="I55" s="485"/>
    </row>
    <row r="56" spans="1:9" x14ac:dyDescent="0.25">
      <c r="A56" s="486" t="s">
        <v>24</v>
      </c>
      <c r="B56" s="487"/>
      <c r="C56" s="487"/>
      <c r="D56" s="487"/>
      <c r="E56" s="487"/>
      <c r="F56" s="487"/>
      <c r="G56" s="487"/>
      <c r="H56" s="487"/>
      <c r="I56" s="487"/>
    </row>
    <row r="57" spans="1:9" x14ac:dyDescent="0.25">
      <c r="A57" s="469"/>
      <c r="B57" s="470"/>
      <c r="C57" s="470"/>
      <c r="D57" s="470"/>
      <c r="E57" s="470"/>
      <c r="F57" s="470"/>
      <c r="G57" s="470"/>
      <c r="H57" s="470"/>
      <c r="I57" s="470"/>
    </row>
    <row r="58" spans="1:9" x14ac:dyDescent="0.25">
      <c r="A58" s="469"/>
      <c r="B58" s="470"/>
      <c r="C58" s="470"/>
      <c r="D58" s="470"/>
      <c r="E58" s="470"/>
      <c r="F58" s="470"/>
      <c r="G58" s="470"/>
      <c r="H58" s="470"/>
      <c r="I58" s="47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3376-E439-49D9-BA5D-767B066E77A2}">
  <dimension ref="A1:Q91"/>
  <sheetViews>
    <sheetView topLeftCell="A7" workbookViewId="0">
      <selection activeCell="E17" sqref="E17"/>
    </sheetView>
  </sheetViews>
  <sheetFormatPr baseColWidth="10" defaultColWidth="8.42578125" defaultRowHeight="12.75" x14ac:dyDescent="0.25"/>
  <cols>
    <col min="1" max="1" width="10" style="65" bestFit="1" customWidth="1"/>
    <col min="2" max="2" width="44.28515625" style="65" bestFit="1" customWidth="1"/>
    <col min="3" max="3" width="10.42578125" style="65" bestFit="1" customWidth="1"/>
    <col min="4" max="4" width="10.42578125" style="65" customWidth="1"/>
    <col min="5" max="5" width="9.7109375" style="65" bestFit="1" customWidth="1"/>
    <col min="6" max="6" width="9.5703125" style="65" bestFit="1" customWidth="1"/>
    <col min="7" max="7" width="9.5703125" style="147" bestFit="1" customWidth="1"/>
    <col min="8" max="8" width="10.42578125" style="138" bestFit="1" customWidth="1"/>
    <col min="9" max="9" width="4.5703125" style="138" customWidth="1"/>
    <col min="10" max="10" width="1.85546875" style="64" customWidth="1"/>
    <col min="11" max="11" width="7" style="65" bestFit="1" customWidth="1"/>
    <col min="12" max="12" width="6.285156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28515625" style="65" customWidth="1"/>
    <col min="18" max="256" width="8.42578125" style="65"/>
    <col min="257" max="257" width="10" style="65" bestFit="1" customWidth="1"/>
    <col min="258" max="258" width="44.28515625" style="65" bestFit="1" customWidth="1"/>
    <col min="259" max="259" width="10.42578125" style="65" bestFit="1" customWidth="1"/>
    <col min="260" max="260" width="10.42578125" style="65" customWidth="1"/>
    <col min="261" max="261" width="9.7109375" style="65" bestFit="1" customWidth="1"/>
    <col min="262" max="263" width="9.5703125" style="65" bestFit="1" customWidth="1"/>
    <col min="264" max="264" width="10.42578125" style="65" bestFit="1" customWidth="1"/>
    <col min="265" max="265" width="4.5703125" style="65" customWidth="1"/>
    <col min="266" max="266" width="1.85546875" style="65" customWidth="1"/>
    <col min="267" max="267" width="7" style="65" bestFit="1" customWidth="1"/>
    <col min="268" max="268" width="6.28515625" style="65" customWidth="1"/>
    <col min="269" max="269" width="20.42578125" style="65" customWidth="1"/>
    <col min="270" max="270" width="6.42578125" style="65" bestFit="1" customWidth="1"/>
    <col min="271" max="272" width="8.42578125" style="65"/>
    <col min="273" max="273" width="3.28515625" style="65" customWidth="1"/>
    <col min="274" max="512" width="8.42578125" style="65"/>
    <col min="513" max="513" width="10" style="65" bestFit="1" customWidth="1"/>
    <col min="514" max="514" width="44.28515625" style="65" bestFit="1" customWidth="1"/>
    <col min="515" max="515" width="10.42578125" style="65" bestFit="1" customWidth="1"/>
    <col min="516" max="516" width="10.42578125" style="65" customWidth="1"/>
    <col min="517" max="517" width="9.7109375" style="65" bestFit="1" customWidth="1"/>
    <col min="518" max="519" width="9.5703125" style="65" bestFit="1" customWidth="1"/>
    <col min="520" max="520" width="10.42578125" style="65" bestFit="1" customWidth="1"/>
    <col min="521" max="521" width="4.5703125" style="65" customWidth="1"/>
    <col min="522" max="522" width="1.85546875" style="65" customWidth="1"/>
    <col min="523" max="523" width="7" style="65" bestFit="1" customWidth="1"/>
    <col min="524" max="524" width="6.28515625" style="65" customWidth="1"/>
    <col min="525" max="525" width="20.42578125" style="65" customWidth="1"/>
    <col min="526" max="526" width="6.42578125" style="65" bestFit="1" customWidth="1"/>
    <col min="527" max="528" width="8.42578125" style="65"/>
    <col min="529" max="529" width="3.28515625" style="65" customWidth="1"/>
    <col min="530" max="768" width="8.42578125" style="65"/>
    <col min="769" max="769" width="10" style="65" bestFit="1" customWidth="1"/>
    <col min="770" max="770" width="44.28515625" style="65" bestFit="1" customWidth="1"/>
    <col min="771" max="771" width="10.42578125" style="65" bestFit="1" customWidth="1"/>
    <col min="772" max="772" width="10.42578125" style="65" customWidth="1"/>
    <col min="773" max="773" width="9.7109375" style="65" bestFit="1" customWidth="1"/>
    <col min="774" max="775" width="9.5703125" style="65" bestFit="1" customWidth="1"/>
    <col min="776" max="776" width="10.42578125" style="65" bestFit="1" customWidth="1"/>
    <col min="777" max="777" width="4.5703125" style="65" customWidth="1"/>
    <col min="778" max="778" width="1.85546875" style="65" customWidth="1"/>
    <col min="779" max="779" width="7" style="65" bestFit="1" customWidth="1"/>
    <col min="780" max="780" width="6.28515625" style="65" customWidth="1"/>
    <col min="781" max="781" width="20.42578125" style="65" customWidth="1"/>
    <col min="782" max="782" width="6.42578125" style="65" bestFit="1" customWidth="1"/>
    <col min="783" max="784" width="8.42578125" style="65"/>
    <col min="785" max="785" width="3.28515625" style="65" customWidth="1"/>
    <col min="786" max="1024" width="8.42578125" style="65"/>
    <col min="1025" max="1025" width="10" style="65" bestFit="1" customWidth="1"/>
    <col min="1026" max="1026" width="44.28515625" style="65" bestFit="1" customWidth="1"/>
    <col min="1027" max="1027" width="10.42578125" style="65" bestFit="1" customWidth="1"/>
    <col min="1028" max="1028" width="10.42578125" style="65" customWidth="1"/>
    <col min="1029" max="1029" width="9.7109375" style="65" bestFit="1" customWidth="1"/>
    <col min="1030" max="1031" width="9.5703125" style="65" bestFit="1" customWidth="1"/>
    <col min="1032" max="1032" width="10.42578125" style="65" bestFit="1" customWidth="1"/>
    <col min="1033" max="1033" width="4.5703125" style="65" customWidth="1"/>
    <col min="1034" max="1034" width="1.85546875" style="65" customWidth="1"/>
    <col min="1035" max="1035" width="7" style="65" bestFit="1" customWidth="1"/>
    <col min="1036" max="1036" width="6.28515625" style="65" customWidth="1"/>
    <col min="1037" max="1037" width="20.42578125" style="65" customWidth="1"/>
    <col min="1038" max="1038" width="6.42578125" style="65" bestFit="1" customWidth="1"/>
    <col min="1039" max="1040" width="8.42578125" style="65"/>
    <col min="1041" max="1041" width="3.28515625" style="65" customWidth="1"/>
    <col min="1042" max="1280" width="8.42578125" style="65"/>
    <col min="1281" max="1281" width="10" style="65" bestFit="1" customWidth="1"/>
    <col min="1282" max="1282" width="44.28515625" style="65" bestFit="1" customWidth="1"/>
    <col min="1283" max="1283" width="10.42578125" style="65" bestFit="1" customWidth="1"/>
    <col min="1284" max="1284" width="10.42578125" style="65" customWidth="1"/>
    <col min="1285" max="1285" width="9.7109375" style="65" bestFit="1" customWidth="1"/>
    <col min="1286" max="1287" width="9.5703125" style="65" bestFit="1" customWidth="1"/>
    <col min="1288" max="1288" width="10.42578125" style="65" bestFit="1" customWidth="1"/>
    <col min="1289" max="1289" width="4.5703125" style="65" customWidth="1"/>
    <col min="1290" max="1290" width="1.85546875" style="65" customWidth="1"/>
    <col min="1291" max="1291" width="7" style="65" bestFit="1" customWidth="1"/>
    <col min="1292" max="1292" width="6.28515625" style="65" customWidth="1"/>
    <col min="1293" max="1293" width="20.42578125" style="65" customWidth="1"/>
    <col min="1294" max="1294" width="6.42578125" style="65" bestFit="1" customWidth="1"/>
    <col min="1295" max="1296" width="8.42578125" style="65"/>
    <col min="1297" max="1297" width="3.28515625" style="65" customWidth="1"/>
    <col min="1298" max="1536" width="8.42578125" style="65"/>
    <col min="1537" max="1537" width="10" style="65" bestFit="1" customWidth="1"/>
    <col min="1538" max="1538" width="44.28515625" style="65" bestFit="1" customWidth="1"/>
    <col min="1539" max="1539" width="10.42578125" style="65" bestFit="1" customWidth="1"/>
    <col min="1540" max="1540" width="10.42578125" style="65" customWidth="1"/>
    <col min="1541" max="1541" width="9.7109375" style="65" bestFit="1" customWidth="1"/>
    <col min="1542" max="1543" width="9.5703125" style="65" bestFit="1" customWidth="1"/>
    <col min="1544" max="1544" width="10.42578125" style="65" bestFit="1" customWidth="1"/>
    <col min="1545" max="1545" width="4.5703125" style="65" customWidth="1"/>
    <col min="1546" max="1546" width="1.85546875" style="65" customWidth="1"/>
    <col min="1547" max="1547" width="7" style="65" bestFit="1" customWidth="1"/>
    <col min="1548" max="1548" width="6.28515625" style="65" customWidth="1"/>
    <col min="1549" max="1549" width="20.42578125" style="65" customWidth="1"/>
    <col min="1550" max="1550" width="6.42578125" style="65" bestFit="1" customWidth="1"/>
    <col min="1551" max="1552" width="8.42578125" style="65"/>
    <col min="1553" max="1553" width="3.28515625" style="65" customWidth="1"/>
    <col min="1554" max="1792" width="8.42578125" style="65"/>
    <col min="1793" max="1793" width="10" style="65" bestFit="1" customWidth="1"/>
    <col min="1794" max="1794" width="44.28515625" style="65" bestFit="1" customWidth="1"/>
    <col min="1795" max="1795" width="10.42578125" style="65" bestFit="1" customWidth="1"/>
    <col min="1796" max="1796" width="10.42578125" style="65" customWidth="1"/>
    <col min="1797" max="1797" width="9.7109375" style="65" bestFit="1" customWidth="1"/>
    <col min="1798" max="1799" width="9.5703125" style="65" bestFit="1" customWidth="1"/>
    <col min="1800" max="1800" width="10.42578125" style="65" bestFit="1" customWidth="1"/>
    <col min="1801" max="1801" width="4.5703125" style="65" customWidth="1"/>
    <col min="1802" max="1802" width="1.85546875" style="65" customWidth="1"/>
    <col min="1803" max="1803" width="7" style="65" bestFit="1" customWidth="1"/>
    <col min="1804" max="1804" width="6.28515625" style="65" customWidth="1"/>
    <col min="1805" max="1805" width="20.42578125" style="65" customWidth="1"/>
    <col min="1806" max="1806" width="6.42578125" style="65" bestFit="1" customWidth="1"/>
    <col min="1807" max="1808" width="8.42578125" style="65"/>
    <col min="1809" max="1809" width="3.28515625" style="65" customWidth="1"/>
    <col min="1810" max="2048" width="8.42578125" style="65"/>
    <col min="2049" max="2049" width="10" style="65" bestFit="1" customWidth="1"/>
    <col min="2050" max="2050" width="44.28515625" style="65" bestFit="1" customWidth="1"/>
    <col min="2051" max="2051" width="10.42578125" style="65" bestFit="1" customWidth="1"/>
    <col min="2052" max="2052" width="10.42578125" style="65" customWidth="1"/>
    <col min="2053" max="2053" width="9.7109375" style="65" bestFit="1" customWidth="1"/>
    <col min="2054" max="2055" width="9.5703125" style="65" bestFit="1" customWidth="1"/>
    <col min="2056" max="2056" width="10.42578125" style="65" bestFit="1" customWidth="1"/>
    <col min="2057" max="2057" width="4.5703125" style="65" customWidth="1"/>
    <col min="2058" max="2058" width="1.85546875" style="65" customWidth="1"/>
    <col min="2059" max="2059" width="7" style="65" bestFit="1" customWidth="1"/>
    <col min="2060" max="2060" width="6.28515625" style="65" customWidth="1"/>
    <col min="2061" max="2061" width="20.42578125" style="65" customWidth="1"/>
    <col min="2062" max="2062" width="6.42578125" style="65" bestFit="1" customWidth="1"/>
    <col min="2063" max="2064" width="8.42578125" style="65"/>
    <col min="2065" max="2065" width="3.28515625" style="65" customWidth="1"/>
    <col min="2066" max="2304" width="8.42578125" style="65"/>
    <col min="2305" max="2305" width="10" style="65" bestFit="1" customWidth="1"/>
    <col min="2306" max="2306" width="44.28515625" style="65" bestFit="1" customWidth="1"/>
    <col min="2307" max="2307" width="10.42578125" style="65" bestFit="1" customWidth="1"/>
    <col min="2308" max="2308" width="10.42578125" style="65" customWidth="1"/>
    <col min="2309" max="2309" width="9.7109375" style="65" bestFit="1" customWidth="1"/>
    <col min="2310" max="2311" width="9.5703125" style="65" bestFit="1" customWidth="1"/>
    <col min="2312" max="2312" width="10.42578125" style="65" bestFit="1" customWidth="1"/>
    <col min="2313" max="2313" width="4.5703125" style="65" customWidth="1"/>
    <col min="2314" max="2314" width="1.85546875" style="65" customWidth="1"/>
    <col min="2315" max="2315" width="7" style="65" bestFit="1" customWidth="1"/>
    <col min="2316" max="2316" width="6.28515625" style="65" customWidth="1"/>
    <col min="2317" max="2317" width="20.42578125" style="65" customWidth="1"/>
    <col min="2318" max="2318" width="6.42578125" style="65" bestFit="1" customWidth="1"/>
    <col min="2319" max="2320" width="8.42578125" style="65"/>
    <col min="2321" max="2321" width="3.28515625" style="65" customWidth="1"/>
    <col min="2322" max="2560" width="8.42578125" style="65"/>
    <col min="2561" max="2561" width="10" style="65" bestFit="1" customWidth="1"/>
    <col min="2562" max="2562" width="44.28515625" style="65" bestFit="1" customWidth="1"/>
    <col min="2563" max="2563" width="10.42578125" style="65" bestFit="1" customWidth="1"/>
    <col min="2564" max="2564" width="10.42578125" style="65" customWidth="1"/>
    <col min="2565" max="2565" width="9.7109375" style="65" bestFit="1" customWidth="1"/>
    <col min="2566" max="2567" width="9.5703125" style="65" bestFit="1" customWidth="1"/>
    <col min="2568" max="2568" width="10.42578125" style="65" bestFit="1" customWidth="1"/>
    <col min="2569" max="2569" width="4.5703125" style="65" customWidth="1"/>
    <col min="2570" max="2570" width="1.85546875" style="65" customWidth="1"/>
    <col min="2571" max="2571" width="7" style="65" bestFit="1" customWidth="1"/>
    <col min="2572" max="2572" width="6.28515625" style="65" customWidth="1"/>
    <col min="2573" max="2573" width="20.42578125" style="65" customWidth="1"/>
    <col min="2574" max="2574" width="6.42578125" style="65" bestFit="1" customWidth="1"/>
    <col min="2575" max="2576" width="8.42578125" style="65"/>
    <col min="2577" max="2577" width="3.28515625" style="65" customWidth="1"/>
    <col min="2578" max="2816" width="8.42578125" style="65"/>
    <col min="2817" max="2817" width="10" style="65" bestFit="1" customWidth="1"/>
    <col min="2818" max="2818" width="44.28515625" style="65" bestFit="1" customWidth="1"/>
    <col min="2819" max="2819" width="10.42578125" style="65" bestFit="1" customWidth="1"/>
    <col min="2820" max="2820" width="10.42578125" style="65" customWidth="1"/>
    <col min="2821" max="2821" width="9.7109375" style="65" bestFit="1" customWidth="1"/>
    <col min="2822" max="2823" width="9.5703125" style="65" bestFit="1" customWidth="1"/>
    <col min="2824" max="2824" width="10.42578125" style="65" bestFit="1" customWidth="1"/>
    <col min="2825" max="2825" width="4.5703125" style="65" customWidth="1"/>
    <col min="2826" max="2826" width="1.85546875" style="65" customWidth="1"/>
    <col min="2827" max="2827" width="7" style="65" bestFit="1" customWidth="1"/>
    <col min="2828" max="2828" width="6.28515625" style="65" customWidth="1"/>
    <col min="2829" max="2829" width="20.42578125" style="65" customWidth="1"/>
    <col min="2830" max="2830" width="6.42578125" style="65" bestFit="1" customWidth="1"/>
    <col min="2831" max="2832" width="8.42578125" style="65"/>
    <col min="2833" max="2833" width="3.28515625" style="65" customWidth="1"/>
    <col min="2834" max="3072" width="8.42578125" style="65"/>
    <col min="3073" max="3073" width="10" style="65" bestFit="1" customWidth="1"/>
    <col min="3074" max="3074" width="44.28515625" style="65" bestFit="1" customWidth="1"/>
    <col min="3075" max="3075" width="10.42578125" style="65" bestFit="1" customWidth="1"/>
    <col min="3076" max="3076" width="10.42578125" style="65" customWidth="1"/>
    <col min="3077" max="3077" width="9.7109375" style="65" bestFit="1" customWidth="1"/>
    <col min="3078" max="3079" width="9.5703125" style="65" bestFit="1" customWidth="1"/>
    <col min="3080" max="3080" width="10.42578125" style="65" bestFit="1" customWidth="1"/>
    <col min="3081" max="3081" width="4.5703125" style="65" customWidth="1"/>
    <col min="3082" max="3082" width="1.85546875" style="65" customWidth="1"/>
    <col min="3083" max="3083" width="7" style="65" bestFit="1" customWidth="1"/>
    <col min="3084" max="3084" width="6.28515625" style="65" customWidth="1"/>
    <col min="3085" max="3085" width="20.42578125" style="65" customWidth="1"/>
    <col min="3086" max="3086" width="6.42578125" style="65" bestFit="1" customWidth="1"/>
    <col min="3087" max="3088" width="8.42578125" style="65"/>
    <col min="3089" max="3089" width="3.28515625" style="65" customWidth="1"/>
    <col min="3090" max="3328" width="8.42578125" style="65"/>
    <col min="3329" max="3329" width="10" style="65" bestFit="1" customWidth="1"/>
    <col min="3330" max="3330" width="44.28515625" style="65" bestFit="1" customWidth="1"/>
    <col min="3331" max="3331" width="10.42578125" style="65" bestFit="1" customWidth="1"/>
    <col min="3332" max="3332" width="10.42578125" style="65" customWidth="1"/>
    <col min="3333" max="3333" width="9.7109375" style="65" bestFit="1" customWidth="1"/>
    <col min="3334" max="3335" width="9.5703125" style="65" bestFit="1" customWidth="1"/>
    <col min="3336" max="3336" width="10.42578125" style="65" bestFit="1" customWidth="1"/>
    <col min="3337" max="3337" width="4.5703125" style="65" customWidth="1"/>
    <col min="3338" max="3338" width="1.85546875" style="65" customWidth="1"/>
    <col min="3339" max="3339" width="7" style="65" bestFit="1" customWidth="1"/>
    <col min="3340" max="3340" width="6.28515625" style="65" customWidth="1"/>
    <col min="3341" max="3341" width="20.42578125" style="65" customWidth="1"/>
    <col min="3342" max="3342" width="6.42578125" style="65" bestFit="1" customWidth="1"/>
    <col min="3343" max="3344" width="8.42578125" style="65"/>
    <col min="3345" max="3345" width="3.28515625" style="65" customWidth="1"/>
    <col min="3346" max="3584" width="8.42578125" style="65"/>
    <col min="3585" max="3585" width="10" style="65" bestFit="1" customWidth="1"/>
    <col min="3586" max="3586" width="44.28515625" style="65" bestFit="1" customWidth="1"/>
    <col min="3587" max="3587" width="10.42578125" style="65" bestFit="1" customWidth="1"/>
    <col min="3588" max="3588" width="10.42578125" style="65" customWidth="1"/>
    <col min="3589" max="3589" width="9.7109375" style="65" bestFit="1" customWidth="1"/>
    <col min="3590" max="3591" width="9.5703125" style="65" bestFit="1" customWidth="1"/>
    <col min="3592" max="3592" width="10.42578125" style="65" bestFit="1" customWidth="1"/>
    <col min="3593" max="3593" width="4.5703125" style="65" customWidth="1"/>
    <col min="3594" max="3594" width="1.85546875" style="65" customWidth="1"/>
    <col min="3595" max="3595" width="7" style="65" bestFit="1" customWidth="1"/>
    <col min="3596" max="3596" width="6.28515625" style="65" customWidth="1"/>
    <col min="3597" max="3597" width="20.42578125" style="65" customWidth="1"/>
    <col min="3598" max="3598" width="6.42578125" style="65" bestFit="1" customWidth="1"/>
    <col min="3599" max="3600" width="8.42578125" style="65"/>
    <col min="3601" max="3601" width="3.28515625" style="65" customWidth="1"/>
    <col min="3602" max="3840" width="8.42578125" style="65"/>
    <col min="3841" max="3841" width="10" style="65" bestFit="1" customWidth="1"/>
    <col min="3842" max="3842" width="44.28515625" style="65" bestFit="1" customWidth="1"/>
    <col min="3843" max="3843" width="10.42578125" style="65" bestFit="1" customWidth="1"/>
    <col min="3844" max="3844" width="10.42578125" style="65" customWidth="1"/>
    <col min="3845" max="3845" width="9.7109375" style="65" bestFit="1" customWidth="1"/>
    <col min="3846" max="3847" width="9.5703125" style="65" bestFit="1" customWidth="1"/>
    <col min="3848" max="3848" width="10.42578125" style="65" bestFit="1" customWidth="1"/>
    <col min="3849" max="3849" width="4.5703125" style="65" customWidth="1"/>
    <col min="3850" max="3850" width="1.85546875" style="65" customWidth="1"/>
    <col min="3851" max="3851" width="7" style="65" bestFit="1" customWidth="1"/>
    <col min="3852" max="3852" width="6.28515625" style="65" customWidth="1"/>
    <col min="3853" max="3853" width="20.42578125" style="65" customWidth="1"/>
    <col min="3854" max="3854" width="6.42578125" style="65" bestFit="1" customWidth="1"/>
    <col min="3855" max="3856" width="8.42578125" style="65"/>
    <col min="3857" max="3857" width="3.28515625" style="65" customWidth="1"/>
    <col min="3858" max="4096" width="8.42578125" style="65"/>
    <col min="4097" max="4097" width="10" style="65" bestFit="1" customWidth="1"/>
    <col min="4098" max="4098" width="44.28515625" style="65" bestFit="1" customWidth="1"/>
    <col min="4099" max="4099" width="10.42578125" style="65" bestFit="1" customWidth="1"/>
    <col min="4100" max="4100" width="10.42578125" style="65" customWidth="1"/>
    <col min="4101" max="4101" width="9.7109375" style="65" bestFit="1" customWidth="1"/>
    <col min="4102" max="4103" width="9.5703125" style="65" bestFit="1" customWidth="1"/>
    <col min="4104" max="4104" width="10.42578125" style="65" bestFit="1" customWidth="1"/>
    <col min="4105" max="4105" width="4.5703125" style="65" customWidth="1"/>
    <col min="4106" max="4106" width="1.85546875" style="65" customWidth="1"/>
    <col min="4107" max="4107" width="7" style="65" bestFit="1" customWidth="1"/>
    <col min="4108" max="4108" width="6.28515625" style="65" customWidth="1"/>
    <col min="4109" max="4109" width="20.42578125" style="65" customWidth="1"/>
    <col min="4110" max="4110" width="6.42578125" style="65" bestFit="1" customWidth="1"/>
    <col min="4111" max="4112" width="8.42578125" style="65"/>
    <col min="4113" max="4113" width="3.28515625" style="65" customWidth="1"/>
    <col min="4114" max="4352" width="8.42578125" style="65"/>
    <col min="4353" max="4353" width="10" style="65" bestFit="1" customWidth="1"/>
    <col min="4354" max="4354" width="44.28515625" style="65" bestFit="1" customWidth="1"/>
    <col min="4355" max="4355" width="10.42578125" style="65" bestFit="1" customWidth="1"/>
    <col min="4356" max="4356" width="10.42578125" style="65" customWidth="1"/>
    <col min="4357" max="4357" width="9.7109375" style="65" bestFit="1" customWidth="1"/>
    <col min="4358" max="4359" width="9.5703125" style="65" bestFit="1" customWidth="1"/>
    <col min="4360" max="4360" width="10.42578125" style="65" bestFit="1" customWidth="1"/>
    <col min="4361" max="4361" width="4.5703125" style="65" customWidth="1"/>
    <col min="4362" max="4362" width="1.85546875" style="65" customWidth="1"/>
    <col min="4363" max="4363" width="7" style="65" bestFit="1" customWidth="1"/>
    <col min="4364" max="4364" width="6.28515625" style="65" customWidth="1"/>
    <col min="4365" max="4365" width="20.42578125" style="65" customWidth="1"/>
    <col min="4366" max="4366" width="6.42578125" style="65" bestFit="1" customWidth="1"/>
    <col min="4367" max="4368" width="8.42578125" style="65"/>
    <col min="4369" max="4369" width="3.28515625" style="65" customWidth="1"/>
    <col min="4370" max="4608" width="8.42578125" style="65"/>
    <col min="4609" max="4609" width="10" style="65" bestFit="1" customWidth="1"/>
    <col min="4610" max="4610" width="44.28515625" style="65" bestFit="1" customWidth="1"/>
    <col min="4611" max="4611" width="10.42578125" style="65" bestFit="1" customWidth="1"/>
    <col min="4612" max="4612" width="10.42578125" style="65" customWidth="1"/>
    <col min="4613" max="4613" width="9.7109375" style="65" bestFit="1" customWidth="1"/>
    <col min="4614" max="4615" width="9.5703125" style="65" bestFit="1" customWidth="1"/>
    <col min="4616" max="4616" width="10.42578125" style="65" bestFit="1" customWidth="1"/>
    <col min="4617" max="4617" width="4.5703125" style="65" customWidth="1"/>
    <col min="4618" max="4618" width="1.85546875" style="65" customWidth="1"/>
    <col min="4619" max="4619" width="7" style="65" bestFit="1" customWidth="1"/>
    <col min="4620" max="4620" width="6.28515625" style="65" customWidth="1"/>
    <col min="4621" max="4621" width="20.42578125" style="65" customWidth="1"/>
    <col min="4622" max="4622" width="6.42578125" style="65" bestFit="1" customWidth="1"/>
    <col min="4623" max="4624" width="8.42578125" style="65"/>
    <col min="4625" max="4625" width="3.28515625" style="65" customWidth="1"/>
    <col min="4626" max="4864" width="8.42578125" style="65"/>
    <col min="4865" max="4865" width="10" style="65" bestFit="1" customWidth="1"/>
    <col min="4866" max="4866" width="44.28515625" style="65" bestFit="1" customWidth="1"/>
    <col min="4867" max="4867" width="10.42578125" style="65" bestFit="1" customWidth="1"/>
    <col min="4868" max="4868" width="10.42578125" style="65" customWidth="1"/>
    <col min="4869" max="4869" width="9.7109375" style="65" bestFit="1" customWidth="1"/>
    <col min="4870" max="4871" width="9.5703125" style="65" bestFit="1" customWidth="1"/>
    <col min="4872" max="4872" width="10.42578125" style="65" bestFit="1" customWidth="1"/>
    <col min="4873" max="4873" width="4.5703125" style="65" customWidth="1"/>
    <col min="4874" max="4874" width="1.85546875" style="65" customWidth="1"/>
    <col min="4875" max="4875" width="7" style="65" bestFit="1" customWidth="1"/>
    <col min="4876" max="4876" width="6.28515625" style="65" customWidth="1"/>
    <col min="4877" max="4877" width="20.42578125" style="65" customWidth="1"/>
    <col min="4878" max="4878" width="6.42578125" style="65" bestFit="1" customWidth="1"/>
    <col min="4879" max="4880" width="8.42578125" style="65"/>
    <col min="4881" max="4881" width="3.28515625" style="65" customWidth="1"/>
    <col min="4882" max="5120" width="8.42578125" style="65"/>
    <col min="5121" max="5121" width="10" style="65" bestFit="1" customWidth="1"/>
    <col min="5122" max="5122" width="44.28515625" style="65" bestFit="1" customWidth="1"/>
    <col min="5123" max="5123" width="10.42578125" style="65" bestFit="1" customWidth="1"/>
    <col min="5124" max="5124" width="10.42578125" style="65" customWidth="1"/>
    <col min="5125" max="5125" width="9.7109375" style="65" bestFit="1" customWidth="1"/>
    <col min="5126" max="5127" width="9.5703125" style="65" bestFit="1" customWidth="1"/>
    <col min="5128" max="5128" width="10.42578125" style="65" bestFit="1" customWidth="1"/>
    <col min="5129" max="5129" width="4.5703125" style="65" customWidth="1"/>
    <col min="5130" max="5130" width="1.85546875" style="65" customWidth="1"/>
    <col min="5131" max="5131" width="7" style="65" bestFit="1" customWidth="1"/>
    <col min="5132" max="5132" width="6.28515625" style="65" customWidth="1"/>
    <col min="5133" max="5133" width="20.42578125" style="65" customWidth="1"/>
    <col min="5134" max="5134" width="6.42578125" style="65" bestFit="1" customWidth="1"/>
    <col min="5135" max="5136" width="8.42578125" style="65"/>
    <col min="5137" max="5137" width="3.28515625" style="65" customWidth="1"/>
    <col min="5138" max="5376" width="8.42578125" style="65"/>
    <col min="5377" max="5377" width="10" style="65" bestFit="1" customWidth="1"/>
    <col min="5378" max="5378" width="44.28515625" style="65" bestFit="1" customWidth="1"/>
    <col min="5379" max="5379" width="10.42578125" style="65" bestFit="1" customWidth="1"/>
    <col min="5380" max="5380" width="10.42578125" style="65" customWidth="1"/>
    <col min="5381" max="5381" width="9.7109375" style="65" bestFit="1" customWidth="1"/>
    <col min="5382" max="5383" width="9.5703125" style="65" bestFit="1" customWidth="1"/>
    <col min="5384" max="5384" width="10.42578125" style="65" bestFit="1" customWidth="1"/>
    <col min="5385" max="5385" width="4.5703125" style="65" customWidth="1"/>
    <col min="5386" max="5386" width="1.85546875" style="65" customWidth="1"/>
    <col min="5387" max="5387" width="7" style="65" bestFit="1" customWidth="1"/>
    <col min="5388" max="5388" width="6.28515625" style="65" customWidth="1"/>
    <col min="5389" max="5389" width="20.42578125" style="65" customWidth="1"/>
    <col min="5390" max="5390" width="6.42578125" style="65" bestFit="1" customWidth="1"/>
    <col min="5391" max="5392" width="8.42578125" style="65"/>
    <col min="5393" max="5393" width="3.28515625" style="65" customWidth="1"/>
    <col min="5394" max="5632" width="8.42578125" style="65"/>
    <col min="5633" max="5633" width="10" style="65" bestFit="1" customWidth="1"/>
    <col min="5634" max="5634" width="44.28515625" style="65" bestFit="1" customWidth="1"/>
    <col min="5635" max="5635" width="10.42578125" style="65" bestFit="1" customWidth="1"/>
    <col min="5636" max="5636" width="10.42578125" style="65" customWidth="1"/>
    <col min="5637" max="5637" width="9.7109375" style="65" bestFit="1" customWidth="1"/>
    <col min="5638" max="5639" width="9.5703125" style="65" bestFit="1" customWidth="1"/>
    <col min="5640" max="5640" width="10.42578125" style="65" bestFit="1" customWidth="1"/>
    <col min="5641" max="5641" width="4.5703125" style="65" customWidth="1"/>
    <col min="5642" max="5642" width="1.85546875" style="65" customWidth="1"/>
    <col min="5643" max="5643" width="7" style="65" bestFit="1" customWidth="1"/>
    <col min="5644" max="5644" width="6.28515625" style="65" customWidth="1"/>
    <col min="5645" max="5645" width="20.42578125" style="65" customWidth="1"/>
    <col min="5646" max="5646" width="6.42578125" style="65" bestFit="1" customWidth="1"/>
    <col min="5647" max="5648" width="8.42578125" style="65"/>
    <col min="5649" max="5649" width="3.28515625" style="65" customWidth="1"/>
    <col min="5650" max="5888" width="8.42578125" style="65"/>
    <col min="5889" max="5889" width="10" style="65" bestFit="1" customWidth="1"/>
    <col min="5890" max="5890" width="44.28515625" style="65" bestFit="1" customWidth="1"/>
    <col min="5891" max="5891" width="10.42578125" style="65" bestFit="1" customWidth="1"/>
    <col min="5892" max="5892" width="10.42578125" style="65" customWidth="1"/>
    <col min="5893" max="5893" width="9.7109375" style="65" bestFit="1" customWidth="1"/>
    <col min="5894" max="5895" width="9.5703125" style="65" bestFit="1" customWidth="1"/>
    <col min="5896" max="5896" width="10.42578125" style="65" bestFit="1" customWidth="1"/>
    <col min="5897" max="5897" width="4.5703125" style="65" customWidth="1"/>
    <col min="5898" max="5898" width="1.85546875" style="65" customWidth="1"/>
    <col min="5899" max="5899" width="7" style="65" bestFit="1" customWidth="1"/>
    <col min="5900" max="5900" width="6.28515625" style="65" customWidth="1"/>
    <col min="5901" max="5901" width="20.42578125" style="65" customWidth="1"/>
    <col min="5902" max="5902" width="6.42578125" style="65" bestFit="1" customWidth="1"/>
    <col min="5903" max="5904" width="8.42578125" style="65"/>
    <col min="5905" max="5905" width="3.28515625" style="65" customWidth="1"/>
    <col min="5906" max="6144" width="8.42578125" style="65"/>
    <col min="6145" max="6145" width="10" style="65" bestFit="1" customWidth="1"/>
    <col min="6146" max="6146" width="44.28515625" style="65" bestFit="1" customWidth="1"/>
    <col min="6147" max="6147" width="10.42578125" style="65" bestFit="1" customWidth="1"/>
    <col min="6148" max="6148" width="10.42578125" style="65" customWidth="1"/>
    <col min="6149" max="6149" width="9.7109375" style="65" bestFit="1" customWidth="1"/>
    <col min="6150" max="6151" width="9.5703125" style="65" bestFit="1" customWidth="1"/>
    <col min="6152" max="6152" width="10.42578125" style="65" bestFit="1" customWidth="1"/>
    <col min="6153" max="6153" width="4.5703125" style="65" customWidth="1"/>
    <col min="6154" max="6154" width="1.85546875" style="65" customWidth="1"/>
    <col min="6155" max="6155" width="7" style="65" bestFit="1" customWidth="1"/>
    <col min="6156" max="6156" width="6.28515625" style="65" customWidth="1"/>
    <col min="6157" max="6157" width="20.42578125" style="65" customWidth="1"/>
    <col min="6158" max="6158" width="6.42578125" style="65" bestFit="1" customWidth="1"/>
    <col min="6159" max="6160" width="8.42578125" style="65"/>
    <col min="6161" max="6161" width="3.28515625" style="65" customWidth="1"/>
    <col min="6162" max="6400" width="8.42578125" style="65"/>
    <col min="6401" max="6401" width="10" style="65" bestFit="1" customWidth="1"/>
    <col min="6402" max="6402" width="44.28515625" style="65" bestFit="1" customWidth="1"/>
    <col min="6403" max="6403" width="10.42578125" style="65" bestFit="1" customWidth="1"/>
    <col min="6404" max="6404" width="10.42578125" style="65" customWidth="1"/>
    <col min="6405" max="6405" width="9.7109375" style="65" bestFit="1" customWidth="1"/>
    <col min="6406" max="6407" width="9.5703125" style="65" bestFit="1" customWidth="1"/>
    <col min="6408" max="6408" width="10.42578125" style="65" bestFit="1" customWidth="1"/>
    <col min="6409" max="6409" width="4.5703125" style="65" customWidth="1"/>
    <col min="6410" max="6410" width="1.85546875" style="65" customWidth="1"/>
    <col min="6411" max="6411" width="7" style="65" bestFit="1" customWidth="1"/>
    <col min="6412" max="6412" width="6.28515625" style="65" customWidth="1"/>
    <col min="6413" max="6413" width="20.42578125" style="65" customWidth="1"/>
    <col min="6414" max="6414" width="6.42578125" style="65" bestFit="1" customWidth="1"/>
    <col min="6415" max="6416" width="8.42578125" style="65"/>
    <col min="6417" max="6417" width="3.28515625" style="65" customWidth="1"/>
    <col min="6418" max="6656" width="8.42578125" style="65"/>
    <col min="6657" max="6657" width="10" style="65" bestFit="1" customWidth="1"/>
    <col min="6658" max="6658" width="44.28515625" style="65" bestFit="1" customWidth="1"/>
    <col min="6659" max="6659" width="10.42578125" style="65" bestFit="1" customWidth="1"/>
    <col min="6660" max="6660" width="10.42578125" style="65" customWidth="1"/>
    <col min="6661" max="6661" width="9.7109375" style="65" bestFit="1" customWidth="1"/>
    <col min="6662" max="6663" width="9.5703125" style="65" bestFit="1" customWidth="1"/>
    <col min="6664" max="6664" width="10.42578125" style="65" bestFit="1" customWidth="1"/>
    <col min="6665" max="6665" width="4.5703125" style="65" customWidth="1"/>
    <col min="6666" max="6666" width="1.85546875" style="65" customWidth="1"/>
    <col min="6667" max="6667" width="7" style="65" bestFit="1" customWidth="1"/>
    <col min="6668" max="6668" width="6.28515625" style="65" customWidth="1"/>
    <col min="6669" max="6669" width="20.42578125" style="65" customWidth="1"/>
    <col min="6670" max="6670" width="6.42578125" style="65" bestFit="1" customWidth="1"/>
    <col min="6671" max="6672" width="8.42578125" style="65"/>
    <col min="6673" max="6673" width="3.28515625" style="65" customWidth="1"/>
    <col min="6674" max="6912" width="8.42578125" style="65"/>
    <col min="6913" max="6913" width="10" style="65" bestFit="1" customWidth="1"/>
    <col min="6914" max="6914" width="44.28515625" style="65" bestFit="1" customWidth="1"/>
    <col min="6915" max="6915" width="10.42578125" style="65" bestFit="1" customWidth="1"/>
    <col min="6916" max="6916" width="10.42578125" style="65" customWidth="1"/>
    <col min="6917" max="6917" width="9.7109375" style="65" bestFit="1" customWidth="1"/>
    <col min="6918" max="6919" width="9.5703125" style="65" bestFit="1" customWidth="1"/>
    <col min="6920" max="6920" width="10.42578125" style="65" bestFit="1" customWidth="1"/>
    <col min="6921" max="6921" width="4.5703125" style="65" customWidth="1"/>
    <col min="6922" max="6922" width="1.85546875" style="65" customWidth="1"/>
    <col min="6923" max="6923" width="7" style="65" bestFit="1" customWidth="1"/>
    <col min="6924" max="6924" width="6.28515625" style="65" customWidth="1"/>
    <col min="6925" max="6925" width="20.42578125" style="65" customWidth="1"/>
    <col min="6926" max="6926" width="6.42578125" style="65" bestFit="1" customWidth="1"/>
    <col min="6927" max="6928" width="8.42578125" style="65"/>
    <col min="6929" max="6929" width="3.28515625" style="65" customWidth="1"/>
    <col min="6930" max="7168" width="8.42578125" style="65"/>
    <col min="7169" max="7169" width="10" style="65" bestFit="1" customWidth="1"/>
    <col min="7170" max="7170" width="44.28515625" style="65" bestFit="1" customWidth="1"/>
    <col min="7171" max="7171" width="10.42578125" style="65" bestFit="1" customWidth="1"/>
    <col min="7172" max="7172" width="10.42578125" style="65" customWidth="1"/>
    <col min="7173" max="7173" width="9.7109375" style="65" bestFit="1" customWidth="1"/>
    <col min="7174" max="7175" width="9.5703125" style="65" bestFit="1" customWidth="1"/>
    <col min="7176" max="7176" width="10.42578125" style="65" bestFit="1" customWidth="1"/>
    <col min="7177" max="7177" width="4.5703125" style="65" customWidth="1"/>
    <col min="7178" max="7178" width="1.85546875" style="65" customWidth="1"/>
    <col min="7179" max="7179" width="7" style="65" bestFit="1" customWidth="1"/>
    <col min="7180" max="7180" width="6.28515625" style="65" customWidth="1"/>
    <col min="7181" max="7181" width="20.42578125" style="65" customWidth="1"/>
    <col min="7182" max="7182" width="6.42578125" style="65" bestFit="1" customWidth="1"/>
    <col min="7183" max="7184" width="8.42578125" style="65"/>
    <col min="7185" max="7185" width="3.28515625" style="65" customWidth="1"/>
    <col min="7186" max="7424" width="8.42578125" style="65"/>
    <col min="7425" max="7425" width="10" style="65" bestFit="1" customWidth="1"/>
    <col min="7426" max="7426" width="44.28515625" style="65" bestFit="1" customWidth="1"/>
    <col min="7427" max="7427" width="10.42578125" style="65" bestFit="1" customWidth="1"/>
    <col min="7428" max="7428" width="10.42578125" style="65" customWidth="1"/>
    <col min="7429" max="7429" width="9.7109375" style="65" bestFit="1" customWidth="1"/>
    <col min="7430" max="7431" width="9.5703125" style="65" bestFit="1" customWidth="1"/>
    <col min="7432" max="7432" width="10.42578125" style="65" bestFit="1" customWidth="1"/>
    <col min="7433" max="7433" width="4.5703125" style="65" customWidth="1"/>
    <col min="7434" max="7434" width="1.85546875" style="65" customWidth="1"/>
    <col min="7435" max="7435" width="7" style="65" bestFit="1" customWidth="1"/>
    <col min="7436" max="7436" width="6.28515625" style="65" customWidth="1"/>
    <col min="7437" max="7437" width="20.42578125" style="65" customWidth="1"/>
    <col min="7438" max="7438" width="6.42578125" style="65" bestFit="1" customWidth="1"/>
    <col min="7439" max="7440" width="8.42578125" style="65"/>
    <col min="7441" max="7441" width="3.28515625" style="65" customWidth="1"/>
    <col min="7442" max="7680" width="8.42578125" style="65"/>
    <col min="7681" max="7681" width="10" style="65" bestFit="1" customWidth="1"/>
    <col min="7682" max="7682" width="44.28515625" style="65" bestFit="1" customWidth="1"/>
    <col min="7683" max="7683" width="10.42578125" style="65" bestFit="1" customWidth="1"/>
    <col min="7684" max="7684" width="10.42578125" style="65" customWidth="1"/>
    <col min="7685" max="7685" width="9.7109375" style="65" bestFit="1" customWidth="1"/>
    <col min="7686" max="7687" width="9.5703125" style="65" bestFit="1" customWidth="1"/>
    <col min="7688" max="7688" width="10.42578125" style="65" bestFit="1" customWidth="1"/>
    <col min="7689" max="7689" width="4.5703125" style="65" customWidth="1"/>
    <col min="7690" max="7690" width="1.85546875" style="65" customWidth="1"/>
    <col min="7691" max="7691" width="7" style="65" bestFit="1" customWidth="1"/>
    <col min="7692" max="7692" width="6.28515625" style="65" customWidth="1"/>
    <col min="7693" max="7693" width="20.42578125" style="65" customWidth="1"/>
    <col min="7694" max="7694" width="6.42578125" style="65" bestFit="1" customWidth="1"/>
    <col min="7695" max="7696" width="8.42578125" style="65"/>
    <col min="7697" max="7697" width="3.28515625" style="65" customWidth="1"/>
    <col min="7698" max="7936" width="8.42578125" style="65"/>
    <col min="7937" max="7937" width="10" style="65" bestFit="1" customWidth="1"/>
    <col min="7938" max="7938" width="44.28515625" style="65" bestFit="1" customWidth="1"/>
    <col min="7939" max="7939" width="10.42578125" style="65" bestFit="1" customWidth="1"/>
    <col min="7940" max="7940" width="10.42578125" style="65" customWidth="1"/>
    <col min="7941" max="7941" width="9.7109375" style="65" bestFit="1" customWidth="1"/>
    <col min="7942" max="7943" width="9.5703125" style="65" bestFit="1" customWidth="1"/>
    <col min="7944" max="7944" width="10.42578125" style="65" bestFit="1" customWidth="1"/>
    <col min="7945" max="7945" width="4.5703125" style="65" customWidth="1"/>
    <col min="7946" max="7946" width="1.85546875" style="65" customWidth="1"/>
    <col min="7947" max="7947" width="7" style="65" bestFit="1" customWidth="1"/>
    <col min="7948" max="7948" width="6.28515625" style="65" customWidth="1"/>
    <col min="7949" max="7949" width="20.42578125" style="65" customWidth="1"/>
    <col min="7950" max="7950" width="6.42578125" style="65" bestFit="1" customWidth="1"/>
    <col min="7951" max="7952" width="8.42578125" style="65"/>
    <col min="7953" max="7953" width="3.28515625" style="65" customWidth="1"/>
    <col min="7954" max="8192" width="8.42578125" style="65"/>
    <col min="8193" max="8193" width="10" style="65" bestFit="1" customWidth="1"/>
    <col min="8194" max="8194" width="44.28515625" style="65" bestFit="1" customWidth="1"/>
    <col min="8195" max="8195" width="10.42578125" style="65" bestFit="1" customWidth="1"/>
    <col min="8196" max="8196" width="10.42578125" style="65" customWidth="1"/>
    <col min="8197" max="8197" width="9.7109375" style="65" bestFit="1" customWidth="1"/>
    <col min="8198" max="8199" width="9.5703125" style="65" bestFit="1" customWidth="1"/>
    <col min="8200" max="8200" width="10.42578125" style="65" bestFit="1" customWidth="1"/>
    <col min="8201" max="8201" width="4.5703125" style="65" customWidth="1"/>
    <col min="8202" max="8202" width="1.85546875" style="65" customWidth="1"/>
    <col min="8203" max="8203" width="7" style="65" bestFit="1" customWidth="1"/>
    <col min="8204" max="8204" width="6.28515625" style="65" customWidth="1"/>
    <col min="8205" max="8205" width="20.42578125" style="65" customWidth="1"/>
    <col min="8206" max="8206" width="6.42578125" style="65" bestFit="1" customWidth="1"/>
    <col min="8207" max="8208" width="8.42578125" style="65"/>
    <col min="8209" max="8209" width="3.28515625" style="65" customWidth="1"/>
    <col min="8210" max="8448" width="8.42578125" style="65"/>
    <col min="8449" max="8449" width="10" style="65" bestFit="1" customWidth="1"/>
    <col min="8450" max="8450" width="44.28515625" style="65" bestFit="1" customWidth="1"/>
    <col min="8451" max="8451" width="10.42578125" style="65" bestFit="1" customWidth="1"/>
    <col min="8452" max="8452" width="10.42578125" style="65" customWidth="1"/>
    <col min="8453" max="8453" width="9.7109375" style="65" bestFit="1" customWidth="1"/>
    <col min="8454" max="8455" width="9.5703125" style="65" bestFit="1" customWidth="1"/>
    <col min="8456" max="8456" width="10.42578125" style="65" bestFit="1" customWidth="1"/>
    <col min="8457" max="8457" width="4.5703125" style="65" customWidth="1"/>
    <col min="8458" max="8458" width="1.85546875" style="65" customWidth="1"/>
    <col min="8459" max="8459" width="7" style="65" bestFit="1" customWidth="1"/>
    <col min="8460" max="8460" width="6.28515625" style="65" customWidth="1"/>
    <col min="8461" max="8461" width="20.42578125" style="65" customWidth="1"/>
    <col min="8462" max="8462" width="6.42578125" style="65" bestFit="1" customWidth="1"/>
    <col min="8463" max="8464" width="8.42578125" style="65"/>
    <col min="8465" max="8465" width="3.28515625" style="65" customWidth="1"/>
    <col min="8466" max="8704" width="8.42578125" style="65"/>
    <col min="8705" max="8705" width="10" style="65" bestFit="1" customWidth="1"/>
    <col min="8706" max="8706" width="44.28515625" style="65" bestFit="1" customWidth="1"/>
    <col min="8707" max="8707" width="10.42578125" style="65" bestFit="1" customWidth="1"/>
    <col min="8708" max="8708" width="10.42578125" style="65" customWidth="1"/>
    <col min="8709" max="8709" width="9.7109375" style="65" bestFit="1" customWidth="1"/>
    <col min="8710" max="8711" width="9.5703125" style="65" bestFit="1" customWidth="1"/>
    <col min="8712" max="8712" width="10.42578125" style="65" bestFit="1" customWidth="1"/>
    <col min="8713" max="8713" width="4.5703125" style="65" customWidth="1"/>
    <col min="8714" max="8714" width="1.85546875" style="65" customWidth="1"/>
    <col min="8715" max="8715" width="7" style="65" bestFit="1" customWidth="1"/>
    <col min="8716" max="8716" width="6.28515625" style="65" customWidth="1"/>
    <col min="8717" max="8717" width="20.42578125" style="65" customWidth="1"/>
    <col min="8718" max="8718" width="6.42578125" style="65" bestFit="1" customWidth="1"/>
    <col min="8719" max="8720" width="8.42578125" style="65"/>
    <col min="8721" max="8721" width="3.28515625" style="65" customWidth="1"/>
    <col min="8722" max="8960" width="8.42578125" style="65"/>
    <col min="8961" max="8961" width="10" style="65" bestFit="1" customWidth="1"/>
    <col min="8962" max="8962" width="44.28515625" style="65" bestFit="1" customWidth="1"/>
    <col min="8963" max="8963" width="10.42578125" style="65" bestFit="1" customWidth="1"/>
    <col min="8964" max="8964" width="10.42578125" style="65" customWidth="1"/>
    <col min="8965" max="8965" width="9.7109375" style="65" bestFit="1" customWidth="1"/>
    <col min="8966" max="8967" width="9.5703125" style="65" bestFit="1" customWidth="1"/>
    <col min="8968" max="8968" width="10.42578125" style="65" bestFit="1" customWidth="1"/>
    <col min="8969" max="8969" width="4.5703125" style="65" customWidth="1"/>
    <col min="8970" max="8970" width="1.85546875" style="65" customWidth="1"/>
    <col min="8971" max="8971" width="7" style="65" bestFit="1" customWidth="1"/>
    <col min="8972" max="8972" width="6.28515625" style="65" customWidth="1"/>
    <col min="8973" max="8973" width="20.42578125" style="65" customWidth="1"/>
    <col min="8974" max="8974" width="6.42578125" style="65" bestFit="1" customWidth="1"/>
    <col min="8975" max="8976" width="8.42578125" style="65"/>
    <col min="8977" max="8977" width="3.28515625" style="65" customWidth="1"/>
    <col min="8978" max="9216" width="8.42578125" style="65"/>
    <col min="9217" max="9217" width="10" style="65" bestFit="1" customWidth="1"/>
    <col min="9218" max="9218" width="44.28515625" style="65" bestFit="1" customWidth="1"/>
    <col min="9219" max="9219" width="10.42578125" style="65" bestFit="1" customWidth="1"/>
    <col min="9220" max="9220" width="10.42578125" style="65" customWidth="1"/>
    <col min="9221" max="9221" width="9.7109375" style="65" bestFit="1" customWidth="1"/>
    <col min="9222" max="9223" width="9.5703125" style="65" bestFit="1" customWidth="1"/>
    <col min="9224" max="9224" width="10.42578125" style="65" bestFit="1" customWidth="1"/>
    <col min="9225" max="9225" width="4.5703125" style="65" customWidth="1"/>
    <col min="9226" max="9226" width="1.85546875" style="65" customWidth="1"/>
    <col min="9227" max="9227" width="7" style="65" bestFit="1" customWidth="1"/>
    <col min="9228" max="9228" width="6.28515625" style="65" customWidth="1"/>
    <col min="9229" max="9229" width="20.42578125" style="65" customWidth="1"/>
    <col min="9230" max="9230" width="6.42578125" style="65" bestFit="1" customWidth="1"/>
    <col min="9231" max="9232" width="8.42578125" style="65"/>
    <col min="9233" max="9233" width="3.28515625" style="65" customWidth="1"/>
    <col min="9234" max="9472" width="8.42578125" style="65"/>
    <col min="9473" max="9473" width="10" style="65" bestFit="1" customWidth="1"/>
    <col min="9474" max="9474" width="44.28515625" style="65" bestFit="1" customWidth="1"/>
    <col min="9475" max="9475" width="10.42578125" style="65" bestFit="1" customWidth="1"/>
    <col min="9476" max="9476" width="10.42578125" style="65" customWidth="1"/>
    <col min="9477" max="9477" width="9.7109375" style="65" bestFit="1" customWidth="1"/>
    <col min="9478" max="9479" width="9.5703125" style="65" bestFit="1" customWidth="1"/>
    <col min="9480" max="9480" width="10.42578125" style="65" bestFit="1" customWidth="1"/>
    <col min="9481" max="9481" width="4.5703125" style="65" customWidth="1"/>
    <col min="9482" max="9482" width="1.85546875" style="65" customWidth="1"/>
    <col min="9483" max="9483" width="7" style="65" bestFit="1" customWidth="1"/>
    <col min="9484" max="9484" width="6.28515625" style="65" customWidth="1"/>
    <col min="9485" max="9485" width="20.42578125" style="65" customWidth="1"/>
    <col min="9486" max="9486" width="6.42578125" style="65" bestFit="1" customWidth="1"/>
    <col min="9487" max="9488" width="8.42578125" style="65"/>
    <col min="9489" max="9489" width="3.28515625" style="65" customWidth="1"/>
    <col min="9490" max="9728" width="8.42578125" style="65"/>
    <col min="9729" max="9729" width="10" style="65" bestFit="1" customWidth="1"/>
    <col min="9730" max="9730" width="44.28515625" style="65" bestFit="1" customWidth="1"/>
    <col min="9731" max="9731" width="10.42578125" style="65" bestFit="1" customWidth="1"/>
    <col min="9732" max="9732" width="10.42578125" style="65" customWidth="1"/>
    <col min="9733" max="9733" width="9.7109375" style="65" bestFit="1" customWidth="1"/>
    <col min="9734" max="9735" width="9.5703125" style="65" bestFit="1" customWidth="1"/>
    <col min="9736" max="9736" width="10.42578125" style="65" bestFit="1" customWidth="1"/>
    <col min="9737" max="9737" width="4.5703125" style="65" customWidth="1"/>
    <col min="9738" max="9738" width="1.85546875" style="65" customWidth="1"/>
    <col min="9739" max="9739" width="7" style="65" bestFit="1" customWidth="1"/>
    <col min="9740" max="9740" width="6.28515625" style="65" customWidth="1"/>
    <col min="9741" max="9741" width="20.42578125" style="65" customWidth="1"/>
    <col min="9742" max="9742" width="6.42578125" style="65" bestFit="1" customWidth="1"/>
    <col min="9743" max="9744" width="8.42578125" style="65"/>
    <col min="9745" max="9745" width="3.28515625" style="65" customWidth="1"/>
    <col min="9746" max="9984" width="8.42578125" style="65"/>
    <col min="9985" max="9985" width="10" style="65" bestFit="1" customWidth="1"/>
    <col min="9986" max="9986" width="44.28515625" style="65" bestFit="1" customWidth="1"/>
    <col min="9987" max="9987" width="10.42578125" style="65" bestFit="1" customWidth="1"/>
    <col min="9988" max="9988" width="10.42578125" style="65" customWidth="1"/>
    <col min="9989" max="9989" width="9.7109375" style="65" bestFit="1" customWidth="1"/>
    <col min="9990" max="9991" width="9.5703125" style="65" bestFit="1" customWidth="1"/>
    <col min="9992" max="9992" width="10.42578125" style="65" bestFit="1" customWidth="1"/>
    <col min="9993" max="9993" width="4.5703125" style="65" customWidth="1"/>
    <col min="9994" max="9994" width="1.85546875" style="65" customWidth="1"/>
    <col min="9995" max="9995" width="7" style="65" bestFit="1" customWidth="1"/>
    <col min="9996" max="9996" width="6.28515625" style="65" customWidth="1"/>
    <col min="9997" max="9997" width="20.42578125" style="65" customWidth="1"/>
    <col min="9998" max="9998" width="6.42578125" style="65" bestFit="1" customWidth="1"/>
    <col min="9999" max="10000" width="8.42578125" style="65"/>
    <col min="10001" max="10001" width="3.28515625" style="65" customWidth="1"/>
    <col min="10002" max="10240" width="8.42578125" style="65"/>
    <col min="10241" max="10241" width="10" style="65" bestFit="1" customWidth="1"/>
    <col min="10242" max="10242" width="44.28515625" style="65" bestFit="1" customWidth="1"/>
    <col min="10243" max="10243" width="10.42578125" style="65" bestFit="1" customWidth="1"/>
    <col min="10244" max="10244" width="10.42578125" style="65" customWidth="1"/>
    <col min="10245" max="10245" width="9.7109375" style="65" bestFit="1" customWidth="1"/>
    <col min="10246" max="10247" width="9.5703125" style="65" bestFit="1" customWidth="1"/>
    <col min="10248" max="10248" width="10.42578125" style="65" bestFit="1" customWidth="1"/>
    <col min="10249" max="10249" width="4.5703125" style="65" customWidth="1"/>
    <col min="10250" max="10250" width="1.85546875" style="65" customWidth="1"/>
    <col min="10251" max="10251" width="7" style="65" bestFit="1" customWidth="1"/>
    <col min="10252" max="10252" width="6.28515625" style="65" customWidth="1"/>
    <col min="10253" max="10253" width="20.42578125" style="65" customWidth="1"/>
    <col min="10254" max="10254" width="6.42578125" style="65" bestFit="1" customWidth="1"/>
    <col min="10255" max="10256" width="8.42578125" style="65"/>
    <col min="10257" max="10257" width="3.28515625" style="65" customWidth="1"/>
    <col min="10258" max="10496" width="8.42578125" style="65"/>
    <col min="10497" max="10497" width="10" style="65" bestFit="1" customWidth="1"/>
    <col min="10498" max="10498" width="44.28515625" style="65" bestFit="1" customWidth="1"/>
    <col min="10499" max="10499" width="10.42578125" style="65" bestFit="1" customWidth="1"/>
    <col min="10500" max="10500" width="10.42578125" style="65" customWidth="1"/>
    <col min="10501" max="10501" width="9.7109375" style="65" bestFit="1" customWidth="1"/>
    <col min="10502" max="10503" width="9.5703125" style="65" bestFit="1" customWidth="1"/>
    <col min="10504" max="10504" width="10.42578125" style="65" bestFit="1" customWidth="1"/>
    <col min="10505" max="10505" width="4.5703125" style="65" customWidth="1"/>
    <col min="10506" max="10506" width="1.85546875" style="65" customWidth="1"/>
    <col min="10507" max="10507" width="7" style="65" bestFit="1" customWidth="1"/>
    <col min="10508" max="10508" width="6.28515625" style="65" customWidth="1"/>
    <col min="10509" max="10509" width="20.42578125" style="65" customWidth="1"/>
    <col min="10510" max="10510" width="6.42578125" style="65" bestFit="1" customWidth="1"/>
    <col min="10511" max="10512" width="8.42578125" style="65"/>
    <col min="10513" max="10513" width="3.28515625" style="65" customWidth="1"/>
    <col min="10514" max="10752" width="8.42578125" style="65"/>
    <col min="10753" max="10753" width="10" style="65" bestFit="1" customWidth="1"/>
    <col min="10754" max="10754" width="44.28515625" style="65" bestFit="1" customWidth="1"/>
    <col min="10755" max="10755" width="10.42578125" style="65" bestFit="1" customWidth="1"/>
    <col min="10756" max="10756" width="10.42578125" style="65" customWidth="1"/>
    <col min="10757" max="10757" width="9.7109375" style="65" bestFit="1" customWidth="1"/>
    <col min="10758" max="10759" width="9.5703125" style="65" bestFit="1" customWidth="1"/>
    <col min="10760" max="10760" width="10.42578125" style="65" bestFit="1" customWidth="1"/>
    <col min="10761" max="10761" width="4.5703125" style="65" customWidth="1"/>
    <col min="10762" max="10762" width="1.85546875" style="65" customWidth="1"/>
    <col min="10763" max="10763" width="7" style="65" bestFit="1" customWidth="1"/>
    <col min="10764" max="10764" width="6.28515625" style="65" customWidth="1"/>
    <col min="10765" max="10765" width="20.42578125" style="65" customWidth="1"/>
    <col min="10766" max="10766" width="6.42578125" style="65" bestFit="1" customWidth="1"/>
    <col min="10767" max="10768" width="8.42578125" style="65"/>
    <col min="10769" max="10769" width="3.28515625" style="65" customWidth="1"/>
    <col min="10770" max="11008" width="8.42578125" style="65"/>
    <col min="11009" max="11009" width="10" style="65" bestFit="1" customWidth="1"/>
    <col min="11010" max="11010" width="44.28515625" style="65" bestFit="1" customWidth="1"/>
    <col min="11011" max="11011" width="10.42578125" style="65" bestFit="1" customWidth="1"/>
    <col min="11012" max="11012" width="10.42578125" style="65" customWidth="1"/>
    <col min="11013" max="11013" width="9.7109375" style="65" bestFit="1" customWidth="1"/>
    <col min="11014" max="11015" width="9.5703125" style="65" bestFit="1" customWidth="1"/>
    <col min="11016" max="11016" width="10.42578125" style="65" bestFit="1" customWidth="1"/>
    <col min="11017" max="11017" width="4.5703125" style="65" customWidth="1"/>
    <col min="11018" max="11018" width="1.85546875" style="65" customWidth="1"/>
    <col min="11019" max="11019" width="7" style="65" bestFit="1" customWidth="1"/>
    <col min="11020" max="11020" width="6.28515625" style="65" customWidth="1"/>
    <col min="11021" max="11021" width="20.42578125" style="65" customWidth="1"/>
    <col min="11022" max="11022" width="6.42578125" style="65" bestFit="1" customWidth="1"/>
    <col min="11023" max="11024" width="8.42578125" style="65"/>
    <col min="11025" max="11025" width="3.28515625" style="65" customWidth="1"/>
    <col min="11026" max="11264" width="8.42578125" style="65"/>
    <col min="11265" max="11265" width="10" style="65" bestFit="1" customWidth="1"/>
    <col min="11266" max="11266" width="44.28515625" style="65" bestFit="1" customWidth="1"/>
    <col min="11267" max="11267" width="10.42578125" style="65" bestFit="1" customWidth="1"/>
    <col min="11268" max="11268" width="10.42578125" style="65" customWidth="1"/>
    <col min="11269" max="11269" width="9.7109375" style="65" bestFit="1" customWidth="1"/>
    <col min="11270" max="11271" width="9.5703125" style="65" bestFit="1" customWidth="1"/>
    <col min="11272" max="11272" width="10.42578125" style="65" bestFit="1" customWidth="1"/>
    <col min="11273" max="11273" width="4.5703125" style="65" customWidth="1"/>
    <col min="11274" max="11274" width="1.85546875" style="65" customWidth="1"/>
    <col min="11275" max="11275" width="7" style="65" bestFit="1" customWidth="1"/>
    <col min="11276" max="11276" width="6.28515625" style="65" customWidth="1"/>
    <col min="11277" max="11277" width="20.42578125" style="65" customWidth="1"/>
    <col min="11278" max="11278" width="6.42578125" style="65" bestFit="1" customWidth="1"/>
    <col min="11279" max="11280" width="8.42578125" style="65"/>
    <col min="11281" max="11281" width="3.28515625" style="65" customWidth="1"/>
    <col min="11282" max="11520" width="8.42578125" style="65"/>
    <col min="11521" max="11521" width="10" style="65" bestFit="1" customWidth="1"/>
    <col min="11522" max="11522" width="44.28515625" style="65" bestFit="1" customWidth="1"/>
    <col min="11523" max="11523" width="10.42578125" style="65" bestFit="1" customWidth="1"/>
    <col min="11524" max="11524" width="10.42578125" style="65" customWidth="1"/>
    <col min="11525" max="11525" width="9.7109375" style="65" bestFit="1" customWidth="1"/>
    <col min="11526" max="11527" width="9.5703125" style="65" bestFit="1" customWidth="1"/>
    <col min="11528" max="11528" width="10.42578125" style="65" bestFit="1" customWidth="1"/>
    <col min="11529" max="11529" width="4.5703125" style="65" customWidth="1"/>
    <col min="11530" max="11530" width="1.85546875" style="65" customWidth="1"/>
    <col min="11531" max="11531" width="7" style="65" bestFit="1" customWidth="1"/>
    <col min="11532" max="11532" width="6.28515625" style="65" customWidth="1"/>
    <col min="11533" max="11533" width="20.42578125" style="65" customWidth="1"/>
    <col min="11534" max="11534" width="6.42578125" style="65" bestFit="1" customWidth="1"/>
    <col min="11535" max="11536" width="8.42578125" style="65"/>
    <col min="11537" max="11537" width="3.28515625" style="65" customWidth="1"/>
    <col min="11538" max="11776" width="8.42578125" style="65"/>
    <col min="11777" max="11777" width="10" style="65" bestFit="1" customWidth="1"/>
    <col min="11778" max="11778" width="44.28515625" style="65" bestFit="1" customWidth="1"/>
    <col min="11779" max="11779" width="10.42578125" style="65" bestFit="1" customWidth="1"/>
    <col min="11780" max="11780" width="10.42578125" style="65" customWidth="1"/>
    <col min="11781" max="11781" width="9.7109375" style="65" bestFit="1" customWidth="1"/>
    <col min="11782" max="11783" width="9.5703125" style="65" bestFit="1" customWidth="1"/>
    <col min="11784" max="11784" width="10.42578125" style="65" bestFit="1" customWidth="1"/>
    <col min="11785" max="11785" width="4.5703125" style="65" customWidth="1"/>
    <col min="11786" max="11786" width="1.85546875" style="65" customWidth="1"/>
    <col min="11787" max="11787" width="7" style="65" bestFit="1" customWidth="1"/>
    <col min="11788" max="11788" width="6.28515625" style="65" customWidth="1"/>
    <col min="11789" max="11789" width="20.42578125" style="65" customWidth="1"/>
    <col min="11790" max="11790" width="6.42578125" style="65" bestFit="1" customWidth="1"/>
    <col min="11791" max="11792" width="8.42578125" style="65"/>
    <col min="11793" max="11793" width="3.28515625" style="65" customWidth="1"/>
    <col min="11794" max="12032" width="8.42578125" style="65"/>
    <col min="12033" max="12033" width="10" style="65" bestFit="1" customWidth="1"/>
    <col min="12034" max="12034" width="44.28515625" style="65" bestFit="1" customWidth="1"/>
    <col min="12035" max="12035" width="10.42578125" style="65" bestFit="1" customWidth="1"/>
    <col min="12036" max="12036" width="10.42578125" style="65" customWidth="1"/>
    <col min="12037" max="12037" width="9.7109375" style="65" bestFit="1" customWidth="1"/>
    <col min="12038" max="12039" width="9.5703125" style="65" bestFit="1" customWidth="1"/>
    <col min="12040" max="12040" width="10.42578125" style="65" bestFit="1" customWidth="1"/>
    <col min="12041" max="12041" width="4.5703125" style="65" customWidth="1"/>
    <col min="12042" max="12042" width="1.85546875" style="65" customWidth="1"/>
    <col min="12043" max="12043" width="7" style="65" bestFit="1" customWidth="1"/>
    <col min="12044" max="12044" width="6.28515625" style="65" customWidth="1"/>
    <col min="12045" max="12045" width="20.42578125" style="65" customWidth="1"/>
    <col min="12046" max="12046" width="6.42578125" style="65" bestFit="1" customWidth="1"/>
    <col min="12047" max="12048" width="8.42578125" style="65"/>
    <col min="12049" max="12049" width="3.28515625" style="65" customWidth="1"/>
    <col min="12050" max="12288" width="8.42578125" style="65"/>
    <col min="12289" max="12289" width="10" style="65" bestFit="1" customWidth="1"/>
    <col min="12290" max="12290" width="44.28515625" style="65" bestFit="1" customWidth="1"/>
    <col min="12291" max="12291" width="10.42578125" style="65" bestFit="1" customWidth="1"/>
    <col min="12292" max="12292" width="10.42578125" style="65" customWidth="1"/>
    <col min="12293" max="12293" width="9.7109375" style="65" bestFit="1" customWidth="1"/>
    <col min="12294" max="12295" width="9.5703125" style="65" bestFit="1" customWidth="1"/>
    <col min="12296" max="12296" width="10.42578125" style="65" bestFit="1" customWidth="1"/>
    <col min="12297" max="12297" width="4.5703125" style="65" customWidth="1"/>
    <col min="12298" max="12298" width="1.85546875" style="65" customWidth="1"/>
    <col min="12299" max="12299" width="7" style="65" bestFit="1" customWidth="1"/>
    <col min="12300" max="12300" width="6.28515625" style="65" customWidth="1"/>
    <col min="12301" max="12301" width="20.42578125" style="65" customWidth="1"/>
    <col min="12302" max="12302" width="6.42578125" style="65" bestFit="1" customWidth="1"/>
    <col min="12303" max="12304" width="8.42578125" style="65"/>
    <col min="12305" max="12305" width="3.28515625" style="65" customWidth="1"/>
    <col min="12306" max="12544" width="8.42578125" style="65"/>
    <col min="12545" max="12545" width="10" style="65" bestFit="1" customWidth="1"/>
    <col min="12546" max="12546" width="44.28515625" style="65" bestFit="1" customWidth="1"/>
    <col min="12547" max="12547" width="10.42578125" style="65" bestFit="1" customWidth="1"/>
    <col min="12548" max="12548" width="10.42578125" style="65" customWidth="1"/>
    <col min="12549" max="12549" width="9.7109375" style="65" bestFit="1" customWidth="1"/>
    <col min="12550" max="12551" width="9.5703125" style="65" bestFit="1" customWidth="1"/>
    <col min="12552" max="12552" width="10.42578125" style="65" bestFit="1" customWidth="1"/>
    <col min="12553" max="12553" width="4.5703125" style="65" customWidth="1"/>
    <col min="12554" max="12554" width="1.85546875" style="65" customWidth="1"/>
    <col min="12555" max="12555" width="7" style="65" bestFit="1" customWidth="1"/>
    <col min="12556" max="12556" width="6.28515625" style="65" customWidth="1"/>
    <col min="12557" max="12557" width="20.42578125" style="65" customWidth="1"/>
    <col min="12558" max="12558" width="6.42578125" style="65" bestFit="1" customWidth="1"/>
    <col min="12559" max="12560" width="8.42578125" style="65"/>
    <col min="12561" max="12561" width="3.28515625" style="65" customWidth="1"/>
    <col min="12562" max="12800" width="8.42578125" style="65"/>
    <col min="12801" max="12801" width="10" style="65" bestFit="1" customWidth="1"/>
    <col min="12802" max="12802" width="44.28515625" style="65" bestFit="1" customWidth="1"/>
    <col min="12803" max="12803" width="10.42578125" style="65" bestFit="1" customWidth="1"/>
    <col min="12804" max="12804" width="10.42578125" style="65" customWidth="1"/>
    <col min="12805" max="12805" width="9.7109375" style="65" bestFit="1" customWidth="1"/>
    <col min="12806" max="12807" width="9.5703125" style="65" bestFit="1" customWidth="1"/>
    <col min="12808" max="12808" width="10.42578125" style="65" bestFit="1" customWidth="1"/>
    <col min="12809" max="12809" width="4.5703125" style="65" customWidth="1"/>
    <col min="12810" max="12810" width="1.85546875" style="65" customWidth="1"/>
    <col min="12811" max="12811" width="7" style="65" bestFit="1" customWidth="1"/>
    <col min="12812" max="12812" width="6.28515625" style="65" customWidth="1"/>
    <col min="12813" max="12813" width="20.42578125" style="65" customWidth="1"/>
    <col min="12814" max="12814" width="6.42578125" style="65" bestFit="1" customWidth="1"/>
    <col min="12815" max="12816" width="8.42578125" style="65"/>
    <col min="12817" max="12817" width="3.28515625" style="65" customWidth="1"/>
    <col min="12818" max="13056" width="8.42578125" style="65"/>
    <col min="13057" max="13057" width="10" style="65" bestFit="1" customWidth="1"/>
    <col min="13058" max="13058" width="44.28515625" style="65" bestFit="1" customWidth="1"/>
    <col min="13059" max="13059" width="10.42578125" style="65" bestFit="1" customWidth="1"/>
    <col min="13060" max="13060" width="10.42578125" style="65" customWidth="1"/>
    <col min="13061" max="13061" width="9.7109375" style="65" bestFit="1" customWidth="1"/>
    <col min="13062" max="13063" width="9.5703125" style="65" bestFit="1" customWidth="1"/>
    <col min="13064" max="13064" width="10.42578125" style="65" bestFit="1" customWidth="1"/>
    <col min="13065" max="13065" width="4.5703125" style="65" customWidth="1"/>
    <col min="13066" max="13066" width="1.85546875" style="65" customWidth="1"/>
    <col min="13067" max="13067" width="7" style="65" bestFit="1" customWidth="1"/>
    <col min="13068" max="13068" width="6.28515625" style="65" customWidth="1"/>
    <col min="13069" max="13069" width="20.42578125" style="65" customWidth="1"/>
    <col min="13070" max="13070" width="6.42578125" style="65" bestFit="1" customWidth="1"/>
    <col min="13071" max="13072" width="8.42578125" style="65"/>
    <col min="13073" max="13073" width="3.28515625" style="65" customWidth="1"/>
    <col min="13074" max="13312" width="8.42578125" style="65"/>
    <col min="13313" max="13313" width="10" style="65" bestFit="1" customWidth="1"/>
    <col min="13314" max="13314" width="44.28515625" style="65" bestFit="1" customWidth="1"/>
    <col min="13315" max="13315" width="10.42578125" style="65" bestFit="1" customWidth="1"/>
    <col min="13316" max="13316" width="10.42578125" style="65" customWidth="1"/>
    <col min="13317" max="13317" width="9.7109375" style="65" bestFit="1" customWidth="1"/>
    <col min="13318" max="13319" width="9.5703125" style="65" bestFit="1" customWidth="1"/>
    <col min="13320" max="13320" width="10.42578125" style="65" bestFit="1" customWidth="1"/>
    <col min="13321" max="13321" width="4.5703125" style="65" customWidth="1"/>
    <col min="13322" max="13322" width="1.85546875" style="65" customWidth="1"/>
    <col min="13323" max="13323" width="7" style="65" bestFit="1" customWidth="1"/>
    <col min="13324" max="13324" width="6.28515625" style="65" customWidth="1"/>
    <col min="13325" max="13325" width="20.42578125" style="65" customWidth="1"/>
    <col min="13326" max="13326" width="6.42578125" style="65" bestFit="1" customWidth="1"/>
    <col min="13327" max="13328" width="8.42578125" style="65"/>
    <col min="13329" max="13329" width="3.28515625" style="65" customWidth="1"/>
    <col min="13330" max="13568" width="8.42578125" style="65"/>
    <col min="13569" max="13569" width="10" style="65" bestFit="1" customWidth="1"/>
    <col min="13570" max="13570" width="44.28515625" style="65" bestFit="1" customWidth="1"/>
    <col min="13571" max="13571" width="10.42578125" style="65" bestFit="1" customWidth="1"/>
    <col min="13572" max="13572" width="10.42578125" style="65" customWidth="1"/>
    <col min="13573" max="13573" width="9.7109375" style="65" bestFit="1" customWidth="1"/>
    <col min="13574" max="13575" width="9.5703125" style="65" bestFit="1" customWidth="1"/>
    <col min="13576" max="13576" width="10.42578125" style="65" bestFit="1" customWidth="1"/>
    <col min="13577" max="13577" width="4.5703125" style="65" customWidth="1"/>
    <col min="13578" max="13578" width="1.85546875" style="65" customWidth="1"/>
    <col min="13579" max="13579" width="7" style="65" bestFit="1" customWidth="1"/>
    <col min="13580" max="13580" width="6.28515625" style="65" customWidth="1"/>
    <col min="13581" max="13581" width="20.42578125" style="65" customWidth="1"/>
    <col min="13582" max="13582" width="6.42578125" style="65" bestFit="1" customWidth="1"/>
    <col min="13583" max="13584" width="8.42578125" style="65"/>
    <col min="13585" max="13585" width="3.28515625" style="65" customWidth="1"/>
    <col min="13586" max="13824" width="8.42578125" style="65"/>
    <col min="13825" max="13825" width="10" style="65" bestFit="1" customWidth="1"/>
    <col min="13826" max="13826" width="44.28515625" style="65" bestFit="1" customWidth="1"/>
    <col min="13827" max="13827" width="10.42578125" style="65" bestFit="1" customWidth="1"/>
    <col min="13828" max="13828" width="10.42578125" style="65" customWidth="1"/>
    <col min="13829" max="13829" width="9.7109375" style="65" bestFit="1" customWidth="1"/>
    <col min="13830" max="13831" width="9.5703125" style="65" bestFit="1" customWidth="1"/>
    <col min="13832" max="13832" width="10.42578125" style="65" bestFit="1" customWidth="1"/>
    <col min="13833" max="13833" width="4.5703125" style="65" customWidth="1"/>
    <col min="13834" max="13834" width="1.85546875" style="65" customWidth="1"/>
    <col min="13835" max="13835" width="7" style="65" bestFit="1" customWidth="1"/>
    <col min="13836" max="13836" width="6.28515625" style="65" customWidth="1"/>
    <col min="13837" max="13837" width="20.42578125" style="65" customWidth="1"/>
    <col min="13838" max="13838" width="6.42578125" style="65" bestFit="1" customWidth="1"/>
    <col min="13839" max="13840" width="8.42578125" style="65"/>
    <col min="13841" max="13841" width="3.28515625" style="65" customWidth="1"/>
    <col min="13842" max="14080" width="8.42578125" style="65"/>
    <col min="14081" max="14081" width="10" style="65" bestFit="1" customWidth="1"/>
    <col min="14082" max="14082" width="44.28515625" style="65" bestFit="1" customWidth="1"/>
    <col min="14083" max="14083" width="10.42578125" style="65" bestFit="1" customWidth="1"/>
    <col min="14084" max="14084" width="10.42578125" style="65" customWidth="1"/>
    <col min="14085" max="14085" width="9.7109375" style="65" bestFit="1" customWidth="1"/>
    <col min="14086" max="14087" width="9.5703125" style="65" bestFit="1" customWidth="1"/>
    <col min="14088" max="14088" width="10.42578125" style="65" bestFit="1" customWidth="1"/>
    <col min="14089" max="14089" width="4.5703125" style="65" customWidth="1"/>
    <col min="14090" max="14090" width="1.85546875" style="65" customWidth="1"/>
    <col min="14091" max="14091" width="7" style="65" bestFit="1" customWidth="1"/>
    <col min="14092" max="14092" width="6.28515625" style="65" customWidth="1"/>
    <col min="14093" max="14093" width="20.42578125" style="65" customWidth="1"/>
    <col min="14094" max="14094" width="6.42578125" style="65" bestFit="1" customWidth="1"/>
    <col min="14095" max="14096" width="8.42578125" style="65"/>
    <col min="14097" max="14097" width="3.28515625" style="65" customWidth="1"/>
    <col min="14098" max="14336" width="8.42578125" style="65"/>
    <col min="14337" max="14337" width="10" style="65" bestFit="1" customWidth="1"/>
    <col min="14338" max="14338" width="44.28515625" style="65" bestFit="1" customWidth="1"/>
    <col min="14339" max="14339" width="10.42578125" style="65" bestFit="1" customWidth="1"/>
    <col min="14340" max="14340" width="10.42578125" style="65" customWidth="1"/>
    <col min="14341" max="14341" width="9.7109375" style="65" bestFit="1" customWidth="1"/>
    <col min="14342" max="14343" width="9.5703125" style="65" bestFit="1" customWidth="1"/>
    <col min="14344" max="14344" width="10.42578125" style="65" bestFit="1" customWidth="1"/>
    <col min="14345" max="14345" width="4.5703125" style="65" customWidth="1"/>
    <col min="14346" max="14346" width="1.85546875" style="65" customWidth="1"/>
    <col min="14347" max="14347" width="7" style="65" bestFit="1" customWidth="1"/>
    <col min="14348" max="14348" width="6.28515625" style="65" customWidth="1"/>
    <col min="14349" max="14349" width="20.42578125" style="65" customWidth="1"/>
    <col min="14350" max="14350" width="6.42578125" style="65" bestFit="1" customWidth="1"/>
    <col min="14351" max="14352" width="8.42578125" style="65"/>
    <col min="14353" max="14353" width="3.28515625" style="65" customWidth="1"/>
    <col min="14354" max="14592" width="8.42578125" style="65"/>
    <col min="14593" max="14593" width="10" style="65" bestFit="1" customWidth="1"/>
    <col min="14594" max="14594" width="44.28515625" style="65" bestFit="1" customWidth="1"/>
    <col min="14595" max="14595" width="10.42578125" style="65" bestFit="1" customWidth="1"/>
    <col min="14596" max="14596" width="10.42578125" style="65" customWidth="1"/>
    <col min="14597" max="14597" width="9.7109375" style="65" bestFit="1" customWidth="1"/>
    <col min="14598" max="14599" width="9.5703125" style="65" bestFit="1" customWidth="1"/>
    <col min="14600" max="14600" width="10.42578125" style="65" bestFit="1" customWidth="1"/>
    <col min="14601" max="14601" width="4.5703125" style="65" customWidth="1"/>
    <col min="14602" max="14602" width="1.85546875" style="65" customWidth="1"/>
    <col min="14603" max="14603" width="7" style="65" bestFit="1" customWidth="1"/>
    <col min="14604" max="14604" width="6.28515625" style="65" customWidth="1"/>
    <col min="14605" max="14605" width="20.42578125" style="65" customWidth="1"/>
    <col min="14606" max="14606" width="6.42578125" style="65" bestFit="1" customWidth="1"/>
    <col min="14607" max="14608" width="8.42578125" style="65"/>
    <col min="14609" max="14609" width="3.28515625" style="65" customWidth="1"/>
    <col min="14610" max="14848" width="8.42578125" style="65"/>
    <col min="14849" max="14849" width="10" style="65" bestFit="1" customWidth="1"/>
    <col min="14850" max="14850" width="44.28515625" style="65" bestFit="1" customWidth="1"/>
    <col min="14851" max="14851" width="10.42578125" style="65" bestFit="1" customWidth="1"/>
    <col min="14852" max="14852" width="10.42578125" style="65" customWidth="1"/>
    <col min="14853" max="14853" width="9.7109375" style="65" bestFit="1" customWidth="1"/>
    <col min="14854" max="14855" width="9.5703125" style="65" bestFit="1" customWidth="1"/>
    <col min="14856" max="14856" width="10.42578125" style="65" bestFit="1" customWidth="1"/>
    <col min="14857" max="14857" width="4.5703125" style="65" customWidth="1"/>
    <col min="14858" max="14858" width="1.85546875" style="65" customWidth="1"/>
    <col min="14859" max="14859" width="7" style="65" bestFit="1" customWidth="1"/>
    <col min="14860" max="14860" width="6.28515625" style="65" customWidth="1"/>
    <col min="14861" max="14861" width="20.42578125" style="65" customWidth="1"/>
    <col min="14862" max="14862" width="6.42578125" style="65" bestFit="1" customWidth="1"/>
    <col min="14863" max="14864" width="8.42578125" style="65"/>
    <col min="14865" max="14865" width="3.28515625" style="65" customWidth="1"/>
    <col min="14866" max="15104" width="8.42578125" style="65"/>
    <col min="15105" max="15105" width="10" style="65" bestFit="1" customWidth="1"/>
    <col min="15106" max="15106" width="44.28515625" style="65" bestFit="1" customWidth="1"/>
    <col min="15107" max="15107" width="10.42578125" style="65" bestFit="1" customWidth="1"/>
    <col min="15108" max="15108" width="10.42578125" style="65" customWidth="1"/>
    <col min="15109" max="15109" width="9.7109375" style="65" bestFit="1" customWidth="1"/>
    <col min="15110" max="15111" width="9.5703125" style="65" bestFit="1" customWidth="1"/>
    <col min="15112" max="15112" width="10.42578125" style="65" bestFit="1" customWidth="1"/>
    <col min="15113" max="15113" width="4.5703125" style="65" customWidth="1"/>
    <col min="15114" max="15114" width="1.85546875" style="65" customWidth="1"/>
    <col min="15115" max="15115" width="7" style="65" bestFit="1" customWidth="1"/>
    <col min="15116" max="15116" width="6.28515625" style="65" customWidth="1"/>
    <col min="15117" max="15117" width="20.42578125" style="65" customWidth="1"/>
    <col min="15118" max="15118" width="6.42578125" style="65" bestFit="1" customWidth="1"/>
    <col min="15119" max="15120" width="8.42578125" style="65"/>
    <col min="15121" max="15121" width="3.28515625" style="65" customWidth="1"/>
    <col min="15122" max="15360" width="8.42578125" style="65"/>
    <col min="15361" max="15361" width="10" style="65" bestFit="1" customWidth="1"/>
    <col min="15362" max="15362" width="44.28515625" style="65" bestFit="1" customWidth="1"/>
    <col min="15363" max="15363" width="10.42578125" style="65" bestFit="1" customWidth="1"/>
    <col min="15364" max="15364" width="10.42578125" style="65" customWidth="1"/>
    <col min="15365" max="15365" width="9.7109375" style="65" bestFit="1" customWidth="1"/>
    <col min="15366" max="15367" width="9.5703125" style="65" bestFit="1" customWidth="1"/>
    <col min="15368" max="15368" width="10.42578125" style="65" bestFit="1" customWidth="1"/>
    <col min="15369" max="15369" width="4.5703125" style="65" customWidth="1"/>
    <col min="15370" max="15370" width="1.85546875" style="65" customWidth="1"/>
    <col min="15371" max="15371" width="7" style="65" bestFit="1" customWidth="1"/>
    <col min="15372" max="15372" width="6.28515625" style="65" customWidth="1"/>
    <col min="15373" max="15373" width="20.42578125" style="65" customWidth="1"/>
    <col min="15374" max="15374" width="6.42578125" style="65" bestFit="1" customWidth="1"/>
    <col min="15375" max="15376" width="8.42578125" style="65"/>
    <col min="15377" max="15377" width="3.28515625" style="65" customWidth="1"/>
    <col min="15378" max="15616" width="8.42578125" style="65"/>
    <col min="15617" max="15617" width="10" style="65" bestFit="1" customWidth="1"/>
    <col min="15618" max="15618" width="44.28515625" style="65" bestFit="1" customWidth="1"/>
    <col min="15619" max="15619" width="10.42578125" style="65" bestFit="1" customWidth="1"/>
    <col min="15620" max="15620" width="10.42578125" style="65" customWidth="1"/>
    <col min="15621" max="15621" width="9.7109375" style="65" bestFit="1" customWidth="1"/>
    <col min="15622" max="15623" width="9.5703125" style="65" bestFit="1" customWidth="1"/>
    <col min="15624" max="15624" width="10.42578125" style="65" bestFit="1" customWidth="1"/>
    <col min="15625" max="15625" width="4.5703125" style="65" customWidth="1"/>
    <col min="15626" max="15626" width="1.85546875" style="65" customWidth="1"/>
    <col min="15627" max="15627" width="7" style="65" bestFit="1" customWidth="1"/>
    <col min="15628" max="15628" width="6.28515625" style="65" customWidth="1"/>
    <col min="15629" max="15629" width="20.42578125" style="65" customWidth="1"/>
    <col min="15630" max="15630" width="6.42578125" style="65" bestFit="1" customWidth="1"/>
    <col min="15631" max="15632" width="8.42578125" style="65"/>
    <col min="15633" max="15633" width="3.28515625" style="65" customWidth="1"/>
    <col min="15634" max="15872" width="8.42578125" style="65"/>
    <col min="15873" max="15873" width="10" style="65" bestFit="1" customWidth="1"/>
    <col min="15874" max="15874" width="44.28515625" style="65" bestFit="1" customWidth="1"/>
    <col min="15875" max="15875" width="10.42578125" style="65" bestFit="1" customWidth="1"/>
    <col min="15876" max="15876" width="10.42578125" style="65" customWidth="1"/>
    <col min="15877" max="15877" width="9.7109375" style="65" bestFit="1" customWidth="1"/>
    <col min="15878" max="15879" width="9.5703125" style="65" bestFit="1" customWidth="1"/>
    <col min="15880" max="15880" width="10.42578125" style="65" bestFit="1" customWidth="1"/>
    <col min="15881" max="15881" width="4.5703125" style="65" customWidth="1"/>
    <col min="15882" max="15882" width="1.85546875" style="65" customWidth="1"/>
    <col min="15883" max="15883" width="7" style="65" bestFit="1" customWidth="1"/>
    <col min="15884" max="15884" width="6.28515625" style="65" customWidth="1"/>
    <col min="15885" max="15885" width="20.42578125" style="65" customWidth="1"/>
    <col min="15886" max="15886" width="6.42578125" style="65" bestFit="1" customWidth="1"/>
    <col min="15887" max="15888" width="8.42578125" style="65"/>
    <col min="15889" max="15889" width="3.28515625" style="65" customWidth="1"/>
    <col min="15890" max="16128" width="8.42578125" style="65"/>
    <col min="16129" max="16129" width="10" style="65" bestFit="1" customWidth="1"/>
    <col min="16130" max="16130" width="44.28515625" style="65" bestFit="1" customWidth="1"/>
    <col min="16131" max="16131" width="10.42578125" style="65" bestFit="1" customWidth="1"/>
    <col min="16132" max="16132" width="10.42578125" style="65" customWidth="1"/>
    <col min="16133" max="16133" width="9.7109375" style="65" bestFit="1" customWidth="1"/>
    <col min="16134" max="16135" width="9.5703125" style="65" bestFit="1" customWidth="1"/>
    <col min="16136" max="16136" width="10.42578125" style="65" bestFit="1" customWidth="1"/>
    <col min="16137" max="16137" width="4.5703125" style="65" customWidth="1"/>
    <col min="16138" max="16138" width="1.85546875" style="65" customWidth="1"/>
    <col min="16139" max="16139" width="7" style="65" bestFit="1" customWidth="1"/>
    <col min="16140" max="16140" width="6.28515625" style="65" customWidth="1"/>
    <col min="16141" max="16141" width="20.42578125" style="65" customWidth="1"/>
    <col min="16142" max="16142" width="6.42578125" style="65" bestFit="1" customWidth="1"/>
    <col min="16143" max="16144" width="8.42578125" style="65"/>
    <col min="16145" max="16145" width="3.28515625" style="65" customWidth="1"/>
    <col min="16146" max="16384" width="8.42578125" style="65"/>
  </cols>
  <sheetData>
    <row r="1" spans="1:10" ht="27.75" customHeight="1" x14ac:dyDescent="0.25">
      <c r="A1" s="60"/>
      <c r="B1" s="60"/>
      <c r="C1" s="60"/>
      <c r="D1" s="60"/>
      <c r="E1" s="61" t="s">
        <v>95</v>
      </c>
      <c r="F1" s="62" t="s">
        <v>96</v>
      </c>
      <c r="G1" s="62" t="s">
        <v>97</v>
      </c>
      <c r="H1" s="62" t="s">
        <v>98</v>
      </c>
      <c r="I1" s="63"/>
    </row>
    <row r="2" spans="1:10" ht="30.75" customHeight="1" x14ac:dyDescent="0.25">
      <c r="A2" s="60"/>
      <c r="B2" s="60"/>
      <c r="C2" s="60"/>
      <c r="D2" s="60"/>
      <c r="E2" s="66">
        <f>IFERROR(O62,"")</f>
        <v>26527.647942857144</v>
      </c>
      <c r="F2" s="66">
        <f>IFERROR(H53,"")</f>
        <v>24364.930800000002</v>
      </c>
      <c r="G2" s="66">
        <f>IFERROR(H54,"")</f>
        <v>90.42</v>
      </c>
      <c r="H2" s="66">
        <f>IFERROR(H56,"")</f>
        <v>1131.68</v>
      </c>
      <c r="I2" s="67"/>
    </row>
    <row r="3" spans="1:10" ht="15" customHeight="1" x14ac:dyDescent="0.25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3">
      <c r="A4" s="646"/>
      <c r="B4" s="646"/>
      <c r="C4" s="646"/>
      <c r="D4" s="646"/>
      <c r="E4" s="646"/>
      <c r="F4" s="646"/>
      <c r="G4" s="646"/>
      <c r="H4" s="646"/>
      <c r="I4" s="69"/>
    </row>
    <row r="5" spans="1:10" ht="19.5" customHeight="1" thickBot="1" x14ac:dyDescent="0.3">
      <c r="A5" s="647" t="s">
        <v>99</v>
      </c>
      <c r="B5" s="648"/>
      <c r="C5" s="648"/>
      <c r="D5" s="648"/>
      <c r="E5" s="648"/>
      <c r="F5" s="648"/>
      <c r="G5" s="648"/>
      <c r="H5" s="649"/>
      <c r="I5" s="70"/>
    </row>
    <row r="6" spans="1:10" ht="19.5" thickBot="1" x14ac:dyDescent="0.3">
      <c r="A6" s="70"/>
      <c r="B6" s="70"/>
      <c r="C6" s="70"/>
      <c r="D6" s="70"/>
      <c r="E6" s="70"/>
      <c r="F6" s="650" t="s">
        <v>100</v>
      </c>
      <c r="G6" s="650"/>
      <c r="H6" s="71">
        <f ca="1">TODAY()</f>
        <v>46064</v>
      </c>
      <c r="I6" s="71"/>
    </row>
    <row r="7" spans="1:10" ht="26.25" thickBot="1" x14ac:dyDescent="0.3">
      <c r="A7" s="72" t="s">
        <v>101</v>
      </c>
      <c r="B7" s="73" t="s">
        <v>102</v>
      </c>
      <c r="C7" s="73" t="s">
        <v>101</v>
      </c>
      <c r="D7" s="74" t="s">
        <v>103</v>
      </c>
      <c r="E7" s="74" t="s">
        <v>104</v>
      </c>
      <c r="F7" s="74" t="s">
        <v>105</v>
      </c>
      <c r="G7" s="74" t="s">
        <v>106</v>
      </c>
      <c r="H7" s="75" t="s">
        <v>107</v>
      </c>
      <c r="I7" s="76"/>
    </row>
    <row r="8" spans="1:10" ht="13.5" x14ac:dyDescent="0.25">
      <c r="A8" s="77">
        <v>986.40000000000009</v>
      </c>
      <c r="B8" s="65" t="s">
        <v>52</v>
      </c>
      <c r="C8" s="78">
        <f>+A8</f>
        <v>986.40000000000009</v>
      </c>
      <c r="D8" s="79" t="s">
        <v>147</v>
      </c>
      <c r="E8" s="79">
        <v>2.15</v>
      </c>
      <c r="F8" s="79">
        <f>IFERROR(C8*E8,"")</f>
        <v>2120.7600000000002</v>
      </c>
      <c r="G8" s="80">
        <f t="shared" ref="G8:G14" si="0">IFERROR(F8/$F$66,"")</f>
        <v>8.2479248469834163E-2</v>
      </c>
      <c r="H8" s="81" t="s">
        <v>51</v>
      </c>
      <c r="I8" s="81"/>
      <c r="J8" s="82"/>
    </row>
    <row r="9" spans="1:10" ht="13.5" x14ac:dyDescent="0.25">
      <c r="A9" s="77">
        <v>90.42</v>
      </c>
      <c r="B9" s="65" t="s">
        <v>41</v>
      </c>
      <c r="C9" s="78">
        <f t="shared" ref="C9:C14" si="1">+A9</f>
        <v>90.42</v>
      </c>
      <c r="D9" s="79" t="s">
        <v>147</v>
      </c>
      <c r="E9" s="79">
        <v>6</v>
      </c>
      <c r="F9" s="79">
        <f t="shared" ref="F9:F14" si="2">IFERROR(C9*E9,"")</f>
        <v>542.52</v>
      </c>
      <c r="G9" s="80">
        <f t="shared" si="0"/>
        <v>2.1099342631818039E-2</v>
      </c>
      <c r="H9" s="81" t="s">
        <v>40</v>
      </c>
      <c r="I9" s="81"/>
      <c r="J9" s="82"/>
    </row>
    <row r="10" spans="1:10" ht="13.5" x14ac:dyDescent="0.25">
      <c r="A10" s="77">
        <v>115.08000000000001</v>
      </c>
      <c r="B10" s="65" t="s">
        <v>54</v>
      </c>
      <c r="C10" s="78">
        <f t="shared" si="1"/>
        <v>115.08000000000001</v>
      </c>
      <c r="D10" s="79" t="s">
        <v>147</v>
      </c>
      <c r="E10" s="79">
        <v>13.01</v>
      </c>
      <c r="F10" s="79">
        <f t="shared" si="2"/>
        <v>1497.1908000000001</v>
      </c>
      <c r="G10" s="80">
        <f t="shared" si="0"/>
        <v>5.8227791923626329E-2</v>
      </c>
      <c r="H10" s="81" t="s">
        <v>53</v>
      </c>
      <c r="I10" s="81"/>
      <c r="J10" s="82"/>
    </row>
    <row r="11" spans="1:10" ht="13.5" x14ac:dyDescent="0.25">
      <c r="A11" s="77">
        <v>18</v>
      </c>
      <c r="B11" s="65" t="s">
        <v>39</v>
      </c>
      <c r="C11" s="78">
        <f t="shared" si="1"/>
        <v>18</v>
      </c>
      <c r="D11" s="79" t="s">
        <v>147</v>
      </c>
      <c r="E11" s="79">
        <v>7.29</v>
      </c>
      <c r="F11" s="79">
        <f t="shared" si="2"/>
        <v>131.22</v>
      </c>
      <c r="G11" s="80">
        <f t="shared" si="0"/>
        <v>5.1033247440595061E-3</v>
      </c>
      <c r="H11" s="81" t="s">
        <v>38</v>
      </c>
      <c r="I11" s="81"/>
      <c r="J11" s="82"/>
    </row>
    <row r="12" spans="1:10" ht="13.5" hidden="1" x14ac:dyDescent="0.25">
      <c r="A12" s="77"/>
      <c r="B12" s="65" t="str">
        <f>IFERROR(VLOOKUP(H12,'[1]Consolidado MP Planta'!$A$2:$M$823,3,0),"")</f>
        <v/>
      </c>
      <c r="C12" s="78">
        <f t="shared" si="1"/>
        <v>0</v>
      </c>
      <c r="D12" s="79" t="str">
        <f>IFERROR(VLOOKUP(H12,'[1]Consolidado MP Planta'!$A$2:$M$823,13,0),"")</f>
        <v/>
      </c>
      <c r="E12" s="79" t="str">
        <f>IFERROR(VLOOKUP(H12,'[1]Consolidado MP Planta'!$A$2:$M$823,12,0),"")</f>
        <v/>
      </c>
      <c r="F12" s="79" t="str">
        <f t="shared" si="2"/>
        <v/>
      </c>
      <c r="G12" s="80" t="str">
        <f t="shared" si="0"/>
        <v/>
      </c>
      <c r="H12" s="81"/>
      <c r="I12" s="81"/>
      <c r="J12" s="82"/>
    </row>
    <row r="13" spans="1:10" ht="13.5" hidden="1" x14ac:dyDescent="0.25">
      <c r="A13" s="77"/>
      <c r="B13" s="65" t="str">
        <f>IFERROR(VLOOKUP(H13,'[1]Consolidado MP Planta'!$A$2:$M$823,3,0),"")</f>
        <v/>
      </c>
      <c r="C13" s="78">
        <f t="shared" si="1"/>
        <v>0</v>
      </c>
      <c r="D13" s="79" t="str">
        <f>IFERROR(VLOOKUP(H13,'[1]Consolidado MP Planta'!$A$2:$M$823,13,0),"")</f>
        <v/>
      </c>
      <c r="E13" s="79" t="str">
        <f>IFERROR(VLOOKUP(H13,'[1]Consolidado MP Planta'!$A$2:$M$823,12,0),"")</f>
        <v/>
      </c>
      <c r="F13" s="79" t="str">
        <f t="shared" si="2"/>
        <v/>
      </c>
      <c r="G13" s="80" t="str">
        <f t="shared" si="0"/>
        <v/>
      </c>
      <c r="H13" s="81"/>
      <c r="I13" s="81"/>
      <c r="J13" s="82"/>
    </row>
    <row r="14" spans="1:10" ht="13.5" hidden="1" x14ac:dyDescent="0.25">
      <c r="A14" s="77"/>
      <c r="B14" s="65" t="str">
        <f>IFERROR(VLOOKUP(H14,'[1]Consolidado MP Planta'!$A$2:$M$823,3,0),"")</f>
        <v/>
      </c>
      <c r="C14" s="78">
        <f t="shared" si="1"/>
        <v>0</v>
      </c>
      <c r="D14" s="79" t="str">
        <f>IFERROR(VLOOKUP(H14,'[1]Consolidado MP Planta'!$A$2:$M$823,13,0),"")</f>
        <v/>
      </c>
      <c r="E14" s="79" t="str">
        <f>IFERROR(VLOOKUP(H14,'[1]Consolidado MP Planta'!$A$2:$M$823,12,0),"")</f>
        <v/>
      </c>
      <c r="F14" s="79" t="str">
        <f t="shared" si="2"/>
        <v/>
      </c>
      <c r="G14" s="80" t="str">
        <f t="shared" si="0"/>
        <v/>
      </c>
      <c r="H14" s="81"/>
      <c r="I14" s="81"/>
      <c r="J14" s="82"/>
    </row>
    <row r="15" spans="1:10" ht="14.25" thickBot="1" x14ac:dyDescent="0.3">
      <c r="A15" s="77"/>
      <c r="B15" s="65" t="str">
        <f>IFERROR(VLOOKUP(H15,'[2]ARTICULOS MP PLANTA'!$A$2:$G$589,2,0),"")</f>
        <v/>
      </c>
      <c r="C15" s="78"/>
      <c r="D15" s="79"/>
      <c r="E15" s="79"/>
      <c r="F15" s="79"/>
      <c r="G15" s="80"/>
      <c r="H15" s="81"/>
      <c r="I15" s="81"/>
      <c r="J15" s="82"/>
    </row>
    <row r="16" spans="1:10" ht="26.25" thickBot="1" x14ac:dyDescent="0.3">
      <c r="A16" s="72" t="s">
        <v>101</v>
      </c>
      <c r="B16" s="73" t="s">
        <v>108</v>
      </c>
      <c r="C16" s="73" t="s">
        <v>101</v>
      </c>
      <c r="D16" s="74" t="s">
        <v>103</v>
      </c>
      <c r="E16" s="74" t="s">
        <v>104</v>
      </c>
      <c r="F16" s="74" t="s">
        <v>105</v>
      </c>
      <c r="G16" s="74" t="s">
        <v>106</v>
      </c>
      <c r="H16" s="75" t="s">
        <v>107</v>
      </c>
      <c r="I16" s="76"/>
      <c r="J16" s="82"/>
    </row>
    <row r="17" spans="1:12" ht="13.5" x14ac:dyDescent="0.25">
      <c r="A17" s="77">
        <v>9042</v>
      </c>
      <c r="B17" s="65" t="s">
        <v>50</v>
      </c>
      <c r="C17" s="78">
        <f>+A17</f>
        <v>9042</v>
      </c>
      <c r="D17" s="78" t="s">
        <v>147</v>
      </c>
      <c r="E17" s="79">
        <v>2.2200000000000002</v>
      </c>
      <c r="F17" s="79">
        <f>IFERROR(E17*C17,"")</f>
        <v>20073.240000000002</v>
      </c>
      <c r="G17" s="80">
        <f t="shared" ref="G17:G24" si="3">IFERROR(F17/$F$66,"")</f>
        <v>0.78067567737726751</v>
      </c>
      <c r="H17" s="81" t="s">
        <v>49</v>
      </c>
      <c r="I17" s="81"/>
      <c r="J17" s="82"/>
    </row>
    <row r="18" spans="1:12" ht="13.5" hidden="1" x14ac:dyDescent="0.25">
      <c r="A18" s="77"/>
      <c r="B18" s="65" t="str">
        <f>IFERROR(VLOOKUP(H18,[1]SEMIELABORADOS!$A$2:$M$6000,2,0),"")</f>
        <v/>
      </c>
      <c r="C18" s="78">
        <f t="shared" ref="C18:C24" si="4">+A18</f>
        <v>0</v>
      </c>
      <c r="D18" s="78" t="str">
        <f>IFERROR(VLOOKUP(H18,[1]SEMIELABORADOS!$A$2:$M$6000,6,0),"")</f>
        <v/>
      </c>
      <c r="E18" s="79" t="str">
        <f>IFERROR(VLOOKUP(H18,[1]SEMIELABORADOS!$A$2:$H$65536,8,0),"")</f>
        <v/>
      </c>
      <c r="F18" s="79" t="str">
        <f t="shared" ref="F18:F24" si="5">IFERROR(E18*C18,"")</f>
        <v/>
      </c>
      <c r="G18" s="80" t="str">
        <f t="shared" si="3"/>
        <v/>
      </c>
      <c r="H18" s="81"/>
      <c r="I18" s="81"/>
      <c r="J18" s="82"/>
    </row>
    <row r="19" spans="1:12" ht="13.5" hidden="1" x14ac:dyDescent="0.25">
      <c r="A19" s="77"/>
      <c r="B19" s="65" t="str">
        <f>IFERROR(VLOOKUP(H19,[1]SEMIELABORADOS!$A$2:$M$6000,2,0),"")</f>
        <v/>
      </c>
      <c r="C19" s="78">
        <f>+A19</f>
        <v>0</v>
      </c>
      <c r="D19" s="78" t="str">
        <f>IFERROR(VLOOKUP(H19,[1]SEMIELABORADOS!$A$2:$M$6000,6,0),"")</f>
        <v/>
      </c>
      <c r="E19" s="79" t="str">
        <f>IFERROR(VLOOKUP(H19,[1]SEMIELABORADOS!$A$2:$H$65536,8,0),"")</f>
        <v/>
      </c>
      <c r="F19" s="79" t="str">
        <f>IFERROR(E19*C19,"")</f>
        <v/>
      </c>
      <c r="G19" s="80" t="str">
        <f t="shared" si="3"/>
        <v/>
      </c>
      <c r="H19" s="81"/>
      <c r="I19" s="81"/>
      <c r="J19" s="82"/>
    </row>
    <row r="20" spans="1:12" ht="13.5" hidden="1" x14ac:dyDescent="0.25">
      <c r="A20" s="77"/>
      <c r="B20" s="65" t="str">
        <f>IFERROR(VLOOKUP(H20,[1]SEMIELABORADOS!$A$2:$M$6000,2,0),"")</f>
        <v/>
      </c>
      <c r="C20" s="78">
        <f>+A20</f>
        <v>0</v>
      </c>
      <c r="D20" s="78" t="str">
        <f>IFERROR(VLOOKUP(H20,[1]SEMIELABORADOS!$A$2:$M$6000,6,0),"")</f>
        <v/>
      </c>
      <c r="E20" s="79" t="str">
        <f>IFERROR(VLOOKUP(H20,[1]SEMIELABORADOS!$A$2:$H$65536,8,0),"")</f>
        <v/>
      </c>
      <c r="F20" s="79" t="str">
        <f>IFERROR(E20*C20,"")</f>
        <v/>
      </c>
      <c r="G20" s="80" t="str">
        <f t="shared" si="3"/>
        <v/>
      </c>
      <c r="H20" s="81"/>
      <c r="I20" s="81"/>
      <c r="J20" s="82"/>
    </row>
    <row r="21" spans="1:12" ht="13.5" hidden="1" x14ac:dyDescent="0.25">
      <c r="A21" s="77"/>
      <c r="B21" s="65" t="str">
        <f>IFERROR(VLOOKUP(H21,[1]SEMIELABORADOS!$A$2:$M$6000,2,0),"")</f>
        <v/>
      </c>
      <c r="C21" s="78">
        <f>+A21</f>
        <v>0</v>
      </c>
      <c r="D21" s="78" t="str">
        <f>IFERROR(VLOOKUP(H21,[1]SEMIELABORADOS!$A$2:$M$6000,6,0),"")</f>
        <v/>
      </c>
      <c r="E21" s="79" t="str">
        <f>IFERROR(VLOOKUP(H21,[1]SEMIELABORADOS!$A$2:$H$65536,8,0),"")</f>
        <v/>
      </c>
      <c r="F21" s="79" t="str">
        <f>IFERROR(E21*C21,"")</f>
        <v/>
      </c>
      <c r="G21" s="80" t="str">
        <f t="shared" si="3"/>
        <v/>
      </c>
      <c r="H21" s="81"/>
      <c r="I21" s="81"/>
      <c r="J21" s="82"/>
    </row>
    <row r="22" spans="1:12" ht="13.5" hidden="1" x14ac:dyDescent="0.25">
      <c r="A22" s="77"/>
      <c r="B22" s="65" t="str">
        <f>IFERROR(VLOOKUP(H22,[1]SEMIELABORADOS!$A$2:$M$6000,2,0),"")</f>
        <v/>
      </c>
      <c r="C22" s="78">
        <f t="shared" si="4"/>
        <v>0</v>
      </c>
      <c r="D22" s="78" t="str">
        <f>IFERROR(VLOOKUP(H22,[1]SEMIELABORADOS!$A$2:$M$6000,6,0),"")</f>
        <v/>
      </c>
      <c r="E22" s="79" t="str">
        <f>IFERROR(VLOOKUP(H22,[1]SEMIELABORADOS!$A$2:$H$65536,8,0),"")</f>
        <v/>
      </c>
      <c r="F22" s="79" t="str">
        <f t="shared" si="5"/>
        <v/>
      </c>
      <c r="G22" s="80" t="str">
        <f t="shared" si="3"/>
        <v/>
      </c>
      <c r="H22" s="81"/>
      <c r="I22" s="81"/>
      <c r="J22" s="82"/>
    </row>
    <row r="23" spans="1:12" ht="13.5" hidden="1" x14ac:dyDescent="0.25">
      <c r="A23" s="77"/>
      <c r="B23" s="65" t="str">
        <f>IFERROR(VLOOKUP(H23,[1]SEMIELABORADOS!$A$2:$M$6000,2,0),"")</f>
        <v/>
      </c>
      <c r="C23" s="78">
        <f t="shared" si="4"/>
        <v>0</v>
      </c>
      <c r="D23" s="78" t="str">
        <f>IFERROR(VLOOKUP(H23,[1]SEMIELABORADOS!$A$2:$M$6000,6,0),"")</f>
        <v/>
      </c>
      <c r="E23" s="79" t="str">
        <f>IFERROR(VLOOKUP(H23,[1]SEMIELABORADOS!$A$2:$H$65536,8,0),"")</f>
        <v/>
      </c>
      <c r="F23" s="79" t="str">
        <f t="shared" si="5"/>
        <v/>
      </c>
      <c r="G23" s="80" t="str">
        <f t="shared" si="3"/>
        <v/>
      </c>
      <c r="H23" s="81"/>
      <c r="I23" s="81"/>
      <c r="J23" s="82"/>
    </row>
    <row r="24" spans="1:12" ht="13.5" hidden="1" x14ac:dyDescent="0.25">
      <c r="A24" s="77"/>
      <c r="B24" s="65" t="str">
        <f>IFERROR(VLOOKUP(H24,[1]SEMIELABORADOS!$A$2:$M$6000,2,0),"")</f>
        <v/>
      </c>
      <c r="C24" s="78">
        <f t="shared" si="4"/>
        <v>0</v>
      </c>
      <c r="D24" s="78" t="str">
        <f>IFERROR(VLOOKUP(H24,[1]SEMIELABORADOS!$A$2:$M$6000,6,0),"")</f>
        <v/>
      </c>
      <c r="E24" s="79" t="str">
        <f>IFERROR(VLOOKUP(H24,[1]SEMIELABORADOS!$A$2:$H$65536,8,0),"")</f>
        <v/>
      </c>
      <c r="F24" s="79" t="str">
        <f t="shared" si="5"/>
        <v/>
      </c>
      <c r="G24" s="80" t="str">
        <f t="shared" si="3"/>
        <v/>
      </c>
      <c r="H24" s="81"/>
      <c r="I24" s="81"/>
      <c r="J24" s="82"/>
    </row>
    <row r="25" spans="1:12" ht="14.25" thickBot="1" x14ac:dyDescent="0.3">
      <c r="A25" s="77"/>
      <c r="C25" s="78"/>
      <c r="D25" s="78"/>
      <c r="E25" s="79"/>
      <c r="F25" s="79"/>
      <c r="G25" s="80"/>
      <c r="H25" s="81"/>
      <c r="I25" s="81"/>
      <c r="J25" s="82"/>
    </row>
    <row r="26" spans="1:12" ht="26.25" hidden="1" thickBot="1" x14ac:dyDescent="0.3">
      <c r="A26" s="72" t="s">
        <v>101</v>
      </c>
      <c r="B26" s="73" t="s">
        <v>109</v>
      </c>
      <c r="C26" s="73" t="s">
        <v>101</v>
      </c>
      <c r="D26" s="74" t="s">
        <v>103</v>
      </c>
      <c r="E26" s="74" t="s">
        <v>104</v>
      </c>
      <c r="F26" s="74" t="s">
        <v>105</v>
      </c>
      <c r="G26" s="74" t="s">
        <v>106</v>
      </c>
      <c r="H26" s="75" t="s">
        <v>107</v>
      </c>
      <c r="I26" s="76"/>
    </row>
    <row r="27" spans="1:12" ht="13.5" hidden="1" x14ac:dyDescent="0.25">
      <c r="A27" s="77">
        <v>0</v>
      </c>
      <c r="B27" s="83" t="str">
        <f>IFERROR(VLOOKUP(H27,'[1]Consolidado MP Planta'!$A$2:$M$823,3,0),"")</f>
        <v/>
      </c>
      <c r="C27" s="78">
        <f t="shared" ref="C27:C32" si="6">+A27</f>
        <v>0</v>
      </c>
      <c r="D27" s="79" t="str">
        <f>IFERROR(VLOOKUP(H27,'[1]Consolidado MP Planta'!$A$2:$M$823,13,0),"")</f>
        <v/>
      </c>
      <c r="E27" s="79" t="str">
        <f>IFERROR(VLOOKUP(H27,'[1]Consolidado MP Planta'!$A$2:$M$823,12,0),"")</f>
        <v/>
      </c>
      <c r="F27" s="79" t="str">
        <f t="shared" ref="F27:F32" si="7">IFERROR(C27*E27,"")</f>
        <v/>
      </c>
      <c r="G27" s="80" t="str">
        <f t="shared" ref="G27:G32" si="8">IFERROR(F27/$F$66,"")</f>
        <v/>
      </c>
      <c r="H27" s="84"/>
      <c r="I27" s="84"/>
      <c r="J27" s="82"/>
      <c r="K27" s="640"/>
      <c r="L27" s="640"/>
    </row>
    <row r="28" spans="1:12" ht="13.5" hidden="1" x14ac:dyDescent="0.25">
      <c r="A28" s="77"/>
      <c r="B28" s="83" t="str">
        <f>IFERROR(VLOOKUP(H28,'[1]Consolidado MP Planta'!$A$2:$M$823,3,0),"")</f>
        <v/>
      </c>
      <c r="C28" s="78">
        <f t="shared" si="6"/>
        <v>0</v>
      </c>
      <c r="D28" s="79" t="str">
        <f>IFERROR(VLOOKUP(H28,'[1]Consolidado MP Planta'!$A$2:$M$823,13,0),"")</f>
        <v/>
      </c>
      <c r="E28" s="79" t="str">
        <f>IFERROR(VLOOKUP(H28,'[1]Consolidado MP Planta'!$A$2:$M$823,12,0),"")</f>
        <v/>
      </c>
      <c r="F28" s="79" t="str">
        <f t="shared" si="7"/>
        <v/>
      </c>
      <c r="G28" s="80" t="str">
        <f t="shared" si="8"/>
        <v/>
      </c>
      <c r="H28" s="84"/>
      <c r="I28" s="84"/>
      <c r="J28" s="82"/>
      <c r="K28" s="640"/>
      <c r="L28" s="640"/>
    </row>
    <row r="29" spans="1:12" ht="13.5" hidden="1" x14ac:dyDescent="0.25">
      <c r="A29" s="77"/>
      <c r="B29" s="83" t="str">
        <f>IFERROR(VLOOKUP(H29,'[1]Consolidado MP Planta'!$A$2:$M$823,3,0),"")</f>
        <v/>
      </c>
      <c r="C29" s="78">
        <f t="shared" si="6"/>
        <v>0</v>
      </c>
      <c r="D29" s="79" t="str">
        <f>IFERROR(VLOOKUP(H29,'[1]Consolidado MP Planta'!$A$2:$M$823,13,0),"")</f>
        <v/>
      </c>
      <c r="E29" s="79" t="str">
        <f>IFERROR(VLOOKUP(H29,'[1]Consolidado MP Planta'!$A$2:$M$823,12,0),"")</f>
        <v/>
      </c>
      <c r="F29" s="79" t="str">
        <f t="shared" si="7"/>
        <v/>
      </c>
      <c r="G29" s="80" t="str">
        <f t="shared" si="8"/>
        <v/>
      </c>
      <c r="H29" s="84"/>
      <c r="I29" s="84"/>
      <c r="J29" s="82"/>
      <c r="K29" s="640"/>
      <c r="L29" s="640"/>
    </row>
    <row r="30" spans="1:12" ht="13.5" hidden="1" x14ac:dyDescent="0.25">
      <c r="A30" s="77"/>
      <c r="B30" s="83" t="str">
        <f>IFERROR(VLOOKUP(H30,'[1]Consolidado MP Planta'!$A$2:$M$823,3,0),"")</f>
        <v/>
      </c>
      <c r="C30" s="78">
        <f t="shared" si="6"/>
        <v>0</v>
      </c>
      <c r="D30" s="79" t="str">
        <f>IFERROR(VLOOKUP(H30,'[1]Consolidado MP Planta'!$A$2:$M$823,13,0),"")</f>
        <v/>
      </c>
      <c r="E30" s="79" t="str">
        <f>IFERROR(VLOOKUP(H30,'[1]Consolidado MP Planta'!$A$2:$M$823,12,0),"")</f>
        <v/>
      </c>
      <c r="F30" s="79" t="str">
        <f t="shared" si="7"/>
        <v/>
      </c>
      <c r="G30" s="80" t="str">
        <f t="shared" si="8"/>
        <v/>
      </c>
      <c r="H30" s="84"/>
      <c r="I30" s="84"/>
      <c r="J30" s="82"/>
      <c r="K30" s="640"/>
      <c r="L30" s="640"/>
    </row>
    <row r="31" spans="1:12" ht="13.5" hidden="1" x14ac:dyDescent="0.25">
      <c r="A31" s="77"/>
      <c r="B31" s="83" t="str">
        <f>IFERROR(VLOOKUP(H31,'[1]Consolidado MP Planta'!$A$2:$M$823,3,0),"")</f>
        <v/>
      </c>
      <c r="C31" s="78">
        <f t="shared" si="6"/>
        <v>0</v>
      </c>
      <c r="D31" s="79" t="str">
        <f>IFERROR(VLOOKUP(H31,'[1]Consolidado MP Planta'!$A$2:$M$823,13,0),"")</f>
        <v/>
      </c>
      <c r="E31" s="79" t="str">
        <f>IFERROR(VLOOKUP(H31,'[1]Consolidado MP Planta'!$A$2:$M$823,12,0),"")</f>
        <v/>
      </c>
      <c r="F31" s="79" t="str">
        <f t="shared" si="7"/>
        <v/>
      </c>
      <c r="G31" s="80" t="str">
        <f t="shared" si="8"/>
        <v/>
      </c>
      <c r="H31" s="84"/>
      <c r="I31" s="84"/>
      <c r="J31" s="82"/>
      <c r="K31" s="85"/>
      <c r="L31" s="86"/>
    </row>
    <row r="32" spans="1:12" ht="13.5" hidden="1" x14ac:dyDescent="0.25">
      <c r="A32" s="77"/>
      <c r="B32" s="83" t="str">
        <f>IFERROR(VLOOKUP(H32,'[1]Consolidado MP Planta'!$A$2:$M$823,3,0),"")</f>
        <v/>
      </c>
      <c r="C32" s="78">
        <f t="shared" si="6"/>
        <v>0</v>
      </c>
      <c r="D32" s="79" t="str">
        <f>IFERROR(VLOOKUP(H32,'[1]Consolidado MP Planta'!$A$2:$M$823,13,0),"")</f>
        <v/>
      </c>
      <c r="E32" s="79" t="str">
        <f>IFERROR(VLOOKUP(H32,'[1]Consolidado MP Planta'!$A$2:$M$823,12,0),"")</f>
        <v/>
      </c>
      <c r="F32" s="79" t="str">
        <f t="shared" si="7"/>
        <v/>
      </c>
      <c r="G32" s="80" t="str">
        <f t="shared" si="8"/>
        <v/>
      </c>
      <c r="H32" s="84"/>
      <c r="I32" s="84"/>
      <c r="J32" s="82"/>
    </row>
    <row r="33" spans="1:13" ht="14.25" hidden="1" thickBot="1" x14ac:dyDescent="0.3">
      <c r="A33" s="77"/>
      <c r="B33" s="83"/>
      <c r="C33" s="78"/>
      <c r="D33" s="79"/>
      <c r="E33" s="79"/>
      <c r="F33" s="79"/>
      <c r="G33" s="80"/>
      <c r="H33" s="84"/>
      <c r="I33" s="84"/>
      <c r="J33" s="82"/>
    </row>
    <row r="34" spans="1:13" ht="26.25" thickBot="1" x14ac:dyDescent="0.25">
      <c r="A34" s="72" t="s">
        <v>101</v>
      </c>
      <c r="B34" s="73" t="s">
        <v>110</v>
      </c>
      <c r="C34" s="73" t="s">
        <v>101</v>
      </c>
      <c r="D34" s="74" t="s">
        <v>103</v>
      </c>
      <c r="E34" s="74" t="s">
        <v>104</v>
      </c>
      <c r="F34" s="74" t="s">
        <v>105</v>
      </c>
      <c r="G34" s="74" t="s">
        <v>106</v>
      </c>
      <c r="H34" s="75" t="s">
        <v>107</v>
      </c>
      <c r="I34" s="84"/>
      <c r="J34" s="82"/>
    </row>
    <row r="35" spans="1:13" ht="13.5" x14ac:dyDescent="0.25">
      <c r="A35" s="77">
        <f>+A17</f>
        <v>9042</v>
      </c>
      <c r="B35" s="65" t="s">
        <v>50</v>
      </c>
      <c r="C35" s="78">
        <f>+A35</f>
        <v>9042</v>
      </c>
      <c r="D35" s="79" t="s">
        <v>147</v>
      </c>
      <c r="E35" s="79">
        <v>0.01</v>
      </c>
      <c r="F35" s="79">
        <f>IFERROR(E35*C35,"")</f>
        <v>90.42</v>
      </c>
      <c r="G35" s="80">
        <f t="shared" ref="G35:G41" si="9">IFERROR(F35/$F$66,"")</f>
        <v>3.5165571053030063E-3</v>
      </c>
      <c r="H35" s="81" t="s">
        <v>49</v>
      </c>
      <c r="I35" s="84"/>
      <c r="J35" s="82"/>
    </row>
    <row r="36" spans="1:13" ht="13.5" hidden="1" x14ac:dyDescent="0.25">
      <c r="A36" s="77">
        <f t="shared" ref="A36:A41" si="10">+A18</f>
        <v>0</v>
      </c>
      <c r="B36" s="83" t="str">
        <f>IFERROR(VLOOKUP(H36,[1]SEMIELABORADOS!$A$2:$M$6000,2,0),"")</f>
        <v/>
      </c>
      <c r="C36" s="78">
        <f t="shared" ref="C36:C41" si="11">+A36</f>
        <v>0</v>
      </c>
      <c r="D36" s="79" t="str">
        <f>IFERROR(VLOOKUP(H36,[1]SEMIELABORADOS!$A$2:$M$6000,6,0),"")</f>
        <v/>
      </c>
      <c r="E36" s="79" t="str">
        <f>IFERROR(VLOOKUP(H36,[1]SEMIELABORADOS!$A$2:$M$65536,10,0),"")</f>
        <v/>
      </c>
      <c r="F36" s="79" t="str">
        <f t="shared" ref="F36:F41" si="12">IFERROR(E36*C36,"")</f>
        <v/>
      </c>
      <c r="G36" s="80" t="str">
        <f t="shared" si="9"/>
        <v/>
      </c>
      <c r="H36" s="84"/>
      <c r="I36" s="84"/>
      <c r="J36" s="82"/>
    </row>
    <row r="37" spans="1:13" ht="13.5" hidden="1" x14ac:dyDescent="0.25">
      <c r="A37" s="77">
        <f t="shared" si="10"/>
        <v>0</v>
      </c>
      <c r="B37" s="83" t="str">
        <f>IFERROR(VLOOKUP(H37,[1]SEMIELABORADOS!$A$2:$M$6000,2,0),"")</f>
        <v/>
      </c>
      <c r="C37" s="78">
        <f t="shared" si="11"/>
        <v>0</v>
      </c>
      <c r="D37" s="79" t="str">
        <f>IFERROR(VLOOKUP(H37,[1]SEMIELABORADOS!$A$2:$M$6000,6,0),"")</f>
        <v/>
      </c>
      <c r="E37" s="79" t="str">
        <f>IFERROR(VLOOKUP(H37,[1]SEMIELABORADOS!$A$2:$M$65536,10,0),"")</f>
        <v/>
      </c>
      <c r="F37" s="79" t="str">
        <f t="shared" si="12"/>
        <v/>
      </c>
      <c r="G37" s="80" t="str">
        <f t="shared" si="9"/>
        <v/>
      </c>
      <c r="H37" s="84"/>
      <c r="I37" s="84"/>
      <c r="J37" s="82"/>
    </row>
    <row r="38" spans="1:13" ht="13.5" hidden="1" x14ac:dyDescent="0.25">
      <c r="A38" s="77">
        <f t="shared" si="10"/>
        <v>0</v>
      </c>
      <c r="B38" s="83" t="str">
        <f>IFERROR(VLOOKUP(H38,[1]SEMIELABORADOS!$A$2:$M$6000,2,0),"")</f>
        <v/>
      </c>
      <c r="C38" s="78">
        <f>+A38</f>
        <v>0</v>
      </c>
      <c r="D38" s="79" t="str">
        <f>IFERROR(VLOOKUP(H38,[1]SEMIELABORADOS!$A$2:$M$6000,6,0),"")</f>
        <v/>
      </c>
      <c r="E38" s="79" t="str">
        <f>IFERROR(VLOOKUP(H38,[1]SEMIELABORADOS!$A$2:$M$65536,10,0),"")</f>
        <v/>
      </c>
      <c r="F38" s="79" t="str">
        <f>IFERROR(E38*C38,"")</f>
        <v/>
      </c>
      <c r="G38" s="80" t="str">
        <f t="shared" si="9"/>
        <v/>
      </c>
      <c r="H38" s="84"/>
      <c r="I38" s="84"/>
      <c r="J38" s="82"/>
    </row>
    <row r="39" spans="1:13" ht="13.5" hidden="1" x14ac:dyDescent="0.25">
      <c r="A39" s="77">
        <f t="shared" si="10"/>
        <v>0</v>
      </c>
      <c r="B39" s="83" t="str">
        <f>IFERROR(VLOOKUP(H39,[1]SEMIELABORADOS!$A$2:$M$6000,2,0),"")</f>
        <v/>
      </c>
      <c r="C39" s="78">
        <f>+A39</f>
        <v>0</v>
      </c>
      <c r="D39" s="79" t="str">
        <f>IFERROR(VLOOKUP(H39,[1]SEMIELABORADOS!$A$2:$M$6000,6,0),"")</f>
        <v/>
      </c>
      <c r="E39" s="79" t="str">
        <f>IFERROR(VLOOKUP(H39,[1]SEMIELABORADOS!$A$2:$M$65536,10,0),"")</f>
        <v/>
      </c>
      <c r="F39" s="79" t="str">
        <f>IFERROR(E39*C39,"")</f>
        <v/>
      </c>
      <c r="G39" s="80" t="str">
        <f t="shared" si="9"/>
        <v/>
      </c>
      <c r="H39" s="84"/>
      <c r="I39" s="84"/>
      <c r="J39" s="82"/>
    </row>
    <row r="40" spans="1:13" ht="13.5" hidden="1" x14ac:dyDescent="0.25">
      <c r="A40" s="77">
        <f t="shared" si="10"/>
        <v>0</v>
      </c>
      <c r="B40" s="83" t="str">
        <f>IFERROR(VLOOKUP(H40,[1]SEMIELABORADOS!$A$2:$M$6000,2,0),"")</f>
        <v/>
      </c>
      <c r="C40" s="78">
        <f t="shared" si="11"/>
        <v>0</v>
      </c>
      <c r="D40" s="79" t="str">
        <f>IFERROR(VLOOKUP(H40,[1]SEMIELABORADOS!$A$2:$M$6000,6,0),"")</f>
        <v/>
      </c>
      <c r="E40" s="79" t="str">
        <f>IFERROR(VLOOKUP(H40,[1]SEMIELABORADOS!$A$2:$M$65536,10,0),"")</f>
        <v/>
      </c>
      <c r="F40" s="79" t="str">
        <f t="shared" si="12"/>
        <v/>
      </c>
      <c r="G40" s="80" t="str">
        <f t="shared" si="9"/>
        <v/>
      </c>
      <c r="H40" s="84"/>
      <c r="I40" s="84"/>
      <c r="J40" s="82"/>
    </row>
    <row r="41" spans="1:13" ht="13.5" hidden="1" x14ac:dyDescent="0.25">
      <c r="A41" s="77">
        <f t="shared" si="10"/>
        <v>0</v>
      </c>
      <c r="B41" s="83" t="str">
        <f>IFERROR(VLOOKUP(H41,[1]SEMIELABORADOS!$A$2:$M$6000,2,0),"")</f>
        <v/>
      </c>
      <c r="C41" s="78">
        <f t="shared" si="11"/>
        <v>0</v>
      </c>
      <c r="D41" s="79" t="str">
        <f>IFERROR(VLOOKUP(H41,[1]SEMIELABORADOS!$A$2:$M$6000,6,0),"")</f>
        <v/>
      </c>
      <c r="E41" s="79" t="str">
        <f>IFERROR(VLOOKUP(H41,[1]SEMIELABORADOS!$A$2:$M$65536,10,0),"")</f>
        <v/>
      </c>
      <c r="F41" s="79" t="str">
        <f t="shared" si="12"/>
        <v/>
      </c>
      <c r="G41" s="80" t="str">
        <f t="shared" si="9"/>
        <v/>
      </c>
      <c r="H41" s="84"/>
      <c r="I41" s="84"/>
      <c r="J41" s="82"/>
    </row>
    <row r="42" spans="1:13" ht="14.25" thickBot="1" x14ac:dyDescent="0.3">
      <c r="A42" s="77"/>
      <c r="B42" s="83"/>
      <c r="C42" s="78"/>
      <c r="D42" s="79"/>
      <c r="E42" s="79"/>
      <c r="F42" s="79"/>
      <c r="G42" s="80"/>
      <c r="H42" s="84"/>
      <c r="I42" s="84"/>
      <c r="J42" s="82"/>
    </row>
    <row r="43" spans="1:13" ht="26.25" thickBot="1" x14ac:dyDescent="0.3">
      <c r="A43" s="72" t="s">
        <v>101</v>
      </c>
      <c r="B43" s="73" t="s">
        <v>111</v>
      </c>
      <c r="C43" s="73" t="s">
        <v>101</v>
      </c>
      <c r="D43" s="74" t="s">
        <v>103</v>
      </c>
      <c r="E43" s="74" t="s">
        <v>104</v>
      </c>
      <c r="F43" s="74" t="s">
        <v>105</v>
      </c>
      <c r="G43" s="74" t="s">
        <v>106</v>
      </c>
      <c r="H43" s="75" t="s">
        <v>107</v>
      </c>
      <c r="I43" s="76"/>
      <c r="J43" s="82"/>
    </row>
    <row r="44" spans="1:13" ht="13.5" x14ac:dyDescent="0.25">
      <c r="A44" s="77">
        <f>+A35</f>
        <v>9042</v>
      </c>
      <c r="B44" s="65" t="s">
        <v>50</v>
      </c>
      <c r="C44" s="78">
        <f>+A44</f>
        <v>9042</v>
      </c>
      <c r="D44" s="79" t="s">
        <v>147</v>
      </c>
      <c r="E44" s="79">
        <v>0.04</v>
      </c>
      <c r="F44" s="79">
        <f>IFERROR(E44*C44,"")</f>
        <v>361.68</v>
      </c>
      <c r="G44" s="80">
        <f>IFERROR(F44/$F$66,"")</f>
        <v>1.4066228421212025E-2</v>
      </c>
      <c r="H44" s="81" t="s">
        <v>49</v>
      </c>
      <c r="I44" s="76"/>
      <c r="J44" s="82"/>
    </row>
    <row r="45" spans="1:13" ht="13.5" hidden="1" x14ac:dyDescent="0.25">
      <c r="A45" s="77">
        <f t="shared" ref="A45:A50" si="13">+A36</f>
        <v>0</v>
      </c>
      <c r="B45" s="83" t="str">
        <f>IFERROR(VLOOKUP(H45,[1]SEMIELABORADOS!$A$2:$M$6000,2,0),"")</f>
        <v/>
      </c>
      <c r="C45" s="78">
        <f t="shared" ref="C45:C50" si="14">+A45</f>
        <v>0</v>
      </c>
      <c r="D45" s="79" t="str">
        <f>IFERROR(VLOOKUP(H45,[1]SEMIELABORADOS!$A$2:$M$6000,6,0),"")</f>
        <v/>
      </c>
      <c r="E45" s="79" t="str">
        <f>IFERROR(VLOOKUP(H45,[1]SEMIELABORADOS!$A$2:$M$65536,12,0),"")</f>
        <v/>
      </c>
      <c r="F45" s="79" t="str">
        <f t="shared" ref="F45:F50" si="15">IFERROR(E45*C45,"")</f>
        <v/>
      </c>
      <c r="G45" s="80" t="str">
        <f t="shared" ref="G45:G50" si="16">IFERROR(F45/$F$66,"")</f>
        <v/>
      </c>
      <c r="H45" s="84"/>
      <c r="I45" s="76"/>
      <c r="J45" s="82"/>
      <c r="M45" s="87"/>
    </row>
    <row r="46" spans="1:13" ht="13.5" hidden="1" x14ac:dyDescent="0.25">
      <c r="A46" s="77">
        <f t="shared" si="13"/>
        <v>0</v>
      </c>
      <c r="B46" s="83" t="str">
        <f>IFERROR(VLOOKUP(H46,[1]SEMIELABORADOS!$A$2:$M$6000,2,0),"")</f>
        <v/>
      </c>
      <c r="C46" s="78">
        <f t="shared" si="14"/>
        <v>0</v>
      </c>
      <c r="D46" s="79" t="str">
        <f>IFERROR(VLOOKUP(H46,[1]SEMIELABORADOS!$A$2:$M$6000,6,0),"")</f>
        <v/>
      </c>
      <c r="E46" s="79" t="str">
        <f>IFERROR(VLOOKUP(H46,[1]SEMIELABORADOS!$A$2:$M$65536,12,0),"")</f>
        <v/>
      </c>
      <c r="F46" s="79" t="str">
        <f t="shared" si="15"/>
        <v/>
      </c>
      <c r="G46" s="80" t="str">
        <f t="shared" si="16"/>
        <v/>
      </c>
      <c r="H46" s="84"/>
      <c r="I46" s="76"/>
      <c r="J46" s="82"/>
    </row>
    <row r="47" spans="1:13" ht="13.5" hidden="1" x14ac:dyDescent="0.25">
      <c r="A47" s="77">
        <f t="shared" si="13"/>
        <v>0</v>
      </c>
      <c r="B47" s="83" t="str">
        <f>IFERROR(VLOOKUP(H47,[1]SEMIELABORADOS!$A$2:$M$6000,2,0),"")</f>
        <v/>
      </c>
      <c r="C47" s="78">
        <f t="shared" si="14"/>
        <v>0</v>
      </c>
      <c r="D47" s="79" t="str">
        <f>IFERROR(VLOOKUP(H47,[1]SEMIELABORADOS!$A$2:$M$6000,6,0),"")</f>
        <v/>
      </c>
      <c r="E47" s="79" t="str">
        <f>IFERROR(VLOOKUP(H47,[1]SEMIELABORADOS!$A$2:$M$65536,12,0),"")</f>
        <v/>
      </c>
      <c r="F47" s="79" t="str">
        <f t="shared" si="15"/>
        <v/>
      </c>
      <c r="G47" s="80" t="str">
        <f t="shared" si="16"/>
        <v/>
      </c>
      <c r="H47" s="84"/>
      <c r="I47" s="76"/>
      <c r="J47" s="82"/>
    </row>
    <row r="48" spans="1:13" ht="13.5" hidden="1" x14ac:dyDescent="0.25">
      <c r="A48" s="77">
        <f t="shared" si="13"/>
        <v>0</v>
      </c>
      <c r="B48" s="83" t="str">
        <f>IFERROR(VLOOKUP(H48,[1]SEMIELABORADOS!$A$2:$M$6000,2,0),"")</f>
        <v/>
      </c>
      <c r="C48" s="78">
        <f t="shared" si="14"/>
        <v>0</v>
      </c>
      <c r="D48" s="79" t="str">
        <f>IFERROR(VLOOKUP(H48,[1]SEMIELABORADOS!$A$2:$M$6000,6,0),"")</f>
        <v/>
      </c>
      <c r="E48" s="79" t="str">
        <f>IFERROR(VLOOKUP(H48,[1]SEMIELABORADOS!$A$2:$M$65536,12,0),"")</f>
        <v/>
      </c>
      <c r="F48" s="79" t="str">
        <f t="shared" si="15"/>
        <v/>
      </c>
      <c r="G48" s="80" t="str">
        <f t="shared" si="16"/>
        <v/>
      </c>
      <c r="H48" s="84"/>
      <c r="I48" s="76"/>
      <c r="J48" s="82"/>
    </row>
    <row r="49" spans="1:17" ht="13.5" hidden="1" x14ac:dyDescent="0.25">
      <c r="A49" s="77">
        <f t="shared" si="13"/>
        <v>0</v>
      </c>
      <c r="B49" s="83" t="str">
        <f>IFERROR(VLOOKUP(H49,[1]SEMIELABORADOS!$A$2:$M$6000,2,0),"")</f>
        <v/>
      </c>
      <c r="C49" s="78">
        <f t="shared" si="14"/>
        <v>0</v>
      </c>
      <c r="D49" s="79" t="str">
        <f>IFERROR(VLOOKUP(H49,[1]SEMIELABORADOS!$A$2:$M$6000,6,0),"")</f>
        <v/>
      </c>
      <c r="E49" s="79" t="str">
        <f>IFERROR(VLOOKUP(H49,[1]SEMIELABORADOS!$A$2:$M$65536,12,0),"")</f>
        <v/>
      </c>
      <c r="F49" s="79" t="str">
        <f t="shared" si="15"/>
        <v/>
      </c>
      <c r="G49" s="80" t="str">
        <f t="shared" si="16"/>
        <v/>
      </c>
      <c r="H49" s="84"/>
      <c r="I49" s="76"/>
      <c r="J49" s="82"/>
    </row>
    <row r="50" spans="1:17" ht="13.5" hidden="1" x14ac:dyDescent="0.25">
      <c r="A50" s="77">
        <f t="shared" si="13"/>
        <v>0</v>
      </c>
      <c r="B50" s="83" t="str">
        <f>IFERROR(VLOOKUP(H50,[1]SEMIELABORADOS!$A$2:$M$6000,2,0),"")</f>
        <v/>
      </c>
      <c r="C50" s="78">
        <f t="shared" si="14"/>
        <v>0</v>
      </c>
      <c r="D50" s="79" t="str">
        <f>IFERROR(VLOOKUP(H50,[1]SEMIELABORADOS!$A$2:$M$6000,6,0),"")</f>
        <v/>
      </c>
      <c r="E50" s="79" t="str">
        <f>IFERROR(VLOOKUP(H50,[1]SEMIELABORADOS!$A$2:$M$65536,12,0),"")</f>
        <v/>
      </c>
      <c r="F50" s="79" t="str">
        <f t="shared" si="15"/>
        <v/>
      </c>
      <c r="G50" s="80" t="str">
        <f t="shared" si="16"/>
        <v/>
      </c>
      <c r="H50" s="83"/>
      <c r="I50" s="76"/>
      <c r="J50" s="82"/>
    </row>
    <row r="51" spans="1:17" ht="13.5" x14ac:dyDescent="0.25">
      <c r="A51" s="77">
        <v>1</v>
      </c>
      <c r="B51" s="83" t="s">
        <v>112</v>
      </c>
      <c r="C51" s="78">
        <f>+A51</f>
        <v>1</v>
      </c>
      <c r="D51" s="78" t="s">
        <v>113</v>
      </c>
      <c r="E51" s="79">
        <f>+F65</f>
        <v>770</v>
      </c>
      <c r="F51" s="79">
        <f>IFERROR(C51*E51,"")</f>
        <v>770</v>
      </c>
      <c r="G51" s="80">
        <f>IFERROR(F51/$F$66,"")</f>
        <v>2.9946350045159421E-2</v>
      </c>
      <c r="H51" s="88"/>
      <c r="I51" s="88"/>
      <c r="J51" s="82"/>
    </row>
    <row r="52" spans="1:17" ht="14.25" thickBot="1" x14ac:dyDescent="0.3">
      <c r="A52" s="77"/>
      <c r="B52" s="83"/>
      <c r="C52" s="78"/>
      <c r="D52" s="78"/>
      <c r="E52" s="79"/>
      <c r="F52" s="79"/>
      <c r="G52" s="80"/>
      <c r="H52" s="88"/>
      <c r="I52" s="88"/>
      <c r="J52" s="82"/>
    </row>
    <row r="53" spans="1:17" ht="13.5" thickBot="1" x14ac:dyDescent="0.3">
      <c r="A53" s="89"/>
      <c r="B53" s="641" t="s">
        <v>114</v>
      </c>
      <c r="C53" s="641"/>
      <c r="D53" s="641"/>
      <c r="E53" s="641"/>
      <c r="F53" s="91">
        <f>SUM(F8:F14,F17:F24)</f>
        <v>24364.930800000002</v>
      </c>
      <c r="G53" s="80">
        <f>+F53/$F$66</f>
        <v>0.94758538514660551</v>
      </c>
      <c r="H53" s="92">
        <f>+F53/$D$60</f>
        <v>24364.930800000002</v>
      </c>
      <c r="I53" s="92"/>
      <c r="J53" s="93"/>
      <c r="K53" s="94"/>
      <c r="L53" s="94"/>
      <c r="M53" s="94"/>
      <c r="N53" s="94"/>
      <c r="O53" s="94"/>
      <c r="P53" s="94"/>
      <c r="Q53" s="95"/>
    </row>
    <row r="54" spans="1:17" x14ac:dyDescent="0.2">
      <c r="A54" s="89"/>
      <c r="B54" s="641" t="s">
        <v>115</v>
      </c>
      <c r="C54" s="641"/>
      <c r="D54" s="641"/>
      <c r="E54" s="641"/>
      <c r="F54" s="91">
        <f>SUM(F27:F32,F35:F41)</f>
        <v>90.42</v>
      </c>
      <c r="G54" s="80">
        <f>+F54/$F$66</f>
        <v>3.5165571053030063E-3</v>
      </c>
      <c r="H54" s="92">
        <f>+F54/$D$60</f>
        <v>90.42</v>
      </c>
      <c r="I54" s="92"/>
      <c r="J54" s="96"/>
      <c r="K54" s="642" t="s">
        <v>116</v>
      </c>
      <c r="L54" s="643"/>
      <c r="M54" s="643"/>
      <c r="N54" s="643"/>
      <c r="O54" s="97">
        <f>+F55</f>
        <v>24455.3508</v>
      </c>
      <c r="P54" s="97"/>
      <c r="Q54" s="98"/>
    </row>
    <row r="55" spans="1:17" x14ac:dyDescent="0.2">
      <c r="A55" s="89"/>
      <c r="B55" s="641" t="s">
        <v>117</v>
      </c>
      <c r="C55" s="641"/>
      <c r="D55" s="641"/>
      <c r="E55" s="641"/>
      <c r="F55" s="91">
        <f>+F53+F54</f>
        <v>24455.3508</v>
      </c>
      <c r="G55" s="80">
        <f>+F55/$F$66</f>
        <v>0.95110194225190847</v>
      </c>
      <c r="H55" s="92">
        <f>+F55/$D$60</f>
        <v>24455.3508</v>
      </c>
      <c r="I55" s="92"/>
      <c r="J55" s="99"/>
      <c r="K55" s="100"/>
      <c r="M55" s="101" t="s">
        <v>118</v>
      </c>
      <c r="N55" s="102"/>
      <c r="O55" s="97">
        <f>+H56</f>
        <v>1131.68</v>
      </c>
      <c r="P55" s="97"/>
      <c r="Q55" s="98"/>
    </row>
    <row r="56" spans="1:17" ht="13.5" thickBot="1" x14ac:dyDescent="0.25">
      <c r="A56" s="89"/>
      <c r="B56" s="90"/>
      <c r="C56" s="641" t="s">
        <v>119</v>
      </c>
      <c r="D56" s="641"/>
      <c r="E56" s="641"/>
      <c r="F56" s="91">
        <f>SUM(F44:F51)</f>
        <v>1131.68</v>
      </c>
      <c r="G56" s="80">
        <f>+F56/$F$66</f>
        <v>4.4012578466371452E-2</v>
      </c>
      <c r="H56" s="92">
        <f>+F56/$D$60</f>
        <v>1131.68</v>
      </c>
      <c r="I56" s="92"/>
      <c r="J56" s="99"/>
      <c r="K56" s="100"/>
      <c r="L56" s="100"/>
      <c r="M56" s="100" t="s">
        <v>120</v>
      </c>
      <c r="N56" s="103"/>
      <c r="O56" s="97">
        <f>O54*N56</f>
        <v>0</v>
      </c>
      <c r="P56" s="97"/>
      <c r="Q56" s="98"/>
    </row>
    <row r="57" spans="1:17" ht="13.5" thickBot="1" x14ac:dyDescent="0.25">
      <c r="A57" s="89"/>
      <c r="B57" s="104"/>
      <c r="C57" s="104"/>
      <c r="D57" s="104"/>
      <c r="E57" s="104"/>
      <c r="F57" s="105"/>
      <c r="G57" s="80"/>
      <c r="H57" s="106"/>
      <c r="I57" s="92"/>
      <c r="J57" s="99"/>
      <c r="K57" s="107"/>
      <c r="M57" s="108" t="s">
        <v>121</v>
      </c>
      <c r="N57" s="109"/>
      <c r="O57" s="110">
        <f>SUM(O54:O56)</f>
        <v>25587.0308</v>
      </c>
      <c r="P57" s="111"/>
      <c r="Q57" s="98"/>
    </row>
    <row r="58" spans="1:17" x14ac:dyDescent="0.2">
      <c r="B58" s="644" t="s">
        <v>122</v>
      </c>
      <c r="C58" s="644"/>
      <c r="D58" s="112">
        <v>10000</v>
      </c>
      <c r="E58" s="113"/>
      <c r="G58" s="80"/>
      <c r="H58" s="106">
        <f>+H56/77</f>
        <v>14.697142857142858</v>
      </c>
      <c r="I58" s="114"/>
      <c r="J58" s="99"/>
      <c r="K58" s="107"/>
      <c r="L58" s="100"/>
      <c r="M58" s="100" t="s">
        <v>123</v>
      </c>
      <c r="N58" s="115"/>
      <c r="O58" s="97">
        <f>+H59</f>
        <v>940.61714285714288</v>
      </c>
      <c r="P58" s="97"/>
      <c r="Q58" s="98"/>
    </row>
    <row r="59" spans="1:17" x14ac:dyDescent="0.2">
      <c r="B59" s="644" t="s">
        <v>124</v>
      </c>
      <c r="C59" s="644"/>
      <c r="D59" s="116">
        <v>10000</v>
      </c>
      <c r="E59" s="113"/>
      <c r="G59" s="80"/>
      <c r="H59" s="106">
        <f>+H58*64</f>
        <v>940.61714285714288</v>
      </c>
      <c r="I59" s="114"/>
      <c r="J59" s="99"/>
      <c r="K59" s="107"/>
      <c r="L59" s="100"/>
      <c r="M59" s="645" t="s">
        <v>121</v>
      </c>
      <c r="N59" s="645"/>
      <c r="O59" s="97">
        <f>SUM(O57:O58)</f>
        <v>26527.647942857144</v>
      </c>
      <c r="P59" s="97"/>
      <c r="Q59" s="98"/>
    </row>
    <row r="60" spans="1:17" ht="13.5" thickBot="1" x14ac:dyDescent="0.25">
      <c r="B60" s="636" t="s">
        <v>125</v>
      </c>
      <c r="C60" s="636"/>
      <c r="D60" s="112">
        <f>+D58/D59</f>
        <v>1</v>
      </c>
      <c r="E60" s="113"/>
      <c r="F60" s="117"/>
      <c r="G60" s="80"/>
      <c r="H60" s="106"/>
      <c r="I60" s="114"/>
      <c r="J60" s="99"/>
      <c r="K60" s="107"/>
      <c r="L60" s="645"/>
      <c r="M60" s="645"/>
      <c r="N60" s="115"/>
      <c r="O60" s="97">
        <f>+O59*N60</f>
        <v>0</v>
      </c>
      <c r="P60" s="97"/>
      <c r="Q60" s="98"/>
    </row>
    <row r="61" spans="1:17" ht="13.5" thickBot="1" x14ac:dyDescent="0.25">
      <c r="B61" s="636" t="s">
        <v>126</v>
      </c>
      <c r="C61" s="636"/>
      <c r="D61" s="118"/>
      <c r="E61" s="113"/>
      <c r="F61" s="117"/>
      <c r="G61" s="80"/>
      <c r="H61" s="106"/>
      <c r="I61" s="114"/>
      <c r="J61" s="99"/>
      <c r="K61" s="637" t="s">
        <v>127</v>
      </c>
      <c r="L61" s="638"/>
      <c r="M61" s="638"/>
      <c r="N61" s="639"/>
      <c r="O61" s="110">
        <f>SUM(O59:O60)</f>
        <v>26527.647942857144</v>
      </c>
      <c r="P61" s="119" t="s">
        <v>128</v>
      </c>
      <c r="Q61" s="98"/>
    </row>
    <row r="62" spans="1:17" ht="13.5" thickBot="1" x14ac:dyDescent="0.25">
      <c r="C62" s="89" t="s">
        <v>129</v>
      </c>
      <c r="D62" s="120"/>
      <c r="E62" s="63" t="s">
        <v>130</v>
      </c>
      <c r="F62" s="121" t="s">
        <v>131</v>
      </c>
      <c r="G62" s="80"/>
      <c r="H62" s="106"/>
      <c r="I62" s="114"/>
      <c r="J62" s="122"/>
      <c r="K62" s="123"/>
      <c r="L62" s="625" t="s">
        <v>132</v>
      </c>
      <c r="M62" s="625"/>
      <c r="N62" s="625"/>
      <c r="O62" s="124">
        <f>+O61/D60</f>
        <v>26527.647942857144</v>
      </c>
      <c r="P62" s="125">
        <f>+O62/D59</f>
        <v>2.6527647942857144</v>
      </c>
      <c r="Q62" s="126"/>
    </row>
    <row r="63" spans="1:17" ht="13.5" thickBot="1" x14ac:dyDescent="0.25">
      <c r="B63" s="626" t="s">
        <v>117</v>
      </c>
      <c r="C63" s="626"/>
      <c r="D63" s="626"/>
      <c r="E63" s="127">
        <f>+F63/F63</f>
        <v>1</v>
      </c>
      <c r="F63" s="128">
        <f>SUM(F55)</f>
        <v>24455.3508</v>
      </c>
      <c r="G63" s="80">
        <f>+F63/$F$66</f>
        <v>0.95110194225190847</v>
      </c>
      <c r="H63" s="106"/>
      <c r="I63" s="114"/>
      <c r="K63" s="627"/>
      <c r="L63" s="628"/>
      <c r="M63" s="628"/>
      <c r="N63" s="628"/>
      <c r="O63" s="129"/>
      <c r="P63" s="130"/>
    </row>
    <row r="64" spans="1:17" ht="13.5" thickBot="1" x14ac:dyDescent="0.3">
      <c r="B64" s="629" t="s">
        <v>133</v>
      </c>
      <c r="C64" s="629"/>
      <c r="D64" s="629"/>
      <c r="E64" s="131">
        <v>0.02</v>
      </c>
      <c r="F64" s="128">
        <f>+F53*E64</f>
        <v>487.29861600000004</v>
      </c>
      <c r="G64" s="80">
        <f>+F64/$F$66</f>
        <v>1.895170770293211E-2</v>
      </c>
      <c r="H64" s="92"/>
      <c r="I64" s="114"/>
      <c r="J64" s="132"/>
      <c r="O64" s="133"/>
      <c r="P64" s="90"/>
    </row>
    <row r="65" spans="2:13" ht="13.5" thickBot="1" x14ac:dyDescent="0.3">
      <c r="B65" s="630" t="s">
        <v>134</v>
      </c>
      <c r="C65" s="631"/>
      <c r="D65" s="134">
        <v>10</v>
      </c>
      <c r="E65" s="135">
        <v>77</v>
      </c>
      <c r="F65" s="128">
        <f>+E65*D65</f>
        <v>770</v>
      </c>
      <c r="G65" s="80">
        <f>+F65/$F$66</f>
        <v>2.9946350045159421E-2</v>
      </c>
      <c r="H65" s="92"/>
      <c r="I65" s="92"/>
      <c r="J65" s="82"/>
    </row>
    <row r="66" spans="2:13" ht="13.5" thickBot="1" x14ac:dyDescent="0.3">
      <c r="B66" s="632" t="s">
        <v>135</v>
      </c>
      <c r="C66" s="633"/>
      <c r="D66" s="633"/>
      <c r="E66" s="634"/>
      <c r="F66" s="105">
        <f>SUM(F63:F65)</f>
        <v>25712.649416</v>
      </c>
      <c r="G66" s="80">
        <f>+F66/$F$66</f>
        <v>1</v>
      </c>
      <c r="H66" s="635"/>
      <c r="I66" s="92"/>
      <c r="J66" s="82"/>
      <c r="M66" s="65" t="s">
        <v>136</v>
      </c>
    </row>
    <row r="67" spans="2:13" x14ac:dyDescent="0.25">
      <c r="C67" s="87"/>
      <c r="D67" s="87"/>
      <c r="E67" s="137"/>
      <c r="F67" s="128"/>
      <c r="G67" s="80"/>
      <c r="H67" s="635"/>
      <c r="I67" s="136"/>
      <c r="J67" s="65"/>
      <c r="M67" s="65" t="s">
        <v>137</v>
      </c>
    </row>
    <row r="68" spans="2:13" ht="13.5" thickBot="1" x14ac:dyDescent="0.3">
      <c r="B68" s="620" t="s">
        <v>138</v>
      </c>
      <c r="C68" s="620"/>
      <c r="D68" s="620"/>
      <c r="E68" s="620"/>
      <c r="F68" s="620"/>
      <c r="G68" s="80"/>
      <c r="H68" s="139"/>
      <c r="I68" s="136"/>
      <c r="J68" s="65"/>
      <c r="M68" s="65" t="s">
        <v>139</v>
      </c>
    </row>
    <row r="69" spans="2:13" ht="13.5" thickBot="1" x14ac:dyDescent="0.3">
      <c r="B69" s="140" t="s">
        <v>140</v>
      </c>
      <c r="C69" s="141">
        <f>+F53</f>
        <v>24364.930800000002</v>
      </c>
      <c r="D69" s="141">
        <f>+D58</f>
        <v>10000</v>
      </c>
      <c r="E69" s="142">
        <f>+C69/D69</f>
        <v>2.43649308</v>
      </c>
      <c r="F69" s="80"/>
      <c r="G69" s="139"/>
      <c r="H69" s="82"/>
      <c r="I69" s="139"/>
      <c r="J69" s="65"/>
    </row>
    <row r="70" spans="2:13" x14ac:dyDescent="0.25">
      <c r="B70" s="143"/>
      <c r="C70" s="144"/>
      <c r="D70" s="145"/>
      <c r="E70" s="128"/>
      <c r="F70" s="80"/>
      <c r="G70" s="139"/>
      <c r="H70" s="82"/>
      <c r="I70" s="82"/>
      <c r="J70" s="65"/>
    </row>
    <row r="71" spans="2:13" x14ac:dyDescent="0.25">
      <c r="B71" s="140" t="s">
        <v>141</v>
      </c>
      <c r="C71" s="141">
        <f>SUM(F63:F64)</f>
        <v>24942.649416</v>
      </c>
      <c r="D71" s="141">
        <f>+D58</f>
        <v>10000</v>
      </c>
      <c r="E71" s="146">
        <f>+C71/D71</f>
        <v>2.4942649416</v>
      </c>
      <c r="F71" s="80"/>
      <c r="G71" s="139"/>
      <c r="H71" s="82"/>
      <c r="I71" s="82"/>
      <c r="J71" s="65"/>
    </row>
    <row r="72" spans="2:13" x14ac:dyDescent="0.25">
      <c r="B72" s="140"/>
      <c r="C72" s="141"/>
      <c r="D72" s="141"/>
      <c r="E72" s="146"/>
      <c r="F72" s="80"/>
      <c r="G72" s="139"/>
      <c r="H72" s="82"/>
      <c r="I72" s="82"/>
      <c r="J72" s="65"/>
    </row>
    <row r="73" spans="2:13" ht="13.5" thickBot="1" x14ac:dyDescent="0.3">
      <c r="B73" s="140" t="s">
        <v>142</v>
      </c>
      <c r="C73" s="141">
        <f>+F65</f>
        <v>770</v>
      </c>
      <c r="D73" s="141">
        <f>+D58</f>
        <v>10000</v>
      </c>
      <c r="E73" s="146">
        <f>+C73/D73</f>
        <v>7.6999999999999999E-2</v>
      </c>
      <c r="F73" s="80"/>
      <c r="G73" s="139"/>
      <c r="H73" s="82"/>
      <c r="I73" s="82"/>
      <c r="J73" s="65"/>
    </row>
    <row r="74" spans="2:13" ht="13.5" thickBot="1" x14ac:dyDescent="0.3">
      <c r="B74" s="140" t="s">
        <v>143</v>
      </c>
      <c r="C74" s="141">
        <f>+F56</f>
        <v>1131.68</v>
      </c>
      <c r="D74" s="141">
        <f>+D73</f>
        <v>10000</v>
      </c>
      <c r="E74" s="142">
        <f>+C74/D74</f>
        <v>0.113168</v>
      </c>
      <c r="F74" s="80"/>
      <c r="G74" s="139"/>
      <c r="H74" s="82"/>
      <c r="I74" s="82"/>
      <c r="J74" s="65"/>
    </row>
    <row r="75" spans="2:13" ht="13.5" thickBot="1" x14ac:dyDescent="0.3">
      <c r="B75" s="104"/>
      <c r="C75" s="105"/>
      <c r="D75" s="105"/>
      <c r="E75" s="146"/>
      <c r="F75" s="80"/>
      <c r="G75" s="139"/>
      <c r="H75" s="82"/>
      <c r="I75" s="82"/>
      <c r="J75" s="65"/>
    </row>
    <row r="76" spans="2:13" ht="13.5" thickBot="1" x14ac:dyDescent="0.3">
      <c r="B76" s="140" t="s">
        <v>144</v>
      </c>
      <c r="C76" s="141">
        <f>+F54</f>
        <v>90.42</v>
      </c>
      <c r="D76" s="141">
        <f>+D74</f>
        <v>10000</v>
      </c>
      <c r="E76" s="142">
        <f>+C76/D76</f>
        <v>9.0419999999999997E-3</v>
      </c>
      <c r="F76" s="80"/>
      <c r="G76" s="139"/>
      <c r="H76" s="82"/>
      <c r="I76" s="82"/>
      <c r="J76" s="82"/>
    </row>
    <row r="77" spans="2:13" ht="13.5" thickBot="1" x14ac:dyDescent="0.3">
      <c r="B77" s="104"/>
      <c r="C77" s="105"/>
      <c r="D77" s="105"/>
      <c r="E77" s="146"/>
      <c r="F77" s="80"/>
      <c r="G77" s="139"/>
      <c r="H77" s="82"/>
      <c r="I77" s="82"/>
    </row>
    <row r="78" spans="2:13" ht="13.5" thickBot="1" x14ac:dyDescent="0.3">
      <c r="B78" s="621" t="s">
        <v>145</v>
      </c>
      <c r="C78" s="622"/>
      <c r="D78" s="623"/>
      <c r="E78" s="142">
        <f>+E69+E74</f>
        <v>2.5496610799999999</v>
      </c>
      <c r="G78" s="80"/>
      <c r="H78" s="139"/>
      <c r="I78" s="82"/>
      <c r="J78" s="146"/>
    </row>
    <row r="79" spans="2:13" x14ac:dyDescent="0.25">
      <c r="I79" s="139"/>
      <c r="J79" s="65"/>
    </row>
    <row r="80" spans="2:13" ht="13.5" thickBot="1" x14ac:dyDescent="0.3">
      <c r="B80" s="620" t="s">
        <v>146</v>
      </c>
      <c r="C80" s="620"/>
      <c r="D80" s="620"/>
      <c r="E80" s="620"/>
      <c r="F80" s="620"/>
      <c r="G80" s="80"/>
      <c r="H80" s="139"/>
      <c r="J80" s="65"/>
    </row>
    <row r="81" spans="1:10" ht="13.5" thickBot="1" x14ac:dyDescent="0.3">
      <c r="B81" s="140" t="s">
        <v>140</v>
      </c>
      <c r="C81" s="141">
        <f>+C69</f>
        <v>24364.930800000002</v>
      </c>
      <c r="D81" s="141">
        <f>+D60</f>
        <v>1</v>
      </c>
      <c r="E81" s="142">
        <f>+C81/D81</f>
        <v>24364.930800000002</v>
      </c>
      <c r="F81" s="80"/>
      <c r="G81" s="139"/>
      <c r="H81" s="82"/>
      <c r="I81" s="139"/>
      <c r="J81" s="65"/>
    </row>
    <row r="82" spans="1:10" x14ac:dyDescent="0.25">
      <c r="B82" s="143"/>
      <c r="C82" s="144"/>
      <c r="D82" s="145"/>
      <c r="E82" s="128"/>
      <c r="F82" s="80"/>
      <c r="G82" s="139"/>
      <c r="H82" s="82"/>
      <c r="I82" s="82"/>
      <c r="J82" s="65"/>
    </row>
    <row r="83" spans="1:10" x14ac:dyDescent="0.25">
      <c r="B83" s="140" t="s">
        <v>141</v>
      </c>
      <c r="C83" s="141">
        <f>+C71</f>
        <v>24942.649416</v>
      </c>
      <c r="D83" s="141">
        <f>+D60</f>
        <v>1</v>
      </c>
      <c r="E83" s="146">
        <f>+C83/D83</f>
        <v>24942.649416</v>
      </c>
      <c r="F83" s="80"/>
      <c r="G83" s="139"/>
      <c r="H83" s="82"/>
      <c r="I83" s="82"/>
      <c r="J83" s="65"/>
    </row>
    <row r="84" spans="1:10" x14ac:dyDescent="0.25">
      <c r="B84" s="140"/>
      <c r="C84" s="141"/>
      <c r="D84" s="141"/>
      <c r="E84" s="146"/>
      <c r="F84" s="80"/>
      <c r="G84" s="139"/>
      <c r="H84" s="82"/>
      <c r="I84" s="82"/>
      <c r="J84" s="65"/>
    </row>
    <row r="85" spans="1:10" ht="13.5" thickBot="1" x14ac:dyDescent="0.3">
      <c r="B85" s="140" t="s">
        <v>143</v>
      </c>
      <c r="C85" s="141">
        <f>+C73</f>
        <v>770</v>
      </c>
      <c r="D85" s="141">
        <f>+D60</f>
        <v>1</v>
      </c>
      <c r="E85" s="146">
        <f>+C85/D85</f>
        <v>770</v>
      </c>
      <c r="F85" s="148"/>
      <c r="G85" s="138"/>
      <c r="H85" s="64"/>
      <c r="I85" s="82"/>
    </row>
    <row r="86" spans="1:10" ht="13.5" thickBot="1" x14ac:dyDescent="0.3">
      <c r="B86" s="140" t="s">
        <v>143</v>
      </c>
      <c r="C86" s="141">
        <f>+C74</f>
        <v>1131.68</v>
      </c>
      <c r="D86" s="141">
        <f>+D85</f>
        <v>1</v>
      </c>
      <c r="E86" s="142">
        <f>+C86/D86</f>
        <v>1131.68</v>
      </c>
      <c r="F86" s="147"/>
      <c r="G86" s="138"/>
      <c r="H86" s="64"/>
      <c r="I86" s="64"/>
    </row>
    <row r="87" spans="1:10" x14ac:dyDescent="0.25">
      <c r="I87" s="64"/>
    </row>
    <row r="88" spans="1:10" x14ac:dyDescent="0.2">
      <c r="A88" s="624"/>
      <c r="B88" s="624"/>
      <c r="C88" s="149"/>
      <c r="D88" s="149"/>
      <c r="E88" s="150"/>
      <c r="G88" s="151"/>
    </row>
    <row r="89" spans="1:10" x14ac:dyDescent="0.2">
      <c r="A89" s="83"/>
      <c r="B89" s="152"/>
      <c r="C89" s="153"/>
      <c r="D89" s="153"/>
      <c r="E89" s="154"/>
      <c r="G89" s="151"/>
    </row>
    <row r="90" spans="1:10" x14ac:dyDescent="0.2">
      <c r="A90" s="83"/>
      <c r="B90" s="152"/>
      <c r="C90" s="155"/>
      <c r="D90" s="155"/>
      <c r="E90" s="83"/>
      <c r="G90" s="151"/>
    </row>
    <row r="91" spans="1:10" x14ac:dyDescent="0.2">
      <c r="A91" s="83"/>
      <c r="B91" s="152"/>
      <c r="C91" s="156"/>
      <c r="D91" s="156"/>
      <c r="E91" s="83"/>
      <c r="G91" s="15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BD9BE99-67B4-449D-B942-335FC80A20DE}"/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Base de Galleta CK</vt:lpstr>
      <vt:lpstr>Base galleta Cheese Cake</vt:lpstr>
      <vt:lpstr>Corte Galleta Chilena </vt:lpstr>
      <vt:lpstr>Pasta torta Chilena </vt:lpstr>
      <vt:lpstr>Premezca pasta chilena </vt:lpstr>
      <vt:lpstr>Costo postre Lemon</vt:lpstr>
      <vt:lpstr>Costo Topping Lemon Court</vt:lpstr>
      <vt:lpstr>Costo Empaque Lemon Court</vt:lpstr>
      <vt:lpstr>Relleno Blanco de Limon</vt:lpstr>
      <vt:lpstr>Relleno Blanco de Limon 2</vt:lpstr>
      <vt:lpstr>Crema Chantilly Blanca</vt:lpstr>
      <vt:lpstr>Costo Relleno Blanco Limon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Allan Brenes</cp:lastModifiedBy>
  <cp:revision/>
  <cp:lastPrinted>2026-02-11T23:12:45Z</cp:lastPrinted>
  <dcterms:created xsi:type="dcterms:W3CDTF">2023-12-19T21:30:11Z</dcterms:created>
  <dcterms:modified xsi:type="dcterms:W3CDTF">2026-02-11T23:20:01Z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
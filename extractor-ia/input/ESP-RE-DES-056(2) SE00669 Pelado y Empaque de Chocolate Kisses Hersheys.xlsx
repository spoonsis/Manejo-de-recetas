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3055D7B5-9576-414F-ABEC-0EE21BE6EAE2}" xr6:coauthVersionLast="47" xr6:coauthVersionMax="47" xr10:uidLastSave="{00000000-0000-0000-0000-000000000000}"/>
  <bookViews>
    <workbookView xWindow="-24855" yWindow="2310" windowWidth="21600" windowHeight="11160" tabRatio="817" firstSheet="13" activeTab="13" xr2:uid="{6C4C8C71-3F24-4D9F-89C8-10017C15DBAF}"/>
  </bookViews>
  <sheets>
    <sheet name="Emsamble Industria" sheetId="6" state="hidden" r:id="rId1"/>
    <sheet name="Ensamble Industria 2" sheetId="16" state="hidden" r:id="rId2"/>
    <sheet name="Rosquete Choco Dawn" sheetId="19" state="hidden" r:id="rId3"/>
    <sheet name="Batido Nucleo chocolate Dawn" sheetId="20" state="hidden" r:id="rId4"/>
    <sheet name="Premezcla Batido Choco Dawn" sheetId="21" state="hidden" r:id="rId5"/>
    <sheet name="Leches Pasteurizada c Agua" sheetId="22" state="hidden" r:id="rId6"/>
    <sheet name="Mezcla leche Pasteuriza " sheetId="23" state="hidden" r:id="rId7"/>
    <sheet name="Mousse Chocolate Leche " sheetId="24" state="hidden" r:id="rId8"/>
    <sheet name="Ganache Chocolate Oscuro" sheetId="25" state="hidden" r:id="rId9"/>
    <sheet name="Crema Beidge" sheetId="26" state="hidden" r:id="rId10"/>
    <sheet name="Crema Chantilly blanca " sheetId="27" state="hidden" r:id="rId11"/>
    <sheet name="Emsamble Locales" sheetId="10" state="hidden" r:id="rId12"/>
    <sheet name="costo ensamble" sheetId="14" state="hidden" r:id="rId13"/>
    <sheet name="Pelado de chocolate" sheetId="7" r:id="rId14"/>
    <sheet name="Costo pelado de chocolate" sheetId="13" state="hidden" r:id="rId15"/>
    <sheet name="Rosquete Brownie 2" sheetId="15" state="hidden" r:id="rId16"/>
    <sheet name="Batido Brownie Casero" sheetId="17" state="hidden" r:id="rId17"/>
    <sheet name="Premezcla Brownie Casero" sheetId="18" state="hidden" r:id="rId18"/>
    <sheet name="Rosquete" sheetId="8" state="hidden" r:id="rId19"/>
    <sheet name="costo Rosquete" sheetId="12" state="hidden" r:id="rId20"/>
    <sheet name="Batido" sheetId="9" state="hidden" r:id="rId21"/>
    <sheet name="Costo Batido" sheetId="11" state="hidden" r:id="rId22"/>
    <sheet name="Hoja4" sheetId="4" state="hidden" r:id="rId23"/>
    <sheet name="Hoja5" sheetId="5" state="hidden" r:id="rId24"/>
  </sheets>
  <externalReferences>
    <externalReference r:id="rId25"/>
    <externalReference r:id="rId26"/>
  </externalReferences>
  <definedNames>
    <definedName name="_xlnm.Print_Area" localSheetId="0">'Emsamble Industria'!$A$1:$I$55</definedName>
    <definedName name="_xlnm.Print_Area" localSheetId="13">'Pelado de chocolate'!$A$1:$I$40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27" l="1"/>
  <c r="E29" i="27"/>
  <c r="E18" i="26"/>
  <c r="E17" i="26"/>
  <c r="H10" i="26"/>
  <c r="H9" i="26"/>
  <c r="H8" i="26"/>
  <c r="E20" i="25"/>
  <c r="E19" i="25"/>
  <c r="L17" i="25"/>
  <c r="K12" i="25"/>
  <c r="K11" i="25"/>
  <c r="K10" i="25"/>
  <c r="K9" i="25"/>
  <c r="D16" i="22"/>
  <c r="D31" i="21"/>
  <c r="D28" i="21"/>
  <c r="E25" i="21"/>
  <c r="D31" i="20"/>
  <c r="D30" i="20"/>
  <c r="E23" i="20"/>
  <c r="G13" i="20"/>
  <c r="G12" i="20"/>
  <c r="G11" i="20"/>
  <c r="G10" i="20"/>
  <c r="K20" i="19"/>
  <c r="D17" i="19"/>
  <c r="D21" i="19" s="1"/>
  <c r="E11" i="19"/>
  <c r="D19" i="19" l="1"/>
  <c r="C24" i="18"/>
  <c r="C23" i="18"/>
  <c r="E21" i="17" l="1"/>
  <c r="F10" i="14" l="1"/>
  <c r="C10" i="14"/>
  <c r="E31" i="14"/>
  <c r="D31" i="14"/>
  <c r="C31" i="14"/>
  <c r="B31" i="14"/>
  <c r="E30" i="14"/>
  <c r="D30" i="14"/>
  <c r="C30" i="14"/>
  <c r="B30" i="14"/>
  <c r="E29" i="14"/>
  <c r="D29" i="14"/>
  <c r="C29" i="14"/>
  <c r="B29" i="14"/>
  <c r="D28" i="14"/>
  <c r="C28" i="14"/>
  <c r="B28" i="14"/>
  <c r="A41" i="14"/>
  <c r="C41" i="14" s="1"/>
  <c r="M17" i="11"/>
  <c r="D76" i="14"/>
  <c r="D77" i="14" s="1"/>
  <c r="D79" i="14" s="1"/>
  <c r="D74" i="14"/>
  <c r="D72" i="14"/>
  <c r="F68" i="14"/>
  <c r="E54" i="14" s="1"/>
  <c r="D63" i="14"/>
  <c r="D88" i="14" s="1"/>
  <c r="D89" i="14" s="1"/>
  <c r="C54" i="14"/>
  <c r="E52" i="14"/>
  <c r="D52" i="14"/>
  <c r="B52" i="14"/>
  <c r="E51" i="14"/>
  <c r="D51" i="14"/>
  <c r="B51" i="14"/>
  <c r="E48" i="14"/>
  <c r="D48" i="14"/>
  <c r="B48" i="14"/>
  <c r="A44" i="14"/>
  <c r="A53" i="14" s="1"/>
  <c r="C53" i="14" s="1"/>
  <c r="E43" i="14"/>
  <c r="D43" i="14"/>
  <c r="B43" i="14"/>
  <c r="A43" i="14"/>
  <c r="A52" i="14" s="1"/>
  <c r="C52" i="14" s="1"/>
  <c r="E42" i="14"/>
  <c r="D42" i="14"/>
  <c r="B42" i="14"/>
  <c r="A42" i="14"/>
  <c r="C42" i="14" s="1"/>
  <c r="A40" i="14"/>
  <c r="A49" i="14" s="1"/>
  <c r="C49" i="14" s="1"/>
  <c r="E39" i="14"/>
  <c r="D39" i="14"/>
  <c r="B39" i="14"/>
  <c r="A39" i="14"/>
  <c r="C39" i="14" s="1"/>
  <c r="A38" i="14"/>
  <c r="C38" i="14" s="1"/>
  <c r="E35" i="14"/>
  <c r="D35" i="14"/>
  <c r="C35" i="14"/>
  <c r="B35" i="14"/>
  <c r="E34" i="14"/>
  <c r="D34" i="14"/>
  <c r="C34" i="14"/>
  <c r="B34" i="14"/>
  <c r="C33" i="14"/>
  <c r="E32" i="14"/>
  <c r="D32" i="14"/>
  <c r="C32" i="14"/>
  <c r="B32" i="14"/>
  <c r="D27" i="14"/>
  <c r="C27" i="14"/>
  <c r="B27" i="14"/>
  <c r="E24" i="14"/>
  <c r="D24" i="14"/>
  <c r="C24" i="14"/>
  <c r="B24" i="14"/>
  <c r="C23" i="14"/>
  <c r="D22" i="14"/>
  <c r="C22" i="14"/>
  <c r="B22" i="14"/>
  <c r="D21" i="14"/>
  <c r="C21" i="14"/>
  <c r="F21" i="14" s="1"/>
  <c r="B21" i="14"/>
  <c r="C20" i="14"/>
  <c r="C19" i="14"/>
  <c r="F19" i="14" s="1"/>
  <c r="D18" i="14"/>
  <c r="C18" i="14"/>
  <c r="F18" i="14" s="1"/>
  <c r="B18" i="14"/>
  <c r="C17" i="14"/>
  <c r="B15" i="14"/>
  <c r="E14" i="14"/>
  <c r="D14" i="14"/>
  <c r="C14" i="14"/>
  <c r="B14" i="14"/>
  <c r="E13" i="14"/>
  <c r="D13" i="14"/>
  <c r="C13" i="14"/>
  <c r="B13" i="14"/>
  <c r="E12" i="14"/>
  <c r="D12" i="14"/>
  <c r="C12" i="14"/>
  <c r="B12" i="14"/>
  <c r="E11" i="14"/>
  <c r="D11" i="14"/>
  <c r="C11" i="14"/>
  <c r="B11" i="14"/>
  <c r="D9" i="14"/>
  <c r="C9" i="14"/>
  <c r="B9" i="14"/>
  <c r="C8" i="14"/>
  <c r="F8" i="14" s="1"/>
  <c r="H6" i="14"/>
  <c r="D83" i="13"/>
  <c r="D81" i="13"/>
  <c r="D73" i="13"/>
  <c r="D74" i="13" s="1"/>
  <c r="D76" i="13" s="1"/>
  <c r="D71" i="13"/>
  <c r="D69" i="13"/>
  <c r="F65" i="13"/>
  <c r="E51" i="13" s="1"/>
  <c r="F51" i="13" s="1"/>
  <c r="D60" i="13"/>
  <c r="D85" i="13" s="1"/>
  <c r="D86" i="13" s="1"/>
  <c r="C51" i="13"/>
  <c r="E50" i="13"/>
  <c r="D50" i="13"/>
  <c r="B50" i="13"/>
  <c r="E49" i="13"/>
  <c r="D49" i="13"/>
  <c r="B49" i="13"/>
  <c r="E48" i="13"/>
  <c r="D48" i="13"/>
  <c r="B48" i="13"/>
  <c r="E47" i="13"/>
  <c r="D47" i="13"/>
  <c r="B47" i="13"/>
  <c r="E46" i="13"/>
  <c r="D46" i="13"/>
  <c r="B46" i="13"/>
  <c r="E45" i="13"/>
  <c r="D45" i="13"/>
  <c r="B45" i="13"/>
  <c r="A45" i="13"/>
  <c r="C45" i="13" s="1"/>
  <c r="E44" i="13"/>
  <c r="D44" i="13"/>
  <c r="B44" i="13"/>
  <c r="E41" i="13"/>
  <c r="D41" i="13"/>
  <c r="B41" i="13"/>
  <c r="A41" i="13"/>
  <c r="A50" i="13" s="1"/>
  <c r="C50" i="13" s="1"/>
  <c r="E40" i="13"/>
  <c r="D40" i="13"/>
  <c r="B40" i="13"/>
  <c r="A40" i="13"/>
  <c r="C40" i="13" s="1"/>
  <c r="E39" i="13"/>
  <c r="D39" i="13"/>
  <c r="B39" i="13"/>
  <c r="A39" i="13"/>
  <c r="C39" i="13" s="1"/>
  <c r="E38" i="13"/>
  <c r="D38" i="13"/>
  <c r="C38" i="13"/>
  <c r="B38" i="13"/>
  <c r="A38" i="13"/>
  <c r="A47" i="13" s="1"/>
  <c r="C47" i="13" s="1"/>
  <c r="E37" i="13"/>
  <c r="D37" i="13"/>
  <c r="B37" i="13"/>
  <c r="A37" i="13"/>
  <c r="A46" i="13" s="1"/>
  <c r="C46" i="13" s="1"/>
  <c r="E36" i="13"/>
  <c r="D36" i="13"/>
  <c r="B36" i="13"/>
  <c r="A36" i="13"/>
  <c r="C36" i="13" s="1"/>
  <c r="E35" i="13"/>
  <c r="D35" i="13"/>
  <c r="B35" i="13"/>
  <c r="A35" i="13"/>
  <c r="C35" i="13" s="1"/>
  <c r="E32" i="13"/>
  <c r="F32" i="13" s="1"/>
  <c r="D32" i="13"/>
  <c r="C32" i="13"/>
  <c r="B32" i="13"/>
  <c r="E31" i="13"/>
  <c r="D31" i="13"/>
  <c r="C31" i="13"/>
  <c r="B31" i="13"/>
  <c r="E30" i="13"/>
  <c r="F30" i="13" s="1"/>
  <c r="D30" i="13"/>
  <c r="C30" i="13"/>
  <c r="B30" i="13"/>
  <c r="E29" i="13"/>
  <c r="D29" i="13"/>
  <c r="C29" i="13"/>
  <c r="B29" i="13"/>
  <c r="E28" i="13"/>
  <c r="F28" i="13" s="1"/>
  <c r="D28" i="13"/>
  <c r="C28" i="13"/>
  <c r="B28" i="13"/>
  <c r="E27" i="13"/>
  <c r="F27" i="13" s="1"/>
  <c r="D27" i="13"/>
  <c r="C27" i="13"/>
  <c r="B27" i="13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 s="1"/>
  <c r="D19" i="13"/>
  <c r="C19" i="13"/>
  <c r="B19" i="13"/>
  <c r="E18" i="13"/>
  <c r="F18" i="13" s="1"/>
  <c r="D18" i="13"/>
  <c r="C18" i="13"/>
  <c r="B18" i="13"/>
  <c r="E17" i="13"/>
  <c r="F17" i="13" s="1"/>
  <c r="D17" i="13"/>
  <c r="C17" i="13"/>
  <c r="B17" i="13"/>
  <c r="B15" i="13"/>
  <c r="E14" i="13"/>
  <c r="D14" i="13"/>
  <c r="C14" i="13"/>
  <c r="B14" i="13"/>
  <c r="E13" i="13"/>
  <c r="D13" i="13"/>
  <c r="C13" i="13"/>
  <c r="B13" i="13"/>
  <c r="E12" i="13"/>
  <c r="D12" i="13"/>
  <c r="C12" i="13"/>
  <c r="B12" i="13"/>
  <c r="E11" i="13"/>
  <c r="D11" i="13"/>
  <c r="C11" i="13"/>
  <c r="B11" i="13"/>
  <c r="E10" i="13"/>
  <c r="D10" i="13"/>
  <c r="C10" i="13"/>
  <c r="B10" i="13"/>
  <c r="E9" i="13"/>
  <c r="D9" i="13"/>
  <c r="C9" i="13"/>
  <c r="B9" i="13"/>
  <c r="C8" i="13"/>
  <c r="F8" i="13" s="1"/>
  <c r="H6" i="13"/>
  <c r="D73" i="12"/>
  <c r="D74" i="12" s="1"/>
  <c r="D76" i="12" s="1"/>
  <c r="D71" i="12"/>
  <c r="D69" i="12"/>
  <c r="F65" i="12"/>
  <c r="E51" i="12" s="1"/>
  <c r="F51" i="12" s="1"/>
  <c r="D60" i="12"/>
  <c r="D85" i="12" s="1"/>
  <c r="D86" i="12" s="1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A44" i="12"/>
  <c r="C44" i="12" s="1"/>
  <c r="E41" i="12"/>
  <c r="D41" i="12"/>
  <c r="B41" i="12"/>
  <c r="A41" i="12"/>
  <c r="A50" i="12" s="1"/>
  <c r="C50" i="12" s="1"/>
  <c r="E40" i="12"/>
  <c r="D40" i="12"/>
  <c r="B40" i="12"/>
  <c r="A40" i="12"/>
  <c r="A49" i="12" s="1"/>
  <c r="C49" i="12" s="1"/>
  <c r="E39" i="12"/>
  <c r="D39" i="12"/>
  <c r="B39" i="12"/>
  <c r="A39" i="12"/>
  <c r="A48" i="12" s="1"/>
  <c r="C48" i="12" s="1"/>
  <c r="F48" i="12" s="1"/>
  <c r="E38" i="12"/>
  <c r="D38" i="12"/>
  <c r="B38" i="12"/>
  <c r="A38" i="12"/>
  <c r="C38" i="12" s="1"/>
  <c r="E37" i="12"/>
  <c r="D37" i="12"/>
  <c r="B37" i="12"/>
  <c r="A37" i="12"/>
  <c r="A46" i="12" s="1"/>
  <c r="C46" i="12" s="1"/>
  <c r="A36" i="12"/>
  <c r="A45" i="12" s="1"/>
  <c r="C45" i="12" s="1"/>
  <c r="A35" i="12"/>
  <c r="C35" i="12" s="1"/>
  <c r="E32" i="12"/>
  <c r="F32" i="12" s="1"/>
  <c r="D32" i="12"/>
  <c r="C32" i="12"/>
  <c r="B32" i="12"/>
  <c r="E31" i="12"/>
  <c r="D31" i="12"/>
  <c r="C31" i="12"/>
  <c r="B31" i="12"/>
  <c r="E30" i="12"/>
  <c r="F30" i="12" s="1"/>
  <c r="D30" i="12"/>
  <c r="C30" i="12"/>
  <c r="B30" i="12"/>
  <c r="E29" i="12"/>
  <c r="D29" i="12"/>
  <c r="C29" i="12"/>
  <c r="B29" i="12"/>
  <c r="E28" i="12"/>
  <c r="F28" i="12" s="1"/>
  <c r="D28" i="12"/>
  <c r="C28" i="12"/>
  <c r="B28" i="12"/>
  <c r="E27" i="12"/>
  <c r="D27" i="12"/>
  <c r="C27" i="12"/>
  <c r="B27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F20" i="12" s="1"/>
  <c r="D20" i="12"/>
  <c r="C20" i="12"/>
  <c r="B20" i="12"/>
  <c r="E19" i="12"/>
  <c r="D19" i="12"/>
  <c r="C19" i="12"/>
  <c r="B19" i="12"/>
  <c r="C18" i="12"/>
  <c r="C17" i="12"/>
  <c r="B15" i="12"/>
  <c r="E14" i="12"/>
  <c r="D14" i="12"/>
  <c r="C14" i="12"/>
  <c r="B14" i="12"/>
  <c r="E13" i="12"/>
  <c r="D13" i="12"/>
  <c r="C13" i="12"/>
  <c r="B13" i="12"/>
  <c r="E12" i="12"/>
  <c r="F12" i="12" s="1"/>
  <c r="D12" i="12"/>
  <c r="C12" i="12"/>
  <c r="B12" i="12"/>
  <c r="E11" i="12"/>
  <c r="D11" i="12"/>
  <c r="C11" i="12"/>
  <c r="B11" i="12"/>
  <c r="E10" i="12"/>
  <c r="F10" i="12" s="1"/>
  <c r="D10" i="12"/>
  <c r="C10" i="12"/>
  <c r="B10" i="12"/>
  <c r="E9" i="12"/>
  <c r="D9" i="12"/>
  <c r="C9" i="12"/>
  <c r="B9" i="12"/>
  <c r="E8" i="12"/>
  <c r="D8" i="12"/>
  <c r="C8" i="12"/>
  <c r="B8" i="12"/>
  <c r="H6" i="12"/>
  <c r="D73" i="11"/>
  <c r="D74" i="11" s="1"/>
  <c r="D76" i="11" s="1"/>
  <c r="D71" i="11"/>
  <c r="D69" i="11"/>
  <c r="F65" i="11"/>
  <c r="E51" i="11" s="1"/>
  <c r="F51" i="11" s="1"/>
  <c r="D60" i="11"/>
  <c r="D85" i="11" s="1"/>
  <c r="D86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5" i="11"/>
  <c r="D45" i="11"/>
  <c r="B45" i="11"/>
  <c r="A45" i="11"/>
  <c r="C45" i="11" s="1"/>
  <c r="E44" i="11"/>
  <c r="D44" i="11"/>
  <c r="B44" i="11"/>
  <c r="E41" i="11"/>
  <c r="D41" i="11"/>
  <c r="B41" i="11"/>
  <c r="A41" i="11"/>
  <c r="A50" i="11" s="1"/>
  <c r="C50" i="11" s="1"/>
  <c r="E40" i="11"/>
  <c r="D40" i="11"/>
  <c r="B40" i="11"/>
  <c r="A40" i="11"/>
  <c r="C40" i="11" s="1"/>
  <c r="E39" i="11"/>
  <c r="D39" i="11"/>
  <c r="B39" i="11"/>
  <c r="A39" i="11"/>
  <c r="C39" i="11" s="1"/>
  <c r="E38" i="11"/>
  <c r="D38" i="11"/>
  <c r="B38" i="11"/>
  <c r="A38" i="11"/>
  <c r="C38" i="11" s="1"/>
  <c r="E37" i="11"/>
  <c r="D37" i="11"/>
  <c r="B37" i="11"/>
  <c r="A37" i="11"/>
  <c r="A46" i="11" s="1"/>
  <c r="C46" i="11" s="1"/>
  <c r="E36" i="11"/>
  <c r="D36" i="11"/>
  <c r="B36" i="11"/>
  <c r="A36" i="11"/>
  <c r="C36" i="11" s="1"/>
  <c r="E35" i="11"/>
  <c r="D35" i="11"/>
  <c r="B35" i="11"/>
  <c r="A35" i="11"/>
  <c r="C35" i="11" s="1"/>
  <c r="E32" i="11"/>
  <c r="D32" i="11"/>
  <c r="C32" i="11"/>
  <c r="B32" i="11"/>
  <c r="E31" i="11"/>
  <c r="D31" i="11"/>
  <c r="C31" i="11"/>
  <c r="B31" i="11"/>
  <c r="E30" i="11"/>
  <c r="F30" i="11" s="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E18" i="11"/>
  <c r="F18" i="11" s="1"/>
  <c r="D18" i="11"/>
  <c r="C18" i="11"/>
  <c r="B18" i="11"/>
  <c r="D17" i="11"/>
  <c r="C17" i="11"/>
  <c r="B17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D10" i="11"/>
  <c r="C10" i="11"/>
  <c r="D9" i="11"/>
  <c r="C9" i="11"/>
  <c r="B9" i="11"/>
  <c r="D8" i="11"/>
  <c r="C8" i="11"/>
  <c r="B8" i="11"/>
  <c r="H6" i="11"/>
  <c r="K13" i="7"/>
  <c r="D37" i="10"/>
  <c r="D37" i="6"/>
  <c r="D22" i="7"/>
  <c r="F54" i="14" l="1"/>
  <c r="D83" i="12"/>
  <c r="F22" i="12"/>
  <c r="F24" i="12"/>
  <c r="F21" i="12"/>
  <c r="F23" i="12"/>
  <c r="C40" i="12"/>
  <c r="F18" i="12"/>
  <c r="F45" i="12"/>
  <c r="F29" i="13"/>
  <c r="F50" i="13"/>
  <c r="F14" i="12"/>
  <c r="F46" i="13"/>
  <c r="F21" i="11"/>
  <c r="F29" i="11"/>
  <c r="F31" i="11"/>
  <c r="F32" i="11"/>
  <c r="F8" i="12"/>
  <c r="F9" i="12"/>
  <c r="F31" i="13"/>
  <c r="F31" i="14"/>
  <c r="F28" i="14"/>
  <c r="F29" i="14"/>
  <c r="F30" i="14"/>
  <c r="F24" i="14"/>
  <c r="F11" i="14"/>
  <c r="F14" i="14"/>
  <c r="D86" i="14"/>
  <c r="F13" i="14"/>
  <c r="A51" i="14"/>
  <c r="C51" i="14" s="1"/>
  <c r="F51" i="14" s="1"/>
  <c r="D84" i="14"/>
  <c r="F27" i="14"/>
  <c r="F32" i="14"/>
  <c r="F33" i="14"/>
  <c r="F34" i="14"/>
  <c r="F35" i="14"/>
  <c r="C44" i="14"/>
  <c r="F12" i="14"/>
  <c r="F9" i="14"/>
  <c r="F22" i="14"/>
  <c r="C43" i="14"/>
  <c r="F43" i="14" s="1"/>
  <c r="F52" i="14"/>
  <c r="F42" i="14"/>
  <c r="C40" i="14"/>
  <c r="F40" i="14" s="1"/>
  <c r="F49" i="14"/>
  <c r="F39" i="14"/>
  <c r="F38" i="14"/>
  <c r="F17" i="14"/>
  <c r="A47" i="14"/>
  <c r="C47" i="14" s="1"/>
  <c r="F47" i="14" s="1"/>
  <c r="F40" i="13"/>
  <c r="F36" i="13"/>
  <c r="F38" i="13"/>
  <c r="F37" i="13"/>
  <c r="C41" i="13"/>
  <c r="F41" i="13" s="1"/>
  <c r="C37" i="13"/>
  <c r="F39" i="13"/>
  <c r="F45" i="13"/>
  <c r="F47" i="13"/>
  <c r="A49" i="13"/>
  <c r="C49" i="13" s="1"/>
  <c r="F49" i="13" s="1"/>
  <c r="F9" i="13"/>
  <c r="F10" i="13"/>
  <c r="F11" i="13"/>
  <c r="F12" i="13"/>
  <c r="F13" i="13"/>
  <c r="F14" i="13"/>
  <c r="F29" i="12"/>
  <c r="F31" i="12"/>
  <c r="F27" i="12"/>
  <c r="D81" i="12"/>
  <c r="F38" i="12"/>
  <c r="F19" i="12"/>
  <c r="C36" i="12"/>
  <c r="F36" i="12" s="1"/>
  <c r="C39" i="12"/>
  <c r="F39" i="12" s="1"/>
  <c r="F40" i="12"/>
  <c r="F11" i="12"/>
  <c r="F13" i="12"/>
  <c r="F46" i="11"/>
  <c r="F36" i="11"/>
  <c r="F38" i="11"/>
  <c r="F40" i="11"/>
  <c r="C37" i="11"/>
  <c r="F37" i="11" s="1"/>
  <c r="C41" i="11"/>
  <c r="F41" i="11" s="1"/>
  <c r="F39" i="11"/>
  <c r="F45" i="11"/>
  <c r="A47" i="11"/>
  <c r="C47" i="11" s="1"/>
  <c r="F47" i="11"/>
  <c r="F11" i="11"/>
  <c r="F12" i="11"/>
  <c r="F13" i="11"/>
  <c r="F14" i="11"/>
  <c r="F28" i="11"/>
  <c r="F27" i="11"/>
  <c r="F8" i="11"/>
  <c r="F9" i="11"/>
  <c r="F10" i="11"/>
  <c r="A48" i="14"/>
  <c r="C48" i="14" s="1"/>
  <c r="F48" i="14" s="1"/>
  <c r="A50" i="14"/>
  <c r="C50" i="14" s="1"/>
  <c r="C76" i="14"/>
  <c r="F35" i="13"/>
  <c r="A44" i="13"/>
  <c r="C44" i="13" s="1"/>
  <c r="F44" i="13" s="1"/>
  <c r="A48" i="13"/>
  <c r="C48" i="13" s="1"/>
  <c r="F48" i="13" s="1"/>
  <c r="C73" i="13"/>
  <c r="F49" i="12"/>
  <c r="F46" i="12"/>
  <c r="F50" i="12"/>
  <c r="C37" i="12"/>
  <c r="F37" i="12" s="1"/>
  <c r="C41" i="12"/>
  <c r="F41" i="12" s="1"/>
  <c r="A47" i="12"/>
  <c r="C47" i="12" s="1"/>
  <c r="F47" i="12" s="1"/>
  <c r="C73" i="12"/>
  <c r="F17" i="11"/>
  <c r="F35" i="11"/>
  <c r="F50" i="11"/>
  <c r="A49" i="11"/>
  <c r="C49" i="11" s="1"/>
  <c r="F49" i="11" s="1"/>
  <c r="D83" i="11"/>
  <c r="A44" i="11"/>
  <c r="C44" i="11" s="1"/>
  <c r="F44" i="11" s="1"/>
  <c r="A48" i="11"/>
  <c r="C48" i="11" s="1"/>
  <c r="F48" i="11" s="1"/>
  <c r="D81" i="11"/>
  <c r="C73" i="11"/>
  <c r="F53" i="13" l="1"/>
  <c r="F54" i="11"/>
  <c r="H54" i="11" s="1"/>
  <c r="G2" i="11" s="1"/>
  <c r="F53" i="11"/>
  <c r="H53" i="11" s="1"/>
  <c r="F2" i="11" s="1"/>
  <c r="C88" i="14"/>
  <c r="E88" i="14" s="1"/>
  <c r="E76" i="14"/>
  <c r="F54" i="13"/>
  <c r="C85" i="13"/>
  <c r="E85" i="13" s="1"/>
  <c r="E73" i="13"/>
  <c r="F56" i="13"/>
  <c r="F64" i="13"/>
  <c r="C69" i="13"/>
  <c r="H53" i="13"/>
  <c r="F2" i="13" s="1"/>
  <c r="C85" i="12"/>
  <c r="E85" i="12" s="1"/>
  <c r="E73" i="12"/>
  <c r="F56" i="11"/>
  <c r="C76" i="11"/>
  <c r="E76" i="11" s="1"/>
  <c r="E35" i="12" s="1"/>
  <c r="F35" i="12" s="1"/>
  <c r="F54" i="12" s="1"/>
  <c r="C85" i="11"/>
  <c r="E85" i="11" s="1"/>
  <c r="E73" i="11"/>
  <c r="F64" i="11"/>
  <c r="F55" i="11"/>
  <c r="C69" i="11" l="1"/>
  <c r="H56" i="13"/>
  <c r="C74" i="13"/>
  <c r="H54" i="13"/>
  <c r="G2" i="13" s="1"/>
  <c r="C76" i="13"/>
  <c r="E76" i="13" s="1"/>
  <c r="E44" i="14" s="1"/>
  <c r="F44" i="14" s="1"/>
  <c r="E69" i="13"/>
  <c r="F23" i="14" s="1"/>
  <c r="C81" i="13"/>
  <c r="E81" i="13" s="1"/>
  <c r="F55" i="13"/>
  <c r="H54" i="12"/>
  <c r="C76" i="12"/>
  <c r="E76" i="12" s="1"/>
  <c r="H56" i="11"/>
  <c r="H58" i="11" s="1"/>
  <c r="H59" i="11" s="1"/>
  <c r="C74" i="11"/>
  <c r="E69" i="11"/>
  <c r="E17" i="12" s="1"/>
  <c r="F17" i="12" s="1"/>
  <c r="F53" i="12" s="1"/>
  <c r="C81" i="11"/>
  <c r="E81" i="11" s="1"/>
  <c r="H55" i="11"/>
  <c r="F63" i="11"/>
  <c r="O54" i="11"/>
  <c r="G2" i="12" l="1"/>
  <c r="E41" i="14"/>
  <c r="F41" i="14" s="1"/>
  <c r="F57" i="14" s="1"/>
  <c r="F64" i="12"/>
  <c r="C69" i="12"/>
  <c r="H53" i="12"/>
  <c r="F55" i="12"/>
  <c r="E74" i="13"/>
  <c r="C86" i="13"/>
  <c r="E86" i="13" s="1"/>
  <c r="H55" i="13"/>
  <c r="F63" i="13"/>
  <c r="O54" i="13"/>
  <c r="H2" i="13"/>
  <c r="H58" i="13"/>
  <c r="H59" i="13" s="1"/>
  <c r="O58" i="13" s="1"/>
  <c r="O55" i="13"/>
  <c r="E74" i="11"/>
  <c r="E44" i="12" s="1"/>
  <c r="F44" i="12" s="1"/>
  <c r="F56" i="12" s="1"/>
  <c r="C86" i="11"/>
  <c r="E86" i="11" s="1"/>
  <c r="O56" i="11"/>
  <c r="C71" i="11"/>
  <c r="E63" i="11"/>
  <c r="F66" i="11"/>
  <c r="H2" i="11"/>
  <c r="O58" i="11"/>
  <c r="O55" i="11"/>
  <c r="O57" i="11" l="1"/>
  <c r="E78" i="13"/>
  <c r="E53" i="14"/>
  <c r="F53" i="14" s="1"/>
  <c r="C81" i="12"/>
  <c r="E81" i="12" s="1"/>
  <c r="E69" i="12"/>
  <c r="H56" i="12"/>
  <c r="C74" i="12"/>
  <c r="H55" i="12"/>
  <c r="O54" i="12"/>
  <c r="O56" i="12" s="1"/>
  <c r="F63" i="12"/>
  <c r="H57" i="14"/>
  <c r="G2" i="14" s="1"/>
  <c r="C79" i="14"/>
  <c r="E79" i="14" s="1"/>
  <c r="E78" i="11"/>
  <c r="F2" i="12"/>
  <c r="E20" i="14"/>
  <c r="F20" i="14" s="1"/>
  <c r="F56" i="14" s="1"/>
  <c r="O59" i="11"/>
  <c r="O60" i="11" s="1"/>
  <c r="O61" i="11" s="1"/>
  <c r="O62" i="11" s="1"/>
  <c r="C71" i="13"/>
  <c r="E63" i="13"/>
  <c r="F66" i="13"/>
  <c r="G63" i="13" s="1"/>
  <c r="O56" i="13"/>
  <c r="O57" i="13" s="1"/>
  <c r="O59" i="13" s="1"/>
  <c r="G66" i="11"/>
  <c r="G9" i="11"/>
  <c r="G13" i="11"/>
  <c r="G22" i="11"/>
  <c r="G36" i="11"/>
  <c r="G45" i="11"/>
  <c r="G38" i="11"/>
  <c r="G21" i="11"/>
  <c r="G40" i="11"/>
  <c r="G65" i="11"/>
  <c r="G17" i="11"/>
  <c r="G32" i="11"/>
  <c r="G37" i="11"/>
  <c r="G24" i="11"/>
  <c r="G41" i="11"/>
  <c r="G27" i="11"/>
  <c r="G12" i="11"/>
  <c r="G18" i="11"/>
  <c r="G35" i="11"/>
  <c r="G39" i="11"/>
  <c r="G30" i="11"/>
  <c r="G10" i="11"/>
  <c r="G14" i="11"/>
  <c r="G28" i="11"/>
  <c r="G19" i="11"/>
  <c r="G46" i="11"/>
  <c r="G47" i="11"/>
  <c r="G20" i="11"/>
  <c r="G23" i="11"/>
  <c r="G51" i="11"/>
  <c r="G31" i="11"/>
  <c r="G29" i="11"/>
  <c r="G8" i="11"/>
  <c r="G11" i="11"/>
  <c r="G48" i="11"/>
  <c r="G44" i="11"/>
  <c r="G54" i="11"/>
  <c r="G49" i="11"/>
  <c r="G53" i="11"/>
  <c r="G50" i="11"/>
  <c r="G55" i="11"/>
  <c r="G56" i="11"/>
  <c r="G64" i="11"/>
  <c r="C83" i="11"/>
  <c r="E83" i="11" s="1"/>
  <c r="E71" i="11"/>
  <c r="G63" i="11"/>
  <c r="H56" i="14" l="1"/>
  <c r="F2" i="14" s="1"/>
  <c r="F67" i="14"/>
  <c r="C72" i="14"/>
  <c r="F58" i="14"/>
  <c r="E74" i="12"/>
  <c r="C86" i="12"/>
  <c r="E86" i="12" s="1"/>
  <c r="E78" i="12"/>
  <c r="C71" i="12"/>
  <c r="E63" i="12"/>
  <c r="F66" i="12"/>
  <c r="G63" i="12" s="1"/>
  <c r="E50" i="14"/>
  <c r="F50" i="14" s="1"/>
  <c r="F59" i="14" s="1"/>
  <c r="H2" i="12"/>
  <c r="H58" i="12"/>
  <c r="H59" i="12" s="1"/>
  <c r="O58" i="12" s="1"/>
  <c r="O55" i="12"/>
  <c r="O57" i="12" s="1"/>
  <c r="G66" i="13"/>
  <c r="G49" i="13"/>
  <c r="G12" i="13"/>
  <c r="G39" i="13"/>
  <c r="G28" i="13"/>
  <c r="G50" i="13"/>
  <c r="G24" i="13"/>
  <c r="G14" i="13"/>
  <c r="G45" i="13"/>
  <c r="G36" i="13"/>
  <c r="G18" i="13"/>
  <c r="G51" i="13"/>
  <c r="G21" i="13"/>
  <c r="G23" i="13"/>
  <c r="G37" i="13"/>
  <c r="G65" i="13"/>
  <c r="G10" i="13"/>
  <c r="G31" i="13"/>
  <c r="G22" i="13"/>
  <c r="G40" i="13"/>
  <c r="G20" i="13"/>
  <c r="G11" i="13"/>
  <c r="G38" i="13"/>
  <c r="G29" i="13"/>
  <c r="G27" i="13"/>
  <c r="G8" i="13"/>
  <c r="G13" i="13"/>
  <c r="G47" i="13"/>
  <c r="G32" i="13"/>
  <c r="G41" i="13"/>
  <c r="G30" i="13"/>
  <c r="G17" i="13"/>
  <c r="G19" i="13"/>
  <c r="G46" i="13"/>
  <c r="G9" i="13"/>
  <c r="G35" i="13"/>
  <c r="G48" i="13"/>
  <c r="G44" i="13"/>
  <c r="G53" i="13"/>
  <c r="G54" i="13"/>
  <c r="G56" i="13"/>
  <c r="G64" i="13"/>
  <c r="G55" i="13"/>
  <c r="O60" i="13"/>
  <c r="O61" i="13" s="1"/>
  <c r="O62" i="13" s="1"/>
  <c r="C83" i="13"/>
  <c r="E83" i="13" s="1"/>
  <c r="E71" i="13"/>
  <c r="P62" i="11"/>
  <c r="E2" i="11"/>
  <c r="O59" i="12" l="1"/>
  <c r="O60" i="12" s="1"/>
  <c r="O61" i="12" s="1"/>
  <c r="O62" i="12" s="1"/>
  <c r="E2" i="12" s="1"/>
  <c r="P62" i="12"/>
  <c r="E72" i="14"/>
  <c r="C84" i="14"/>
  <c r="E84" i="14" s="1"/>
  <c r="G65" i="12"/>
  <c r="G31" i="12"/>
  <c r="G39" i="12"/>
  <c r="G51" i="12"/>
  <c r="G38" i="12"/>
  <c r="G9" i="12"/>
  <c r="G24" i="12"/>
  <c r="G21" i="12"/>
  <c r="G46" i="12"/>
  <c r="G50" i="12"/>
  <c r="G64" i="12"/>
  <c r="G30" i="12"/>
  <c r="G14" i="12"/>
  <c r="G41" i="12"/>
  <c r="G29" i="12"/>
  <c r="G36" i="12"/>
  <c r="G8" i="12"/>
  <c r="G19" i="12"/>
  <c r="G23" i="12"/>
  <c r="G27" i="12"/>
  <c r="G20" i="12"/>
  <c r="G28" i="12"/>
  <c r="G53" i="12"/>
  <c r="G56" i="12"/>
  <c r="G55" i="12"/>
  <c r="G11" i="12"/>
  <c r="G54" i="12"/>
  <c r="G48" i="12"/>
  <c r="G22" i="12"/>
  <c r="G35" i="12"/>
  <c r="G40" i="12"/>
  <c r="G32" i="12"/>
  <c r="G44" i="12"/>
  <c r="G12" i="12"/>
  <c r="G10" i="12"/>
  <c r="G37" i="12"/>
  <c r="G49" i="12"/>
  <c r="G66" i="12"/>
  <c r="G17" i="12"/>
  <c r="G13" i="12"/>
  <c r="G18" i="12"/>
  <c r="G45" i="12"/>
  <c r="G47" i="12"/>
  <c r="H59" i="14"/>
  <c r="C77" i="14"/>
  <c r="C83" i="12"/>
  <c r="E83" i="12" s="1"/>
  <c r="E71" i="12"/>
  <c r="H58" i="14"/>
  <c r="O57" i="14"/>
  <c r="O59" i="14" s="1"/>
  <c r="F66" i="14"/>
  <c r="E2" i="13"/>
  <c r="P62" i="13"/>
  <c r="H2" i="14" l="1"/>
  <c r="O58" i="14"/>
  <c r="O60" i="14" s="1"/>
  <c r="H61" i="14"/>
  <c r="H62" i="14" s="1"/>
  <c r="O61" i="14" s="1"/>
  <c r="C74" i="14"/>
  <c r="E66" i="14"/>
  <c r="F69" i="14"/>
  <c r="E77" i="14"/>
  <c r="E81" i="14" s="1"/>
  <c r="C89" i="14"/>
  <c r="E89" i="14" s="1"/>
  <c r="G66" i="14" l="1"/>
  <c r="G10" i="14"/>
  <c r="O62" i="14"/>
  <c r="O63" i="14" s="1"/>
  <c r="O64" i="14" s="1"/>
  <c r="O65" i="14" s="1"/>
  <c r="G31" i="14"/>
  <c r="G12" i="14"/>
  <c r="G53" i="14"/>
  <c r="G18" i="14"/>
  <c r="G8" i="14"/>
  <c r="G51" i="14"/>
  <c r="G47" i="14"/>
  <c r="G24" i="14"/>
  <c r="G19" i="14"/>
  <c r="G41" i="14"/>
  <c r="G17" i="14"/>
  <c r="G30" i="14"/>
  <c r="G49" i="14"/>
  <c r="G54" i="14"/>
  <c r="G27" i="14"/>
  <c r="G29" i="14"/>
  <c r="G42" i="14"/>
  <c r="G14" i="14"/>
  <c r="G50" i="14"/>
  <c r="G38" i="14"/>
  <c r="G59" i="14"/>
  <c r="G35" i="14"/>
  <c r="G33" i="14"/>
  <c r="G69" i="14"/>
  <c r="G43" i="14"/>
  <c r="G34" i="14"/>
  <c r="G11" i="14"/>
  <c r="G40" i="14"/>
  <c r="G48" i="14"/>
  <c r="G28" i="14"/>
  <c r="G67" i="14"/>
  <c r="G56" i="14"/>
  <c r="G44" i="14"/>
  <c r="G57" i="14"/>
  <c r="G22" i="14"/>
  <c r="G39" i="14"/>
  <c r="G23" i="14"/>
  <c r="G58" i="14"/>
  <c r="G32" i="14"/>
  <c r="G52" i="14"/>
  <c r="G68" i="14"/>
  <c r="G13" i="14"/>
  <c r="G9" i="14"/>
  <c r="G21" i="14"/>
  <c r="G20" i="14"/>
  <c r="C86" i="14"/>
  <c r="E86" i="14" s="1"/>
  <c r="E74" i="14"/>
  <c r="P65" i="14" l="1"/>
  <c r="E2" i="14"/>
</calcChain>
</file>

<file path=xl/sharedStrings.xml><?xml version="1.0" encoding="utf-8"?>
<sst xmlns="http://schemas.openxmlformats.org/spreadsheetml/2006/main" count="1872" uniqueCount="493">
  <si>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</si>
  <si>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</si>
  <si>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</si>
  <si>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</si>
  <si>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</si>
  <si>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</si>
  <si>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</si>
  <si>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</si>
  <si>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</si>
  <si>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</si>
  <si>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</si>
  <si>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</si>
  <si>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</si>
  <si>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</si>
  <si>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</si>
  <si>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</si>
  <si>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</si>
  <si>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</si>
  <si>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</si>
  <si>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</si>
  <si>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EMPAQUE</t>
  </si>
  <si>
    <t>ud</t>
  </si>
  <si>
    <t>Unidad</t>
  </si>
  <si>
    <t>PESO TOTAL OBTENIDO</t>
  </si>
  <si>
    <t>TIEMPO TOTAL DE PREPARACION</t>
  </si>
  <si>
    <t>min</t>
  </si>
  <si>
    <t>CANTIDAD DE PORCIONES OBTENIDAS</t>
  </si>
  <si>
    <t>PESO DE CADA PORCIÓN</t>
  </si>
  <si>
    <t>MERMA</t>
  </si>
  <si>
    <t>PROCEDIMIENTO DE PREPARACION DE LA  RECETA</t>
  </si>
  <si>
    <t>Jose Brizuela, chef</t>
  </si>
  <si>
    <t>Esteban Cartin, Gte Manufactura</t>
  </si>
  <si>
    <t># Codigo Netsuite</t>
  </si>
  <si>
    <t>Tiempo de Horneo:</t>
  </si>
  <si>
    <t>Horno:</t>
  </si>
  <si>
    <t>Temperatura de Horneo:</t>
  </si>
  <si>
    <t>Otros</t>
  </si>
  <si>
    <t xml:space="preserve">CONTROL DE CAMBIOS </t>
  </si>
  <si>
    <t>Emsamble</t>
  </si>
  <si>
    <t xml:space="preserve">Decoracion </t>
  </si>
  <si>
    <t>1 unidad</t>
  </si>
  <si>
    <t>EM10009</t>
  </si>
  <si>
    <t>QUEQUERA RED  BASE/DOMO 10 (CAJA:50)</t>
  </si>
  <si>
    <t>MAYCA</t>
  </si>
  <si>
    <t>EM10008</t>
  </si>
  <si>
    <t>ORLA CARTON 10" DORADA UND</t>
  </si>
  <si>
    <t>Mayca</t>
  </si>
  <si>
    <t>Ud</t>
  </si>
  <si>
    <t>EM10002</t>
  </si>
  <si>
    <t>Etiq.Blanca 1 1/4 * 3/4</t>
  </si>
  <si>
    <t>ETIPLAST</t>
  </si>
  <si>
    <t>0703020</t>
  </si>
  <si>
    <t>EM10248</t>
  </si>
  <si>
    <t>CINTA ADHESIVA TRANSPARENTE 2*100</t>
  </si>
  <si>
    <t>cm</t>
  </si>
  <si>
    <t>EM10124</t>
  </si>
  <si>
    <t xml:space="preserve">ETIQUETA BLANCA R-153 </t>
  </si>
  <si>
    <t>Cemusa</t>
  </si>
  <si>
    <t>0702123</t>
  </si>
  <si>
    <t>EM10011</t>
  </si>
  <si>
    <t>ETIQUETA BLANCA 2 5/8X1 15/16 PRE BLANCA</t>
  </si>
  <si>
    <t>Etiplast</t>
  </si>
  <si>
    <t>EM10314</t>
  </si>
  <si>
    <t>Etiqueta Edicion Especial</t>
  </si>
  <si>
    <t>Decoracion</t>
  </si>
  <si>
    <t xml:space="preserve">Ensamble de Hershey"s Kisses  Industria </t>
  </si>
  <si>
    <t>SE00345</t>
  </si>
  <si>
    <t xml:space="preserve">ROSQUETE CHOCOLATE DAWN 400g </t>
  </si>
  <si>
    <t>Partido a la mitad</t>
  </si>
  <si>
    <t>SE00254</t>
  </si>
  <si>
    <t>Leches Pasteurizada Con Agua</t>
  </si>
  <si>
    <t>50 g por tapa</t>
  </si>
  <si>
    <t>SE00001</t>
  </si>
  <si>
    <t>Ganache Chocolate Oscuro</t>
  </si>
  <si>
    <t>1/3 Taza</t>
  </si>
  <si>
    <t>Semi Sweet Chocolate Chips</t>
  </si>
  <si>
    <t>Pelado de Chocolate Kisses Hersheys</t>
  </si>
  <si>
    <t>Hersheys</t>
  </si>
  <si>
    <t xml:space="preserve">Empaque </t>
  </si>
  <si>
    <t>Chocolate Kisses Hersheys</t>
  </si>
  <si>
    <t xml:space="preserve"># Código Netsuite </t>
  </si>
  <si>
    <t>ENSAMBLE</t>
  </si>
  <si>
    <t>cajas</t>
  </si>
  <si>
    <t>3.- Tapar, Etiquetar con fecha de vencimiento y etiqueta con nombre</t>
  </si>
  <si>
    <t>Control de cambios</t>
  </si>
  <si>
    <t>95361</t>
  </si>
  <si>
    <t>SE00170</t>
  </si>
  <si>
    <t>PREMEZCLA PARA BROWNIE CASERO</t>
  </si>
  <si>
    <t>SPOON</t>
  </si>
  <si>
    <t>MP10040</t>
  </si>
  <si>
    <t>MARGARINA MULTIUSO (CAJA: 25 k)</t>
  </si>
  <si>
    <t>NUMAR</t>
  </si>
  <si>
    <t>MP10385</t>
  </si>
  <si>
    <t>VAINILLA OSCURA (UND: 3.78 L)</t>
  </si>
  <si>
    <t>VAINOL</t>
  </si>
  <si>
    <t>MP10005</t>
  </si>
  <si>
    <t>HUEVO LIQUIDO REFRIG (UND:13.6 K)</t>
  </si>
  <si>
    <t>INNOVO</t>
  </si>
  <si>
    <t>Empaque</t>
  </si>
  <si>
    <t>ETIQUETA BLANCA 2 5/8X1 15/16 (UND)</t>
  </si>
  <si>
    <t>cemusa</t>
  </si>
  <si>
    <t>1950928</t>
  </si>
  <si>
    <t>AS00028</t>
  </si>
  <si>
    <t>BOLSA TRANSPARENTE 56X96X1.80 (KILO)</t>
  </si>
  <si>
    <t>Plasticos P</t>
  </si>
  <si>
    <t>Tiempo de Horneo</t>
  </si>
  <si>
    <t>argental</t>
  </si>
  <si>
    <t>Moldes</t>
  </si>
  <si>
    <t>Temperatura de Horneo</t>
  </si>
  <si>
    <t>24 unid por plancha</t>
  </si>
  <si>
    <t>1- DERRETIR LA MARGARINA.</t>
  </si>
  <si>
    <t>2- COLOCAR  LA MARGARINA DERRETIDA EN EL BATIDOR, EN VELOC 1, AGREGAR LA COCOA, EL AZUCAR, NADA MÁS A MEZCLAR</t>
  </si>
  <si>
    <t>3- ADICIONAR LOS HUEVOS A UNIR, AGREGAR HARINA Y VAINILLA,     RAPIDAMENTE OJO NO DISOLVER EL AZÚCAR PARA QUE QUEDE CHICLOSO</t>
  </si>
  <si>
    <t>Control de Cambios</t>
  </si>
  <si>
    <t>Jose Brizuela ,Chef</t>
  </si>
  <si>
    <t>Esteban Cartin. Gte de Manufactura</t>
  </si>
  <si>
    <t xml:space="preserve">Batido De Brownie Casero 450 gramos </t>
  </si>
  <si>
    <t xml:space="preserve">4- PESAR 450 GRAMOS DE LA MEZCLA EN EL MOLDE REDONDO DE 22 CM </t>
  </si>
  <si>
    <t xml:space="preserve">EMPAQUE </t>
  </si>
  <si>
    <t>Rosquete Brownie Redondo  de 450 gramos</t>
  </si>
  <si>
    <t>Batido De Brownie Casero 450 gramos</t>
  </si>
  <si>
    <t>30 minutos</t>
  </si>
  <si>
    <t xml:space="preserve">Batidos </t>
  </si>
  <si>
    <t>Batidos</t>
  </si>
  <si>
    <t>1-Pelar los Kisses y Separar en una bandeja.</t>
  </si>
  <si>
    <t>Hershey"s</t>
  </si>
  <si>
    <t>1/3 taza</t>
  </si>
  <si>
    <t>MOUSSE DE CHOCOLATE DE LECHE</t>
  </si>
  <si>
    <t>SE00468</t>
  </si>
  <si>
    <t>1 Taza</t>
  </si>
  <si>
    <t>SE00069</t>
  </si>
  <si>
    <t>Crema Beidge</t>
  </si>
  <si>
    <t xml:space="preserve">Encremado </t>
  </si>
  <si>
    <t>MP10006</t>
  </si>
  <si>
    <t>Crema Bettercream Doble Chocolate</t>
  </si>
  <si>
    <t>Richt</t>
  </si>
  <si>
    <t>Paredes</t>
  </si>
  <si>
    <t>1/2 media Unidad</t>
  </si>
  <si>
    <t>por torta</t>
  </si>
  <si>
    <t>Etiqueta Especial</t>
  </si>
  <si>
    <t xml:space="preserve">Para decoracion </t>
  </si>
  <si>
    <t xml:space="preserve">2-Sobre el rosquete de Brownie colocar el ganache de chocolate y exparsir uniformemente, luego agregar los Semi Sweet chocolate </t>
  </si>
  <si>
    <t xml:space="preserve">1-Partir el Rosquette por la mitad y bañar con la leche ambas tapas ,Colocar la mousse sobre una capa y el Rosquete de Brownie </t>
  </si>
  <si>
    <t xml:space="preserve">3-Tapar con la otra mitad del rosquette </t>
  </si>
  <si>
    <t xml:space="preserve">4-Tapizar con la Crema Beige y con la Crema Doble chocolate pasar el peine </t>
  </si>
  <si>
    <t xml:space="preserve">de la torta ya encremada </t>
  </si>
  <si>
    <t>6-Sobre el Brownie Colocar el Ganache de chocolate en hilos y a los costados 12 besitos de Hershey"s Kisses</t>
  </si>
  <si>
    <t>Hershey"s Kisses</t>
  </si>
  <si>
    <t>7-Tapar ,Fechar ,Etiquetar</t>
  </si>
  <si>
    <t>2- Tapar, Etiquetar con fecha de vencimiento y etiqueta con nombre.</t>
  </si>
  <si>
    <t>3-Llevar al Frio hasta Utilizar</t>
  </si>
  <si>
    <t xml:space="preserve">5-Con la mitad del Rosquete de Brownie de 450 ( utilizar solamente para decorar 215 gramos ) y partirlo uniformemente para decorar en el centro en trozos </t>
  </si>
  <si>
    <t>5-Con la mitad del Rosquete de Brownie de 450 ( utilizar solamente para decorar 215 gramos ) y partirlo uniformemente para decorar en el centro en trozos</t>
  </si>
  <si>
    <t xml:space="preserve">1-Desmoldar y Colocar en una bandeja 6 unidades </t>
  </si>
  <si>
    <t xml:space="preserve">5-Desmoldar y Colocar en una bandeja 6 unidades </t>
  </si>
  <si>
    <t>6- Tapar, Etiquetar con fecha de vencimiento y etiqueta con nombre</t>
  </si>
  <si>
    <t>1577,7*50 und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</si>
  <si>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</si>
  <si>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</si>
  <si>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</si>
  <si>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</si>
  <si>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</si>
  <si>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</si>
  <si>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</si>
  <si>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</si>
  <si>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</si>
  <si>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</si>
  <si>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</si>
  <si>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</si>
  <si>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</si>
  <si>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</si>
  <si>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</si>
  <si>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</si>
  <si>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</si>
  <si>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</si>
  <si>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</si>
  <si>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</si>
  <si>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</si>
  <si>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</si>
  <si>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</si>
  <si>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</si>
  <si>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</si>
  <si>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</si>
  <si>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</si>
  <si>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</si>
  <si>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</si>
  <si>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</si>
  <si>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</si>
  <si>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</si>
  <si>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</si>
  <si>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</si>
  <si>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</si>
  <si>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</si>
  <si>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</si>
  <si>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</si>
  <si>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</si>
  <si>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</si>
  <si>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</si>
  <si>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</si>
  <si>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</si>
  <si>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</si>
  <si>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</si>
  <si>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</si>
  <si>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</si>
  <si>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</si>
  <si>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</si>
  <si>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</si>
  <si>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</si>
  <si>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MODI 77 COLONES X MIN</t>
  </si>
  <si>
    <t xml:space="preserve">Gf 64 colones min </t>
  </si>
  <si>
    <t>10100289</t>
  </si>
  <si>
    <t>118000004</t>
  </si>
  <si>
    <t>1210482</t>
  </si>
  <si>
    <t xml:space="preserve">Gramos </t>
  </si>
  <si>
    <t>Gramos</t>
  </si>
  <si>
    <t xml:space="preserve">UND </t>
  </si>
  <si>
    <t>907000268</t>
  </si>
  <si>
    <t xml:space="preserve">und </t>
  </si>
  <si>
    <t>UND</t>
  </si>
  <si>
    <t>910000003</t>
  </si>
  <si>
    <t>902000168</t>
  </si>
  <si>
    <t>Gramo</t>
  </si>
  <si>
    <t>908000032</t>
  </si>
  <si>
    <t>910000018</t>
  </si>
  <si>
    <t>28 und</t>
  </si>
  <si>
    <t>11400027</t>
  </si>
  <si>
    <t>121603</t>
  </si>
  <si>
    <t>1950692</t>
  </si>
  <si>
    <t>701096</t>
  </si>
  <si>
    <t>0702069</t>
  </si>
  <si>
    <t>703020</t>
  </si>
  <si>
    <t xml:space="preserve">Ensamble de Hershey"s Kisses  </t>
  </si>
  <si>
    <t>Javier Tong, chef</t>
  </si>
  <si>
    <t>SE00169</t>
  </si>
  <si>
    <t>Batido Brownie Casero</t>
  </si>
  <si>
    <t>95720</t>
  </si>
  <si>
    <t>MEZCLA ENGRASE MOLDES (29800g)</t>
  </si>
  <si>
    <t>EM10018</t>
  </si>
  <si>
    <t>Papel Mantequilla</t>
  </si>
  <si>
    <t>1, Dosificar 450g de batidoen molde engrasado y con papel mantequilla y hornear por 30 min.</t>
  </si>
  <si>
    <t>3.- Enfriar, desmoldar.Tapar, Etiquetar con fecha de vencimiento y etiqueta con nombre</t>
  </si>
  <si>
    <t>Ensamble de Hershey"s Kisses  Industria</t>
  </si>
  <si>
    <t>1 ud</t>
  </si>
  <si>
    <t>1/2 unidad</t>
  </si>
  <si>
    <t xml:space="preserve">Cortado en Trozos </t>
  </si>
  <si>
    <t>1/4 taza</t>
  </si>
  <si>
    <t>Marmolear Paredes</t>
  </si>
  <si>
    <t>1/2 unidad por torta</t>
  </si>
  <si>
    <t>Etiqueta Especial Temporada</t>
  </si>
  <si>
    <t>1- Partir el Rosquette por la mitad y bañar con la leche ambas tapas ,la mousse y  Rosquete de Brownie en  trozos.</t>
  </si>
  <si>
    <t xml:space="preserve">2- Agregar los Semi Sweet chocolate </t>
  </si>
  <si>
    <t>3-Tapar con la otra mitad del rosquette untada con ganache</t>
  </si>
  <si>
    <t>5- Colocar medio brownie en trozos en el centro de la torta.</t>
  </si>
  <si>
    <t>ESP-RE-BAS-036</t>
  </si>
  <si>
    <t>06</t>
  </si>
  <si>
    <t>Batido De Brownie Casero 8000g 902000014(SE00169)</t>
  </si>
  <si>
    <t>Jeffry Rodriguez. Gte de Manufactura</t>
  </si>
  <si>
    <t>40 minutos</t>
  </si>
  <si>
    <t>4- PESAR ACORDE A LO DESEADO</t>
  </si>
  <si>
    <t>5, Actualizacion de Codigos</t>
  </si>
  <si>
    <t>6, Actualizacion de Codigos (vainilla)</t>
  </si>
  <si>
    <t>ESP-RE-PRES-075</t>
  </si>
  <si>
    <t>Maria Jose Rodriguez, Chef</t>
  </si>
  <si>
    <t>Jorge, Montero. Gte de Manufactura</t>
  </si>
  <si>
    <t>1730482</t>
  </si>
  <si>
    <t>HARINA NACARINA ( 2.5 kg ) 145g 1 tz</t>
  </si>
  <si>
    <t>Nacarina</t>
  </si>
  <si>
    <t>510301</t>
  </si>
  <si>
    <t>AZUCAR BLANCO (INDUSTRIAL)</t>
  </si>
  <si>
    <t>Maria</t>
  </si>
  <si>
    <t>COCOA DUTCH PROCESS  1 tz 110g</t>
  </si>
  <si>
    <t>CR Cocoa</t>
  </si>
  <si>
    <t>1950702</t>
  </si>
  <si>
    <t>BOLSA 12x18 TRANSP (KILO)</t>
  </si>
  <si>
    <t>Undidades</t>
  </si>
  <si>
    <t>0702007</t>
  </si>
  <si>
    <t>ETIQ.FECHA VENCIMIENTO BLANCO</t>
  </si>
  <si>
    <t>und</t>
  </si>
  <si>
    <t>1950708</t>
  </si>
  <si>
    <t>BOLSA 17x25 TRANSP (KILO)</t>
  </si>
  <si>
    <t>Minutos</t>
  </si>
  <si>
    <t>tanda</t>
  </si>
  <si>
    <t>PESO CADA PORCION</t>
  </si>
  <si>
    <t>brownies</t>
  </si>
  <si>
    <t xml:space="preserve">1- Colocar los ingredientes por separados </t>
  </si>
  <si>
    <t>2- Colocar las bolsas dentro de una más grande y etiquetar y fechar</t>
  </si>
  <si>
    <t>SE00170 Pre mezcla BROWNIES  CASERO</t>
  </si>
  <si>
    <t>ESP-RE-BAS-152</t>
  </si>
  <si>
    <t>02</t>
  </si>
  <si>
    <t>907000268(SE00345) ROSQUETE CHOCOLATE DAWN 400g</t>
  </si>
  <si>
    <t>23/03/2023</t>
  </si>
  <si>
    <t>Javier Tong, Chef</t>
  </si>
  <si>
    <t>SE00342</t>
  </si>
  <si>
    <t>BATIDO NUCLEO CHOCOLATE DAWN</t>
  </si>
  <si>
    <t>MEZCLA P/ENGRASE MOLDES KILO</t>
  </si>
  <si>
    <t>Fas</t>
  </si>
  <si>
    <t>BOLSA TRANSPARENTE 56X96X1.80 KILO</t>
  </si>
  <si>
    <t>EM10004</t>
  </si>
  <si>
    <t>ETIQ.FECHA VENCIMIENTO BLANCO (ROLLO)</t>
  </si>
  <si>
    <t>Min</t>
  </si>
  <si>
    <t>PESO POR PORCION</t>
  </si>
  <si>
    <t>1.- Dosificar 400g de mezcla en moldes engrasados. Hornear en Dicte 1 o 2 a 185°C por 50 min</t>
  </si>
  <si>
    <t>2.- Enfriar y colocar en latas limpias, 12 unidades por lata, envolver en bolsa plastica y etiquetar con fecha de producción.</t>
  </si>
  <si>
    <t>2, Cambio de horneo</t>
  </si>
  <si>
    <t>ESP-RE-BAS-148</t>
  </si>
  <si>
    <t>907000264(SE00342) Batido Nucleo Chocolate Dawn</t>
  </si>
  <si>
    <t>Javier Tong, chf</t>
  </si>
  <si>
    <t>Premezcla</t>
  </si>
  <si>
    <t>SE00341</t>
  </si>
  <si>
    <t>Premezcla Batido Nucleo Chocolate Dawn</t>
  </si>
  <si>
    <t xml:space="preserve">HUEVO ENTERO PASTERI INNOVO ( CAJA: 10 K) </t>
  </si>
  <si>
    <t>MP10002</t>
  </si>
  <si>
    <t>ACEITE CAPULLO RBD (UND:17 L)</t>
  </si>
  <si>
    <t>CAPULLO</t>
  </si>
  <si>
    <t>10415</t>
  </si>
  <si>
    <t>AGUA POTABLE (PLANTA)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</si>
  <si>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</si>
  <si>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</si>
  <si>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</si>
  <si>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</si>
  <si>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5 min en velocidad 2. con Paleta</t>
  </si>
  <si>
    <t>2, Cambio en procedimiento</t>
  </si>
  <si>
    <t>ESP-RE-PRES-127</t>
  </si>
  <si>
    <t>05</t>
  </si>
  <si>
    <t>SE00341 Premezcla Batido Nucleo Chocolate Dawn</t>
  </si>
  <si>
    <t>MP10074</t>
  </si>
  <si>
    <t>AZUCAR BLANCO INDUSTRIAL (SACO:50 K)</t>
  </si>
  <si>
    <t>LAICA</t>
  </si>
  <si>
    <t>MP10478</t>
  </si>
  <si>
    <t>HARINA SILVER CAKE</t>
  </si>
  <si>
    <t>FAHACASA</t>
  </si>
  <si>
    <t>MP10479</t>
  </si>
  <si>
    <t>HARINA VERDE</t>
  </si>
  <si>
    <t>MP10304</t>
  </si>
  <si>
    <t>POLVO HORNEAR FLEISHMAN (PAQ:2.5 K)</t>
  </si>
  <si>
    <t>FLEISHMAN</t>
  </si>
  <si>
    <t>MP10008</t>
  </si>
  <si>
    <t>PRESERVANTE 1047S (PAQ=5 KILO)</t>
  </si>
  <si>
    <t>ASEAL</t>
  </si>
  <si>
    <t>0512255</t>
  </si>
  <si>
    <t>MP10146</t>
  </si>
  <si>
    <t xml:space="preserve">Cocoa Dutch Process </t>
  </si>
  <si>
    <t>DUTCH</t>
  </si>
  <si>
    <t>MP10203</t>
  </si>
  <si>
    <t>GOMA XANTANA</t>
  </si>
  <si>
    <t>MABAKER &amp; CHEF</t>
  </si>
  <si>
    <t>MP10482</t>
  </si>
  <si>
    <t>COCENTRADO CHOCOLATE DAWN</t>
  </si>
  <si>
    <t>DAWN</t>
  </si>
  <si>
    <t>EM10013</t>
  </si>
  <si>
    <t>BOLSA 17x25 TRANSP KILO</t>
  </si>
  <si>
    <t>EM10133</t>
  </si>
  <si>
    <t>ETIQUETA ROJA LETRA ALERJENO (UND)</t>
  </si>
  <si>
    <t>EM10037</t>
  </si>
  <si>
    <t>BOLSA 8x12 TRANSPARENTE KILO</t>
  </si>
  <si>
    <t>1, En una bolsa 17x25 empacar el azucar. Etiquetar</t>
  </si>
  <si>
    <t>2, En una bolsa 17x25 empacar las harinas, concentrado, la cocoa y la goma. Etiquetar</t>
  </si>
  <si>
    <t>3, En una bolsa 8*12 pesar el polvo de hornear y el preservante. Colcoarla dentro de la bolsa de harinas.</t>
  </si>
  <si>
    <t>2, Se pesa el preservante y el polvo de hornear por aparte.</t>
  </si>
  <si>
    <t>Revision #3 : actualizacion de la cocoa</t>
  </si>
  <si>
    <t>4, Actualizacion de procedimiento y bolsas</t>
  </si>
  <si>
    <t>Revision #5: Actualizacion en el peso de la goma xantana.</t>
  </si>
  <si>
    <t>ESP-RE-DES-063</t>
  </si>
  <si>
    <t>Leches pasteurizadas con Agua 320g Spoon 910000003(SE00254)</t>
  </si>
  <si>
    <t>24/04/2023</t>
  </si>
  <si>
    <t>907000001</t>
  </si>
  <si>
    <t>SE00031</t>
  </si>
  <si>
    <t xml:space="preserve">MEZCLA DE LECHE PASTEURIZADA </t>
  </si>
  <si>
    <t>AGUA</t>
  </si>
  <si>
    <t>1212412</t>
  </si>
  <si>
    <t>MP10025</t>
  </si>
  <si>
    <t>PRESERVANTE 1017 (PAQ=5 KILO)</t>
  </si>
  <si>
    <t>Aseal</t>
  </si>
  <si>
    <t>Tortas</t>
  </si>
  <si>
    <t>1.- Colocar la mezcla de leches con agua y preservante en un balde.</t>
  </si>
  <si>
    <t xml:space="preserve">2, Actualizacion coigo de leche pasteurizada. </t>
  </si>
  <si>
    <t>SERVICIOS DE PASTELERÍA S.A.</t>
  </si>
  <si>
    <t>CODIGO:</t>
  </si>
  <si>
    <t>ESP-RE-POS-072</t>
  </si>
  <si>
    <t>ESPECIFICACIÓN DE RECETA</t>
  </si>
  <si>
    <t>REVISION:</t>
  </si>
  <si>
    <t>15</t>
  </si>
  <si>
    <t>Mezcla para Tres Leches Pasteurizada SE00031</t>
  </si>
  <si>
    <t>FECHA DE APROBACION:</t>
  </si>
  <si>
    <t>ELABORADO:</t>
  </si>
  <si>
    <t>Javier, Tong. Chef</t>
  </si>
  <si>
    <t>APROBADO:</t>
  </si>
  <si>
    <t>MP10030</t>
  </si>
  <si>
    <t>LECHE 2% PASTEURIZADA (UND)</t>
  </si>
  <si>
    <t>Dos Pinos</t>
  </si>
  <si>
    <t xml:space="preserve">g </t>
  </si>
  <si>
    <t>1110414</t>
  </si>
  <si>
    <t>MP10024</t>
  </si>
  <si>
    <t>LECHE EVAPORADA (LITRO)</t>
  </si>
  <si>
    <t>Nestle</t>
  </si>
  <si>
    <t>MP10050</t>
  </si>
  <si>
    <t>LECHE CONDENSADA</t>
  </si>
  <si>
    <t>MP10048</t>
  </si>
  <si>
    <t xml:space="preserve">CREMA PRESTIGE GRAND </t>
  </si>
  <si>
    <t>Rich</t>
  </si>
  <si>
    <t>SE00016</t>
  </si>
  <si>
    <t>AZUCAR BLANCO INDUSTRIAL KILO</t>
  </si>
  <si>
    <t>TIEMPO mano obra directa</t>
  </si>
  <si>
    <t>8  Min</t>
  </si>
  <si>
    <t>MANO OBRA EMPACANDO</t>
  </si>
  <si>
    <t>3 Min</t>
  </si>
  <si>
    <t>62500g</t>
  </si>
  <si>
    <t>205g</t>
  </si>
  <si>
    <t>PORCIONES OBTENIDAS</t>
  </si>
  <si>
    <t>1 Tanda</t>
  </si>
  <si>
    <t>TIEMPO  PASTEURIZACIÓN EN MAQUINA</t>
  </si>
  <si>
    <t>1 HORA</t>
  </si>
  <si>
    <t>DESCRIPCION DE LA PREPARACION DE LA  RECETA</t>
  </si>
  <si>
    <t xml:space="preserve">1. Disolver completamente  el preservante en un litro de leche estandar empleando el homogenizador manual. </t>
  </si>
  <si>
    <t>2. Colocar en la batidora, la leche fluida, la leche evaporada, el litro de leche con el preservante ya disuelto, el azúcar, la crema prestige líquida y  la leche condensada.</t>
  </si>
  <si>
    <t xml:space="preserve">3. Dosificar la mezcla pasteurizada en recipientes de acero inoxidable previamente lavado de acuerdo a INS-LMP-019 Recipiente para el Almacenamiento de Leche Pasteurizada, tapar el recipiente hermeticamente y reservar hasta su uso. </t>
  </si>
  <si>
    <t xml:space="preserve">4. Identificar los recipientes con nombre del producto, fecha de producción y responsable. </t>
  </si>
  <si>
    <t xml:space="preserve">5. Esta mezcla tiene una vida útil de 2 días envasada en recipientes de acero inoxidable herméticamente cerrados y mantenida en refrigeración </t>
  </si>
  <si>
    <t xml:space="preserve">    0ºC y 5ªC.       Terminado el proceso proceder a la limpieza del equipo y a la sanitización.</t>
  </si>
  <si>
    <t>14, Actualizacion de codigos</t>
  </si>
  <si>
    <t>Revision #15: Actualizacion del procedimiento.</t>
  </si>
  <si>
    <t xml:space="preserve">ESP-RE-POS-260  </t>
  </si>
  <si>
    <t>SE00468  MOUSSE DE CHOCOLATE DE LECHE</t>
  </si>
  <si>
    <t>POSTRES</t>
  </si>
  <si>
    <t># Código Netsuite</t>
  </si>
  <si>
    <t>MP10492</t>
  </si>
  <si>
    <t>CHOCOLATE SEMI AMARGO 54% (PAQ 5 k)</t>
  </si>
  <si>
    <t>NACIONAL DE CHOCOLATES</t>
  </si>
  <si>
    <t>CREMA PRESTIGE GRAND (UND:4 K)</t>
  </si>
  <si>
    <t>RICHS</t>
  </si>
  <si>
    <t>Para batir</t>
  </si>
  <si>
    <t>Preservante 1047S</t>
  </si>
  <si>
    <t>1, Colocar el chocolate en un recipiente junto con la crema del ganache y derretir en microondas o Baño maria.</t>
  </si>
  <si>
    <t>2, Batir la otra cantidad de crema hasta punto yogurt con globo en velocidad alta.</t>
  </si>
  <si>
    <t>3, Agregar el chocolate derretido y el preservante a la crema batida en velocidad media hasta homogeneo.</t>
  </si>
  <si>
    <t>4, Utilizar de inmediato</t>
  </si>
  <si>
    <t>CONTROL DE CAMBIOS</t>
  </si>
  <si>
    <t>2,- Se aumenta la cantida de prestige por tanda</t>
  </si>
  <si>
    <t>3,- Se ajusta el rendimiento.</t>
  </si>
  <si>
    <t>4- Se agrega codigo netsuite</t>
  </si>
  <si>
    <t>5- Agregar preservante</t>
  </si>
  <si>
    <t>ESP-RE-COCS-048</t>
  </si>
  <si>
    <t>10</t>
  </si>
  <si>
    <t>908000032(SE00001) Ganache De chocolate Oscuro 40700g</t>
  </si>
  <si>
    <t>1210386</t>
  </si>
  <si>
    <t>MP10001</t>
  </si>
  <si>
    <t>COBERTURA CHOCOLATE LECHE ( 5KG )</t>
  </si>
  <si>
    <t>Nacional Chocolate</t>
  </si>
  <si>
    <t>CREMA BETTERCREAM DOBLE CHOCO 4K</t>
  </si>
  <si>
    <t>Richs</t>
  </si>
  <si>
    <t>ETIQ.BLANCA 1 1/4 * 3/4</t>
  </si>
  <si>
    <t>1- Colocar la crema de chocolate en una olla y calentar hasta 55 grados hasta hervir, agregar primero la mitad del chocolate. Mezclar hasta derretir.</t>
  </si>
  <si>
    <t>2.- Añadir luego la mitad restante de chocolate, mezclar bien hasta derretir completamente el chocolate.</t>
  </si>
  <si>
    <t>3- Pasar el ganache caliente por un colador para evitar que queden grumos de chocolate.</t>
  </si>
  <si>
    <t>4.- Colocar en cheffing de acero y enfriar.</t>
  </si>
  <si>
    <t>Control Cambios</t>
  </si>
  <si>
    <t xml:space="preserve">10-Se Agrega temperatura de crema Chocolate </t>
  </si>
  <si>
    <t xml:space="preserve">ESP-RE-DES-042 </t>
  </si>
  <si>
    <t>08</t>
  </si>
  <si>
    <t>Crema Beidge SE00069</t>
  </si>
  <si>
    <t>SE00010</t>
  </si>
  <si>
    <t>CREMA CHANTILLY BLANCA SPOON-IND KILO</t>
  </si>
  <si>
    <t>MP10150</t>
  </si>
  <si>
    <t>COLORANTE GEL EGG YELLOW  (UND= 130 ML)</t>
  </si>
  <si>
    <t>Master Pack</t>
  </si>
  <si>
    <t>Etiplas</t>
  </si>
  <si>
    <t>1, Mezclar la crema con los colorantes, hatsa homogeneo</t>
  </si>
  <si>
    <t>2.- Mantener en refrigeración.</t>
  </si>
  <si>
    <t>4: Actualización de codigos.</t>
  </si>
  <si>
    <t>5: Actualización de rendimiento</t>
  </si>
  <si>
    <t>6: Actualizacion del peso del colorante</t>
  </si>
  <si>
    <t>7: Se Elimina la crema supremo, la crema prestige, el preservante, el agua. Se agrega el subproducto crema chantilly Spoon</t>
  </si>
  <si>
    <t>8: Ajuste del peso de la crema</t>
  </si>
  <si>
    <t xml:space="preserve">ESP-RE-DES-036 </t>
  </si>
  <si>
    <t>11</t>
  </si>
  <si>
    <t>Crema Blanca Spoon (20800g)  SE00010</t>
  </si>
  <si>
    <t>ICG</t>
  </si>
  <si>
    <t>MP10047</t>
  </si>
  <si>
    <t>BETTERCREME SUPREMO (UND:4 K)</t>
  </si>
  <si>
    <t>AyA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</si>
  <si>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</si>
  <si>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</si>
  <si>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</si>
  <si>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</si>
  <si>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</si>
  <si>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9, Actuaizacion de codigos</t>
  </si>
  <si>
    <t>10, Actuaizacion de procedimiento</t>
  </si>
  <si>
    <t xml:space="preserve">11,Cambio de Pesos </t>
  </si>
  <si>
    <t>Rosquete Brownie Redondo  de 400 gramos</t>
  </si>
  <si>
    <t>MP10744</t>
  </si>
  <si>
    <t>ESP-RE-DES-056</t>
  </si>
  <si>
    <t xml:space="preserve">2, Se actualiza tiempo de preparación </t>
  </si>
  <si>
    <t>SE00669 Pelado y Empaque de Chocolate Kisses Hersheys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</si>
</sst>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  <numFmt numFmtId="170" formatCode="0.0000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theme="1"/>
      <name val="Century Gothic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u/>
      <sz val="10"/>
      <name val="Arial"/>
      <family val="2"/>
    </font>
    <font>
      <b/>
      <u/>
      <sz val="10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9.85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Century Gothic"/>
      <family val="2"/>
    </font>
    <font>
      <sz val="10"/>
      <color indexed="8"/>
      <name val="Century Gothic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0"/>
      <name val="Century Gothic"/>
      <family val="2"/>
    </font>
    <font>
      <b/>
      <i/>
      <sz val="12"/>
      <name val="Arial"/>
      <family val="2"/>
    </font>
    <font>
      <sz val="9.85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.85"/>
      <color indexed="8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b/>
      <sz val="12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9">
    <xf numFmtId="0" fontId="0" fillId="0" borderId="0"/>
    <xf numFmtId="0" fontId="2" fillId="0" borderId="0"/>
    <xf numFmtId="0" fontId="3" fillId="0" borderId="0"/>
    <xf numFmtId="0" fontId="1" fillId="0" borderId="0"/>
    <xf numFmtId="0" fontId="17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2">
    <xf numFmtId="0" fontId="0" fillId="0" borderId="0" xfId="0"/>
    <xf numFmtId="0" fontId="0" fillId="0" borderId="5" xfId="0" applyBorder="1"/>
    <xf numFmtId="0" fontId="3" fillId="0" borderId="5" xfId="2" applyBorder="1" applyAlignment="1">
      <alignment horizontal="center"/>
    </xf>
    <xf numFmtId="1" fontId="3" fillId="0" borderId="5" xfId="2" applyNumberForma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3" fillId="0" borderId="16" xfId="2" applyBorder="1" applyAlignment="1">
      <alignment horizontal="center"/>
    </xf>
    <xf numFmtId="1" fontId="3" fillId="0" borderId="8" xfId="2" applyNumberForma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right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right"/>
    </xf>
    <xf numFmtId="14" fontId="13" fillId="2" borderId="11" xfId="1" applyNumberFormat="1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1" fontId="12" fillId="4" borderId="5" xfId="0" applyNumberFormat="1" applyFont="1" applyFill="1" applyBorder="1" applyAlignment="1">
      <alignment horizontal="center" vertical="center"/>
    </xf>
    <xf numFmtId="1" fontId="12" fillId="4" borderId="5" xfId="0" applyNumberFormat="1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" fontId="8" fillId="0" borderId="16" xfId="0" applyNumberFormat="1" applyFont="1" applyBorder="1" applyAlignment="1">
      <alignment horizontal="center"/>
    </xf>
    <xf numFmtId="1" fontId="8" fillId="0" borderId="20" xfId="0" applyNumberFormat="1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165" fontId="15" fillId="0" borderId="5" xfId="2" applyNumberFormat="1" applyFont="1" applyBorder="1"/>
    <xf numFmtId="165" fontId="15" fillId="0" borderId="5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" wrapText="1"/>
    </xf>
    <xf numFmtId="49" fontId="7" fillId="5" borderId="4" xfId="2" applyNumberFormat="1" applyFont="1" applyFill="1" applyBorder="1" applyAlignment="1">
      <alignment horizontal="center"/>
    </xf>
    <xf numFmtId="49" fontId="7" fillId="5" borderId="15" xfId="2" applyNumberFormat="1" applyFont="1" applyFill="1" applyBorder="1" applyAlignment="1">
      <alignment horizontal="center"/>
    </xf>
    <xf numFmtId="49" fontId="16" fillId="5" borderId="5" xfId="2" applyNumberFormat="1" applyFont="1" applyFill="1" applyBorder="1"/>
    <xf numFmtId="0" fontId="7" fillId="0" borderId="5" xfId="2" applyFont="1" applyBorder="1" applyAlignment="1">
      <alignment horizontal="center"/>
    </xf>
    <xf numFmtId="165" fontId="7" fillId="0" borderId="22" xfId="2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2" fontId="7" fillId="0" borderId="5" xfId="2" applyNumberFormat="1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0" xfId="0" applyFont="1" applyFill="1"/>
    <xf numFmtId="0" fontId="12" fillId="4" borderId="0" xfId="0" applyFont="1" applyFill="1" applyAlignment="1">
      <alignment horizontal="center"/>
    </xf>
    <xf numFmtId="1" fontId="12" fillId="4" borderId="0" xfId="0" applyNumberFormat="1" applyFont="1" applyFill="1" applyAlignment="1">
      <alignment horizontal="center"/>
    </xf>
    <xf numFmtId="164" fontId="8" fillId="4" borderId="0" xfId="0" applyNumberFormat="1" applyFont="1" applyFill="1" applyAlignment="1">
      <alignment horizontal="center" wrapText="1"/>
    </xf>
    <xf numFmtId="0" fontId="8" fillId="4" borderId="1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/>
    </xf>
    <xf numFmtId="1" fontId="3" fillId="0" borderId="6" xfId="2" applyNumberFormat="1" applyBorder="1" applyAlignment="1">
      <alignment horizontal="center"/>
    </xf>
    <xf numFmtId="1" fontId="3" fillId="0" borderId="16" xfId="2" applyNumberFormat="1" applyBorder="1" applyAlignment="1">
      <alignment horizontal="center"/>
    </xf>
    <xf numFmtId="0" fontId="8" fillId="0" borderId="5" xfId="2" applyFont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49" fontId="16" fillId="0" borderId="5" xfId="2" applyNumberFormat="1" applyFont="1" applyBorder="1"/>
    <xf numFmtId="0" fontId="3" fillId="0" borderId="15" xfId="2" applyBorder="1"/>
    <xf numFmtId="0" fontId="18" fillId="0" borderId="15" xfId="2" applyFont="1" applyBorder="1"/>
    <xf numFmtId="0" fontId="3" fillId="0" borderId="6" xfId="2" applyBorder="1" applyAlignment="1">
      <alignment horizontal="center"/>
    </xf>
    <xf numFmtId="0" fontId="14" fillId="0" borderId="5" xfId="0" applyFont="1" applyBorder="1"/>
    <xf numFmtId="0" fontId="8" fillId="0" borderId="18" xfId="0" applyFont="1" applyBorder="1" applyAlignment="1">
      <alignment horizontal="center"/>
    </xf>
    <xf numFmtId="1" fontId="8" fillId="0" borderId="16" xfId="0" applyNumberFormat="1" applyFont="1" applyBorder="1" applyAlignment="1">
      <alignment horizontal="center" wrapText="1"/>
    </xf>
    <xf numFmtId="0" fontId="4" fillId="0" borderId="6" xfId="2" applyFont="1" applyBorder="1" applyAlignment="1">
      <alignment horizontal="center"/>
    </xf>
    <xf numFmtId="0" fontId="3" fillId="0" borderId="5" xfId="2" applyBorder="1"/>
    <xf numFmtId="0" fontId="4" fillId="0" borderId="17" xfId="2" applyFont="1" applyBorder="1" applyAlignment="1">
      <alignment horizontal="center"/>
    </xf>
    <xf numFmtId="0" fontId="3" fillId="0" borderId="0" xfId="2" applyAlignment="1">
      <alignment horizontal="left"/>
    </xf>
    <xf numFmtId="49" fontId="7" fillId="0" borderId="4" xfId="2" applyNumberFormat="1" applyFont="1" applyBorder="1" applyAlignment="1">
      <alignment horizontal="center"/>
    </xf>
    <xf numFmtId="49" fontId="7" fillId="0" borderId="15" xfId="2" applyNumberFormat="1" applyFont="1" applyBorder="1" applyAlignment="1">
      <alignment horizontal="center"/>
    </xf>
    <xf numFmtId="0" fontId="12" fillId="7" borderId="2" xfId="2" applyFont="1" applyFill="1" applyBorder="1" applyAlignment="1">
      <alignment horizontal="right"/>
    </xf>
    <xf numFmtId="0" fontId="8" fillId="7" borderId="3" xfId="2" applyFont="1" applyFill="1" applyBorder="1" applyAlignment="1">
      <alignment horizontal="center"/>
    </xf>
    <xf numFmtId="0" fontId="12" fillId="7" borderId="5" xfId="2" applyFont="1" applyFill="1" applyBorder="1" applyAlignment="1">
      <alignment horizontal="right"/>
    </xf>
    <xf numFmtId="0" fontId="8" fillId="7" borderId="6" xfId="2" applyFont="1" applyFill="1" applyBorder="1" applyAlignment="1">
      <alignment horizontal="center"/>
    </xf>
    <xf numFmtId="49" fontId="3" fillId="0" borderId="0" xfId="0" applyNumberFormat="1" applyFont="1" applyAlignment="1">
      <alignment horizontal="left"/>
    </xf>
    <xf numFmtId="0" fontId="8" fillId="7" borderId="18" xfId="2" applyFont="1" applyFill="1" applyBorder="1" applyAlignment="1">
      <alignment horizontal="right"/>
    </xf>
    <xf numFmtId="0" fontId="8" fillId="7" borderId="15" xfId="2" applyFont="1" applyFill="1" applyBorder="1" applyAlignment="1">
      <alignment horizontal="right"/>
    </xf>
    <xf numFmtId="0" fontId="21" fillId="7" borderId="0" xfId="2" applyFont="1" applyFill="1" applyAlignment="1">
      <alignment horizontal="center" vertical="center" wrapText="1"/>
    </xf>
    <xf numFmtId="0" fontId="12" fillId="9" borderId="3" xfId="2" applyFont="1" applyFill="1" applyBorder="1" applyAlignment="1">
      <alignment horizontal="center" vertical="center" wrapText="1"/>
    </xf>
    <xf numFmtId="0" fontId="12" fillId="9" borderId="8" xfId="2" applyFont="1" applyFill="1" applyBorder="1" applyAlignment="1">
      <alignment horizontal="center"/>
    </xf>
    <xf numFmtId="0" fontId="12" fillId="9" borderId="8" xfId="2" applyFont="1" applyFill="1" applyBorder="1" applyAlignment="1">
      <alignment horizontal="center" wrapText="1"/>
    </xf>
    <xf numFmtId="0" fontId="12" fillId="9" borderId="9" xfId="2" applyFont="1" applyFill="1" applyBorder="1" applyAlignment="1">
      <alignment horizontal="center"/>
    </xf>
    <xf numFmtId="0" fontId="22" fillId="0" borderId="48" xfId="2" applyFont="1" applyBorder="1" applyAlignment="1">
      <alignment horizontal="center" vertical="center"/>
    </xf>
    <xf numFmtId="0" fontId="15" fillId="0" borderId="5" xfId="2" applyFont="1" applyBorder="1" applyAlignment="1">
      <alignment wrapText="1"/>
    </xf>
    <xf numFmtId="0" fontId="6" fillId="0" borderId="18" xfId="2" applyFont="1" applyBorder="1" applyAlignment="1">
      <alignment horizontal="center"/>
    </xf>
    <xf numFmtId="0" fontId="6" fillId="0" borderId="16" xfId="2" applyFont="1" applyBorder="1" applyAlignment="1">
      <alignment horizontal="center"/>
    </xf>
    <xf numFmtId="0" fontId="8" fillId="0" borderId="16" xfId="2" applyFont="1" applyBorder="1" applyAlignment="1">
      <alignment horizontal="center"/>
    </xf>
    <xf numFmtId="0" fontId="7" fillId="5" borderId="5" xfId="2" applyFont="1" applyFill="1" applyBorder="1" applyAlignment="1">
      <alignment horizontal="center"/>
    </xf>
    <xf numFmtId="0" fontId="16" fillId="5" borderId="5" xfId="2" applyFont="1" applyFill="1" applyBorder="1"/>
    <xf numFmtId="0" fontId="16" fillId="0" borderId="5" xfId="2" applyFont="1" applyBorder="1"/>
    <xf numFmtId="0" fontId="15" fillId="0" borderId="5" xfId="2" applyFont="1" applyBorder="1"/>
    <xf numFmtId="0" fontId="6" fillId="0" borderId="5" xfId="2" applyFont="1" applyBorder="1"/>
    <xf numFmtId="0" fontId="6" fillId="0" borderId="6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6" fillId="0" borderId="5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wrapText="1"/>
    </xf>
    <xf numFmtId="0" fontId="12" fillId="7" borderId="17" xfId="2" applyFont="1" applyFill="1" applyBorder="1" applyAlignment="1">
      <alignment horizontal="center"/>
    </xf>
    <xf numFmtId="0" fontId="16" fillId="0" borderId="7" xfId="2" applyFont="1" applyBorder="1" applyAlignment="1">
      <alignment horizontal="center"/>
    </xf>
    <xf numFmtId="0" fontId="16" fillId="0" borderId="39" xfId="2" applyFont="1" applyBorder="1" applyAlignment="1">
      <alignment horizontal="center"/>
    </xf>
    <xf numFmtId="0" fontId="7" fillId="0" borderId="8" xfId="2" applyFont="1" applyBorder="1"/>
    <xf numFmtId="0" fontId="7" fillId="0" borderId="8" xfId="2" applyFont="1" applyBorder="1" applyAlignment="1">
      <alignment horizontal="center"/>
    </xf>
    <xf numFmtId="0" fontId="7" fillId="0" borderId="8" xfId="2" applyFont="1" applyBorder="1" applyAlignment="1">
      <alignment horizontal="center" wrapText="1"/>
    </xf>
    <xf numFmtId="0" fontId="7" fillId="0" borderId="9" xfId="2" applyFont="1" applyBorder="1" applyAlignment="1">
      <alignment horizontal="center"/>
    </xf>
    <xf numFmtId="0" fontId="24" fillId="7" borderId="10" xfId="2" applyFont="1" applyFill="1" applyBorder="1" applyAlignment="1">
      <alignment horizontal="center" vertical="center"/>
    </xf>
    <xf numFmtId="0" fontId="24" fillId="7" borderId="0" xfId="2" applyFont="1" applyFill="1" applyAlignment="1">
      <alignment horizontal="center" vertical="center"/>
    </xf>
    <xf numFmtId="0" fontId="8" fillId="7" borderId="0" xfId="2" applyFont="1" applyFill="1"/>
    <xf numFmtId="0" fontId="8" fillId="7" borderId="0" xfId="2" applyFont="1" applyFill="1" applyAlignment="1">
      <alignment horizontal="center"/>
    </xf>
    <xf numFmtId="0" fontId="8" fillId="7" borderId="0" xfId="2" applyFont="1" applyFill="1" applyAlignment="1">
      <alignment horizontal="center" wrapText="1"/>
    </xf>
    <xf numFmtId="0" fontId="8" fillId="7" borderId="11" xfId="2" applyFont="1" applyFill="1" applyBorder="1" applyAlignment="1">
      <alignment horizontal="center"/>
    </xf>
    <xf numFmtId="0" fontId="8" fillId="9" borderId="49" xfId="2" applyFont="1" applyFill="1" applyBorder="1" applyAlignment="1">
      <alignment horizontal="center"/>
    </xf>
    <xf numFmtId="0" fontId="8" fillId="9" borderId="44" xfId="2" applyFont="1" applyFill="1" applyBorder="1" applyAlignment="1">
      <alignment horizontal="center"/>
    </xf>
    <xf numFmtId="0" fontId="8" fillId="9" borderId="44" xfId="2" applyFont="1" applyFill="1" applyBorder="1"/>
    <xf numFmtId="0" fontId="12" fillId="9" borderId="44" xfId="2" applyFont="1" applyFill="1" applyBorder="1" applyAlignment="1">
      <alignment horizontal="center"/>
    </xf>
    <xf numFmtId="0" fontId="8" fillId="9" borderId="44" xfId="2" applyFont="1" applyFill="1" applyBorder="1" applyAlignment="1">
      <alignment horizontal="center" wrapText="1"/>
    </xf>
    <xf numFmtId="0" fontId="8" fillId="9" borderId="50" xfId="2" applyFont="1" applyFill="1" applyBorder="1" applyAlignment="1">
      <alignment horizontal="center"/>
    </xf>
    <xf numFmtId="0" fontId="8" fillId="0" borderId="20" xfId="2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3" fillId="0" borderId="8" xfId="2" applyBorder="1" applyAlignment="1">
      <alignment horizontal="center"/>
    </xf>
    <xf numFmtId="0" fontId="8" fillId="0" borderId="8" xfId="2" applyFont="1" applyBorder="1" applyAlignment="1">
      <alignment horizontal="center"/>
    </xf>
    <xf numFmtId="0" fontId="0" fillId="0" borderId="5" xfId="0" applyBorder="1" applyAlignment="1">
      <alignment horizontal="right"/>
    </xf>
    <xf numFmtId="0" fontId="23" fillId="0" borderId="5" xfId="2" applyFont="1" applyBorder="1" applyAlignment="1">
      <alignment horizontal="center"/>
    </xf>
    <xf numFmtId="0" fontId="8" fillId="2" borderId="0" xfId="0" applyFont="1" applyFill="1"/>
    <xf numFmtId="0" fontId="12" fillId="2" borderId="2" xfId="1" applyFont="1" applyFill="1" applyBorder="1" applyAlignment="1">
      <alignment horizontal="right"/>
    </xf>
    <xf numFmtId="0" fontId="8" fillId="2" borderId="3" xfId="1" applyFont="1" applyFill="1" applyBorder="1" applyAlignment="1">
      <alignment horizontal="center"/>
    </xf>
    <xf numFmtId="0" fontId="12" fillId="2" borderId="5" xfId="1" applyFont="1" applyFill="1" applyBorder="1" applyAlignment="1">
      <alignment horizontal="right"/>
    </xf>
    <xf numFmtId="49" fontId="8" fillId="2" borderId="6" xfId="1" applyNumberFormat="1" applyFont="1" applyFill="1" applyBorder="1" applyAlignment="1">
      <alignment horizontal="center"/>
    </xf>
    <xf numFmtId="0" fontId="8" fillId="2" borderId="16" xfId="1" applyFont="1" applyFill="1" applyBorder="1" applyAlignment="1">
      <alignment horizontal="right"/>
    </xf>
    <xf numFmtId="1" fontId="12" fillId="4" borderId="8" xfId="0" applyNumberFormat="1" applyFont="1" applyFill="1" applyBorder="1" applyAlignment="1">
      <alignment horizontal="center"/>
    </xf>
    <xf numFmtId="1" fontId="12" fillId="4" borderId="8" xfId="0" applyNumberFormat="1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center"/>
    </xf>
    <xf numFmtId="0" fontId="12" fillId="5" borderId="52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2" fillId="5" borderId="45" xfId="0" applyFont="1" applyFill="1" applyBorder="1" applyAlignment="1">
      <alignment horizontal="center" vertical="center"/>
    </xf>
    <xf numFmtId="1" fontId="12" fillId="5" borderId="45" xfId="0" applyNumberFormat="1" applyFont="1" applyFill="1" applyBorder="1" applyAlignment="1">
      <alignment horizontal="center"/>
    </xf>
    <xf numFmtId="1" fontId="12" fillId="5" borderId="45" xfId="0" applyNumberFormat="1" applyFont="1" applyFill="1" applyBorder="1" applyAlignment="1">
      <alignment horizontal="center" wrapText="1"/>
    </xf>
    <xf numFmtId="0" fontId="12" fillId="5" borderId="33" xfId="0" applyFont="1" applyFill="1" applyBorder="1" applyAlignment="1">
      <alignment horizontal="center"/>
    </xf>
    <xf numFmtId="49" fontId="7" fillId="0" borderId="5" xfId="2" applyNumberFormat="1" applyFont="1" applyBorder="1" applyAlignment="1">
      <alignment horizontal="center"/>
    </xf>
    <xf numFmtId="16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1" fontId="8" fillId="0" borderId="5" xfId="0" applyNumberFormat="1" applyFont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6" fontId="8" fillId="0" borderId="16" xfId="0" applyNumberFormat="1" applyFont="1" applyBorder="1" applyAlignment="1">
      <alignment horizontal="center"/>
    </xf>
    <xf numFmtId="1" fontId="8" fillId="2" borderId="0" xfId="0" applyNumberFormat="1" applyFont="1" applyFill="1"/>
    <xf numFmtId="49" fontId="8" fillId="0" borderId="5" xfId="0" applyNumberFormat="1" applyFont="1" applyBorder="1" applyAlignment="1">
      <alignment horizontal="center"/>
    </xf>
    <xf numFmtId="49" fontId="12" fillId="0" borderId="5" xfId="0" applyNumberFormat="1" applyFont="1" applyBorder="1"/>
    <xf numFmtId="49" fontId="25" fillId="2" borderId="10" xfId="0" applyNumberFormat="1" applyFont="1" applyFill="1" applyBorder="1" applyAlignment="1">
      <alignment horizontal="center" vertical="center"/>
    </xf>
    <xf numFmtId="49" fontId="25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 wrapText="1"/>
    </xf>
    <xf numFmtId="0" fontId="8" fillId="2" borderId="11" xfId="0" applyFont="1" applyFill="1" applyBorder="1" applyAlignment="1">
      <alignment horizontal="center"/>
    </xf>
    <xf numFmtId="0" fontId="8" fillId="2" borderId="0" xfId="0" applyFont="1" applyFill="1" applyAlignment="1">
      <alignment horizontal="left" indent="1"/>
    </xf>
    <xf numFmtId="0" fontId="8" fillId="4" borderId="49" xfId="0" applyFont="1" applyFill="1" applyBorder="1" applyAlignment="1">
      <alignment horizontal="center"/>
    </xf>
    <xf numFmtId="0" fontId="8" fillId="4" borderId="44" xfId="0" applyFont="1" applyFill="1" applyBorder="1" applyAlignment="1">
      <alignment horizontal="center"/>
    </xf>
    <xf numFmtId="0" fontId="8" fillId="4" borderId="44" xfId="0" applyFont="1" applyFill="1" applyBorder="1"/>
    <xf numFmtId="0" fontId="12" fillId="4" borderId="44" xfId="0" applyFont="1" applyFill="1" applyBorder="1" applyAlignment="1">
      <alignment horizontal="center"/>
    </xf>
    <xf numFmtId="1" fontId="12" fillId="4" borderId="44" xfId="0" applyNumberFormat="1" applyFont="1" applyFill="1" applyBorder="1" applyAlignment="1">
      <alignment horizontal="center"/>
    </xf>
    <xf numFmtId="164" fontId="8" fillId="4" borderId="44" xfId="0" applyNumberFormat="1" applyFont="1" applyFill="1" applyBorder="1" applyAlignment="1">
      <alignment horizontal="center" wrapText="1"/>
    </xf>
    <xf numFmtId="0" fontId="8" fillId="4" borderId="50" xfId="0" applyFont="1" applyFill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9" fontId="8" fillId="2" borderId="0" xfId="9" applyFont="1" applyFill="1"/>
    <xf numFmtId="1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25" fillId="2" borderId="13" xfId="0" applyFont="1" applyFill="1" applyBorder="1" applyAlignment="1">
      <alignment vertical="center"/>
    </xf>
    <xf numFmtId="0" fontId="25" fillId="2" borderId="38" xfId="0" applyFont="1" applyFill="1" applyBorder="1" applyAlignment="1">
      <alignment vertical="center"/>
    </xf>
    <xf numFmtId="0" fontId="8" fillId="2" borderId="38" xfId="0" applyFont="1" applyFill="1" applyBorder="1"/>
    <xf numFmtId="0" fontId="8" fillId="2" borderId="15" xfId="0" applyFont="1" applyFill="1" applyBorder="1"/>
    <xf numFmtId="0" fontId="8" fillId="2" borderId="13" xfId="0" applyFont="1" applyFill="1" applyBorder="1"/>
    <xf numFmtId="0" fontId="22" fillId="0" borderId="5" xfId="2" applyFont="1" applyBorder="1" applyAlignment="1">
      <alignment horizontal="center" vertical="center"/>
    </xf>
    <xf numFmtId="0" fontId="0" fillId="0" borderId="13" xfId="0" applyBorder="1"/>
    <xf numFmtId="0" fontId="0" fillId="0" borderId="38" xfId="0" applyBorder="1"/>
    <xf numFmtId="0" fontId="0" fillId="0" borderId="15" xfId="0" applyBorder="1"/>
    <xf numFmtId="0" fontId="8" fillId="2" borderId="26" xfId="1" applyFont="1" applyFill="1" applyBorder="1" applyAlignment="1">
      <alignment horizontal="right"/>
    </xf>
    <xf numFmtId="0" fontId="12" fillId="4" borderId="17" xfId="0" applyFont="1" applyFill="1" applyBorder="1" applyAlignment="1">
      <alignment horizontal="center" vertical="center" wrapText="1"/>
    </xf>
    <xf numFmtId="0" fontId="21" fillId="7" borderId="15" xfId="2" applyFont="1" applyFill="1" applyBorder="1" applyAlignment="1">
      <alignment horizontal="center" vertical="center" wrapText="1"/>
    </xf>
    <xf numFmtId="0" fontId="3" fillId="10" borderId="5" xfId="2" applyFill="1" applyBorder="1" applyAlignment="1">
      <alignment horizontal="center"/>
    </xf>
    <xf numFmtId="1" fontId="3" fillId="10" borderId="5" xfId="2" applyNumberFormat="1" applyFill="1" applyBorder="1" applyAlignment="1">
      <alignment horizontal="center"/>
    </xf>
    <xf numFmtId="0" fontId="5" fillId="10" borderId="5" xfId="2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8" fillId="5" borderId="5" xfId="2" applyFont="1" applyFill="1" applyBorder="1" applyAlignment="1">
      <alignment horizontal="center" vertical="center"/>
    </xf>
    <xf numFmtId="0" fontId="3" fillId="10" borderId="5" xfId="2" applyFill="1" applyBorder="1" applyAlignment="1">
      <alignment horizontal="center" vertical="center"/>
    </xf>
    <xf numFmtId="1" fontId="3" fillId="10" borderId="5" xfId="2" applyNumberFormat="1" applyFill="1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1" fontId="3" fillId="0" borderId="5" xfId="2" applyNumberFormat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" fontId="0" fillId="10" borderId="5" xfId="0" applyNumberForma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8" fillId="0" borderId="5" xfId="2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left" vertical="center"/>
    </xf>
    <xf numFmtId="0" fontId="0" fillId="10" borderId="5" xfId="0" applyFill="1" applyBorder="1" applyAlignment="1">
      <alignment horizontal="left" vertical="center"/>
    </xf>
    <xf numFmtId="0" fontId="3" fillId="10" borderId="5" xfId="2" applyFill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18" fillId="0" borderId="15" xfId="2" applyFont="1" applyBorder="1" applyAlignment="1">
      <alignment horizontal="center"/>
    </xf>
    <xf numFmtId="0" fontId="3" fillId="10" borderId="5" xfId="2" applyFill="1" applyBorder="1" applyAlignment="1">
      <alignment vertical="center" wrapText="1"/>
    </xf>
    <xf numFmtId="0" fontId="16" fillId="5" borderId="0" xfId="0" applyFont="1" applyFill="1" applyAlignment="1">
      <alignment vertical="center"/>
    </xf>
    <xf numFmtId="0" fontId="23" fillId="11" borderId="5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3" fontId="23" fillId="0" borderId="5" xfId="24" applyFont="1" applyFill="1" applyBorder="1" applyAlignment="1">
      <alignment horizontal="center" vertical="center"/>
    </xf>
    <xf numFmtId="43" fontId="23" fillId="0" borderId="0" xfId="24" applyFont="1" applyFill="1" applyBorder="1" applyAlignment="1">
      <alignment horizontal="center" vertical="center"/>
    </xf>
    <xf numFmtId="43" fontId="27" fillId="0" borderId="0" xfId="24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7" fontId="30" fillId="0" borderId="0" xfId="0" applyNumberFormat="1" applyFont="1" applyAlignment="1">
      <alignment horizontal="center" vertical="center" wrapText="1"/>
    </xf>
    <xf numFmtId="0" fontId="23" fillId="12" borderId="57" xfId="0" applyFont="1" applyFill="1" applyBorder="1" applyAlignment="1">
      <alignment horizontal="center" vertical="center"/>
    </xf>
    <xf numFmtId="0" fontId="23" fillId="12" borderId="58" xfId="0" applyFont="1" applyFill="1" applyBorder="1" applyAlignment="1">
      <alignment horizontal="center" vertical="center"/>
    </xf>
    <xf numFmtId="0" fontId="23" fillId="12" borderId="58" xfId="0" applyFont="1" applyFill="1" applyBorder="1" applyAlignment="1">
      <alignment horizontal="center" vertical="center" wrapText="1"/>
    </xf>
    <xf numFmtId="0" fontId="23" fillId="12" borderId="59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2" fontId="31" fillId="0" borderId="0" xfId="0" applyNumberFormat="1" applyFont="1" applyAlignment="1">
      <alignment horizontal="center"/>
    </xf>
    <xf numFmtId="4" fontId="31" fillId="0" borderId="0" xfId="25" applyNumberFormat="1" applyFont="1" applyFill="1" applyAlignment="1">
      <alignment horizontal="center" vertical="center"/>
    </xf>
    <xf numFmtId="4" fontId="23" fillId="0" borderId="0" xfId="25" applyNumberFormat="1" applyFont="1" applyFill="1" applyAlignment="1">
      <alignment horizontal="center" vertical="center"/>
    </xf>
    <xf numFmtId="10" fontId="23" fillId="0" borderId="0" xfId="26" applyNumberFormat="1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10" fontId="26" fillId="0" borderId="0" xfId="26" applyNumberFormat="1" applyFont="1" applyFill="1" applyAlignment="1">
      <alignment vertical="center"/>
    </xf>
    <xf numFmtId="0" fontId="16" fillId="0" borderId="0" xfId="0" applyFont="1"/>
    <xf numFmtId="49" fontId="23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43" fontId="16" fillId="0" borderId="0" xfId="24" applyFont="1" applyFill="1" applyAlignment="1">
      <alignment vertical="center"/>
    </xf>
    <xf numFmtId="49" fontId="3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4" fontId="23" fillId="0" borderId="0" xfId="24" applyNumberFormat="1" applyFont="1" applyFill="1" applyAlignment="1">
      <alignment vertical="center"/>
    </xf>
    <xf numFmtId="43" fontId="33" fillId="0" borderId="0" xfId="24" applyFont="1" applyFill="1" applyAlignment="1">
      <alignment horizontal="center" vertical="center"/>
    </xf>
    <xf numFmtId="10" fontId="26" fillId="12" borderId="60" xfId="26" applyNumberFormat="1" applyFont="1" applyFill="1" applyBorder="1" applyAlignment="1">
      <alignment vertical="center"/>
    </xf>
    <xf numFmtId="0" fontId="16" fillId="12" borderId="44" xfId="0" applyFont="1" applyFill="1" applyBorder="1" applyAlignment="1">
      <alignment vertical="center"/>
    </xf>
    <xf numFmtId="0" fontId="16" fillId="12" borderId="60" xfId="0" applyFont="1" applyFill="1" applyBorder="1" applyAlignment="1">
      <alignment vertical="center"/>
    </xf>
    <xf numFmtId="43" fontId="33" fillId="12" borderId="61" xfId="24" applyFont="1" applyFill="1" applyBorder="1" applyAlignment="1">
      <alignment horizontal="center" vertical="center"/>
    </xf>
    <xf numFmtId="43" fontId="35" fillId="0" borderId="0" xfId="24" applyFont="1" applyFill="1" applyBorder="1" applyAlignment="1">
      <alignment horizontal="right"/>
    </xf>
    <xf numFmtId="0" fontId="16" fillId="12" borderId="61" xfId="0" applyFont="1" applyFill="1" applyBorder="1" applyAlignment="1">
      <alignment vertical="center"/>
    </xf>
    <xf numFmtId="10" fontId="26" fillId="12" borderId="61" xfId="26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0" fontId="34" fillId="0" borderId="0" xfId="0" applyFont="1"/>
    <xf numFmtId="9" fontId="34" fillId="0" borderId="0" xfId="0" applyNumberFormat="1" applyFont="1"/>
    <xf numFmtId="9" fontId="36" fillId="0" borderId="0" xfId="26" applyFont="1" applyFill="1" applyAlignment="1">
      <alignment horizontal="center"/>
    </xf>
    <xf numFmtId="0" fontId="33" fillId="0" borderId="0" xfId="0" applyFont="1" applyAlignment="1">
      <alignment horizontal="right" vertical="center"/>
    </xf>
    <xf numFmtId="4" fontId="33" fillId="0" borderId="0" xfId="24" applyNumberFormat="1" applyFont="1" applyFill="1" applyAlignment="1">
      <alignment vertical="center"/>
    </xf>
    <xf numFmtId="4" fontId="33" fillId="0" borderId="0" xfId="25" applyNumberFormat="1" applyFont="1" applyAlignment="1">
      <alignment horizontal="center" vertical="center"/>
    </xf>
    <xf numFmtId="0" fontId="37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38" fillId="0" borderId="11" xfId="0" applyFont="1" applyBorder="1" applyAlignment="1">
      <alignment horizontal="right"/>
    </xf>
    <xf numFmtId="43" fontId="39" fillId="3" borderId="62" xfId="24" applyFont="1" applyFill="1" applyBorder="1" applyAlignment="1">
      <alignment horizontal="right"/>
    </xf>
    <xf numFmtId="43" fontId="39" fillId="0" borderId="0" xfId="24" applyFont="1" applyFill="1" applyBorder="1" applyAlignment="1">
      <alignment horizontal="right"/>
    </xf>
    <xf numFmtId="43" fontId="23" fillId="0" borderId="5" xfId="24" applyFont="1" applyFill="1" applyBorder="1" applyAlignment="1">
      <alignment vertical="center"/>
    </xf>
    <xf numFmtId="0" fontId="40" fillId="0" borderId="0" xfId="0" applyFont="1" applyAlignment="1">
      <alignment horizontal="left" vertical="center"/>
    </xf>
    <xf numFmtId="4" fontId="33" fillId="0" borderId="0" xfId="25" applyNumberFormat="1" applyFont="1" applyFill="1" applyAlignment="1">
      <alignment horizontal="center" vertical="center"/>
    </xf>
    <xf numFmtId="10" fontId="41" fillId="0" borderId="0" xfId="26" applyNumberFormat="1" applyFont="1" applyFill="1" applyAlignment="1">
      <alignment horizontal="right"/>
    </xf>
    <xf numFmtId="169" fontId="23" fillId="12" borderId="5" xfId="24" applyNumberFormat="1" applyFont="1" applyFill="1" applyBorder="1" applyAlignment="1">
      <alignment vertical="center"/>
    </xf>
    <xf numFmtId="4" fontId="16" fillId="0" borderId="0" xfId="0" applyNumberFormat="1" applyFont="1" applyAlignment="1">
      <alignment horizontal="center" vertical="center"/>
    </xf>
    <xf numFmtId="43" fontId="23" fillId="13" borderId="5" xfId="24" applyFont="1" applyFill="1" applyBorder="1" applyAlignment="1">
      <alignment vertical="center"/>
    </xf>
    <xf numFmtId="166" fontId="42" fillId="0" borderId="0" xfId="0" applyNumberFormat="1" applyFont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26" fillId="12" borderId="63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2" fontId="41" fillId="0" borderId="0" xfId="24" applyNumberFormat="1" applyFont="1" applyFill="1" applyBorder="1" applyAlignment="1">
      <alignment horizontal="center"/>
    </xf>
    <xf numFmtId="2" fontId="38" fillId="0" borderId="0" xfId="24" applyNumberFormat="1" applyFont="1" applyFill="1" applyBorder="1" applyAlignment="1">
      <alignment horizontal="center"/>
    </xf>
    <xf numFmtId="0" fontId="16" fillId="12" borderId="63" xfId="0" applyFont="1" applyFill="1" applyBorder="1" applyAlignment="1">
      <alignment vertical="center"/>
    </xf>
    <xf numFmtId="10" fontId="16" fillId="0" borderId="0" xfId="26" applyNumberFormat="1" applyFont="1" applyFill="1" applyAlignment="1">
      <alignment vertical="center"/>
    </xf>
    <xf numFmtId="4" fontId="16" fillId="0" borderId="0" xfId="24" applyNumberFormat="1" applyFont="1" applyFill="1" applyAlignment="1">
      <alignment vertical="center"/>
    </xf>
    <xf numFmtId="43" fontId="39" fillId="12" borderId="44" xfId="24" applyFont="1" applyFill="1" applyBorder="1" applyAlignment="1">
      <alignment horizontal="right"/>
    </xf>
    <xf numFmtId="0" fontId="23" fillId="12" borderId="50" xfId="0" applyFont="1" applyFill="1" applyBorder="1" applyAlignment="1">
      <alignment horizontal="right" vertical="center"/>
    </xf>
    <xf numFmtId="10" fontId="45" fillId="0" borderId="0" xfId="24" applyNumberFormat="1" applyFont="1" applyFill="1" applyAlignment="1">
      <alignment vertical="center"/>
    </xf>
    <xf numFmtId="10" fontId="26" fillId="0" borderId="0" xfId="26" applyNumberFormat="1" applyFont="1" applyFill="1" applyBorder="1" applyAlignment="1">
      <alignment vertical="center"/>
    </xf>
    <xf numFmtId="166" fontId="46" fillId="0" borderId="0" xfId="0" applyNumberFormat="1" applyFont="1" applyAlignment="1">
      <alignment horizontal="center" vertical="center"/>
    </xf>
    <xf numFmtId="0" fontId="16" fillId="5" borderId="62" xfId="0" applyFont="1" applyFill="1" applyBorder="1" applyAlignment="1">
      <alignment horizontal="center" vertical="center"/>
    </xf>
    <xf numFmtId="43" fontId="47" fillId="0" borderId="0" xfId="24" applyFont="1" applyFill="1" applyAlignment="1">
      <alignment vertical="center"/>
    </xf>
    <xf numFmtId="4" fontId="48" fillId="0" borderId="0" xfId="25" applyNumberFormat="1" applyFont="1" applyFill="1" applyAlignment="1">
      <alignment horizontal="center" vertical="center" wrapText="1"/>
    </xf>
    <xf numFmtId="9" fontId="16" fillId="0" borderId="0" xfId="24" applyNumberFormat="1" applyFont="1" applyFill="1" applyAlignment="1">
      <alignment vertical="center"/>
    </xf>
    <xf numFmtId="0" fontId="3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4" fontId="32" fillId="0" borderId="0" xfId="24" applyNumberFormat="1" applyFont="1" applyFill="1" applyAlignment="1">
      <alignment vertical="center"/>
    </xf>
    <xf numFmtId="4" fontId="23" fillId="15" borderId="62" xfId="24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43" fontId="49" fillId="0" borderId="0" xfId="24" applyFont="1" applyFill="1" applyAlignment="1">
      <alignment vertical="center"/>
    </xf>
    <xf numFmtId="9" fontId="49" fillId="0" borderId="0" xfId="24" applyNumberFormat="1" applyFont="1" applyFill="1" applyAlignment="1">
      <alignment vertical="center"/>
    </xf>
    <xf numFmtId="4" fontId="23" fillId="0" borderId="0" xfId="24" applyNumberFormat="1" applyFont="1" applyFill="1" applyAlignment="1">
      <alignment horizontal="center" vertical="center"/>
    </xf>
    <xf numFmtId="10" fontId="42" fillId="0" borderId="0" xfId="26" applyNumberFormat="1" applyFont="1" applyFill="1" applyAlignment="1">
      <alignment vertical="center"/>
    </xf>
    <xf numFmtId="43" fontId="42" fillId="0" borderId="0" xfId="24" applyFont="1" applyFill="1" applyBorder="1" applyAlignment="1">
      <alignment vertical="center"/>
    </xf>
    <xf numFmtId="4" fontId="16" fillId="0" borderId="0" xfId="0" applyNumberFormat="1" applyFont="1" applyAlignment="1">
      <alignment horizontal="center"/>
    </xf>
    <xf numFmtId="43" fontId="16" fillId="0" borderId="0" xfId="24" applyFont="1" applyFill="1" applyBorder="1"/>
    <xf numFmtId="10" fontId="42" fillId="0" borderId="0" xfId="26" applyNumberFormat="1" applyFont="1" applyFill="1" applyBorder="1" applyAlignment="1">
      <alignment vertical="center"/>
    </xf>
    <xf numFmtId="0" fontId="42" fillId="0" borderId="0" xfId="0" applyFont="1" applyAlignment="1">
      <alignment horizontal="right"/>
    </xf>
    <xf numFmtId="43" fontId="16" fillId="0" borderId="0" xfId="24" applyFont="1" applyFill="1" applyBorder="1" applyAlignment="1">
      <alignment horizontal="center"/>
    </xf>
    <xf numFmtId="9" fontId="52" fillId="0" borderId="0" xfId="0" applyNumberFormat="1" applyFont="1" applyAlignment="1">
      <alignment horizontal="left"/>
    </xf>
    <xf numFmtId="4" fontId="23" fillId="0" borderId="0" xfId="0" applyNumberFormat="1" applyFont="1" applyAlignment="1">
      <alignment horizontal="center"/>
    </xf>
    <xf numFmtId="166" fontId="23" fillId="0" borderId="0" xfId="0" applyNumberFormat="1" applyFont="1"/>
    <xf numFmtId="1" fontId="0" fillId="16" borderId="5" xfId="0" applyNumberForma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5" xfId="0" applyFill="1" applyBorder="1" applyAlignment="1">
      <alignment horizontal="left" vertical="center"/>
    </xf>
    <xf numFmtId="0" fontId="3" fillId="16" borderId="5" xfId="2" applyFill="1" applyBorder="1" applyAlignment="1">
      <alignment horizontal="center" vertical="center"/>
    </xf>
    <xf numFmtId="0" fontId="0" fillId="18" borderId="5" xfId="0" applyFill="1" applyBorder="1" applyAlignment="1">
      <alignment horizontal="left" vertical="center"/>
    </xf>
    <xf numFmtId="0" fontId="3" fillId="17" borderId="5" xfId="2" applyFill="1" applyBorder="1" applyAlignment="1">
      <alignment horizontal="center" vertical="center"/>
    </xf>
    <xf numFmtId="0" fontId="0" fillId="0" borderId="0" xfId="0" applyAlignment="1">
      <alignment horizontal="center"/>
    </xf>
    <xf numFmtId="12" fontId="6" fillId="0" borderId="5" xfId="2" applyNumberFormat="1" applyFont="1" applyBorder="1" applyAlignment="1">
      <alignment horizontal="center"/>
    </xf>
    <xf numFmtId="165" fontId="8" fillId="0" borderId="16" xfId="0" applyNumberFormat="1" applyFont="1" applyBorder="1" applyAlignment="1">
      <alignment horizontal="center"/>
    </xf>
    <xf numFmtId="165" fontId="8" fillId="0" borderId="5" xfId="0" applyNumberFormat="1" applyFont="1" applyBorder="1" applyAlignment="1">
      <alignment horizontal="center" wrapText="1"/>
    </xf>
    <xf numFmtId="2" fontId="31" fillId="17" borderId="0" xfId="0" applyNumberFormat="1" applyFont="1" applyFill="1" applyAlignment="1">
      <alignment horizontal="center"/>
    </xf>
    <xf numFmtId="0" fontId="0" fillId="17" borderId="5" xfId="0" applyFill="1" applyBorder="1" applyAlignment="1">
      <alignment horizontal="left" vertical="center"/>
    </xf>
    <xf numFmtId="49" fontId="8" fillId="18" borderId="5" xfId="0" applyNumberFormat="1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0" fillId="17" borderId="5" xfId="0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2" fontId="31" fillId="18" borderId="0" xfId="0" applyNumberFormat="1" applyFont="1" applyFill="1" applyAlignment="1">
      <alignment horizontal="center"/>
    </xf>
    <xf numFmtId="0" fontId="16" fillId="18" borderId="0" xfId="0" applyFont="1" applyFill="1" applyAlignment="1">
      <alignment vertical="center"/>
    </xf>
    <xf numFmtId="0" fontId="3" fillId="18" borderId="5" xfId="2" applyFill="1" applyBorder="1" applyAlignment="1">
      <alignment horizontal="left" vertical="center"/>
    </xf>
    <xf numFmtId="0" fontId="3" fillId="18" borderId="5" xfId="2" applyFill="1" applyBorder="1" applyAlignment="1">
      <alignment horizontal="center" vertical="center"/>
    </xf>
    <xf numFmtId="0" fontId="3" fillId="18" borderId="5" xfId="2" applyFill="1" applyBorder="1" applyAlignment="1">
      <alignment vertical="center" wrapText="1"/>
    </xf>
    <xf numFmtId="49" fontId="23" fillId="18" borderId="0" xfId="0" applyNumberFormat="1" applyFont="1" applyFill="1" applyAlignment="1">
      <alignment horizontal="center"/>
    </xf>
    <xf numFmtId="0" fontId="8" fillId="2" borderId="5" xfId="1" applyFont="1" applyFill="1" applyBorder="1" applyAlignment="1">
      <alignment horizontal="right"/>
    </xf>
    <xf numFmtId="0" fontId="12" fillId="4" borderId="3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vertical="center"/>
    </xf>
    <xf numFmtId="49" fontId="53" fillId="0" borderId="5" xfId="0" applyNumberFormat="1" applyFont="1" applyBorder="1" applyAlignment="1">
      <alignment horizontal="right"/>
    </xf>
    <xf numFmtId="0" fontId="8" fillId="0" borderId="17" xfId="0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16" fillId="0" borderId="5" xfId="0" applyNumberFormat="1" applyFont="1" applyBorder="1"/>
    <xf numFmtId="12" fontId="8" fillId="0" borderId="5" xfId="0" applyNumberFormat="1" applyFont="1" applyBorder="1" applyAlignment="1">
      <alignment horizontal="center"/>
    </xf>
    <xf numFmtId="49" fontId="15" fillId="0" borderId="5" xfId="0" applyNumberFormat="1" applyFont="1" applyBorder="1"/>
    <xf numFmtId="0" fontId="0" fillId="0" borderId="5" xfId="0" quotePrefix="1" applyBorder="1" applyAlignment="1">
      <alignment horizontal="center"/>
    </xf>
    <xf numFmtId="16" fontId="6" fillId="0" borderId="16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7" fillId="0" borderId="16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20" fontId="8" fillId="0" borderId="5" xfId="0" applyNumberFormat="1" applyFont="1" applyBorder="1" applyAlignment="1">
      <alignment horizontal="center"/>
    </xf>
    <xf numFmtId="0" fontId="3" fillId="0" borderId="0" xfId="0" applyFont="1"/>
    <xf numFmtId="1" fontId="7" fillId="0" borderId="5" xfId="0" applyNumberFormat="1" applyFont="1" applyBorder="1" applyAlignment="1">
      <alignment horizontal="center"/>
    </xf>
    <xf numFmtId="1" fontId="7" fillId="2" borderId="5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30" xfId="0" applyNumberFormat="1" applyFont="1" applyBorder="1" applyAlignment="1">
      <alignment horizontal="center"/>
    </xf>
    <xf numFmtId="49" fontId="31" fillId="0" borderId="26" xfId="0" applyNumberFormat="1" applyFont="1" applyBorder="1"/>
    <xf numFmtId="49" fontId="7" fillId="0" borderId="21" xfId="0" applyNumberFormat="1" applyFont="1" applyBorder="1" applyAlignment="1">
      <alignment horizontal="center"/>
    </xf>
    <xf numFmtId="49" fontId="7" fillId="0" borderId="38" xfId="0" applyNumberFormat="1" applyFont="1" applyBorder="1" applyAlignment="1">
      <alignment horizontal="center"/>
    </xf>
    <xf numFmtId="49" fontId="23" fillId="0" borderId="5" xfId="0" applyNumberFormat="1" applyFont="1" applyBorder="1"/>
    <xf numFmtId="0" fontId="7" fillId="0" borderId="15" xfId="0" applyFont="1" applyBorder="1" applyAlignment="1">
      <alignment horizontal="center"/>
    </xf>
    <xf numFmtId="0" fontId="3" fillId="0" borderId="5" xfId="0" applyFont="1" applyBorder="1"/>
    <xf numFmtId="165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7" xfId="0" applyBorder="1" applyAlignment="1">
      <alignment horizontal="left" vertical="center"/>
    </xf>
    <xf numFmtId="0" fontId="4" fillId="2" borderId="2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center"/>
    </xf>
    <xf numFmtId="0" fontId="3" fillId="2" borderId="0" xfId="0" applyFont="1" applyFill="1"/>
    <xf numFmtId="0" fontId="3" fillId="2" borderId="10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right"/>
    </xf>
    <xf numFmtId="49" fontId="3" fillId="2" borderId="6" xfId="1" applyNumberFormat="1" applyFont="1" applyFill="1" applyBorder="1" applyAlignment="1">
      <alignment horizontal="center"/>
    </xf>
    <xf numFmtId="0" fontId="3" fillId="2" borderId="5" xfId="1" applyFont="1" applyFill="1" applyBorder="1" applyAlignment="1">
      <alignment horizontal="right"/>
    </xf>
    <xf numFmtId="0" fontId="3" fillId="2" borderId="8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right"/>
    </xf>
    <xf numFmtId="0" fontId="3" fillId="2" borderId="0" xfId="1" applyFont="1" applyFill="1" applyAlignment="1">
      <alignment horizontal="left"/>
    </xf>
    <xf numFmtId="0" fontId="4" fillId="2" borderId="0" xfId="1" applyFont="1" applyFill="1" applyAlignment="1">
      <alignment horizontal="right" vertical="top" wrapText="1"/>
    </xf>
    <xf numFmtId="14" fontId="3" fillId="2" borderId="0" xfId="1" applyNumberFormat="1" applyFont="1" applyFill="1" applyAlignment="1">
      <alignment horizontal="center" vertical="center" wrapText="1"/>
    </xf>
    <xf numFmtId="14" fontId="21" fillId="2" borderId="0" xfId="1" applyNumberFormat="1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" fontId="4" fillId="4" borderId="8" xfId="0" applyNumberFormat="1" applyFont="1" applyFill="1" applyBorder="1" applyAlignment="1">
      <alignment horizontal="center"/>
    </xf>
    <xf numFmtId="1" fontId="4" fillId="4" borderId="8" xfId="0" applyNumberFormat="1" applyFont="1" applyFill="1" applyBorder="1" applyAlignment="1">
      <alignment horizontal="center" wrapText="1"/>
    </xf>
    <xf numFmtId="0" fontId="4" fillId="4" borderId="9" xfId="0" applyFont="1" applyFill="1" applyBorder="1" applyAlignment="1">
      <alignment horizontal="center"/>
    </xf>
    <xf numFmtId="0" fontId="2" fillId="0" borderId="5" xfId="2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5" fillId="0" borderId="40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56" fillId="0" borderId="16" xfId="0" applyFont="1" applyBorder="1"/>
    <xf numFmtId="16" fontId="57" fillId="0" borderId="5" xfId="2" applyNumberFormat="1" applyFont="1" applyBorder="1" applyAlignment="1">
      <alignment horizontal="center"/>
    </xf>
    <xf numFmtId="1" fontId="57" fillId="0" borderId="5" xfId="2" applyNumberFormat="1" applyFont="1" applyBorder="1" applyAlignment="1">
      <alignment horizontal="center"/>
    </xf>
    <xf numFmtId="1" fontId="57" fillId="0" borderId="5" xfId="2" applyNumberFormat="1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49" fontId="57" fillId="0" borderId="4" xfId="2" applyNumberFormat="1" applyFont="1" applyBorder="1" applyAlignment="1">
      <alignment horizontal="center"/>
    </xf>
    <xf numFmtId="49" fontId="57" fillId="0" borderId="15" xfId="2" applyNumberFormat="1" applyFont="1" applyBorder="1" applyAlignment="1">
      <alignment horizontal="center"/>
    </xf>
    <xf numFmtId="49" fontId="3" fillId="0" borderId="5" xfId="2" applyNumberFormat="1" applyBorder="1"/>
    <xf numFmtId="49" fontId="4" fillId="0" borderId="5" xfId="2" applyNumberFormat="1" applyFont="1" applyBorder="1"/>
    <xf numFmtId="49" fontId="57" fillId="5" borderId="4" xfId="0" applyNumberFormat="1" applyFont="1" applyFill="1" applyBorder="1" applyAlignment="1">
      <alignment horizontal="right"/>
    </xf>
    <xf numFmtId="49" fontId="57" fillId="5" borderId="15" xfId="0" applyNumberFormat="1" applyFont="1" applyFill="1" applyBorder="1" applyAlignment="1">
      <alignment horizontal="right"/>
    </xf>
    <xf numFmtId="49" fontId="3" fillId="5" borderId="5" xfId="0" applyNumberFormat="1" applyFont="1" applyFill="1" applyBorder="1"/>
    <xf numFmtId="0" fontId="2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4" xfId="0" quotePrefix="1" applyFont="1" applyBorder="1" applyAlignment="1">
      <alignment horizontal="right"/>
    </xf>
    <xf numFmtId="0" fontId="3" fillId="0" borderId="15" xfId="0" quotePrefix="1" applyFont="1" applyBorder="1" applyAlignment="1">
      <alignment horizontal="right"/>
    </xf>
    <xf numFmtId="0" fontId="3" fillId="0" borderId="5" xfId="0" quotePrefix="1" applyFont="1" applyBorder="1"/>
    <xf numFmtId="0" fontId="57" fillId="0" borderId="5" xfId="0" applyFont="1" applyBorder="1"/>
    <xf numFmtId="1" fontId="3" fillId="0" borderId="5" xfId="0" applyNumberFormat="1" applyFont="1" applyBorder="1" applyAlignment="1">
      <alignment horizontal="center" wrapText="1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 wrapText="1"/>
    </xf>
    <xf numFmtId="0" fontId="3" fillId="2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left" indent="1"/>
    </xf>
    <xf numFmtId="0" fontId="3" fillId="4" borderId="49" xfId="0" applyFont="1" applyFill="1" applyBorder="1" applyAlignment="1">
      <alignment horizontal="center"/>
    </xf>
    <xf numFmtId="0" fontId="3" fillId="4" borderId="44" xfId="0" applyFont="1" applyFill="1" applyBorder="1" applyAlignment="1">
      <alignment horizontal="center"/>
    </xf>
    <xf numFmtId="0" fontId="3" fillId="4" borderId="44" xfId="0" applyFont="1" applyFill="1" applyBorder="1"/>
    <xf numFmtId="0" fontId="4" fillId="4" borderId="44" xfId="0" applyFont="1" applyFill="1" applyBorder="1" applyAlignment="1">
      <alignment horizontal="center"/>
    </xf>
    <xf numFmtId="1" fontId="4" fillId="4" borderId="44" xfId="0" applyNumberFormat="1" applyFont="1" applyFill="1" applyBorder="1" applyAlignment="1">
      <alignment horizontal="center"/>
    </xf>
    <xf numFmtId="164" fontId="3" fillId="4" borderId="44" xfId="0" applyNumberFormat="1" applyFont="1" applyFill="1" applyBorder="1" applyAlignment="1">
      <alignment horizontal="center" wrapText="1"/>
    </xf>
    <xf numFmtId="0" fontId="3" fillId="4" borderId="50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9" fontId="3" fillId="2" borderId="0" xfId="9" applyFont="1" applyFill="1"/>
    <xf numFmtId="1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2" borderId="0" xfId="0" applyFill="1"/>
    <xf numFmtId="0" fontId="5" fillId="2" borderId="0" xfId="0" applyFont="1" applyFill="1" applyAlignment="1">
      <alignment vertical="center"/>
    </xf>
    <xf numFmtId="0" fontId="0" fillId="2" borderId="3" xfId="1" applyFont="1" applyFill="1" applyBorder="1" applyAlignment="1">
      <alignment horizontal="center"/>
    </xf>
    <xf numFmtId="49" fontId="0" fillId="2" borderId="6" xfId="1" applyNumberFormat="1" applyFont="1" applyFill="1" applyBorder="1" applyAlignment="1">
      <alignment horizontal="center"/>
    </xf>
    <xf numFmtId="0" fontId="55" fillId="0" borderId="5" xfId="0" applyFont="1" applyBorder="1" applyAlignment="1">
      <alignment horizontal="center" vertical="center"/>
    </xf>
    <xf numFmtId="0" fontId="3" fillId="2" borderId="5" xfId="0" applyFont="1" applyFill="1" applyBorder="1"/>
    <xf numFmtId="1" fontId="3" fillId="2" borderId="5" xfId="0" applyNumberFormat="1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 wrapText="1"/>
    </xf>
    <xf numFmtId="170" fontId="3" fillId="0" borderId="5" xfId="0" applyNumberFormat="1" applyFont="1" applyBorder="1" applyAlignment="1">
      <alignment horizontal="center" wrapText="1"/>
    </xf>
    <xf numFmtId="0" fontId="8" fillId="2" borderId="18" xfId="1" applyFont="1" applyFill="1" applyBorder="1" applyAlignment="1">
      <alignment horizontal="right"/>
    </xf>
    <xf numFmtId="0" fontId="8" fillId="2" borderId="15" xfId="1" applyFont="1" applyFill="1" applyBorder="1" applyAlignment="1">
      <alignment horizontal="right"/>
    </xf>
    <xf numFmtId="0" fontId="59" fillId="0" borderId="48" xfId="0" applyFont="1" applyBorder="1" applyAlignment="1">
      <alignment horizontal="center" vertical="center"/>
    </xf>
    <xf numFmtId="0" fontId="59" fillId="0" borderId="68" xfId="0" applyFont="1" applyBorder="1" applyAlignment="1">
      <alignment horizontal="center" vertical="center"/>
    </xf>
    <xf numFmtId="49" fontId="16" fillId="0" borderId="16" xfId="0" applyNumberFormat="1" applyFont="1" applyBorder="1" applyAlignment="1">
      <alignment wrapText="1"/>
    </xf>
    <xf numFmtId="0" fontId="6" fillId="0" borderId="18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16" fontId="7" fillId="0" borderId="5" xfId="0" applyNumberFormat="1" applyFont="1" applyBorder="1" applyAlignment="1">
      <alignment horizontal="center"/>
    </xf>
    <xf numFmtId="49" fontId="7" fillId="0" borderId="15" xfId="0" applyNumberFormat="1" applyFont="1" applyBorder="1" applyAlignment="1">
      <alignment horizontal="center"/>
    </xf>
    <xf numFmtId="49" fontId="16" fillId="0" borderId="7" xfId="5" applyNumberFormat="1" applyFont="1" applyBorder="1" applyAlignment="1">
      <alignment horizontal="center"/>
    </xf>
    <xf numFmtId="49" fontId="16" fillId="0" borderId="39" xfId="5" applyNumberFormat="1" applyFont="1" applyBorder="1" applyAlignment="1">
      <alignment horizontal="center"/>
    </xf>
    <xf numFmtId="0" fontId="7" fillId="0" borderId="8" xfId="0" applyFont="1" applyBorder="1"/>
    <xf numFmtId="1" fontId="7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60" fillId="2" borderId="5" xfId="1" applyFont="1" applyFill="1" applyBorder="1" applyAlignment="1">
      <alignment horizontal="left"/>
    </xf>
    <xf numFmtId="0" fontId="3" fillId="2" borderId="5" xfId="1" applyFont="1" applyFill="1" applyBorder="1" applyAlignment="1">
      <alignment horizontal="center"/>
    </xf>
    <xf numFmtId="0" fontId="6" fillId="5" borderId="0" xfId="0" applyFont="1" applyFill="1"/>
    <xf numFmtId="49" fontId="3" fillId="2" borderId="5" xfId="1" applyNumberFormat="1" applyFont="1" applyFill="1" applyBorder="1" applyAlignment="1">
      <alignment horizontal="center"/>
    </xf>
    <xf numFmtId="0" fontId="61" fillId="2" borderId="5" xfId="1" applyFont="1" applyFill="1" applyBorder="1" applyAlignment="1">
      <alignment horizontal="right"/>
    </xf>
    <xf numFmtId="0" fontId="4" fillId="4" borderId="3" xfId="4" applyFont="1" applyFill="1" applyBorder="1" applyAlignment="1">
      <alignment horizontal="center" vertical="center" wrapText="1"/>
    </xf>
    <xf numFmtId="0" fontId="62" fillId="5" borderId="0" xfId="0" applyFont="1" applyFill="1" applyAlignment="1">
      <alignment horizontal="center" vertical="center"/>
    </xf>
    <xf numFmtId="1" fontId="4" fillId="4" borderId="8" xfId="4" applyNumberFormat="1" applyFont="1" applyFill="1" applyBorder="1" applyAlignment="1">
      <alignment horizontal="center"/>
    </xf>
    <xf numFmtId="1" fontId="4" fillId="4" borderId="8" xfId="4" applyNumberFormat="1" applyFont="1" applyFill="1" applyBorder="1" applyAlignment="1">
      <alignment horizontal="center" wrapText="1"/>
    </xf>
    <xf numFmtId="0" fontId="4" fillId="4" borderId="9" xfId="4" applyFont="1" applyFill="1" applyBorder="1" applyAlignment="1">
      <alignment horizontal="center"/>
    </xf>
    <xf numFmtId="1" fontId="62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16" fontId="6" fillId="0" borderId="5" xfId="0" applyNumberFormat="1" applyFont="1" applyBorder="1" applyAlignment="1">
      <alignment horizontal="center"/>
    </xf>
    <xf numFmtId="0" fontId="3" fillId="4" borderId="49" xfId="4" applyFont="1" applyFill="1" applyBorder="1" applyAlignment="1">
      <alignment horizontal="center"/>
    </xf>
    <xf numFmtId="0" fontId="3" fillId="4" borderId="44" xfId="4" applyFont="1" applyFill="1" applyBorder="1" applyAlignment="1">
      <alignment horizontal="center"/>
    </xf>
    <xf numFmtId="0" fontId="3" fillId="4" borderId="44" xfId="4" applyFont="1" applyFill="1" applyBorder="1"/>
    <xf numFmtId="0" fontId="4" fillId="4" borderId="44" xfId="4" applyFont="1" applyFill="1" applyBorder="1" applyAlignment="1">
      <alignment horizontal="center"/>
    </xf>
    <xf numFmtId="1" fontId="4" fillId="4" borderId="44" xfId="4" applyNumberFormat="1" applyFont="1" applyFill="1" applyBorder="1" applyAlignment="1">
      <alignment horizontal="center"/>
    </xf>
    <xf numFmtId="164" fontId="3" fillId="4" borderId="44" xfId="4" applyNumberFormat="1" applyFont="1" applyFill="1" applyBorder="1" applyAlignment="1">
      <alignment horizontal="center" wrapText="1"/>
    </xf>
    <xf numFmtId="0" fontId="3" fillId="4" borderId="50" xfId="4" applyFont="1" applyFill="1" applyBorder="1" applyAlignment="1">
      <alignment horizontal="center"/>
    </xf>
    <xf numFmtId="0" fontId="7" fillId="0" borderId="5" xfId="0" applyFont="1" applyBorder="1"/>
    <xf numFmtId="0" fontId="2" fillId="5" borderId="0" xfId="0" applyFont="1" applyFill="1" applyAlignment="1">
      <alignment horizontal="left" indent="1"/>
    </xf>
    <xf numFmtId="164" fontId="15" fillId="0" borderId="5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left" wrapText="1"/>
    </xf>
    <xf numFmtId="0" fontId="16" fillId="5" borderId="0" xfId="0" applyFont="1" applyFill="1" applyAlignment="1">
      <alignment horizontal="center"/>
    </xf>
    <xf numFmtId="14" fontId="3" fillId="2" borderId="11" xfId="1" applyNumberFormat="1" applyFont="1" applyFill="1" applyBorder="1" applyAlignment="1">
      <alignment horizontal="center" vertical="center" wrapText="1"/>
    </xf>
    <xf numFmtId="14" fontId="21" fillId="2" borderId="11" xfId="1" applyNumberFormat="1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1" fontId="4" fillId="4" borderId="8" xfId="2" applyNumberFormat="1" applyFont="1" applyFill="1" applyBorder="1" applyAlignment="1">
      <alignment horizontal="center"/>
    </xf>
    <xf numFmtId="1" fontId="4" fillId="4" borderId="8" xfId="2" applyNumberFormat="1" applyFont="1" applyFill="1" applyBorder="1" applyAlignment="1">
      <alignment horizontal="center" wrapText="1"/>
    </xf>
    <xf numFmtId="0" fontId="4" fillId="4" borderId="9" xfId="2" applyFont="1" applyFill="1" applyBorder="1" applyAlignment="1">
      <alignment horizontal="center"/>
    </xf>
    <xf numFmtId="0" fontId="8" fillId="0" borderId="4" xfId="2" applyFont="1" applyBorder="1" applyAlignment="1">
      <alignment horizontal="center"/>
    </xf>
    <xf numFmtId="0" fontId="8" fillId="0" borderId="15" xfId="2" applyFont="1" applyBorder="1" applyAlignment="1">
      <alignment horizontal="center"/>
    </xf>
    <xf numFmtId="0" fontId="8" fillId="0" borderId="5" xfId="2" applyFont="1" applyBorder="1"/>
    <xf numFmtId="1" fontId="8" fillId="0" borderId="5" xfId="2" applyNumberFormat="1" applyFont="1" applyBorder="1" applyAlignment="1">
      <alignment vertical="center"/>
    </xf>
    <xf numFmtId="1" fontId="8" fillId="0" borderId="6" xfId="2" applyNumberFormat="1" applyFont="1" applyBorder="1" applyAlignment="1">
      <alignment vertical="center"/>
    </xf>
    <xf numFmtId="43" fontId="0" fillId="0" borderId="0" xfId="6" applyFont="1"/>
    <xf numFmtId="0" fontId="8" fillId="0" borderId="4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5" xfId="2" applyFont="1" applyBorder="1" applyAlignment="1">
      <alignment horizontal="left" vertical="center"/>
    </xf>
    <xf numFmtId="0" fontId="25" fillId="0" borderId="4" xfId="2" applyFont="1" applyBorder="1" applyAlignment="1">
      <alignment horizontal="center" vertical="center"/>
    </xf>
    <xf numFmtId="0" fontId="25" fillId="0" borderId="15" xfId="2" applyFont="1" applyBorder="1" applyAlignment="1">
      <alignment horizontal="center" vertical="center"/>
    </xf>
    <xf numFmtId="0" fontId="12" fillId="0" borderId="5" xfId="2" applyFont="1" applyBorder="1"/>
    <xf numFmtId="0" fontId="12" fillId="5" borderId="6" xfId="2" applyFont="1" applyFill="1" applyBorder="1" applyAlignment="1">
      <alignment horizontal="center"/>
    </xf>
    <xf numFmtId="49" fontId="8" fillId="5" borderId="4" xfId="2" applyNumberFormat="1" applyFont="1" applyFill="1" applyBorder="1" applyAlignment="1">
      <alignment horizontal="right"/>
    </xf>
    <xf numFmtId="49" fontId="8" fillId="5" borderId="15" xfId="2" applyNumberFormat="1" applyFont="1" applyFill="1" applyBorder="1" applyAlignment="1">
      <alignment horizontal="right"/>
    </xf>
    <xf numFmtId="49" fontId="8" fillId="5" borderId="5" xfId="2" applyNumberFormat="1" applyFont="1" applyFill="1" applyBorder="1"/>
    <xf numFmtId="0" fontId="8" fillId="0" borderId="6" xfId="2" applyFont="1" applyBorder="1" applyAlignment="1">
      <alignment horizontal="center"/>
    </xf>
    <xf numFmtId="0" fontId="8" fillId="0" borderId="4" xfId="2" quotePrefix="1" applyFont="1" applyBorder="1" applyAlignment="1">
      <alignment horizontal="right"/>
    </xf>
    <xf numFmtId="0" fontId="8" fillId="0" borderId="15" xfId="2" quotePrefix="1" applyFont="1" applyBorder="1" applyAlignment="1">
      <alignment horizontal="right"/>
    </xf>
    <xf numFmtId="0" fontId="8" fillId="0" borderId="5" xfId="2" quotePrefix="1" applyFont="1" applyBorder="1"/>
    <xf numFmtId="1" fontId="8" fillId="0" borderId="5" xfId="2" applyNumberFormat="1" applyFont="1" applyBorder="1" applyAlignment="1">
      <alignment horizontal="center" wrapText="1"/>
    </xf>
    <xf numFmtId="49" fontId="25" fillId="2" borderId="19" xfId="2" applyNumberFormat="1" applyFont="1" applyFill="1" applyBorder="1" applyAlignment="1">
      <alignment horizontal="center" vertical="center"/>
    </xf>
    <xf numFmtId="49" fontId="25" fillId="2" borderId="12" xfId="2" applyNumberFormat="1" applyFont="1" applyFill="1" applyBorder="1" applyAlignment="1">
      <alignment horizontal="center" vertical="center"/>
    </xf>
    <xf numFmtId="0" fontId="8" fillId="2" borderId="12" xfId="2" applyFont="1" applyFill="1" applyBorder="1"/>
    <xf numFmtId="1" fontId="8" fillId="2" borderId="12" xfId="2" applyNumberFormat="1" applyFont="1" applyFill="1" applyBorder="1" applyAlignment="1">
      <alignment horizontal="center"/>
    </xf>
    <xf numFmtId="164" fontId="8" fillId="2" borderId="12" xfId="2" applyNumberFormat="1" applyFont="1" applyFill="1" applyBorder="1" applyAlignment="1">
      <alignment horizontal="center" wrapText="1"/>
    </xf>
    <xf numFmtId="0" fontId="8" fillId="2" borderId="64" xfId="2" applyFont="1" applyFill="1" applyBorder="1" applyAlignment="1">
      <alignment horizontal="center"/>
    </xf>
    <xf numFmtId="0" fontId="3" fillId="0" borderId="0" xfId="2"/>
    <xf numFmtId="0" fontId="3" fillId="2" borderId="0" xfId="2" applyFill="1" applyAlignment="1">
      <alignment horizontal="left" indent="1"/>
    </xf>
    <xf numFmtId="0" fontId="3" fillId="4" borderId="49" xfId="2" applyFill="1" applyBorder="1" applyAlignment="1">
      <alignment horizontal="center"/>
    </xf>
    <xf numFmtId="0" fontId="3" fillId="4" borderId="44" xfId="2" applyFill="1" applyBorder="1" applyAlignment="1">
      <alignment horizontal="center"/>
    </xf>
    <xf numFmtId="0" fontId="3" fillId="4" borderId="44" xfId="2" applyFill="1" applyBorder="1"/>
    <xf numFmtId="0" fontId="4" fillId="4" borderId="44" xfId="2" applyFont="1" applyFill="1" applyBorder="1" applyAlignment="1">
      <alignment horizontal="center"/>
    </xf>
    <xf numFmtId="1" fontId="4" fillId="4" borderId="44" xfId="2" applyNumberFormat="1" applyFont="1" applyFill="1" applyBorder="1" applyAlignment="1">
      <alignment horizontal="center"/>
    </xf>
    <xf numFmtId="164" fontId="3" fillId="4" borderId="44" xfId="2" applyNumberFormat="1" applyFill="1" applyBorder="1" applyAlignment="1">
      <alignment horizontal="center" wrapText="1"/>
    </xf>
    <xf numFmtId="0" fontId="3" fillId="4" borderId="50" xfId="2" applyFill="1" applyBorder="1" applyAlignment="1">
      <alignment horizontal="center"/>
    </xf>
    <xf numFmtId="0" fontId="3" fillId="0" borderId="20" xfId="2" applyBorder="1" applyAlignment="1">
      <alignment horizontal="center"/>
    </xf>
    <xf numFmtId="1" fontId="3" fillId="0" borderId="0" xfId="2" applyNumberFormat="1"/>
    <xf numFmtId="0" fontId="3" fillId="0" borderId="49" xfId="0" applyFont="1" applyBorder="1"/>
    <xf numFmtId="0" fontId="3" fillId="0" borderId="44" xfId="0" applyFont="1" applyBorder="1"/>
    <xf numFmtId="0" fontId="0" fillId="0" borderId="44" xfId="0" applyBorder="1"/>
    <xf numFmtId="0" fontId="0" fillId="0" borderId="50" xfId="0" applyBorder="1"/>
    <xf numFmtId="0" fontId="12" fillId="4" borderId="31" xfId="0" applyFont="1" applyFill="1" applyBorder="1" applyAlignment="1">
      <alignment horizontal="center"/>
    </xf>
    <xf numFmtId="0" fontId="59" fillId="0" borderId="21" xfId="0" applyFont="1" applyBorder="1" applyAlignment="1">
      <alignment horizontal="center" vertical="center"/>
    </xf>
    <xf numFmtId="0" fontId="59" fillId="0" borderId="3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8" fillId="0" borderId="4" xfId="0" quotePrefix="1" applyFont="1" applyBorder="1" applyAlignment="1">
      <alignment horizontal="right"/>
    </xf>
    <xf numFmtId="0" fontId="8" fillId="0" borderId="15" xfId="0" quotePrefix="1" applyFont="1" applyBorder="1" applyAlignment="1">
      <alignment horizontal="right"/>
    </xf>
    <xf numFmtId="0" fontId="8" fillId="0" borderId="5" xfId="0" quotePrefix="1" applyFont="1" applyBorder="1"/>
    <xf numFmtId="2" fontId="6" fillId="0" borderId="5" xfId="0" applyNumberFormat="1" applyFont="1" applyBorder="1" applyAlignment="1">
      <alignment horizontal="center"/>
    </xf>
    <xf numFmtId="0" fontId="8" fillId="0" borderId="4" xfId="0" quotePrefix="1" applyFont="1" applyBorder="1" applyAlignment="1">
      <alignment horizontal="center"/>
    </xf>
    <xf numFmtId="0" fontId="8" fillId="0" borderId="15" xfId="0" quotePrefix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0" fontId="8" fillId="2" borderId="5" xfId="0" applyFont="1" applyFill="1" applyBorder="1"/>
    <xf numFmtId="0" fontId="12" fillId="11" borderId="5" xfId="0" applyFont="1" applyFill="1" applyBorder="1" applyAlignment="1">
      <alignment horizontal="center"/>
    </xf>
    <xf numFmtId="49" fontId="8" fillId="0" borderId="15" xfId="0" applyNumberFormat="1" applyFont="1" applyBorder="1" applyAlignment="1">
      <alignment horizontal="center"/>
    </xf>
    <xf numFmtId="49" fontId="16" fillId="0" borderId="26" xfId="0" applyNumberFormat="1" applyFont="1" applyBorder="1"/>
    <xf numFmtId="16" fontId="7" fillId="0" borderId="26" xfId="0" applyNumberFormat="1" applyFont="1" applyBorder="1" applyAlignment="1">
      <alignment horizontal="center"/>
    </xf>
    <xf numFmtId="1" fontId="6" fillId="0" borderId="26" xfId="0" applyNumberFormat="1" applyFont="1" applyBorder="1" applyAlignment="1">
      <alignment horizontal="center"/>
    </xf>
    <xf numFmtId="1" fontId="6" fillId="0" borderId="26" xfId="0" applyNumberFormat="1" applyFont="1" applyBorder="1" applyAlignment="1">
      <alignment horizontal="center" wrapText="1"/>
    </xf>
    <xf numFmtId="1" fontId="8" fillId="0" borderId="45" xfId="0" applyNumberFormat="1" applyFont="1" applyBorder="1" applyAlignment="1">
      <alignment horizontal="center"/>
    </xf>
    <xf numFmtId="0" fontId="8" fillId="0" borderId="45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49" fontId="7" fillId="5" borderId="25" xfId="0" applyNumberFormat="1" applyFont="1" applyFill="1" applyBorder="1" applyAlignment="1">
      <alignment horizontal="center"/>
    </xf>
    <xf numFmtId="49" fontId="7" fillId="5" borderId="14" xfId="0" applyNumberFormat="1" applyFont="1" applyFill="1" applyBorder="1" applyAlignment="1">
      <alignment horizontal="center"/>
    </xf>
    <xf numFmtId="49" fontId="16" fillId="5" borderId="14" xfId="0" applyNumberFormat="1" applyFont="1" applyFill="1" applyBorder="1"/>
    <xf numFmtId="16" fontId="7" fillId="5" borderId="14" xfId="0" applyNumberFormat="1" applyFont="1" applyFill="1" applyBorder="1" applyAlignment="1">
      <alignment horizontal="center"/>
    </xf>
    <xf numFmtId="1" fontId="6" fillId="5" borderId="14" xfId="0" applyNumberFormat="1" applyFont="1" applyFill="1" applyBorder="1" applyAlignment="1">
      <alignment horizontal="center"/>
    </xf>
    <xf numFmtId="1" fontId="6" fillId="5" borderId="14" xfId="0" applyNumberFormat="1" applyFont="1" applyFill="1" applyBorder="1" applyAlignment="1">
      <alignment horizontal="center" wrapText="1"/>
    </xf>
    <xf numFmtId="1" fontId="8" fillId="5" borderId="14" xfId="0" applyNumberFormat="1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/>
    </xf>
    <xf numFmtId="0" fontId="8" fillId="5" borderId="54" xfId="0" applyFont="1" applyFill="1" applyBorder="1" applyAlignment="1">
      <alignment horizontal="center"/>
    </xf>
    <xf numFmtId="49" fontId="7" fillId="5" borderId="10" xfId="0" applyNumberFormat="1" applyFont="1" applyFill="1" applyBorder="1" applyAlignment="1">
      <alignment horizontal="center"/>
    </xf>
    <xf numFmtId="49" fontId="7" fillId="5" borderId="0" xfId="0" applyNumberFormat="1" applyFont="1" applyFill="1" applyAlignment="1">
      <alignment horizontal="center"/>
    </xf>
    <xf numFmtId="49" fontId="16" fillId="5" borderId="0" xfId="0" applyNumberFormat="1" applyFont="1" applyFill="1"/>
    <xf numFmtId="16" fontId="7" fillId="5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 applyAlignment="1">
      <alignment horizontal="center" wrapText="1"/>
    </xf>
    <xf numFmtId="1" fontId="8" fillId="5" borderId="0" xfId="0" applyNumberFormat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19" xfId="0" quotePrefix="1" applyFont="1" applyFill="1" applyBorder="1" applyAlignment="1">
      <alignment horizontal="right"/>
    </xf>
    <xf numFmtId="0" fontId="8" fillId="5" borderId="12" xfId="0" quotePrefix="1" applyFont="1" applyFill="1" applyBorder="1" applyAlignment="1">
      <alignment horizontal="right"/>
    </xf>
    <xf numFmtId="0" fontId="8" fillId="5" borderId="12" xfId="0" quotePrefix="1" applyFont="1" applyFill="1" applyBorder="1"/>
    <xf numFmtId="0" fontId="7" fillId="5" borderId="12" xfId="0" applyFont="1" applyFill="1" applyBorder="1"/>
    <xf numFmtId="1" fontId="8" fillId="5" borderId="12" xfId="0" applyNumberFormat="1" applyFont="1" applyFill="1" applyBorder="1" applyAlignment="1">
      <alignment horizontal="center" wrapText="1"/>
    </xf>
    <xf numFmtId="0" fontId="8" fillId="5" borderId="64" xfId="0" applyFont="1" applyFill="1" applyBorder="1" applyAlignment="1">
      <alignment horizontal="center"/>
    </xf>
    <xf numFmtId="0" fontId="8" fillId="2" borderId="20" xfId="0" applyFont="1" applyFill="1" applyBorder="1"/>
    <xf numFmtId="0" fontId="8" fillId="2" borderId="68" xfId="0" applyFont="1" applyFill="1" applyBorder="1"/>
    <xf numFmtId="0" fontId="8" fillId="2" borderId="18" xfId="0" applyFont="1" applyFill="1" applyBorder="1"/>
    <xf numFmtId="0" fontId="8" fillId="0" borderId="13" xfId="0" applyFont="1" applyBorder="1" applyAlignment="1">
      <alignment horizontal="left" wrapText="1"/>
    </xf>
    <xf numFmtId="0" fontId="8" fillId="0" borderId="38" xfId="0" applyFont="1" applyBorder="1" applyAlignment="1">
      <alignment horizontal="left" wrapText="1"/>
    </xf>
    <xf numFmtId="0" fontId="8" fillId="0" borderId="15" xfId="0" applyFont="1" applyBorder="1" applyAlignment="1">
      <alignment horizontal="left" wrapText="1"/>
    </xf>
    <xf numFmtId="0" fontId="12" fillId="0" borderId="21" xfId="0" applyFont="1" applyBorder="1" applyAlignment="1">
      <alignment horizontal="right"/>
    </xf>
    <xf numFmtId="0" fontId="12" fillId="0" borderId="38" xfId="0" applyFont="1" applyBorder="1" applyAlignment="1">
      <alignment horizontal="right"/>
    </xf>
    <xf numFmtId="0" fontId="12" fillId="0" borderId="15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164" fontId="8" fillId="0" borderId="13" xfId="0" applyNumberFormat="1" applyFont="1" applyBorder="1" applyAlignment="1">
      <alignment horizontal="center"/>
    </xf>
    <xf numFmtId="164" fontId="8" fillId="0" borderId="22" xfId="0" applyNumberFormat="1" applyFont="1" applyBorder="1" applyAlignment="1">
      <alignment horizontal="center"/>
    </xf>
    <xf numFmtId="0" fontId="12" fillId="4" borderId="10" xfId="0" applyFont="1" applyFill="1" applyBorder="1" applyAlignment="1">
      <alignment horizontal="left"/>
    </xf>
    <xf numFmtId="0" fontId="12" fillId="4" borderId="0" xfId="0" applyFont="1" applyFill="1" applyAlignment="1">
      <alignment horizontal="left"/>
    </xf>
    <xf numFmtId="0" fontId="12" fillId="4" borderId="1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38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10" fillId="0" borderId="13" xfId="0" applyFont="1" applyBorder="1"/>
    <xf numFmtId="0" fontId="10" fillId="0" borderId="38" xfId="0" applyFont="1" applyBorder="1"/>
    <xf numFmtId="0" fontId="10" fillId="0" borderId="15" xfId="0" applyFont="1" applyBorder="1"/>
    <xf numFmtId="0" fontId="8" fillId="0" borderId="40" xfId="0" applyFont="1" applyBorder="1" applyAlignment="1">
      <alignment horizontal="left" wrapText="1"/>
    </xf>
    <xf numFmtId="0" fontId="8" fillId="0" borderId="18" xfId="0" applyFont="1" applyBorder="1" applyAlignment="1">
      <alignment horizontal="left" wrapText="1"/>
    </xf>
    <xf numFmtId="0" fontId="8" fillId="0" borderId="16" xfId="0" applyFont="1" applyBorder="1" applyAlignment="1">
      <alignment horizontal="left" wrapText="1"/>
    </xf>
    <xf numFmtId="0" fontId="8" fillId="0" borderId="17" xfId="0" applyFont="1" applyBorder="1" applyAlignment="1">
      <alignment horizontal="left" wrapText="1"/>
    </xf>
    <xf numFmtId="0" fontId="12" fillId="4" borderId="5" xfId="0" applyFont="1" applyFill="1" applyBorder="1" applyAlignment="1">
      <alignment horizontal="center" vertical="center"/>
    </xf>
    <xf numFmtId="14" fontId="8" fillId="2" borderId="31" xfId="1" applyNumberFormat="1" applyFont="1" applyFill="1" applyBorder="1" applyAlignment="1">
      <alignment horizontal="center" vertical="center" wrapText="1"/>
    </xf>
    <xf numFmtId="14" fontId="8" fillId="2" borderId="33" xfId="1" applyNumberFormat="1" applyFont="1" applyFill="1" applyBorder="1" applyAlignment="1">
      <alignment horizontal="center" vertical="center" wrapText="1"/>
    </xf>
    <xf numFmtId="14" fontId="8" fillId="2" borderId="35" xfId="1" applyNumberFormat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left"/>
    </xf>
    <xf numFmtId="0" fontId="8" fillId="2" borderId="8" xfId="1" applyFont="1" applyFill="1" applyBorder="1" applyAlignment="1">
      <alignment horizontal="left"/>
    </xf>
    <xf numFmtId="0" fontId="9" fillId="2" borderId="2" xfId="1" applyFont="1" applyFill="1" applyBorder="1" applyAlignment="1">
      <alignment horizontal="center"/>
    </xf>
    <xf numFmtId="0" fontId="9" fillId="2" borderId="26" xfId="1" applyFont="1" applyFill="1" applyBorder="1" applyAlignment="1">
      <alignment horizontal="center"/>
    </xf>
    <xf numFmtId="0" fontId="11" fillId="3" borderId="27" xfId="1" applyFont="1" applyFill="1" applyBorder="1" applyAlignment="1">
      <alignment horizontal="center" vertical="center" wrapText="1"/>
    </xf>
    <xf numFmtId="0" fontId="11" fillId="3" borderId="28" xfId="1" applyFont="1" applyFill="1" applyBorder="1" applyAlignment="1">
      <alignment horizontal="center" vertical="center" wrapText="1"/>
    </xf>
    <xf numFmtId="0" fontId="11" fillId="3" borderId="29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right" vertical="top" wrapText="1"/>
    </xf>
    <xf numFmtId="0" fontId="12" fillId="2" borderId="32" xfId="1" applyFont="1" applyFill="1" applyBorder="1" applyAlignment="1">
      <alignment horizontal="right" vertical="top" wrapText="1"/>
    </xf>
    <xf numFmtId="0" fontId="12" fillId="2" borderId="34" xfId="1" applyFont="1" applyFill="1" applyBorder="1" applyAlignment="1">
      <alignment horizontal="right" vertical="top" wrapText="1"/>
    </xf>
    <xf numFmtId="0" fontId="8" fillId="0" borderId="7" xfId="0" applyFont="1" applyBorder="1" applyAlignment="1">
      <alignment horizontal="left" wrapText="1"/>
    </xf>
    <xf numFmtId="0" fontId="8" fillId="0" borderId="39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12" fillId="0" borderId="27" xfId="0" applyFont="1" applyBorder="1" applyAlignment="1">
      <alignment horizontal="right"/>
    </xf>
    <xf numFmtId="0" fontId="12" fillId="0" borderId="28" xfId="0" applyFont="1" applyBorder="1" applyAlignment="1">
      <alignment horizontal="right"/>
    </xf>
    <xf numFmtId="0" fontId="12" fillId="0" borderId="36" xfId="0" applyFont="1" applyBorder="1" applyAlignment="1">
      <alignment horizontal="right"/>
    </xf>
    <xf numFmtId="164" fontId="8" fillId="0" borderId="2" xfId="0" applyNumberFormat="1" applyFont="1" applyBorder="1" applyAlignment="1">
      <alignment horizontal="right"/>
    </xf>
    <xf numFmtId="0" fontId="8" fillId="2" borderId="37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0" fontId="8" fillId="2" borderId="25" xfId="1" applyFont="1" applyFill="1" applyBorder="1" applyAlignment="1">
      <alignment horizontal="center"/>
    </xf>
    <xf numFmtId="0" fontId="8" fillId="2" borderId="14" xfId="1" applyFont="1" applyFill="1" applyBorder="1" applyAlignment="1">
      <alignment horizontal="center"/>
    </xf>
    <xf numFmtId="0" fontId="8" fillId="2" borderId="10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19" xfId="1" applyFont="1" applyFill="1" applyBorder="1" applyAlignment="1">
      <alignment horizontal="center"/>
    </xf>
    <xf numFmtId="0" fontId="8" fillId="2" borderId="12" xfId="1" applyFont="1" applyFill="1" applyBorder="1" applyAlignment="1">
      <alignment horizontal="center"/>
    </xf>
    <xf numFmtId="0" fontId="11" fillId="2" borderId="10" xfId="1" applyFont="1" applyFill="1" applyBorder="1" applyAlignment="1">
      <alignment horizontal="right" vertical="center"/>
    </xf>
    <xf numFmtId="0" fontId="11" fillId="2" borderId="0" xfId="1" applyFont="1" applyFill="1" applyAlignment="1">
      <alignment horizontal="right" vertical="center"/>
    </xf>
    <xf numFmtId="0" fontId="13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right" wrapText="1"/>
    </xf>
    <xf numFmtId="0" fontId="12" fillId="0" borderId="41" xfId="0" applyFont="1" applyBorder="1" applyAlignment="1">
      <alignment horizontal="right"/>
    </xf>
    <xf numFmtId="0" fontId="12" fillId="0" borderId="42" xfId="0" applyFont="1" applyBorder="1" applyAlignment="1">
      <alignment horizontal="right"/>
    </xf>
    <xf numFmtId="0" fontId="12" fillId="0" borderId="39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164" fontId="8" fillId="0" borderId="23" xfId="0" applyNumberFormat="1" applyFont="1" applyBorder="1" applyAlignment="1">
      <alignment horizontal="center"/>
    </xf>
    <xf numFmtId="164" fontId="8" fillId="0" borderId="24" xfId="0" applyNumberFormat="1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39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2" fillId="6" borderId="21" xfId="0" applyFont="1" applyFill="1" applyBorder="1" applyAlignment="1">
      <alignment horizontal="center"/>
    </xf>
    <xf numFmtId="0" fontId="12" fillId="6" borderId="38" xfId="0" applyFont="1" applyFill="1" applyBorder="1" applyAlignment="1">
      <alignment horizontal="center"/>
    </xf>
    <xf numFmtId="0" fontId="12" fillId="6" borderId="22" xfId="0" applyFont="1" applyFill="1" applyBorder="1" applyAlignment="1">
      <alignment horizontal="center"/>
    </xf>
    <xf numFmtId="0" fontId="12" fillId="0" borderId="7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2" fillId="0" borderId="8" xfId="0" applyFont="1" applyBorder="1" applyAlignment="1">
      <alignment horizontal="left" wrapText="1"/>
    </xf>
    <xf numFmtId="0" fontId="12" fillId="0" borderId="9" xfId="0" applyFont="1" applyBorder="1" applyAlignment="1">
      <alignment horizontal="left" wrapText="1"/>
    </xf>
    <xf numFmtId="0" fontId="8" fillId="2" borderId="37" xfId="1" applyFont="1" applyFill="1" applyBorder="1" applyAlignment="1">
      <alignment horizontal="left"/>
    </xf>
    <xf numFmtId="0" fontId="8" fillId="2" borderId="28" xfId="1" applyFont="1" applyFill="1" applyBorder="1" applyAlignment="1">
      <alignment horizontal="left"/>
    </xf>
    <xf numFmtId="0" fontId="8" fillId="2" borderId="36" xfId="1" applyFont="1" applyFill="1" applyBorder="1" applyAlignment="1">
      <alignment horizontal="left"/>
    </xf>
    <xf numFmtId="0" fontId="8" fillId="2" borderId="13" xfId="1" applyFont="1" applyFill="1" applyBorder="1" applyAlignment="1">
      <alignment horizontal="left"/>
    </xf>
    <xf numFmtId="0" fontId="8" fillId="2" borderId="38" xfId="1" applyFont="1" applyFill="1" applyBorder="1" applyAlignment="1">
      <alignment horizontal="left"/>
    </xf>
    <xf numFmtId="0" fontId="8" fillId="2" borderId="15" xfId="1" applyFont="1" applyFill="1" applyBorder="1" applyAlignment="1">
      <alignment horizontal="left"/>
    </xf>
    <xf numFmtId="0" fontId="12" fillId="4" borderId="2" xfId="0" applyFont="1" applyFill="1" applyBorder="1" applyAlignment="1">
      <alignment horizontal="center" vertical="center"/>
    </xf>
    <xf numFmtId="0" fontId="11" fillId="3" borderId="49" xfId="1" applyFont="1" applyFill="1" applyBorder="1" applyAlignment="1">
      <alignment horizontal="center" vertical="center" wrapText="1"/>
    </xf>
    <xf numFmtId="0" fontId="11" fillId="3" borderId="44" xfId="1" applyFont="1" applyFill="1" applyBorder="1" applyAlignment="1">
      <alignment horizontal="center" vertical="center" wrapText="1"/>
    </xf>
    <xf numFmtId="0" fontId="11" fillId="3" borderId="50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/>
    </xf>
    <xf numFmtId="0" fontId="12" fillId="0" borderId="48" xfId="0" applyFont="1" applyBorder="1" applyAlignment="1">
      <alignment horizontal="right"/>
    </xf>
    <xf numFmtId="0" fontId="12" fillId="0" borderId="68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164" fontId="8" fillId="0" borderId="16" xfId="0" applyNumberFormat="1" applyFont="1" applyBorder="1" applyAlignment="1">
      <alignment horizontal="right"/>
    </xf>
    <xf numFmtId="0" fontId="8" fillId="2" borderId="20" xfId="0" applyFont="1" applyFill="1" applyBorder="1" applyAlignment="1">
      <alignment horizontal="center"/>
    </xf>
    <xf numFmtId="0" fontId="8" fillId="2" borderId="53" xfId="0" applyFont="1" applyFill="1" applyBorder="1" applyAlignment="1">
      <alignment horizontal="center"/>
    </xf>
    <xf numFmtId="164" fontId="8" fillId="0" borderId="13" xfId="0" applyNumberFormat="1" applyFont="1" applyBorder="1" applyAlignment="1">
      <alignment horizontal="right" wrapText="1"/>
    </xf>
    <xf numFmtId="164" fontId="8" fillId="0" borderId="15" xfId="0" applyNumberFormat="1" applyFont="1" applyBorder="1" applyAlignment="1">
      <alignment horizontal="right" wrapText="1"/>
    </xf>
    <xf numFmtId="0" fontId="12" fillId="4" borderId="49" xfId="0" applyFont="1" applyFill="1" applyBorder="1" applyAlignment="1">
      <alignment horizontal="left"/>
    </xf>
    <xf numFmtId="0" fontId="12" fillId="4" borderId="44" xfId="0" applyFont="1" applyFill="1" applyBorder="1" applyAlignment="1">
      <alignment horizontal="left"/>
    </xf>
    <xf numFmtId="0" fontId="12" fillId="4" borderId="50" xfId="0" applyFont="1" applyFill="1" applyBorder="1" applyAlignment="1">
      <alignment horizontal="left"/>
    </xf>
    <xf numFmtId="0" fontId="12" fillId="0" borderId="7" xfId="0" applyFont="1" applyBorder="1" applyAlignment="1">
      <alignment horizontal="right"/>
    </xf>
    <xf numFmtId="0" fontId="12" fillId="0" borderId="8" xfId="0" applyFont="1" applyBorder="1" applyAlignment="1">
      <alignment horizontal="right"/>
    </xf>
    <xf numFmtId="14" fontId="3" fillId="2" borderId="6" xfId="1" applyNumberFormat="1" applyFont="1" applyFill="1" applyBorder="1" applyAlignment="1">
      <alignment horizontal="center" vertical="center" wrapText="1"/>
    </xf>
    <xf numFmtId="14" fontId="3" fillId="2" borderId="9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/>
    </xf>
    <xf numFmtId="0" fontId="3" fillId="2" borderId="8" xfId="1" applyFont="1" applyFill="1" applyBorder="1" applyAlignment="1">
      <alignment horizontal="left"/>
    </xf>
    <xf numFmtId="0" fontId="3" fillId="2" borderId="25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3" fillId="2" borderId="19" xfId="1" applyFont="1" applyFill="1" applyBorder="1" applyAlignment="1">
      <alignment horizontal="center"/>
    </xf>
    <xf numFmtId="0" fontId="3" fillId="2" borderId="34" xfId="1" applyFont="1" applyFill="1" applyBorder="1" applyAlignment="1">
      <alignment horizontal="center"/>
    </xf>
    <xf numFmtId="0" fontId="20" fillId="2" borderId="2" xfId="1" applyFont="1" applyFill="1" applyBorder="1" applyAlignment="1">
      <alignment horizontal="center"/>
    </xf>
    <xf numFmtId="0" fontId="20" fillId="2" borderId="5" xfId="1" applyFont="1" applyFill="1" applyBorder="1" applyAlignment="1">
      <alignment horizontal="center"/>
    </xf>
    <xf numFmtId="0" fontId="54" fillId="3" borderId="13" xfId="1" applyFont="1" applyFill="1" applyBorder="1" applyAlignment="1">
      <alignment horizontal="center" vertical="center" wrapText="1"/>
    </xf>
    <xf numFmtId="0" fontId="54" fillId="3" borderId="38" xfId="1" applyFont="1" applyFill="1" applyBorder="1" applyAlignment="1">
      <alignment horizontal="center" vertical="center" wrapText="1"/>
    </xf>
    <xf numFmtId="0" fontId="54" fillId="3" borderId="15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right" vertical="top" wrapText="1"/>
    </xf>
    <xf numFmtId="0" fontId="4" fillId="2" borderId="8" xfId="1" applyFont="1" applyFill="1" applyBorder="1" applyAlignment="1">
      <alignment horizontal="right" vertical="top" wrapText="1"/>
    </xf>
    <xf numFmtId="0" fontId="20" fillId="2" borderId="0" xfId="1" applyFont="1" applyFill="1" applyAlignment="1">
      <alignment horizontal="right"/>
    </xf>
    <xf numFmtId="0" fontId="21" fillId="2" borderId="12" xfId="1" applyFont="1" applyFill="1" applyBorder="1" applyAlignment="1">
      <alignment horizontal="center"/>
    </xf>
    <xf numFmtId="0" fontId="20" fillId="2" borderId="0" xfId="1" applyFont="1" applyFill="1"/>
    <xf numFmtId="0" fontId="4" fillId="4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47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right"/>
    </xf>
    <xf numFmtId="0" fontId="4" fillId="0" borderId="68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164" fontId="3" fillId="0" borderId="16" xfId="0" applyNumberFormat="1" applyFont="1" applyBorder="1" applyAlignment="1">
      <alignment horizontal="right"/>
    </xf>
    <xf numFmtId="0" fontId="3" fillId="2" borderId="20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center"/>
    </xf>
    <xf numFmtId="0" fontId="4" fillId="0" borderId="21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64" fontId="3" fillId="0" borderId="13" xfId="0" applyNumberFormat="1" applyFont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  <xf numFmtId="0" fontId="58" fillId="0" borderId="48" xfId="2" applyFont="1" applyBorder="1" applyAlignment="1">
      <alignment horizontal="left" wrapText="1"/>
    </xf>
    <xf numFmtId="0" fontId="58" fillId="0" borderId="68" xfId="2" applyFont="1" applyBorder="1" applyAlignment="1">
      <alignment horizontal="left" wrapText="1"/>
    </xf>
    <xf numFmtId="0" fontId="58" fillId="0" borderId="53" xfId="2" applyFont="1" applyBorder="1" applyAlignment="1">
      <alignment horizontal="left" wrapText="1"/>
    </xf>
    <xf numFmtId="164" fontId="3" fillId="0" borderId="13" xfId="0" applyNumberFormat="1" applyFont="1" applyBorder="1" applyAlignment="1">
      <alignment horizontal="right" wrapText="1"/>
    </xf>
    <xf numFmtId="164" fontId="3" fillId="0" borderId="15" xfId="0" applyNumberFormat="1" applyFont="1" applyBorder="1" applyAlignment="1">
      <alignment horizontal="right" wrapText="1"/>
    </xf>
    <xf numFmtId="0" fontId="4" fillId="0" borderId="7" xfId="0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164" fontId="3" fillId="0" borderId="23" xfId="0" applyNumberFormat="1" applyFont="1" applyBorder="1" applyAlignment="1">
      <alignment horizontal="center"/>
    </xf>
    <xf numFmtId="164" fontId="3" fillId="0" borderId="24" xfId="0" applyNumberFormat="1" applyFont="1" applyBorder="1" applyAlignment="1">
      <alignment horizontal="center"/>
    </xf>
    <xf numFmtId="0" fontId="4" fillId="4" borderId="49" xfId="0" applyFont="1" applyFill="1" applyBorder="1" applyAlignment="1">
      <alignment horizontal="left"/>
    </xf>
    <xf numFmtId="0" fontId="4" fillId="4" borderId="44" xfId="0" applyFont="1" applyFill="1" applyBorder="1" applyAlignment="1">
      <alignment horizontal="left"/>
    </xf>
    <xf numFmtId="0" fontId="4" fillId="4" borderId="50" xfId="0" applyFont="1" applyFill="1" applyBorder="1" applyAlignment="1">
      <alignment horizontal="left"/>
    </xf>
    <xf numFmtId="0" fontId="57" fillId="0" borderId="48" xfId="2" applyFont="1" applyBorder="1" applyAlignment="1">
      <alignment horizontal="left"/>
    </xf>
    <xf numFmtId="0" fontId="57" fillId="0" borderId="68" xfId="2" applyFont="1" applyBorder="1" applyAlignment="1">
      <alignment horizontal="left"/>
    </xf>
    <xf numFmtId="0" fontId="57" fillId="0" borderId="53" xfId="2" applyFont="1" applyBorder="1" applyAlignment="1">
      <alignment horizontal="left"/>
    </xf>
    <xf numFmtId="14" fontId="0" fillId="2" borderId="6" xfId="1" applyNumberFormat="1" applyFont="1" applyFill="1" applyBorder="1" applyAlignment="1">
      <alignment horizontal="center" vertical="center" wrapText="1"/>
    </xf>
    <xf numFmtId="0" fontId="4" fillId="4" borderId="52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/>
    </xf>
    <xf numFmtId="0" fontId="57" fillId="0" borderId="19" xfId="2" applyFont="1" applyBorder="1" applyAlignment="1">
      <alignment horizontal="left"/>
    </xf>
    <xf numFmtId="0" fontId="57" fillId="0" borderId="12" xfId="2" applyFont="1" applyBorder="1" applyAlignment="1">
      <alignment horizontal="left"/>
    </xf>
    <xf numFmtId="0" fontId="57" fillId="0" borderId="64" xfId="2" applyFont="1" applyBorder="1" applyAlignment="1">
      <alignment horizontal="left"/>
    </xf>
    <xf numFmtId="0" fontId="8" fillId="2" borderId="43" xfId="1" applyFont="1" applyFill="1" applyBorder="1" applyAlignment="1">
      <alignment horizontal="center"/>
    </xf>
    <xf numFmtId="0" fontId="8" fillId="2" borderId="32" xfId="1" applyFont="1" applyFill="1" applyBorder="1" applyAlignment="1">
      <alignment horizontal="center"/>
    </xf>
    <xf numFmtId="0" fontId="8" fillId="2" borderId="34" xfId="1" applyFont="1" applyFill="1" applyBorder="1" applyAlignment="1">
      <alignment horizontal="center"/>
    </xf>
    <xf numFmtId="0" fontId="9" fillId="2" borderId="36" xfId="1" applyFont="1" applyFill="1" applyBorder="1" applyAlignment="1">
      <alignment horizontal="center"/>
    </xf>
    <xf numFmtId="0" fontId="9" fillId="2" borderId="30" xfId="1" applyFont="1" applyFill="1" applyBorder="1" applyAlignment="1">
      <alignment horizontal="center"/>
    </xf>
    <xf numFmtId="0" fontId="7" fillId="0" borderId="48" xfId="0" applyFont="1" applyBorder="1" applyAlignment="1">
      <alignment horizontal="left"/>
    </xf>
    <xf numFmtId="0" fontId="7" fillId="0" borderId="68" xfId="0" applyFont="1" applyBorder="1" applyAlignment="1">
      <alignment horizontal="left"/>
    </xf>
    <xf numFmtId="0" fontId="7" fillId="0" borderId="53" xfId="0" applyFont="1" applyBorder="1" applyAlignment="1">
      <alignment horizontal="left"/>
    </xf>
    <xf numFmtId="14" fontId="3" fillId="2" borderId="5" xfId="1" applyNumberFormat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left"/>
    </xf>
    <xf numFmtId="0" fontId="4" fillId="4" borderId="2" xfId="4" applyFont="1" applyFill="1" applyBorder="1" applyAlignment="1">
      <alignment horizontal="center" vertical="center"/>
    </xf>
    <xf numFmtId="0" fontId="2" fillId="2" borderId="55" xfId="1" applyFill="1" applyBorder="1" applyAlignment="1">
      <alignment horizontal="center"/>
    </xf>
    <xf numFmtId="0" fontId="2" fillId="2" borderId="30" xfId="1" applyFill="1" applyBorder="1" applyAlignment="1">
      <alignment horizontal="center"/>
    </xf>
    <xf numFmtId="0" fontId="2" fillId="2" borderId="70" xfId="1" applyFill="1" applyBorder="1" applyAlignment="1">
      <alignment horizontal="center"/>
    </xf>
    <xf numFmtId="0" fontId="2" fillId="2" borderId="32" xfId="1" applyFill="1" applyBorder="1" applyAlignment="1">
      <alignment horizontal="center"/>
    </xf>
    <xf numFmtId="0" fontId="54" fillId="2" borderId="5" xfId="1" applyFont="1" applyFill="1" applyBorder="1" applyAlignment="1">
      <alignment horizontal="center"/>
    </xf>
    <xf numFmtId="0" fontId="60" fillId="2" borderId="5" xfId="1" applyFont="1" applyFill="1" applyBorder="1" applyAlignment="1">
      <alignment horizontal="left" vertical="top" wrapText="1"/>
    </xf>
    <xf numFmtId="0" fontId="4" fillId="4" borderId="1" xfId="4" applyFont="1" applyFill="1" applyBorder="1" applyAlignment="1">
      <alignment horizontal="center" vertical="center"/>
    </xf>
    <xf numFmtId="0" fontId="4" fillId="4" borderId="7" xfId="4" applyFont="1" applyFill="1" applyBorder="1" applyAlignment="1">
      <alignment horizontal="center" vertical="center"/>
    </xf>
    <xf numFmtId="0" fontId="4" fillId="4" borderId="1" xfId="4" applyFont="1" applyFill="1" applyBorder="1" applyAlignment="1">
      <alignment horizontal="center" vertical="center" wrapText="1"/>
    </xf>
    <xf numFmtId="0" fontId="4" fillId="4" borderId="7" xfId="4" applyFont="1" applyFill="1" applyBorder="1" applyAlignment="1">
      <alignment horizontal="center" vertical="center" wrapText="1"/>
    </xf>
    <xf numFmtId="0" fontId="4" fillId="4" borderId="8" xfId="4" applyFont="1" applyFill="1" applyBorder="1" applyAlignment="1">
      <alignment horizontal="center" vertical="center"/>
    </xf>
    <xf numFmtId="0" fontId="7" fillId="0" borderId="5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7" fillId="0" borderId="13" xfId="0" applyFont="1" applyBorder="1" applyAlignment="1">
      <alignment horizontal="right"/>
    </xf>
    <xf numFmtId="0" fontId="7" fillId="0" borderId="38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1" fontId="62" fillId="0" borderId="5" xfId="0" applyNumberFormat="1" applyFont="1" applyBorder="1" applyAlignment="1">
      <alignment horizontal="center"/>
    </xf>
    <xf numFmtId="0" fontId="16" fillId="5" borderId="5" xfId="0" applyFont="1" applyFill="1" applyBorder="1" applyAlignment="1">
      <alignment horizontal="left"/>
    </xf>
    <xf numFmtId="0" fontId="15" fillId="19" borderId="5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54" fillId="3" borderId="5" xfId="1" applyFont="1" applyFill="1" applyBorder="1" applyAlignment="1">
      <alignment horizontal="center" vertical="center" wrapText="1"/>
    </xf>
    <xf numFmtId="0" fontId="20" fillId="2" borderId="10" xfId="1" applyFont="1" applyFill="1" applyBorder="1" applyAlignment="1">
      <alignment horizontal="right"/>
    </xf>
    <xf numFmtId="0" fontId="4" fillId="4" borderId="1" xfId="2" applyFont="1" applyFill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/>
    </xf>
    <xf numFmtId="0" fontId="4" fillId="4" borderId="8" xfId="2" applyFont="1" applyFill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/>
    </xf>
    <xf numFmtId="1" fontId="8" fillId="0" borderId="6" xfId="2" applyNumberFormat="1" applyFont="1" applyBorder="1" applyAlignment="1">
      <alignment horizontal="center"/>
    </xf>
    <xf numFmtId="0" fontId="4" fillId="0" borderId="48" xfId="2" applyFont="1" applyBorder="1" applyAlignment="1">
      <alignment horizontal="right"/>
    </xf>
    <xf numFmtId="0" fontId="4" fillId="0" borderId="68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164" fontId="3" fillId="0" borderId="16" xfId="2" applyNumberFormat="1" applyBorder="1" applyAlignment="1">
      <alignment horizontal="right"/>
    </xf>
    <xf numFmtId="0" fontId="3" fillId="2" borderId="20" xfId="2" applyFill="1" applyBorder="1" applyAlignment="1">
      <alignment horizontal="center"/>
    </xf>
    <xf numFmtId="0" fontId="3" fillId="2" borderId="53" xfId="2" applyFill="1" applyBorder="1" applyAlignment="1">
      <alignment horizontal="center"/>
    </xf>
    <xf numFmtId="0" fontId="4" fillId="0" borderId="21" xfId="2" applyFont="1" applyBorder="1" applyAlignment="1">
      <alignment horizontal="right"/>
    </xf>
    <xf numFmtId="0" fontId="4" fillId="0" borderId="38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3" fillId="0" borderId="5" xfId="2" applyBorder="1" applyAlignment="1">
      <alignment horizontal="right"/>
    </xf>
    <xf numFmtId="164" fontId="3" fillId="0" borderId="13" xfId="2" applyNumberFormat="1" applyBorder="1" applyAlignment="1">
      <alignment horizontal="center"/>
    </xf>
    <xf numFmtId="164" fontId="3" fillId="0" borderId="22" xfId="2" applyNumberFormat="1" applyBorder="1" applyAlignment="1">
      <alignment horizontal="center"/>
    </xf>
    <xf numFmtId="164" fontId="3" fillId="0" borderId="13" xfId="2" applyNumberFormat="1" applyBorder="1" applyAlignment="1">
      <alignment horizontal="right" wrapText="1"/>
    </xf>
    <xf numFmtId="164" fontId="3" fillId="0" borderId="15" xfId="2" applyNumberFormat="1" applyBorder="1" applyAlignment="1">
      <alignment horizontal="right" wrapText="1"/>
    </xf>
    <xf numFmtId="0" fontId="4" fillId="0" borderId="7" xfId="2" applyFont="1" applyBorder="1" applyAlignment="1">
      <alignment horizontal="right"/>
    </xf>
    <xf numFmtId="0" fontId="4" fillId="0" borderId="39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0" fontId="3" fillId="0" borderId="8" xfId="2" applyBorder="1" applyAlignment="1">
      <alignment horizontal="right"/>
    </xf>
    <xf numFmtId="164" fontId="3" fillId="0" borderId="23" xfId="2" applyNumberFormat="1" applyBorder="1" applyAlignment="1">
      <alignment horizontal="center"/>
    </xf>
    <xf numFmtId="164" fontId="3" fillId="0" borderId="24" xfId="2" applyNumberFormat="1" applyBorder="1" applyAlignment="1">
      <alignment horizontal="center"/>
    </xf>
    <xf numFmtId="0" fontId="4" fillId="4" borderId="49" xfId="2" applyFont="1" applyFill="1" applyBorder="1" applyAlignment="1">
      <alignment horizontal="left"/>
    </xf>
    <xf numFmtId="0" fontId="4" fillId="4" borderId="44" xfId="2" applyFont="1" applyFill="1" applyBorder="1" applyAlignment="1">
      <alignment horizontal="left"/>
    </xf>
    <xf numFmtId="0" fontId="4" fillId="4" borderId="50" xfId="2" applyFont="1" applyFill="1" applyBorder="1" applyAlignment="1">
      <alignment horizontal="left"/>
    </xf>
    <xf numFmtId="0" fontId="12" fillId="4" borderId="49" xfId="2" applyFont="1" applyFill="1" applyBorder="1" applyAlignment="1">
      <alignment horizontal="left"/>
    </xf>
    <xf numFmtId="0" fontId="12" fillId="4" borderId="44" xfId="2" applyFont="1" applyFill="1" applyBorder="1" applyAlignment="1">
      <alignment horizontal="left"/>
    </xf>
    <xf numFmtId="0" fontId="12" fillId="4" borderId="50" xfId="2" applyFont="1" applyFill="1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50" xfId="0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21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7" fillId="0" borderId="22" xfId="0" applyFont="1" applyBorder="1" applyAlignment="1">
      <alignment horizontal="left" wrapText="1"/>
    </xf>
    <xf numFmtId="0" fontId="6" fillId="0" borderId="41" xfId="0" applyFont="1" applyBorder="1" applyAlignment="1">
      <alignment horizontal="left"/>
    </xf>
    <xf numFmtId="0" fontId="6" fillId="0" borderId="42" xfId="0" applyFont="1" applyBorder="1" applyAlignment="1">
      <alignment horizontal="left"/>
    </xf>
    <xf numFmtId="0" fontId="6" fillId="0" borderId="24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12" fillId="4" borderId="52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2" fillId="4" borderId="25" xfId="0" applyFont="1" applyFill="1" applyBorder="1" applyAlignment="1">
      <alignment horizontal="left"/>
    </xf>
    <xf numFmtId="0" fontId="12" fillId="4" borderId="14" xfId="0" applyFont="1" applyFill="1" applyBorder="1" applyAlignment="1">
      <alignment horizontal="left"/>
    </xf>
    <xf numFmtId="0" fontId="12" fillId="4" borderId="54" xfId="0" applyFont="1" applyFill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2" fillId="20" borderId="4" xfId="0" applyFont="1" applyFill="1" applyBorder="1" applyAlignment="1">
      <alignment horizontal="left"/>
    </xf>
    <xf numFmtId="0" fontId="12" fillId="20" borderId="15" xfId="0" applyFont="1" applyFill="1" applyBorder="1" applyAlignment="1">
      <alignment horizontal="left"/>
    </xf>
    <xf numFmtId="0" fontId="12" fillId="20" borderId="5" xfId="0" applyFont="1" applyFill="1" applyBorder="1" applyAlignment="1">
      <alignment horizontal="left"/>
    </xf>
    <xf numFmtId="0" fontId="12" fillId="20" borderId="6" xfId="0" applyFont="1" applyFill="1" applyBorder="1" applyAlignment="1">
      <alignment horizontal="left"/>
    </xf>
    <xf numFmtId="0" fontId="8" fillId="2" borderId="71" xfId="1" applyFont="1" applyFill="1" applyBorder="1" applyAlignment="1">
      <alignment horizontal="center"/>
    </xf>
    <xf numFmtId="0" fontId="8" fillId="2" borderId="70" xfId="1" applyFont="1" applyFill="1" applyBorder="1" applyAlignment="1">
      <alignment horizontal="center"/>
    </xf>
    <xf numFmtId="0" fontId="8" fillId="2" borderId="72" xfId="1" applyFont="1" applyFill="1" applyBorder="1" applyAlignment="1">
      <alignment horizontal="center"/>
    </xf>
    <xf numFmtId="0" fontId="12" fillId="4" borderId="36" xfId="0" applyFont="1" applyFill="1" applyBorder="1" applyAlignment="1">
      <alignment horizontal="center" vertical="center"/>
    </xf>
    <xf numFmtId="0" fontId="12" fillId="4" borderId="39" xfId="0" applyFont="1" applyFill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50" fillId="0" borderId="49" xfId="0" applyFont="1" applyBorder="1" applyAlignment="1">
      <alignment horizontal="right" vertical="center"/>
    </xf>
    <xf numFmtId="0" fontId="50" fillId="0" borderId="44" xfId="0" applyFont="1" applyBorder="1" applyAlignment="1">
      <alignment horizontal="right" vertical="center"/>
    </xf>
    <xf numFmtId="0" fontId="50" fillId="0" borderId="50" xfId="0" applyFont="1" applyBorder="1" applyAlignment="1">
      <alignment horizontal="right" vertical="center"/>
    </xf>
    <xf numFmtId="0" fontId="51" fillId="0" borderId="0" xfId="0" applyFont="1" applyAlignment="1">
      <alignment horizontal="right"/>
    </xf>
    <xf numFmtId="0" fontId="41" fillId="0" borderId="12" xfId="0" applyFont="1" applyBorder="1" applyAlignment="1">
      <alignment horizontal="right"/>
    </xf>
    <xf numFmtId="0" fontId="33" fillId="0" borderId="0" xfId="0" applyFont="1" applyAlignment="1">
      <alignment horizontal="right" vertical="center"/>
    </xf>
    <xf numFmtId="0" fontId="39" fillId="12" borderId="49" xfId="0" applyFont="1" applyFill="1" applyBorder="1" applyAlignment="1">
      <alignment horizontal="right"/>
    </xf>
    <xf numFmtId="0" fontId="39" fillId="12" borderId="44" xfId="0" applyFont="1" applyFill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3" fillId="0" borderId="12" xfId="0" applyFont="1" applyBorder="1" applyAlignment="1">
      <alignment horizontal="right" vertical="center"/>
    </xf>
    <xf numFmtId="0" fontId="23" fillId="0" borderId="64" xfId="0" applyFont="1" applyBorder="1" applyAlignment="1">
      <alignment horizontal="right" vertical="center"/>
    </xf>
    <xf numFmtId="0" fontId="23" fillId="14" borderId="49" xfId="0" applyFont="1" applyFill="1" applyBorder="1" applyAlignment="1">
      <alignment horizontal="right" vertical="center"/>
    </xf>
    <xf numFmtId="0" fontId="23" fillId="14" borderId="44" xfId="0" applyFont="1" applyFill="1" applyBorder="1" applyAlignment="1">
      <alignment horizontal="right" vertical="center"/>
    </xf>
    <xf numFmtId="0" fontId="23" fillId="14" borderId="50" xfId="0" applyFont="1" applyFill="1" applyBorder="1" applyAlignment="1">
      <alignment horizontal="right" vertical="center"/>
    </xf>
    <xf numFmtId="4" fontId="48" fillId="0" borderId="0" xfId="25" applyNumberFormat="1" applyFont="1" applyFill="1" applyAlignment="1">
      <alignment horizontal="center" vertical="center" wrapText="1"/>
    </xf>
    <xf numFmtId="0" fontId="42" fillId="0" borderId="5" xfId="0" applyFont="1" applyBorder="1" applyAlignment="1">
      <alignment horizontal="right" vertical="center"/>
    </xf>
    <xf numFmtId="0" fontId="43" fillId="0" borderId="10" xfId="0" applyFont="1" applyBorder="1" applyAlignment="1">
      <alignment horizontal="right"/>
    </xf>
    <xf numFmtId="0" fontId="43" fillId="0" borderId="0" xfId="0" applyFont="1" applyAlignment="1">
      <alignment horizontal="right"/>
    </xf>
    <xf numFmtId="0" fontId="43" fillId="0" borderId="11" xfId="0" applyFont="1" applyBorder="1" applyAlignment="1">
      <alignment horizontal="right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34" fillId="0" borderId="25" xfId="0" applyFont="1" applyBorder="1" applyAlignment="1">
      <alignment horizontal="right"/>
    </xf>
    <xf numFmtId="0" fontId="34" fillId="0" borderId="14" xfId="0" applyFont="1" applyBorder="1" applyAlignment="1">
      <alignment horizontal="right"/>
    </xf>
    <xf numFmtId="0" fontId="16" fillId="0" borderId="5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 wrapText="1"/>
    </xf>
    <xf numFmtId="0" fontId="29" fillId="0" borderId="50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right" vertical="center" wrapText="1"/>
    </xf>
    <xf numFmtId="0" fontId="7" fillId="0" borderId="41" xfId="2" applyFont="1" applyBorder="1" applyAlignment="1">
      <alignment horizontal="left"/>
    </xf>
    <xf numFmtId="0" fontId="7" fillId="0" borderId="42" xfId="2" applyFont="1" applyBorder="1" applyAlignment="1">
      <alignment horizontal="left"/>
    </xf>
    <xf numFmtId="0" fontId="12" fillId="9" borderId="25" xfId="2" applyFont="1" applyFill="1" applyBorder="1" applyAlignment="1">
      <alignment horizontal="center"/>
    </xf>
    <xf numFmtId="0" fontId="12" fillId="9" borderId="14" xfId="2" applyFont="1" applyFill="1" applyBorder="1" applyAlignment="1">
      <alignment horizontal="center"/>
    </xf>
    <xf numFmtId="0" fontId="8" fillId="7" borderId="13" xfId="2" applyFont="1" applyFill="1" applyBorder="1" applyAlignment="1">
      <alignment horizontal="left"/>
    </xf>
    <xf numFmtId="0" fontId="8" fillId="7" borderId="38" xfId="2" applyFont="1" applyFill="1" applyBorder="1" applyAlignment="1">
      <alignment horizontal="left"/>
    </xf>
    <xf numFmtId="0" fontId="8" fillId="7" borderId="15" xfId="2" applyFont="1" applyFill="1" applyBorder="1" applyAlignment="1">
      <alignment horizontal="left"/>
    </xf>
    <xf numFmtId="0" fontId="12" fillId="0" borderId="41" xfId="2" applyFont="1" applyBorder="1" applyAlignment="1">
      <alignment horizontal="right"/>
    </xf>
    <xf numFmtId="0" fontId="12" fillId="0" borderId="42" xfId="2" applyFont="1" applyBorder="1" applyAlignment="1">
      <alignment horizontal="right"/>
    </xf>
    <xf numFmtId="0" fontId="12" fillId="0" borderId="39" xfId="2" applyFont="1" applyBorder="1" applyAlignment="1">
      <alignment horizontal="right"/>
    </xf>
    <xf numFmtId="0" fontId="8" fillId="0" borderId="23" xfId="2" applyFont="1" applyBorder="1" applyAlignment="1">
      <alignment horizontal="right"/>
    </xf>
    <xf numFmtId="0" fontId="8" fillId="0" borderId="39" xfId="2" applyFont="1" applyBorder="1" applyAlignment="1">
      <alignment horizontal="right"/>
    </xf>
    <xf numFmtId="0" fontId="8" fillId="0" borderId="23" xfId="2" applyFont="1" applyBorder="1" applyAlignment="1">
      <alignment horizontal="center"/>
    </xf>
    <xf numFmtId="0" fontId="8" fillId="0" borderId="42" xfId="2" applyFont="1" applyBorder="1" applyAlignment="1">
      <alignment horizontal="center"/>
    </xf>
    <xf numFmtId="0" fontId="12" fillId="9" borderId="49" xfId="2" applyFont="1" applyFill="1" applyBorder="1" applyAlignment="1">
      <alignment horizontal="left"/>
    </xf>
    <xf numFmtId="0" fontId="12" fillId="9" borderId="44" xfId="2" applyFont="1" applyFill="1" applyBorder="1" applyAlignment="1">
      <alignment horizontal="left"/>
    </xf>
    <xf numFmtId="0" fontId="7" fillId="0" borderId="27" xfId="2" applyFont="1" applyBorder="1" applyAlignment="1">
      <alignment horizontal="left"/>
    </xf>
    <xf numFmtId="0" fontId="7" fillId="0" borderId="28" xfId="2" applyFont="1" applyBorder="1" applyAlignment="1">
      <alignment horizontal="left"/>
    </xf>
    <xf numFmtId="0" fontId="12" fillId="0" borderId="21" xfId="2" applyFont="1" applyBorder="1" applyAlignment="1">
      <alignment horizontal="right"/>
    </xf>
    <xf numFmtId="0" fontId="12" fillId="0" borderId="38" xfId="2" applyFont="1" applyBorder="1" applyAlignment="1">
      <alignment horizontal="right"/>
    </xf>
    <xf numFmtId="0" fontId="12" fillId="0" borderId="15" xfId="2" applyFont="1" applyBorder="1" applyAlignment="1">
      <alignment horizontal="right"/>
    </xf>
    <xf numFmtId="0" fontId="8" fillId="0" borderId="13" xfId="2" applyFont="1" applyBorder="1" applyAlignment="1">
      <alignment horizontal="right"/>
    </xf>
    <xf numFmtId="0" fontId="8" fillId="0" borderId="15" xfId="2" applyFont="1" applyBorder="1" applyAlignment="1">
      <alignment horizontal="right"/>
    </xf>
    <xf numFmtId="0" fontId="8" fillId="0" borderId="13" xfId="2" applyFont="1" applyBorder="1" applyAlignment="1">
      <alignment horizontal="center"/>
    </xf>
    <xf numFmtId="0" fontId="8" fillId="0" borderId="38" xfId="2" applyFont="1" applyBorder="1" applyAlignment="1">
      <alignment horizontal="center"/>
    </xf>
    <xf numFmtId="0" fontId="8" fillId="0" borderId="13" xfId="2" applyFont="1" applyBorder="1" applyAlignment="1">
      <alignment horizontal="right" wrapText="1"/>
    </xf>
    <xf numFmtId="0" fontId="8" fillId="0" borderId="15" xfId="2" applyFont="1" applyBorder="1" applyAlignment="1">
      <alignment horizontal="right" wrapText="1"/>
    </xf>
    <xf numFmtId="0" fontId="12" fillId="0" borderId="27" xfId="2" applyFont="1" applyBorder="1" applyAlignment="1">
      <alignment horizontal="right"/>
    </xf>
    <xf numFmtId="0" fontId="12" fillId="0" borderId="28" xfId="2" applyFont="1" applyBorder="1" applyAlignment="1">
      <alignment horizontal="right"/>
    </xf>
    <xf numFmtId="0" fontId="12" fillId="0" borderId="36" xfId="2" applyFont="1" applyBorder="1" applyAlignment="1">
      <alignment horizontal="right"/>
    </xf>
    <xf numFmtId="0" fontId="8" fillId="0" borderId="37" xfId="2" applyFont="1" applyBorder="1" applyAlignment="1">
      <alignment horizontal="right"/>
    </xf>
    <xf numFmtId="0" fontId="8" fillId="0" borderId="36" xfId="2" applyFont="1" applyBorder="1" applyAlignment="1">
      <alignment horizontal="right"/>
    </xf>
    <xf numFmtId="0" fontId="8" fillId="7" borderId="37" xfId="2" applyFont="1" applyFill="1" applyBorder="1" applyAlignment="1">
      <alignment horizontal="center"/>
    </xf>
    <xf numFmtId="0" fontId="8" fillId="7" borderId="28" xfId="2" applyFont="1" applyFill="1" applyBorder="1" applyAlignment="1">
      <alignment horizontal="center"/>
    </xf>
    <xf numFmtId="0" fontId="20" fillId="7" borderId="12" xfId="2" applyFont="1" applyFill="1" applyBorder="1" applyAlignment="1">
      <alignment horizontal="right"/>
    </xf>
    <xf numFmtId="0" fontId="21" fillId="7" borderId="42" xfId="2" applyFont="1" applyFill="1" applyBorder="1" applyAlignment="1">
      <alignment horizontal="center"/>
    </xf>
    <xf numFmtId="0" fontId="20" fillId="7" borderId="12" xfId="2" applyFont="1" applyFill="1" applyBorder="1"/>
    <xf numFmtId="0" fontId="12" fillId="9" borderId="46" xfId="2" applyFont="1" applyFill="1" applyBorder="1" applyAlignment="1">
      <alignment horizontal="center" vertical="center"/>
    </xf>
    <xf numFmtId="0" fontId="12" fillId="9" borderId="40" xfId="2" applyFont="1" applyFill="1" applyBorder="1" applyAlignment="1">
      <alignment horizontal="center" vertical="center"/>
    </xf>
    <xf numFmtId="0" fontId="12" fillId="9" borderId="46" xfId="2" applyFont="1" applyFill="1" applyBorder="1" applyAlignment="1">
      <alignment horizontal="center" vertical="center" wrapText="1"/>
    </xf>
    <xf numFmtId="0" fontId="12" fillId="9" borderId="40" xfId="2" applyFont="1" applyFill="1" applyBorder="1" applyAlignment="1">
      <alignment horizontal="center" vertical="center" wrapText="1"/>
    </xf>
    <xf numFmtId="0" fontId="12" fillId="9" borderId="47" xfId="2" applyFont="1" applyFill="1" applyBorder="1" applyAlignment="1">
      <alignment horizontal="center" vertical="center"/>
    </xf>
    <xf numFmtId="0" fontId="12" fillId="9" borderId="16" xfId="2" applyFont="1" applyFill="1" applyBorder="1" applyAlignment="1">
      <alignment horizontal="center" vertical="center"/>
    </xf>
    <xf numFmtId="0" fontId="12" fillId="9" borderId="37" xfId="2" applyFont="1" applyFill="1" applyBorder="1" applyAlignment="1">
      <alignment horizontal="center" vertical="center"/>
    </xf>
    <xf numFmtId="0" fontId="12" fillId="9" borderId="36" xfId="2" applyFont="1" applyFill="1" applyBorder="1" applyAlignment="1">
      <alignment horizontal="center" vertical="center"/>
    </xf>
    <xf numFmtId="14" fontId="8" fillId="7" borderId="5" xfId="2" applyNumberFormat="1" applyFont="1" applyFill="1" applyBorder="1" applyAlignment="1">
      <alignment horizontal="center" vertical="center" wrapText="1"/>
    </xf>
    <xf numFmtId="0" fontId="8" fillId="7" borderId="37" xfId="2" applyFont="1" applyFill="1" applyBorder="1" applyAlignment="1">
      <alignment horizontal="left"/>
    </xf>
    <xf numFmtId="0" fontId="8" fillId="7" borderId="28" xfId="2" applyFont="1" applyFill="1" applyBorder="1" applyAlignment="1">
      <alignment horizontal="left"/>
    </xf>
    <xf numFmtId="0" fontId="8" fillId="7" borderId="25" xfId="2" applyFont="1" applyFill="1" applyBorder="1" applyAlignment="1">
      <alignment horizontal="center"/>
    </xf>
    <xf numFmtId="0" fontId="8" fillId="7" borderId="43" xfId="2" applyFont="1" applyFill="1" applyBorder="1" applyAlignment="1">
      <alignment horizontal="center"/>
    </xf>
    <xf numFmtId="0" fontId="8" fillId="7" borderId="10" xfId="2" applyFont="1" applyFill="1" applyBorder="1" applyAlignment="1">
      <alignment horizontal="center"/>
    </xf>
    <xf numFmtId="0" fontId="8" fillId="7" borderId="32" xfId="2" applyFont="1" applyFill="1" applyBorder="1" applyAlignment="1">
      <alignment horizontal="center"/>
    </xf>
    <xf numFmtId="0" fontId="9" fillId="7" borderId="28" xfId="2" applyFont="1" applyFill="1" applyBorder="1" applyAlignment="1">
      <alignment horizontal="center"/>
    </xf>
    <xf numFmtId="0" fontId="9" fillId="7" borderId="36" xfId="2" applyFont="1" applyFill="1" applyBorder="1" applyAlignment="1">
      <alignment horizontal="center"/>
    </xf>
    <xf numFmtId="0" fontId="9" fillId="7" borderId="42" xfId="2" applyFont="1" applyFill="1" applyBorder="1" applyAlignment="1">
      <alignment horizontal="center"/>
    </xf>
    <xf numFmtId="0" fontId="9" fillId="7" borderId="39" xfId="2" applyFont="1" applyFill="1" applyBorder="1" applyAlignment="1">
      <alignment horizontal="center"/>
    </xf>
    <xf numFmtId="0" fontId="11" fillId="8" borderId="44" xfId="2" applyFont="1" applyFill="1" applyBorder="1" applyAlignment="1">
      <alignment horizontal="center"/>
    </xf>
    <xf numFmtId="0" fontId="12" fillId="7" borderId="26" xfId="2" applyFont="1" applyFill="1" applyBorder="1" applyAlignment="1">
      <alignment horizontal="right" vertical="top" wrapText="1"/>
    </xf>
    <xf numFmtId="0" fontId="12" fillId="7" borderId="45" xfId="2" applyFont="1" applyFill="1" applyBorder="1" applyAlignment="1">
      <alignment horizontal="right" vertical="top" wrapText="1"/>
    </xf>
    <xf numFmtId="0" fontId="12" fillId="7" borderId="16" xfId="2" applyFont="1" applyFill="1" applyBorder="1" applyAlignment="1">
      <alignment horizontal="right" vertical="top" wrapText="1"/>
    </xf>
    <xf numFmtId="0" fontId="8" fillId="0" borderId="40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46" xfId="1" applyFont="1" applyFill="1" applyBorder="1" applyAlignment="1">
      <alignment horizontal="center"/>
    </xf>
    <xf numFmtId="0" fontId="8" fillId="2" borderId="65" xfId="1" applyFont="1" applyFill="1" applyBorder="1" applyAlignment="1">
      <alignment horizontal="center"/>
    </xf>
    <xf numFmtId="0" fontId="11" fillId="3" borderId="57" xfId="1" applyFont="1" applyFill="1" applyBorder="1" applyAlignment="1">
      <alignment horizontal="center"/>
    </xf>
    <xf numFmtId="0" fontId="11" fillId="3" borderId="58" xfId="1" applyFont="1" applyFill="1" applyBorder="1" applyAlignment="1">
      <alignment horizontal="center"/>
    </xf>
    <xf numFmtId="0" fontId="11" fillId="3" borderId="59" xfId="1" applyFont="1" applyFill="1" applyBorder="1" applyAlignment="1">
      <alignment horizontal="center"/>
    </xf>
    <xf numFmtId="0" fontId="8" fillId="2" borderId="55" xfId="1" applyFont="1" applyFill="1" applyBorder="1" applyAlignment="1">
      <alignment horizontal="left"/>
    </xf>
    <xf numFmtId="0" fontId="8" fillId="2" borderId="56" xfId="1" applyFont="1" applyFill="1" applyBorder="1" applyAlignment="1">
      <alignment horizontal="left"/>
    </xf>
    <xf numFmtId="0" fontId="8" fillId="2" borderId="30" xfId="1" applyFont="1" applyFill="1" applyBorder="1" applyAlignment="1">
      <alignment horizontal="left"/>
    </xf>
    <xf numFmtId="0" fontId="12" fillId="4" borderId="40" xfId="0" applyFont="1" applyFill="1" applyBorder="1" applyAlignment="1">
      <alignment horizontal="center" vertical="center"/>
    </xf>
    <xf numFmtId="0" fontId="20" fillId="7" borderId="13" xfId="2" applyFont="1" applyFill="1" applyBorder="1" applyAlignment="1">
      <alignment horizontal="right"/>
    </xf>
    <xf numFmtId="0" fontId="20" fillId="7" borderId="38" xfId="2" applyFont="1" applyFill="1" applyBorder="1" applyAlignment="1">
      <alignment horizontal="right"/>
    </xf>
    <xf numFmtId="0" fontId="21" fillId="7" borderId="38" xfId="2" applyFont="1" applyFill="1" applyBorder="1" applyAlignment="1">
      <alignment horizontal="center"/>
    </xf>
    <xf numFmtId="0" fontId="20" fillId="7" borderId="38" xfId="2" applyFont="1" applyFill="1" applyBorder="1"/>
  </cellXfs>
  <cellStyles count="69">
    <cellStyle name="Millares" xfId="24" builtinId="3"/>
    <cellStyle name="Millares [0]" xfId="25" builtinId="6"/>
    <cellStyle name="Millares [0] 2" xfId="5" xr:uid="{5646DCB0-6043-4A61-B39A-88C6103E5C96}"/>
    <cellStyle name="Millares [0] 2 2" xfId="15" xr:uid="{176E4104-2E22-4965-BBB5-D645FAA50B09}"/>
    <cellStyle name="Millares [0] 2 2 2" xfId="32" xr:uid="{29A6EE3E-ECEF-4F6A-B976-D7EAFC2CAB64}"/>
    <cellStyle name="Millares [0] 2 2 2 2" xfId="60" xr:uid="{2B2084C0-3D2C-4333-8497-4172B5F581B8}"/>
    <cellStyle name="Millares [0] 2 2 3" xfId="45" xr:uid="{5D4A5B7C-D4B8-4508-A9CF-C12975DCCE38}"/>
    <cellStyle name="Millares [0] 2 3" xfId="21" xr:uid="{E979214E-0DFD-446C-889E-B942A1C9B7B0}"/>
    <cellStyle name="Millares [0] 2 3 2" xfId="37" xr:uid="{69B9ECC0-AFDF-46A1-8AC3-6BD967126069}"/>
    <cellStyle name="Millares [0] 2 3 2 2" xfId="65" xr:uid="{1A783EB3-F07A-4909-AE66-DEADC0F788D1}"/>
    <cellStyle name="Millares [0] 2 3 3" xfId="50" xr:uid="{171FA9F4-1028-4DA6-AB77-E1FED7D501DD}"/>
    <cellStyle name="Millares [0] 2 4" xfId="27" xr:uid="{640286C9-2EE1-4EDE-BABE-7574F48A7F25}"/>
    <cellStyle name="Millares [0] 2 4 2" xfId="55" xr:uid="{3B8433AC-77A6-4B09-938A-B6027B0B1167}"/>
    <cellStyle name="Millares [0] 2 5" xfId="40" xr:uid="{C42CB5BD-5CFF-408E-8641-803A4149C343}"/>
    <cellStyle name="Millares [0] 3" xfId="19" xr:uid="{6E6341F2-3A28-4544-886A-8678390EF512}"/>
    <cellStyle name="Millares [0] 3 2" xfId="35" xr:uid="{7E7A68DF-B889-4980-B938-C3953CC974E8}"/>
    <cellStyle name="Millares [0] 3 2 2" xfId="63" xr:uid="{8E8B6BA6-CE13-494D-8D58-4DBCB8A60A07}"/>
    <cellStyle name="Millares [0] 3 2 3 2 3" xfId="13" xr:uid="{A200946A-F575-4637-8086-4FB1C7D0E715}"/>
    <cellStyle name="Millares [0] 3 2 3 2 3 2" xfId="30" xr:uid="{84D9E14E-48B2-410C-A20F-BFFA7C378158}"/>
    <cellStyle name="Millares [0] 3 2 3 2 3 2 2" xfId="58" xr:uid="{89261D02-4656-49F5-ADBC-F6ECE1524F15}"/>
    <cellStyle name="Millares [0] 3 2 3 2 3 3" xfId="43" xr:uid="{6C1E93C0-068F-40D4-9C96-DB717F67853A}"/>
    <cellStyle name="Millares [0] 3 3" xfId="48" xr:uid="{27E26ED4-6D41-4AD4-932A-E76340A35C39}"/>
    <cellStyle name="Millares [0] 4" xfId="54" xr:uid="{272DDD94-FE56-4092-B82C-68C95C6E3238}"/>
    <cellStyle name="Millares 2" xfId="6" xr:uid="{0B78BA11-F876-4567-9AB3-00E745F6378E}"/>
    <cellStyle name="Millares 2 2" xfId="14" xr:uid="{EA84FC74-4AB2-4793-BE69-48883EA2386E}"/>
    <cellStyle name="Millares 2 2 2" xfId="31" xr:uid="{6F0D1668-D3A0-474C-BB0A-4CD6984968A1}"/>
    <cellStyle name="Millares 2 2 2 2" xfId="59" xr:uid="{066EEB9B-6671-47EB-80CF-2DC62B204BCC}"/>
    <cellStyle name="Millares 2 2 3" xfId="44" xr:uid="{64D10D1E-BEF2-457F-B674-38F8E01077C7}"/>
    <cellStyle name="Millares 2 3" xfId="20" xr:uid="{BB8EBB57-561B-41C8-A630-4B03E7A309B4}"/>
    <cellStyle name="Millares 2 3 2" xfId="36" xr:uid="{A1026F20-A19C-4E21-9A8C-D84E18A762C6}"/>
    <cellStyle name="Millares 2 3 2 2" xfId="64" xr:uid="{07600EC7-8F94-4FAD-8DC4-971E9BDA74C5}"/>
    <cellStyle name="Millares 2 3 3" xfId="49" xr:uid="{9A1CC141-1751-461C-B000-F435ED462F13}"/>
    <cellStyle name="Millares 2 4" xfId="28" xr:uid="{592846C4-4C81-4B3F-80E0-9E6D228397ED}"/>
    <cellStyle name="Millares 2 4 2" xfId="56" xr:uid="{9EBCF77F-3AA9-4428-BD93-56EBB58F626A}"/>
    <cellStyle name="Millares 2 5" xfId="41" xr:uid="{A9CF1A86-44D7-4655-A1E3-8D14B9E5146E}"/>
    <cellStyle name="Millares 3" xfId="7" xr:uid="{CBAD2710-9496-4DFB-9AEC-53E9DB70EE94}"/>
    <cellStyle name="Millares 3 2" xfId="16" xr:uid="{D7B456EC-B7C8-422D-94E2-D9CCA08ADFCB}"/>
    <cellStyle name="Millares 3 2 2" xfId="33" xr:uid="{11CA1947-FDB6-4386-A68B-CE5BD2093195}"/>
    <cellStyle name="Millares 3 2 2 2" xfId="61" xr:uid="{18FDC3F8-AF71-4018-BA39-172CF38DB603}"/>
    <cellStyle name="Millares 3 2 3" xfId="46" xr:uid="{A929B896-39E7-444E-AE3C-1D8DC68A15C8}"/>
    <cellStyle name="Millares 3 3" xfId="22" xr:uid="{D6357D4A-F61F-414A-814C-76FCA71B0449}"/>
    <cellStyle name="Millares 3 3 2" xfId="38" xr:uid="{80B70A02-D60E-464C-B293-84034C5DA194}"/>
    <cellStyle name="Millares 3 3 2 2" xfId="66" xr:uid="{74EF886E-ABC9-44AC-8FA1-699EAE8F4892}"/>
    <cellStyle name="Millares 3 3 3" xfId="51" xr:uid="{5E9B76B6-15ED-4D61-9A34-9DB9768949B8}"/>
    <cellStyle name="Millares 3 4" xfId="29" xr:uid="{4944D2A3-CA23-4B7C-B0FE-AEDF51348F4B}"/>
    <cellStyle name="Millares 3 4 2" xfId="57" xr:uid="{8A669484-8B57-4DF3-AE58-E53ACD166D4E}"/>
    <cellStyle name="Millares 3 5" xfId="42" xr:uid="{1A5D7683-6DE8-48E3-BBED-F48ECB414CAE}"/>
    <cellStyle name="Millares 4" xfId="23" xr:uid="{BF07B2D9-24AB-4853-A294-FADD1AF685E8}"/>
    <cellStyle name="Millares 4 2" xfId="39" xr:uid="{BE0533E0-B5DA-4989-87E4-DABED9F29622}"/>
    <cellStyle name="Millares 4 2 2" xfId="67" xr:uid="{146B7685-DF48-4C17-A189-86095F1CDF57}"/>
    <cellStyle name="Millares 4 3" xfId="52" xr:uid="{B1915216-B380-4B94-919C-30DFEDD80FAB}"/>
    <cellStyle name="Millares 5" xfId="18" xr:uid="{12EF3317-4B94-480B-91D9-DE9D5873074C}"/>
    <cellStyle name="Millares 5 2" xfId="34" xr:uid="{3278205B-7F3C-418A-8806-B6B844C33E83}"/>
    <cellStyle name="Millares 5 2 2" xfId="62" xr:uid="{87F843A7-E980-4E78-A308-6CF385B0D50F}"/>
    <cellStyle name="Millares 5 3" xfId="47" xr:uid="{E1F3AC73-522D-4CE0-9D0D-525164FB2DB3}"/>
    <cellStyle name="Millares 6" xfId="53" xr:uid="{43E378E4-165A-4A19-8679-6C9F3EF994E0}"/>
    <cellStyle name="Millares 7" xfId="68" xr:uid="{1946E606-706D-4546-89C3-15660BBFF3B9}"/>
    <cellStyle name="Normal" xfId="0" builtinId="0"/>
    <cellStyle name="Normal 2" xfId="2" xr:uid="{34948D3F-EF1B-4A09-9A26-C23F66AA46FE}"/>
    <cellStyle name="Normal 2 2" xfId="8" xr:uid="{91A6A884-A4C9-48FE-822A-E000ADB5B1BF}"/>
    <cellStyle name="Normal 3" xfId="4" xr:uid="{5060F9C3-5748-46CA-92A7-ED405902C890}"/>
    <cellStyle name="Normal 3 2" xfId="17" xr:uid="{01863A86-BC84-4579-81B7-8061D2D05DD2}"/>
    <cellStyle name="Normal 5" xfId="11" xr:uid="{11E06B22-6435-42A2-8147-BE7C70E46735}"/>
    <cellStyle name="Normal 5 3" xfId="3" xr:uid="{82FA82CA-8DB0-414F-89EE-7A027DE23AB2}"/>
    <cellStyle name="Normal_CRITERIOS DE EVALUACION PT DE GB 2" xfId="1" xr:uid="{5F3441B1-FC25-4967-868F-7BA01E44F471}"/>
    <cellStyle name="Porcentaje" xfId="26" builtinId="5"/>
    <cellStyle name="Porcentaje 2" xfId="9" xr:uid="{BA46EADD-40D7-4426-91A2-144818FBEADB}"/>
    <cellStyle name="Porcentaje 2 2" xfId="10" xr:uid="{EB9197A8-B439-4028-9C2C-DCB6F228359B}"/>
    <cellStyle name="Porcentaje 3 2" xfId="12" xr:uid="{3C8C595B-0DD7-4801-895F-12D6554E88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6.gif"/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4478C937-6981-4478-94A8-A26CDF797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273419</xdr:colOff>
      <xdr:row>0</xdr:row>
      <xdr:rowOff>31676</xdr:rowOff>
    </xdr:from>
    <xdr:ext cx="945781" cy="921837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6456A2AB-0598-447C-8A53-C12585E6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73419" y="31676"/>
          <a:ext cx="945781" cy="921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262467</xdr:colOff>
      <xdr:row>0</xdr:row>
      <xdr:rowOff>165099</xdr:rowOff>
    </xdr:from>
    <xdr:ext cx="1335616" cy="1227323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740F2389-701C-484C-B2EA-36A1D3BEB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62467" y="165099"/>
          <a:ext cx="1335616" cy="1227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0</xdr:row>
      <xdr:rowOff>95250</xdr:rowOff>
    </xdr:from>
    <xdr:ext cx="1782233" cy="117475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97590A82-A6AF-43CA-97E4-A53CC6740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3349" y="95250"/>
          <a:ext cx="1782233" cy="117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38100</xdr:rowOff>
    </xdr:from>
    <xdr:to>
      <xdr:col>2</xdr:col>
      <xdr:colOff>85725</xdr:colOff>
      <xdr:row>5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877907-38C2-44EE-8FCB-3ADA4399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7" t="3922" r="-4167" b="5882"/>
        <a:stretch>
          <a:fillRect/>
        </a:stretch>
      </xdr:blipFill>
      <xdr:spPr bwMode="auto">
        <a:xfrm>
          <a:off x="114300" y="38100"/>
          <a:ext cx="149542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1</xdr:col>
      <xdr:colOff>704850</xdr:colOff>
      <xdr:row>4</xdr:row>
      <xdr:rowOff>14041</xdr:rowOff>
    </xdr:to>
    <xdr:pic>
      <xdr:nvPicPr>
        <xdr:cNvPr id="2" name="6 Imagen" descr="C:\Users\mbeeche\Desktop\logo de spoon nuevo.gif">
          <a:extLst>
            <a:ext uri="{FF2B5EF4-FFF2-40B4-BE49-F238E27FC236}">
              <a16:creationId xmlns:a16="http://schemas.microsoft.com/office/drawing/2014/main" id="{9DE3BBA6-665A-41EF-A252-8369BE6FE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1543050" cy="871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232834</xdr:colOff>
      <xdr:row>0</xdr:row>
      <xdr:rowOff>0</xdr:rowOff>
    </xdr:from>
    <xdr:ext cx="1333499" cy="959485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263FEA5B-07B5-435C-8D86-F50F84AFD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32834" y="0"/>
          <a:ext cx="1333499" cy="959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0</xdr:rowOff>
    </xdr:from>
    <xdr:to>
      <xdr:col>2</xdr:col>
      <xdr:colOff>409575</xdr:colOff>
      <xdr:row>4</xdr:row>
      <xdr:rowOff>85725</xdr:rowOff>
    </xdr:to>
    <xdr:pic>
      <xdr:nvPicPr>
        <xdr:cNvPr id="2" name="Imagen 49">
          <a:extLst>
            <a:ext uri="{FF2B5EF4-FFF2-40B4-BE49-F238E27FC236}">
              <a16:creationId xmlns:a16="http://schemas.microsoft.com/office/drawing/2014/main" id="{EE670B1E-EE12-495A-98C6-E8A4A6834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0"/>
          <a:ext cx="10287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180975</xdr:colOff>
      <xdr:row>0</xdr:row>
      <xdr:rowOff>0</xdr:rowOff>
    </xdr:from>
    <xdr:ext cx="1428750" cy="985086"/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7255093E-2D35-40A4-B70A-CEC8B66A1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942975" y="0"/>
          <a:ext cx="1428750" cy="985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14</xdr:row>
      <xdr:rowOff>28575</xdr:rowOff>
    </xdr:from>
    <xdr:to>
      <xdr:col>6</xdr:col>
      <xdr:colOff>428625</xdr:colOff>
      <xdr:row>25</xdr:row>
      <xdr:rowOff>47625</xdr:rowOff>
    </xdr:to>
    <xdr:pic>
      <xdr:nvPicPr>
        <xdr:cNvPr id="2" name="Picture 3" descr="100_0099">
          <a:extLst>
            <a:ext uri="{FF2B5EF4-FFF2-40B4-BE49-F238E27FC236}">
              <a16:creationId xmlns:a16="http://schemas.microsoft.com/office/drawing/2014/main" id="{3F46DAB8-D784-49AD-A013-708ED62BE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76625"/>
          <a:ext cx="181927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381000</xdr:colOff>
      <xdr:row>4</xdr:row>
      <xdr:rowOff>116452</xdr:rowOff>
    </xdr:to>
    <xdr:pic>
      <xdr:nvPicPr>
        <xdr:cNvPr id="3" name="5 Imagen" descr="C:\Users\mbeeche\Desktop\logo de spoon nuevo.gif">
          <a:extLst>
            <a:ext uri="{FF2B5EF4-FFF2-40B4-BE49-F238E27FC236}">
              <a16:creationId xmlns:a16="http://schemas.microsoft.com/office/drawing/2014/main" id="{F776FFEF-8858-4012-A9D7-C8C564AF2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0"/>
          <a:ext cx="1400175" cy="13261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533401</xdr:colOff>
      <xdr:row>14</xdr:row>
      <xdr:rowOff>104775</xdr:rowOff>
    </xdr:from>
    <xdr:to>
      <xdr:col>3</xdr:col>
      <xdr:colOff>2362201</xdr:colOff>
      <xdr:row>25</xdr:row>
      <xdr:rowOff>142875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6BBBB6A0-4048-40E6-ABA4-A72FF081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3248026" y="3552825"/>
          <a:ext cx="18288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91441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303E5723-FA12-4A5E-B7A0-4746CFAB7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91441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42DAEB78-CEE1-4B35-A41A-A0BC6D9D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13056"/>
          <a:ext cx="1336519" cy="635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333376</xdr:colOff>
      <xdr:row>0</xdr:row>
      <xdr:rowOff>28576</xdr:rowOff>
    </xdr:from>
    <xdr:to>
      <xdr:col>2</xdr:col>
      <xdr:colOff>685801</xdr:colOff>
      <xdr:row>4</xdr:row>
      <xdr:rowOff>142354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51A35D-A6F0-49C7-A4CB-53476F7E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6" y="28576"/>
          <a:ext cx="1428750" cy="932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104775</xdr:rowOff>
    </xdr:from>
    <xdr:ext cx="981075" cy="895350"/>
    <xdr:pic>
      <xdr:nvPicPr>
        <xdr:cNvPr id="2" name="Imagen 3" descr="C:\Users\mbeeche\Desktop\logo de spoon nuevo - copia.gif">
          <a:extLst>
            <a:ext uri="{FF2B5EF4-FFF2-40B4-BE49-F238E27FC236}">
              <a16:creationId xmlns:a16="http://schemas.microsoft.com/office/drawing/2014/main" id="{E860B806-71EE-46FE-BCEB-6B69F0DCE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9810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1</xdr:row>
      <xdr:rowOff>30480</xdr:rowOff>
    </xdr:from>
    <xdr:to>
      <xdr:col>1</xdr:col>
      <xdr:colOff>681470</xdr:colOff>
      <xdr:row>5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AD7A65-B549-4583-AEB6-1A6EEEA5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228600"/>
          <a:ext cx="131393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30480</xdr:rowOff>
    </xdr:from>
    <xdr:to>
      <xdr:col>1</xdr:col>
      <xdr:colOff>544310</xdr:colOff>
      <xdr:row>4</xdr:row>
      <xdr:rowOff>68580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FADFC4-426E-46AB-ACD7-C12B54953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" y="30480"/>
          <a:ext cx="131393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24F5-C452-484F-84DC-B9F856166704}">
  <sheetPr>
    <pageSetUpPr fitToPage="1"/>
  </sheetPr>
  <dimension ref="A1:I55"/>
  <sheetViews>
    <sheetView topLeftCell="A22" workbookViewId="0">
      <selection activeCell="C10" sqref="C10"/>
    </sheetView>
  </sheetViews>
  <sheetFormatPr baseColWidth="10" defaultRowHeight="15" x14ac:dyDescent="0.25"/>
  <cols>
    <col min="2" max="2" width="12" customWidth="1"/>
    <col min="3" max="3" width="44.5703125" customWidth="1"/>
    <col min="8" max="8" width="17.5703125" customWidth="1"/>
    <col min="9" max="9" width="17.28515625" customWidth="1"/>
  </cols>
  <sheetData>
    <row r="1" spans="1:9" ht="16.5" x14ac:dyDescent="0.3">
      <c r="A1" s="629"/>
      <c r="B1" s="630"/>
      <c r="C1" s="611" t="s">
        <v>0</v>
      </c>
      <c r="D1" s="611"/>
      <c r="E1" s="611"/>
      <c r="F1" s="611"/>
      <c r="G1" s="611"/>
      <c r="H1" s="7" t="s">
        <v>1</v>
      </c>
      <c r="I1" s="8"/>
    </row>
    <row r="2" spans="1:9" ht="17.25" thickBot="1" x14ac:dyDescent="0.35">
      <c r="A2" s="631"/>
      <c r="B2" s="632"/>
      <c r="C2" s="612" t="s">
        <v>2</v>
      </c>
      <c r="D2" s="612"/>
      <c r="E2" s="612"/>
      <c r="F2" s="612"/>
      <c r="G2" s="612"/>
      <c r="H2" s="9" t="s">
        <v>3</v>
      </c>
      <c r="I2" s="10"/>
    </row>
    <row r="3" spans="1:9" ht="18" x14ac:dyDescent="0.25">
      <c r="A3" s="631"/>
      <c r="B3" s="632"/>
      <c r="C3" s="613" t="s">
        <v>65</v>
      </c>
      <c r="D3" s="614"/>
      <c r="E3" s="614"/>
      <c r="F3" s="614"/>
      <c r="G3" s="615"/>
      <c r="H3" s="616" t="s">
        <v>4</v>
      </c>
      <c r="I3" s="606"/>
    </row>
    <row r="4" spans="1:9" ht="16.5" x14ac:dyDescent="0.3">
      <c r="A4" s="631"/>
      <c r="B4" s="632"/>
      <c r="C4" s="9" t="s">
        <v>5</v>
      </c>
      <c r="D4" s="609" t="s">
        <v>30</v>
      </c>
      <c r="E4" s="609"/>
      <c r="F4" s="609"/>
      <c r="G4" s="609"/>
      <c r="H4" s="617"/>
      <c r="I4" s="607"/>
    </row>
    <row r="5" spans="1:9" ht="17.25" thickBot="1" x14ac:dyDescent="0.35">
      <c r="A5" s="633"/>
      <c r="B5" s="634"/>
      <c r="C5" s="11" t="s">
        <v>6</v>
      </c>
      <c r="D5" s="610" t="s">
        <v>31</v>
      </c>
      <c r="E5" s="610"/>
      <c r="F5" s="610"/>
      <c r="G5" s="610"/>
      <c r="H5" s="618"/>
      <c r="I5" s="608"/>
    </row>
    <row r="6" spans="1:9" ht="18" x14ac:dyDescent="0.25">
      <c r="A6" s="635" t="s">
        <v>7</v>
      </c>
      <c r="B6" s="636"/>
      <c r="C6" s="636"/>
      <c r="D6" s="637" t="s">
        <v>64</v>
      </c>
      <c r="E6" s="637"/>
      <c r="F6" s="637"/>
      <c r="G6" s="638" t="s">
        <v>8</v>
      </c>
      <c r="H6" s="638"/>
      <c r="I6" s="12" t="s">
        <v>39</v>
      </c>
    </row>
    <row r="7" spans="1:9" ht="22.15" customHeight="1" x14ac:dyDescent="0.25">
      <c r="A7" s="605" t="s">
        <v>9</v>
      </c>
      <c r="B7" s="639" t="s">
        <v>32</v>
      </c>
      <c r="C7" s="605" t="s">
        <v>10</v>
      </c>
      <c r="D7" s="605" t="s">
        <v>11</v>
      </c>
      <c r="E7" s="605" t="s">
        <v>12</v>
      </c>
      <c r="F7" s="605"/>
      <c r="G7" s="605" t="s">
        <v>13</v>
      </c>
      <c r="H7" s="605"/>
      <c r="I7" s="14" t="s">
        <v>14</v>
      </c>
    </row>
    <row r="8" spans="1:9" ht="25.5" x14ac:dyDescent="0.25">
      <c r="A8" s="605"/>
      <c r="B8" s="640"/>
      <c r="C8" s="605"/>
      <c r="D8" s="605"/>
      <c r="E8" s="15" t="s">
        <v>15</v>
      </c>
      <c r="F8" s="16" t="s">
        <v>16</v>
      </c>
      <c r="G8" s="15" t="s">
        <v>15</v>
      </c>
      <c r="H8" s="16" t="s">
        <v>16</v>
      </c>
      <c r="I8" s="13" t="s">
        <v>17</v>
      </c>
    </row>
    <row r="9" spans="1:9" x14ac:dyDescent="0.25">
      <c r="A9" s="47"/>
      <c r="B9" s="47"/>
      <c r="C9" s="199" t="s">
        <v>38</v>
      </c>
      <c r="D9" s="47"/>
      <c r="E9" s="48"/>
      <c r="F9" s="49"/>
      <c r="G9" s="48"/>
      <c r="H9" s="49"/>
      <c r="I9" s="47"/>
    </row>
    <row r="10" spans="1:9" ht="27" x14ac:dyDescent="0.25">
      <c r="A10" s="143">
        <v>907000268</v>
      </c>
      <c r="B10" s="143" t="s">
        <v>66</v>
      </c>
      <c r="C10" s="196" t="s">
        <v>67</v>
      </c>
      <c r="D10" s="183" t="s">
        <v>18</v>
      </c>
      <c r="E10" s="183">
        <v>335</v>
      </c>
      <c r="F10" s="191" t="s">
        <v>19</v>
      </c>
      <c r="G10" s="192" t="s">
        <v>21</v>
      </c>
      <c r="H10" s="49" t="s">
        <v>68</v>
      </c>
      <c r="I10" s="47"/>
    </row>
    <row r="11" spans="1:9" x14ac:dyDescent="0.25">
      <c r="A11" s="190">
        <v>910000003</v>
      </c>
      <c r="B11" s="143" t="s">
        <v>69</v>
      </c>
      <c r="C11" s="144" t="s">
        <v>70</v>
      </c>
      <c r="D11" s="184" t="s">
        <v>18</v>
      </c>
      <c r="E11" s="184">
        <v>100</v>
      </c>
      <c r="F11" s="184" t="s">
        <v>19</v>
      </c>
      <c r="G11" s="48"/>
      <c r="H11" s="49" t="s">
        <v>71</v>
      </c>
      <c r="I11" s="47"/>
    </row>
    <row r="12" spans="1:9" x14ac:dyDescent="0.25">
      <c r="A12" s="190">
        <v>902000168</v>
      </c>
      <c r="B12" s="143" t="s">
        <v>128</v>
      </c>
      <c r="C12" s="144" t="s">
        <v>127</v>
      </c>
      <c r="D12" s="184" t="s">
        <v>18</v>
      </c>
      <c r="E12" s="184">
        <v>150</v>
      </c>
      <c r="F12" s="184" t="s">
        <v>19</v>
      </c>
      <c r="G12" s="48"/>
      <c r="H12" s="49" t="s">
        <v>129</v>
      </c>
      <c r="I12" s="47"/>
    </row>
    <row r="13" spans="1:9" x14ac:dyDescent="0.25">
      <c r="A13" s="193"/>
      <c r="B13" s="194"/>
      <c r="C13" s="197" t="s">
        <v>119</v>
      </c>
      <c r="D13" s="185" t="s">
        <v>18</v>
      </c>
      <c r="E13" s="185">
        <v>430</v>
      </c>
      <c r="F13" s="185" t="s">
        <v>19</v>
      </c>
      <c r="G13" s="186"/>
      <c r="H13" s="186" t="s">
        <v>40</v>
      </c>
      <c r="I13" s="186"/>
    </row>
    <row r="14" spans="1:9" x14ac:dyDescent="0.25">
      <c r="A14" s="190">
        <v>908000032</v>
      </c>
      <c r="B14" s="143" t="s">
        <v>72</v>
      </c>
      <c r="C14" s="144" t="s">
        <v>73</v>
      </c>
      <c r="D14" s="187" t="s">
        <v>18</v>
      </c>
      <c r="E14" s="187">
        <v>90</v>
      </c>
      <c r="F14" s="187" t="s">
        <v>19</v>
      </c>
      <c r="G14" s="188"/>
      <c r="H14" s="188" t="s">
        <v>74</v>
      </c>
      <c r="I14" s="188"/>
    </row>
    <row r="15" spans="1:9" x14ac:dyDescent="0.25">
      <c r="A15" s="181"/>
      <c r="B15" s="189"/>
      <c r="C15" s="198" t="s">
        <v>75</v>
      </c>
      <c r="D15" s="185" t="s">
        <v>125</v>
      </c>
      <c r="E15" s="185">
        <v>60</v>
      </c>
      <c r="F15" s="185" t="s">
        <v>19</v>
      </c>
      <c r="G15" s="186"/>
      <c r="H15" s="186" t="s">
        <v>126</v>
      </c>
      <c r="I15" s="186"/>
    </row>
    <row r="16" spans="1:9" x14ac:dyDescent="0.25">
      <c r="A16" s="187"/>
      <c r="B16" s="46"/>
      <c r="C16" s="195" t="s">
        <v>39</v>
      </c>
      <c r="D16" s="187"/>
      <c r="E16" s="187"/>
      <c r="F16" s="187"/>
      <c r="G16" s="188"/>
      <c r="H16" s="187"/>
      <c r="I16" s="187"/>
    </row>
    <row r="17" spans="1:9" x14ac:dyDescent="0.25">
      <c r="A17" s="190">
        <v>910000018</v>
      </c>
      <c r="B17" s="143" t="s">
        <v>130</v>
      </c>
      <c r="C17" s="144" t="s">
        <v>131</v>
      </c>
      <c r="D17" s="47" t="s">
        <v>18</v>
      </c>
      <c r="E17" s="48">
        <v>150</v>
      </c>
      <c r="F17" s="49" t="s">
        <v>19</v>
      </c>
      <c r="G17" s="48"/>
      <c r="H17" s="49"/>
      <c r="I17" s="46" t="s">
        <v>132</v>
      </c>
    </row>
    <row r="18" spans="1:9" x14ac:dyDescent="0.25">
      <c r="A18" s="190">
        <v>11400027</v>
      </c>
      <c r="B18" s="143" t="s">
        <v>133</v>
      </c>
      <c r="C18" s="144" t="s">
        <v>134</v>
      </c>
      <c r="D18" s="47" t="s">
        <v>135</v>
      </c>
      <c r="E18" s="48">
        <v>20</v>
      </c>
      <c r="F18" s="49" t="s">
        <v>19</v>
      </c>
      <c r="G18" s="48"/>
      <c r="H18" s="49"/>
      <c r="I18" s="46" t="s">
        <v>136</v>
      </c>
    </row>
    <row r="19" spans="1:9" ht="15" customHeight="1" x14ac:dyDescent="0.25">
      <c r="A19" s="190">
        <v>908000032</v>
      </c>
      <c r="B19" s="143" t="s">
        <v>72</v>
      </c>
      <c r="C19" s="144" t="s">
        <v>73</v>
      </c>
      <c r="D19" s="187" t="s">
        <v>18</v>
      </c>
      <c r="E19" s="187">
        <v>20</v>
      </c>
      <c r="F19" s="187" t="s">
        <v>19</v>
      </c>
      <c r="G19" s="188"/>
      <c r="H19" s="188"/>
      <c r="I19" s="46" t="s">
        <v>140</v>
      </c>
    </row>
    <row r="20" spans="1:9" x14ac:dyDescent="0.25">
      <c r="A20" s="193"/>
      <c r="B20" s="194"/>
      <c r="C20" s="197" t="s">
        <v>119</v>
      </c>
      <c r="D20" s="185" t="s">
        <v>18</v>
      </c>
      <c r="E20" s="185">
        <v>215</v>
      </c>
      <c r="F20" s="185" t="s">
        <v>19</v>
      </c>
      <c r="G20" s="186"/>
      <c r="H20" s="186" t="s">
        <v>137</v>
      </c>
      <c r="I20" s="186" t="s">
        <v>138</v>
      </c>
    </row>
    <row r="21" spans="1:9" x14ac:dyDescent="0.25">
      <c r="A21" s="179"/>
      <c r="B21" s="182"/>
      <c r="C21" s="201" t="s">
        <v>147</v>
      </c>
      <c r="D21" s="185" t="s">
        <v>125</v>
      </c>
      <c r="E21" s="179">
        <v>12</v>
      </c>
      <c r="F21" s="179" t="s">
        <v>21</v>
      </c>
      <c r="G21" s="180"/>
      <c r="H21" s="179"/>
      <c r="I21" s="179"/>
    </row>
    <row r="22" spans="1:9" x14ac:dyDescent="0.25">
      <c r="A22" s="50"/>
      <c r="B22" s="17"/>
      <c r="C22" s="200" t="s">
        <v>20</v>
      </c>
      <c r="D22" s="2"/>
      <c r="E22" s="3"/>
      <c r="F22" s="2"/>
      <c r="G22" s="3"/>
      <c r="H22" s="2"/>
      <c r="I22" s="59"/>
    </row>
    <row r="23" spans="1:9" x14ac:dyDescent="0.25">
      <c r="A23" s="17"/>
      <c r="B23" s="17"/>
      <c r="C23" s="60"/>
      <c r="D23" s="61"/>
      <c r="E23" s="19"/>
      <c r="F23" s="62"/>
      <c r="G23" s="3"/>
      <c r="H23" s="2"/>
      <c r="I23" s="63"/>
    </row>
    <row r="24" spans="1:9" x14ac:dyDescent="0.25">
      <c r="A24" s="2">
        <v>121603</v>
      </c>
      <c r="B24" s="2" t="s">
        <v>41</v>
      </c>
      <c r="C24" s="64" t="s">
        <v>42</v>
      </c>
      <c r="D24" s="53" t="s">
        <v>43</v>
      </c>
      <c r="E24" s="54">
        <v>1</v>
      </c>
      <c r="F24" s="54" t="s">
        <v>21</v>
      </c>
      <c r="G24" s="52"/>
      <c r="H24" s="5"/>
      <c r="I24" s="65"/>
    </row>
    <row r="25" spans="1:9" x14ac:dyDescent="0.25">
      <c r="A25" s="2">
        <v>1950692</v>
      </c>
      <c r="B25" s="2" t="s">
        <v>44</v>
      </c>
      <c r="C25" s="66" t="s">
        <v>45</v>
      </c>
      <c r="D25" s="53" t="s">
        <v>46</v>
      </c>
      <c r="E25" s="54">
        <v>1</v>
      </c>
      <c r="F25" s="54" t="s">
        <v>47</v>
      </c>
      <c r="G25" s="52"/>
      <c r="H25" s="5"/>
      <c r="I25" s="65"/>
    </row>
    <row r="26" spans="1:9" x14ac:dyDescent="0.25">
      <c r="A26" s="21">
        <v>702069</v>
      </c>
      <c r="B26" s="22" t="s">
        <v>48</v>
      </c>
      <c r="C26" s="1" t="s">
        <v>49</v>
      </c>
      <c r="D26" s="55" t="s">
        <v>50</v>
      </c>
      <c r="E26" s="27">
        <v>1</v>
      </c>
      <c r="F26" s="28" t="s">
        <v>21</v>
      </c>
      <c r="G26" s="3"/>
      <c r="H26" s="2"/>
      <c r="I26" s="63"/>
    </row>
    <row r="27" spans="1:9" x14ac:dyDescent="0.25">
      <c r="A27" s="67" t="s">
        <v>51</v>
      </c>
      <c r="B27" s="68" t="s">
        <v>52</v>
      </c>
      <c r="C27" s="56" t="s">
        <v>53</v>
      </c>
      <c r="D27" s="32" t="s">
        <v>46</v>
      </c>
      <c r="E27" s="27">
        <v>60</v>
      </c>
      <c r="F27" s="28" t="s">
        <v>54</v>
      </c>
      <c r="G27" s="52"/>
      <c r="H27" s="20"/>
      <c r="I27" s="23"/>
    </row>
    <row r="28" spans="1:9" x14ac:dyDescent="0.25">
      <c r="A28" s="22">
        <v>701096</v>
      </c>
      <c r="B28" s="22" t="s">
        <v>55</v>
      </c>
      <c r="C28" s="1" t="s">
        <v>56</v>
      </c>
      <c r="D28" s="32" t="s">
        <v>57</v>
      </c>
      <c r="E28" s="27">
        <v>1</v>
      </c>
      <c r="F28" s="28" t="s">
        <v>21</v>
      </c>
      <c r="G28" s="52"/>
      <c r="H28" s="20"/>
      <c r="I28" s="46"/>
    </row>
    <row r="29" spans="1:9" ht="15.75" x14ac:dyDescent="0.25">
      <c r="A29" s="67" t="s">
        <v>58</v>
      </c>
      <c r="B29" s="68" t="s">
        <v>59</v>
      </c>
      <c r="C29" s="56" t="s">
        <v>60</v>
      </c>
      <c r="D29" s="4" t="s">
        <v>61</v>
      </c>
      <c r="E29" s="27">
        <v>1</v>
      </c>
      <c r="F29" s="28" t="s">
        <v>21</v>
      </c>
      <c r="G29" s="19"/>
      <c r="H29" s="20"/>
      <c r="I29" s="24"/>
    </row>
    <row r="30" spans="1:9" ht="0.6" customHeight="1" x14ac:dyDescent="0.25">
      <c r="A30" s="34">
        <v>60100120</v>
      </c>
      <c r="B30" s="22" t="s">
        <v>62</v>
      </c>
      <c r="C30" t="s">
        <v>63</v>
      </c>
      <c r="D30" s="4" t="s">
        <v>50</v>
      </c>
      <c r="E30" s="27">
        <v>1</v>
      </c>
      <c r="F30" s="28" t="s">
        <v>21</v>
      </c>
      <c r="G30" s="25"/>
      <c r="H30" s="26"/>
      <c r="I30" s="33"/>
    </row>
    <row r="31" spans="1:9" ht="15.75" x14ac:dyDescent="0.25">
      <c r="A31" s="29"/>
      <c r="B31" s="30"/>
      <c r="C31" s="31" t="s">
        <v>139</v>
      </c>
      <c r="D31" s="4"/>
      <c r="E31" s="27">
        <v>1</v>
      </c>
      <c r="F31" s="28" t="s">
        <v>21</v>
      </c>
      <c r="G31" s="35"/>
      <c r="H31" s="32"/>
      <c r="I31" s="36"/>
    </row>
    <row r="32" spans="1:9" ht="15.75" thickBot="1" x14ac:dyDescent="0.3">
      <c r="A32" s="37"/>
      <c r="B32" s="38"/>
      <c r="C32" s="39"/>
      <c r="D32" s="40" t="s">
        <v>15</v>
      </c>
      <c r="E32" s="41" t="s">
        <v>22</v>
      </c>
      <c r="F32" s="42"/>
      <c r="G32" s="39"/>
      <c r="H32" s="39"/>
      <c r="I32" s="43"/>
    </row>
    <row r="33" spans="1:9" x14ac:dyDescent="0.25">
      <c r="A33" s="623" t="s">
        <v>23</v>
      </c>
      <c r="B33" s="624"/>
      <c r="C33" s="625"/>
      <c r="D33" s="3">
        <v>1500</v>
      </c>
      <c r="E33" s="44" t="s">
        <v>19</v>
      </c>
      <c r="F33" s="626" t="s">
        <v>33</v>
      </c>
      <c r="G33" s="626"/>
      <c r="H33" s="627"/>
      <c r="I33" s="628"/>
    </row>
    <row r="34" spans="1:9" x14ac:dyDescent="0.25">
      <c r="A34" s="578" t="s">
        <v>24</v>
      </c>
      <c r="B34" s="579"/>
      <c r="C34" s="580"/>
      <c r="D34" s="2">
        <v>4</v>
      </c>
      <c r="E34" s="18" t="s">
        <v>25</v>
      </c>
      <c r="F34" s="581" t="s">
        <v>34</v>
      </c>
      <c r="G34" s="581"/>
      <c r="H34" s="582"/>
      <c r="I34" s="583"/>
    </row>
    <row r="35" spans="1:9" x14ac:dyDescent="0.25">
      <c r="A35" s="578" t="s">
        <v>26</v>
      </c>
      <c r="B35" s="579"/>
      <c r="C35" s="580"/>
      <c r="D35" s="3">
        <v>1</v>
      </c>
      <c r="E35" s="18" t="s">
        <v>21</v>
      </c>
      <c r="F35" s="581" t="s">
        <v>35</v>
      </c>
      <c r="G35" s="581"/>
      <c r="H35" s="582"/>
      <c r="I35" s="583"/>
    </row>
    <row r="36" spans="1:9" x14ac:dyDescent="0.25">
      <c r="A36" s="578" t="s">
        <v>27</v>
      </c>
      <c r="B36" s="579"/>
      <c r="C36" s="580"/>
      <c r="D36" s="3">
        <v>1500</v>
      </c>
      <c r="E36" s="17" t="s">
        <v>19</v>
      </c>
      <c r="F36" s="641" t="s">
        <v>36</v>
      </c>
      <c r="G36" s="641"/>
      <c r="H36" s="582"/>
      <c r="I36" s="583"/>
    </row>
    <row r="37" spans="1:9" ht="15.75" thickBot="1" x14ac:dyDescent="0.3">
      <c r="A37" s="642" t="s">
        <v>28</v>
      </c>
      <c r="B37" s="643"/>
      <c r="C37" s="644"/>
      <c r="D37" s="6">
        <f>SUM(E10:E20)-D33</f>
        <v>70</v>
      </c>
      <c r="E37" s="45" t="s">
        <v>19</v>
      </c>
      <c r="F37" s="645"/>
      <c r="G37" s="645"/>
      <c r="H37" s="646"/>
      <c r="I37" s="647"/>
    </row>
    <row r="38" spans="1:9" ht="15.75" thickBot="1" x14ac:dyDescent="0.3">
      <c r="A38" s="584" t="s">
        <v>29</v>
      </c>
      <c r="B38" s="585"/>
      <c r="C38" s="585"/>
      <c r="D38" s="585"/>
      <c r="E38" s="585"/>
      <c r="F38" s="585"/>
      <c r="G38" s="585"/>
      <c r="H38" s="585"/>
      <c r="I38" s="586"/>
    </row>
    <row r="39" spans="1:9" x14ac:dyDescent="0.25">
      <c r="A39" s="587" t="s">
        <v>142</v>
      </c>
      <c r="B39" s="588"/>
      <c r="C39" s="589"/>
      <c r="D39" s="589"/>
      <c r="E39" s="589"/>
      <c r="F39" s="589"/>
      <c r="G39" s="589"/>
      <c r="H39" s="589"/>
      <c r="I39" s="590"/>
    </row>
    <row r="40" spans="1:9" ht="14.65" customHeight="1" x14ac:dyDescent="0.25">
      <c r="A40" s="591" t="s">
        <v>141</v>
      </c>
      <c r="B40" s="592"/>
      <c r="C40" s="592"/>
      <c r="D40" s="592"/>
      <c r="E40" s="592"/>
      <c r="F40" s="592"/>
      <c r="G40" s="592"/>
      <c r="H40" s="592"/>
      <c r="I40" s="593"/>
    </row>
    <row r="41" spans="1:9" x14ac:dyDescent="0.25">
      <c r="A41" s="594" t="s">
        <v>143</v>
      </c>
      <c r="B41" s="595"/>
      <c r="C41" s="596"/>
      <c r="D41" s="596"/>
      <c r="E41" s="596"/>
      <c r="F41" s="596"/>
      <c r="G41" s="596"/>
      <c r="H41" s="596"/>
      <c r="I41" s="597"/>
    </row>
    <row r="42" spans="1:9" ht="16.5" x14ac:dyDescent="0.3">
      <c r="A42" s="598" t="s">
        <v>144</v>
      </c>
      <c r="B42" s="599"/>
      <c r="C42" s="599"/>
      <c r="D42" s="599"/>
      <c r="E42" s="599"/>
      <c r="F42" s="599"/>
      <c r="G42" s="599"/>
      <c r="H42" s="599"/>
      <c r="I42" s="600"/>
    </row>
    <row r="43" spans="1:9" x14ac:dyDescent="0.25">
      <c r="A43" s="601" t="s">
        <v>151</v>
      </c>
      <c r="B43" s="602"/>
      <c r="C43" s="603"/>
      <c r="D43" s="603"/>
      <c r="E43" s="603"/>
      <c r="F43" s="603"/>
      <c r="G43" s="603"/>
      <c r="H43" s="603"/>
      <c r="I43" s="604"/>
    </row>
    <row r="44" spans="1:9" x14ac:dyDescent="0.25">
      <c r="A44" s="575" t="s">
        <v>145</v>
      </c>
      <c r="B44" s="576"/>
      <c r="C44" s="576"/>
      <c r="D44" s="576"/>
      <c r="E44" s="576"/>
      <c r="F44" s="576"/>
      <c r="G44" s="576"/>
      <c r="H44" s="576"/>
      <c r="I44" s="577"/>
    </row>
    <row r="45" spans="1:9" x14ac:dyDescent="0.25">
      <c r="A45" s="575" t="s">
        <v>146</v>
      </c>
      <c r="B45" s="576"/>
      <c r="C45" s="576"/>
      <c r="D45" s="576"/>
      <c r="E45" s="576"/>
      <c r="F45" s="576"/>
      <c r="G45" s="576"/>
      <c r="H45" s="576"/>
      <c r="I45" s="577"/>
    </row>
    <row r="46" spans="1:9" ht="15.75" thickBot="1" x14ac:dyDescent="0.3">
      <c r="A46" s="648" t="s">
        <v>148</v>
      </c>
      <c r="B46" s="649"/>
      <c r="C46" s="650"/>
      <c r="D46" s="650"/>
      <c r="E46" s="650"/>
      <c r="F46" s="650"/>
      <c r="G46" s="650"/>
      <c r="H46" s="650"/>
      <c r="I46" s="651"/>
    </row>
    <row r="47" spans="1:9" x14ac:dyDescent="0.25">
      <c r="A47" s="652" t="s">
        <v>37</v>
      </c>
      <c r="B47" s="653"/>
      <c r="C47" s="653"/>
      <c r="D47" s="653"/>
      <c r="E47" s="653"/>
      <c r="F47" s="653"/>
      <c r="G47" s="653"/>
      <c r="H47" s="653"/>
      <c r="I47" s="654"/>
    </row>
    <row r="48" spans="1:9" ht="15.75" thickBot="1" x14ac:dyDescent="0.3">
      <c r="A48" s="655"/>
      <c r="B48" s="656"/>
      <c r="C48" s="657"/>
      <c r="D48" s="657"/>
      <c r="E48" s="657"/>
      <c r="F48" s="657"/>
      <c r="G48" s="657"/>
      <c r="H48" s="657"/>
      <c r="I48" s="658"/>
    </row>
    <row r="49" spans="1:9" ht="15.75" thickBot="1" x14ac:dyDescent="0.3">
      <c r="A49" s="619"/>
      <c r="B49" s="620"/>
      <c r="C49" s="621"/>
      <c r="D49" s="621"/>
      <c r="E49" s="621"/>
      <c r="F49" s="621"/>
      <c r="G49" s="621"/>
      <c r="H49" s="621"/>
      <c r="I49" s="622"/>
    </row>
    <row r="50" spans="1:9" ht="15.75" thickBot="1" x14ac:dyDescent="0.3">
      <c r="A50" s="619"/>
      <c r="B50" s="620"/>
      <c r="C50" s="621"/>
      <c r="D50" s="621"/>
      <c r="E50" s="621"/>
      <c r="F50" s="621"/>
      <c r="G50" s="621"/>
      <c r="H50" s="621"/>
      <c r="I50" s="622"/>
    </row>
    <row r="51" spans="1:9" ht="15.75" thickBot="1" x14ac:dyDescent="0.3">
      <c r="A51" s="619"/>
      <c r="B51" s="620"/>
      <c r="C51" s="621"/>
      <c r="D51" s="621"/>
      <c r="E51" s="621"/>
      <c r="F51" s="621"/>
      <c r="G51" s="621"/>
      <c r="H51" s="621"/>
      <c r="I51" s="622"/>
    </row>
    <row r="52" spans="1:9" ht="15.75" thickBot="1" x14ac:dyDescent="0.3">
      <c r="A52" s="619"/>
      <c r="B52" s="620"/>
      <c r="C52" s="621"/>
      <c r="D52" s="621"/>
      <c r="E52" s="621"/>
      <c r="F52" s="621"/>
      <c r="G52" s="621"/>
      <c r="H52" s="621"/>
      <c r="I52" s="622"/>
    </row>
    <row r="53" spans="1:9" ht="15.75" thickBot="1" x14ac:dyDescent="0.3">
      <c r="A53" s="619"/>
      <c r="B53" s="620"/>
      <c r="C53" s="621"/>
      <c r="D53" s="621"/>
      <c r="E53" s="621"/>
      <c r="F53" s="621"/>
      <c r="G53" s="621"/>
      <c r="H53" s="621"/>
      <c r="I53" s="622"/>
    </row>
    <row r="54" spans="1:9" ht="15.75" thickBot="1" x14ac:dyDescent="0.3">
      <c r="A54" s="619"/>
      <c r="B54" s="620"/>
      <c r="C54" s="621"/>
      <c r="D54" s="621"/>
      <c r="E54" s="621"/>
      <c r="F54" s="621"/>
      <c r="G54" s="621"/>
      <c r="H54" s="621"/>
      <c r="I54" s="622"/>
    </row>
    <row r="55" spans="1:9" ht="15.75" thickBot="1" x14ac:dyDescent="0.3">
      <c r="A55" s="619"/>
      <c r="B55" s="620"/>
      <c r="C55" s="621"/>
      <c r="D55" s="621"/>
      <c r="E55" s="621"/>
      <c r="F55" s="621"/>
      <c r="G55" s="621"/>
      <c r="H55" s="621"/>
      <c r="I55" s="622"/>
    </row>
  </sheetData>
  <mergeCells count="50">
    <mergeCell ref="A54:I54"/>
    <mergeCell ref="A55:I55"/>
    <mergeCell ref="A36:C36"/>
    <mergeCell ref="F36:G36"/>
    <mergeCell ref="H36:I36"/>
    <mergeCell ref="A37:C37"/>
    <mergeCell ref="F37:G37"/>
    <mergeCell ref="H37:I37"/>
    <mergeCell ref="A51:I51"/>
    <mergeCell ref="A52:I52"/>
    <mergeCell ref="A45:I45"/>
    <mergeCell ref="A46:I46"/>
    <mergeCell ref="A47:I47"/>
    <mergeCell ref="A48:I48"/>
    <mergeCell ref="A49:I49"/>
    <mergeCell ref="A50:I50"/>
    <mergeCell ref="C1:G1"/>
    <mergeCell ref="C2:G2"/>
    <mergeCell ref="C3:G3"/>
    <mergeCell ref="H3:H5"/>
    <mergeCell ref="A53:I53"/>
    <mergeCell ref="A33:C33"/>
    <mergeCell ref="F33:G33"/>
    <mergeCell ref="H33:I33"/>
    <mergeCell ref="A1:B5"/>
    <mergeCell ref="A6:C6"/>
    <mergeCell ref="D6:F6"/>
    <mergeCell ref="G6:H6"/>
    <mergeCell ref="A7:A8"/>
    <mergeCell ref="B7:B8"/>
    <mergeCell ref="C7:C8"/>
    <mergeCell ref="D7:D8"/>
    <mergeCell ref="E7:F7"/>
    <mergeCell ref="I3:I5"/>
    <mergeCell ref="D4:G4"/>
    <mergeCell ref="D5:G5"/>
    <mergeCell ref="G7:H7"/>
    <mergeCell ref="A44:I44"/>
    <mergeCell ref="A34:C34"/>
    <mergeCell ref="F34:G34"/>
    <mergeCell ref="H34:I34"/>
    <mergeCell ref="A38:I38"/>
    <mergeCell ref="A39:I39"/>
    <mergeCell ref="A40:I40"/>
    <mergeCell ref="A41:I41"/>
    <mergeCell ref="A42:I42"/>
    <mergeCell ref="A43:I43"/>
    <mergeCell ref="A35:C35"/>
    <mergeCell ref="F35:G35"/>
    <mergeCell ref="H35:I35"/>
  </mergeCells>
  <pageMargins left="0.7" right="0.7" top="0.75" bottom="0.75" header="0.3" footer="0.3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3D34-C774-481D-8CE9-F7BDFF6FFE41}">
  <dimension ref="A1:I54"/>
  <sheetViews>
    <sheetView topLeftCell="A20" workbookViewId="0">
      <selection activeCell="K29" sqref="K29"/>
    </sheetView>
  </sheetViews>
  <sheetFormatPr baseColWidth="10" defaultRowHeight="15" x14ac:dyDescent="0.25"/>
  <cols>
    <col min="3" max="3" width="46.140625" customWidth="1"/>
    <col min="8" max="8" width="18.5703125" customWidth="1"/>
    <col min="9" max="9" width="15.28515625" customWidth="1"/>
  </cols>
  <sheetData>
    <row r="1" spans="1:9" ht="16.5" x14ac:dyDescent="0.3">
      <c r="A1" s="629"/>
      <c r="B1" s="630"/>
      <c r="C1" s="611" t="s">
        <v>0</v>
      </c>
      <c r="D1" s="611"/>
      <c r="E1" s="611"/>
      <c r="F1" s="611"/>
      <c r="G1" s="611"/>
      <c r="H1" s="7" t="s">
        <v>1</v>
      </c>
      <c r="I1" s="8"/>
    </row>
    <row r="2" spans="1:9" ht="17.25" thickBot="1" x14ac:dyDescent="0.35">
      <c r="A2" s="631"/>
      <c r="B2" s="632"/>
      <c r="C2" s="612" t="s">
        <v>2</v>
      </c>
      <c r="D2" s="612"/>
      <c r="E2" s="612"/>
      <c r="F2" s="612"/>
      <c r="G2" s="612"/>
      <c r="H2" s="9" t="s">
        <v>3</v>
      </c>
      <c r="I2" s="10"/>
    </row>
    <row r="3" spans="1:9" ht="18" x14ac:dyDescent="0.25">
      <c r="A3" s="631"/>
      <c r="B3" s="632"/>
      <c r="C3" s="613" t="s">
        <v>241</v>
      </c>
      <c r="D3" s="614"/>
      <c r="E3" s="614"/>
      <c r="F3" s="614"/>
      <c r="G3" s="615"/>
      <c r="H3" s="616" t="s">
        <v>4</v>
      </c>
      <c r="I3" s="606"/>
    </row>
    <row r="4" spans="1:9" ht="16.5" x14ac:dyDescent="0.3">
      <c r="A4" s="631"/>
      <c r="B4" s="632"/>
      <c r="C4" s="9" t="s">
        <v>5</v>
      </c>
      <c r="D4" s="609" t="s">
        <v>232</v>
      </c>
      <c r="E4" s="609"/>
      <c r="F4" s="609"/>
      <c r="G4" s="609"/>
      <c r="H4" s="617"/>
      <c r="I4" s="607"/>
    </row>
    <row r="5" spans="1:9" ht="17.25" thickBot="1" x14ac:dyDescent="0.35">
      <c r="A5" s="633"/>
      <c r="B5" s="634"/>
      <c r="C5" s="11" t="s">
        <v>6</v>
      </c>
      <c r="D5" s="610" t="s">
        <v>31</v>
      </c>
      <c r="E5" s="610"/>
      <c r="F5" s="610"/>
      <c r="G5" s="610"/>
      <c r="H5" s="618"/>
      <c r="I5" s="608"/>
    </row>
    <row r="6" spans="1:9" ht="18" x14ac:dyDescent="0.25">
      <c r="A6" s="635" t="s">
        <v>7</v>
      </c>
      <c r="B6" s="636"/>
      <c r="C6" s="636"/>
      <c r="D6" s="637" t="s">
        <v>64</v>
      </c>
      <c r="E6" s="637"/>
      <c r="F6" s="637"/>
      <c r="G6" s="638" t="s">
        <v>8</v>
      </c>
      <c r="H6" s="638"/>
      <c r="I6" s="12" t="s">
        <v>39</v>
      </c>
    </row>
    <row r="7" spans="1:9" ht="25.5" x14ac:dyDescent="0.25">
      <c r="A7" s="605" t="s">
        <v>9</v>
      </c>
      <c r="B7" s="639" t="s">
        <v>32</v>
      </c>
      <c r="C7" s="605" t="s">
        <v>10</v>
      </c>
      <c r="D7" s="605" t="s">
        <v>11</v>
      </c>
      <c r="E7" s="605" t="s">
        <v>12</v>
      </c>
      <c r="F7" s="605"/>
      <c r="G7" s="605" t="s">
        <v>13</v>
      </c>
      <c r="H7" s="605"/>
      <c r="I7" s="14" t="s">
        <v>14</v>
      </c>
    </row>
    <row r="8" spans="1:9" ht="25.5" x14ac:dyDescent="0.25">
      <c r="A8" s="605"/>
      <c r="B8" s="640"/>
      <c r="C8" s="605"/>
      <c r="D8" s="605"/>
      <c r="E8" s="15" t="s">
        <v>15</v>
      </c>
      <c r="F8" s="16" t="s">
        <v>16</v>
      </c>
      <c r="G8" s="15" t="s">
        <v>15</v>
      </c>
      <c r="H8" s="16" t="s">
        <v>16</v>
      </c>
      <c r="I8" s="13" t="s">
        <v>17</v>
      </c>
    </row>
    <row r="9" spans="1:9" x14ac:dyDescent="0.25">
      <c r="A9" s="47"/>
      <c r="B9" s="47"/>
      <c r="C9" s="199" t="s">
        <v>38</v>
      </c>
      <c r="D9" s="47"/>
      <c r="E9" s="48"/>
      <c r="F9" s="49"/>
      <c r="G9" s="48"/>
      <c r="H9" s="49"/>
      <c r="I9" s="47"/>
    </row>
    <row r="10" spans="1:9" x14ac:dyDescent="0.25">
      <c r="A10" s="143">
        <v>907000268</v>
      </c>
      <c r="B10" s="314" t="s">
        <v>66</v>
      </c>
      <c r="C10" s="311" t="s">
        <v>67</v>
      </c>
      <c r="D10" s="183" t="s">
        <v>18</v>
      </c>
      <c r="E10" s="183">
        <v>335</v>
      </c>
      <c r="F10" s="191" t="s">
        <v>19</v>
      </c>
      <c r="G10" s="192" t="s">
        <v>242</v>
      </c>
      <c r="H10" s="49" t="s">
        <v>68</v>
      </c>
      <c r="I10" s="47"/>
    </row>
    <row r="11" spans="1:9" x14ac:dyDescent="0.25">
      <c r="A11" s="190">
        <v>910000003</v>
      </c>
      <c r="B11" s="314" t="s">
        <v>69</v>
      </c>
      <c r="C11" s="303" t="s">
        <v>70</v>
      </c>
      <c r="D11" s="184" t="s">
        <v>18</v>
      </c>
      <c r="E11" s="184">
        <v>100</v>
      </c>
      <c r="F11" s="184" t="s">
        <v>19</v>
      </c>
      <c r="G11" s="48"/>
      <c r="H11" s="49" t="s">
        <v>71</v>
      </c>
      <c r="I11" s="47"/>
    </row>
    <row r="12" spans="1:9" x14ac:dyDescent="0.25">
      <c r="A12" s="190">
        <v>902000168</v>
      </c>
      <c r="B12" s="314" t="s">
        <v>128</v>
      </c>
      <c r="C12" s="303" t="s">
        <v>127</v>
      </c>
      <c r="D12" s="184" t="s">
        <v>18</v>
      </c>
      <c r="E12" s="184">
        <v>150</v>
      </c>
      <c r="F12" s="184" t="s">
        <v>19</v>
      </c>
      <c r="G12" s="48"/>
      <c r="H12" s="49" t="s">
        <v>129</v>
      </c>
      <c r="I12" s="47"/>
    </row>
    <row r="13" spans="1:9" x14ac:dyDescent="0.25">
      <c r="A13" s="190"/>
      <c r="B13" s="143"/>
      <c r="C13" s="197" t="s">
        <v>119</v>
      </c>
      <c r="D13" s="185" t="s">
        <v>18</v>
      </c>
      <c r="E13" s="185">
        <v>170</v>
      </c>
      <c r="F13" s="185" t="s">
        <v>19</v>
      </c>
      <c r="G13" s="186"/>
      <c r="H13" s="186" t="s">
        <v>243</v>
      </c>
      <c r="I13" s="188" t="s">
        <v>244</v>
      </c>
    </row>
    <row r="14" spans="1:9" x14ac:dyDescent="0.25">
      <c r="A14" s="190">
        <v>908000032</v>
      </c>
      <c r="B14" s="313" t="s">
        <v>72</v>
      </c>
      <c r="C14" s="310" t="s">
        <v>73</v>
      </c>
      <c r="D14" s="304" t="s">
        <v>18</v>
      </c>
      <c r="E14" s="304">
        <v>90</v>
      </c>
      <c r="F14" s="187" t="s">
        <v>19</v>
      </c>
      <c r="G14" s="188"/>
      <c r="H14" s="188" t="s">
        <v>74</v>
      </c>
      <c r="I14" s="188"/>
    </row>
    <row r="15" spans="1:9" x14ac:dyDescent="0.25">
      <c r="A15" s="50"/>
      <c r="B15" s="46"/>
      <c r="C15" s="317" t="s">
        <v>75</v>
      </c>
      <c r="D15" s="318" t="s">
        <v>125</v>
      </c>
      <c r="E15" s="318">
        <v>40</v>
      </c>
      <c r="F15" s="187" t="s">
        <v>19</v>
      </c>
      <c r="G15" s="188"/>
      <c r="H15" s="188" t="s">
        <v>245</v>
      </c>
      <c r="I15" s="188"/>
    </row>
    <row r="16" spans="1:9" x14ac:dyDescent="0.25">
      <c r="A16" s="187"/>
      <c r="B16" s="46"/>
      <c r="C16" s="195" t="s">
        <v>39</v>
      </c>
      <c r="D16" s="187"/>
      <c r="E16" s="187"/>
      <c r="F16" s="187"/>
      <c r="G16" s="188"/>
      <c r="H16" s="187"/>
      <c r="I16" s="187"/>
    </row>
    <row r="17" spans="1:9" x14ac:dyDescent="0.25">
      <c r="A17" s="190">
        <v>910000018</v>
      </c>
      <c r="B17" s="314" t="s">
        <v>130</v>
      </c>
      <c r="C17" s="303" t="s">
        <v>131</v>
      </c>
      <c r="D17" s="47" t="s">
        <v>18</v>
      </c>
      <c r="E17" s="48">
        <v>150</v>
      </c>
      <c r="F17" s="49" t="s">
        <v>19</v>
      </c>
      <c r="G17" s="48"/>
      <c r="H17" s="49"/>
      <c r="I17" s="46" t="s">
        <v>132</v>
      </c>
    </row>
    <row r="18" spans="1:9" x14ac:dyDescent="0.25">
      <c r="A18" s="190">
        <v>11400027</v>
      </c>
      <c r="B18" s="143" t="s">
        <v>133</v>
      </c>
      <c r="C18" s="303" t="s">
        <v>134</v>
      </c>
      <c r="D18" s="47" t="s">
        <v>135</v>
      </c>
      <c r="E18" s="48">
        <v>20</v>
      </c>
      <c r="F18" s="49" t="s">
        <v>19</v>
      </c>
      <c r="G18" s="48"/>
      <c r="H18" s="49"/>
      <c r="I18" s="46" t="s">
        <v>246</v>
      </c>
    </row>
    <row r="19" spans="1:9" x14ac:dyDescent="0.25">
      <c r="A19" s="190">
        <v>908000032</v>
      </c>
      <c r="B19" s="313" t="s">
        <v>72</v>
      </c>
      <c r="C19" s="310" t="s">
        <v>73</v>
      </c>
      <c r="D19" s="304" t="s">
        <v>18</v>
      </c>
      <c r="E19" s="304">
        <v>20</v>
      </c>
      <c r="F19" s="187" t="s">
        <v>19</v>
      </c>
      <c r="G19" s="188"/>
      <c r="H19" s="188"/>
      <c r="I19" s="46" t="s">
        <v>140</v>
      </c>
    </row>
    <row r="20" spans="1:9" x14ac:dyDescent="0.25">
      <c r="A20" s="190"/>
      <c r="B20" s="143"/>
      <c r="C20" s="197" t="s">
        <v>119</v>
      </c>
      <c r="D20" s="185" t="s">
        <v>18</v>
      </c>
      <c r="E20" s="185">
        <v>170</v>
      </c>
      <c r="F20" s="185" t="s">
        <v>19</v>
      </c>
      <c r="G20" s="186"/>
      <c r="H20" s="186" t="s">
        <v>247</v>
      </c>
      <c r="I20" s="188" t="s">
        <v>244</v>
      </c>
    </row>
    <row r="21" spans="1:9" ht="21" customHeight="1" x14ac:dyDescent="0.25">
      <c r="A21" s="2"/>
      <c r="B21" s="17"/>
      <c r="C21" s="319" t="s">
        <v>147</v>
      </c>
      <c r="D21" s="187" t="s">
        <v>125</v>
      </c>
      <c r="E21" s="2">
        <v>12</v>
      </c>
      <c r="F21" s="2" t="s">
        <v>21</v>
      </c>
      <c r="G21" s="3"/>
      <c r="H21" s="2"/>
      <c r="I21" s="2"/>
    </row>
    <row r="22" spans="1:9" x14ac:dyDescent="0.25">
      <c r="A22" s="50"/>
      <c r="B22" s="17"/>
      <c r="C22" s="200" t="s">
        <v>20</v>
      </c>
      <c r="D22" s="2"/>
      <c r="E22" s="3"/>
      <c r="F22" s="2"/>
      <c r="G22" s="3"/>
      <c r="H22" s="2"/>
      <c r="I22" s="59"/>
    </row>
    <row r="23" spans="1:9" x14ac:dyDescent="0.25">
      <c r="A23" s="17"/>
      <c r="B23" s="17"/>
      <c r="C23" s="60"/>
      <c r="D23" s="61"/>
      <c r="E23" s="19"/>
      <c r="F23" s="62"/>
      <c r="G23" s="3"/>
      <c r="H23" s="2"/>
      <c r="I23" s="63"/>
    </row>
    <row r="24" spans="1:9" x14ac:dyDescent="0.25">
      <c r="A24" s="2">
        <v>121603</v>
      </c>
      <c r="B24" s="2" t="s">
        <v>41</v>
      </c>
      <c r="C24" s="64" t="s">
        <v>42</v>
      </c>
      <c r="D24" s="53" t="s">
        <v>43</v>
      </c>
      <c r="E24" s="54">
        <v>1</v>
      </c>
      <c r="F24" s="54" t="s">
        <v>21</v>
      </c>
      <c r="G24" s="52"/>
      <c r="H24" s="5"/>
      <c r="I24" s="65"/>
    </row>
    <row r="25" spans="1:9" x14ac:dyDescent="0.25">
      <c r="A25" s="2">
        <v>1950692</v>
      </c>
      <c r="B25" s="2" t="s">
        <v>44</v>
      </c>
      <c r="C25" s="66" t="s">
        <v>45</v>
      </c>
      <c r="D25" s="53" t="s">
        <v>46</v>
      </c>
      <c r="E25" s="54">
        <v>1</v>
      </c>
      <c r="F25" s="54" t="s">
        <v>47</v>
      </c>
      <c r="G25" s="52"/>
      <c r="H25" s="5"/>
      <c r="I25" s="65"/>
    </row>
    <row r="26" spans="1:9" x14ac:dyDescent="0.25">
      <c r="A26" s="21">
        <v>702069</v>
      </c>
      <c r="B26" s="22" t="s">
        <v>48</v>
      </c>
      <c r="C26" s="1" t="s">
        <v>49</v>
      </c>
      <c r="D26" s="55" t="s">
        <v>50</v>
      </c>
      <c r="E26" s="27">
        <v>1</v>
      </c>
      <c r="F26" s="28" t="s">
        <v>21</v>
      </c>
      <c r="G26" s="3"/>
      <c r="H26" s="2"/>
      <c r="I26" s="63"/>
    </row>
    <row r="27" spans="1:9" x14ac:dyDescent="0.25">
      <c r="A27" s="67" t="s">
        <v>51</v>
      </c>
      <c r="B27" s="68" t="s">
        <v>52</v>
      </c>
      <c r="C27" s="56" t="s">
        <v>53</v>
      </c>
      <c r="D27" s="32" t="s">
        <v>46</v>
      </c>
      <c r="E27" s="27">
        <v>60</v>
      </c>
      <c r="F27" s="28" t="s">
        <v>54</v>
      </c>
      <c r="G27" s="52"/>
      <c r="H27" s="20"/>
      <c r="I27" s="23"/>
    </row>
    <row r="28" spans="1:9" x14ac:dyDescent="0.25">
      <c r="A28" s="22">
        <v>701096</v>
      </c>
      <c r="B28" s="22" t="s">
        <v>55</v>
      </c>
      <c r="C28" s="1" t="s">
        <v>56</v>
      </c>
      <c r="D28" s="32" t="s">
        <v>57</v>
      </c>
      <c r="E28" s="27">
        <v>1</v>
      </c>
      <c r="F28" s="28" t="s">
        <v>21</v>
      </c>
      <c r="G28" s="52"/>
      <c r="H28" s="20"/>
      <c r="I28" s="46"/>
    </row>
    <row r="29" spans="1:9" ht="15.75" x14ac:dyDescent="0.25">
      <c r="A29" s="67" t="s">
        <v>58</v>
      </c>
      <c r="B29" s="68" t="s">
        <v>59</v>
      </c>
      <c r="C29" s="56" t="s">
        <v>60</v>
      </c>
      <c r="D29" s="4" t="s">
        <v>61</v>
      </c>
      <c r="E29" s="27">
        <v>1</v>
      </c>
      <c r="F29" s="28" t="s">
        <v>21</v>
      </c>
      <c r="G29" s="19"/>
      <c r="H29" s="20"/>
      <c r="I29" s="24"/>
    </row>
    <row r="30" spans="1:9" ht="15.75" x14ac:dyDescent="0.25">
      <c r="A30" s="34">
        <v>60100120</v>
      </c>
      <c r="B30" s="22" t="s">
        <v>62</v>
      </c>
      <c r="C30" t="s">
        <v>63</v>
      </c>
      <c r="D30" s="4" t="s">
        <v>50</v>
      </c>
      <c r="E30" s="27">
        <v>1</v>
      </c>
      <c r="F30" s="28" t="s">
        <v>21</v>
      </c>
      <c r="G30" s="25"/>
      <c r="H30" s="26"/>
      <c r="I30" s="33"/>
    </row>
    <row r="31" spans="1:9" ht="15.75" x14ac:dyDescent="0.25">
      <c r="A31" s="29"/>
      <c r="B31" s="30"/>
      <c r="C31" s="31" t="s">
        <v>248</v>
      </c>
      <c r="D31" s="4"/>
      <c r="E31" s="27">
        <v>1</v>
      </c>
      <c r="F31" s="28" t="s">
        <v>21</v>
      </c>
      <c r="G31" s="35"/>
      <c r="H31" s="32"/>
      <c r="I31" s="36"/>
    </row>
    <row r="32" spans="1:9" ht="15.75" thickBot="1" x14ac:dyDescent="0.3">
      <c r="A32" s="37"/>
      <c r="B32" s="38"/>
      <c r="C32" s="39"/>
      <c r="D32" s="40" t="s">
        <v>15</v>
      </c>
      <c r="E32" s="41" t="s">
        <v>22</v>
      </c>
      <c r="F32" s="42"/>
      <c r="G32" s="39"/>
      <c r="H32" s="39"/>
      <c r="I32" s="43"/>
    </row>
    <row r="33" spans="1:9" x14ac:dyDescent="0.25">
      <c r="A33" s="623" t="s">
        <v>23</v>
      </c>
      <c r="B33" s="624"/>
      <c r="C33" s="625"/>
      <c r="D33" s="3">
        <v>1150</v>
      </c>
      <c r="E33" s="44" t="s">
        <v>19</v>
      </c>
      <c r="F33" s="626" t="s">
        <v>33</v>
      </c>
      <c r="G33" s="626"/>
      <c r="H33" s="627"/>
      <c r="I33" s="628"/>
    </row>
    <row r="34" spans="1:9" x14ac:dyDescent="0.25">
      <c r="A34" s="578" t="s">
        <v>24</v>
      </c>
      <c r="B34" s="579"/>
      <c r="C34" s="580"/>
      <c r="D34" s="2">
        <v>10</v>
      </c>
      <c r="E34" s="18" t="s">
        <v>25</v>
      </c>
      <c r="F34" s="581" t="s">
        <v>34</v>
      </c>
      <c r="G34" s="581"/>
      <c r="H34" s="582"/>
      <c r="I34" s="583"/>
    </row>
    <row r="35" spans="1:9" x14ac:dyDescent="0.25">
      <c r="A35" s="578" t="s">
        <v>26</v>
      </c>
      <c r="B35" s="579"/>
      <c r="C35" s="580"/>
      <c r="D35" s="3">
        <v>1</v>
      </c>
      <c r="E35" s="18" t="s">
        <v>21</v>
      </c>
      <c r="F35" s="581" t="s">
        <v>35</v>
      </c>
      <c r="G35" s="581"/>
      <c r="H35" s="582"/>
      <c r="I35" s="583"/>
    </row>
    <row r="36" spans="1:9" x14ac:dyDescent="0.25">
      <c r="A36" s="578" t="s">
        <v>27</v>
      </c>
      <c r="B36" s="579"/>
      <c r="C36" s="580"/>
      <c r="D36" s="3">
        <v>1150</v>
      </c>
      <c r="E36" s="17" t="s">
        <v>19</v>
      </c>
      <c r="F36" s="641" t="s">
        <v>36</v>
      </c>
      <c r="G36" s="641"/>
      <c r="H36" s="582"/>
      <c r="I36" s="583"/>
    </row>
    <row r="37" spans="1:9" ht="15.75" thickBot="1" x14ac:dyDescent="0.3">
      <c r="A37" s="642" t="s">
        <v>28</v>
      </c>
      <c r="B37" s="643"/>
      <c r="C37" s="644"/>
      <c r="D37" s="6">
        <v>107</v>
      </c>
      <c r="E37" s="45" t="s">
        <v>19</v>
      </c>
      <c r="F37" s="645"/>
      <c r="G37" s="645"/>
      <c r="H37" s="646"/>
      <c r="I37" s="647"/>
    </row>
    <row r="38" spans="1:9" ht="15.75" thickBot="1" x14ac:dyDescent="0.3">
      <c r="A38" s="584" t="s">
        <v>29</v>
      </c>
      <c r="B38" s="585"/>
      <c r="C38" s="585"/>
      <c r="D38" s="585"/>
      <c r="E38" s="585"/>
      <c r="F38" s="585"/>
      <c r="G38" s="585"/>
      <c r="H38" s="585"/>
      <c r="I38" s="586"/>
    </row>
    <row r="39" spans="1:9" x14ac:dyDescent="0.25">
      <c r="A39" s="587" t="s">
        <v>249</v>
      </c>
      <c r="B39" s="588"/>
      <c r="C39" s="589"/>
      <c r="D39" s="589"/>
      <c r="E39" s="589"/>
      <c r="F39" s="589"/>
      <c r="G39" s="589"/>
      <c r="H39" s="589"/>
      <c r="I39" s="590"/>
    </row>
    <row r="40" spans="1:9" x14ac:dyDescent="0.25">
      <c r="A40" s="591" t="s">
        <v>250</v>
      </c>
      <c r="B40" s="592"/>
      <c r="C40" s="592"/>
      <c r="D40" s="592"/>
      <c r="E40" s="592"/>
      <c r="F40" s="592"/>
      <c r="G40" s="592"/>
      <c r="H40" s="592"/>
      <c r="I40" s="593"/>
    </row>
    <row r="41" spans="1:9" x14ac:dyDescent="0.25">
      <c r="A41" s="594" t="s">
        <v>251</v>
      </c>
      <c r="B41" s="595"/>
      <c r="C41" s="596"/>
      <c r="D41" s="596"/>
      <c r="E41" s="596"/>
      <c r="F41" s="596"/>
      <c r="G41" s="596"/>
      <c r="H41" s="596"/>
      <c r="I41" s="597"/>
    </row>
    <row r="42" spans="1:9" ht="16.5" x14ac:dyDescent="0.3">
      <c r="A42" s="598" t="s">
        <v>144</v>
      </c>
      <c r="B42" s="599"/>
      <c r="C42" s="599"/>
      <c r="D42" s="599"/>
      <c r="E42" s="599"/>
      <c r="F42" s="599"/>
      <c r="G42" s="599"/>
      <c r="H42" s="599"/>
      <c r="I42" s="600"/>
    </row>
    <row r="43" spans="1:9" x14ac:dyDescent="0.25">
      <c r="A43" s="601" t="s">
        <v>252</v>
      </c>
      <c r="B43" s="602"/>
      <c r="C43" s="603"/>
      <c r="D43" s="603"/>
      <c r="E43" s="603"/>
      <c r="F43" s="603"/>
      <c r="G43" s="603"/>
      <c r="H43" s="603"/>
      <c r="I43" s="604"/>
    </row>
    <row r="44" spans="1:9" x14ac:dyDescent="0.25">
      <c r="A44" s="575" t="s">
        <v>146</v>
      </c>
      <c r="B44" s="576"/>
      <c r="C44" s="576"/>
      <c r="D44" s="576"/>
      <c r="E44" s="576"/>
      <c r="F44" s="576"/>
      <c r="G44" s="576"/>
      <c r="H44" s="576"/>
      <c r="I44" s="577"/>
    </row>
    <row r="45" spans="1:9" ht="15.75" thickBot="1" x14ac:dyDescent="0.3">
      <c r="A45" s="648" t="s">
        <v>148</v>
      </c>
      <c r="B45" s="649"/>
      <c r="C45" s="650"/>
      <c r="D45" s="650"/>
      <c r="E45" s="650"/>
      <c r="F45" s="650"/>
      <c r="G45" s="650"/>
      <c r="H45" s="650"/>
      <c r="I45" s="651"/>
    </row>
    <row r="46" spans="1:9" x14ac:dyDescent="0.25">
      <c r="A46" s="652" t="s">
        <v>37</v>
      </c>
      <c r="B46" s="653"/>
      <c r="C46" s="653"/>
      <c r="D46" s="653"/>
      <c r="E46" s="653"/>
      <c r="F46" s="653"/>
      <c r="G46" s="653"/>
      <c r="H46" s="653"/>
      <c r="I46" s="654"/>
    </row>
    <row r="47" spans="1:9" ht="15.75" thickBot="1" x14ac:dyDescent="0.3">
      <c r="A47" s="655"/>
      <c r="B47" s="656"/>
      <c r="C47" s="657"/>
      <c r="D47" s="657"/>
      <c r="E47" s="657"/>
      <c r="F47" s="657"/>
      <c r="G47" s="657"/>
      <c r="H47" s="657"/>
      <c r="I47" s="658"/>
    </row>
    <row r="48" spans="1:9" ht="15.75" thickBot="1" x14ac:dyDescent="0.3">
      <c r="A48" s="619"/>
      <c r="B48" s="620"/>
      <c r="C48" s="621"/>
      <c r="D48" s="621"/>
      <c r="E48" s="621"/>
      <c r="F48" s="621"/>
      <c r="G48" s="621"/>
      <c r="H48" s="621"/>
      <c r="I48" s="622"/>
    </row>
    <row r="49" spans="1:9" ht="15.75" thickBot="1" x14ac:dyDescent="0.3">
      <c r="A49" s="619"/>
      <c r="B49" s="620"/>
      <c r="C49" s="621"/>
      <c r="D49" s="621"/>
      <c r="E49" s="621"/>
      <c r="F49" s="621"/>
      <c r="G49" s="621"/>
      <c r="H49" s="621"/>
      <c r="I49" s="622"/>
    </row>
    <row r="50" spans="1:9" ht="15.75" thickBot="1" x14ac:dyDescent="0.3">
      <c r="A50" s="619"/>
      <c r="B50" s="620"/>
      <c r="C50" s="621"/>
      <c r="D50" s="621"/>
      <c r="E50" s="621"/>
      <c r="F50" s="621"/>
      <c r="G50" s="621"/>
      <c r="H50" s="621"/>
      <c r="I50" s="622"/>
    </row>
    <row r="51" spans="1:9" ht="15.75" thickBot="1" x14ac:dyDescent="0.3">
      <c r="A51" s="619"/>
      <c r="B51" s="620"/>
      <c r="C51" s="621"/>
      <c r="D51" s="621"/>
      <c r="E51" s="621"/>
      <c r="F51" s="621"/>
      <c r="G51" s="621"/>
      <c r="H51" s="621"/>
      <c r="I51" s="622"/>
    </row>
    <row r="52" spans="1:9" ht="15.75" thickBot="1" x14ac:dyDescent="0.3">
      <c r="A52" s="619"/>
      <c r="B52" s="620"/>
      <c r="C52" s="621"/>
      <c r="D52" s="621"/>
      <c r="E52" s="621"/>
      <c r="F52" s="621"/>
      <c r="G52" s="621"/>
      <c r="H52" s="621"/>
      <c r="I52" s="622"/>
    </row>
    <row r="53" spans="1:9" ht="15.75" thickBot="1" x14ac:dyDescent="0.3">
      <c r="A53" s="619"/>
      <c r="B53" s="620"/>
      <c r="C53" s="621"/>
      <c r="D53" s="621"/>
      <c r="E53" s="621"/>
      <c r="F53" s="621"/>
      <c r="G53" s="621"/>
      <c r="H53" s="621"/>
      <c r="I53" s="622"/>
    </row>
    <row r="54" spans="1:9" ht="15.75" thickBot="1" x14ac:dyDescent="0.3">
      <c r="A54" s="619"/>
      <c r="B54" s="620"/>
      <c r="C54" s="621"/>
      <c r="D54" s="621"/>
      <c r="E54" s="621"/>
      <c r="F54" s="621"/>
      <c r="G54" s="621"/>
      <c r="H54" s="621"/>
      <c r="I54" s="622"/>
    </row>
  </sheetData>
  <mergeCells count="49">
    <mergeCell ref="A40:I40"/>
    <mergeCell ref="A41:I41"/>
    <mergeCell ref="A42:I42"/>
    <mergeCell ref="A43:I43"/>
    <mergeCell ref="A35:C35"/>
    <mergeCell ref="F35:G35"/>
    <mergeCell ref="H35:I35"/>
    <mergeCell ref="A34:C34"/>
    <mergeCell ref="F34:G34"/>
    <mergeCell ref="H34:I34"/>
    <mergeCell ref="A38:I38"/>
    <mergeCell ref="A39:I39"/>
    <mergeCell ref="E7:F7"/>
    <mergeCell ref="I3:I5"/>
    <mergeCell ref="D4:G4"/>
    <mergeCell ref="D5:G5"/>
    <mergeCell ref="G7:H7"/>
    <mergeCell ref="C1:G1"/>
    <mergeCell ref="C2:G2"/>
    <mergeCell ref="C3:G3"/>
    <mergeCell ref="H3:H5"/>
    <mergeCell ref="A53:I53"/>
    <mergeCell ref="A33:C33"/>
    <mergeCell ref="F33:G33"/>
    <mergeCell ref="H33:I33"/>
    <mergeCell ref="A1:B5"/>
    <mergeCell ref="A6:C6"/>
    <mergeCell ref="D6:F6"/>
    <mergeCell ref="G6:H6"/>
    <mergeCell ref="A7:A8"/>
    <mergeCell ref="B7:B8"/>
    <mergeCell ref="C7:C8"/>
    <mergeCell ref="D7:D8"/>
    <mergeCell ref="A54:I54"/>
    <mergeCell ref="A36:C36"/>
    <mergeCell ref="F36:G36"/>
    <mergeCell ref="H36:I36"/>
    <mergeCell ref="A37:C37"/>
    <mergeCell ref="F37:G37"/>
    <mergeCell ref="H37:I37"/>
    <mergeCell ref="A51:I51"/>
    <mergeCell ref="A52:I52"/>
    <mergeCell ref="A45:I45"/>
    <mergeCell ref="A46:I46"/>
    <mergeCell ref="A47:I47"/>
    <mergeCell ref="A48:I48"/>
    <mergeCell ref="A49:I49"/>
    <mergeCell ref="A50:I50"/>
    <mergeCell ref="A44:I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5692-829C-4D5C-B1E1-8C8381BE82DB}">
  <dimension ref="A1:M28"/>
  <sheetViews>
    <sheetView workbookViewId="0">
      <selection activeCell="B8" sqref="B8"/>
    </sheetView>
  </sheetViews>
  <sheetFormatPr baseColWidth="10" defaultColWidth="11.42578125" defaultRowHeight="13.5" x14ac:dyDescent="0.25"/>
  <cols>
    <col min="1" max="1" width="16.140625" style="121" customWidth="1"/>
    <col min="2" max="2" width="11.140625" style="121" customWidth="1"/>
    <col min="3" max="3" width="44.28515625" style="121" customWidth="1"/>
    <col min="4" max="4" width="14.140625" style="121" customWidth="1"/>
    <col min="5" max="5" width="11.42578125" style="121"/>
    <col min="6" max="6" width="12.140625" style="121" customWidth="1"/>
    <col min="7" max="7" width="12" style="121" customWidth="1"/>
    <col min="8" max="8" width="14.28515625" style="121" customWidth="1"/>
    <col min="9" max="9" width="16" style="121" customWidth="1"/>
    <col min="10" max="16384" width="11.42578125" style="121"/>
  </cols>
  <sheetData>
    <row r="1" spans="1:13" ht="15.75" x14ac:dyDescent="0.25">
      <c r="A1" s="629"/>
      <c r="B1" s="630"/>
      <c r="C1" s="611" t="s">
        <v>0</v>
      </c>
      <c r="D1" s="611"/>
      <c r="E1" s="611"/>
      <c r="F1" s="611"/>
      <c r="G1" s="611"/>
      <c r="H1" s="122" t="s">
        <v>1</v>
      </c>
      <c r="I1" s="123" t="s">
        <v>287</v>
      </c>
    </row>
    <row r="2" spans="1:13" ht="16.5" thickBot="1" x14ac:dyDescent="0.3">
      <c r="A2" s="631"/>
      <c r="B2" s="632"/>
      <c r="C2" s="612" t="s">
        <v>2</v>
      </c>
      <c r="D2" s="612"/>
      <c r="E2" s="612"/>
      <c r="F2" s="612"/>
      <c r="G2" s="612"/>
      <c r="H2" s="124" t="s">
        <v>3</v>
      </c>
      <c r="I2" s="125" t="s">
        <v>288</v>
      </c>
    </row>
    <row r="3" spans="1:13" ht="18.75" thickBot="1" x14ac:dyDescent="0.3">
      <c r="A3" s="631"/>
      <c r="B3" s="632"/>
      <c r="C3" s="666" t="s">
        <v>289</v>
      </c>
      <c r="D3" s="667"/>
      <c r="E3" s="667"/>
      <c r="F3" s="667"/>
      <c r="G3" s="668"/>
      <c r="H3" s="616" t="s">
        <v>4</v>
      </c>
      <c r="I3" s="606" t="s">
        <v>290</v>
      </c>
    </row>
    <row r="4" spans="1:13" x14ac:dyDescent="0.25">
      <c r="A4" s="631"/>
      <c r="B4" s="632"/>
      <c r="C4" s="126" t="s">
        <v>5</v>
      </c>
      <c r="D4" s="659" t="s">
        <v>291</v>
      </c>
      <c r="E4" s="660"/>
      <c r="F4" s="660"/>
      <c r="G4" s="661"/>
      <c r="H4" s="617"/>
      <c r="I4" s="607"/>
    </row>
    <row r="5" spans="1:13" ht="14.25" thickBot="1" x14ac:dyDescent="0.3">
      <c r="A5" s="633"/>
      <c r="B5" s="634"/>
      <c r="C5" s="321" t="s">
        <v>6</v>
      </c>
      <c r="D5" s="662" t="s">
        <v>31</v>
      </c>
      <c r="E5" s="663"/>
      <c r="F5" s="663"/>
      <c r="G5" s="664"/>
      <c r="H5" s="618"/>
      <c r="I5" s="607"/>
    </row>
    <row r="6" spans="1:13" ht="25.5" x14ac:dyDescent="0.25">
      <c r="A6" s="669" t="s">
        <v>9</v>
      </c>
      <c r="B6" s="671" t="s">
        <v>32</v>
      </c>
      <c r="C6" s="665" t="s">
        <v>10</v>
      </c>
      <c r="D6" s="665" t="s">
        <v>11</v>
      </c>
      <c r="E6" s="665" t="s">
        <v>12</v>
      </c>
      <c r="F6" s="665"/>
      <c r="G6" s="665" t="s">
        <v>13</v>
      </c>
      <c r="H6" s="665"/>
      <c r="I6" s="322" t="s">
        <v>14</v>
      </c>
    </row>
    <row r="7" spans="1:13" ht="27" thickBot="1" x14ac:dyDescent="0.3">
      <c r="A7" s="670"/>
      <c r="B7" s="672"/>
      <c r="C7" s="673"/>
      <c r="D7" s="673"/>
      <c r="E7" s="127" t="s">
        <v>15</v>
      </c>
      <c r="F7" s="128" t="s">
        <v>16</v>
      </c>
      <c r="G7" s="127" t="s">
        <v>15</v>
      </c>
      <c r="H7" s="128" t="s">
        <v>16</v>
      </c>
      <c r="I7" s="129" t="s">
        <v>17</v>
      </c>
    </row>
    <row r="8" spans="1:13" ht="15" x14ac:dyDescent="0.25">
      <c r="A8" s="22">
        <v>907000264</v>
      </c>
      <c r="B8" s="305" t="s">
        <v>292</v>
      </c>
      <c r="C8" s="339" t="s">
        <v>293</v>
      </c>
      <c r="D8" s="335" t="s">
        <v>18</v>
      </c>
      <c r="E8" s="340">
        <v>39000</v>
      </c>
      <c r="F8" s="337" t="s">
        <v>19</v>
      </c>
      <c r="G8" s="341"/>
      <c r="H8" s="335"/>
      <c r="I8" s="342"/>
    </row>
    <row r="9" spans="1:13" ht="15" x14ac:dyDescent="0.25">
      <c r="A9" s="343"/>
      <c r="B9" s="344"/>
      <c r="C9" s="345"/>
      <c r="D9" s="335"/>
      <c r="E9" s="340"/>
      <c r="F9" s="337"/>
      <c r="G9" s="336"/>
      <c r="H9" s="335"/>
      <c r="I9" s="342"/>
    </row>
    <row r="10" spans="1:13" ht="15" x14ac:dyDescent="0.25">
      <c r="A10" s="346"/>
      <c r="B10" s="347"/>
      <c r="C10" s="348" t="s">
        <v>20</v>
      </c>
      <c r="D10" s="349"/>
      <c r="E10" s="340"/>
      <c r="F10" s="337"/>
      <c r="G10" s="336"/>
      <c r="H10" s="335"/>
      <c r="I10" s="342"/>
    </row>
    <row r="11" spans="1:13" ht="15" x14ac:dyDescent="0.25">
      <c r="A11" s="22">
        <v>902000019</v>
      </c>
      <c r="B11" s="22"/>
      <c r="C11" s="350" t="s">
        <v>294</v>
      </c>
      <c r="D11" s="349" t="s">
        <v>295</v>
      </c>
      <c r="E11" s="340">
        <f>15*97</f>
        <v>1455</v>
      </c>
      <c r="F11" s="337" t="s">
        <v>19</v>
      </c>
      <c r="G11" s="351"/>
      <c r="H11" s="352"/>
      <c r="I11" s="353"/>
    </row>
    <row r="12" spans="1:13" ht="15" x14ac:dyDescent="0.25">
      <c r="A12" s="22" t="s">
        <v>101</v>
      </c>
      <c r="B12" s="22" t="s">
        <v>102</v>
      </c>
      <c r="C12" s="1" t="s">
        <v>296</v>
      </c>
      <c r="D12" s="349" t="s">
        <v>104</v>
      </c>
      <c r="E12" s="340">
        <v>8</v>
      </c>
      <c r="F12" s="337" t="s">
        <v>21</v>
      </c>
      <c r="G12" s="351"/>
      <c r="H12" s="352"/>
      <c r="I12" s="353"/>
    </row>
    <row r="13" spans="1:13" ht="15" x14ac:dyDescent="0.25">
      <c r="A13" s="354">
        <v>702123</v>
      </c>
      <c r="B13" s="355" t="s">
        <v>59</v>
      </c>
      <c r="C13" s="356" t="s">
        <v>99</v>
      </c>
      <c r="D13" s="349" t="s">
        <v>61</v>
      </c>
      <c r="E13" s="340">
        <v>8</v>
      </c>
      <c r="F13" s="337" t="s">
        <v>21</v>
      </c>
      <c r="G13" s="351"/>
      <c r="H13" s="352"/>
      <c r="I13" s="353"/>
    </row>
    <row r="14" spans="1:13" ht="15" x14ac:dyDescent="0.25">
      <c r="A14" s="22" t="s">
        <v>275</v>
      </c>
      <c r="B14" s="22" t="s">
        <v>297</v>
      </c>
      <c r="C14" s="1" t="s">
        <v>298</v>
      </c>
      <c r="D14" s="349" t="s">
        <v>61</v>
      </c>
      <c r="E14" s="340">
        <v>8</v>
      </c>
      <c r="F14" s="337" t="s">
        <v>21</v>
      </c>
      <c r="G14" s="140"/>
      <c r="H14" s="140"/>
      <c r="I14" s="141"/>
    </row>
    <row r="15" spans="1:13" ht="15.75" thickBot="1" x14ac:dyDescent="0.3">
      <c r="A15" s="149"/>
      <c r="B15" s="150"/>
      <c r="E15" s="151"/>
      <c r="F15" s="152"/>
      <c r="I15" s="153"/>
      <c r="L15" s="305"/>
      <c r="M15" s="339"/>
    </row>
    <row r="16" spans="1:13" ht="14.25" thickBot="1" x14ac:dyDescent="0.3">
      <c r="A16" s="155"/>
      <c r="B16" s="156"/>
      <c r="C16" s="157"/>
      <c r="D16" s="158" t="s">
        <v>15</v>
      </c>
      <c r="E16" s="159" t="s">
        <v>22</v>
      </c>
      <c r="F16" s="160"/>
      <c r="G16" s="157"/>
      <c r="H16" s="157"/>
      <c r="I16" s="161"/>
      <c r="L16" s="154"/>
    </row>
    <row r="17" spans="1:13" x14ac:dyDescent="0.25">
      <c r="A17" s="674" t="s">
        <v>23</v>
      </c>
      <c r="B17" s="675"/>
      <c r="C17" s="676"/>
      <c r="D17" s="19">
        <f>97*400</f>
        <v>38800</v>
      </c>
      <c r="E17" s="162" t="s">
        <v>19</v>
      </c>
      <c r="F17" s="677" t="s">
        <v>33</v>
      </c>
      <c r="G17" s="677"/>
      <c r="H17" s="678"/>
      <c r="I17" s="679"/>
      <c r="L17" s="154"/>
    </row>
    <row r="18" spans="1:13" x14ac:dyDescent="0.25">
      <c r="A18" s="578" t="s">
        <v>24</v>
      </c>
      <c r="B18" s="579"/>
      <c r="C18" s="580"/>
      <c r="D18" s="18">
        <v>40</v>
      </c>
      <c r="E18" s="18" t="s">
        <v>299</v>
      </c>
      <c r="F18" s="581" t="s">
        <v>34</v>
      </c>
      <c r="G18" s="581"/>
      <c r="H18" s="582"/>
      <c r="I18" s="583"/>
      <c r="L18" s="154"/>
    </row>
    <row r="19" spans="1:13" x14ac:dyDescent="0.25">
      <c r="A19" s="578" t="s">
        <v>26</v>
      </c>
      <c r="B19" s="579"/>
      <c r="C19" s="580"/>
      <c r="D19" s="139">
        <f>+D17/D20</f>
        <v>97</v>
      </c>
      <c r="E19" s="18" t="s">
        <v>21</v>
      </c>
      <c r="F19" s="581" t="s">
        <v>35</v>
      </c>
      <c r="G19" s="581"/>
      <c r="H19" s="582"/>
      <c r="I19" s="583"/>
      <c r="L19" s="154"/>
    </row>
    <row r="20" spans="1:13" x14ac:dyDescent="0.25">
      <c r="A20" s="578" t="s">
        <v>300</v>
      </c>
      <c r="B20" s="579"/>
      <c r="C20" s="580"/>
      <c r="D20" s="139">
        <v>400</v>
      </c>
      <c r="E20" s="18" t="s">
        <v>19</v>
      </c>
      <c r="F20" s="680" t="s">
        <v>36</v>
      </c>
      <c r="G20" s="681"/>
      <c r="H20" s="582"/>
      <c r="I20" s="583"/>
      <c r="K20" s="121">
        <f>97/2</f>
        <v>48.5</v>
      </c>
      <c r="L20" s="154"/>
      <c r="M20" s="164"/>
    </row>
    <row r="21" spans="1:13" ht="14.25" thickBot="1" x14ac:dyDescent="0.3">
      <c r="A21" s="685" t="s">
        <v>28</v>
      </c>
      <c r="B21" s="644"/>
      <c r="C21" s="686"/>
      <c r="D21" s="165">
        <f>+E8-D17</f>
        <v>200</v>
      </c>
      <c r="E21" s="18" t="s">
        <v>19</v>
      </c>
      <c r="F21" s="645"/>
      <c r="G21" s="645"/>
      <c r="H21" s="646"/>
      <c r="I21" s="647"/>
      <c r="L21" s="154"/>
    </row>
    <row r="22" spans="1:13" ht="14.25" thickBot="1" x14ac:dyDescent="0.3">
      <c r="A22" s="682" t="s">
        <v>29</v>
      </c>
      <c r="B22" s="683"/>
      <c r="C22" s="683"/>
      <c r="D22" s="683"/>
      <c r="E22" s="683"/>
      <c r="F22" s="683"/>
      <c r="G22" s="683"/>
      <c r="H22" s="683"/>
      <c r="I22" s="684"/>
    </row>
    <row r="23" spans="1:13" x14ac:dyDescent="0.25">
      <c r="A23" s="591" t="s">
        <v>301</v>
      </c>
      <c r="B23" s="592"/>
      <c r="C23" s="592"/>
      <c r="D23" s="592"/>
      <c r="E23" s="592"/>
      <c r="F23" s="592"/>
      <c r="G23" s="592"/>
      <c r="H23" s="592"/>
      <c r="I23" s="593"/>
    </row>
    <row r="24" spans="1:13" x14ac:dyDescent="0.25">
      <c r="A24" s="591" t="s">
        <v>302</v>
      </c>
      <c r="B24" s="592"/>
      <c r="C24" s="592"/>
      <c r="D24" s="592"/>
      <c r="E24" s="592"/>
      <c r="F24" s="592"/>
      <c r="G24" s="592"/>
      <c r="H24" s="592"/>
      <c r="I24" s="593"/>
    </row>
    <row r="25" spans="1:13" ht="14.25" thickBot="1" x14ac:dyDescent="0.3">
      <c r="A25" s="648"/>
      <c r="B25" s="649"/>
      <c r="C25" s="650"/>
      <c r="D25" s="650"/>
      <c r="E25" s="650"/>
      <c r="F25" s="650"/>
      <c r="G25" s="650"/>
      <c r="H25" s="650"/>
      <c r="I25" s="651"/>
    </row>
    <row r="26" spans="1:13" ht="14.25" thickBot="1" x14ac:dyDescent="0.3">
      <c r="A26" s="682" t="s">
        <v>84</v>
      </c>
      <c r="B26" s="683"/>
      <c r="C26" s="683"/>
      <c r="D26" s="683"/>
      <c r="E26" s="683"/>
      <c r="F26" s="683"/>
      <c r="G26" s="683"/>
      <c r="H26" s="683"/>
      <c r="I26" s="684"/>
    </row>
    <row r="27" spans="1:13" x14ac:dyDescent="0.25">
      <c r="A27" s="323" t="s">
        <v>303</v>
      </c>
      <c r="B27" s="323"/>
      <c r="C27" s="323"/>
    </row>
    <row r="28" spans="1:13" x14ac:dyDescent="0.25">
      <c r="A28" s="323"/>
      <c r="B28" s="323"/>
    </row>
  </sheetData>
  <mergeCells count="34">
    <mergeCell ref="A25:I25"/>
    <mergeCell ref="A26:I26"/>
    <mergeCell ref="A21:C21"/>
    <mergeCell ref="F21:G21"/>
    <mergeCell ref="H21:I21"/>
    <mergeCell ref="A22:I22"/>
    <mergeCell ref="A23:I23"/>
    <mergeCell ref="A24:I24"/>
    <mergeCell ref="A19:C19"/>
    <mergeCell ref="F19:G19"/>
    <mergeCell ref="H19:I19"/>
    <mergeCell ref="A20:C20"/>
    <mergeCell ref="F20:G20"/>
    <mergeCell ref="H20:I20"/>
    <mergeCell ref="A17:C17"/>
    <mergeCell ref="F17:G17"/>
    <mergeCell ref="H17:I17"/>
    <mergeCell ref="A18:C18"/>
    <mergeCell ref="F18:G18"/>
    <mergeCell ref="H18:I18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D82B-17A5-414F-8E50-20D5CB96B5A2}">
  <dimension ref="A1:M44"/>
  <sheetViews>
    <sheetView topLeftCell="A3" workbookViewId="0">
      <selection activeCell="B10" sqref="B10"/>
    </sheetView>
  </sheetViews>
  <sheetFormatPr baseColWidth="10" defaultColWidth="11.42578125" defaultRowHeight="12.75" x14ac:dyDescent="0.2"/>
  <cols>
    <col min="1" max="1" width="16.140625" style="359" customWidth="1"/>
    <col min="2" max="2" width="12.140625" style="359" customWidth="1"/>
    <col min="3" max="3" width="46.85546875" style="359" customWidth="1"/>
    <col min="4" max="4" width="18.5703125" style="359" customWidth="1"/>
    <col min="5" max="5" width="11.42578125" style="359"/>
    <col min="6" max="6" width="13.140625" style="359" customWidth="1"/>
    <col min="7" max="7" width="12.5703125" style="359" customWidth="1"/>
    <col min="8" max="8" width="15.5703125" style="359" customWidth="1"/>
    <col min="9" max="9" width="16" style="359" customWidth="1"/>
    <col min="10" max="16384" width="11.42578125" style="359"/>
  </cols>
  <sheetData>
    <row r="1" spans="1:9" ht="18" x14ac:dyDescent="0.25">
      <c r="A1" s="691"/>
      <c r="B1" s="692"/>
      <c r="C1" s="697" t="s">
        <v>0</v>
      </c>
      <c r="D1" s="697"/>
      <c r="E1" s="697"/>
      <c r="F1" s="697"/>
      <c r="G1" s="697"/>
      <c r="H1" s="357" t="s">
        <v>1</v>
      </c>
      <c r="I1" s="358" t="s">
        <v>304</v>
      </c>
    </row>
    <row r="2" spans="1:9" ht="18" x14ac:dyDescent="0.25">
      <c r="A2" s="693"/>
      <c r="B2" s="694"/>
      <c r="C2" s="698" t="s">
        <v>2</v>
      </c>
      <c r="D2" s="698"/>
      <c r="E2" s="698"/>
      <c r="F2" s="698"/>
      <c r="G2" s="698"/>
      <c r="H2" s="361" t="s">
        <v>3</v>
      </c>
      <c r="I2" s="362" t="s">
        <v>288</v>
      </c>
    </row>
    <row r="3" spans="1:9" ht="50.1" customHeight="1" x14ac:dyDescent="0.2">
      <c r="A3" s="693"/>
      <c r="B3" s="694"/>
      <c r="C3" s="699" t="s">
        <v>305</v>
      </c>
      <c r="D3" s="700"/>
      <c r="E3" s="700"/>
      <c r="F3" s="700"/>
      <c r="G3" s="701"/>
      <c r="H3" s="702" t="s">
        <v>4</v>
      </c>
      <c r="I3" s="687">
        <v>44671</v>
      </c>
    </row>
    <row r="4" spans="1:9" x14ac:dyDescent="0.2">
      <c r="A4" s="693"/>
      <c r="B4" s="694"/>
      <c r="C4" s="363" t="s">
        <v>5</v>
      </c>
      <c r="D4" s="689" t="s">
        <v>306</v>
      </c>
      <c r="E4" s="689"/>
      <c r="F4" s="689"/>
      <c r="G4" s="689"/>
      <c r="H4" s="702"/>
      <c r="I4" s="687"/>
    </row>
    <row r="5" spans="1:9" ht="15" customHeight="1" thickBot="1" x14ac:dyDescent="0.25">
      <c r="A5" s="695"/>
      <c r="B5" s="696"/>
      <c r="C5" s="364" t="s">
        <v>6</v>
      </c>
      <c r="D5" s="690" t="s">
        <v>31</v>
      </c>
      <c r="E5" s="690"/>
      <c r="F5" s="690"/>
      <c r="G5" s="690"/>
      <c r="H5" s="703"/>
      <c r="I5" s="688"/>
    </row>
    <row r="6" spans="1:9" ht="15" customHeight="1" x14ac:dyDescent="0.2">
      <c r="A6" s="365"/>
      <c r="B6" s="365"/>
      <c r="C6" s="366"/>
      <c r="D6" s="367"/>
      <c r="E6" s="367"/>
      <c r="F6" s="367"/>
      <c r="G6" s="367"/>
      <c r="H6" s="368"/>
      <c r="I6" s="369"/>
    </row>
    <row r="7" spans="1:9" ht="21" customHeight="1" thickBot="1" x14ac:dyDescent="0.3">
      <c r="A7" s="704" t="s">
        <v>7</v>
      </c>
      <c r="B7" s="704"/>
      <c r="C7" s="704"/>
      <c r="D7" s="705" t="s">
        <v>307</v>
      </c>
      <c r="E7" s="705"/>
      <c r="F7" s="705"/>
      <c r="G7" s="706" t="s">
        <v>8</v>
      </c>
      <c r="H7" s="706"/>
      <c r="I7" s="370" t="s">
        <v>307</v>
      </c>
    </row>
    <row r="8" spans="1:9" ht="25.5" x14ac:dyDescent="0.2">
      <c r="A8" s="707" t="s">
        <v>9</v>
      </c>
      <c r="B8" s="709" t="s">
        <v>32</v>
      </c>
      <c r="C8" s="711" t="s">
        <v>10</v>
      </c>
      <c r="D8" s="711" t="s">
        <v>11</v>
      </c>
      <c r="E8" s="711" t="s">
        <v>12</v>
      </c>
      <c r="F8" s="711"/>
      <c r="G8" s="711" t="s">
        <v>13</v>
      </c>
      <c r="H8" s="711"/>
      <c r="I8" s="371" t="s">
        <v>14</v>
      </c>
    </row>
    <row r="9" spans="1:9" ht="26.25" thickBot="1" x14ac:dyDescent="0.25">
      <c r="A9" s="708"/>
      <c r="B9" s="710"/>
      <c r="C9" s="712"/>
      <c r="D9" s="712"/>
      <c r="E9" s="372" t="s">
        <v>15</v>
      </c>
      <c r="F9" s="373" t="s">
        <v>16</v>
      </c>
      <c r="G9" s="372" t="s">
        <v>15</v>
      </c>
      <c r="H9" s="373" t="s">
        <v>16</v>
      </c>
      <c r="I9" s="374" t="s">
        <v>17</v>
      </c>
    </row>
    <row r="10" spans="1:9" ht="15" x14ac:dyDescent="0.2">
      <c r="A10" s="354">
        <v>906000130</v>
      </c>
      <c r="B10" s="355" t="s">
        <v>308</v>
      </c>
      <c r="C10" s="356" t="s">
        <v>309</v>
      </c>
      <c r="D10" s="375" t="s">
        <v>18</v>
      </c>
      <c r="E10" s="376">
        <v>21971</v>
      </c>
      <c r="F10" s="375" t="s">
        <v>19</v>
      </c>
      <c r="G10" s="376">
        <f>E10/39</f>
        <v>563.35897435897436</v>
      </c>
      <c r="H10" s="377"/>
      <c r="I10" s="378"/>
    </row>
    <row r="11" spans="1:9" ht="15" x14ac:dyDescent="0.2">
      <c r="A11" s="143">
        <v>1210482</v>
      </c>
      <c r="B11" s="143" t="s">
        <v>95</v>
      </c>
      <c r="C11" s="144" t="s">
        <v>310</v>
      </c>
      <c r="D11" s="379" t="s">
        <v>97</v>
      </c>
      <c r="E11" s="379">
        <v>6687</v>
      </c>
      <c r="F11" s="379" t="s">
        <v>19</v>
      </c>
      <c r="G11" s="376">
        <f>66*2</f>
        <v>132</v>
      </c>
      <c r="H11" s="377"/>
      <c r="I11" s="378"/>
    </row>
    <row r="12" spans="1:9" ht="15" x14ac:dyDescent="0.2">
      <c r="A12" s="143">
        <v>10100050</v>
      </c>
      <c r="B12" s="143" t="s">
        <v>311</v>
      </c>
      <c r="C12" s="144" t="s">
        <v>312</v>
      </c>
      <c r="D12" s="379" t="s">
        <v>313</v>
      </c>
      <c r="E12" s="379">
        <v>5732</v>
      </c>
      <c r="F12" s="379" t="s">
        <v>19</v>
      </c>
      <c r="G12" s="376">
        <f>57*2</f>
        <v>114</v>
      </c>
      <c r="H12" s="377"/>
      <c r="I12" s="378"/>
    </row>
    <row r="13" spans="1:9" ht="15.75" x14ac:dyDescent="0.25">
      <c r="A13" s="22" t="s">
        <v>314</v>
      </c>
      <c r="B13" s="22"/>
      <c r="C13" s="1" t="s">
        <v>315</v>
      </c>
      <c r="D13" s="380" t="s">
        <v>18</v>
      </c>
      <c r="E13" s="379">
        <v>5350</v>
      </c>
      <c r="F13" s="379" t="s">
        <v>19</v>
      </c>
      <c r="G13" s="376">
        <f>53*2</f>
        <v>106</v>
      </c>
      <c r="H13" s="377"/>
      <c r="I13" s="378"/>
    </row>
    <row r="14" spans="1:9" ht="15" x14ac:dyDescent="0.2">
      <c r="A14" s="381"/>
      <c r="B14" s="382"/>
      <c r="C14" s="383"/>
      <c r="D14" s="380"/>
      <c r="E14" s="379"/>
      <c r="F14" s="379"/>
      <c r="G14" s="376"/>
      <c r="H14" s="377"/>
      <c r="I14" s="378"/>
    </row>
    <row r="15" spans="1:9" ht="15" x14ac:dyDescent="0.2">
      <c r="A15" s="143"/>
      <c r="B15" s="143"/>
      <c r="C15" s="384"/>
      <c r="D15" s="380"/>
      <c r="E15" s="379"/>
      <c r="F15" s="379"/>
      <c r="G15" s="376"/>
      <c r="H15" s="377"/>
      <c r="I15" s="378"/>
    </row>
    <row r="16" spans="1:9" ht="15" x14ac:dyDescent="0.2">
      <c r="A16" s="385"/>
      <c r="B16" s="386"/>
      <c r="C16" s="384"/>
      <c r="D16" s="379"/>
      <c r="E16" s="379"/>
      <c r="F16" s="379"/>
      <c r="G16" s="376"/>
      <c r="H16" s="377"/>
      <c r="I16" s="378"/>
    </row>
    <row r="17" spans="1:13" ht="15.75" x14ac:dyDescent="0.25">
      <c r="A17" s="385"/>
      <c r="B17" s="386"/>
      <c r="C17" s="387"/>
      <c r="D17" s="379"/>
      <c r="E17" s="379"/>
      <c r="F17" s="379"/>
      <c r="G17" s="376"/>
      <c r="H17" s="377"/>
      <c r="I17" s="378"/>
    </row>
    <row r="18" spans="1:13" ht="15" x14ac:dyDescent="0.2">
      <c r="A18" s="143"/>
      <c r="B18" s="143"/>
      <c r="C18" s="144"/>
      <c r="D18" s="379"/>
      <c r="E18" s="379"/>
      <c r="F18" s="379"/>
      <c r="G18" s="376"/>
      <c r="H18" s="377"/>
      <c r="I18" s="378"/>
    </row>
    <row r="19" spans="1:13" ht="15" x14ac:dyDescent="0.2">
      <c r="A19" s="143"/>
      <c r="B19" s="143"/>
      <c r="C19" s="144"/>
      <c r="D19" s="379"/>
      <c r="E19" s="379"/>
      <c r="F19" s="379"/>
      <c r="G19" s="376"/>
      <c r="H19" s="377"/>
      <c r="I19" s="378"/>
    </row>
    <row r="20" spans="1:13" ht="13.5" customHeight="1" x14ac:dyDescent="0.2">
      <c r="A20" s="143"/>
      <c r="B20" s="143"/>
      <c r="C20" s="144"/>
      <c r="D20" s="388"/>
      <c r="E20" s="389"/>
      <c r="F20" s="390"/>
      <c r="G20" s="391"/>
      <c r="H20" s="392"/>
      <c r="I20" s="393"/>
    </row>
    <row r="21" spans="1:13" ht="14.25" x14ac:dyDescent="0.2">
      <c r="A21" s="394"/>
      <c r="B21" s="395"/>
      <c r="C21" s="396"/>
      <c r="D21" s="388"/>
      <c r="E21" s="389"/>
      <c r="F21" s="390"/>
      <c r="G21" s="391"/>
      <c r="H21" s="392"/>
      <c r="I21" s="393"/>
    </row>
    <row r="22" spans="1:13" ht="14.25" x14ac:dyDescent="0.2">
      <c r="A22" s="394"/>
      <c r="B22" s="395"/>
      <c r="C22" s="397"/>
      <c r="D22" s="388"/>
      <c r="E22" s="389"/>
      <c r="F22" s="390"/>
      <c r="G22" s="391"/>
      <c r="H22" s="392"/>
      <c r="I22" s="393"/>
    </row>
    <row r="23" spans="1:13" ht="15" x14ac:dyDescent="0.2">
      <c r="A23" s="398"/>
      <c r="B23" s="399"/>
      <c r="C23" s="400"/>
      <c r="D23" s="401"/>
      <c r="E23" s="380">
        <f>10/39</f>
        <v>0.25641025641025639</v>
      </c>
      <c r="F23" s="380"/>
      <c r="G23" s="391"/>
      <c r="H23" s="392"/>
      <c r="I23" s="402"/>
    </row>
    <row r="24" spans="1:13" ht="14.25" x14ac:dyDescent="0.2">
      <c r="A24" s="403"/>
      <c r="B24" s="404"/>
      <c r="C24" s="405"/>
      <c r="D24" s="406"/>
      <c r="E24" s="407"/>
      <c r="F24" s="407"/>
      <c r="G24" s="407"/>
      <c r="H24" s="407"/>
      <c r="I24" s="402"/>
    </row>
    <row r="25" spans="1:13" ht="13.5" thickBot="1" x14ac:dyDescent="0.25">
      <c r="A25" s="408"/>
      <c r="B25" s="409"/>
      <c r="E25" s="410"/>
      <c r="F25" s="411"/>
      <c r="I25" s="412"/>
      <c r="L25" s="413"/>
    </row>
    <row r="26" spans="1:13" ht="13.5" thickBot="1" x14ac:dyDescent="0.25">
      <c r="A26" s="414"/>
      <c r="B26" s="415"/>
      <c r="C26" s="416"/>
      <c r="D26" s="417" t="s">
        <v>15</v>
      </c>
      <c r="E26" s="418" t="s">
        <v>22</v>
      </c>
      <c r="F26" s="419"/>
      <c r="G26" s="416"/>
      <c r="H26" s="416"/>
      <c r="I26" s="420"/>
      <c r="L26" s="413"/>
    </row>
    <row r="27" spans="1:13" x14ac:dyDescent="0.2">
      <c r="A27" s="713" t="s">
        <v>23</v>
      </c>
      <c r="B27" s="714"/>
      <c r="C27" s="715"/>
      <c r="D27" s="376">
        <v>39000</v>
      </c>
      <c r="E27" s="421" t="s">
        <v>19</v>
      </c>
      <c r="F27" s="716"/>
      <c r="G27" s="716"/>
      <c r="H27" s="717"/>
      <c r="I27" s="718"/>
      <c r="L27" s="413"/>
    </row>
    <row r="28" spans="1:13" x14ac:dyDescent="0.2">
      <c r="A28" s="719" t="s">
        <v>24</v>
      </c>
      <c r="B28" s="720"/>
      <c r="C28" s="721"/>
      <c r="D28" s="422">
        <v>10</v>
      </c>
      <c r="E28" s="392" t="s">
        <v>25</v>
      </c>
      <c r="F28" s="722"/>
      <c r="G28" s="722"/>
      <c r="H28" s="723"/>
      <c r="I28" s="724"/>
      <c r="L28" s="413"/>
    </row>
    <row r="29" spans="1:13" x14ac:dyDescent="0.2">
      <c r="A29" s="719" t="s">
        <v>26</v>
      </c>
      <c r="B29" s="720"/>
      <c r="C29" s="721"/>
      <c r="D29" s="392">
        <v>1</v>
      </c>
      <c r="E29" s="392" t="s">
        <v>316</v>
      </c>
      <c r="F29" s="722"/>
      <c r="G29" s="722"/>
      <c r="H29" s="723"/>
      <c r="I29" s="724"/>
      <c r="L29" s="413"/>
    </row>
    <row r="30" spans="1:13" x14ac:dyDescent="0.2">
      <c r="A30" s="719" t="s">
        <v>27</v>
      </c>
      <c r="B30" s="720"/>
      <c r="C30" s="721"/>
      <c r="D30" s="391">
        <f>+D27</f>
        <v>39000</v>
      </c>
      <c r="E30" s="392" t="s">
        <v>19</v>
      </c>
      <c r="F30" s="728"/>
      <c r="G30" s="729"/>
      <c r="H30" s="723"/>
      <c r="I30" s="724"/>
      <c r="L30" s="413"/>
      <c r="M30" s="423"/>
    </row>
    <row r="31" spans="1:13" ht="13.5" thickBot="1" x14ac:dyDescent="0.25">
      <c r="A31" s="730" t="s">
        <v>28</v>
      </c>
      <c r="B31" s="731"/>
      <c r="C31" s="732"/>
      <c r="D31" s="424">
        <f>SUM(E10:E13)-D27</f>
        <v>740</v>
      </c>
      <c r="E31" s="425" t="s">
        <v>19</v>
      </c>
      <c r="F31" s="733"/>
      <c r="G31" s="733"/>
      <c r="H31" s="734"/>
      <c r="I31" s="735"/>
      <c r="L31" s="413"/>
    </row>
    <row r="32" spans="1:13" ht="13.5" thickBot="1" x14ac:dyDescent="0.25">
      <c r="A32" s="736" t="s">
        <v>29</v>
      </c>
      <c r="B32" s="737"/>
      <c r="C32" s="737"/>
      <c r="D32" s="737"/>
      <c r="E32" s="737"/>
      <c r="F32" s="737"/>
      <c r="G32" s="737"/>
      <c r="H32" s="737"/>
      <c r="I32" s="738"/>
    </row>
    <row r="33" spans="1:9" ht="15" x14ac:dyDescent="0.25">
      <c r="A33" s="725" t="s">
        <v>317</v>
      </c>
      <c r="B33" s="726"/>
      <c r="C33" s="726"/>
      <c r="D33" s="726"/>
      <c r="E33" s="726"/>
      <c r="F33" s="726"/>
      <c r="G33" s="726"/>
      <c r="H33" s="726"/>
      <c r="I33" s="727"/>
    </row>
    <row r="34" spans="1:9" ht="15" x14ac:dyDescent="0.25">
      <c r="A34" s="725" t="s">
        <v>318</v>
      </c>
      <c r="B34" s="726"/>
      <c r="C34" s="726"/>
      <c r="D34" s="726"/>
      <c r="E34" s="726"/>
      <c r="F34" s="726"/>
      <c r="G34" s="726"/>
      <c r="H34" s="726"/>
      <c r="I34" s="727"/>
    </row>
    <row r="35" spans="1:9" ht="15" x14ac:dyDescent="0.25">
      <c r="A35" s="725" t="s">
        <v>319</v>
      </c>
      <c r="B35" s="726"/>
      <c r="C35" s="726"/>
      <c r="D35" s="726"/>
      <c r="E35" s="726"/>
      <c r="F35" s="726"/>
      <c r="G35" s="726"/>
      <c r="H35" s="726"/>
      <c r="I35" s="727"/>
    </row>
    <row r="36" spans="1:9" ht="15" x14ac:dyDescent="0.25">
      <c r="A36" s="725" t="s">
        <v>320</v>
      </c>
      <c r="B36" s="726"/>
      <c r="C36" s="726"/>
      <c r="D36" s="726"/>
      <c r="E36" s="726"/>
      <c r="F36" s="726"/>
      <c r="G36" s="726"/>
      <c r="H36" s="726"/>
      <c r="I36" s="727"/>
    </row>
    <row r="37" spans="1:9" ht="15" x14ac:dyDescent="0.25">
      <c r="A37" s="725"/>
      <c r="B37" s="726"/>
      <c r="C37" s="726"/>
      <c r="D37" s="726"/>
      <c r="E37" s="726"/>
      <c r="F37" s="726"/>
      <c r="G37" s="726"/>
      <c r="H37" s="726"/>
      <c r="I37" s="727"/>
    </row>
    <row r="38" spans="1:9" ht="15" x14ac:dyDescent="0.25">
      <c r="A38" s="725"/>
      <c r="B38" s="726"/>
      <c r="C38" s="726"/>
      <c r="D38" s="726"/>
      <c r="E38" s="726"/>
      <c r="F38" s="726"/>
      <c r="G38" s="726"/>
      <c r="H38" s="726"/>
      <c r="I38" s="727"/>
    </row>
    <row r="39" spans="1:9" ht="15" x14ac:dyDescent="0.25">
      <c r="A39" s="725"/>
      <c r="B39" s="726"/>
      <c r="C39" s="726"/>
      <c r="D39" s="726"/>
      <c r="E39" s="726"/>
      <c r="F39" s="726"/>
      <c r="G39" s="726"/>
      <c r="H39" s="726"/>
      <c r="I39" s="727"/>
    </row>
    <row r="40" spans="1:9" ht="16.5" customHeight="1" x14ac:dyDescent="0.2">
      <c r="A40" s="739"/>
      <c r="B40" s="740"/>
      <c r="C40" s="740"/>
      <c r="D40" s="740"/>
      <c r="E40" s="740"/>
      <c r="F40" s="740"/>
      <c r="G40" s="740"/>
      <c r="H40" s="740"/>
      <c r="I40" s="741"/>
    </row>
    <row r="41" spans="1:9" ht="16.5" customHeight="1" thickBot="1" x14ac:dyDescent="0.25">
      <c r="A41" s="739"/>
      <c r="B41" s="740"/>
      <c r="C41" s="740"/>
      <c r="D41" s="740"/>
      <c r="E41" s="740"/>
      <c r="F41" s="740"/>
      <c r="G41" s="740"/>
      <c r="H41" s="740"/>
      <c r="I41" s="741"/>
    </row>
    <row r="42" spans="1:9" ht="16.5" customHeight="1" thickBot="1" x14ac:dyDescent="0.25">
      <c r="A42" s="736" t="s">
        <v>84</v>
      </c>
      <c r="B42" s="737"/>
      <c r="C42" s="737"/>
      <c r="D42" s="737"/>
      <c r="E42" s="737"/>
      <c r="F42" s="737"/>
      <c r="G42" s="737"/>
      <c r="H42" s="737"/>
      <c r="I42" s="738"/>
    </row>
    <row r="43" spans="1:9" ht="15" x14ac:dyDescent="0.25">
      <c r="A43" s="426" t="s">
        <v>321</v>
      </c>
      <c r="B43" s="426"/>
    </row>
    <row r="44" spans="1:9" x14ac:dyDescent="0.2">
      <c r="A44" s="427"/>
      <c r="B44" s="427"/>
      <c r="C44" s="427"/>
    </row>
  </sheetData>
  <mergeCells count="43">
    <mergeCell ref="A41:I41"/>
    <mergeCell ref="A42:I42"/>
    <mergeCell ref="A35:I35"/>
    <mergeCell ref="A36:I36"/>
    <mergeCell ref="A37:I37"/>
    <mergeCell ref="A38:I38"/>
    <mergeCell ref="A39:I39"/>
    <mergeCell ref="A40:I40"/>
    <mergeCell ref="A34:I34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I32"/>
    <mergeCell ref="A33:I33"/>
    <mergeCell ref="A27:C27"/>
    <mergeCell ref="F27:G27"/>
    <mergeCell ref="H27:I27"/>
    <mergeCell ref="A28:C28"/>
    <mergeCell ref="F28:G28"/>
    <mergeCell ref="H28:I28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F0AD-D20F-4FCB-B779-AA761553C536}">
  <dimension ref="A1:M47"/>
  <sheetViews>
    <sheetView topLeftCell="A6" workbookViewId="0">
      <selection activeCell="C18" sqref="C18"/>
    </sheetView>
  </sheetViews>
  <sheetFormatPr baseColWidth="10" defaultColWidth="11.42578125" defaultRowHeight="12.75" x14ac:dyDescent="0.2"/>
  <cols>
    <col min="1" max="1" width="16.28515625" style="359" customWidth="1"/>
    <col min="2" max="2" width="14.28515625" style="359" customWidth="1"/>
    <col min="3" max="3" width="40.5703125" style="359" customWidth="1"/>
    <col min="4" max="4" width="21" style="359" customWidth="1"/>
    <col min="5" max="5" width="11.42578125" style="359"/>
    <col min="6" max="6" width="13.28515625" style="359" customWidth="1"/>
    <col min="7" max="7" width="12.5703125" style="359" customWidth="1"/>
    <col min="8" max="8" width="15.5703125" style="359" customWidth="1"/>
    <col min="9" max="9" width="18" style="359" customWidth="1"/>
    <col min="10" max="16384" width="11.42578125" style="359"/>
  </cols>
  <sheetData>
    <row r="1" spans="1:9" ht="18" x14ac:dyDescent="0.25">
      <c r="A1" s="691"/>
      <c r="B1" s="692"/>
      <c r="C1" s="697" t="s">
        <v>0</v>
      </c>
      <c r="D1" s="697"/>
      <c r="E1" s="697"/>
      <c r="F1" s="697"/>
      <c r="G1" s="697"/>
      <c r="H1" s="357" t="s">
        <v>1</v>
      </c>
      <c r="I1" s="428" t="s">
        <v>322</v>
      </c>
    </row>
    <row r="2" spans="1:9" ht="18" x14ac:dyDescent="0.25">
      <c r="A2" s="693"/>
      <c r="B2" s="694"/>
      <c r="C2" s="698" t="s">
        <v>2</v>
      </c>
      <c r="D2" s="698"/>
      <c r="E2" s="698"/>
      <c r="F2" s="698"/>
      <c r="G2" s="698"/>
      <c r="H2" s="361" t="s">
        <v>3</v>
      </c>
      <c r="I2" s="429" t="s">
        <v>323</v>
      </c>
    </row>
    <row r="3" spans="1:9" ht="49.9" customHeight="1" x14ac:dyDescent="0.2">
      <c r="A3" s="693"/>
      <c r="B3" s="694"/>
      <c r="C3" s="699" t="s">
        <v>324</v>
      </c>
      <c r="D3" s="700"/>
      <c r="E3" s="700"/>
      <c r="F3" s="700"/>
      <c r="G3" s="701"/>
      <c r="H3" s="702" t="s">
        <v>4</v>
      </c>
      <c r="I3" s="742">
        <v>45187</v>
      </c>
    </row>
    <row r="4" spans="1:9" x14ac:dyDescent="0.2">
      <c r="A4" s="693"/>
      <c r="B4" s="694"/>
      <c r="C4" s="363" t="s">
        <v>5</v>
      </c>
      <c r="D4" s="689" t="s">
        <v>306</v>
      </c>
      <c r="E4" s="689"/>
      <c r="F4" s="689"/>
      <c r="G4" s="689"/>
      <c r="H4" s="702"/>
      <c r="I4" s="687"/>
    </row>
    <row r="5" spans="1:9" ht="15" customHeight="1" thickBot="1" x14ac:dyDescent="0.25">
      <c r="A5" s="695"/>
      <c r="B5" s="696"/>
      <c r="C5" s="364" t="s">
        <v>6</v>
      </c>
      <c r="D5" s="690" t="s">
        <v>31</v>
      </c>
      <c r="E5" s="690"/>
      <c r="F5" s="690"/>
      <c r="G5" s="690"/>
      <c r="H5" s="703"/>
      <c r="I5" s="688"/>
    </row>
    <row r="6" spans="1:9" ht="15" customHeight="1" x14ac:dyDescent="0.2">
      <c r="A6" s="365"/>
      <c r="B6" s="365"/>
      <c r="C6" s="366"/>
      <c r="D6" s="367"/>
      <c r="E6" s="367"/>
      <c r="F6" s="367"/>
      <c r="G6" s="367"/>
      <c r="H6" s="368"/>
      <c r="I6" s="369"/>
    </row>
    <row r="7" spans="1:9" ht="21" customHeight="1" thickBot="1" x14ac:dyDescent="0.3">
      <c r="A7" s="704" t="s">
        <v>7</v>
      </c>
      <c r="B7" s="704"/>
      <c r="C7" s="704"/>
      <c r="D7" s="705" t="s">
        <v>307</v>
      </c>
      <c r="E7" s="705"/>
      <c r="F7" s="705"/>
      <c r="G7" s="706" t="s">
        <v>8</v>
      </c>
      <c r="H7" s="706"/>
      <c r="I7" s="370" t="s">
        <v>307</v>
      </c>
    </row>
    <row r="8" spans="1:9" x14ac:dyDescent="0.2">
      <c r="A8" s="707" t="s">
        <v>9</v>
      </c>
      <c r="B8" s="709" t="s">
        <v>32</v>
      </c>
      <c r="C8" s="711" t="s">
        <v>10</v>
      </c>
      <c r="D8" s="711" t="s">
        <v>11</v>
      </c>
      <c r="E8" s="711" t="s">
        <v>12</v>
      </c>
      <c r="F8" s="711"/>
      <c r="G8" s="711" t="s">
        <v>13</v>
      </c>
      <c r="H8" s="711"/>
      <c r="I8" s="371" t="s">
        <v>14</v>
      </c>
    </row>
    <row r="9" spans="1:9" ht="26.25" thickBot="1" x14ac:dyDescent="0.25">
      <c r="A9" s="743"/>
      <c r="B9" s="744"/>
      <c r="C9" s="745"/>
      <c r="D9" s="712"/>
      <c r="E9" s="372" t="s">
        <v>15</v>
      </c>
      <c r="F9" s="373" t="s">
        <v>16</v>
      </c>
      <c r="G9" s="372" t="s">
        <v>15</v>
      </c>
      <c r="H9" s="373" t="s">
        <v>16</v>
      </c>
      <c r="I9" s="374" t="s">
        <v>17</v>
      </c>
    </row>
    <row r="10" spans="1:9" ht="15" x14ac:dyDescent="0.2">
      <c r="A10" s="143">
        <v>510301</v>
      </c>
      <c r="B10" s="143" t="s">
        <v>325</v>
      </c>
      <c r="C10" s="144" t="s">
        <v>326</v>
      </c>
      <c r="D10" s="375" t="s">
        <v>327</v>
      </c>
      <c r="E10" s="375">
        <v>10028</v>
      </c>
      <c r="F10" s="375" t="s">
        <v>19</v>
      </c>
      <c r="G10" s="376"/>
      <c r="H10" s="377"/>
      <c r="I10" s="378"/>
    </row>
    <row r="11" spans="1:9" ht="15" x14ac:dyDescent="0.2">
      <c r="A11" s="430">
        <v>11200072</v>
      </c>
      <c r="B11" s="430" t="s">
        <v>328</v>
      </c>
      <c r="C11" s="384" t="s">
        <v>329</v>
      </c>
      <c r="D11" s="379" t="s">
        <v>330</v>
      </c>
      <c r="E11" s="379">
        <v>3800</v>
      </c>
      <c r="F11" s="379" t="s">
        <v>19</v>
      </c>
      <c r="G11" s="376"/>
      <c r="H11" s="377"/>
      <c r="I11" s="378"/>
    </row>
    <row r="12" spans="1:9" ht="15" x14ac:dyDescent="0.2">
      <c r="A12" s="430">
        <v>11200071</v>
      </c>
      <c r="B12" s="430" t="s">
        <v>331</v>
      </c>
      <c r="C12" s="384" t="s">
        <v>332</v>
      </c>
      <c r="D12" s="379" t="s">
        <v>330</v>
      </c>
      <c r="E12" s="379">
        <v>2012</v>
      </c>
      <c r="F12" s="379" t="s">
        <v>19</v>
      </c>
      <c r="G12" s="376"/>
      <c r="H12" s="377"/>
      <c r="I12" s="378"/>
    </row>
    <row r="13" spans="1:9" ht="15" x14ac:dyDescent="0.2">
      <c r="A13" s="143">
        <v>10100046</v>
      </c>
      <c r="B13" s="143" t="s">
        <v>333</v>
      </c>
      <c r="C13" s="384" t="s">
        <v>334</v>
      </c>
      <c r="D13" s="380" t="s">
        <v>335</v>
      </c>
      <c r="E13" s="379">
        <v>134</v>
      </c>
      <c r="F13" s="379" t="s">
        <v>19</v>
      </c>
      <c r="G13" s="376"/>
      <c r="H13" s="377"/>
      <c r="I13" s="378"/>
    </row>
    <row r="14" spans="1:9" ht="15" x14ac:dyDescent="0.2">
      <c r="A14" s="143">
        <v>1212410</v>
      </c>
      <c r="B14" s="143" t="s">
        <v>336</v>
      </c>
      <c r="C14" s="384" t="s">
        <v>337</v>
      </c>
      <c r="D14" s="380" t="s">
        <v>338</v>
      </c>
      <c r="E14" s="379">
        <v>80</v>
      </c>
      <c r="F14" s="379" t="s">
        <v>19</v>
      </c>
      <c r="G14" s="376"/>
      <c r="H14" s="377"/>
      <c r="I14" s="378"/>
    </row>
    <row r="15" spans="1:9" ht="15" x14ac:dyDescent="0.2">
      <c r="A15" s="143" t="s">
        <v>339</v>
      </c>
      <c r="B15" s="143" t="s">
        <v>340</v>
      </c>
      <c r="C15" s="144" t="s">
        <v>341</v>
      </c>
      <c r="D15" s="380" t="s">
        <v>342</v>
      </c>
      <c r="E15" s="379">
        <v>573</v>
      </c>
      <c r="F15" s="379" t="s">
        <v>19</v>
      </c>
      <c r="G15" s="376"/>
      <c r="H15" s="377"/>
      <c r="I15" s="378"/>
    </row>
    <row r="16" spans="1:9" ht="15" x14ac:dyDescent="0.2">
      <c r="A16" s="385">
        <v>1160001</v>
      </c>
      <c r="B16" s="386" t="s">
        <v>343</v>
      </c>
      <c r="C16" s="384" t="s">
        <v>344</v>
      </c>
      <c r="D16" s="379" t="s">
        <v>345</v>
      </c>
      <c r="E16" s="379">
        <v>92</v>
      </c>
      <c r="F16" s="379" t="s">
        <v>19</v>
      </c>
      <c r="G16" s="376"/>
      <c r="H16" s="377"/>
      <c r="I16" s="378"/>
    </row>
    <row r="17" spans="1:13" ht="15" x14ac:dyDescent="0.2">
      <c r="A17" s="385">
        <v>11200073</v>
      </c>
      <c r="B17" s="386" t="s">
        <v>346</v>
      </c>
      <c r="C17" s="384" t="s">
        <v>347</v>
      </c>
      <c r="D17" s="379" t="s">
        <v>348</v>
      </c>
      <c r="E17" s="379">
        <v>5278</v>
      </c>
      <c r="F17" s="379" t="s">
        <v>19</v>
      </c>
      <c r="G17" s="376"/>
      <c r="H17" s="377"/>
      <c r="I17" s="378"/>
    </row>
    <row r="18" spans="1:13" ht="15.75" x14ac:dyDescent="0.25">
      <c r="A18" s="386"/>
      <c r="B18" s="386"/>
      <c r="C18" s="387"/>
      <c r="D18" s="379"/>
      <c r="E18" s="379"/>
      <c r="F18" s="379"/>
      <c r="G18" s="376"/>
      <c r="H18" s="377"/>
      <c r="I18" s="378"/>
    </row>
    <row r="19" spans="1:13" ht="15" x14ac:dyDescent="0.2">
      <c r="A19" s="143">
        <v>1950708</v>
      </c>
      <c r="B19" s="143" t="s">
        <v>349</v>
      </c>
      <c r="C19" s="144" t="s">
        <v>350</v>
      </c>
      <c r="D19" s="379"/>
      <c r="E19" s="379">
        <v>2</v>
      </c>
      <c r="F19" s="379" t="s">
        <v>21</v>
      </c>
      <c r="G19" s="376"/>
      <c r="H19" s="377"/>
      <c r="I19" s="378"/>
    </row>
    <row r="20" spans="1:13" ht="15" x14ac:dyDescent="0.2">
      <c r="A20" s="143">
        <v>60100010</v>
      </c>
      <c r="B20" s="143" t="s">
        <v>351</v>
      </c>
      <c r="C20" s="144" t="s">
        <v>352</v>
      </c>
      <c r="D20" s="379"/>
      <c r="E20" s="379">
        <v>1</v>
      </c>
      <c r="F20" s="379" t="s">
        <v>21</v>
      </c>
      <c r="G20" s="376"/>
      <c r="H20" s="377"/>
      <c r="I20" s="378"/>
    </row>
    <row r="21" spans="1:13" ht="13.5" customHeight="1" x14ac:dyDescent="0.2">
      <c r="A21" s="143">
        <v>702123</v>
      </c>
      <c r="B21" s="143" t="s">
        <v>59</v>
      </c>
      <c r="C21" s="144" t="s">
        <v>99</v>
      </c>
      <c r="D21" s="388"/>
      <c r="E21" s="389">
        <v>2</v>
      </c>
      <c r="F21" s="390" t="s">
        <v>21</v>
      </c>
      <c r="G21" s="391"/>
      <c r="H21" s="392"/>
      <c r="I21" s="393"/>
    </row>
    <row r="22" spans="1:13" ht="15" x14ac:dyDescent="0.2">
      <c r="A22" s="354">
        <v>1950705</v>
      </c>
      <c r="B22" s="355" t="s">
        <v>353</v>
      </c>
      <c r="C22" s="356" t="s">
        <v>354</v>
      </c>
      <c r="D22" s="388"/>
      <c r="E22" s="389">
        <v>1</v>
      </c>
      <c r="F22" s="390" t="s">
        <v>21</v>
      </c>
      <c r="G22" s="391"/>
      <c r="H22" s="392"/>
      <c r="I22" s="393"/>
    </row>
    <row r="23" spans="1:13" ht="15" x14ac:dyDescent="0.25">
      <c r="A23" s="22"/>
      <c r="B23" s="22"/>
      <c r="C23" s="1"/>
      <c r="D23" s="431"/>
      <c r="E23" s="432"/>
      <c r="F23" s="433"/>
      <c r="G23" s="391"/>
      <c r="H23" s="392"/>
      <c r="I23" s="393"/>
    </row>
    <row r="24" spans="1:13" ht="15" x14ac:dyDescent="0.2">
      <c r="A24" s="398"/>
      <c r="B24" s="399"/>
      <c r="C24" s="400"/>
      <c r="D24" s="401"/>
      <c r="E24" s="380"/>
      <c r="F24" s="380"/>
      <c r="G24" s="391"/>
      <c r="H24" s="392"/>
      <c r="I24" s="402"/>
    </row>
    <row r="25" spans="1:13" ht="14.25" x14ac:dyDescent="0.2">
      <c r="A25" s="403"/>
      <c r="B25" s="404"/>
      <c r="C25" s="405"/>
      <c r="D25" s="406"/>
      <c r="E25" s="434">
        <f>3/21</f>
        <v>0.14285714285714285</v>
      </c>
      <c r="F25" s="407"/>
      <c r="G25" s="407"/>
      <c r="H25" s="407"/>
      <c r="I25" s="402"/>
    </row>
    <row r="26" spans="1:13" ht="13.5" thickBot="1" x14ac:dyDescent="0.25">
      <c r="A26" s="408"/>
      <c r="B26" s="409"/>
      <c r="E26" s="410"/>
      <c r="F26" s="411"/>
      <c r="I26" s="412"/>
      <c r="L26" s="413"/>
    </row>
    <row r="27" spans="1:13" ht="13.5" thickBot="1" x14ac:dyDescent="0.25">
      <c r="A27" s="414"/>
      <c r="B27" s="415"/>
      <c r="C27" s="416"/>
      <c r="D27" s="417" t="s">
        <v>15</v>
      </c>
      <c r="E27" s="418" t="s">
        <v>22</v>
      </c>
      <c r="F27" s="419"/>
      <c r="G27" s="416"/>
      <c r="H27" s="416"/>
      <c r="I27" s="420"/>
      <c r="L27" s="413"/>
    </row>
    <row r="28" spans="1:13" x14ac:dyDescent="0.2">
      <c r="A28" s="713" t="s">
        <v>23</v>
      </c>
      <c r="B28" s="714"/>
      <c r="C28" s="715"/>
      <c r="D28" s="376">
        <f>SUM(E10:E17)</f>
        <v>21997</v>
      </c>
      <c r="E28" s="421" t="s">
        <v>19</v>
      </c>
      <c r="F28" s="716"/>
      <c r="G28" s="716"/>
      <c r="H28" s="717"/>
      <c r="I28" s="718"/>
      <c r="L28" s="413"/>
    </row>
    <row r="29" spans="1:13" x14ac:dyDescent="0.2">
      <c r="A29" s="719" t="s">
        <v>24</v>
      </c>
      <c r="B29" s="720"/>
      <c r="C29" s="721"/>
      <c r="D29" s="422">
        <v>3</v>
      </c>
      <c r="E29" s="392" t="s">
        <v>25</v>
      </c>
      <c r="F29" s="722"/>
      <c r="G29" s="722"/>
      <c r="H29" s="723"/>
      <c r="I29" s="724"/>
      <c r="L29" s="413"/>
    </row>
    <row r="30" spans="1:13" x14ac:dyDescent="0.2">
      <c r="A30" s="719" t="s">
        <v>26</v>
      </c>
      <c r="B30" s="720"/>
      <c r="C30" s="721"/>
      <c r="D30" s="392">
        <v>1</v>
      </c>
      <c r="E30" s="392" t="s">
        <v>21</v>
      </c>
      <c r="F30" s="722"/>
      <c r="G30" s="722"/>
      <c r="H30" s="723"/>
      <c r="I30" s="724"/>
      <c r="L30" s="413"/>
    </row>
    <row r="31" spans="1:13" x14ac:dyDescent="0.2">
      <c r="A31" s="719" t="s">
        <v>27</v>
      </c>
      <c r="B31" s="720"/>
      <c r="C31" s="721"/>
      <c r="D31" s="391">
        <f>+D28</f>
        <v>21997</v>
      </c>
      <c r="E31" s="392" t="s">
        <v>19</v>
      </c>
      <c r="F31" s="728"/>
      <c r="G31" s="729"/>
      <c r="H31" s="723"/>
      <c r="I31" s="724"/>
      <c r="L31" s="413"/>
      <c r="M31" s="423"/>
    </row>
    <row r="32" spans="1:13" ht="13.5" thickBot="1" x14ac:dyDescent="0.25">
      <c r="A32" s="730" t="s">
        <v>28</v>
      </c>
      <c r="B32" s="731"/>
      <c r="C32" s="732"/>
      <c r="D32" s="424">
        <v>0</v>
      </c>
      <c r="E32" s="425" t="s">
        <v>19</v>
      </c>
      <c r="F32" s="733"/>
      <c r="G32" s="733"/>
      <c r="H32" s="734"/>
      <c r="I32" s="735"/>
      <c r="L32" s="413"/>
    </row>
    <row r="33" spans="1:9" ht="13.5" thickBot="1" x14ac:dyDescent="0.25">
      <c r="A33" s="736" t="s">
        <v>29</v>
      </c>
      <c r="B33" s="737"/>
      <c r="C33" s="737"/>
      <c r="D33" s="737"/>
      <c r="E33" s="737"/>
      <c r="F33" s="737"/>
      <c r="G33" s="737"/>
      <c r="H33" s="737"/>
      <c r="I33" s="738"/>
    </row>
    <row r="34" spans="1:9" ht="15" x14ac:dyDescent="0.25">
      <c r="A34" s="725" t="s">
        <v>355</v>
      </c>
      <c r="B34" s="726"/>
      <c r="C34" s="726"/>
      <c r="D34" s="726"/>
      <c r="E34" s="726"/>
      <c r="F34" s="726"/>
      <c r="G34" s="726"/>
      <c r="H34" s="726"/>
      <c r="I34" s="727"/>
    </row>
    <row r="35" spans="1:9" ht="15" x14ac:dyDescent="0.25">
      <c r="A35" s="725" t="s">
        <v>356</v>
      </c>
      <c r="B35" s="726"/>
      <c r="C35" s="726"/>
      <c r="D35" s="726"/>
      <c r="E35" s="726"/>
      <c r="F35" s="726"/>
      <c r="G35" s="726"/>
      <c r="H35" s="726"/>
      <c r="I35" s="727"/>
    </row>
    <row r="36" spans="1:9" ht="15" x14ac:dyDescent="0.25">
      <c r="A36" s="725" t="s">
        <v>357</v>
      </c>
      <c r="B36" s="726"/>
      <c r="C36" s="726"/>
      <c r="D36" s="726"/>
      <c r="E36" s="726"/>
      <c r="F36" s="726"/>
      <c r="G36" s="726"/>
      <c r="H36" s="726"/>
      <c r="I36" s="727"/>
    </row>
    <row r="37" spans="1:9" ht="15" x14ac:dyDescent="0.25">
      <c r="A37" s="725"/>
      <c r="B37" s="726"/>
      <c r="C37" s="726"/>
      <c r="D37" s="726"/>
      <c r="E37" s="726"/>
      <c r="F37" s="726"/>
      <c r="G37" s="726"/>
      <c r="H37" s="726"/>
      <c r="I37" s="727"/>
    </row>
    <row r="38" spans="1:9" ht="15" x14ac:dyDescent="0.25">
      <c r="A38" s="725"/>
      <c r="B38" s="726"/>
      <c r="C38" s="726"/>
      <c r="D38" s="726"/>
      <c r="E38" s="726"/>
      <c r="F38" s="726"/>
      <c r="G38" s="726"/>
      <c r="H38" s="726"/>
      <c r="I38" s="727"/>
    </row>
    <row r="39" spans="1:9" ht="15" x14ac:dyDescent="0.25">
      <c r="A39" s="725"/>
      <c r="B39" s="726"/>
      <c r="C39" s="726"/>
      <c r="D39" s="726"/>
      <c r="E39" s="726"/>
      <c r="F39" s="726"/>
      <c r="G39" s="726"/>
      <c r="H39" s="726"/>
      <c r="I39" s="727"/>
    </row>
    <row r="40" spans="1:9" ht="16.5" customHeight="1" x14ac:dyDescent="0.2">
      <c r="A40" s="739"/>
      <c r="B40" s="740"/>
      <c r="C40" s="740"/>
      <c r="D40" s="740"/>
      <c r="E40" s="740"/>
      <c r="F40" s="740"/>
      <c r="G40" s="740"/>
      <c r="H40" s="740"/>
      <c r="I40" s="741"/>
    </row>
    <row r="41" spans="1:9" ht="16.5" customHeight="1" x14ac:dyDescent="0.2">
      <c r="A41" s="739"/>
      <c r="B41" s="740"/>
      <c r="C41" s="740"/>
      <c r="D41" s="740"/>
      <c r="E41" s="740"/>
      <c r="F41" s="740"/>
      <c r="G41" s="740"/>
      <c r="H41" s="740"/>
      <c r="I41" s="741"/>
    </row>
    <row r="42" spans="1:9" ht="16.5" customHeight="1" thickBot="1" x14ac:dyDescent="0.25">
      <c r="A42" s="746"/>
      <c r="B42" s="747"/>
      <c r="C42" s="747"/>
      <c r="D42" s="747"/>
      <c r="E42" s="747"/>
      <c r="F42" s="747"/>
      <c r="G42" s="747"/>
      <c r="H42" s="747"/>
      <c r="I42" s="748"/>
    </row>
    <row r="43" spans="1:9" ht="13.5" thickBot="1" x14ac:dyDescent="0.25">
      <c r="A43" s="736" t="s">
        <v>84</v>
      </c>
      <c r="B43" s="737"/>
      <c r="C43" s="737"/>
      <c r="D43" s="737"/>
      <c r="E43" s="737"/>
      <c r="F43" s="737"/>
      <c r="G43" s="737"/>
      <c r="H43" s="737"/>
      <c r="I43" s="738"/>
    </row>
    <row r="44" spans="1:9" x14ac:dyDescent="0.2">
      <c r="A44" s="427" t="s">
        <v>358</v>
      </c>
      <c r="B44" s="427"/>
      <c r="C44" s="427"/>
    </row>
    <row r="45" spans="1:9" ht="15" x14ac:dyDescent="0.25">
      <c r="A45" s="426" t="s">
        <v>359</v>
      </c>
      <c r="B45" s="426"/>
    </row>
    <row r="46" spans="1:9" ht="15" x14ac:dyDescent="0.25">
      <c r="A46" s="426" t="s">
        <v>360</v>
      </c>
      <c r="B46" s="426"/>
    </row>
    <row r="47" spans="1:9" ht="15" x14ac:dyDescent="0.25">
      <c r="A47" s="426" t="s">
        <v>361</v>
      </c>
    </row>
  </sheetData>
  <mergeCells count="43">
    <mergeCell ref="A42:I42"/>
    <mergeCell ref="A43:I43"/>
    <mergeCell ref="A36:I36"/>
    <mergeCell ref="A37:I37"/>
    <mergeCell ref="A38:I38"/>
    <mergeCell ref="A39:I39"/>
    <mergeCell ref="A40:I40"/>
    <mergeCell ref="A41:I41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28:C28"/>
    <mergeCell ref="F28:G28"/>
    <mergeCell ref="H28:I28"/>
    <mergeCell ref="A29:C29"/>
    <mergeCell ref="F29:G29"/>
    <mergeCell ref="H29:I29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42FC-42E6-4980-97F1-866C140DB75B}">
  <dimension ref="A1:M26"/>
  <sheetViews>
    <sheetView workbookViewId="0">
      <selection activeCell="B9" sqref="B9"/>
    </sheetView>
  </sheetViews>
  <sheetFormatPr baseColWidth="10" defaultRowHeight="13.5" x14ac:dyDescent="0.25"/>
  <cols>
    <col min="1" max="1" width="16.140625" style="121" customWidth="1"/>
    <col min="2" max="2" width="15.42578125" style="121" customWidth="1"/>
    <col min="3" max="3" width="40.5703125" style="121" customWidth="1"/>
    <col min="4" max="4" width="15.5703125" style="121" customWidth="1"/>
    <col min="5" max="5" width="11.42578125" style="121"/>
    <col min="6" max="6" width="13.140625" style="121" customWidth="1"/>
    <col min="7" max="7" width="12.5703125" style="121" customWidth="1"/>
    <col min="8" max="8" width="15.5703125" style="121" customWidth="1"/>
    <col min="9" max="9" width="16" style="121" customWidth="1"/>
    <col min="10" max="256" width="11.42578125" style="121"/>
    <col min="257" max="257" width="16.140625" style="121" customWidth="1"/>
    <col min="258" max="258" width="15.42578125" style="121" customWidth="1"/>
    <col min="259" max="259" width="40.5703125" style="121" customWidth="1"/>
    <col min="260" max="260" width="15.5703125" style="121" customWidth="1"/>
    <col min="261" max="261" width="11.42578125" style="121"/>
    <col min="262" max="262" width="13.140625" style="121" customWidth="1"/>
    <col min="263" max="263" width="12.5703125" style="121" customWidth="1"/>
    <col min="264" max="264" width="15.5703125" style="121" customWidth="1"/>
    <col min="265" max="265" width="16" style="121" customWidth="1"/>
    <col min="266" max="512" width="11.42578125" style="121"/>
    <col min="513" max="513" width="16.140625" style="121" customWidth="1"/>
    <col min="514" max="514" width="15.42578125" style="121" customWidth="1"/>
    <col min="515" max="515" width="40.5703125" style="121" customWidth="1"/>
    <col min="516" max="516" width="15.5703125" style="121" customWidth="1"/>
    <col min="517" max="517" width="11.42578125" style="121"/>
    <col min="518" max="518" width="13.140625" style="121" customWidth="1"/>
    <col min="519" max="519" width="12.5703125" style="121" customWidth="1"/>
    <col min="520" max="520" width="15.5703125" style="121" customWidth="1"/>
    <col min="521" max="521" width="16" style="121" customWidth="1"/>
    <col min="522" max="768" width="11.42578125" style="121"/>
    <col min="769" max="769" width="16.140625" style="121" customWidth="1"/>
    <col min="770" max="770" width="15.42578125" style="121" customWidth="1"/>
    <col min="771" max="771" width="40.5703125" style="121" customWidth="1"/>
    <col min="772" max="772" width="15.5703125" style="121" customWidth="1"/>
    <col min="773" max="773" width="11.42578125" style="121"/>
    <col min="774" max="774" width="13.140625" style="121" customWidth="1"/>
    <col min="775" max="775" width="12.5703125" style="121" customWidth="1"/>
    <col min="776" max="776" width="15.5703125" style="121" customWidth="1"/>
    <col min="777" max="777" width="16" style="121" customWidth="1"/>
    <col min="778" max="1024" width="11.42578125" style="121"/>
    <col min="1025" max="1025" width="16.140625" style="121" customWidth="1"/>
    <col min="1026" max="1026" width="15.42578125" style="121" customWidth="1"/>
    <col min="1027" max="1027" width="40.5703125" style="121" customWidth="1"/>
    <col min="1028" max="1028" width="15.5703125" style="121" customWidth="1"/>
    <col min="1029" max="1029" width="11.42578125" style="121"/>
    <col min="1030" max="1030" width="13.140625" style="121" customWidth="1"/>
    <col min="1031" max="1031" width="12.5703125" style="121" customWidth="1"/>
    <col min="1032" max="1032" width="15.5703125" style="121" customWidth="1"/>
    <col min="1033" max="1033" width="16" style="121" customWidth="1"/>
    <col min="1034" max="1280" width="11.42578125" style="121"/>
    <col min="1281" max="1281" width="16.140625" style="121" customWidth="1"/>
    <col min="1282" max="1282" width="15.42578125" style="121" customWidth="1"/>
    <col min="1283" max="1283" width="40.5703125" style="121" customWidth="1"/>
    <col min="1284" max="1284" width="15.5703125" style="121" customWidth="1"/>
    <col min="1285" max="1285" width="11.42578125" style="121"/>
    <col min="1286" max="1286" width="13.140625" style="121" customWidth="1"/>
    <col min="1287" max="1287" width="12.5703125" style="121" customWidth="1"/>
    <col min="1288" max="1288" width="15.5703125" style="121" customWidth="1"/>
    <col min="1289" max="1289" width="16" style="121" customWidth="1"/>
    <col min="1290" max="1536" width="11.42578125" style="121"/>
    <col min="1537" max="1537" width="16.140625" style="121" customWidth="1"/>
    <col min="1538" max="1538" width="15.42578125" style="121" customWidth="1"/>
    <col min="1539" max="1539" width="40.5703125" style="121" customWidth="1"/>
    <col min="1540" max="1540" width="15.5703125" style="121" customWidth="1"/>
    <col min="1541" max="1541" width="11.42578125" style="121"/>
    <col min="1542" max="1542" width="13.140625" style="121" customWidth="1"/>
    <col min="1543" max="1543" width="12.5703125" style="121" customWidth="1"/>
    <col min="1544" max="1544" width="15.5703125" style="121" customWidth="1"/>
    <col min="1545" max="1545" width="16" style="121" customWidth="1"/>
    <col min="1546" max="1792" width="11.42578125" style="121"/>
    <col min="1793" max="1793" width="16.140625" style="121" customWidth="1"/>
    <col min="1794" max="1794" width="15.42578125" style="121" customWidth="1"/>
    <col min="1795" max="1795" width="40.5703125" style="121" customWidth="1"/>
    <col min="1796" max="1796" width="15.5703125" style="121" customWidth="1"/>
    <col min="1797" max="1797" width="11.42578125" style="121"/>
    <col min="1798" max="1798" width="13.140625" style="121" customWidth="1"/>
    <col min="1799" max="1799" width="12.5703125" style="121" customWidth="1"/>
    <col min="1800" max="1800" width="15.5703125" style="121" customWidth="1"/>
    <col min="1801" max="1801" width="16" style="121" customWidth="1"/>
    <col min="1802" max="2048" width="11.42578125" style="121"/>
    <col min="2049" max="2049" width="16.140625" style="121" customWidth="1"/>
    <col min="2050" max="2050" width="15.42578125" style="121" customWidth="1"/>
    <col min="2051" max="2051" width="40.5703125" style="121" customWidth="1"/>
    <col min="2052" max="2052" width="15.5703125" style="121" customWidth="1"/>
    <col min="2053" max="2053" width="11.42578125" style="121"/>
    <col min="2054" max="2054" width="13.140625" style="121" customWidth="1"/>
    <col min="2055" max="2055" width="12.5703125" style="121" customWidth="1"/>
    <col min="2056" max="2056" width="15.5703125" style="121" customWidth="1"/>
    <col min="2057" max="2057" width="16" style="121" customWidth="1"/>
    <col min="2058" max="2304" width="11.42578125" style="121"/>
    <col min="2305" max="2305" width="16.140625" style="121" customWidth="1"/>
    <col min="2306" max="2306" width="15.42578125" style="121" customWidth="1"/>
    <col min="2307" max="2307" width="40.5703125" style="121" customWidth="1"/>
    <col min="2308" max="2308" width="15.5703125" style="121" customWidth="1"/>
    <col min="2309" max="2309" width="11.42578125" style="121"/>
    <col min="2310" max="2310" width="13.140625" style="121" customWidth="1"/>
    <col min="2311" max="2311" width="12.5703125" style="121" customWidth="1"/>
    <col min="2312" max="2312" width="15.5703125" style="121" customWidth="1"/>
    <col min="2313" max="2313" width="16" style="121" customWidth="1"/>
    <col min="2314" max="2560" width="11.42578125" style="121"/>
    <col min="2561" max="2561" width="16.140625" style="121" customWidth="1"/>
    <col min="2562" max="2562" width="15.42578125" style="121" customWidth="1"/>
    <col min="2563" max="2563" width="40.5703125" style="121" customWidth="1"/>
    <col min="2564" max="2564" width="15.5703125" style="121" customWidth="1"/>
    <col min="2565" max="2565" width="11.42578125" style="121"/>
    <col min="2566" max="2566" width="13.140625" style="121" customWidth="1"/>
    <col min="2567" max="2567" width="12.5703125" style="121" customWidth="1"/>
    <col min="2568" max="2568" width="15.5703125" style="121" customWidth="1"/>
    <col min="2569" max="2569" width="16" style="121" customWidth="1"/>
    <col min="2570" max="2816" width="11.42578125" style="121"/>
    <col min="2817" max="2817" width="16.140625" style="121" customWidth="1"/>
    <col min="2818" max="2818" width="15.42578125" style="121" customWidth="1"/>
    <col min="2819" max="2819" width="40.5703125" style="121" customWidth="1"/>
    <col min="2820" max="2820" width="15.5703125" style="121" customWidth="1"/>
    <col min="2821" max="2821" width="11.42578125" style="121"/>
    <col min="2822" max="2822" width="13.140625" style="121" customWidth="1"/>
    <col min="2823" max="2823" width="12.5703125" style="121" customWidth="1"/>
    <col min="2824" max="2824" width="15.5703125" style="121" customWidth="1"/>
    <col min="2825" max="2825" width="16" style="121" customWidth="1"/>
    <col min="2826" max="3072" width="11.42578125" style="121"/>
    <col min="3073" max="3073" width="16.140625" style="121" customWidth="1"/>
    <col min="3074" max="3074" width="15.42578125" style="121" customWidth="1"/>
    <col min="3075" max="3075" width="40.5703125" style="121" customWidth="1"/>
    <col min="3076" max="3076" width="15.5703125" style="121" customWidth="1"/>
    <col min="3077" max="3077" width="11.42578125" style="121"/>
    <col min="3078" max="3078" width="13.140625" style="121" customWidth="1"/>
    <col min="3079" max="3079" width="12.5703125" style="121" customWidth="1"/>
    <col min="3080" max="3080" width="15.5703125" style="121" customWidth="1"/>
    <col min="3081" max="3081" width="16" style="121" customWidth="1"/>
    <col min="3082" max="3328" width="11.42578125" style="121"/>
    <col min="3329" max="3329" width="16.140625" style="121" customWidth="1"/>
    <col min="3330" max="3330" width="15.42578125" style="121" customWidth="1"/>
    <col min="3331" max="3331" width="40.5703125" style="121" customWidth="1"/>
    <col min="3332" max="3332" width="15.5703125" style="121" customWidth="1"/>
    <col min="3333" max="3333" width="11.42578125" style="121"/>
    <col min="3334" max="3334" width="13.140625" style="121" customWidth="1"/>
    <col min="3335" max="3335" width="12.5703125" style="121" customWidth="1"/>
    <col min="3336" max="3336" width="15.5703125" style="121" customWidth="1"/>
    <col min="3337" max="3337" width="16" style="121" customWidth="1"/>
    <col min="3338" max="3584" width="11.42578125" style="121"/>
    <col min="3585" max="3585" width="16.140625" style="121" customWidth="1"/>
    <col min="3586" max="3586" width="15.42578125" style="121" customWidth="1"/>
    <col min="3587" max="3587" width="40.5703125" style="121" customWidth="1"/>
    <col min="3588" max="3588" width="15.5703125" style="121" customWidth="1"/>
    <col min="3589" max="3589" width="11.42578125" style="121"/>
    <col min="3590" max="3590" width="13.140625" style="121" customWidth="1"/>
    <col min="3591" max="3591" width="12.5703125" style="121" customWidth="1"/>
    <col min="3592" max="3592" width="15.5703125" style="121" customWidth="1"/>
    <col min="3593" max="3593" width="16" style="121" customWidth="1"/>
    <col min="3594" max="3840" width="11.42578125" style="121"/>
    <col min="3841" max="3841" width="16.140625" style="121" customWidth="1"/>
    <col min="3842" max="3842" width="15.42578125" style="121" customWidth="1"/>
    <col min="3843" max="3843" width="40.5703125" style="121" customWidth="1"/>
    <col min="3844" max="3844" width="15.5703125" style="121" customWidth="1"/>
    <col min="3845" max="3845" width="11.42578125" style="121"/>
    <col min="3846" max="3846" width="13.140625" style="121" customWidth="1"/>
    <col min="3847" max="3847" width="12.5703125" style="121" customWidth="1"/>
    <col min="3848" max="3848" width="15.5703125" style="121" customWidth="1"/>
    <col min="3849" max="3849" width="16" style="121" customWidth="1"/>
    <col min="3850" max="4096" width="11.42578125" style="121"/>
    <col min="4097" max="4097" width="16.140625" style="121" customWidth="1"/>
    <col min="4098" max="4098" width="15.42578125" style="121" customWidth="1"/>
    <col min="4099" max="4099" width="40.5703125" style="121" customWidth="1"/>
    <col min="4100" max="4100" width="15.5703125" style="121" customWidth="1"/>
    <col min="4101" max="4101" width="11.42578125" style="121"/>
    <col min="4102" max="4102" width="13.140625" style="121" customWidth="1"/>
    <col min="4103" max="4103" width="12.5703125" style="121" customWidth="1"/>
    <col min="4104" max="4104" width="15.5703125" style="121" customWidth="1"/>
    <col min="4105" max="4105" width="16" style="121" customWidth="1"/>
    <col min="4106" max="4352" width="11.42578125" style="121"/>
    <col min="4353" max="4353" width="16.140625" style="121" customWidth="1"/>
    <col min="4354" max="4354" width="15.42578125" style="121" customWidth="1"/>
    <col min="4355" max="4355" width="40.5703125" style="121" customWidth="1"/>
    <col min="4356" max="4356" width="15.5703125" style="121" customWidth="1"/>
    <col min="4357" max="4357" width="11.42578125" style="121"/>
    <col min="4358" max="4358" width="13.140625" style="121" customWidth="1"/>
    <col min="4359" max="4359" width="12.5703125" style="121" customWidth="1"/>
    <col min="4360" max="4360" width="15.5703125" style="121" customWidth="1"/>
    <col min="4361" max="4361" width="16" style="121" customWidth="1"/>
    <col min="4362" max="4608" width="11.42578125" style="121"/>
    <col min="4609" max="4609" width="16.140625" style="121" customWidth="1"/>
    <col min="4610" max="4610" width="15.42578125" style="121" customWidth="1"/>
    <col min="4611" max="4611" width="40.5703125" style="121" customWidth="1"/>
    <col min="4612" max="4612" width="15.5703125" style="121" customWidth="1"/>
    <col min="4613" max="4613" width="11.42578125" style="121"/>
    <col min="4614" max="4614" width="13.140625" style="121" customWidth="1"/>
    <col min="4615" max="4615" width="12.5703125" style="121" customWidth="1"/>
    <col min="4616" max="4616" width="15.5703125" style="121" customWidth="1"/>
    <col min="4617" max="4617" width="16" style="121" customWidth="1"/>
    <col min="4618" max="4864" width="11.42578125" style="121"/>
    <col min="4865" max="4865" width="16.140625" style="121" customWidth="1"/>
    <col min="4866" max="4866" width="15.42578125" style="121" customWidth="1"/>
    <col min="4867" max="4867" width="40.5703125" style="121" customWidth="1"/>
    <col min="4868" max="4868" width="15.5703125" style="121" customWidth="1"/>
    <col min="4869" max="4869" width="11.42578125" style="121"/>
    <col min="4870" max="4870" width="13.140625" style="121" customWidth="1"/>
    <col min="4871" max="4871" width="12.5703125" style="121" customWidth="1"/>
    <col min="4872" max="4872" width="15.5703125" style="121" customWidth="1"/>
    <col min="4873" max="4873" width="16" style="121" customWidth="1"/>
    <col min="4874" max="5120" width="11.42578125" style="121"/>
    <col min="5121" max="5121" width="16.140625" style="121" customWidth="1"/>
    <col min="5122" max="5122" width="15.42578125" style="121" customWidth="1"/>
    <col min="5123" max="5123" width="40.5703125" style="121" customWidth="1"/>
    <col min="5124" max="5124" width="15.5703125" style="121" customWidth="1"/>
    <col min="5125" max="5125" width="11.42578125" style="121"/>
    <col min="5126" max="5126" width="13.140625" style="121" customWidth="1"/>
    <col min="5127" max="5127" width="12.5703125" style="121" customWidth="1"/>
    <col min="5128" max="5128" width="15.5703125" style="121" customWidth="1"/>
    <col min="5129" max="5129" width="16" style="121" customWidth="1"/>
    <col min="5130" max="5376" width="11.42578125" style="121"/>
    <col min="5377" max="5377" width="16.140625" style="121" customWidth="1"/>
    <col min="5378" max="5378" width="15.42578125" style="121" customWidth="1"/>
    <col min="5379" max="5379" width="40.5703125" style="121" customWidth="1"/>
    <col min="5380" max="5380" width="15.5703125" style="121" customWidth="1"/>
    <col min="5381" max="5381" width="11.42578125" style="121"/>
    <col min="5382" max="5382" width="13.140625" style="121" customWidth="1"/>
    <col min="5383" max="5383" width="12.5703125" style="121" customWidth="1"/>
    <col min="5384" max="5384" width="15.5703125" style="121" customWidth="1"/>
    <col min="5385" max="5385" width="16" style="121" customWidth="1"/>
    <col min="5386" max="5632" width="11.42578125" style="121"/>
    <col min="5633" max="5633" width="16.140625" style="121" customWidth="1"/>
    <col min="5634" max="5634" width="15.42578125" style="121" customWidth="1"/>
    <col min="5635" max="5635" width="40.5703125" style="121" customWidth="1"/>
    <col min="5636" max="5636" width="15.5703125" style="121" customWidth="1"/>
    <col min="5637" max="5637" width="11.42578125" style="121"/>
    <col min="5638" max="5638" width="13.140625" style="121" customWidth="1"/>
    <col min="5639" max="5639" width="12.5703125" style="121" customWidth="1"/>
    <col min="5640" max="5640" width="15.5703125" style="121" customWidth="1"/>
    <col min="5641" max="5641" width="16" style="121" customWidth="1"/>
    <col min="5642" max="5888" width="11.42578125" style="121"/>
    <col min="5889" max="5889" width="16.140625" style="121" customWidth="1"/>
    <col min="5890" max="5890" width="15.42578125" style="121" customWidth="1"/>
    <col min="5891" max="5891" width="40.5703125" style="121" customWidth="1"/>
    <col min="5892" max="5892" width="15.5703125" style="121" customWidth="1"/>
    <col min="5893" max="5893" width="11.42578125" style="121"/>
    <col min="5894" max="5894" width="13.140625" style="121" customWidth="1"/>
    <col min="5895" max="5895" width="12.5703125" style="121" customWidth="1"/>
    <col min="5896" max="5896" width="15.5703125" style="121" customWidth="1"/>
    <col min="5897" max="5897" width="16" style="121" customWidth="1"/>
    <col min="5898" max="6144" width="11.42578125" style="121"/>
    <col min="6145" max="6145" width="16.140625" style="121" customWidth="1"/>
    <col min="6146" max="6146" width="15.42578125" style="121" customWidth="1"/>
    <col min="6147" max="6147" width="40.5703125" style="121" customWidth="1"/>
    <col min="6148" max="6148" width="15.5703125" style="121" customWidth="1"/>
    <col min="6149" max="6149" width="11.42578125" style="121"/>
    <col min="6150" max="6150" width="13.140625" style="121" customWidth="1"/>
    <col min="6151" max="6151" width="12.5703125" style="121" customWidth="1"/>
    <col min="6152" max="6152" width="15.5703125" style="121" customWidth="1"/>
    <col min="6153" max="6153" width="16" style="121" customWidth="1"/>
    <col min="6154" max="6400" width="11.42578125" style="121"/>
    <col min="6401" max="6401" width="16.140625" style="121" customWidth="1"/>
    <col min="6402" max="6402" width="15.42578125" style="121" customWidth="1"/>
    <col min="6403" max="6403" width="40.5703125" style="121" customWidth="1"/>
    <col min="6404" max="6404" width="15.5703125" style="121" customWidth="1"/>
    <col min="6405" max="6405" width="11.42578125" style="121"/>
    <col min="6406" max="6406" width="13.140625" style="121" customWidth="1"/>
    <col min="6407" max="6407" width="12.5703125" style="121" customWidth="1"/>
    <col min="6408" max="6408" width="15.5703125" style="121" customWidth="1"/>
    <col min="6409" max="6409" width="16" style="121" customWidth="1"/>
    <col min="6410" max="6656" width="11.42578125" style="121"/>
    <col min="6657" max="6657" width="16.140625" style="121" customWidth="1"/>
    <col min="6658" max="6658" width="15.42578125" style="121" customWidth="1"/>
    <col min="6659" max="6659" width="40.5703125" style="121" customWidth="1"/>
    <col min="6660" max="6660" width="15.5703125" style="121" customWidth="1"/>
    <col min="6661" max="6661" width="11.42578125" style="121"/>
    <col min="6662" max="6662" width="13.140625" style="121" customWidth="1"/>
    <col min="6663" max="6663" width="12.5703125" style="121" customWidth="1"/>
    <col min="6664" max="6664" width="15.5703125" style="121" customWidth="1"/>
    <col min="6665" max="6665" width="16" style="121" customWidth="1"/>
    <col min="6666" max="6912" width="11.42578125" style="121"/>
    <col min="6913" max="6913" width="16.140625" style="121" customWidth="1"/>
    <col min="6914" max="6914" width="15.42578125" style="121" customWidth="1"/>
    <col min="6915" max="6915" width="40.5703125" style="121" customWidth="1"/>
    <col min="6916" max="6916" width="15.5703125" style="121" customWidth="1"/>
    <col min="6917" max="6917" width="11.42578125" style="121"/>
    <col min="6918" max="6918" width="13.140625" style="121" customWidth="1"/>
    <col min="6919" max="6919" width="12.5703125" style="121" customWidth="1"/>
    <col min="6920" max="6920" width="15.5703125" style="121" customWidth="1"/>
    <col min="6921" max="6921" width="16" style="121" customWidth="1"/>
    <col min="6922" max="7168" width="11.42578125" style="121"/>
    <col min="7169" max="7169" width="16.140625" style="121" customWidth="1"/>
    <col min="7170" max="7170" width="15.42578125" style="121" customWidth="1"/>
    <col min="7171" max="7171" width="40.5703125" style="121" customWidth="1"/>
    <col min="7172" max="7172" width="15.5703125" style="121" customWidth="1"/>
    <col min="7173" max="7173" width="11.42578125" style="121"/>
    <col min="7174" max="7174" width="13.140625" style="121" customWidth="1"/>
    <col min="7175" max="7175" width="12.5703125" style="121" customWidth="1"/>
    <col min="7176" max="7176" width="15.5703125" style="121" customWidth="1"/>
    <col min="7177" max="7177" width="16" style="121" customWidth="1"/>
    <col min="7178" max="7424" width="11.42578125" style="121"/>
    <col min="7425" max="7425" width="16.140625" style="121" customWidth="1"/>
    <col min="7426" max="7426" width="15.42578125" style="121" customWidth="1"/>
    <col min="7427" max="7427" width="40.5703125" style="121" customWidth="1"/>
    <col min="7428" max="7428" width="15.5703125" style="121" customWidth="1"/>
    <col min="7429" max="7429" width="11.42578125" style="121"/>
    <col min="7430" max="7430" width="13.140625" style="121" customWidth="1"/>
    <col min="7431" max="7431" width="12.5703125" style="121" customWidth="1"/>
    <col min="7432" max="7432" width="15.5703125" style="121" customWidth="1"/>
    <col min="7433" max="7433" width="16" style="121" customWidth="1"/>
    <col min="7434" max="7680" width="11.42578125" style="121"/>
    <col min="7681" max="7681" width="16.140625" style="121" customWidth="1"/>
    <col min="7682" max="7682" width="15.42578125" style="121" customWidth="1"/>
    <col min="7683" max="7683" width="40.5703125" style="121" customWidth="1"/>
    <col min="7684" max="7684" width="15.5703125" style="121" customWidth="1"/>
    <col min="7685" max="7685" width="11.42578125" style="121"/>
    <col min="7686" max="7686" width="13.140625" style="121" customWidth="1"/>
    <col min="7687" max="7687" width="12.5703125" style="121" customWidth="1"/>
    <col min="7688" max="7688" width="15.5703125" style="121" customWidth="1"/>
    <col min="7689" max="7689" width="16" style="121" customWidth="1"/>
    <col min="7690" max="7936" width="11.42578125" style="121"/>
    <col min="7937" max="7937" width="16.140625" style="121" customWidth="1"/>
    <col min="7938" max="7938" width="15.42578125" style="121" customWidth="1"/>
    <col min="7939" max="7939" width="40.5703125" style="121" customWidth="1"/>
    <col min="7940" max="7940" width="15.5703125" style="121" customWidth="1"/>
    <col min="7941" max="7941" width="11.42578125" style="121"/>
    <col min="7942" max="7942" width="13.140625" style="121" customWidth="1"/>
    <col min="7943" max="7943" width="12.5703125" style="121" customWidth="1"/>
    <col min="7944" max="7944" width="15.5703125" style="121" customWidth="1"/>
    <col min="7945" max="7945" width="16" style="121" customWidth="1"/>
    <col min="7946" max="8192" width="11.42578125" style="121"/>
    <col min="8193" max="8193" width="16.140625" style="121" customWidth="1"/>
    <col min="8194" max="8194" width="15.42578125" style="121" customWidth="1"/>
    <col min="8195" max="8195" width="40.5703125" style="121" customWidth="1"/>
    <col min="8196" max="8196" width="15.5703125" style="121" customWidth="1"/>
    <col min="8197" max="8197" width="11.42578125" style="121"/>
    <col min="8198" max="8198" width="13.140625" style="121" customWidth="1"/>
    <col min="8199" max="8199" width="12.5703125" style="121" customWidth="1"/>
    <col min="8200" max="8200" width="15.5703125" style="121" customWidth="1"/>
    <col min="8201" max="8201" width="16" style="121" customWidth="1"/>
    <col min="8202" max="8448" width="11.42578125" style="121"/>
    <col min="8449" max="8449" width="16.140625" style="121" customWidth="1"/>
    <col min="8450" max="8450" width="15.42578125" style="121" customWidth="1"/>
    <col min="8451" max="8451" width="40.5703125" style="121" customWidth="1"/>
    <col min="8452" max="8452" width="15.5703125" style="121" customWidth="1"/>
    <col min="8453" max="8453" width="11.42578125" style="121"/>
    <col min="8454" max="8454" width="13.140625" style="121" customWidth="1"/>
    <col min="8455" max="8455" width="12.5703125" style="121" customWidth="1"/>
    <col min="8456" max="8456" width="15.5703125" style="121" customWidth="1"/>
    <col min="8457" max="8457" width="16" style="121" customWidth="1"/>
    <col min="8458" max="8704" width="11.42578125" style="121"/>
    <col min="8705" max="8705" width="16.140625" style="121" customWidth="1"/>
    <col min="8706" max="8706" width="15.42578125" style="121" customWidth="1"/>
    <col min="8707" max="8707" width="40.5703125" style="121" customWidth="1"/>
    <col min="8708" max="8708" width="15.5703125" style="121" customWidth="1"/>
    <col min="8709" max="8709" width="11.42578125" style="121"/>
    <col min="8710" max="8710" width="13.140625" style="121" customWidth="1"/>
    <col min="8711" max="8711" width="12.5703125" style="121" customWidth="1"/>
    <col min="8712" max="8712" width="15.5703125" style="121" customWidth="1"/>
    <col min="8713" max="8713" width="16" style="121" customWidth="1"/>
    <col min="8714" max="8960" width="11.42578125" style="121"/>
    <col min="8961" max="8961" width="16.140625" style="121" customWidth="1"/>
    <col min="8962" max="8962" width="15.42578125" style="121" customWidth="1"/>
    <col min="8963" max="8963" width="40.5703125" style="121" customWidth="1"/>
    <col min="8964" max="8964" width="15.5703125" style="121" customWidth="1"/>
    <col min="8965" max="8965" width="11.42578125" style="121"/>
    <col min="8966" max="8966" width="13.140625" style="121" customWidth="1"/>
    <col min="8967" max="8967" width="12.5703125" style="121" customWidth="1"/>
    <col min="8968" max="8968" width="15.5703125" style="121" customWidth="1"/>
    <col min="8969" max="8969" width="16" style="121" customWidth="1"/>
    <col min="8970" max="9216" width="11.42578125" style="121"/>
    <col min="9217" max="9217" width="16.140625" style="121" customWidth="1"/>
    <col min="9218" max="9218" width="15.42578125" style="121" customWidth="1"/>
    <col min="9219" max="9219" width="40.5703125" style="121" customWidth="1"/>
    <col min="9220" max="9220" width="15.5703125" style="121" customWidth="1"/>
    <col min="9221" max="9221" width="11.42578125" style="121"/>
    <col min="9222" max="9222" width="13.140625" style="121" customWidth="1"/>
    <col min="9223" max="9223" width="12.5703125" style="121" customWidth="1"/>
    <col min="9224" max="9224" width="15.5703125" style="121" customWidth="1"/>
    <col min="9225" max="9225" width="16" style="121" customWidth="1"/>
    <col min="9226" max="9472" width="11.42578125" style="121"/>
    <col min="9473" max="9473" width="16.140625" style="121" customWidth="1"/>
    <col min="9474" max="9474" width="15.42578125" style="121" customWidth="1"/>
    <col min="9475" max="9475" width="40.5703125" style="121" customWidth="1"/>
    <col min="9476" max="9476" width="15.5703125" style="121" customWidth="1"/>
    <col min="9477" max="9477" width="11.42578125" style="121"/>
    <col min="9478" max="9478" width="13.140625" style="121" customWidth="1"/>
    <col min="9479" max="9479" width="12.5703125" style="121" customWidth="1"/>
    <col min="9480" max="9480" width="15.5703125" style="121" customWidth="1"/>
    <col min="9481" max="9481" width="16" style="121" customWidth="1"/>
    <col min="9482" max="9728" width="11.42578125" style="121"/>
    <col min="9729" max="9729" width="16.140625" style="121" customWidth="1"/>
    <col min="9730" max="9730" width="15.42578125" style="121" customWidth="1"/>
    <col min="9731" max="9731" width="40.5703125" style="121" customWidth="1"/>
    <col min="9732" max="9732" width="15.5703125" style="121" customWidth="1"/>
    <col min="9733" max="9733" width="11.42578125" style="121"/>
    <col min="9734" max="9734" width="13.140625" style="121" customWidth="1"/>
    <col min="9735" max="9735" width="12.5703125" style="121" customWidth="1"/>
    <col min="9736" max="9736" width="15.5703125" style="121" customWidth="1"/>
    <col min="9737" max="9737" width="16" style="121" customWidth="1"/>
    <col min="9738" max="9984" width="11.42578125" style="121"/>
    <col min="9985" max="9985" width="16.140625" style="121" customWidth="1"/>
    <col min="9986" max="9986" width="15.42578125" style="121" customWidth="1"/>
    <col min="9987" max="9987" width="40.5703125" style="121" customWidth="1"/>
    <col min="9988" max="9988" width="15.5703125" style="121" customWidth="1"/>
    <col min="9989" max="9989" width="11.42578125" style="121"/>
    <col min="9990" max="9990" width="13.140625" style="121" customWidth="1"/>
    <col min="9991" max="9991" width="12.5703125" style="121" customWidth="1"/>
    <col min="9992" max="9992" width="15.5703125" style="121" customWidth="1"/>
    <col min="9993" max="9993" width="16" style="121" customWidth="1"/>
    <col min="9994" max="10240" width="11.42578125" style="121"/>
    <col min="10241" max="10241" width="16.140625" style="121" customWidth="1"/>
    <col min="10242" max="10242" width="15.42578125" style="121" customWidth="1"/>
    <col min="10243" max="10243" width="40.5703125" style="121" customWidth="1"/>
    <col min="10244" max="10244" width="15.5703125" style="121" customWidth="1"/>
    <col min="10245" max="10245" width="11.42578125" style="121"/>
    <col min="10246" max="10246" width="13.140625" style="121" customWidth="1"/>
    <col min="10247" max="10247" width="12.5703125" style="121" customWidth="1"/>
    <col min="10248" max="10248" width="15.5703125" style="121" customWidth="1"/>
    <col min="10249" max="10249" width="16" style="121" customWidth="1"/>
    <col min="10250" max="10496" width="11.42578125" style="121"/>
    <col min="10497" max="10497" width="16.140625" style="121" customWidth="1"/>
    <col min="10498" max="10498" width="15.42578125" style="121" customWidth="1"/>
    <col min="10499" max="10499" width="40.5703125" style="121" customWidth="1"/>
    <col min="10500" max="10500" width="15.5703125" style="121" customWidth="1"/>
    <col min="10501" max="10501" width="11.42578125" style="121"/>
    <col min="10502" max="10502" width="13.140625" style="121" customWidth="1"/>
    <col min="10503" max="10503" width="12.5703125" style="121" customWidth="1"/>
    <col min="10504" max="10504" width="15.5703125" style="121" customWidth="1"/>
    <col min="10505" max="10505" width="16" style="121" customWidth="1"/>
    <col min="10506" max="10752" width="11.42578125" style="121"/>
    <col min="10753" max="10753" width="16.140625" style="121" customWidth="1"/>
    <col min="10754" max="10754" width="15.42578125" style="121" customWidth="1"/>
    <col min="10755" max="10755" width="40.5703125" style="121" customWidth="1"/>
    <col min="10756" max="10756" width="15.5703125" style="121" customWidth="1"/>
    <col min="10757" max="10757" width="11.42578125" style="121"/>
    <col min="10758" max="10758" width="13.140625" style="121" customWidth="1"/>
    <col min="10759" max="10759" width="12.5703125" style="121" customWidth="1"/>
    <col min="10760" max="10760" width="15.5703125" style="121" customWidth="1"/>
    <col min="10761" max="10761" width="16" style="121" customWidth="1"/>
    <col min="10762" max="11008" width="11.42578125" style="121"/>
    <col min="11009" max="11009" width="16.140625" style="121" customWidth="1"/>
    <col min="11010" max="11010" width="15.42578125" style="121" customWidth="1"/>
    <col min="11011" max="11011" width="40.5703125" style="121" customWidth="1"/>
    <col min="11012" max="11012" width="15.5703125" style="121" customWidth="1"/>
    <col min="11013" max="11013" width="11.42578125" style="121"/>
    <col min="11014" max="11014" width="13.140625" style="121" customWidth="1"/>
    <col min="11015" max="11015" width="12.5703125" style="121" customWidth="1"/>
    <col min="11016" max="11016" width="15.5703125" style="121" customWidth="1"/>
    <col min="11017" max="11017" width="16" style="121" customWidth="1"/>
    <col min="11018" max="11264" width="11.42578125" style="121"/>
    <col min="11265" max="11265" width="16.140625" style="121" customWidth="1"/>
    <col min="11266" max="11266" width="15.42578125" style="121" customWidth="1"/>
    <col min="11267" max="11267" width="40.5703125" style="121" customWidth="1"/>
    <col min="11268" max="11268" width="15.5703125" style="121" customWidth="1"/>
    <col min="11269" max="11269" width="11.42578125" style="121"/>
    <col min="11270" max="11270" width="13.140625" style="121" customWidth="1"/>
    <col min="11271" max="11271" width="12.5703125" style="121" customWidth="1"/>
    <col min="11272" max="11272" width="15.5703125" style="121" customWidth="1"/>
    <col min="11273" max="11273" width="16" style="121" customWidth="1"/>
    <col min="11274" max="11520" width="11.42578125" style="121"/>
    <col min="11521" max="11521" width="16.140625" style="121" customWidth="1"/>
    <col min="11522" max="11522" width="15.42578125" style="121" customWidth="1"/>
    <col min="11523" max="11523" width="40.5703125" style="121" customWidth="1"/>
    <col min="11524" max="11524" width="15.5703125" style="121" customWidth="1"/>
    <col min="11525" max="11525" width="11.42578125" style="121"/>
    <col min="11526" max="11526" width="13.140625" style="121" customWidth="1"/>
    <col min="11527" max="11527" width="12.5703125" style="121" customWidth="1"/>
    <col min="11528" max="11528" width="15.5703125" style="121" customWidth="1"/>
    <col min="11529" max="11529" width="16" style="121" customWidth="1"/>
    <col min="11530" max="11776" width="11.42578125" style="121"/>
    <col min="11777" max="11777" width="16.140625" style="121" customWidth="1"/>
    <col min="11778" max="11778" width="15.42578125" style="121" customWidth="1"/>
    <col min="11779" max="11779" width="40.5703125" style="121" customWidth="1"/>
    <col min="11780" max="11780" width="15.5703125" style="121" customWidth="1"/>
    <col min="11781" max="11781" width="11.42578125" style="121"/>
    <col min="11782" max="11782" width="13.140625" style="121" customWidth="1"/>
    <col min="11783" max="11783" width="12.5703125" style="121" customWidth="1"/>
    <col min="11784" max="11784" width="15.5703125" style="121" customWidth="1"/>
    <col min="11785" max="11785" width="16" style="121" customWidth="1"/>
    <col min="11786" max="12032" width="11.42578125" style="121"/>
    <col min="12033" max="12033" width="16.140625" style="121" customWidth="1"/>
    <col min="12034" max="12034" width="15.42578125" style="121" customWidth="1"/>
    <col min="12035" max="12035" width="40.5703125" style="121" customWidth="1"/>
    <col min="12036" max="12036" width="15.5703125" style="121" customWidth="1"/>
    <col min="12037" max="12037" width="11.42578125" style="121"/>
    <col min="12038" max="12038" width="13.140625" style="121" customWidth="1"/>
    <col min="12039" max="12039" width="12.5703125" style="121" customWidth="1"/>
    <col min="12040" max="12040" width="15.5703125" style="121" customWidth="1"/>
    <col min="12041" max="12041" width="16" style="121" customWidth="1"/>
    <col min="12042" max="12288" width="11.42578125" style="121"/>
    <col min="12289" max="12289" width="16.140625" style="121" customWidth="1"/>
    <col min="12290" max="12290" width="15.42578125" style="121" customWidth="1"/>
    <col min="12291" max="12291" width="40.5703125" style="121" customWidth="1"/>
    <col min="12292" max="12292" width="15.5703125" style="121" customWidth="1"/>
    <col min="12293" max="12293" width="11.42578125" style="121"/>
    <col min="12294" max="12294" width="13.140625" style="121" customWidth="1"/>
    <col min="12295" max="12295" width="12.5703125" style="121" customWidth="1"/>
    <col min="12296" max="12296" width="15.5703125" style="121" customWidth="1"/>
    <col min="12297" max="12297" width="16" style="121" customWidth="1"/>
    <col min="12298" max="12544" width="11.42578125" style="121"/>
    <col min="12545" max="12545" width="16.140625" style="121" customWidth="1"/>
    <col min="12546" max="12546" width="15.42578125" style="121" customWidth="1"/>
    <col min="12547" max="12547" width="40.5703125" style="121" customWidth="1"/>
    <col min="12548" max="12548" width="15.5703125" style="121" customWidth="1"/>
    <col min="12549" max="12549" width="11.42578125" style="121"/>
    <col min="12550" max="12550" width="13.140625" style="121" customWidth="1"/>
    <col min="12551" max="12551" width="12.5703125" style="121" customWidth="1"/>
    <col min="12552" max="12552" width="15.5703125" style="121" customWidth="1"/>
    <col min="12553" max="12553" width="16" style="121" customWidth="1"/>
    <col min="12554" max="12800" width="11.42578125" style="121"/>
    <col min="12801" max="12801" width="16.140625" style="121" customWidth="1"/>
    <col min="12802" max="12802" width="15.42578125" style="121" customWidth="1"/>
    <col min="12803" max="12803" width="40.5703125" style="121" customWidth="1"/>
    <col min="12804" max="12804" width="15.5703125" style="121" customWidth="1"/>
    <col min="12805" max="12805" width="11.42578125" style="121"/>
    <col min="12806" max="12806" width="13.140625" style="121" customWidth="1"/>
    <col min="12807" max="12807" width="12.5703125" style="121" customWidth="1"/>
    <col min="12808" max="12808" width="15.5703125" style="121" customWidth="1"/>
    <col min="12809" max="12809" width="16" style="121" customWidth="1"/>
    <col min="12810" max="13056" width="11.42578125" style="121"/>
    <col min="13057" max="13057" width="16.140625" style="121" customWidth="1"/>
    <col min="13058" max="13058" width="15.42578125" style="121" customWidth="1"/>
    <col min="13059" max="13059" width="40.5703125" style="121" customWidth="1"/>
    <col min="13060" max="13060" width="15.5703125" style="121" customWidth="1"/>
    <col min="13061" max="13061" width="11.42578125" style="121"/>
    <col min="13062" max="13062" width="13.140625" style="121" customWidth="1"/>
    <col min="13063" max="13063" width="12.5703125" style="121" customWidth="1"/>
    <col min="13064" max="13064" width="15.5703125" style="121" customWidth="1"/>
    <col min="13065" max="13065" width="16" style="121" customWidth="1"/>
    <col min="13066" max="13312" width="11.42578125" style="121"/>
    <col min="13313" max="13313" width="16.140625" style="121" customWidth="1"/>
    <col min="13314" max="13314" width="15.42578125" style="121" customWidth="1"/>
    <col min="13315" max="13315" width="40.5703125" style="121" customWidth="1"/>
    <col min="13316" max="13316" width="15.5703125" style="121" customWidth="1"/>
    <col min="13317" max="13317" width="11.42578125" style="121"/>
    <col min="13318" max="13318" width="13.140625" style="121" customWidth="1"/>
    <col min="13319" max="13319" width="12.5703125" style="121" customWidth="1"/>
    <col min="13320" max="13320" width="15.5703125" style="121" customWidth="1"/>
    <col min="13321" max="13321" width="16" style="121" customWidth="1"/>
    <col min="13322" max="13568" width="11.42578125" style="121"/>
    <col min="13569" max="13569" width="16.140625" style="121" customWidth="1"/>
    <col min="13570" max="13570" width="15.42578125" style="121" customWidth="1"/>
    <col min="13571" max="13571" width="40.5703125" style="121" customWidth="1"/>
    <col min="13572" max="13572" width="15.5703125" style="121" customWidth="1"/>
    <col min="13573" max="13573" width="11.42578125" style="121"/>
    <col min="13574" max="13574" width="13.140625" style="121" customWidth="1"/>
    <col min="13575" max="13575" width="12.5703125" style="121" customWidth="1"/>
    <col min="13576" max="13576" width="15.5703125" style="121" customWidth="1"/>
    <col min="13577" max="13577" width="16" style="121" customWidth="1"/>
    <col min="13578" max="13824" width="11.42578125" style="121"/>
    <col min="13825" max="13825" width="16.140625" style="121" customWidth="1"/>
    <col min="13826" max="13826" width="15.42578125" style="121" customWidth="1"/>
    <col min="13827" max="13827" width="40.5703125" style="121" customWidth="1"/>
    <col min="13828" max="13828" width="15.5703125" style="121" customWidth="1"/>
    <col min="13829" max="13829" width="11.42578125" style="121"/>
    <col min="13830" max="13830" width="13.140625" style="121" customWidth="1"/>
    <col min="13831" max="13831" width="12.5703125" style="121" customWidth="1"/>
    <col min="13832" max="13832" width="15.5703125" style="121" customWidth="1"/>
    <col min="13833" max="13833" width="16" style="121" customWidth="1"/>
    <col min="13834" max="14080" width="11.42578125" style="121"/>
    <col min="14081" max="14081" width="16.140625" style="121" customWidth="1"/>
    <col min="14082" max="14082" width="15.42578125" style="121" customWidth="1"/>
    <col min="14083" max="14083" width="40.5703125" style="121" customWidth="1"/>
    <col min="14084" max="14084" width="15.5703125" style="121" customWidth="1"/>
    <col min="14085" max="14085" width="11.42578125" style="121"/>
    <col min="14086" max="14086" width="13.140625" style="121" customWidth="1"/>
    <col min="14087" max="14087" width="12.5703125" style="121" customWidth="1"/>
    <col min="14088" max="14088" width="15.5703125" style="121" customWidth="1"/>
    <col min="14089" max="14089" width="16" style="121" customWidth="1"/>
    <col min="14090" max="14336" width="11.42578125" style="121"/>
    <col min="14337" max="14337" width="16.140625" style="121" customWidth="1"/>
    <col min="14338" max="14338" width="15.42578125" style="121" customWidth="1"/>
    <col min="14339" max="14339" width="40.5703125" style="121" customWidth="1"/>
    <col min="14340" max="14340" width="15.5703125" style="121" customWidth="1"/>
    <col min="14341" max="14341" width="11.42578125" style="121"/>
    <col min="14342" max="14342" width="13.140625" style="121" customWidth="1"/>
    <col min="14343" max="14343" width="12.5703125" style="121" customWidth="1"/>
    <col min="14344" max="14344" width="15.5703125" style="121" customWidth="1"/>
    <col min="14345" max="14345" width="16" style="121" customWidth="1"/>
    <col min="14346" max="14592" width="11.42578125" style="121"/>
    <col min="14593" max="14593" width="16.140625" style="121" customWidth="1"/>
    <col min="14594" max="14594" width="15.42578125" style="121" customWidth="1"/>
    <col min="14595" max="14595" width="40.5703125" style="121" customWidth="1"/>
    <col min="14596" max="14596" width="15.5703125" style="121" customWidth="1"/>
    <col min="14597" max="14597" width="11.42578125" style="121"/>
    <col min="14598" max="14598" width="13.140625" style="121" customWidth="1"/>
    <col min="14599" max="14599" width="12.5703125" style="121" customWidth="1"/>
    <col min="14600" max="14600" width="15.5703125" style="121" customWidth="1"/>
    <col min="14601" max="14601" width="16" style="121" customWidth="1"/>
    <col min="14602" max="14848" width="11.42578125" style="121"/>
    <col min="14849" max="14849" width="16.140625" style="121" customWidth="1"/>
    <col min="14850" max="14850" width="15.42578125" style="121" customWidth="1"/>
    <col min="14851" max="14851" width="40.5703125" style="121" customWidth="1"/>
    <col min="14852" max="14852" width="15.5703125" style="121" customWidth="1"/>
    <col min="14853" max="14853" width="11.42578125" style="121"/>
    <col min="14854" max="14854" width="13.140625" style="121" customWidth="1"/>
    <col min="14855" max="14855" width="12.5703125" style="121" customWidth="1"/>
    <col min="14856" max="14856" width="15.5703125" style="121" customWidth="1"/>
    <col min="14857" max="14857" width="16" style="121" customWidth="1"/>
    <col min="14858" max="15104" width="11.42578125" style="121"/>
    <col min="15105" max="15105" width="16.140625" style="121" customWidth="1"/>
    <col min="15106" max="15106" width="15.42578125" style="121" customWidth="1"/>
    <col min="15107" max="15107" width="40.5703125" style="121" customWidth="1"/>
    <col min="15108" max="15108" width="15.5703125" style="121" customWidth="1"/>
    <col min="15109" max="15109" width="11.42578125" style="121"/>
    <col min="15110" max="15110" width="13.140625" style="121" customWidth="1"/>
    <col min="15111" max="15111" width="12.5703125" style="121" customWidth="1"/>
    <col min="15112" max="15112" width="15.5703125" style="121" customWidth="1"/>
    <col min="15113" max="15113" width="16" style="121" customWidth="1"/>
    <col min="15114" max="15360" width="11.42578125" style="121"/>
    <col min="15361" max="15361" width="16.140625" style="121" customWidth="1"/>
    <col min="15362" max="15362" width="15.42578125" style="121" customWidth="1"/>
    <col min="15363" max="15363" width="40.5703125" style="121" customWidth="1"/>
    <col min="15364" max="15364" width="15.5703125" style="121" customWidth="1"/>
    <col min="15365" max="15365" width="11.42578125" style="121"/>
    <col min="15366" max="15366" width="13.140625" style="121" customWidth="1"/>
    <col min="15367" max="15367" width="12.5703125" style="121" customWidth="1"/>
    <col min="15368" max="15368" width="15.5703125" style="121" customWidth="1"/>
    <col min="15369" max="15369" width="16" style="121" customWidth="1"/>
    <col min="15370" max="15616" width="11.42578125" style="121"/>
    <col min="15617" max="15617" width="16.140625" style="121" customWidth="1"/>
    <col min="15618" max="15618" width="15.42578125" style="121" customWidth="1"/>
    <col min="15619" max="15619" width="40.5703125" style="121" customWidth="1"/>
    <col min="15620" max="15620" width="15.5703125" style="121" customWidth="1"/>
    <col min="15621" max="15621" width="11.42578125" style="121"/>
    <col min="15622" max="15622" width="13.140625" style="121" customWidth="1"/>
    <col min="15623" max="15623" width="12.5703125" style="121" customWidth="1"/>
    <col min="15624" max="15624" width="15.5703125" style="121" customWidth="1"/>
    <col min="15625" max="15625" width="16" style="121" customWidth="1"/>
    <col min="15626" max="15872" width="11.42578125" style="121"/>
    <col min="15873" max="15873" width="16.140625" style="121" customWidth="1"/>
    <col min="15874" max="15874" width="15.42578125" style="121" customWidth="1"/>
    <col min="15875" max="15875" width="40.5703125" style="121" customWidth="1"/>
    <col min="15876" max="15876" width="15.5703125" style="121" customWidth="1"/>
    <col min="15877" max="15877" width="11.42578125" style="121"/>
    <col min="15878" max="15878" width="13.140625" style="121" customWidth="1"/>
    <col min="15879" max="15879" width="12.5703125" style="121" customWidth="1"/>
    <col min="15880" max="15880" width="15.5703125" style="121" customWidth="1"/>
    <col min="15881" max="15881" width="16" style="121" customWidth="1"/>
    <col min="15882" max="16128" width="11.42578125" style="121"/>
    <col min="16129" max="16129" width="16.140625" style="121" customWidth="1"/>
    <col min="16130" max="16130" width="15.42578125" style="121" customWidth="1"/>
    <col min="16131" max="16131" width="40.5703125" style="121" customWidth="1"/>
    <col min="16132" max="16132" width="15.5703125" style="121" customWidth="1"/>
    <col min="16133" max="16133" width="11.42578125" style="121"/>
    <col min="16134" max="16134" width="13.140625" style="121" customWidth="1"/>
    <col min="16135" max="16135" width="12.5703125" style="121" customWidth="1"/>
    <col min="16136" max="16136" width="15.5703125" style="121" customWidth="1"/>
    <col min="16137" max="16137" width="16" style="121" customWidth="1"/>
    <col min="16138" max="16384" width="11.42578125" style="121"/>
  </cols>
  <sheetData>
    <row r="1" spans="1:12" ht="15.75" x14ac:dyDescent="0.25">
      <c r="A1" s="629"/>
      <c r="B1" s="749"/>
      <c r="C1" s="752" t="s">
        <v>0</v>
      </c>
      <c r="D1" s="611"/>
      <c r="E1" s="611"/>
      <c r="F1" s="611"/>
      <c r="G1" s="611"/>
      <c r="H1" s="122" t="s">
        <v>1</v>
      </c>
      <c r="I1" s="123" t="s">
        <v>362</v>
      </c>
    </row>
    <row r="2" spans="1:12" ht="16.5" thickBot="1" x14ac:dyDescent="0.3">
      <c r="A2" s="631"/>
      <c r="B2" s="750"/>
      <c r="C2" s="753" t="s">
        <v>2</v>
      </c>
      <c r="D2" s="612"/>
      <c r="E2" s="612"/>
      <c r="F2" s="612"/>
      <c r="G2" s="612"/>
      <c r="H2" s="124" t="s">
        <v>3</v>
      </c>
      <c r="I2" s="125" t="s">
        <v>288</v>
      </c>
    </row>
    <row r="3" spans="1:12" ht="18.75" thickBot="1" x14ac:dyDescent="0.3">
      <c r="A3" s="631"/>
      <c r="B3" s="750"/>
      <c r="C3" s="667" t="s">
        <v>363</v>
      </c>
      <c r="D3" s="667"/>
      <c r="E3" s="667"/>
      <c r="F3" s="667"/>
      <c r="G3" s="668"/>
      <c r="H3" s="616" t="s">
        <v>4</v>
      </c>
      <c r="I3" s="606" t="s">
        <v>364</v>
      </c>
    </row>
    <row r="4" spans="1:12" x14ac:dyDescent="0.25">
      <c r="A4" s="631"/>
      <c r="B4" s="750"/>
      <c r="C4" s="435" t="s">
        <v>5</v>
      </c>
      <c r="D4" s="659" t="s">
        <v>232</v>
      </c>
      <c r="E4" s="660"/>
      <c r="F4" s="660"/>
      <c r="G4" s="661"/>
      <c r="H4" s="617"/>
      <c r="I4" s="607"/>
    </row>
    <row r="5" spans="1:12" ht="14.25" thickBot="1" x14ac:dyDescent="0.3">
      <c r="A5" s="633"/>
      <c r="B5" s="751"/>
      <c r="C5" s="436" t="s">
        <v>6</v>
      </c>
      <c r="D5" s="662" t="s">
        <v>31</v>
      </c>
      <c r="E5" s="663"/>
      <c r="F5" s="663"/>
      <c r="G5" s="664"/>
      <c r="H5" s="618"/>
      <c r="I5" s="607"/>
    </row>
    <row r="6" spans="1:12" ht="25.5" x14ac:dyDescent="0.25">
      <c r="A6" s="669" t="s">
        <v>9</v>
      </c>
      <c r="B6" s="671" t="s">
        <v>32</v>
      </c>
      <c r="C6" s="665" t="s">
        <v>10</v>
      </c>
      <c r="D6" s="665" t="s">
        <v>11</v>
      </c>
      <c r="E6" s="665" t="s">
        <v>12</v>
      </c>
      <c r="F6" s="665"/>
      <c r="G6" s="665" t="s">
        <v>13</v>
      </c>
      <c r="H6" s="665"/>
      <c r="I6" s="322" t="s">
        <v>14</v>
      </c>
    </row>
    <row r="7" spans="1:12" ht="27" thickBot="1" x14ac:dyDescent="0.3">
      <c r="A7" s="670"/>
      <c r="B7" s="672"/>
      <c r="C7" s="673"/>
      <c r="D7" s="673"/>
      <c r="E7" s="127" t="s">
        <v>15</v>
      </c>
      <c r="F7" s="128" t="s">
        <v>16</v>
      </c>
      <c r="G7" s="127" t="s">
        <v>15</v>
      </c>
      <c r="H7" s="128" t="s">
        <v>16</v>
      </c>
      <c r="I7" s="129" t="s">
        <v>17</v>
      </c>
    </row>
    <row r="8" spans="1:12" ht="15.75" x14ac:dyDescent="0.25">
      <c r="A8" s="437"/>
      <c r="B8" s="438"/>
      <c r="C8" s="439"/>
      <c r="D8" s="440"/>
      <c r="E8" s="441"/>
      <c r="F8" s="441"/>
      <c r="G8" s="19"/>
      <c r="H8" s="142"/>
      <c r="I8" s="442"/>
    </row>
    <row r="9" spans="1:12" ht="15" x14ac:dyDescent="0.25">
      <c r="A9" s="326" t="s">
        <v>365</v>
      </c>
      <c r="B9" s="326" t="s">
        <v>366</v>
      </c>
      <c r="C9" s="327" t="s">
        <v>367</v>
      </c>
      <c r="D9" s="443" t="s">
        <v>18</v>
      </c>
      <c r="E9" s="340">
        <v>1600</v>
      </c>
      <c r="F9" s="337" t="s">
        <v>19</v>
      </c>
      <c r="G9" s="19"/>
      <c r="H9" s="142"/>
      <c r="I9" s="442"/>
    </row>
    <row r="10" spans="1:12" ht="15" x14ac:dyDescent="0.25">
      <c r="A10" s="326"/>
      <c r="B10" s="326"/>
      <c r="C10" s="327" t="s">
        <v>368</v>
      </c>
      <c r="D10" s="443" t="s">
        <v>18</v>
      </c>
      <c r="E10" s="340">
        <v>1600</v>
      </c>
      <c r="F10" s="337" t="s">
        <v>19</v>
      </c>
      <c r="G10" s="19"/>
      <c r="H10" s="142"/>
      <c r="I10" s="442"/>
    </row>
    <row r="11" spans="1:12" ht="15" x14ac:dyDescent="0.25">
      <c r="A11" s="326" t="s">
        <v>369</v>
      </c>
      <c r="B11" s="326" t="s">
        <v>370</v>
      </c>
      <c r="C11" s="327" t="s">
        <v>371</v>
      </c>
      <c r="D11" s="443" t="s">
        <v>372</v>
      </c>
      <c r="E11" s="340">
        <v>3</v>
      </c>
      <c r="F11" s="337" t="s">
        <v>19</v>
      </c>
      <c r="G11" s="19"/>
      <c r="H11" s="142"/>
      <c r="I11" s="442"/>
    </row>
    <row r="12" spans="1:12" ht="15.75" x14ac:dyDescent="0.25">
      <c r="A12" s="343"/>
      <c r="B12" s="444"/>
      <c r="C12" s="327"/>
      <c r="D12" s="334"/>
      <c r="E12" s="441"/>
      <c r="F12" s="441"/>
      <c r="G12" s="19"/>
      <c r="H12" s="142"/>
      <c r="I12" s="442"/>
    </row>
    <row r="13" spans="1:12" ht="15.75" thickBot="1" x14ac:dyDescent="0.3">
      <c r="A13" s="445"/>
      <c r="B13" s="446"/>
      <c r="C13" s="447"/>
      <c r="D13" s="447"/>
      <c r="E13" s="448"/>
      <c r="F13" s="449"/>
      <c r="G13" s="448"/>
      <c r="H13" s="450"/>
      <c r="I13" s="451"/>
    </row>
    <row r="14" spans="1:12" ht="14.25" thickBot="1" x14ac:dyDescent="0.3">
      <c r="A14" s="149"/>
      <c r="B14" s="150"/>
      <c r="E14" s="151"/>
      <c r="F14" s="152"/>
      <c r="I14" s="153"/>
      <c r="L14" s="154"/>
    </row>
    <row r="15" spans="1:12" ht="14.25" thickBot="1" x14ac:dyDescent="0.3">
      <c r="A15" s="155"/>
      <c r="B15" s="156"/>
      <c r="C15" s="157"/>
      <c r="D15" s="158" t="s">
        <v>15</v>
      </c>
      <c r="E15" s="159" t="s">
        <v>22</v>
      </c>
      <c r="F15" s="160"/>
      <c r="G15" s="157"/>
      <c r="H15" s="157"/>
      <c r="I15" s="161"/>
      <c r="L15" s="154"/>
    </row>
    <row r="16" spans="1:12" x14ac:dyDescent="0.25">
      <c r="A16" s="674" t="s">
        <v>23</v>
      </c>
      <c r="B16" s="675"/>
      <c r="C16" s="676"/>
      <c r="D16" s="19">
        <f>SUM(E9:E11)-D20</f>
        <v>3200</v>
      </c>
      <c r="E16" s="162" t="s">
        <v>19</v>
      </c>
      <c r="F16" s="677" t="s">
        <v>33</v>
      </c>
      <c r="G16" s="677"/>
      <c r="H16" s="678"/>
      <c r="I16" s="679"/>
      <c r="L16" s="154"/>
    </row>
    <row r="17" spans="1:13" x14ac:dyDescent="0.25">
      <c r="A17" s="578" t="s">
        <v>24</v>
      </c>
      <c r="B17" s="579"/>
      <c r="C17" s="580"/>
      <c r="D17" s="18">
        <v>5</v>
      </c>
      <c r="E17" s="18" t="s">
        <v>280</v>
      </c>
      <c r="F17" s="581" t="s">
        <v>34</v>
      </c>
      <c r="G17" s="581"/>
      <c r="H17" s="582"/>
      <c r="I17" s="583"/>
      <c r="L17" s="154"/>
    </row>
    <row r="18" spans="1:13" x14ac:dyDescent="0.25">
      <c r="A18" s="578" t="s">
        <v>26</v>
      </c>
      <c r="B18" s="579"/>
      <c r="C18" s="580"/>
      <c r="D18" s="18">
        <v>10</v>
      </c>
      <c r="E18" s="18" t="s">
        <v>373</v>
      </c>
      <c r="F18" s="581" t="s">
        <v>35</v>
      </c>
      <c r="G18" s="581"/>
      <c r="H18" s="582"/>
      <c r="I18" s="583"/>
      <c r="L18" s="154"/>
    </row>
    <row r="19" spans="1:13" x14ac:dyDescent="0.25">
      <c r="A19" s="578" t="s">
        <v>27</v>
      </c>
      <c r="B19" s="579"/>
      <c r="C19" s="580"/>
      <c r="D19" s="139">
        <v>320</v>
      </c>
      <c r="E19" s="18" t="s">
        <v>19</v>
      </c>
      <c r="F19" s="680" t="s">
        <v>36</v>
      </c>
      <c r="G19" s="681"/>
      <c r="H19" s="582"/>
      <c r="I19" s="583"/>
      <c r="L19" s="154"/>
      <c r="M19" s="164"/>
    </row>
    <row r="20" spans="1:13" ht="14.25" thickBot="1" x14ac:dyDescent="0.3">
      <c r="A20" s="685" t="s">
        <v>28</v>
      </c>
      <c r="B20" s="644"/>
      <c r="C20" s="686"/>
      <c r="D20" s="165">
        <v>3</v>
      </c>
      <c r="E20" s="166" t="s">
        <v>19</v>
      </c>
      <c r="F20" s="645"/>
      <c r="G20" s="645"/>
      <c r="H20" s="646"/>
      <c r="I20" s="647"/>
      <c r="L20" s="154"/>
    </row>
    <row r="21" spans="1:13" ht="14.25" thickBot="1" x14ac:dyDescent="0.3">
      <c r="A21" s="682" t="s">
        <v>29</v>
      </c>
      <c r="B21" s="683"/>
      <c r="C21" s="683"/>
      <c r="D21" s="683"/>
      <c r="E21" s="683"/>
      <c r="F21" s="683"/>
      <c r="G21" s="683"/>
      <c r="H21" s="683"/>
      <c r="I21" s="684"/>
    </row>
    <row r="22" spans="1:13" ht="16.5" customHeight="1" x14ac:dyDescent="0.25">
      <c r="A22" s="754" t="s">
        <v>374</v>
      </c>
      <c r="B22" s="755"/>
      <c r="C22" s="755"/>
      <c r="D22" s="755"/>
      <c r="E22" s="755"/>
      <c r="F22" s="755"/>
      <c r="G22" s="755"/>
      <c r="H22" s="755"/>
      <c r="I22" s="756"/>
    </row>
    <row r="23" spans="1:13" ht="16.5" customHeight="1" x14ac:dyDescent="0.25">
      <c r="A23" s="754"/>
      <c r="B23" s="755"/>
      <c r="C23" s="755"/>
      <c r="D23" s="755"/>
      <c r="E23" s="755"/>
      <c r="F23" s="755"/>
      <c r="G23" s="755"/>
      <c r="H23" s="755"/>
      <c r="I23" s="756"/>
    </row>
    <row r="24" spans="1:13" ht="14.25" thickBot="1" x14ac:dyDescent="0.3">
      <c r="A24" s="648"/>
      <c r="B24" s="649"/>
      <c r="C24" s="650"/>
      <c r="D24" s="650"/>
      <c r="E24" s="650"/>
      <c r="F24" s="650"/>
      <c r="G24" s="650"/>
      <c r="H24" s="650"/>
      <c r="I24" s="651"/>
    </row>
    <row r="25" spans="1:13" ht="14.25" thickBot="1" x14ac:dyDescent="0.3">
      <c r="A25" s="682" t="s">
        <v>84</v>
      </c>
      <c r="B25" s="683"/>
      <c r="C25" s="683"/>
      <c r="D25" s="683"/>
      <c r="E25" s="683"/>
      <c r="F25" s="683"/>
      <c r="G25" s="683"/>
      <c r="H25" s="683"/>
      <c r="I25" s="684"/>
    </row>
    <row r="26" spans="1:13" x14ac:dyDescent="0.25">
      <c r="A26" s="323" t="s">
        <v>375</v>
      </c>
      <c r="B26" s="323"/>
      <c r="C26" s="323"/>
    </row>
  </sheetData>
  <mergeCells count="34">
    <mergeCell ref="A24:I24"/>
    <mergeCell ref="A25:I25"/>
    <mergeCell ref="A20:C20"/>
    <mergeCell ref="F20:G20"/>
    <mergeCell ref="H20:I20"/>
    <mergeCell ref="A21:I21"/>
    <mergeCell ref="A22:I22"/>
    <mergeCell ref="A23:I23"/>
    <mergeCell ref="A18:C18"/>
    <mergeCell ref="F18:G18"/>
    <mergeCell ref="H18:I18"/>
    <mergeCell ref="A19:C19"/>
    <mergeCell ref="F19:G19"/>
    <mergeCell ref="H19:I19"/>
    <mergeCell ref="A16:C16"/>
    <mergeCell ref="F16:G16"/>
    <mergeCell ref="H16:I16"/>
    <mergeCell ref="A17:C17"/>
    <mergeCell ref="F17:G17"/>
    <mergeCell ref="H17:I17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68AA-2025-476A-8BF4-D90660808E0F}">
  <dimension ref="A1:L30"/>
  <sheetViews>
    <sheetView workbookViewId="0">
      <selection activeCell="C6" sqref="C6:C7"/>
    </sheetView>
  </sheetViews>
  <sheetFormatPr baseColWidth="10" defaultColWidth="9.85546875" defaultRowHeight="15.75" x14ac:dyDescent="0.25"/>
  <cols>
    <col min="1" max="2" width="15" style="476" customWidth="1"/>
    <col min="3" max="3" width="44" style="454" customWidth="1"/>
    <col min="4" max="4" width="17.85546875" style="454" customWidth="1"/>
    <col min="5" max="5" width="12.7109375" style="454" customWidth="1"/>
    <col min="6" max="6" width="16.28515625" style="454" customWidth="1"/>
    <col min="7" max="7" width="11.28515625" style="454" customWidth="1"/>
    <col min="8" max="8" width="15.42578125" style="454" customWidth="1"/>
    <col min="9" max="9" width="16.7109375" style="454" customWidth="1"/>
    <col min="10" max="10" width="8.28515625" style="454" customWidth="1"/>
    <col min="11" max="256" width="9.85546875" style="454"/>
    <col min="257" max="258" width="15" style="454" customWidth="1"/>
    <col min="259" max="259" width="44" style="454" customWidth="1"/>
    <col min="260" max="260" width="17.85546875" style="454" customWidth="1"/>
    <col min="261" max="261" width="12.7109375" style="454" customWidth="1"/>
    <col min="262" max="262" width="16.28515625" style="454" customWidth="1"/>
    <col min="263" max="263" width="11.28515625" style="454" customWidth="1"/>
    <col min="264" max="264" width="15.42578125" style="454" customWidth="1"/>
    <col min="265" max="265" width="16.7109375" style="454" customWidth="1"/>
    <col min="266" max="266" width="8.28515625" style="454" customWidth="1"/>
    <col min="267" max="512" width="9.85546875" style="454"/>
    <col min="513" max="514" width="15" style="454" customWidth="1"/>
    <col min="515" max="515" width="44" style="454" customWidth="1"/>
    <col min="516" max="516" width="17.85546875" style="454" customWidth="1"/>
    <col min="517" max="517" width="12.7109375" style="454" customWidth="1"/>
    <col min="518" max="518" width="16.28515625" style="454" customWidth="1"/>
    <col min="519" max="519" width="11.28515625" style="454" customWidth="1"/>
    <col min="520" max="520" width="15.42578125" style="454" customWidth="1"/>
    <col min="521" max="521" width="16.7109375" style="454" customWidth="1"/>
    <col min="522" max="522" width="8.28515625" style="454" customWidth="1"/>
    <col min="523" max="768" width="9.85546875" style="454"/>
    <col min="769" max="770" width="15" style="454" customWidth="1"/>
    <col min="771" max="771" width="44" style="454" customWidth="1"/>
    <col min="772" max="772" width="17.85546875" style="454" customWidth="1"/>
    <col min="773" max="773" width="12.7109375" style="454" customWidth="1"/>
    <col min="774" max="774" width="16.28515625" style="454" customWidth="1"/>
    <col min="775" max="775" width="11.28515625" style="454" customWidth="1"/>
    <col min="776" max="776" width="15.42578125" style="454" customWidth="1"/>
    <col min="777" max="777" width="16.7109375" style="454" customWidth="1"/>
    <col min="778" max="778" width="8.28515625" style="454" customWidth="1"/>
    <col min="779" max="1024" width="9.85546875" style="454"/>
    <col min="1025" max="1026" width="15" style="454" customWidth="1"/>
    <col min="1027" max="1027" width="44" style="454" customWidth="1"/>
    <col min="1028" max="1028" width="17.85546875" style="454" customWidth="1"/>
    <col min="1029" max="1029" width="12.7109375" style="454" customWidth="1"/>
    <col min="1030" max="1030" width="16.28515625" style="454" customWidth="1"/>
    <col min="1031" max="1031" width="11.28515625" style="454" customWidth="1"/>
    <col min="1032" max="1032" width="15.42578125" style="454" customWidth="1"/>
    <col min="1033" max="1033" width="16.7109375" style="454" customWidth="1"/>
    <col min="1034" max="1034" width="8.28515625" style="454" customWidth="1"/>
    <col min="1035" max="1280" width="9.85546875" style="454"/>
    <col min="1281" max="1282" width="15" style="454" customWidth="1"/>
    <col min="1283" max="1283" width="44" style="454" customWidth="1"/>
    <col min="1284" max="1284" width="17.85546875" style="454" customWidth="1"/>
    <col min="1285" max="1285" width="12.7109375" style="454" customWidth="1"/>
    <col min="1286" max="1286" width="16.28515625" style="454" customWidth="1"/>
    <col min="1287" max="1287" width="11.28515625" style="454" customWidth="1"/>
    <col min="1288" max="1288" width="15.42578125" style="454" customWidth="1"/>
    <col min="1289" max="1289" width="16.7109375" style="454" customWidth="1"/>
    <col min="1290" max="1290" width="8.28515625" style="454" customWidth="1"/>
    <col min="1291" max="1536" width="9.85546875" style="454"/>
    <col min="1537" max="1538" width="15" style="454" customWidth="1"/>
    <col min="1539" max="1539" width="44" style="454" customWidth="1"/>
    <col min="1540" max="1540" width="17.85546875" style="454" customWidth="1"/>
    <col min="1541" max="1541" width="12.7109375" style="454" customWidth="1"/>
    <col min="1542" max="1542" width="16.28515625" style="454" customWidth="1"/>
    <col min="1543" max="1543" width="11.28515625" style="454" customWidth="1"/>
    <col min="1544" max="1544" width="15.42578125" style="454" customWidth="1"/>
    <col min="1545" max="1545" width="16.7109375" style="454" customWidth="1"/>
    <col min="1546" max="1546" width="8.28515625" style="454" customWidth="1"/>
    <col min="1547" max="1792" width="9.85546875" style="454"/>
    <col min="1793" max="1794" width="15" style="454" customWidth="1"/>
    <col min="1795" max="1795" width="44" style="454" customWidth="1"/>
    <col min="1796" max="1796" width="17.85546875" style="454" customWidth="1"/>
    <col min="1797" max="1797" width="12.7109375" style="454" customWidth="1"/>
    <col min="1798" max="1798" width="16.28515625" style="454" customWidth="1"/>
    <col min="1799" max="1799" width="11.28515625" style="454" customWidth="1"/>
    <col min="1800" max="1800" width="15.42578125" style="454" customWidth="1"/>
    <col min="1801" max="1801" width="16.7109375" style="454" customWidth="1"/>
    <col min="1802" max="1802" width="8.28515625" style="454" customWidth="1"/>
    <col min="1803" max="2048" width="9.85546875" style="454"/>
    <col min="2049" max="2050" width="15" style="454" customWidth="1"/>
    <col min="2051" max="2051" width="44" style="454" customWidth="1"/>
    <col min="2052" max="2052" width="17.85546875" style="454" customWidth="1"/>
    <col min="2053" max="2053" width="12.7109375" style="454" customWidth="1"/>
    <col min="2054" max="2054" width="16.28515625" style="454" customWidth="1"/>
    <col min="2055" max="2055" width="11.28515625" style="454" customWidth="1"/>
    <col min="2056" max="2056" width="15.42578125" style="454" customWidth="1"/>
    <col min="2057" max="2057" width="16.7109375" style="454" customWidth="1"/>
    <col min="2058" max="2058" width="8.28515625" style="454" customWidth="1"/>
    <col min="2059" max="2304" width="9.85546875" style="454"/>
    <col min="2305" max="2306" width="15" style="454" customWidth="1"/>
    <col min="2307" max="2307" width="44" style="454" customWidth="1"/>
    <col min="2308" max="2308" width="17.85546875" style="454" customWidth="1"/>
    <col min="2309" max="2309" width="12.7109375" style="454" customWidth="1"/>
    <col min="2310" max="2310" width="16.28515625" style="454" customWidth="1"/>
    <col min="2311" max="2311" width="11.28515625" style="454" customWidth="1"/>
    <col min="2312" max="2312" width="15.42578125" style="454" customWidth="1"/>
    <col min="2313" max="2313" width="16.7109375" style="454" customWidth="1"/>
    <col min="2314" max="2314" width="8.28515625" style="454" customWidth="1"/>
    <col min="2315" max="2560" width="9.85546875" style="454"/>
    <col min="2561" max="2562" width="15" style="454" customWidth="1"/>
    <col min="2563" max="2563" width="44" style="454" customWidth="1"/>
    <col min="2564" max="2564" width="17.85546875" style="454" customWidth="1"/>
    <col min="2565" max="2565" width="12.7109375" style="454" customWidth="1"/>
    <col min="2566" max="2566" width="16.28515625" style="454" customWidth="1"/>
    <col min="2567" max="2567" width="11.28515625" style="454" customWidth="1"/>
    <col min="2568" max="2568" width="15.42578125" style="454" customWidth="1"/>
    <col min="2569" max="2569" width="16.7109375" style="454" customWidth="1"/>
    <col min="2570" max="2570" width="8.28515625" style="454" customWidth="1"/>
    <col min="2571" max="2816" width="9.85546875" style="454"/>
    <col min="2817" max="2818" width="15" style="454" customWidth="1"/>
    <col min="2819" max="2819" width="44" style="454" customWidth="1"/>
    <col min="2820" max="2820" width="17.85546875" style="454" customWidth="1"/>
    <col min="2821" max="2821" width="12.7109375" style="454" customWidth="1"/>
    <col min="2822" max="2822" width="16.28515625" style="454" customWidth="1"/>
    <col min="2823" max="2823" width="11.28515625" style="454" customWidth="1"/>
    <col min="2824" max="2824" width="15.42578125" style="454" customWidth="1"/>
    <col min="2825" max="2825" width="16.7109375" style="454" customWidth="1"/>
    <col min="2826" max="2826" width="8.28515625" style="454" customWidth="1"/>
    <col min="2827" max="3072" width="9.85546875" style="454"/>
    <col min="3073" max="3074" width="15" style="454" customWidth="1"/>
    <col min="3075" max="3075" width="44" style="454" customWidth="1"/>
    <col min="3076" max="3076" width="17.85546875" style="454" customWidth="1"/>
    <col min="3077" max="3077" width="12.7109375" style="454" customWidth="1"/>
    <col min="3078" max="3078" width="16.28515625" style="454" customWidth="1"/>
    <col min="3079" max="3079" width="11.28515625" style="454" customWidth="1"/>
    <col min="3080" max="3080" width="15.42578125" style="454" customWidth="1"/>
    <col min="3081" max="3081" width="16.7109375" style="454" customWidth="1"/>
    <col min="3082" max="3082" width="8.28515625" style="454" customWidth="1"/>
    <col min="3083" max="3328" width="9.85546875" style="454"/>
    <col min="3329" max="3330" width="15" style="454" customWidth="1"/>
    <col min="3331" max="3331" width="44" style="454" customWidth="1"/>
    <col min="3332" max="3332" width="17.85546875" style="454" customWidth="1"/>
    <col min="3333" max="3333" width="12.7109375" style="454" customWidth="1"/>
    <col min="3334" max="3334" width="16.28515625" style="454" customWidth="1"/>
    <col min="3335" max="3335" width="11.28515625" style="454" customWidth="1"/>
    <col min="3336" max="3336" width="15.42578125" style="454" customWidth="1"/>
    <col min="3337" max="3337" width="16.7109375" style="454" customWidth="1"/>
    <col min="3338" max="3338" width="8.28515625" style="454" customWidth="1"/>
    <col min="3339" max="3584" width="9.85546875" style="454"/>
    <col min="3585" max="3586" width="15" style="454" customWidth="1"/>
    <col min="3587" max="3587" width="44" style="454" customWidth="1"/>
    <col min="3588" max="3588" width="17.85546875" style="454" customWidth="1"/>
    <col min="3589" max="3589" width="12.7109375" style="454" customWidth="1"/>
    <col min="3590" max="3590" width="16.28515625" style="454" customWidth="1"/>
    <col min="3591" max="3591" width="11.28515625" style="454" customWidth="1"/>
    <col min="3592" max="3592" width="15.42578125" style="454" customWidth="1"/>
    <col min="3593" max="3593" width="16.7109375" style="454" customWidth="1"/>
    <col min="3594" max="3594" width="8.28515625" style="454" customWidth="1"/>
    <col min="3595" max="3840" width="9.85546875" style="454"/>
    <col min="3841" max="3842" width="15" style="454" customWidth="1"/>
    <col min="3843" max="3843" width="44" style="454" customWidth="1"/>
    <col min="3844" max="3844" width="17.85546875" style="454" customWidth="1"/>
    <col min="3845" max="3845" width="12.7109375" style="454" customWidth="1"/>
    <col min="3846" max="3846" width="16.28515625" style="454" customWidth="1"/>
    <col min="3847" max="3847" width="11.28515625" style="454" customWidth="1"/>
    <col min="3848" max="3848" width="15.42578125" style="454" customWidth="1"/>
    <col min="3849" max="3849" width="16.7109375" style="454" customWidth="1"/>
    <col min="3850" max="3850" width="8.28515625" style="454" customWidth="1"/>
    <col min="3851" max="4096" width="9.85546875" style="454"/>
    <col min="4097" max="4098" width="15" style="454" customWidth="1"/>
    <col min="4099" max="4099" width="44" style="454" customWidth="1"/>
    <col min="4100" max="4100" width="17.85546875" style="454" customWidth="1"/>
    <col min="4101" max="4101" width="12.7109375" style="454" customWidth="1"/>
    <col min="4102" max="4102" width="16.28515625" style="454" customWidth="1"/>
    <col min="4103" max="4103" width="11.28515625" style="454" customWidth="1"/>
    <col min="4104" max="4104" width="15.42578125" style="454" customWidth="1"/>
    <col min="4105" max="4105" width="16.7109375" style="454" customWidth="1"/>
    <col min="4106" max="4106" width="8.28515625" style="454" customWidth="1"/>
    <col min="4107" max="4352" width="9.85546875" style="454"/>
    <col min="4353" max="4354" width="15" style="454" customWidth="1"/>
    <col min="4355" max="4355" width="44" style="454" customWidth="1"/>
    <col min="4356" max="4356" width="17.85546875" style="454" customWidth="1"/>
    <col min="4357" max="4357" width="12.7109375" style="454" customWidth="1"/>
    <col min="4358" max="4358" width="16.28515625" style="454" customWidth="1"/>
    <col min="4359" max="4359" width="11.28515625" style="454" customWidth="1"/>
    <col min="4360" max="4360" width="15.42578125" style="454" customWidth="1"/>
    <col min="4361" max="4361" width="16.7109375" style="454" customWidth="1"/>
    <col min="4362" max="4362" width="8.28515625" style="454" customWidth="1"/>
    <col min="4363" max="4608" width="9.85546875" style="454"/>
    <col min="4609" max="4610" width="15" style="454" customWidth="1"/>
    <col min="4611" max="4611" width="44" style="454" customWidth="1"/>
    <col min="4612" max="4612" width="17.85546875" style="454" customWidth="1"/>
    <col min="4613" max="4613" width="12.7109375" style="454" customWidth="1"/>
    <col min="4614" max="4614" width="16.28515625" style="454" customWidth="1"/>
    <col min="4615" max="4615" width="11.28515625" style="454" customWidth="1"/>
    <col min="4616" max="4616" width="15.42578125" style="454" customWidth="1"/>
    <col min="4617" max="4617" width="16.7109375" style="454" customWidth="1"/>
    <col min="4618" max="4618" width="8.28515625" style="454" customWidth="1"/>
    <col min="4619" max="4864" width="9.85546875" style="454"/>
    <col min="4865" max="4866" width="15" style="454" customWidth="1"/>
    <col min="4867" max="4867" width="44" style="454" customWidth="1"/>
    <col min="4868" max="4868" width="17.85546875" style="454" customWidth="1"/>
    <col min="4869" max="4869" width="12.7109375" style="454" customWidth="1"/>
    <col min="4870" max="4870" width="16.28515625" style="454" customWidth="1"/>
    <col min="4871" max="4871" width="11.28515625" style="454" customWidth="1"/>
    <col min="4872" max="4872" width="15.42578125" style="454" customWidth="1"/>
    <col min="4873" max="4873" width="16.7109375" style="454" customWidth="1"/>
    <col min="4874" max="4874" width="8.28515625" style="454" customWidth="1"/>
    <col min="4875" max="5120" width="9.85546875" style="454"/>
    <col min="5121" max="5122" width="15" style="454" customWidth="1"/>
    <col min="5123" max="5123" width="44" style="454" customWidth="1"/>
    <col min="5124" max="5124" width="17.85546875" style="454" customWidth="1"/>
    <col min="5125" max="5125" width="12.7109375" style="454" customWidth="1"/>
    <col min="5126" max="5126" width="16.28515625" style="454" customWidth="1"/>
    <col min="5127" max="5127" width="11.28515625" style="454" customWidth="1"/>
    <col min="5128" max="5128" width="15.42578125" style="454" customWidth="1"/>
    <col min="5129" max="5129" width="16.7109375" style="454" customWidth="1"/>
    <col min="5130" max="5130" width="8.28515625" style="454" customWidth="1"/>
    <col min="5131" max="5376" width="9.85546875" style="454"/>
    <col min="5377" max="5378" width="15" style="454" customWidth="1"/>
    <col min="5379" max="5379" width="44" style="454" customWidth="1"/>
    <col min="5380" max="5380" width="17.85546875" style="454" customWidth="1"/>
    <col min="5381" max="5381" width="12.7109375" style="454" customWidth="1"/>
    <col min="5382" max="5382" width="16.28515625" style="454" customWidth="1"/>
    <col min="5383" max="5383" width="11.28515625" style="454" customWidth="1"/>
    <col min="5384" max="5384" width="15.42578125" style="454" customWidth="1"/>
    <col min="5385" max="5385" width="16.7109375" style="454" customWidth="1"/>
    <col min="5386" max="5386" width="8.28515625" style="454" customWidth="1"/>
    <col min="5387" max="5632" width="9.85546875" style="454"/>
    <col min="5633" max="5634" width="15" style="454" customWidth="1"/>
    <col min="5635" max="5635" width="44" style="454" customWidth="1"/>
    <col min="5636" max="5636" width="17.85546875" style="454" customWidth="1"/>
    <col min="5637" max="5637" width="12.7109375" style="454" customWidth="1"/>
    <col min="5638" max="5638" width="16.28515625" style="454" customWidth="1"/>
    <col min="5639" max="5639" width="11.28515625" style="454" customWidth="1"/>
    <col min="5640" max="5640" width="15.42578125" style="454" customWidth="1"/>
    <col min="5641" max="5641" width="16.7109375" style="454" customWidth="1"/>
    <col min="5642" max="5642" width="8.28515625" style="454" customWidth="1"/>
    <col min="5643" max="5888" width="9.85546875" style="454"/>
    <col min="5889" max="5890" width="15" style="454" customWidth="1"/>
    <col min="5891" max="5891" width="44" style="454" customWidth="1"/>
    <col min="5892" max="5892" width="17.85546875" style="454" customWidth="1"/>
    <col min="5893" max="5893" width="12.7109375" style="454" customWidth="1"/>
    <col min="5894" max="5894" width="16.28515625" style="454" customWidth="1"/>
    <col min="5895" max="5895" width="11.28515625" style="454" customWidth="1"/>
    <col min="5896" max="5896" width="15.42578125" style="454" customWidth="1"/>
    <col min="5897" max="5897" width="16.7109375" style="454" customWidth="1"/>
    <col min="5898" max="5898" width="8.28515625" style="454" customWidth="1"/>
    <col min="5899" max="6144" width="9.85546875" style="454"/>
    <col min="6145" max="6146" width="15" style="454" customWidth="1"/>
    <col min="6147" max="6147" width="44" style="454" customWidth="1"/>
    <col min="6148" max="6148" width="17.85546875" style="454" customWidth="1"/>
    <col min="6149" max="6149" width="12.7109375" style="454" customWidth="1"/>
    <col min="6150" max="6150" width="16.28515625" style="454" customWidth="1"/>
    <col min="6151" max="6151" width="11.28515625" style="454" customWidth="1"/>
    <col min="6152" max="6152" width="15.42578125" style="454" customWidth="1"/>
    <col min="6153" max="6153" width="16.7109375" style="454" customWidth="1"/>
    <col min="6154" max="6154" width="8.28515625" style="454" customWidth="1"/>
    <col min="6155" max="6400" width="9.85546875" style="454"/>
    <col min="6401" max="6402" width="15" style="454" customWidth="1"/>
    <col min="6403" max="6403" width="44" style="454" customWidth="1"/>
    <col min="6404" max="6404" width="17.85546875" style="454" customWidth="1"/>
    <col min="6405" max="6405" width="12.7109375" style="454" customWidth="1"/>
    <col min="6406" max="6406" width="16.28515625" style="454" customWidth="1"/>
    <col min="6407" max="6407" width="11.28515625" style="454" customWidth="1"/>
    <col min="6408" max="6408" width="15.42578125" style="454" customWidth="1"/>
    <col min="6409" max="6409" width="16.7109375" style="454" customWidth="1"/>
    <col min="6410" max="6410" width="8.28515625" style="454" customWidth="1"/>
    <col min="6411" max="6656" width="9.85546875" style="454"/>
    <col min="6657" max="6658" width="15" style="454" customWidth="1"/>
    <col min="6659" max="6659" width="44" style="454" customWidth="1"/>
    <col min="6660" max="6660" width="17.85546875" style="454" customWidth="1"/>
    <col min="6661" max="6661" width="12.7109375" style="454" customWidth="1"/>
    <col min="6662" max="6662" width="16.28515625" style="454" customWidth="1"/>
    <col min="6663" max="6663" width="11.28515625" style="454" customWidth="1"/>
    <col min="6664" max="6664" width="15.42578125" style="454" customWidth="1"/>
    <col min="6665" max="6665" width="16.7109375" style="454" customWidth="1"/>
    <col min="6666" max="6666" width="8.28515625" style="454" customWidth="1"/>
    <col min="6667" max="6912" width="9.85546875" style="454"/>
    <col min="6913" max="6914" width="15" style="454" customWidth="1"/>
    <col min="6915" max="6915" width="44" style="454" customWidth="1"/>
    <col min="6916" max="6916" width="17.85546875" style="454" customWidth="1"/>
    <col min="6917" max="6917" width="12.7109375" style="454" customWidth="1"/>
    <col min="6918" max="6918" width="16.28515625" style="454" customWidth="1"/>
    <col min="6919" max="6919" width="11.28515625" style="454" customWidth="1"/>
    <col min="6920" max="6920" width="15.42578125" style="454" customWidth="1"/>
    <col min="6921" max="6921" width="16.7109375" style="454" customWidth="1"/>
    <col min="6922" max="6922" width="8.28515625" style="454" customWidth="1"/>
    <col min="6923" max="7168" width="9.85546875" style="454"/>
    <col min="7169" max="7170" width="15" style="454" customWidth="1"/>
    <col min="7171" max="7171" width="44" style="454" customWidth="1"/>
    <col min="7172" max="7172" width="17.85546875" style="454" customWidth="1"/>
    <col min="7173" max="7173" width="12.7109375" style="454" customWidth="1"/>
    <col min="7174" max="7174" width="16.28515625" style="454" customWidth="1"/>
    <col min="7175" max="7175" width="11.28515625" style="454" customWidth="1"/>
    <col min="7176" max="7176" width="15.42578125" style="454" customWidth="1"/>
    <col min="7177" max="7177" width="16.7109375" style="454" customWidth="1"/>
    <col min="7178" max="7178" width="8.28515625" style="454" customWidth="1"/>
    <col min="7179" max="7424" width="9.85546875" style="454"/>
    <col min="7425" max="7426" width="15" style="454" customWidth="1"/>
    <col min="7427" max="7427" width="44" style="454" customWidth="1"/>
    <col min="7428" max="7428" width="17.85546875" style="454" customWidth="1"/>
    <col min="7429" max="7429" width="12.7109375" style="454" customWidth="1"/>
    <col min="7430" max="7430" width="16.28515625" style="454" customWidth="1"/>
    <col min="7431" max="7431" width="11.28515625" style="454" customWidth="1"/>
    <col min="7432" max="7432" width="15.42578125" style="454" customWidth="1"/>
    <col min="7433" max="7433" width="16.7109375" style="454" customWidth="1"/>
    <col min="7434" max="7434" width="8.28515625" style="454" customWidth="1"/>
    <col min="7435" max="7680" width="9.85546875" style="454"/>
    <col min="7681" max="7682" width="15" style="454" customWidth="1"/>
    <col min="7683" max="7683" width="44" style="454" customWidth="1"/>
    <col min="7684" max="7684" width="17.85546875" style="454" customWidth="1"/>
    <col min="7685" max="7685" width="12.7109375" style="454" customWidth="1"/>
    <col min="7686" max="7686" width="16.28515625" style="454" customWidth="1"/>
    <col min="7687" max="7687" width="11.28515625" style="454" customWidth="1"/>
    <col min="7688" max="7688" width="15.42578125" style="454" customWidth="1"/>
    <col min="7689" max="7689" width="16.7109375" style="454" customWidth="1"/>
    <col min="7690" max="7690" width="8.28515625" style="454" customWidth="1"/>
    <col min="7691" max="7936" width="9.85546875" style="454"/>
    <col min="7937" max="7938" width="15" style="454" customWidth="1"/>
    <col min="7939" max="7939" width="44" style="454" customWidth="1"/>
    <col min="7940" max="7940" width="17.85546875" style="454" customWidth="1"/>
    <col min="7941" max="7941" width="12.7109375" style="454" customWidth="1"/>
    <col min="7942" max="7942" width="16.28515625" style="454" customWidth="1"/>
    <col min="7943" max="7943" width="11.28515625" style="454" customWidth="1"/>
    <col min="7944" max="7944" width="15.42578125" style="454" customWidth="1"/>
    <col min="7945" max="7945" width="16.7109375" style="454" customWidth="1"/>
    <col min="7946" max="7946" width="8.28515625" style="454" customWidth="1"/>
    <col min="7947" max="8192" width="9.85546875" style="454"/>
    <col min="8193" max="8194" width="15" style="454" customWidth="1"/>
    <col min="8195" max="8195" width="44" style="454" customWidth="1"/>
    <col min="8196" max="8196" width="17.85546875" style="454" customWidth="1"/>
    <col min="8197" max="8197" width="12.7109375" style="454" customWidth="1"/>
    <col min="8198" max="8198" width="16.28515625" style="454" customWidth="1"/>
    <col min="8199" max="8199" width="11.28515625" style="454" customWidth="1"/>
    <col min="8200" max="8200" width="15.42578125" style="454" customWidth="1"/>
    <col min="8201" max="8201" width="16.7109375" style="454" customWidth="1"/>
    <col min="8202" max="8202" width="8.28515625" style="454" customWidth="1"/>
    <col min="8203" max="8448" width="9.85546875" style="454"/>
    <col min="8449" max="8450" width="15" style="454" customWidth="1"/>
    <col min="8451" max="8451" width="44" style="454" customWidth="1"/>
    <col min="8452" max="8452" width="17.85546875" style="454" customWidth="1"/>
    <col min="8453" max="8453" width="12.7109375" style="454" customWidth="1"/>
    <col min="8454" max="8454" width="16.28515625" style="454" customWidth="1"/>
    <col min="8455" max="8455" width="11.28515625" style="454" customWidth="1"/>
    <col min="8456" max="8456" width="15.42578125" style="454" customWidth="1"/>
    <col min="8457" max="8457" width="16.7109375" style="454" customWidth="1"/>
    <col min="8458" max="8458" width="8.28515625" style="454" customWidth="1"/>
    <col min="8459" max="8704" width="9.85546875" style="454"/>
    <col min="8705" max="8706" width="15" style="454" customWidth="1"/>
    <col min="8707" max="8707" width="44" style="454" customWidth="1"/>
    <col min="8708" max="8708" width="17.85546875" style="454" customWidth="1"/>
    <col min="8709" max="8709" width="12.7109375" style="454" customWidth="1"/>
    <col min="8710" max="8710" width="16.28515625" style="454" customWidth="1"/>
    <col min="8711" max="8711" width="11.28515625" style="454" customWidth="1"/>
    <col min="8712" max="8712" width="15.42578125" style="454" customWidth="1"/>
    <col min="8713" max="8713" width="16.7109375" style="454" customWidth="1"/>
    <col min="8714" max="8714" width="8.28515625" style="454" customWidth="1"/>
    <col min="8715" max="8960" width="9.85546875" style="454"/>
    <col min="8961" max="8962" width="15" style="454" customWidth="1"/>
    <col min="8963" max="8963" width="44" style="454" customWidth="1"/>
    <col min="8964" max="8964" width="17.85546875" style="454" customWidth="1"/>
    <col min="8965" max="8965" width="12.7109375" style="454" customWidth="1"/>
    <col min="8966" max="8966" width="16.28515625" style="454" customWidth="1"/>
    <col min="8967" max="8967" width="11.28515625" style="454" customWidth="1"/>
    <col min="8968" max="8968" width="15.42578125" style="454" customWidth="1"/>
    <col min="8969" max="8969" width="16.7109375" style="454" customWidth="1"/>
    <col min="8970" max="8970" width="8.28515625" style="454" customWidth="1"/>
    <col min="8971" max="9216" width="9.85546875" style="454"/>
    <col min="9217" max="9218" width="15" style="454" customWidth="1"/>
    <col min="9219" max="9219" width="44" style="454" customWidth="1"/>
    <col min="9220" max="9220" width="17.85546875" style="454" customWidth="1"/>
    <col min="9221" max="9221" width="12.7109375" style="454" customWidth="1"/>
    <col min="9222" max="9222" width="16.28515625" style="454" customWidth="1"/>
    <col min="9223" max="9223" width="11.28515625" style="454" customWidth="1"/>
    <col min="9224" max="9224" width="15.42578125" style="454" customWidth="1"/>
    <col min="9225" max="9225" width="16.7109375" style="454" customWidth="1"/>
    <col min="9226" max="9226" width="8.28515625" style="454" customWidth="1"/>
    <col min="9227" max="9472" width="9.85546875" style="454"/>
    <col min="9473" max="9474" width="15" style="454" customWidth="1"/>
    <col min="9475" max="9475" width="44" style="454" customWidth="1"/>
    <col min="9476" max="9476" width="17.85546875" style="454" customWidth="1"/>
    <col min="9477" max="9477" width="12.7109375" style="454" customWidth="1"/>
    <col min="9478" max="9478" width="16.28515625" style="454" customWidth="1"/>
    <col min="9479" max="9479" width="11.28515625" style="454" customWidth="1"/>
    <col min="9480" max="9480" width="15.42578125" style="454" customWidth="1"/>
    <col min="9481" max="9481" width="16.7109375" style="454" customWidth="1"/>
    <col min="9482" max="9482" width="8.28515625" style="454" customWidth="1"/>
    <col min="9483" max="9728" width="9.85546875" style="454"/>
    <col min="9729" max="9730" width="15" style="454" customWidth="1"/>
    <col min="9731" max="9731" width="44" style="454" customWidth="1"/>
    <col min="9732" max="9732" width="17.85546875" style="454" customWidth="1"/>
    <col min="9733" max="9733" width="12.7109375" style="454" customWidth="1"/>
    <col min="9734" max="9734" width="16.28515625" style="454" customWidth="1"/>
    <col min="9735" max="9735" width="11.28515625" style="454" customWidth="1"/>
    <col min="9736" max="9736" width="15.42578125" style="454" customWidth="1"/>
    <col min="9737" max="9737" width="16.7109375" style="454" customWidth="1"/>
    <col min="9738" max="9738" width="8.28515625" style="454" customWidth="1"/>
    <col min="9739" max="9984" width="9.85546875" style="454"/>
    <col min="9985" max="9986" width="15" style="454" customWidth="1"/>
    <col min="9987" max="9987" width="44" style="454" customWidth="1"/>
    <col min="9988" max="9988" width="17.85546875" style="454" customWidth="1"/>
    <col min="9989" max="9989" width="12.7109375" style="454" customWidth="1"/>
    <col min="9990" max="9990" width="16.28515625" style="454" customWidth="1"/>
    <col min="9991" max="9991" width="11.28515625" style="454" customWidth="1"/>
    <col min="9992" max="9992" width="15.42578125" style="454" customWidth="1"/>
    <col min="9993" max="9993" width="16.7109375" style="454" customWidth="1"/>
    <col min="9994" max="9994" width="8.28515625" style="454" customWidth="1"/>
    <col min="9995" max="10240" width="9.85546875" style="454"/>
    <col min="10241" max="10242" width="15" style="454" customWidth="1"/>
    <col min="10243" max="10243" width="44" style="454" customWidth="1"/>
    <col min="10244" max="10244" width="17.85546875" style="454" customWidth="1"/>
    <col min="10245" max="10245" width="12.7109375" style="454" customWidth="1"/>
    <col min="10246" max="10246" width="16.28515625" style="454" customWidth="1"/>
    <col min="10247" max="10247" width="11.28515625" style="454" customWidth="1"/>
    <col min="10248" max="10248" width="15.42578125" style="454" customWidth="1"/>
    <col min="10249" max="10249" width="16.7109375" style="454" customWidth="1"/>
    <col min="10250" max="10250" width="8.28515625" style="454" customWidth="1"/>
    <col min="10251" max="10496" width="9.85546875" style="454"/>
    <col min="10497" max="10498" width="15" style="454" customWidth="1"/>
    <col min="10499" max="10499" width="44" style="454" customWidth="1"/>
    <col min="10500" max="10500" width="17.85546875" style="454" customWidth="1"/>
    <col min="10501" max="10501" width="12.7109375" style="454" customWidth="1"/>
    <col min="10502" max="10502" width="16.28515625" style="454" customWidth="1"/>
    <col min="10503" max="10503" width="11.28515625" style="454" customWidth="1"/>
    <col min="10504" max="10504" width="15.42578125" style="454" customWidth="1"/>
    <col min="10505" max="10505" width="16.7109375" style="454" customWidth="1"/>
    <col min="10506" max="10506" width="8.28515625" style="454" customWidth="1"/>
    <col min="10507" max="10752" width="9.85546875" style="454"/>
    <col min="10753" max="10754" width="15" style="454" customWidth="1"/>
    <col min="10755" max="10755" width="44" style="454" customWidth="1"/>
    <col min="10756" max="10756" width="17.85546875" style="454" customWidth="1"/>
    <col min="10757" max="10757" width="12.7109375" style="454" customWidth="1"/>
    <col min="10758" max="10758" width="16.28515625" style="454" customWidth="1"/>
    <col min="10759" max="10759" width="11.28515625" style="454" customWidth="1"/>
    <col min="10760" max="10760" width="15.42578125" style="454" customWidth="1"/>
    <col min="10761" max="10761" width="16.7109375" style="454" customWidth="1"/>
    <col min="10762" max="10762" width="8.28515625" style="454" customWidth="1"/>
    <col min="10763" max="11008" width="9.85546875" style="454"/>
    <col min="11009" max="11010" width="15" style="454" customWidth="1"/>
    <col min="11011" max="11011" width="44" style="454" customWidth="1"/>
    <col min="11012" max="11012" width="17.85546875" style="454" customWidth="1"/>
    <col min="11013" max="11013" width="12.7109375" style="454" customWidth="1"/>
    <col min="11014" max="11014" width="16.28515625" style="454" customWidth="1"/>
    <col min="11015" max="11015" width="11.28515625" style="454" customWidth="1"/>
    <col min="11016" max="11016" width="15.42578125" style="454" customWidth="1"/>
    <col min="11017" max="11017" width="16.7109375" style="454" customWidth="1"/>
    <col min="11018" max="11018" width="8.28515625" style="454" customWidth="1"/>
    <col min="11019" max="11264" width="9.85546875" style="454"/>
    <col min="11265" max="11266" width="15" style="454" customWidth="1"/>
    <col min="11267" max="11267" width="44" style="454" customWidth="1"/>
    <col min="11268" max="11268" width="17.85546875" style="454" customWidth="1"/>
    <col min="11269" max="11269" width="12.7109375" style="454" customWidth="1"/>
    <col min="11270" max="11270" width="16.28515625" style="454" customWidth="1"/>
    <col min="11271" max="11271" width="11.28515625" style="454" customWidth="1"/>
    <col min="11272" max="11272" width="15.42578125" style="454" customWidth="1"/>
    <col min="11273" max="11273" width="16.7109375" style="454" customWidth="1"/>
    <col min="11274" max="11274" width="8.28515625" style="454" customWidth="1"/>
    <col min="11275" max="11520" width="9.85546875" style="454"/>
    <col min="11521" max="11522" width="15" style="454" customWidth="1"/>
    <col min="11523" max="11523" width="44" style="454" customWidth="1"/>
    <col min="11524" max="11524" width="17.85546875" style="454" customWidth="1"/>
    <col min="11525" max="11525" width="12.7109375" style="454" customWidth="1"/>
    <col min="11526" max="11526" width="16.28515625" style="454" customWidth="1"/>
    <col min="11527" max="11527" width="11.28515625" style="454" customWidth="1"/>
    <col min="11528" max="11528" width="15.42578125" style="454" customWidth="1"/>
    <col min="11529" max="11529" width="16.7109375" style="454" customWidth="1"/>
    <col min="11530" max="11530" width="8.28515625" style="454" customWidth="1"/>
    <col min="11531" max="11776" width="9.85546875" style="454"/>
    <col min="11777" max="11778" width="15" style="454" customWidth="1"/>
    <col min="11779" max="11779" width="44" style="454" customWidth="1"/>
    <col min="11780" max="11780" width="17.85546875" style="454" customWidth="1"/>
    <col min="11781" max="11781" width="12.7109375" style="454" customWidth="1"/>
    <col min="11782" max="11782" width="16.28515625" style="454" customWidth="1"/>
    <col min="11783" max="11783" width="11.28515625" style="454" customWidth="1"/>
    <col min="11784" max="11784" width="15.42578125" style="454" customWidth="1"/>
    <col min="11785" max="11785" width="16.7109375" style="454" customWidth="1"/>
    <col min="11786" max="11786" width="8.28515625" style="454" customWidth="1"/>
    <col min="11787" max="12032" width="9.85546875" style="454"/>
    <col min="12033" max="12034" width="15" style="454" customWidth="1"/>
    <col min="12035" max="12035" width="44" style="454" customWidth="1"/>
    <col min="12036" max="12036" width="17.85546875" style="454" customWidth="1"/>
    <col min="12037" max="12037" width="12.7109375" style="454" customWidth="1"/>
    <col min="12038" max="12038" width="16.28515625" style="454" customWidth="1"/>
    <col min="12039" max="12039" width="11.28515625" style="454" customWidth="1"/>
    <col min="12040" max="12040" width="15.42578125" style="454" customWidth="1"/>
    <col min="12041" max="12041" width="16.7109375" style="454" customWidth="1"/>
    <col min="12042" max="12042" width="8.28515625" style="454" customWidth="1"/>
    <col min="12043" max="12288" width="9.85546875" style="454"/>
    <col min="12289" max="12290" width="15" style="454" customWidth="1"/>
    <col min="12291" max="12291" width="44" style="454" customWidth="1"/>
    <col min="12292" max="12292" width="17.85546875" style="454" customWidth="1"/>
    <col min="12293" max="12293" width="12.7109375" style="454" customWidth="1"/>
    <col min="12294" max="12294" width="16.28515625" style="454" customWidth="1"/>
    <col min="12295" max="12295" width="11.28515625" style="454" customWidth="1"/>
    <col min="12296" max="12296" width="15.42578125" style="454" customWidth="1"/>
    <col min="12297" max="12297" width="16.7109375" style="454" customWidth="1"/>
    <col min="12298" max="12298" width="8.28515625" style="454" customWidth="1"/>
    <col min="12299" max="12544" width="9.85546875" style="454"/>
    <col min="12545" max="12546" width="15" style="454" customWidth="1"/>
    <col min="12547" max="12547" width="44" style="454" customWidth="1"/>
    <col min="12548" max="12548" width="17.85546875" style="454" customWidth="1"/>
    <col min="12549" max="12549" width="12.7109375" style="454" customWidth="1"/>
    <col min="12550" max="12550" width="16.28515625" style="454" customWidth="1"/>
    <col min="12551" max="12551" width="11.28515625" style="454" customWidth="1"/>
    <col min="12552" max="12552" width="15.42578125" style="454" customWidth="1"/>
    <col min="12553" max="12553" width="16.7109375" style="454" customWidth="1"/>
    <col min="12554" max="12554" width="8.28515625" style="454" customWidth="1"/>
    <col min="12555" max="12800" width="9.85546875" style="454"/>
    <col min="12801" max="12802" width="15" style="454" customWidth="1"/>
    <col min="12803" max="12803" width="44" style="454" customWidth="1"/>
    <col min="12804" max="12804" width="17.85546875" style="454" customWidth="1"/>
    <col min="12805" max="12805" width="12.7109375" style="454" customWidth="1"/>
    <col min="12806" max="12806" width="16.28515625" style="454" customWidth="1"/>
    <col min="12807" max="12807" width="11.28515625" style="454" customWidth="1"/>
    <col min="12808" max="12808" width="15.42578125" style="454" customWidth="1"/>
    <col min="12809" max="12809" width="16.7109375" style="454" customWidth="1"/>
    <col min="12810" max="12810" width="8.28515625" style="454" customWidth="1"/>
    <col min="12811" max="13056" width="9.85546875" style="454"/>
    <col min="13057" max="13058" width="15" style="454" customWidth="1"/>
    <col min="13059" max="13059" width="44" style="454" customWidth="1"/>
    <col min="13060" max="13060" width="17.85546875" style="454" customWidth="1"/>
    <col min="13061" max="13061" width="12.7109375" style="454" customWidth="1"/>
    <col min="13062" max="13062" width="16.28515625" style="454" customWidth="1"/>
    <col min="13063" max="13063" width="11.28515625" style="454" customWidth="1"/>
    <col min="13064" max="13064" width="15.42578125" style="454" customWidth="1"/>
    <col min="13065" max="13065" width="16.7109375" style="454" customWidth="1"/>
    <col min="13066" max="13066" width="8.28515625" style="454" customWidth="1"/>
    <col min="13067" max="13312" width="9.85546875" style="454"/>
    <col min="13313" max="13314" width="15" style="454" customWidth="1"/>
    <col min="13315" max="13315" width="44" style="454" customWidth="1"/>
    <col min="13316" max="13316" width="17.85546875" style="454" customWidth="1"/>
    <col min="13317" max="13317" width="12.7109375" style="454" customWidth="1"/>
    <col min="13318" max="13318" width="16.28515625" style="454" customWidth="1"/>
    <col min="13319" max="13319" width="11.28515625" style="454" customWidth="1"/>
    <col min="13320" max="13320" width="15.42578125" style="454" customWidth="1"/>
    <col min="13321" max="13321" width="16.7109375" style="454" customWidth="1"/>
    <col min="13322" max="13322" width="8.28515625" style="454" customWidth="1"/>
    <col min="13323" max="13568" width="9.85546875" style="454"/>
    <col min="13569" max="13570" width="15" style="454" customWidth="1"/>
    <col min="13571" max="13571" width="44" style="454" customWidth="1"/>
    <col min="13572" max="13572" width="17.85546875" style="454" customWidth="1"/>
    <col min="13573" max="13573" width="12.7109375" style="454" customWidth="1"/>
    <col min="13574" max="13574" width="16.28515625" style="454" customWidth="1"/>
    <col min="13575" max="13575" width="11.28515625" style="454" customWidth="1"/>
    <col min="13576" max="13576" width="15.42578125" style="454" customWidth="1"/>
    <col min="13577" max="13577" width="16.7109375" style="454" customWidth="1"/>
    <col min="13578" max="13578" width="8.28515625" style="454" customWidth="1"/>
    <col min="13579" max="13824" width="9.85546875" style="454"/>
    <col min="13825" max="13826" width="15" style="454" customWidth="1"/>
    <col min="13827" max="13827" width="44" style="454" customWidth="1"/>
    <col min="13828" max="13828" width="17.85546875" style="454" customWidth="1"/>
    <col min="13829" max="13829" width="12.7109375" style="454" customWidth="1"/>
    <col min="13830" max="13830" width="16.28515625" style="454" customWidth="1"/>
    <col min="13831" max="13831" width="11.28515625" style="454" customWidth="1"/>
    <col min="13832" max="13832" width="15.42578125" style="454" customWidth="1"/>
    <col min="13833" max="13833" width="16.7109375" style="454" customWidth="1"/>
    <col min="13834" max="13834" width="8.28515625" style="454" customWidth="1"/>
    <col min="13835" max="14080" width="9.85546875" style="454"/>
    <col min="14081" max="14082" width="15" style="454" customWidth="1"/>
    <col min="14083" max="14083" width="44" style="454" customWidth="1"/>
    <col min="14084" max="14084" width="17.85546875" style="454" customWidth="1"/>
    <col min="14085" max="14085" width="12.7109375" style="454" customWidth="1"/>
    <col min="14086" max="14086" width="16.28515625" style="454" customWidth="1"/>
    <col min="14087" max="14087" width="11.28515625" style="454" customWidth="1"/>
    <col min="14088" max="14088" width="15.42578125" style="454" customWidth="1"/>
    <col min="14089" max="14089" width="16.7109375" style="454" customWidth="1"/>
    <col min="14090" max="14090" width="8.28515625" style="454" customWidth="1"/>
    <col min="14091" max="14336" width="9.85546875" style="454"/>
    <col min="14337" max="14338" width="15" style="454" customWidth="1"/>
    <col min="14339" max="14339" width="44" style="454" customWidth="1"/>
    <col min="14340" max="14340" width="17.85546875" style="454" customWidth="1"/>
    <col min="14341" max="14341" width="12.7109375" style="454" customWidth="1"/>
    <col min="14342" max="14342" width="16.28515625" style="454" customWidth="1"/>
    <col min="14343" max="14343" width="11.28515625" style="454" customWidth="1"/>
    <col min="14344" max="14344" width="15.42578125" style="454" customWidth="1"/>
    <col min="14345" max="14345" width="16.7109375" style="454" customWidth="1"/>
    <col min="14346" max="14346" width="8.28515625" style="454" customWidth="1"/>
    <col min="14347" max="14592" width="9.85546875" style="454"/>
    <col min="14593" max="14594" width="15" style="454" customWidth="1"/>
    <col min="14595" max="14595" width="44" style="454" customWidth="1"/>
    <col min="14596" max="14596" width="17.85546875" style="454" customWidth="1"/>
    <col min="14597" max="14597" width="12.7109375" style="454" customWidth="1"/>
    <col min="14598" max="14598" width="16.28515625" style="454" customWidth="1"/>
    <col min="14599" max="14599" width="11.28515625" style="454" customWidth="1"/>
    <col min="14600" max="14600" width="15.42578125" style="454" customWidth="1"/>
    <col min="14601" max="14601" width="16.7109375" style="454" customWidth="1"/>
    <col min="14602" max="14602" width="8.28515625" style="454" customWidth="1"/>
    <col min="14603" max="14848" width="9.85546875" style="454"/>
    <col min="14849" max="14850" width="15" style="454" customWidth="1"/>
    <col min="14851" max="14851" width="44" style="454" customWidth="1"/>
    <col min="14852" max="14852" width="17.85546875" style="454" customWidth="1"/>
    <col min="14853" max="14853" width="12.7109375" style="454" customWidth="1"/>
    <col min="14854" max="14854" width="16.28515625" style="454" customWidth="1"/>
    <col min="14855" max="14855" width="11.28515625" style="454" customWidth="1"/>
    <col min="14856" max="14856" width="15.42578125" style="454" customWidth="1"/>
    <col min="14857" max="14857" width="16.7109375" style="454" customWidth="1"/>
    <col min="14858" max="14858" width="8.28515625" style="454" customWidth="1"/>
    <col min="14859" max="15104" width="9.85546875" style="454"/>
    <col min="15105" max="15106" width="15" style="454" customWidth="1"/>
    <col min="15107" max="15107" width="44" style="454" customWidth="1"/>
    <col min="15108" max="15108" width="17.85546875" style="454" customWidth="1"/>
    <col min="15109" max="15109" width="12.7109375" style="454" customWidth="1"/>
    <col min="15110" max="15110" width="16.28515625" style="454" customWidth="1"/>
    <col min="15111" max="15111" width="11.28515625" style="454" customWidth="1"/>
    <col min="15112" max="15112" width="15.42578125" style="454" customWidth="1"/>
    <col min="15113" max="15113" width="16.7109375" style="454" customWidth="1"/>
    <col min="15114" max="15114" width="8.28515625" style="454" customWidth="1"/>
    <col min="15115" max="15360" width="9.85546875" style="454"/>
    <col min="15361" max="15362" width="15" style="454" customWidth="1"/>
    <col min="15363" max="15363" width="44" style="454" customWidth="1"/>
    <col min="15364" max="15364" width="17.85546875" style="454" customWidth="1"/>
    <col min="15365" max="15365" width="12.7109375" style="454" customWidth="1"/>
    <col min="15366" max="15366" width="16.28515625" style="454" customWidth="1"/>
    <col min="15367" max="15367" width="11.28515625" style="454" customWidth="1"/>
    <col min="15368" max="15368" width="15.42578125" style="454" customWidth="1"/>
    <col min="15369" max="15369" width="16.7109375" style="454" customWidth="1"/>
    <col min="15370" max="15370" width="8.28515625" style="454" customWidth="1"/>
    <col min="15371" max="15616" width="9.85546875" style="454"/>
    <col min="15617" max="15618" width="15" style="454" customWidth="1"/>
    <col min="15619" max="15619" width="44" style="454" customWidth="1"/>
    <col min="15620" max="15620" width="17.85546875" style="454" customWidth="1"/>
    <col min="15621" max="15621" width="12.7109375" style="454" customWidth="1"/>
    <col min="15622" max="15622" width="16.28515625" style="454" customWidth="1"/>
    <col min="15623" max="15623" width="11.28515625" style="454" customWidth="1"/>
    <col min="15624" max="15624" width="15.42578125" style="454" customWidth="1"/>
    <col min="15625" max="15625" width="16.7109375" style="454" customWidth="1"/>
    <col min="15626" max="15626" width="8.28515625" style="454" customWidth="1"/>
    <col min="15627" max="15872" width="9.85546875" style="454"/>
    <col min="15873" max="15874" width="15" style="454" customWidth="1"/>
    <col min="15875" max="15875" width="44" style="454" customWidth="1"/>
    <col min="15876" max="15876" width="17.85546875" style="454" customWidth="1"/>
    <col min="15877" max="15877" width="12.7109375" style="454" customWidth="1"/>
    <col min="15878" max="15878" width="16.28515625" style="454" customWidth="1"/>
    <col min="15879" max="15879" width="11.28515625" style="454" customWidth="1"/>
    <col min="15880" max="15880" width="15.42578125" style="454" customWidth="1"/>
    <col min="15881" max="15881" width="16.7109375" style="454" customWidth="1"/>
    <col min="15882" max="15882" width="8.28515625" style="454" customWidth="1"/>
    <col min="15883" max="16128" width="9.85546875" style="454"/>
    <col min="16129" max="16130" width="15" style="454" customWidth="1"/>
    <col min="16131" max="16131" width="44" style="454" customWidth="1"/>
    <col min="16132" max="16132" width="17.85546875" style="454" customWidth="1"/>
    <col min="16133" max="16133" width="12.7109375" style="454" customWidth="1"/>
    <col min="16134" max="16134" width="16.28515625" style="454" customWidth="1"/>
    <col min="16135" max="16135" width="11.28515625" style="454" customWidth="1"/>
    <col min="16136" max="16136" width="15.42578125" style="454" customWidth="1"/>
    <col min="16137" max="16137" width="16.7109375" style="454" customWidth="1"/>
    <col min="16138" max="16138" width="8.28515625" style="454" customWidth="1"/>
    <col min="16139" max="16384" width="9.85546875" style="454"/>
  </cols>
  <sheetData>
    <row r="1" spans="1:12" ht="18" x14ac:dyDescent="0.25">
      <c r="A1" s="760"/>
      <c r="B1" s="761"/>
      <c r="C1" s="698" t="s">
        <v>376</v>
      </c>
      <c r="D1" s="698"/>
      <c r="E1" s="698"/>
      <c r="F1" s="698"/>
      <c r="G1" s="698"/>
      <c r="H1" s="452" t="s">
        <v>377</v>
      </c>
      <c r="I1" s="453" t="s">
        <v>378</v>
      </c>
    </row>
    <row r="2" spans="1:12" ht="18" x14ac:dyDescent="0.25">
      <c r="A2" s="762"/>
      <c r="B2" s="763"/>
      <c r="C2" s="698" t="s">
        <v>379</v>
      </c>
      <c r="D2" s="698"/>
      <c r="E2" s="698"/>
      <c r="F2" s="698"/>
      <c r="G2" s="698"/>
      <c r="H2" s="452" t="s">
        <v>380</v>
      </c>
      <c r="I2" s="455" t="s">
        <v>381</v>
      </c>
    </row>
    <row r="3" spans="1:12" x14ac:dyDescent="0.25">
      <c r="A3" s="762"/>
      <c r="B3" s="763"/>
      <c r="C3" s="764" t="s">
        <v>382</v>
      </c>
      <c r="D3" s="764"/>
      <c r="E3" s="764"/>
      <c r="F3" s="764"/>
      <c r="G3" s="764"/>
      <c r="H3" s="765" t="s">
        <v>383</v>
      </c>
      <c r="I3" s="757">
        <v>45235</v>
      </c>
    </row>
    <row r="4" spans="1:12" x14ac:dyDescent="0.25">
      <c r="A4" s="762"/>
      <c r="B4" s="763"/>
      <c r="C4" s="456" t="s">
        <v>384</v>
      </c>
      <c r="D4" s="758" t="s">
        <v>385</v>
      </c>
      <c r="E4" s="758"/>
      <c r="F4" s="758"/>
      <c r="G4" s="758"/>
      <c r="H4" s="765"/>
      <c r="I4" s="757"/>
    </row>
    <row r="5" spans="1:12" ht="16.5" thickBot="1" x14ac:dyDescent="0.3">
      <c r="A5" s="762"/>
      <c r="B5" s="763"/>
      <c r="C5" s="456" t="s">
        <v>386</v>
      </c>
      <c r="D5" s="758" t="s">
        <v>115</v>
      </c>
      <c r="E5" s="758"/>
      <c r="F5" s="758"/>
      <c r="G5" s="758"/>
      <c r="H5" s="758"/>
      <c r="I5" s="758"/>
    </row>
    <row r="6" spans="1:12" s="458" customFormat="1" ht="25.5" x14ac:dyDescent="0.25">
      <c r="A6" s="766" t="s">
        <v>9</v>
      </c>
      <c r="B6" s="768" t="s">
        <v>80</v>
      </c>
      <c r="C6" s="759" t="s">
        <v>10</v>
      </c>
      <c r="D6" s="759" t="s">
        <v>11</v>
      </c>
      <c r="E6" s="759" t="s">
        <v>12</v>
      </c>
      <c r="F6" s="759"/>
      <c r="G6" s="759" t="s">
        <v>13</v>
      </c>
      <c r="H6" s="759"/>
      <c r="I6" s="457" t="s">
        <v>14</v>
      </c>
    </row>
    <row r="7" spans="1:12" ht="16.5" thickBot="1" x14ac:dyDescent="0.3">
      <c r="A7" s="767"/>
      <c r="B7" s="769"/>
      <c r="C7" s="770"/>
      <c r="D7" s="770"/>
      <c r="E7" s="459" t="s">
        <v>15</v>
      </c>
      <c r="F7" s="460" t="s">
        <v>16</v>
      </c>
      <c r="G7" s="459" t="s">
        <v>15</v>
      </c>
      <c r="H7" s="460" t="s">
        <v>16</v>
      </c>
      <c r="I7" s="461" t="s">
        <v>17</v>
      </c>
    </row>
    <row r="8" spans="1:12" x14ac:dyDescent="0.25">
      <c r="A8" s="143">
        <v>11400047</v>
      </c>
      <c r="B8" s="305" t="s">
        <v>387</v>
      </c>
      <c r="C8" s="144" t="s">
        <v>388</v>
      </c>
      <c r="D8" s="334" t="s">
        <v>389</v>
      </c>
      <c r="E8" s="462">
        <v>12230</v>
      </c>
      <c r="F8" s="463" t="s">
        <v>390</v>
      </c>
      <c r="G8" s="332"/>
      <c r="H8" s="334"/>
      <c r="I8" s="334"/>
    </row>
    <row r="9" spans="1:12" x14ac:dyDescent="0.25">
      <c r="A9" s="326" t="s">
        <v>391</v>
      </c>
      <c r="B9" s="305" t="s">
        <v>392</v>
      </c>
      <c r="C9" s="327" t="s">
        <v>393</v>
      </c>
      <c r="D9" s="464" t="s">
        <v>394</v>
      </c>
      <c r="E9" s="462">
        <v>17430</v>
      </c>
      <c r="F9" s="463" t="s">
        <v>19</v>
      </c>
      <c r="G9" s="332"/>
      <c r="H9" s="334"/>
      <c r="I9" s="334"/>
    </row>
    <row r="10" spans="1:12" x14ac:dyDescent="0.25">
      <c r="A10" s="143">
        <v>11400046</v>
      </c>
      <c r="B10" s="305" t="s">
        <v>395</v>
      </c>
      <c r="C10" s="144" t="s">
        <v>396</v>
      </c>
      <c r="D10" s="464" t="s">
        <v>394</v>
      </c>
      <c r="E10" s="462">
        <v>17430</v>
      </c>
      <c r="F10" s="463" t="s">
        <v>19</v>
      </c>
      <c r="G10" s="332"/>
      <c r="H10" s="334"/>
      <c r="I10" s="334"/>
    </row>
    <row r="11" spans="1:12" x14ac:dyDescent="0.25">
      <c r="A11" s="143">
        <v>11400031</v>
      </c>
      <c r="B11" s="305" t="s">
        <v>397</v>
      </c>
      <c r="C11" s="144" t="s">
        <v>398</v>
      </c>
      <c r="D11" s="464" t="s">
        <v>399</v>
      </c>
      <c r="E11" s="462">
        <v>14000</v>
      </c>
      <c r="F11" s="463" t="s">
        <v>19</v>
      </c>
      <c r="G11" s="332"/>
      <c r="H11" s="334"/>
      <c r="I11" s="334"/>
    </row>
    <row r="12" spans="1:12" x14ac:dyDescent="0.25">
      <c r="A12" s="22">
        <v>90100131</v>
      </c>
      <c r="B12" s="22" t="s">
        <v>400</v>
      </c>
      <c r="C12" s="1" t="s">
        <v>401</v>
      </c>
      <c r="D12" s="464" t="s">
        <v>18</v>
      </c>
      <c r="E12" s="462">
        <v>1475</v>
      </c>
      <c r="F12" s="463" t="s">
        <v>19</v>
      </c>
      <c r="G12" s="332"/>
      <c r="H12" s="334"/>
      <c r="I12" s="334"/>
    </row>
    <row r="13" spans="1:12" ht="16.5" thickBot="1" x14ac:dyDescent="0.3">
      <c r="A13" s="143">
        <v>1212410</v>
      </c>
      <c r="B13" s="305" t="s">
        <v>336</v>
      </c>
      <c r="C13" s="144" t="s">
        <v>337</v>
      </c>
      <c r="D13" s="464" t="s">
        <v>372</v>
      </c>
      <c r="E13" s="462">
        <v>140</v>
      </c>
      <c r="F13" s="463" t="s">
        <v>19</v>
      </c>
      <c r="G13" s="332"/>
      <c r="H13" s="334"/>
      <c r="I13" s="334"/>
    </row>
    <row r="14" spans="1:12" ht="16.5" thickBot="1" x14ac:dyDescent="0.3">
      <c r="A14" s="465"/>
      <c r="B14" s="466"/>
      <c r="C14" s="467"/>
      <c r="D14" s="468" t="s">
        <v>15</v>
      </c>
      <c r="E14" s="469" t="s">
        <v>22</v>
      </c>
      <c r="F14" s="470"/>
      <c r="G14" s="467"/>
      <c r="H14" s="467"/>
      <c r="I14" s="471"/>
    </row>
    <row r="15" spans="1:12" x14ac:dyDescent="0.25">
      <c r="A15" s="771" t="s">
        <v>402</v>
      </c>
      <c r="B15" s="771"/>
      <c r="C15" s="771"/>
      <c r="D15" s="772" t="s">
        <v>403</v>
      </c>
      <c r="E15" s="772"/>
      <c r="F15" s="771"/>
      <c r="G15" s="771"/>
      <c r="H15" s="472"/>
      <c r="I15" s="472"/>
      <c r="L15" s="473"/>
    </row>
    <row r="16" spans="1:12" x14ac:dyDescent="0.25">
      <c r="A16" s="773" t="s">
        <v>404</v>
      </c>
      <c r="B16" s="774"/>
      <c r="C16" s="775"/>
      <c r="D16" s="772" t="s">
        <v>405</v>
      </c>
      <c r="E16" s="772"/>
      <c r="F16" s="771"/>
      <c r="G16" s="771"/>
      <c r="H16" s="472"/>
      <c r="I16" s="472"/>
      <c r="L16" s="473"/>
    </row>
    <row r="17" spans="1:12" x14ac:dyDescent="0.25">
      <c r="A17" s="771" t="s">
        <v>23</v>
      </c>
      <c r="B17" s="771"/>
      <c r="C17" s="771"/>
      <c r="D17" s="776" t="s">
        <v>406</v>
      </c>
      <c r="E17" s="776"/>
      <c r="F17" s="771" t="s">
        <v>28</v>
      </c>
      <c r="G17" s="771"/>
      <c r="H17" s="474" t="s">
        <v>407</v>
      </c>
      <c r="I17" s="335"/>
      <c r="L17" s="473"/>
    </row>
    <row r="18" spans="1:12" x14ac:dyDescent="0.25">
      <c r="A18" s="771" t="s">
        <v>408</v>
      </c>
      <c r="B18" s="771"/>
      <c r="C18" s="771"/>
      <c r="D18" s="772" t="s">
        <v>409</v>
      </c>
      <c r="E18" s="772"/>
      <c r="F18" s="771"/>
      <c r="G18" s="771"/>
      <c r="H18" s="475"/>
      <c r="I18" s="335"/>
      <c r="L18" s="473"/>
    </row>
    <row r="19" spans="1:12" x14ac:dyDescent="0.25">
      <c r="A19" s="771" t="s">
        <v>410</v>
      </c>
      <c r="B19" s="771"/>
      <c r="C19" s="771"/>
      <c r="D19" s="772" t="s">
        <v>411</v>
      </c>
      <c r="E19" s="772"/>
      <c r="F19" s="771"/>
      <c r="G19" s="771"/>
      <c r="H19" s="472"/>
      <c r="I19" s="472"/>
      <c r="L19" s="473"/>
    </row>
    <row r="20" spans="1:12" x14ac:dyDescent="0.25">
      <c r="A20" s="778" t="s">
        <v>412</v>
      </c>
      <c r="B20" s="778"/>
      <c r="C20" s="778"/>
      <c r="D20" s="778"/>
      <c r="E20" s="778"/>
      <c r="F20" s="778"/>
      <c r="G20" s="778"/>
      <c r="H20" s="778"/>
      <c r="I20" s="778"/>
    </row>
    <row r="21" spans="1:12" x14ac:dyDescent="0.25">
      <c r="A21" s="779" t="s">
        <v>413</v>
      </c>
      <c r="B21" s="779"/>
      <c r="C21" s="779"/>
      <c r="D21" s="779"/>
      <c r="E21" s="779"/>
      <c r="F21" s="779"/>
      <c r="G21" s="779"/>
      <c r="H21" s="779"/>
      <c r="I21" s="779"/>
    </row>
    <row r="22" spans="1:12" x14ac:dyDescent="0.25">
      <c r="A22" s="780" t="s">
        <v>414</v>
      </c>
      <c r="B22" s="780"/>
      <c r="C22" s="780"/>
      <c r="D22" s="780"/>
      <c r="E22" s="780"/>
      <c r="F22" s="780"/>
      <c r="G22" s="780"/>
      <c r="H22" s="780"/>
      <c r="I22" s="780"/>
    </row>
    <row r="23" spans="1:12" x14ac:dyDescent="0.25">
      <c r="A23" s="780" t="s">
        <v>415</v>
      </c>
      <c r="B23" s="780"/>
      <c r="C23" s="779"/>
      <c r="D23" s="779"/>
      <c r="E23" s="779"/>
      <c r="F23" s="779"/>
      <c r="G23" s="779"/>
      <c r="H23" s="779"/>
      <c r="I23" s="779"/>
    </row>
    <row r="24" spans="1:12" x14ac:dyDescent="0.25">
      <c r="A24" s="779" t="s">
        <v>416</v>
      </c>
      <c r="B24" s="779"/>
      <c r="C24" s="779"/>
      <c r="D24" s="779"/>
      <c r="E24" s="779"/>
      <c r="F24" s="779"/>
      <c r="G24" s="779"/>
      <c r="H24" s="779"/>
      <c r="I24" s="779"/>
    </row>
    <row r="25" spans="1:12" x14ac:dyDescent="0.25">
      <c r="A25" s="779" t="s">
        <v>417</v>
      </c>
      <c r="B25" s="779"/>
      <c r="C25" s="779"/>
      <c r="D25" s="779"/>
      <c r="E25" s="779"/>
      <c r="F25" s="779"/>
      <c r="G25" s="779"/>
      <c r="H25" s="779"/>
      <c r="I25" s="779"/>
    </row>
    <row r="26" spans="1:12" x14ac:dyDescent="0.25">
      <c r="A26" s="779" t="s">
        <v>418</v>
      </c>
      <c r="B26" s="779"/>
      <c r="C26" s="779"/>
      <c r="D26" s="779"/>
      <c r="E26" s="779"/>
      <c r="F26" s="779"/>
      <c r="G26" s="779"/>
      <c r="H26" s="779"/>
      <c r="I26" s="779"/>
    </row>
    <row r="27" spans="1:12" x14ac:dyDescent="0.25">
      <c r="A27" s="778" t="s">
        <v>84</v>
      </c>
      <c r="B27" s="778"/>
      <c r="C27" s="778"/>
      <c r="D27" s="778"/>
      <c r="E27" s="778"/>
      <c r="F27" s="778"/>
      <c r="G27" s="778"/>
      <c r="H27" s="778"/>
      <c r="I27" s="778"/>
    </row>
    <row r="28" spans="1:12" x14ac:dyDescent="0.25">
      <c r="A28" s="777" t="s">
        <v>419</v>
      </c>
      <c r="B28" s="777"/>
      <c r="C28" s="777"/>
      <c r="D28" s="777"/>
      <c r="E28" s="777"/>
      <c r="F28" s="777"/>
      <c r="G28" s="777"/>
      <c r="H28" s="777"/>
      <c r="I28" s="777"/>
    </row>
    <row r="29" spans="1:12" x14ac:dyDescent="0.25">
      <c r="A29" s="777"/>
      <c r="B29" s="777"/>
      <c r="C29" s="777"/>
      <c r="D29" s="777"/>
      <c r="E29" s="777"/>
      <c r="F29" s="777"/>
      <c r="G29" s="777"/>
      <c r="H29" s="777"/>
      <c r="I29" s="777"/>
    </row>
    <row r="30" spans="1:12" x14ac:dyDescent="0.25">
      <c r="A30" s="476" t="s">
        <v>420</v>
      </c>
    </row>
  </sheetData>
  <mergeCells count="38">
    <mergeCell ref="A28:I29"/>
    <mergeCell ref="A19:C19"/>
    <mergeCell ref="D19:E19"/>
    <mergeCell ref="F19:G19"/>
    <mergeCell ref="A20:I20"/>
    <mergeCell ref="A21:I21"/>
    <mergeCell ref="A22:I22"/>
    <mergeCell ref="A23:I23"/>
    <mergeCell ref="A24:I24"/>
    <mergeCell ref="A25:I25"/>
    <mergeCell ref="A26:I26"/>
    <mergeCell ref="A27:I27"/>
    <mergeCell ref="A17:C17"/>
    <mergeCell ref="D17:E17"/>
    <mergeCell ref="F17:G17"/>
    <mergeCell ref="A18:C18"/>
    <mergeCell ref="D18:E18"/>
    <mergeCell ref="F18:G18"/>
    <mergeCell ref="A15:C15"/>
    <mergeCell ref="D15:E15"/>
    <mergeCell ref="F15:G15"/>
    <mergeCell ref="A16:C16"/>
    <mergeCell ref="D16:E16"/>
    <mergeCell ref="F16:G16"/>
    <mergeCell ref="I3:I4"/>
    <mergeCell ref="D4:G4"/>
    <mergeCell ref="D5:I5"/>
    <mergeCell ref="G6:H6"/>
    <mergeCell ref="A1:B5"/>
    <mergeCell ref="C1:G1"/>
    <mergeCell ref="C2:G2"/>
    <mergeCell ref="C3:G3"/>
    <mergeCell ref="H3:H4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E1E8-198E-4F58-A0FB-C79610810F6A}">
  <dimension ref="A1:M38"/>
  <sheetViews>
    <sheetView workbookViewId="0">
      <selection activeCell="H11" sqref="H11"/>
    </sheetView>
  </sheetViews>
  <sheetFormatPr baseColWidth="10" defaultRowHeight="15" x14ac:dyDescent="0.25"/>
  <cols>
    <col min="1" max="1" width="15.7109375" customWidth="1"/>
    <col min="2" max="2" width="10.42578125" customWidth="1"/>
    <col min="3" max="3" width="38.5703125" customWidth="1"/>
    <col min="8" max="8" width="15.5703125" customWidth="1"/>
    <col min="9" max="9" width="18.140625" customWidth="1"/>
  </cols>
  <sheetData>
    <row r="1" spans="1:10" ht="18" x14ac:dyDescent="0.25">
      <c r="A1" s="691"/>
      <c r="B1" s="692"/>
      <c r="C1" s="697" t="s">
        <v>0</v>
      </c>
      <c r="D1" s="697"/>
      <c r="E1" s="697"/>
      <c r="F1" s="697"/>
      <c r="G1" s="697"/>
      <c r="H1" s="357" t="s">
        <v>1</v>
      </c>
      <c r="I1" s="358" t="s">
        <v>421</v>
      </c>
    </row>
    <row r="2" spans="1:10" ht="18" x14ac:dyDescent="0.25">
      <c r="A2" s="693"/>
      <c r="B2" s="694"/>
      <c r="C2" s="698" t="s">
        <v>2</v>
      </c>
      <c r="D2" s="698"/>
      <c r="E2" s="698"/>
      <c r="F2" s="698"/>
      <c r="G2" s="698"/>
      <c r="H2" s="361" t="s">
        <v>3</v>
      </c>
      <c r="I2" s="362" t="s">
        <v>323</v>
      </c>
    </row>
    <row r="3" spans="1:10" x14ac:dyDescent="0.25">
      <c r="A3" s="693"/>
      <c r="B3" s="694"/>
      <c r="C3" s="781" t="s">
        <v>422</v>
      </c>
      <c r="D3" s="781"/>
      <c r="E3" s="781"/>
      <c r="F3" s="781"/>
      <c r="G3" s="781"/>
      <c r="H3" s="702" t="s">
        <v>4</v>
      </c>
      <c r="I3" s="687">
        <v>45520</v>
      </c>
    </row>
    <row r="4" spans="1:10" x14ac:dyDescent="0.25">
      <c r="A4" s="693"/>
      <c r="B4" s="694"/>
      <c r="C4" s="363" t="s">
        <v>5</v>
      </c>
      <c r="D4" s="664" t="s">
        <v>291</v>
      </c>
      <c r="E4" s="609"/>
      <c r="F4" s="609"/>
      <c r="G4" s="609"/>
      <c r="H4" s="702"/>
      <c r="I4" s="687"/>
    </row>
    <row r="5" spans="1:10" ht="15.75" thickBot="1" x14ac:dyDescent="0.3">
      <c r="A5" s="695"/>
      <c r="B5" s="696"/>
      <c r="C5" s="364" t="s">
        <v>6</v>
      </c>
      <c r="D5" s="690" t="s">
        <v>31</v>
      </c>
      <c r="E5" s="690"/>
      <c r="F5" s="690"/>
      <c r="G5" s="690"/>
      <c r="H5" s="703"/>
      <c r="I5" s="688"/>
    </row>
    <row r="6" spans="1:10" x14ac:dyDescent="0.25">
      <c r="A6" s="360"/>
      <c r="B6" s="365"/>
      <c r="C6" s="366"/>
      <c r="D6" s="367"/>
      <c r="E6" s="367"/>
      <c r="F6" s="367"/>
      <c r="G6" s="367"/>
      <c r="H6" s="368"/>
      <c r="I6" s="477"/>
    </row>
    <row r="7" spans="1:10" ht="18.75" thickBot="1" x14ac:dyDescent="0.3">
      <c r="A7" s="782" t="s">
        <v>7</v>
      </c>
      <c r="B7" s="704"/>
      <c r="C7" s="704"/>
      <c r="D7" s="705" t="s">
        <v>423</v>
      </c>
      <c r="E7" s="705"/>
      <c r="F7" s="705"/>
      <c r="G7" s="706" t="s">
        <v>8</v>
      </c>
      <c r="H7" s="706"/>
      <c r="I7" s="478" t="s">
        <v>423</v>
      </c>
    </row>
    <row r="8" spans="1:10" x14ac:dyDescent="0.25">
      <c r="A8" s="783" t="s">
        <v>9</v>
      </c>
      <c r="B8" s="785" t="s">
        <v>424</v>
      </c>
      <c r="C8" s="787" t="s">
        <v>10</v>
      </c>
      <c r="D8" s="787" t="s">
        <v>11</v>
      </c>
      <c r="E8" s="787" t="s">
        <v>12</v>
      </c>
      <c r="F8" s="787"/>
      <c r="G8" s="787" t="s">
        <v>13</v>
      </c>
      <c r="H8" s="787"/>
      <c r="I8" s="479" t="s">
        <v>14</v>
      </c>
    </row>
    <row r="9" spans="1:10" ht="27" thickBot="1" x14ac:dyDescent="0.3">
      <c r="A9" s="784"/>
      <c r="B9" s="786"/>
      <c r="C9" s="788"/>
      <c r="D9" s="788"/>
      <c r="E9" s="480" t="s">
        <v>15</v>
      </c>
      <c r="F9" s="481" t="s">
        <v>16</v>
      </c>
      <c r="G9" s="480" t="s">
        <v>15</v>
      </c>
      <c r="H9" s="481" t="s">
        <v>16</v>
      </c>
      <c r="I9" s="482" t="s">
        <v>17</v>
      </c>
    </row>
    <row r="10" spans="1:10" x14ac:dyDescent="0.25">
      <c r="A10" s="483">
        <v>10100331</v>
      </c>
      <c r="B10" s="484" t="s">
        <v>425</v>
      </c>
      <c r="C10" s="485" t="s">
        <v>426</v>
      </c>
      <c r="D10" s="55" t="s">
        <v>427</v>
      </c>
      <c r="E10" s="55">
        <v>1500</v>
      </c>
      <c r="F10" s="55" t="s">
        <v>19</v>
      </c>
      <c r="G10" s="486"/>
      <c r="H10" s="486"/>
      <c r="I10" s="487"/>
      <c r="J10" s="488"/>
    </row>
    <row r="11" spans="1:10" x14ac:dyDescent="0.25">
      <c r="A11" s="489">
        <v>11400031</v>
      </c>
      <c r="B11" s="490" t="s">
        <v>397</v>
      </c>
      <c r="C11" s="491" t="s">
        <v>428</v>
      </c>
      <c r="D11" s="55" t="s">
        <v>429</v>
      </c>
      <c r="E11" s="55">
        <v>1000</v>
      </c>
      <c r="F11" s="55" t="s">
        <v>19</v>
      </c>
      <c r="G11" s="486"/>
      <c r="H11" s="486"/>
      <c r="I11" s="487"/>
      <c r="J11" s="488"/>
    </row>
    <row r="12" spans="1:10" x14ac:dyDescent="0.25">
      <c r="A12" s="492"/>
      <c r="B12" s="493"/>
      <c r="C12" s="494"/>
      <c r="D12" s="55"/>
      <c r="E12" s="55"/>
      <c r="F12" s="55"/>
      <c r="G12" s="54"/>
      <c r="H12" s="55"/>
      <c r="I12" s="495"/>
      <c r="J12" s="488"/>
    </row>
    <row r="13" spans="1:10" x14ac:dyDescent="0.25">
      <c r="A13" s="489">
        <v>11400031</v>
      </c>
      <c r="B13" s="490" t="s">
        <v>397</v>
      </c>
      <c r="C13" s="491" t="s">
        <v>428</v>
      </c>
      <c r="D13" s="55" t="s">
        <v>429</v>
      </c>
      <c r="E13" s="55">
        <v>2000</v>
      </c>
      <c r="F13" s="55" t="s">
        <v>19</v>
      </c>
      <c r="G13" s="789" t="s">
        <v>430</v>
      </c>
      <c r="H13" s="789"/>
      <c r="I13" s="790"/>
      <c r="J13" s="488"/>
    </row>
    <row r="14" spans="1:10" x14ac:dyDescent="0.25">
      <c r="A14" s="492"/>
      <c r="B14" t="s">
        <v>336</v>
      </c>
      <c r="C14" t="s">
        <v>431</v>
      </c>
      <c r="D14" s="55" t="s">
        <v>338</v>
      </c>
      <c r="E14" s="55">
        <v>8</v>
      </c>
      <c r="F14" s="55" t="s">
        <v>19</v>
      </c>
      <c r="G14" s="54"/>
      <c r="H14" s="55"/>
      <c r="I14" s="495"/>
      <c r="J14" s="488"/>
    </row>
    <row r="15" spans="1:10" x14ac:dyDescent="0.25">
      <c r="A15" s="496"/>
      <c r="B15" s="497"/>
      <c r="C15" s="498"/>
      <c r="D15" s="485"/>
      <c r="E15" s="55"/>
      <c r="F15" s="55"/>
      <c r="G15" s="54"/>
      <c r="H15" s="55"/>
      <c r="I15" s="499"/>
    </row>
    <row r="16" spans="1:10" x14ac:dyDescent="0.25">
      <c r="A16" s="500"/>
      <c r="B16" s="501"/>
      <c r="C16" s="502"/>
      <c r="D16" s="485"/>
      <c r="E16" s="503"/>
      <c r="F16" s="503"/>
      <c r="G16" s="503"/>
      <c r="H16" s="503"/>
      <c r="I16" s="499"/>
    </row>
    <row r="17" spans="1:13" ht="15.75" thickBot="1" x14ac:dyDescent="0.3">
      <c r="A17" s="504"/>
      <c r="B17" s="505"/>
      <c r="C17" s="506"/>
      <c r="D17" s="506"/>
      <c r="E17" s="507"/>
      <c r="F17" s="508"/>
      <c r="G17" s="506"/>
      <c r="H17" s="506"/>
      <c r="I17" s="509"/>
      <c r="J17" s="510"/>
      <c r="K17" s="510"/>
      <c r="L17" s="511"/>
      <c r="M17" s="510"/>
    </row>
    <row r="18" spans="1:13" ht="15.75" thickBot="1" x14ac:dyDescent="0.3">
      <c r="A18" s="512"/>
      <c r="B18" s="513"/>
      <c r="C18" s="514"/>
      <c r="D18" s="515" t="s">
        <v>15</v>
      </c>
      <c r="E18" s="516" t="s">
        <v>22</v>
      </c>
      <c r="F18" s="517"/>
      <c r="G18" s="514"/>
      <c r="H18" s="514"/>
      <c r="I18" s="518"/>
      <c r="J18" s="510"/>
      <c r="K18" s="510"/>
      <c r="L18" s="511"/>
      <c r="M18" s="510"/>
    </row>
    <row r="19" spans="1:13" x14ac:dyDescent="0.25">
      <c r="A19" s="791" t="s">
        <v>23</v>
      </c>
      <c r="B19" s="792"/>
      <c r="C19" s="793"/>
      <c r="D19" s="52">
        <v>4200</v>
      </c>
      <c r="E19" s="519" t="s">
        <v>19</v>
      </c>
      <c r="F19" s="794"/>
      <c r="G19" s="794"/>
      <c r="H19" s="795"/>
      <c r="I19" s="796"/>
      <c r="J19" s="510"/>
      <c r="K19" s="510"/>
      <c r="L19" s="511"/>
      <c r="M19" s="510"/>
    </row>
    <row r="20" spans="1:13" x14ac:dyDescent="0.25">
      <c r="A20" s="797" t="s">
        <v>24</v>
      </c>
      <c r="B20" s="798"/>
      <c r="C20" s="799"/>
      <c r="D20" s="116">
        <v>15</v>
      </c>
      <c r="E20" s="2" t="s">
        <v>25</v>
      </c>
      <c r="F20" s="800"/>
      <c r="G20" s="800"/>
      <c r="H20" s="801"/>
      <c r="I20" s="802"/>
      <c r="J20" s="510"/>
      <c r="K20" s="510"/>
      <c r="L20" s="511"/>
      <c r="M20" s="510"/>
    </row>
    <row r="21" spans="1:13" x14ac:dyDescent="0.25">
      <c r="A21" s="797" t="s">
        <v>26</v>
      </c>
      <c r="B21" s="798"/>
      <c r="C21" s="799"/>
      <c r="D21" s="2">
        <v>1</v>
      </c>
      <c r="E21" s="2" t="s">
        <v>21</v>
      </c>
      <c r="F21" s="800"/>
      <c r="G21" s="800"/>
      <c r="H21" s="801"/>
      <c r="I21" s="802"/>
      <c r="J21" s="510"/>
      <c r="K21" s="510"/>
      <c r="L21" s="511"/>
      <c r="M21" s="510"/>
    </row>
    <row r="22" spans="1:13" x14ac:dyDescent="0.25">
      <c r="A22" s="797" t="s">
        <v>27</v>
      </c>
      <c r="B22" s="798"/>
      <c r="C22" s="799"/>
      <c r="D22" s="3">
        <v>4200</v>
      </c>
      <c r="E22" s="2" t="s">
        <v>19</v>
      </c>
      <c r="F22" s="803"/>
      <c r="G22" s="804"/>
      <c r="H22" s="801"/>
      <c r="I22" s="802"/>
      <c r="J22" s="510"/>
      <c r="K22" s="510"/>
      <c r="L22" s="511"/>
      <c r="M22" s="423"/>
    </row>
    <row r="23" spans="1:13" ht="15.75" thickBot="1" x14ac:dyDescent="0.3">
      <c r="A23" s="805" t="s">
        <v>28</v>
      </c>
      <c r="B23" s="806"/>
      <c r="C23" s="807"/>
      <c r="D23" s="6">
        <v>300</v>
      </c>
      <c r="E23" s="117" t="s">
        <v>19</v>
      </c>
      <c r="F23" s="808"/>
      <c r="G23" s="808"/>
      <c r="H23" s="809"/>
      <c r="I23" s="810"/>
      <c r="J23" s="510"/>
      <c r="K23" s="510"/>
      <c r="L23" s="511"/>
      <c r="M23" s="510"/>
    </row>
    <row r="24" spans="1:13" ht="15.75" thickBot="1" x14ac:dyDescent="0.3">
      <c r="A24" s="811" t="s">
        <v>29</v>
      </c>
      <c r="B24" s="812"/>
      <c r="C24" s="812"/>
      <c r="D24" s="812"/>
      <c r="E24" s="812"/>
      <c r="F24" s="812"/>
      <c r="G24" s="812"/>
      <c r="H24" s="812"/>
      <c r="I24" s="813"/>
      <c r="J24" s="510"/>
      <c r="K24" s="510"/>
      <c r="L24" s="510"/>
      <c r="M24" s="510"/>
    </row>
    <row r="25" spans="1:13" x14ac:dyDescent="0.25">
      <c r="A25" s="725" t="s">
        <v>432</v>
      </c>
      <c r="B25" s="726"/>
      <c r="C25" s="726"/>
      <c r="D25" s="726"/>
      <c r="E25" s="726"/>
      <c r="F25" s="726"/>
      <c r="G25" s="726"/>
      <c r="H25" s="726"/>
      <c r="I25" s="727"/>
      <c r="J25" s="510"/>
      <c r="K25" s="510"/>
      <c r="L25" s="510"/>
      <c r="M25" s="510"/>
    </row>
    <row r="26" spans="1:13" x14ac:dyDescent="0.25">
      <c r="A26" s="725" t="s">
        <v>433</v>
      </c>
      <c r="B26" s="726"/>
      <c r="C26" s="726"/>
      <c r="D26" s="726"/>
      <c r="E26" s="726"/>
      <c r="F26" s="726"/>
      <c r="G26" s="726"/>
      <c r="H26" s="726"/>
      <c r="I26" s="727"/>
      <c r="J26" s="510"/>
      <c r="L26" s="510"/>
      <c r="M26" s="510"/>
    </row>
    <row r="27" spans="1:13" x14ac:dyDescent="0.25">
      <c r="A27" s="725" t="s">
        <v>434</v>
      </c>
      <c r="B27" s="726"/>
      <c r="C27" s="726"/>
      <c r="D27" s="726"/>
      <c r="E27" s="726"/>
      <c r="F27" s="726"/>
      <c r="G27" s="726"/>
      <c r="H27" s="726"/>
      <c r="I27" s="727"/>
      <c r="J27" s="510"/>
      <c r="K27" s="510"/>
      <c r="L27" s="510"/>
      <c r="M27" s="510"/>
    </row>
    <row r="28" spans="1:13" x14ac:dyDescent="0.25">
      <c r="A28" s="725" t="s">
        <v>435</v>
      </c>
      <c r="B28" s="726"/>
      <c r="C28" s="726"/>
      <c r="D28" s="726"/>
      <c r="E28" s="726"/>
      <c r="F28" s="726"/>
      <c r="G28" s="726"/>
      <c r="H28" s="726"/>
      <c r="I28" s="727"/>
      <c r="J28" s="510"/>
      <c r="K28" s="510"/>
      <c r="L28" s="510"/>
      <c r="M28" s="510"/>
    </row>
    <row r="29" spans="1:13" x14ac:dyDescent="0.25">
      <c r="A29" s="725"/>
      <c r="B29" s="726"/>
      <c r="C29" s="726"/>
      <c r="D29" s="726"/>
      <c r="E29" s="726"/>
      <c r="F29" s="726"/>
      <c r="G29" s="726"/>
      <c r="H29" s="726"/>
      <c r="I29" s="727"/>
      <c r="J29" s="510"/>
      <c r="K29" s="510"/>
      <c r="L29" s="510"/>
      <c r="M29" s="510"/>
    </row>
    <row r="30" spans="1:13" x14ac:dyDescent="0.25">
      <c r="A30" s="725"/>
      <c r="B30" s="726"/>
      <c r="C30" s="726"/>
      <c r="D30" s="726"/>
      <c r="E30" s="726"/>
      <c r="F30" s="726"/>
      <c r="G30" s="726"/>
      <c r="H30" s="726"/>
      <c r="I30" s="727"/>
      <c r="J30" s="510"/>
      <c r="K30" s="520"/>
      <c r="L30" s="510"/>
      <c r="M30" s="510"/>
    </row>
    <row r="31" spans="1:13" x14ac:dyDescent="0.25">
      <c r="A31" s="739"/>
      <c r="B31" s="740"/>
      <c r="C31" s="740"/>
      <c r="D31" s="740"/>
      <c r="E31" s="740"/>
      <c r="F31" s="740"/>
      <c r="G31" s="740"/>
      <c r="H31" s="740"/>
      <c r="I31" s="741"/>
      <c r="J31" s="510"/>
      <c r="K31" s="510"/>
      <c r="L31" s="510"/>
      <c r="M31" s="510"/>
    </row>
    <row r="32" spans="1:13" x14ac:dyDescent="0.25">
      <c r="A32" s="739"/>
      <c r="B32" s="740"/>
      <c r="C32" s="740"/>
      <c r="D32" s="740"/>
      <c r="E32" s="740"/>
      <c r="F32" s="740"/>
      <c r="G32" s="740"/>
      <c r="H32" s="740"/>
      <c r="I32" s="741"/>
      <c r="J32" s="510"/>
      <c r="K32" s="510"/>
      <c r="L32" s="510"/>
      <c r="M32" s="510"/>
    </row>
    <row r="33" spans="1:9" ht="15.75" thickBot="1" x14ac:dyDescent="0.3">
      <c r="A33" s="746"/>
      <c r="B33" s="747"/>
      <c r="C33" s="747"/>
      <c r="D33" s="747"/>
      <c r="E33" s="747"/>
      <c r="F33" s="747"/>
      <c r="G33" s="747"/>
      <c r="H33" s="747"/>
      <c r="I33" s="748"/>
    </row>
    <row r="34" spans="1:9" ht="15.75" thickBot="1" x14ac:dyDescent="0.3">
      <c r="A34" s="814" t="s">
        <v>436</v>
      </c>
      <c r="B34" s="815"/>
      <c r="C34" s="815"/>
      <c r="D34" s="815"/>
      <c r="E34" s="815"/>
      <c r="F34" s="815"/>
      <c r="G34" s="815"/>
      <c r="H34" s="815"/>
      <c r="I34" s="816"/>
    </row>
    <row r="35" spans="1:9" ht="15.75" thickBot="1" x14ac:dyDescent="0.3">
      <c r="A35" s="817" t="s">
        <v>437</v>
      </c>
      <c r="B35" s="818"/>
      <c r="C35" s="818"/>
      <c r="D35" s="818"/>
      <c r="E35" s="818"/>
      <c r="F35" s="818"/>
      <c r="G35" s="818"/>
      <c r="H35" s="818"/>
      <c r="I35" s="819"/>
    </row>
    <row r="36" spans="1:9" ht="15.75" thickBot="1" x14ac:dyDescent="0.3">
      <c r="A36" s="817" t="s">
        <v>438</v>
      </c>
      <c r="B36" s="818"/>
      <c r="C36" s="818"/>
      <c r="D36" s="818"/>
      <c r="E36" s="818"/>
      <c r="F36" s="818"/>
      <c r="G36" s="818"/>
      <c r="H36" s="818"/>
      <c r="I36" s="819"/>
    </row>
    <row r="37" spans="1:9" ht="15.75" thickBot="1" x14ac:dyDescent="0.3">
      <c r="A37" s="521" t="s">
        <v>439</v>
      </c>
      <c r="B37" s="522"/>
      <c r="C37" s="523"/>
      <c r="D37" s="523"/>
      <c r="E37" s="523"/>
      <c r="F37" s="523"/>
      <c r="G37" s="523"/>
      <c r="H37" s="523"/>
      <c r="I37" s="524"/>
    </row>
    <row r="38" spans="1:9" ht="15.75" thickBot="1" x14ac:dyDescent="0.3">
      <c r="A38" s="521" t="s">
        <v>440</v>
      </c>
    </row>
  </sheetData>
  <mergeCells count="46">
    <mergeCell ref="A33:I33"/>
    <mergeCell ref="A34:I34"/>
    <mergeCell ref="A35:I35"/>
    <mergeCell ref="A36:I36"/>
    <mergeCell ref="A27:I27"/>
    <mergeCell ref="A28:I28"/>
    <mergeCell ref="A29:I29"/>
    <mergeCell ref="A30:I30"/>
    <mergeCell ref="A31:I31"/>
    <mergeCell ref="A32:I32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G13:I13"/>
    <mergeCell ref="A19:C19"/>
    <mergeCell ref="F19:G19"/>
    <mergeCell ref="H19:I19"/>
    <mergeCell ref="A20:C20"/>
    <mergeCell ref="F20:G20"/>
    <mergeCell ref="H20:I20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6CFA-4E69-423A-973D-B4CDA0C4A632}">
  <dimension ref="B1:N31"/>
  <sheetViews>
    <sheetView workbookViewId="0">
      <selection activeCell="C6" sqref="C6:C7"/>
    </sheetView>
  </sheetViews>
  <sheetFormatPr baseColWidth="10" defaultColWidth="9.140625" defaultRowHeight="13.5" x14ac:dyDescent="0.25"/>
  <cols>
    <col min="1" max="1" width="9.140625" style="121"/>
    <col min="2" max="2" width="16.140625" style="121" customWidth="1"/>
    <col min="3" max="3" width="15.140625" style="121" customWidth="1"/>
    <col min="4" max="4" width="40.5703125" style="121" customWidth="1"/>
    <col min="5" max="5" width="18.140625" style="121" bestFit="1" customWidth="1"/>
    <col min="6" max="6" width="9.140625" style="121"/>
    <col min="7" max="7" width="13.140625" style="121" customWidth="1"/>
    <col min="8" max="8" width="12.5703125" style="121" customWidth="1"/>
    <col min="9" max="9" width="15.5703125" style="121" customWidth="1"/>
    <col min="10" max="10" width="16" style="121" customWidth="1"/>
    <col min="11" max="257" width="9.140625" style="121"/>
    <col min="258" max="258" width="16.140625" style="121" customWidth="1"/>
    <col min="259" max="259" width="15.140625" style="121" customWidth="1"/>
    <col min="260" max="260" width="40.5703125" style="121" customWidth="1"/>
    <col min="261" max="261" width="18.140625" style="121" bestFit="1" customWidth="1"/>
    <col min="262" max="262" width="9.140625" style="121"/>
    <col min="263" max="263" width="13.140625" style="121" customWidth="1"/>
    <col min="264" max="264" width="12.5703125" style="121" customWidth="1"/>
    <col min="265" max="265" width="15.5703125" style="121" customWidth="1"/>
    <col min="266" max="266" width="16" style="121" customWidth="1"/>
    <col min="267" max="513" width="9.140625" style="121"/>
    <col min="514" max="514" width="16.140625" style="121" customWidth="1"/>
    <col min="515" max="515" width="15.140625" style="121" customWidth="1"/>
    <col min="516" max="516" width="40.5703125" style="121" customWidth="1"/>
    <col min="517" max="517" width="18.140625" style="121" bestFit="1" customWidth="1"/>
    <col min="518" max="518" width="9.140625" style="121"/>
    <col min="519" max="519" width="13.140625" style="121" customWidth="1"/>
    <col min="520" max="520" width="12.5703125" style="121" customWidth="1"/>
    <col min="521" max="521" width="15.5703125" style="121" customWidth="1"/>
    <col min="522" max="522" width="16" style="121" customWidth="1"/>
    <col min="523" max="769" width="9.140625" style="121"/>
    <col min="770" max="770" width="16.140625" style="121" customWidth="1"/>
    <col min="771" max="771" width="15.140625" style="121" customWidth="1"/>
    <col min="772" max="772" width="40.5703125" style="121" customWidth="1"/>
    <col min="773" max="773" width="18.140625" style="121" bestFit="1" customWidth="1"/>
    <col min="774" max="774" width="9.140625" style="121"/>
    <col min="775" max="775" width="13.140625" style="121" customWidth="1"/>
    <col min="776" max="776" width="12.5703125" style="121" customWidth="1"/>
    <col min="777" max="777" width="15.5703125" style="121" customWidth="1"/>
    <col min="778" max="778" width="16" style="121" customWidth="1"/>
    <col min="779" max="1025" width="9.140625" style="121"/>
    <col min="1026" max="1026" width="16.140625" style="121" customWidth="1"/>
    <col min="1027" max="1027" width="15.140625" style="121" customWidth="1"/>
    <col min="1028" max="1028" width="40.5703125" style="121" customWidth="1"/>
    <col min="1029" max="1029" width="18.140625" style="121" bestFit="1" customWidth="1"/>
    <col min="1030" max="1030" width="9.140625" style="121"/>
    <col min="1031" max="1031" width="13.140625" style="121" customWidth="1"/>
    <col min="1032" max="1032" width="12.5703125" style="121" customWidth="1"/>
    <col min="1033" max="1033" width="15.5703125" style="121" customWidth="1"/>
    <col min="1034" max="1034" width="16" style="121" customWidth="1"/>
    <col min="1035" max="1281" width="9.140625" style="121"/>
    <col min="1282" max="1282" width="16.140625" style="121" customWidth="1"/>
    <col min="1283" max="1283" width="15.140625" style="121" customWidth="1"/>
    <col min="1284" max="1284" width="40.5703125" style="121" customWidth="1"/>
    <col min="1285" max="1285" width="18.140625" style="121" bestFit="1" customWidth="1"/>
    <col min="1286" max="1286" width="9.140625" style="121"/>
    <col min="1287" max="1287" width="13.140625" style="121" customWidth="1"/>
    <col min="1288" max="1288" width="12.5703125" style="121" customWidth="1"/>
    <col min="1289" max="1289" width="15.5703125" style="121" customWidth="1"/>
    <col min="1290" max="1290" width="16" style="121" customWidth="1"/>
    <col min="1291" max="1537" width="9.140625" style="121"/>
    <col min="1538" max="1538" width="16.140625" style="121" customWidth="1"/>
    <col min="1539" max="1539" width="15.140625" style="121" customWidth="1"/>
    <col min="1540" max="1540" width="40.5703125" style="121" customWidth="1"/>
    <col min="1541" max="1541" width="18.140625" style="121" bestFit="1" customWidth="1"/>
    <col min="1542" max="1542" width="9.140625" style="121"/>
    <col min="1543" max="1543" width="13.140625" style="121" customWidth="1"/>
    <col min="1544" max="1544" width="12.5703125" style="121" customWidth="1"/>
    <col min="1545" max="1545" width="15.5703125" style="121" customWidth="1"/>
    <col min="1546" max="1546" width="16" style="121" customWidth="1"/>
    <col min="1547" max="1793" width="9.140625" style="121"/>
    <col min="1794" max="1794" width="16.140625" style="121" customWidth="1"/>
    <col min="1795" max="1795" width="15.140625" style="121" customWidth="1"/>
    <col min="1796" max="1796" width="40.5703125" style="121" customWidth="1"/>
    <col min="1797" max="1797" width="18.140625" style="121" bestFit="1" customWidth="1"/>
    <col min="1798" max="1798" width="9.140625" style="121"/>
    <col min="1799" max="1799" width="13.140625" style="121" customWidth="1"/>
    <col min="1800" max="1800" width="12.5703125" style="121" customWidth="1"/>
    <col min="1801" max="1801" width="15.5703125" style="121" customWidth="1"/>
    <col min="1802" max="1802" width="16" style="121" customWidth="1"/>
    <col min="1803" max="2049" width="9.140625" style="121"/>
    <col min="2050" max="2050" width="16.140625" style="121" customWidth="1"/>
    <col min="2051" max="2051" width="15.140625" style="121" customWidth="1"/>
    <col min="2052" max="2052" width="40.5703125" style="121" customWidth="1"/>
    <col min="2053" max="2053" width="18.140625" style="121" bestFit="1" customWidth="1"/>
    <col min="2054" max="2054" width="9.140625" style="121"/>
    <col min="2055" max="2055" width="13.140625" style="121" customWidth="1"/>
    <col min="2056" max="2056" width="12.5703125" style="121" customWidth="1"/>
    <col min="2057" max="2057" width="15.5703125" style="121" customWidth="1"/>
    <col min="2058" max="2058" width="16" style="121" customWidth="1"/>
    <col min="2059" max="2305" width="9.140625" style="121"/>
    <col min="2306" max="2306" width="16.140625" style="121" customWidth="1"/>
    <col min="2307" max="2307" width="15.140625" style="121" customWidth="1"/>
    <col min="2308" max="2308" width="40.5703125" style="121" customWidth="1"/>
    <col min="2309" max="2309" width="18.140625" style="121" bestFit="1" customWidth="1"/>
    <col min="2310" max="2310" width="9.140625" style="121"/>
    <col min="2311" max="2311" width="13.140625" style="121" customWidth="1"/>
    <col min="2312" max="2312" width="12.5703125" style="121" customWidth="1"/>
    <col min="2313" max="2313" width="15.5703125" style="121" customWidth="1"/>
    <col min="2314" max="2314" width="16" style="121" customWidth="1"/>
    <col min="2315" max="2561" width="9.140625" style="121"/>
    <col min="2562" max="2562" width="16.140625" style="121" customWidth="1"/>
    <col min="2563" max="2563" width="15.140625" style="121" customWidth="1"/>
    <col min="2564" max="2564" width="40.5703125" style="121" customWidth="1"/>
    <col min="2565" max="2565" width="18.140625" style="121" bestFit="1" customWidth="1"/>
    <col min="2566" max="2566" width="9.140625" style="121"/>
    <col min="2567" max="2567" width="13.140625" style="121" customWidth="1"/>
    <col min="2568" max="2568" width="12.5703125" style="121" customWidth="1"/>
    <col min="2569" max="2569" width="15.5703125" style="121" customWidth="1"/>
    <col min="2570" max="2570" width="16" style="121" customWidth="1"/>
    <col min="2571" max="2817" width="9.140625" style="121"/>
    <col min="2818" max="2818" width="16.140625" style="121" customWidth="1"/>
    <col min="2819" max="2819" width="15.140625" style="121" customWidth="1"/>
    <col min="2820" max="2820" width="40.5703125" style="121" customWidth="1"/>
    <col min="2821" max="2821" width="18.140625" style="121" bestFit="1" customWidth="1"/>
    <col min="2822" max="2822" width="9.140625" style="121"/>
    <col min="2823" max="2823" width="13.140625" style="121" customWidth="1"/>
    <col min="2824" max="2824" width="12.5703125" style="121" customWidth="1"/>
    <col min="2825" max="2825" width="15.5703125" style="121" customWidth="1"/>
    <col min="2826" max="2826" width="16" style="121" customWidth="1"/>
    <col min="2827" max="3073" width="9.140625" style="121"/>
    <col min="3074" max="3074" width="16.140625" style="121" customWidth="1"/>
    <col min="3075" max="3075" width="15.140625" style="121" customWidth="1"/>
    <col min="3076" max="3076" width="40.5703125" style="121" customWidth="1"/>
    <col min="3077" max="3077" width="18.140625" style="121" bestFit="1" customWidth="1"/>
    <col min="3078" max="3078" width="9.140625" style="121"/>
    <col min="3079" max="3079" width="13.140625" style="121" customWidth="1"/>
    <col min="3080" max="3080" width="12.5703125" style="121" customWidth="1"/>
    <col min="3081" max="3081" width="15.5703125" style="121" customWidth="1"/>
    <col min="3082" max="3082" width="16" style="121" customWidth="1"/>
    <col min="3083" max="3329" width="9.140625" style="121"/>
    <col min="3330" max="3330" width="16.140625" style="121" customWidth="1"/>
    <col min="3331" max="3331" width="15.140625" style="121" customWidth="1"/>
    <col min="3332" max="3332" width="40.5703125" style="121" customWidth="1"/>
    <col min="3333" max="3333" width="18.140625" style="121" bestFit="1" customWidth="1"/>
    <col min="3334" max="3334" width="9.140625" style="121"/>
    <col min="3335" max="3335" width="13.140625" style="121" customWidth="1"/>
    <col min="3336" max="3336" width="12.5703125" style="121" customWidth="1"/>
    <col min="3337" max="3337" width="15.5703125" style="121" customWidth="1"/>
    <col min="3338" max="3338" width="16" style="121" customWidth="1"/>
    <col min="3339" max="3585" width="9.140625" style="121"/>
    <col min="3586" max="3586" width="16.140625" style="121" customWidth="1"/>
    <col min="3587" max="3587" width="15.140625" style="121" customWidth="1"/>
    <col min="3588" max="3588" width="40.5703125" style="121" customWidth="1"/>
    <col min="3589" max="3589" width="18.140625" style="121" bestFit="1" customWidth="1"/>
    <col min="3590" max="3590" width="9.140625" style="121"/>
    <col min="3591" max="3591" width="13.140625" style="121" customWidth="1"/>
    <col min="3592" max="3592" width="12.5703125" style="121" customWidth="1"/>
    <col min="3593" max="3593" width="15.5703125" style="121" customWidth="1"/>
    <col min="3594" max="3594" width="16" style="121" customWidth="1"/>
    <col min="3595" max="3841" width="9.140625" style="121"/>
    <col min="3842" max="3842" width="16.140625" style="121" customWidth="1"/>
    <col min="3843" max="3843" width="15.140625" style="121" customWidth="1"/>
    <col min="3844" max="3844" width="40.5703125" style="121" customWidth="1"/>
    <col min="3845" max="3845" width="18.140625" style="121" bestFit="1" customWidth="1"/>
    <col min="3846" max="3846" width="9.140625" style="121"/>
    <col min="3847" max="3847" width="13.140625" style="121" customWidth="1"/>
    <col min="3848" max="3848" width="12.5703125" style="121" customWidth="1"/>
    <col min="3849" max="3849" width="15.5703125" style="121" customWidth="1"/>
    <col min="3850" max="3850" width="16" style="121" customWidth="1"/>
    <col min="3851" max="4097" width="9.140625" style="121"/>
    <col min="4098" max="4098" width="16.140625" style="121" customWidth="1"/>
    <col min="4099" max="4099" width="15.140625" style="121" customWidth="1"/>
    <col min="4100" max="4100" width="40.5703125" style="121" customWidth="1"/>
    <col min="4101" max="4101" width="18.140625" style="121" bestFit="1" customWidth="1"/>
    <col min="4102" max="4102" width="9.140625" style="121"/>
    <col min="4103" max="4103" width="13.140625" style="121" customWidth="1"/>
    <col min="4104" max="4104" width="12.5703125" style="121" customWidth="1"/>
    <col min="4105" max="4105" width="15.5703125" style="121" customWidth="1"/>
    <col min="4106" max="4106" width="16" style="121" customWidth="1"/>
    <col min="4107" max="4353" width="9.140625" style="121"/>
    <col min="4354" max="4354" width="16.140625" style="121" customWidth="1"/>
    <col min="4355" max="4355" width="15.140625" style="121" customWidth="1"/>
    <col min="4356" max="4356" width="40.5703125" style="121" customWidth="1"/>
    <col min="4357" max="4357" width="18.140625" style="121" bestFit="1" customWidth="1"/>
    <col min="4358" max="4358" width="9.140625" style="121"/>
    <col min="4359" max="4359" width="13.140625" style="121" customWidth="1"/>
    <col min="4360" max="4360" width="12.5703125" style="121" customWidth="1"/>
    <col min="4361" max="4361" width="15.5703125" style="121" customWidth="1"/>
    <col min="4362" max="4362" width="16" style="121" customWidth="1"/>
    <col min="4363" max="4609" width="9.140625" style="121"/>
    <col min="4610" max="4610" width="16.140625" style="121" customWidth="1"/>
    <col min="4611" max="4611" width="15.140625" style="121" customWidth="1"/>
    <col min="4612" max="4612" width="40.5703125" style="121" customWidth="1"/>
    <col min="4613" max="4613" width="18.140625" style="121" bestFit="1" customWidth="1"/>
    <col min="4614" max="4614" width="9.140625" style="121"/>
    <col min="4615" max="4615" width="13.140625" style="121" customWidth="1"/>
    <col min="4616" max="4616" width="12.5703125" style="121" customWidth="1"/>
    <col min="4617" max="4617" width="15.5703125" style="121" customWidth="1"/>
    <col min="4618" max="4618" width="16" style="121" customWidth="1"/>
    <col min="4619" max="4865" width="9.140625" style="121"/>
    <col min="4866" max="4866" width="16.140625" style="121" customWidth="1"/>
    <col min="4867" max="4867" width="15.140625" style="121" customWidth="1"/>
    <col min="4868" max="4868" width="40.5703125" style="121" customWidth="1"/>
    <col min="4869" max="4869" width="18.140625" style="121" bestFit="1" customWidth="1"/>
    <col min="4870" max="4870" width="9.140625" style="121"/>
    <col min="4871" max="4871" width="13.140625" style="121" customWidth="1"/>
    <col min="4872" max="4872" width="12.5703125" style="121" customWidth="1"/>
    <col min="4873" max="4873" width="15.5703125" style="121" customWidth="1"/>
    <col min="4874" max="4874" width="16" style="121" customWidth="1"/>
    <col min="4875" max="5121" width="9.140625" style="121"/>
    <col min="5122" max="5122" width="16.140625" style="121" customWidth="1"/>
    <col min="5123" max="5123" width="15.140625" style="121" customWidth="1"/>
    <col min="5124" max="5124" width="40.5703125" style="121" customWidth="1"/>
    <col min="5125" max="5125" width="18.140625" style="121" bestFit="1" customWidth="1"/>
    <col min="5126" max="5126" width="9.140625" style="121"/>
    <col min="5127" max="5127" width="13.140625" style="121" customWidth="1"/>
    <col min="5128" max="5128" width="12.5703125" style="121" customWidth="1"/>
    <col min="5129" max="5129" width="15.5703125" style="121" customWidth="1"/>
    <col min="5130" max="5130" width="16" style="121" customWidth="1"/>
    <col min="5131" max="5377" width="9.140625" style="121"/>
    <col min="5378" max="5378" width="16.140625" style="121" customWidth="1"/>
    <col min="5379" max="5379" width="15.140625" style="121" customWidth="1"/>
    <col min="5380" max="5380" width="40.5703125" style="121" customWidth="1"/>
    <col min="5381" max="5381" width="18.140625" style="121" bestFit="1" customWidth="1"/>
    <col min="5382" max="5382" width="9.140625" style="121"/>
    <col min="5383" max="5383" width="13.140625" style="121" customWidth="1"/>
    <col min="5384" max="5384" width="12.5703125" style="121" customWidth="1"/>
    <col min="5385" max="5385" width="15.5703125" style="121" customWidth="1"/>
    <col min="5386" max="5386" width="16" style="121" customWidth="1"/>
    <col min="5387" max="5633" width="9.140625" style="121"/>
    <col min="5634" max="5634" width="16.140625" style="121" customWidth="1"/>
    <col min="5635" max="5635" width="15.140625" style="121" customWidth="1"/>
    <col min="5636" max="5636" width="40.5703125" style="121" customWidth="1"/>
    <col min="5637" max="5637" width="18.140625" style="121" bestFit="1" customWidth="1"/>
    <col min="5638" max="5638" width="9.140625" style="121"/>
    <col min="5639" max="5639" width="13.140625" style="121" customWidth="1"/>
    <col min="5640" max="5640" width="12.5703125" style="121" customWidth="1"/>
    <col min="5641" max="5641" width="15.5703125" style="121" customWidth="1"/>
    <col min="5642" max="5642" width="16" style="121" customWidth="1"/>
    <col min="5643" max="5889" width="9.140625" style="121"/>
    <col min="5890" max="5890" width="16.140625" style="121" customWidth="1"/>
    <col min="5891" max="5891" width="15.140625" style="121" customWidth="1"/>
    <col min="5892" max="5892" width="40.5703125" style="121" customWidth="1"/>
    <col min="5893" max="5893" width="18.140625" style="121" bestFit="1" customWidth="1"/>
    <col min="5894" max="5894" width="9.140625" style="121"/>
    <col min="5895" max="5895" width="13.140625" style="121" customWidth="1"/>
    <col min="5896" max="5896" width="12.5703125" style="121" customWidth="1"/>
    <col min="5897" max="5897" width="15.5703125" style="121" customWidth="1"/>
    <col min="5898" max="5898" width="16" style="121" customWidth="1"/>
    <col min="5899" max="6145" width="9.140625" style="121"/>
    <col min="6146" max="6146" width="16.140625" style="121" customWidth="1"/>
    <col min="6147" max="6147" width="15.140625" style="121" customWidth="1"/>
    <col min="6148" max="6148" width="40.5703125" style="121" customWidth="1"/>
    <col min="6149" max="6149" width="18.140625" style="121" bestFit="1" customWidth="1"/>
    <col min="6150" max="6150" width="9.140625" style="121"/>
    <col min="6151" max="6151" width="13.140625" style="121" customWidth="1"/>
    <col min="6152" max="6152" width="12.5703125" style="121" customWidth="1"/>
    <col min="6153" max="6153" width="15.5703125" style="121" customWidth="1"/>
    <col min="6154" max="6154" width="16" style="121" customWidth="1"/>
    <col min="6155" max="6401" width="9.140625" style="121"/>
    <col min="6402" max="6402" width="16.140625" style="121" customWidth="1"/>
    <col min="6403" max="6403" width="15.140625" style="121" customWidth="1"/>
    <col min="6404" max="6404" width="40.5703125" style="121" customWidth="1"/>
    <col min="6405" max="6405" width="18.140625" style="121" bestFit="1" customWidth="1"/>
    <col min="6406" max="6406" width="9.140625" style="121"/>
    <col min="6407" max="6407" width="13.140625" style="121" customWidth="1"/>
    <col min="6408" max="6408" width="12.5703125" style="121" customWidth="1"/>
    <col min="6409" max="6409" width="15.5703125" style="121" customWidth="1"/>
    <col min="6410" max="6410" width="16" style="121" customWidth="1"/>
    <col min="6411" max="6657" width="9.140625" style="121"/>
    <col min="6658" max="6658" width="16.140625" style="121" customWidth="1"/>
    <col min="6659" max="6659" width="15.140625" style="121" customWidth="1"/>
    <col min="6660" max="6660" width="40.5703125" style="121" customWidth="1"/>
    <col min="6661" max="6661" width="18.140625" style="121" bestFit="1" customWidth="1"/>
    <col min="6662" max="6662" width="9.140625" style="121"/>
    <col min="6663" max="6663" width="13.140625" style="121" customWidth="1"/>
    <col min="6664" max="6664" width="12.5703125" style="121" customWidth="1"/>
    <col min="6665" max="6665" width="15.5703125" style="121" customWidth="1"/>
    <col min="6666" max="6666" width="16" style="121" customWidth="1"/>
    <col min="6667" max="6913" width="9.140625" style="121"/>
    <col min="6914" max="6914" width="16.140625" style="121" customWidth="1"/>
    <col min="6915" max="6915" width="15.140625" style="121" customWidth="1"/>
    <col min="6916" max="6916" width="40.5703125" style="121" customWidth="1"/>
    <col min="6917" max="6917" width="18.140625" style="121" bestFit="1" customWidth="1"/>
    <col min="6918" max="6918" width="9.140625" style="121"/>
    <col min="6919" max="6919" width="13.140625" style="121" customWidth="1"/>
    <col min="6920" max="6920" width="12.5703125" style="121" customWidth="1"/>
    <col min="6921" max="6921" width="15.5703125" style="121" customWidth="1"/>
    <col min="6922" max="6922" width="16" style="121" customWidth="1"/>
    <col min="6923" max="7169" width="9.140625" style="121"/>
    <col min="7170" max="7170" width="16.140625" style="121" customWidth="1"/>
    <col min="7171" max="7171" width="15.140625" style="121" customWidth="1"/>
    <col min="7172" max="7172" width="40.5703125" style="121" customWidth="1"/>
    <col min="7173" max="7173" width="18.140625" style="121" bestFit="1" customWidth="1"/>
    <col min="7174" max="7174" width="9.140625" style="121"/>
    <col min="7175" max="7175" width="13.140625" style="121" customWidth="1"/>
    <col min="7176" max="7176" width="12.5703125" style="121" customWidth="1"/>
    <col min="7177" max="7177" width="15.5703125" style="121" customWidth="1"/>
    <col min="7178" max="7178" width="16" style="121" customWidth="1"/>
    <col min="7179" max="7425" width="9.140625" style="121"/>
    <col min="7426" max="7426" width="16.140625" style="121" customWidth="1"/>
    <col min="7427" max="7427" width="15.140625" style="121" customWidth="1"/>
    <col min="7428" max="7428" width="40.5703125" style="121" customWidth="1"/>
    <col min="7429" max="7429" width="18.140625" style="121" bestFit="1" customWidth="1"/>
    <col min="7430" max="7430" width="9.140625" style="121"/>
    <col min="7431" max="7431" width="13.140625" style="121" customWidth="1"/>
    <col min="7432" max="7432" width="12.5703125" style="121" customWidth="1"/>
    <col min="7433" max="7433" width="15.5703125" style="121" customWidth="1"/>
    <col min="7434" max="7434" width="16" style="121" customWidth="1"/>
    <col min="7435" max="7681" width="9.140625" style="121"/>
    <col min="7682" max="7682" width="16.140625" style="121" customWidth="1"/>
    <col min="7683" max="7683" width="15.140625" style="121" customWidth="1"/>
    <col min="7684" max="7684" width="40.5703125" style="121" customWidth="1"/>
    <col min="7685" max="7685" width="18.140625" style="121" bestFit="1" customWidth="1"/>
    <col min="7686" max="7686" width="9.140625" style="121"/>
    <col min="7687" max="7687" width="13.140625" style="121" customWidth="1"/>
    <col min="7688" max="7688" width="12.5703125" style="121" customWidth="1"/>
    <col min="7689" max="7689" width="15.5703125" style="121" customWidth="1"/>
    <col min="7690" max="7690" width="16" style="121" customWidth="1"/>
    <col min="7691" max="7937" width="9.140625" style="121"/>
    <col min="7938" max="7938" width="16.140625" style="121" customWidth="1"/>
    <col min="7939" max="7939" width="15.140625" style="121" customWidth="1"/>
    <col min="7940" max="7940" width="40.5703125" style="121" customWidth="1"/>
    <col min="7941" max="7941" width="18.140625" style="121" bestFit="1" customWidth="1"/>
    <col min="7942" max="7942" width="9.140625" style="121"/>
    <col min="7943" max="7943" width="13.140625" style="121" customWidth="1"/>
    <col min="7944" max="7944" width="12.5703125" style="121" customWidth="1"/>
    <col min="7945" max="7945" width="15.5703125" style="121" customWidth="1"/>
    <col min="7946" max="7946" width="16" style="121" customWidth="1"/>
    <col min="7947" max="8193" width="9.140625" style="121"/>
    <col min="8194" max="8194" width="16.140625" style="121" customWidth="1"/>
    <col min="8195" max="8195" width="15.140625" style="121" customWidth="1"/>
    <col min="8196" max="8196" width="40.5703125" style="121" customWidth="1"/>
    <col min="8197" max="8197" width="18.140625" style="121" bestFit="1" customWidth="1"/>
    <col min="8198" max="8198" width="9.140625" style="121"/>
    <col min="8199" max="8199" width="13.140625" style="121" customWidth="1"/>
    <col min="8200" max="8200" width="12.5703125" style="121" customWidth="1"/>
    <col min="8201" max="8201" width="15.5703125" style="121" customWidth="1"/>
    <col min="8202" max="8202" width="16" style="121" customWidth="1"/>
    <col min="8203" max="8449" width="9.140625" style="121"/>
    <col min="8450" max="8450" width="16.140625" style="121" customWidth="1"/>
    <col min="8451" max="8451" width="15.140625" style="121" customWidth="1"/>
    <col min="8452" max="8452" width="40.5703125" style="121" customWidth="1"/>
    <col min="8453" max="8453" width="18.140625" style="121" bestFit="1" customWidth="1"/>
    <col min="8454" max="8454" width="9.140625" style="121"/>
    <col min="8455" max="8455" width="13.140625" style="121" customWidth="1"/>
    <col min="8456" max="8456" width="12.5703125" style="121" customWidth="1"/>
    <col min="8457" max="8457" width="15.5703125" style="121" customWidth="1"/>
    <col min="8458" max="8458" width="16" style="121" customWidth="1"/>
    <col min="8459" max="8705" width="9.140625" style="121"/>
    <col min="8706" max="8706" width="16.140625" style="121" customWidth="1"/>
    <col min="8707" max="8707" width="15.140625" style="121" customWidth="1"/>
    <col min="8708" max="8708" width="40.5703125" style="121" customWidth="1"/>
    <col min="8709" max="8709" width="18.140625" style="121" bestFit="1" customWidth="1"/>
    <col min="8710" max="8710" width="9.140625" style="121"/>
    <col min="8711" max="8711" width="13.140625" style="121" customWidth="1"/>
    <col min="8712" max="8712" width="12.5703125" style="121" customWidth="1"/>
    <col min="8713" max="8713" width="15.5703125" style="121" customWidth="1"/>
    <col min="8714" max="8714" width="16" style="121" customWidth="1"/>
    <col min="8715" max="8961" width="9.140625" style="121"/>
    <col min="8962" max="8962" width="16.140625" style="121" customWidth="1"/>
    <col min="8963" max="8963" width="15.140625" style="121" customWidth="1"/>
    <col min="8964" max="8964" width="40.5703125" style="121" customWidth="1"/>
    <col min="8965" max="8965" width="18.140625" style="121" bestFit="1" customWidth="1"/>
    <col min="8966" max="8966" width="9.140625" style="121"/>
    <col min="8967" max="8967" width="13.140625" style="121" customWidth="1"/>
    <col min="8968" max="8968" width="12.5703125" style="121" customWidth="1"/>
    <col min="8969" max="8969" width="15.5703125" style="121" customWidth="1"/>
    <col min="8970" max="8970" width="16" style="121" customWidth="1"/>
    <col min="8971" max="9217" width="9.140625" style="121"/>
    <col min="9218" max="9218" width="16.140625" style="121" customWidth="1"/>
    <col min="9219" max="9219" width="15.140625" style="121" customWidth="1"/>
    <col min="9220" max="9220" width="40.5703125" style="121" customWidth="1"/>
    <col min="9221" max="9221" width="18.140625" style="121" bestFit="1" customWidth="1"/>
    <col min="9222" max="9222" width="9.140625" style="121"/>
    <col min="9223" max="9223" width="13.140625" style="121" customWidth="1"/>
    <col min="9224" max="9224" width="12.5703125" style="121" customWidth="1"/>
    <col min="9225" max="9225" width="15.5703125" style="121" customWidth="1"/>
    <col min="9226" max="9226" width="16" style="121" customWidth="1"/>
    <col min="9227" max="9473" width="9.140625" style="121"/>
    <col min="9474" max="9474" width="16.140625" style="121" customWidth="1"/>
    <col min="9475" max="9475" width="15.140625" style="121" customWidth="1"/>
    <col min="9476" max="9476" width="40.5703125" style="121" customWidth="1"/>
    <col min="9477" max="9477" width="18.140625" style="121" bestFit="1" customWidth="1"/>
    <col min="9478" max="9478" width="9.140625" style="121"/>
    <col min="9479" max="9479" width="13.140625" style="121" customWidth="1"/>
    <col min="9480" max="9480" width="12.5703125" style="121" customWidth="1"/>
    <col min="9481" max="9481" width="15.5703125" style="121" customWidth="1"/>
    <col min="9482" max="9482" width="16" style="121" customWidth="1"/>
    <col min="9483" max="9729" width="9.140625" style="121"/>
    <col min="9730" max="9730" width="16.140625" style="121" customWidth="1"/>
    <col min="9731" max="9731" width="15.140625" style="121" customWidth="1"/>
    <col min="9732" max="9732" width="40.5703125" style="121" customWidth="1"/>
    <col min="9733" max="9733" width="18.140625" style="121" bestFit="1" customWidth="1"/>
    <col min="9734" max="9734" width="9.140625" style="121"/>
    <col min="9735" max="9735" width="13.140625" style="121" customWidth="1"/>
    <col min="9736" max="9736" width="12.5703125" style="121" customWidth="1"/>
    <col min="9737" max="9737" width="15.5703125" style="121" customWidth="1"/>
    <col min="9738" max="9738" width="16" style="121" customWidth="1"/>
    <col min="9739" max="9985" width="9.140625" style="121"/>
    <col min="9986" max="9986" width="16.140625" style="121" customWidth="1"/>
    <col min="9987" max="9987" width="15.140625" style="121" customWidth="1"/>
    <col min="9988" max="9988" width="40.5703125" style="121" customWidth="1"/>
    <col min="9989" max="9989" width="18.140625" style="121" bestFit="1" customWidth="1"/>
    <col min="9990" max="9990" width="9.140625" style="121"/>
    <col min="9991" max="9991" width="13.140625" style="121" customWidth="1"/>
    <col min="9992" max="9992" width="12.5703125" style="121" customWidth="1"/>
    <col min="9993" max="9993" width="15.5703125" style="121" customWidth="1"/>
    <col min="9994" max="9994" width="16" style="121" customWidth="1"/>
    <col min="9995" max="10241" width="9.140625" style="121"/>
    <col min="10242" max="10242" width="16.140625" style="121" customWidth="1"/>
    <col min="10243" max="10243" width="15.140625" style="121" customWidth="1"/>
    <col min="10244" max="10244" width="40.5703125" style="121" customWidth="1"/>
    <col min="10245" max="10245" width="18.140625" style="121" bestFit="1" customWidth="1"/>
    <col min="10246" max="10246" width="9.140625" style="121"/>
    <col min="10247" max="10247" width="13.140625" style="121" customWidth="1"/>
    <col min="10248" max="10248" width="12.5703125" style="121" customWidth="1"/>
    <col min="10249" max="10249" width="15.5703125" style="121" customWidth="1"/>
    <col min="10250" max="10250" width="16" style="121" customWidth="1"/>
    <col min="10251" max="10497" width="9.140625" style="121"/>
    <col min="10498" max="10498" width="16.140625" style="121" customWidth="1"/>
    <col min="10499" max="10499" width="15.140625" style="121" customWidth="1"/>
    <col min="10500" max="10500" width="40.5703125" style="121" customWidth="1"/>
    <col min="10501" max="10501" width="18.140625" style="121" bestFit="1" customWidth="1"/>
    <col min="10502" max="10502" width="9.140625" style="121"/>
    <col min="10503" max="10503" width="13.140625" style="121" customWidth="1"/>
    <col min="10504" max="10504" width="12.5703125" style="121" customWidth="1"/>
    <col min="10505" max="10505" width="15.5703125" style="121" customWidth="1"/>
    <col min="10506" max="10506" width="16" style="121" customWidth="1"/>
    <col min="10507" max="10753" width="9.140625" style="121"/>
    <col min="10754" max="10754" width="16.140625" style="121" customWidth="1"/>
    <col min="10755" max="10755" width="15.140625" style="121" customWidth="1"/>
    <col min="10756" max="10756" width="40.5703125" style="121" customWidth="1"/>
    <col min="10757" max="10757" width="18.140625" style="121" bestFit="1" customWidth="1"/>
    <col min="10758" max="10758" width="9.140625" style="121"/>
    <col min="10759" max="10759" width="13.140625" style="121" customWidth="1"/>
    <col min="10760" max="10760" width="12.5703125" style="121" customWidth="1"/>
    <col min="10761" max="10761" width="15.5703125" style="121" customWidth="1"/>
    <col min="10762" max="10762" width="16" style="121" customWidth="1"/>
    <col min="10763" max="11009" width="9.140625" style="121"/>
    <col min="11010" max="11010" width="16.140625" style="121" customWidth="1"/>
    <col min="11011" max="11011" width="15.140625" style="121" customWidth="1"/>
    <col min="11012" max="11012" width="40.5703125" style="121" customWidth="1"/>
    <col min="11013" max="11013" width="18.140625" style="121" bestFit="1" customWidth="1"/>
    <col min="11014" max="11014" width="9.140625" style="121"/>
    <col min="11015" max="11015" width="13.140625" style="121" customWidth="1"/>
    <col min="11016" max="11016" width="12.5703125" style="121" customWidth="1"/>
    <col min="11017" max="11017" width="15.5703125" style="121" customWidth="1"/>
    <col min="11018" max="11018" width="16" style="121" customWidth="1"/>
    <col min="11019" max="11265" width="9.140625" style="121"/>
    <col min="11266" max="11266" width="16.140625" style="121" customWidth="1"/>
    <col min="11267" max="11267" width="15.140625" style="121" customWidth="1"/>
    <col min="11268" max="11268" width="40.5703125" style="121" customWidth="1"/>
    <col min="11269" max="11269" width="18.140625" style="121" bestFit="1" customWidth="1"/>
    <col min="11270" max="11270" width="9.140625" style="121"/>
    <col min="11271" max="11271" width="13.140625" style="121" customWidth="1"/>
    <col min="11272" max="11272" width="12.5703125" style="121" customWidth="1"/>
    <col min="11273" max="11273" width="15.5703125" style="121" customWidth="1"/>
    <col min="11274" max="11274" width="16" style="121" customWidth="1"/>
    <col min="11275" max="11521" width="9.140625" style="121"/>
    <col min="11522" max="11522" width="16.140625" style="121" customWidth="1"/>
    <col min="11523" max="11523" width="15.140625" style="121" customWidth="1"/>
    <col min="11524" max="11524" width="40.5703125" style="121" customWidth="1"/>
    <col min="11525" max="11525" width="18.140625" style="121" bestFit="1" customWidth="1"/>
    <col min="11526" max="11526" width="9.140625" style="121"/>
    <col min="11527" max="11527" width="13.140625" style="121" customWidth="1"/>
    <col min="11528" max="11528" width="12.5703125" style="121" customWidth="1"/>
    <col min="11529" max="11529" width="15.5703125" style="121" customWidth="1"/>
    <col min="11530" max="11530" width="16" style="121" customWidth="1"/>
    <col min="11531" max="11777" width="9.140625" style="121"/>
    <col min="11778" max="11778" width="16.140625" style="121" customWidth="1"/>
    <col min="11779" max="11779" width="15.140625" style="121" customWidth="1"/>
    <col min="11780" max="11780" width="40.5703125" style="121" customWidth="1"/>
    <col min="11781" max="11781" width="18.140625" style="121" bestFit="1" customWidth="1"/>
    <col min="11782" max="11782" width="9.140625" style="121"/>
    <col min="11783" max="11783" width="13.140625" style="121" customWidth="1"/>
    <col min="11784" max="11784" width="12.5703125" style="121" customWidth="1"/>
    <col min="11785" max="11785" width="15.5703125" style="121" customWidth="1"/>
    <col min="11786" max="11786" width="16" style="121" customWidth="1"/>
    <col min="11787" max="12033" width="9.140625" style="121"/>
    <col min="12034" max="12034" width="16.140625" style="121" customWidth="1"/>
    <col min="12035" max="12035" width="15.140625" style="121" customWidth="1"/>
    <col min="12036" max="12036" width="40.5703125" style="121" customWidth="1"/>
    <col min="12037" max="12037" width="18.140625" style="121" bestFit="1" customWidth="1"/>
    <col min="12038" max="12038" width="9.140625" style="121"/>
    <col min="12039" max="12039" width="13.140625" style="121" customWidth="1"/>
    <col min="12040" max="12040" width="12.5703125" style="121" customWidth="1"/>
    <col min="12041" max="12041" width="15.5703125" style="121" customWidth="1"/>
    <col min="12042" max="12042" width="16" style="121" customWidth="1"/>
    <col min="12043" max="12289" width="9.140625" style="121"/>
    <col min="12290" max="12290" width="16.140625" style="121" customWidth="1"/>
    <col min="12291" max="12291" width="15.140625" style="121" customWidth="1"/>
    <col min="12292" max="12292" width="40.5703125" style="121" customWidth="1"/>
    <col min="12293" max="12293" width="18.140625" style="121" bestFit="1" customWidth="1"/>
    <col min="12294" max="12294" width="9.140625" style="121"/>
    <col min="12295" max="12295" width="13.140625" style="121" customWidth="1"/>
    <col min="12296" max="12296" width="12.5703125" style="121" customWidth="1"/>
    <col min="12297" max="12297" width="15.5703125" style="121" customWidth="1"/>
    <col min="12298" max="12298" width="16" style="121" customWidth="1"/>
    <col min="12299" max="12545" width="9.140625" style="121"/>
    <col min="12546" max="12546" width="16.140625" style="121" customWidth="1"/>
    <col min="12547" max="12547" width="15.140625" style="121" customWidth="1"/>
    <col min="12548" max="12548" width="40.5703125" style="121" customWidth="1"/>
    <col min="12549" max="12549" width="18.140625" style="121" bestFit="1" customWidth="1"/>
    <col min="12550" max="12550" width="9.140625" style="121"/>
    <col min="12551" max="12551" width="13.140625" style="121" customWidth="1"/>
    <col min="12552" max="12552" width="12.5703125" style="121" customWidth="1"/>
    <col min="12553" max="12553" width="15.5703125" style="121" customWidth="1"/>
    <col min="12554" max="12554" width="16" style="121" customWidth="1"/>
    <col min="12555" max="12801" width="9.140625" style="121"/>
    <col min="12802" max="12802" width="16.140625" style="121" customWidth="1"/>
    <col min="12803" max="12803" width="15.140625" style="121" customWidth="1"/>
    <col min="12804" max="12804" width="40.5703125" style="121" customWidth="1"/>
    <col min="12805" max="12805" width="18.140625" style="121" bestFit="1" customWidth="1"/>
    <col min="12806" max="12806" width="9.140625" style="121"/>
    <col min="12807" max="12807" width="13.140625" style="121" customWidth="1"/>
    <col min="12808" max="12808" width="12.5703125" style="121" customWidth="1"/>
    <col min="12809" max="12809" width="15.5703125" style="121" customWidth="1"/>
    <col min="12810" max="12810" width="16" style="121" customWidth="1"/>
    <col min="12811" max="13057" width="9.140625" style="121"/>
    <col min="13058" max="13058" width="16.140625" style="121" customWidth="1"/>
    <col min="13059" max="13059" width="15.140625" style="121" customWidth="1"/>
    <col min="13060" max="13060" width="40.5703125" style="121" customWidth="1"/>
    <col min="13061" max="13061" width="18.140625" style="121" bestFit="1" customWidth="1"/>
    <col min="13062" max="13062" width="9.140625" style="121"/>
    <col min="13063" max="13063" width="13.140625" style="121" customWidth="1"/>
    <col min="13064" max="13064" width="12.5703125" style="121" customWidth="1"/>
    <col min="13065" max="13065" width="15.5703125" style="121" customWidth="1"/>
    <col min="13066" max="13066" width="16" style="121" customWidth="1"/>
    <col min="13067" max="13313" width="9.140625" style="121"/>
    <col min="13314" max="13314" width="16.140625" style="121" customWidth="1"/>
    <col min="13315" max="13315" width="15.140625" style="121" customWidth="1"/>
    <col min="13316" max="13316" width="40.5703125" style="121" customWidth="1"/>
    <col min="13317" max="13317" width="18.140625" style="121" bestFit="1" customWidth="1"/>
    <col min="13318" max="13318" width="9.140625" style="121"/>
    <col min="13319" max="13319" width="13.140625" style="121" customWidth="1"/>
    <col min="13320" max="13320" width="12.5703125" style="121" customWidth="1"/>
    <col min="13321" max="13321" width="15.5703125" style="121" customWidth="1"/>
    <col min="13322" max="13322" width="16" style="121" customWidth="1"/>
    <col min="13323" max="13569" width="9.140625" style="121"/>
    <col min="13570" max="13570" width="16.140625" style="121" customWidth="1"/>
    <col min="13571" max="13571" width="15.140625" style="121" customWidth="1"/>
    <col min="13572" max="13572" width="40.5703125" style="121" customWidth="1"/>
    <col min="13573" max="13573" width="18.140625" style="121" bestFit="1" customWidth="1"/>
    <col min="13574" max="13574" width="9.140625" style="121"/>
    <col min="13575" max="13575" width="13.140625" style="121" customWidth="1"/>
    <col min="13576" max="13576" width="12.5703125" style="121" customWidth="1"/>
    <col min="13577" max="13577" width="15.5703125" style="121" customWidth="1"/>
    <col min="13578" max="13578" width="16" style="121" customWidth="1"/>
    <col min="13579" max="13825" width="9.140625" style="121"/>
    <col min="13826" max="13826" width="16.140625" style="121" customWidth="1"/>
    <col min="13827" max="13827" width="15.140625" style="121" customWidth="1"/>
    <col min="13828" max="13828" width="40.5703125" style="121" customWidth="1"/>
    <col min="13829" max="13829" width="18.140625" style="121" bestFit="1" customWidth="1"/>
    <col min="13830" max="13830" width="9.140625" style="121"/>
    <col min="13831" max="13831" width="13.140625" style="121" customWidth="1"/>
    <col min="13832" max="13832" width="12.5703125" style="121" customWidth="1"/>
    <col min="13833" max="13833" width="15.5703125" style="121" customWidth="1"/>
    <col min="13834" max="13834" width="16" style="121" customWidth="1"/>
    <col min="13835" max="14081" width="9.140625" style="121"/>
    <col min="14082" max="14082" width="16.140625" style="121" customWidth="1"/>
    <col min="14083" max="14083" width="15.140625" style="121" customWidth="1"/>
    <col min="14084" max="14084" width="40.5703125" style="121" customWidth="1"/>
    <col min="14085" max="14085" width="18.140625" style="121" bestFit="1" customWidth="1"/>
    <col min="14086" max="14086" width="9.140625" style="121"/>
    <col min="14087" max="14087" width="13.140625" style="121" customWidth="1"/>
    <col min="14088" max="14088" width="12.5703125" style="121" customWidth="1"/>
    <col min="14089" max="14089" width="15.5703125" style="121" customWidth="1"/>
    <col min="14090" max="14090" width="16" style="121" customWidth="1"/>
    <col min="14091" max="14337" width="9.140625" style="121"/>
    <col min="14338" max="14338" width="16.140625" style="121" customWidth="1"/>
    <col min="14339" max="14339" width="15.140625" style="121" customWidth="1"/>
    <col min="14340" max="14340" width="40.5703125" style="121" customWidth="1"/>
    <col min="14341" max="14341" width="18.140625" style="121" bestFit="1" customWidth="1"/>
    <col min="14342" max="14342" width="9.140625" style="121"/>
    <col min="14343" max="14343" width="13.140625" style="121" customWidth="1"/>
    <col min="14344" max="14344" width="12.5703125" style="121" customWidth="1"/>
    <col min="14345" max="14345" width="15.5703125" style="121" customWidth="1"/>
    <col min="14346" max="14346" width="16" style="121" customWidth="1"/>
    <col min="14347" max="14593" width="9.140625" style="121"/>
    <col min="14594" max="14594" width="16.140625" style="121" customWidth="1"/>
    <col min="14595" max="14595" width="15.140625" style="121" customWidth="1"/>
    <col min="14596" max="14596" width="40.5703125" style="121" customWidth="1"/>
    <col min="14597" max="14597" width="18.140625" style="121" bestFit="1" customWidth="1"/>
    <col min="14598" max="14598" width="9.140625" style="121"/>
    <col min="14599" max="14599" width="13.140625" style="121" customWidth="1"/>
    <col min="14600" max="14600" width="12.5703125" style="121" customWidth="1"/>
    <col min="14601" max="14601" width="15.5703125" style="121" customWidth="1"/>
    <col min="14602" max="14602" width="16" style="121" customWidth="1"/>
    <col min="14603" max="14849" width="9.140625" style="121"/>
    <col min="14850" max="14850" width="16.140625" style="121" customWidth="1"/>
    <col min="14851" max="14851" width="15.140625" style="121" customWidth="1"/>
    <col min="14852" max="14852" width="40.5703125" style="121" customWidth="1"/>
    <col min="14853" max="14853" width="18.140625" style="121" bestFit="1" customWidth="1"/>
    <col min="14854" max="14854" width="9.140625" style="121"/>
    <col min="14855" max="14855" width="13.140625" style="121" customWidth="1"/>
    <col min="14856" max="14856" width="12.5703125" style="121" customWidth="1"/>
    <col min="14857" max="14857" width="15.5703125" style="121" customWidth="1"/>
    <col min="14858" max="14858" width="16" style="121" customWidth="1"/>
    <col min="14859" max="15105" width="9.140625" style="121"/>
    <col min="15106" max="15106" width="16.140625" style="121" customWidth="1"/>
    <col min="15107" max="15107" width="15.140625" style="121" customWidth="1"/>
    <col min="15108" max="15108" width="40.5703125" style="121" customWidth="1"/>
    <col min="15109" max="15109" width="18.140625" style="121" bestFit="1" customWidth="1"/>
    <col min="15110" max="15110" width="9.140625" style="121"/>
    <col min="15111" max="15111" width="13.140625" style="121" customWidth="1"/>
    <col min="15112" max="15112" width="12.5703125" style="121" customWidth="1"/>
    <col min="15113" max="15113" width="15.5703125" style="121" customWidth="1"/>
    <col min="15114" max="15114" width="16" style="121" customWidth="1"/>
    <col min="15115" max="15361" width="9.140625" style="121"/>
    <col min="15362" max="15362" width="16.140625" style="121" customWidth="1"/>
    <col min="15363" max="15363" width="15.140625" style="121" customWidth="1"/>
    <col min="15364" max="15364" width="40.5703125" style="121" customWidth="1"/>
    <col min="15365" max="15365" width="18.140625" style="121" bestFit="1" customWidth="1"/>
    <col min="15366" max="15366" width="9.140625" style="121"/>
    <col min="15367" max="15367" width="13.140625" style="121" customWidth="1"/>
    <col min="15368" max="15368" width="12.5703125" style="121" customWidth="1"/>
    <col min="15369" max="15369" width="15.5703125" style="121" customWidth="1"/>
    <col min="15370" max="15370" width="16" style="121" customWidth="1"/>
    <col min="15371" max="15617" width="9.140625" style="121"/>
    <col min="15618" max="15618" width="16.140625" style="121" customWidth="1"/>
    <col min="15619" max="15619" width="15.140625" style="121" customWidth="1"/>
    <col min="15620" max="15620" width="40.5703125" style="121" customWidth="1"/>
    <col min="15621" max="15621" width="18.140625" style="121" bestFit="1" customWidth="1"/>
    <col min="15622" max="15622" width="9.140625" style="121"/>
    <col min="15623" max="15623" width="13.140625" style="121" customWidth="1"/>
    <col min="15624" max="15624" width="12.5703125" style="121" customWidth="1"/>
    <col min="15625" max="15625" width="15.5703125" style="121" customWidth="1"/>
    <col min="15626" max="15626" width="16" style="121" customWidth="1"/>
    <col min="15627" max="15873" width="9.140625" style="121"/>
    <col min="15874" max="15874" width="16.140625" style="121" customWidth="1"/>
    <col min="15875" max="15875" width="15.140625" style="121" customWidth="1"/>
    <col min="15876" max="15876" width="40.5703125" style="121" customWidth="1"/>
    <col min="15877" max="15877" width="18.140625" style="121" bestFit="1" customWidth="1"/>
    <col min="15878" max="15878" width="9.140625" style="121"/>
    <col min="15879" max="15879" width="13.140625" style="121" customWidth="1"/>
    <col min="15880" max="15880" width="12.5703125" style="121" customWidth="1"/>
    <col min="15881" max="15881" width="15.5703125" style="121" customWidth="1"/>
    <col min="15882" max="15882" width="16" style="121" customWidth="1"/>
    <col min="15883" max="16129" width="9.140625" style="121"/>
    <col min="16130" max="16130" width="16.140625" style="121" customWidth="1"/>
    <col min="16131" max="16131" width="15.140625" style="121" customWidth="1"/>
    <col min="16132" max="16132" width="40.5703125" style="121" customWidth="1"/>
    <col min="16133" max="16133" width="18.140625" style="121" bestFit="1" customWidth="1"/>
    <col min="16134" max="16134" width="9.140625" style="121"/>
    <col min="16135" max="16135" width="13.140625" style="121" customWidth="1"/>
    <col min="16136" max="16136" width="12.5703125" style="121" customWidth="1"/>
    <col min="16137" max="16137" width="15.5703125" style="121" customWidth="1"/>
    <col min="16138" max="16138" width="16" style="121" customWidth="1"/>
    <col min="16139" max="16384" width="9.140625" style="121"/>
  </cols>
  <sheetData>
    <row r="1" spans="2:13" ht="15.75" x14ac:dyDescent="0.25">
      <c r="B1" s="629"/>
      <c r="C1" s="630"/>
      <c r="D1" s="752" t="s">
        <v>0</v>
      </c>
      <c r="E1" s="611"/>
      <c r="F1" s="611"/>
      <c r="G1" s="611"/>
      <c r="H1" s="611"/>
      <c r="I1" s="122" t="s">
        <v>1</v>
      </c>
      <c r="J1" s="123" t="s">
        <v>441</v>
      </c>
    </row>
    <row r="2" spans="2:13" ht="16.5" thickBot="1" x14ac:dyDescent="0.3">
      <c r="B2" s="631"/>
      <c r="C2" s="632"/>
      <c r="D2" s="753" t="s">
        <v>2</v>
      </c>
      <c r="E2" s="612"/>
      <c r="F2" s="612"/>
      <c r="G2" s="612"/>
      <c r="H2" s="612"/>
      <c r="I2" s="124" t="s">
        <v>3</v>
      </c>
      <c r="J2" s="125" t="s">
        <v>442</v>
      </c>
    </row>
    <row r="3" spans="2:13" ht="18.75" thickBot="1" x14ac:dyDescent="0.3">
      <c r="B3" s="631"/>
      <c r="C3" s="632"/>
      <c r="D3" s="666" t="s">
        <v>443</v>
      </c>
      <c r="E3" s="667"/>
      <c r="F3" s="667"/>
      <c r="G3" s="667"/>
      <c r="H3" s="668"/>
      <c r="I3" s="616" t="s">
        <v>4</v>
      </c>
      <c r="J3" s="606">
        <v>45400</v>
      </c>
    </row>
    <row r="4" spans="2:13" x14ac:dyDescent="0.25">
      <c r="B4" s="631"/>
      <c r="C4" s="632"/>
      <c r="D4" s="435" t="s">
        <v>5</v>
      </c>
      <c r="E4" s="659" t="s">
        <v>291</v>
      </c>
      <c r="F4" s="660"/>
      <c r="G4" s="660"/>
      <c r="H4" s="661"/>
      <c r="I4" s="617"/>
      <c r="J4" s="607"/>
    </row>
    <row r="5" spans="2:13" ht="14.25" thickBot="1" x14ac:dyDescent="0.3">
      <c r="B5" s="633"/>
      <c r="C5" s="634"/>
      <c r="D5" s="436" t="s">
        <v>6</v>
      </c>
      <c r="E5" s="662" t="s">
        <v>256</v>
      </c>
      <c r="F5" s="663"/>
      <c r="G5" s="663"/>
      <c r="H5" s="664"/>
      <c r="I5" s="618"/>
      <c r="J5" s="607"/>
    </row>
    <row r="6" spans="2:13" ht="25.5" x14ac:dyDescent="0.25">
      <c r="B6" s="669" t="s">
        <v>9</v>
      </c>
      <c r="C6" s="671" t="s">
        <v>32</v>
      </c>
      <c r="D6" s="665" t="s">
        <v>10</v>
      </c>
      <c r="E6" s="665" t="s">
        <v>11</v>
      </c>
      <c r="F6" s="665" t="s">
        <v>12</v>
      </c>
      <c r="G6" s="665"/>
      <c r="H6" s="665" t="s">
        <v>13</v>
      </c>
      <c r="I6" s="665"/>
      <c r="J6" s="322" t="s">
        <v>14</v>
      </c>
    </row>
    <row r="7" spans="2:13" ht="27" thickBot="1" x14ac:dyDescent="0.3">
      <c r="B7" s="670"/>
      <c r="C7" s="672"/>
      <c r="D7" s="673"/>
      <c r="E7" s="673"/>
      <c r="F7" s="127" t="s">
        <v>15</v>
      </c>
      <c r="G7" s="128" t="s">
        <v>16</v>
      </c>
      <c r="H7" s="127" t="s">
        <v>15</v>
      </c>
      <c r="I7" s="128" t="s">
        <v>16</v>
      </c>
      <c r="J7" s="525" t="s">
        <v>17</v>
      </c>
    </row>
    <row r="8" spans="2:13" ht="15.75" x14ac:dyDescent="0.25">
      <c r="B8" s="526"/>
      <c r="C8" s="527"/>
      <c r="D8" s="327"/>
      <c r="E8" s="528"/>
      <c r="F8" s="334"/>
      <c r="G8" s="334"/>
      <c r="H8" s="139"/>
      <c r="I8" s="18"/>
      <c r="J8" s="529"/>
    </row>
    <row r="9" spans="2:13" ht="15.75" x14ac:dyDescent="0.25">
      <c r="B9" s="326" t="s">
        <v>444</v>
      </c>
      <c r="C9" s="326" t="s">
        <v>445</v>
      </c>
      <c r="D9" s="327" t="s">
        <v>446</v>
      </c>
      <c r="E9" s="528" t="s">
        <v>447</v>
      </c>
      <c r="F9" s="334">
        <v>22000</v>
      </c>
      <c r="G9" s="334" t="s">
        <v>19</v>
      </c>
      <c r="H9" s="139"/>
      <c r="I9" s="18"/>
      <c r="J9" s="529"/>
      <c r="K9" s="121">
        <f>+F9/40.7</f>
        <v>540.54054054054052</v>
      </c>
    </row>
    <row r="10" spans="2:13" ht="15.75" x14ac:dyDescent="0.25">
      <c r="B10" s="326" t="s">
        <v>225</v>
      </c>
      <c r="C10" s="326" t="s">
        <v>133</v>
      </c>
      <c r="D10" s="327" t="s">
        <v>448</v>
      </c>
      <c r="E10" s="528" t="s">
        <v>449</v>
      </c>
      <c r="F10" s="334">
        <v>20000</v>
      </c>
      <c r="G10" s="334" t="s">
        <v>19</v>
      </c>
      <c r="H10" s="139"/>
      <c r="I10" s="18"/>
      <c r="J10" s="529"/>
      <c r="K10" s="121">
        <f>+F10/40.7</f>
        <v>491.40049140049138</v>
      </c>
    </row>
    <row r="11" spans="2:13" ht="15.75" x14ac:dyDescent="0.25">
      <c r="B11" s="326"/>
      <c r="C11" s="326"/>
      <c r="D11" s="327"/>
      <c r="E11" s="528"/>
      <c r="F11" s="334"/>
      <c r="G11" s="334"/>
      <c r="H11" s="139"/>
      <c r="I11" s="18"/>
      <c r="J11" s="529"/>
      <c r="K11" s="121">
        <f>+F11/40.7</f>
        <v>0</v>
      </c>
    </row>
    <row r="12" spans="2:13" ht="15.75" x14ac:dyDescent="0.25">
      <c r="B12" s="326" t="s">
        <v>229</v>
      </c>
      <c r="C12" s="326" t="s">
        <v>48</v>
      </c>
      <c r="D12" s="327" t="s">
        <v>450</v>
      </c>
      <c r="E12" s="334" t="s">
        <v>57</v>
      </c>
      <c r="F12" s="334">
        <v>1</v>
      </c>
      <c r="G12" s="334" t="s">
        <v>21</v>
      </c>
      <c r="H12" s="139"/>
      <c r="I12" s="18"/>
      <c r="J12" s="529"/>
      <c r="K12" s="121">
        <f>+F12/40.7</f>
        <v>2.4570024570024569E-2</v>
      </c>
    </row>
    <row r="13" spans="2:13" ht="15" x14ac:dyDescent="0.25">
      <c r="B13" s="530"/>
      <c r="C13" s="531"/>
      <c r="D13" s="532"/>
      <c r="E13" s="472"/>
      <c r="F13" s="140"/>
      <c r="G13" s="140"/>
      <c r="H13" s="140"/>
      <c r="I13" s="140"/>
      <c r="J13" s="141"/>
    </row>
    <row r="14" spans="2:13" ht="14.25" thickBot="1" x14ac:dyDescent="0.3">
      <c r="B14" s="149"/>
      <c r="C14" s="150"/>
      <c r="F14" s="151"/>
      <c r="G14" s="152"/>
      <c r="J14" s="153"/>
      <c r="M14" s="154"/>
    </row>
    <row r="15" spans="2:13" ht="14.25" thickBot="1" x14ac:dyDescent="0.3">
      <c r="B15" s="155"/>
      <c r="C15" s="156"/>
      <c r="D15" s="157"/>
      <c r="E15" s="158" t="s">
        <v>15</v>
      </c>
      <c r="F15" s="159" t="s">
        <v>22</v>
      </c>
      <c r="G15" s="160"/>
      <c r="H15" s="157"/>
      <c r="I15" s="157"/>
      <c r="J15" s="161"/>
      <c r="M15" s="154"/>
    </row>
    <row r="16" spans="2:13" x14ac:dyDescent="0.25">
      <c r="B16" s="674" t="s">
        <v>23</v>
      </c>
      <c r="C16" s="675"/>
      <c r="D16" s="676"/>
      <c r="E16" s="19">
        <v>40700</v>
      </c>
      <c r="F16" s="162" t="s">
        <v>19</v>
      </c>
      <c r="G16" s="677" t="s">
        <v>33</v>
      </c>
      <c r="H16" s="677"/>
      <c r="I16" s="678"/>
      <c r="J16" s="679"/>
      <c r="M16" s="154"/>
    </row>
    <row r="17" spans="2:14" x14ac:dyDescent="0.25">
      <c r="B17" s="578" t="s">
        <v>24</v>
      </c>
      <c r="C17" s="579"/>
      <c r="D17" s="580"/>
      <c r="E17" s="163">
        <v>30</v>
      </c>
      <c r="F17" s="18" t="s">
        <v>280</v>
      </c>
      <c r="G17" s="581" t="s">
        <v>34</v>
      </c>
      <c r="H17" s="581"/>
      <c r="I17" s="582"/>
      <c r="J17" s="583"/>
      <c r="L17" s="121">
        <f>30/40.7</f>
        <v>0.73710073710073709</v>
      </c>
      <c r="M17" s="154"/>
    </row>
    <row r="18" spans="2:14" x14ac:dyDescent="0.25">
      <c r="B18" s="578" t="s">
        <v>26</v>
      </c>
      <c r="C18" s="579"/>
      <c r="D18" s="580"/>
      <c r="E18" s="18">
        <v>1</v>
      </c>
      <c r="F18" s="18" t="s">
        <v>316</v>
      </c>
      <c r="G18" s="581" t="s">
        <v>35</v>
      </c>
      <c r="H18" s="581"/>
      <c r="I18" s="582"/>
      <c r="J18" s="583"/>
      <c r="M18" s="154"/>
    </row>
    <row r="19" spans="2:14" x14ac:dyDescent="0.25">
      <c r="B19" s="578" t="s">
        <v>27</v>
      </c>
      <c r="C19" s="579"/>
      <c r="D19" s="580"/>
      <c r="E19" s="139">
        <f>E16</f>
        <v>40700</v>
      </c>
      <c r="F19" s="18" t="s">
        <v>19</v>
      </c>
      <c r="G19" s="680" t="s">
        <v>36</v>
      </c>
      <c r="H19" s="681"/>
      <c r="I19" s="582"/>
      <c r="J19" s="583"/>
      <c r="M19" s="154"/>
      <c r="N19" s="164"/>
    </row>
    <row r="20" spans="2:14" ht="14.25" thickBot="1" x14ac:dyDescent="0.3">
      <c r="B20" s="685" t="s">
        <v>28</v>
      </c>
      <c r="C20" s="644"/>
      <c r="D20" s="686"/>
      <c r="E20" s="165">
        <f>SUM(F9:F10)-E16</f>
        <v>1300</v>
      </c>
      <c r="F20" s="166" t="s">
        <v>19</v>
      </c>
      <c r="G20" s="645"/>
      <c r="H20" s="645"/>
      <c r="I20" s="646"/>
      <c r="J20" s="647"/>
      <c r="M20" s="154"/>
    </row>
    <row r="21" spans="2:14" ht="14.25" thickBot="1" x14ac:dyDescent="0.3">
      <c r="B21" s="682" t="s">
        <v>29</v>
      </c>
      <c r="C21" s="683"/>
      <c r="D21" s="683"/>
      <c r="E21" s="683"/>
      <c r="F21" s="683"/>
      <c r="G21" s="683"/>
      <c r="H21" s="683"/>
      <c r="I21" s="683"/>
      <c r="J21" s="684"/>
    </row>
    <row r="22" spans="2:14" ht="16.5" customHeight="1" x14ac:dyDescent="0.25">
      <c r="B22" s="823" t="s">
        <v>451</v>
      </c>
      <c r="C22" s="824"/>
      <c r="D22" s="824"/>
      <c r="E22" s="824"/>
      <c r="F22" s="824"/>
      <c r="G22" s="824"/>
      <c r="H22" s="824"/>
      <c r="I22" s="824"/>
      <c r="J22" s="825"/>
    </row>
    <row r="23" spans="2:14" ht="16.5" customHeight="1" x14ac:dyDescent="0.25">
      <c r="B23" s="820" t="s">
        <v>452</v>
      </c>
      <c r="C23" s="821"/>
      <c r="D23" s="821"/>
      <c r="E23" s="821"/>
      <c r="F23" s="821"/>
      <c r="G23" s="821"/>
      <c r="H23" s="821"/>
      <c r="I23" s="821"/>
      <c r="J23" s="822"/>
    </row>
    <row r="24" spans="2:14" ht="15.75" x14ac:dyDescent="0.25">
      <c r="B24" s="829" t="s">
        <v>453</v>
      </c>
      <c r="C24" s="830"/>
      <c r="D24" s="830"/>
      <c r="E24" s="830"/>
      <c r="F24" s="830"/>
      <c r="G24" s="830"/>
      <c r="H24" s="830"/>
      <c r="I24" s="830"/>
      <c r="J24" s="831"/>
    </row>
    <row r="25" spans="2:14" ht="16.5" thickBot="1" x14ac:dyDescent="0.3">
      <c r="B25" s="826" t="s">
        <v>454</v>
      </c>
      <c r="C25" s="827"/>
      <c r="D25" s="827"/>
      <c r="E25" s="827"/>
      <c r="F25" s="827"/>
      <c r="G25" s="827"/>
      <c r="H25" s="827"/>
      <c r="I25" s="827"/>
      <c r="J25" s="828"/>
    </row>
    <row r="26" spans="2:14" ht="14.25" thickBot="1" x14ac:dyDescent="0.3">
      <c r="B26" s="323"/>
      <c r="C26" s="323"/>
      <c r="D26" s="323"/>
    </row>
    <row r="27" spans="2:14" ht="14.25" thickBot="1" x14ac:dyDescent="0.3">
      <c r="B27" s="682" t="s">
        <v>455</v>
      </c>
      <c r="C27" s="683"/>
      <c r="D27" s="683"/>
      <c r="E27" s="683"/>
      <c r="F27" s="683"/>
      <c r="G27" s="683"/>
      <c r="H27" s="683"/>
      <c r="I27" s="683"/>
      <c r="J27" s="684"/>
    </row>
    <row r="28" spans="2:14" ht="15" x14ac:dyDescent="0.25">
      <c r="B28" s="823" t="s">
        <v>456</v>
      </c>
      <c r="C28" s="824"/>
      <c r="D28" s="824"/>
      <c r="E28" s="824"/>
      <c r="F28" s="824"/>
      <c r="G28" s="824"/>
      <c r="H28" s="824"/>
      <c r="I28" s="824"/>
      <c r="J28" s="825"/>
    </row>
    <row r="29" spans="2:14" ht="15" x14ac:dyDescent="0.25">
      <c r="B29" s="820"/>
      <c r="C29" s="821"/>
      <c r="D29" s="821"/>
      <c r="E29" s="821"/>
      <c r="F29" s="821"/>
      <c r="G29" s="821"/>
      <c r="H29" s="821"/>
      <c r="I29" s="821"/>
      <c r="J29" s="822"/>
    </row>
    <row r="30" spans="2:14" ht="15.75" x14ac:dyDescent="0.25">
      <c r="B30" s="829"/>
      <c r="C30" s="830"/>
      <c r="D30" s="830"/>
      <c r="E30" s="830"/>
      <c r="F30" s="830"/>
      <c r="G30" s="830"/>
      <c r="H30" s="830"/>
      <c r="I30" s="830"/>
      <c r="J30" s="831"/>
    </row>
    <row r="31" spans="2:14" ht="16.5" thickBot="1" x14ac:dyDescent="0.3">
      <c r="B31" s="826"/>
      <c r="C31" s="827"/>
      <c r="D31" s="827"/>
      <c r="E31" s="827"/>
      <c r="F31" s="827"/>
      <c r="G31" s="827"/>
      <c r="H31" s="827"/>
      <c r="I31" s="827"/>
      <c r="J31" s="828"/>
    </row>
  </sheetData>
  <mergeCells count="39">
    <mergeCell ref="B31:J31"/>
    <mergeCell ref="B24:J24"/>
    <mergeCell ref="B25:J25"/>
    <mergeCell ref="B27:J27"/>
    <mergeCell ref="B28:J28"/>
    <mergeCell ref="B29:J29"/>
    <mergeCell ref="B30:J30"/>
    <mergeCell ref="B23:J23"/>
    <mergeCell ref="B18:D18"/>
    <mergeCell ref="G18:H18"/>
    <mergeCell ref="I18:J18"/>
    <mergeCell ref="B19:D19"/>
    <mergeCell ref="G19:H19"/>
    <mergeCell ref="I19:J19"/>
    <mergeCell ref="B20:D20"/>
    <mergeCell ref="G20:H20"/>
    <mergeCell ref="I20:J20"/>
    <mergeCell ref="B21:J21"/>
    <mergeCell ref="B22:J22"/>
    <mergeCell ref="B16:D16"/>
    <mergeCell ref="G16:H16"/>
    <mergeCell ref="I16:J16"/>
    <mergeCell ref="B17:D17"/>
    <mergeCell ref="G17:H17"/>
    <mergeCell ref="I17:J17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6C30-F43F-4D28-A681-2A23AA06A00C}">
  <dimension ref="A1:N30"/>
  <sheetViews>
    <sheetView workbookViewId="0">
      <selection activeCell="C8" sqref="C8"/>
    </sheetView>
  </sheetViews>
  <sheetFormatPr baseColWidth="10" defaultColWidth="11.42578125" defaultRowHeight="13.5" x14ac:dyDescent="0.25"/>
  <cols>
    <col min="1" max="1" width="11.42578125" style="121"/>
    <col min="2" max="2" width="16.140625" style="121" customWidth="1"/>
    <col min="3" max="3" width="13.42578125" style="121" customWidth="1"/>
    <col min="4" max="4" width="45.140625" style="121" customWidth="1"/>
    <col min="5" max="5" width="15.7109375" style="121" customWidth="1"/>
    <col min="6" max="6" width="11.42578125" style="121"/>
    <col min="7" max="7" width="12.140625" style="121" customWidth="1"/>
    <col min="8" max="8" width="12" style="121" customWidth="1"/>
    <col min="9" max="9" width="14.28515625" style="121" customWidth="1"/>
    <col min="10" max="10" width="16" style="121" customWidth="1"/>
    <col min="11" max="16384" width="11.42578125" style="121"/>
  </cols>
  <sheetData>
    <row r="1" spans="1:13" ht="15.75" x14ac:dyDescent="0.25">
      <c r="B1" s="629"/>
      <c r="C1" s="630"/>
      <c r="D1" s="611" t="s">
        <v>0</v>
      </c>
      <c r="E1" s="611"/>
      <c r="F1" s="611"/>
      <c r="G1" s="611"/>
      <c r="H1" s="611"/>
      <c r="I1" s="122" t="s">
        <v>1</v>
      </c>
      <c r="J1" s="123" t="s">
        <v>457</v>
      </c>
    </row>
    <row r="2" spans="1:13" ht="16.5" thickBot="1" x14ac:dyDescent="0.3">
      <c r="B2" s="631"/>
      <c r="C2" s="632"/>
      <c r="D2" s="612" t="s">
        <v>2</v>
      </c>
      <c r="E2" s="612"/>
      <c r="F2" s="612"/>
      <c r="G2" s="612"/>
      <c r="H2" s="612"/>
      <c r="I2" s="124" t="s">
        <v>3</v>
      </c>
      <c r="J2" s="125" t="s">
        <v>458</v>
      </c>
    </row>
    <row r="3" spans="1:13" ht="18.75" thickBot="1" x14ac:dyDescent="0.3">
      <c r="B3" s="631"/>
      <c r="C3" s="632"/>
      <c r="D3" s="666" t="s">
        <v>459</v>
      </c>
      <c r="E3" s="667"/>
      <c r="F3" s="667"/>
      <c r="G3" s="667"/>
      <c r="H3" s="668"/>
      <c r="I3" s="616" t="s">
        <v>4</v>
      </c>
      <c r="J3" s="606">
        <v>45513</v>
      </c>
    </row>
    <row r="4" spans="1:13" x14ac:dyDescent="0.25">
      <c r="B4" s="631"/>
      <c r="C4" s="632"/>
      <c r="D4" s="126" t="s">
        <v>5</v>
      </c>
      <c r="E4" s="659" t="s">
        <v>291</v>
      </c>
      <c r="F4" s="660"/>
      <c r="G4" s="660"/>
      <c r="H4" s="661"/>
      <c r="I4" s="617"/>
      <c r="J4" s="607"/>
    </row>
    <row r="5" spans="1:13" ht="14.25" thickBot="1" x14ac:dyDescent="0.3">
      <c r="B5" s="633"/>
      <c r="C5" s="634"/>
      <c r="D5" s="321" t="s">
        <v>6</v>
      </c>
      <c r="E5" s="662" t="s">
        <v>31</v>
      </c>
      <c r="F5" s="663"/>
      <c r="G5" s="663"/>
      <c r="H5" s="664"/>
      <c r="I5" s="618"/>
      <c r="J5" s="607"/>
    </row>
    <row r="6" spans="1:13" ht="25.5" x14ac:dyDescent="0.25">
      <c r="B6" s="669" t="s">
        <v>9</v>
      </c>
      <c r="C6" s="671" t="s">
        <v>32</v>
      </c>
      <c r="D6" s="665" t="s">
        <v>10</v>
      </c>
      <c r="E6" s="665" t="s">
        <v>11</v>
      </c>
      <c r="F6" s="665" t="s">
        <v>12</v>
      </c>
      <c r="G6" s="665"/>
      <c r="H6" s="665" t="s">
        <v>13</v>
      </c>
      <c r="I6" s="665"/>
      <c r="J6" s="322" t="s">
        <v>14</v>
      </c>
    </row>
    <row r="7" spans="1:13" ht="27" thickBot="1" x14ac:dyDescent="0.3">
      <c r="B7" s="832"/>
      <c r="C7" s="833"/>
      <c r="D7" s="639"/>
      <c r="E7" s="673"/>
      <c r="F7" s="127" t="s">
        <v>15</v>
      </c>
      <c r="G7" s="128" t="s">
        <v>16</v>
      </c>
      <c r="H7" s="127" t="s">
        <v>15</v>
      </c>
      <c r="I7" s="128" t="s">
        <v>16</v>
      </c>
      <c r="J7" s="129" t="s">
        <v>17</v>
      </c>
    </row>
    <row r="8" spans="1:13" ht="15.75" x14ac:dyDescent="0.25">
      <c r="B8" s="305">
        <v>95717</v>
      </c>
      <c r="C8" s="305" t="s">
        <v>460</v>
      </c>
      <c r="D8" t="s">
        <v>461</v>
      </c>
      <c r="E8" s="138" t="s">
        <v>18</v>
      </c>
      <c r="F8" s="18">
        <v>16580</v>
      </c>
      <c r="G8" s="337" t="s">
        <v>19</v>
      </c>
      <c r="H8" s="533">
        <f>F8/20.8</f>
        <v>797.11538461538464</v>
      </c>
      <c r="I8" s="334"/>
      <c r="J8" s="342"/>
    </row>
    <row r="9" spans="1:13" ht="15.75" x14ac:dyDescent="0.25">
      <c r="A9" s="121">
        <v>104000001</v>
      </c>
      <c r="B9" s="143">
        <v>10400008</v>
      </c>
      <c r="C9" s="143" t="s">
        <v>462</v>
      </c>
      <c r="D9" s="144" t="s">
        <v>463</v>
      </c>
      <c r="E9" s="464" t="s">
        <v>464</v>
      </c>
      <c r="F9" s="332">
        <v>7</v>
      </c>
      <c r="G9" s="337" t="s">
        <v>19</v>
      </c>
      <c r="H9" s="533">
        <f t="shared" ref="H9:H10" si="0">F9/20.8</f>
        <v>0.33653846153846151</v>
      </c>
      <c r="I9" s="834"/>
      <c r="J9" s="835"/>
    </row>
    <row r="10" spans="1:13" ht="15.75" x14ac:dyDescent="0.25">
      <c r="B10" s="326" t="s">
        <v>229</v>
      </c>
      <c r="C10" s="326" t="s">
        <v>48</v>
      </c>
      <c r="D10" s="327" t="s">
        <v>450</v>
      </c>
      <c r="E10" s="335" t="s">
        <v>465</v>
      </c>
      <c r="F10" s="340">
        <v>1</v>
      </c>
      <c r="G10" s="337" t="s">
        <v>21</v>
      </c>
      <c r="H10" s="533">
        <f t="shared" si="0"/>
        <v>4.8076923076923073E-2</v>
      </c>
      <c r="I10" s="335"/>
      <c r="J10" s="342"/>
    </row>
    <row r="11" spans="1:13" ht="15.75" x14ac:dyDescent="0.25">
      <c r="B11" s="534"/>
      <c r="C11" s="535"/>
      <c r="D11" s="532"/>
      <c r="E11" s="472"/>
      <c r="F11" s="140"/>
      <c r="G11" s="140"/>
      <c r="H11" s="536"/>
      <c r="I11" s="140"/>
      <c r="J11" s="141"/>
    </row>
    <row r="12" spans="1:13" ht="14.25" thickBot="1" x14ac:dyDescent="0.3">
      <c r="B12" s="149"/>
      <c r="C12" s="150"/>
      <c r="F12" s="151"/>
      <c r="G12" s="152"/>
      <c r="J12" s="153"/>
      <c r="M12" s="154"/>
    </row>
    <row r="13" spans="1:13" ht="14.25" thickBot="1" x14ac:dyDescent="0.3">
      <c r="B13" s="155"/>
      <c r="C13" s="156"/>
      <c r="D13" s="157"/>
      <c r="E13" s="158" t="s">
        <v>15</v>
      </c>
      <c r="F13" s="159" t="s">
        <v>22</v>
      </c>
      <c r="G13" s="160"/>
      <c r="H13" s="157"/>
      <c r="I13" s="157"/>
      <c r="J13" s="161"/>
      <c r="M13" s="154"/>
    </row>
    <row r="14" spans="1:13" x14ac:dyDescent="0.25">
      <c r="B14" s="674" t="s">
        <v>23</v>
      </c>
      <c r="C14" s="675"/>
      <c r="D14" s="676"/>
      <c r="E14" s="19">
        <v>16580</v>
      </c>
      <c r="F14" s="162" t="s">
        <v>19</v>
      </c>
      <c r="G14" s="677" t="s">
        <v>33</v>
      </c>
      <c r="H14" s="677"/>
      <c r="I14" s="678"/>
      <c r="J14" s="679"/>
      <c r="M14" s="154"/>
    </row>
    <row r="15" spans="1:13" x14ac:dyDescent="0.25">
      <c r="B15" s="578" t="s">
        <v>24</v>
      </c>
      <c r="C15" s="579"/>
      <c r="D15" s="580"/>
      <c r="E15" s="18">
        <v>2</v>
      </c>
      <c r="F15" s="18" t="s">
        <v>299</v>
      </c>
      <c r="G15" s="581" t="s">
        <v>34</v>
      </c>
      <c r="H15" s="581"/>
      <c r="I15" s="582"/>
      <c r="J15" s="583"/>
      <c r="M15" s="154"/>
    </row>
    <row r="16" spans="1:13" x14ac:dyDescent="0.25">
      <c r="B16" s="578" t="s">
        <v>26</v>
      </c>
      <c r="C16" s="579"/>
      <c r="D16" s="580"/>
      <c r="E16" s="18">
        <v>1</v>
      </c>
      <c r="F16" s="18" t="s">
        <v>316</v>
      </c>
      <c r="G16" s="581" t="s">
        <v>35</v>
      </c>
      <c r="H16" s="581"/>
      <c r="I16" s="582"/>
      <c r="J16" s="583"/>
      <c r="M16" s="154"/>
    </row>
    <row r="17" spans="2:14" x14ac:dyDescent="0.25">
      <c r="B17" s="578" t="s">
        <v>300</v>
      </c>
      <c r="C17" s="579"/>
      <c r="D17" s="580"/>
      <c r="E17" s="139">
        <f>+E14</f>
        <v>16580</v>
      </c>
      <c r="F17" s="18" t="s">
        <v>19</v>
      </c>
      <c r="G17" s="680" t="s">
        <v>36</v>
      </c>
      <c r="H17" s="681"/>
      <c r="I17" s="582"/>
      <c r="J17" s="583"/>
      <c r="M17" s="154"/>
      <c r="N17" s="164"/>
    </row>
    <row r="18" spans="2:14" ht="14.25" thickBot="1" x14ac:dyDescent="0.3">
      <c r="B18" s="685" t="s">
        <v>28</v>
      </c>
      <c r="C18" s="644"/>
      <c r="D18" s="686"/>
      <c r="E18" s="537">
        <f>SUM(F8:F10)-E14</f>
        <v>8</v>
      </c>
      <c r="F18" s="166" t="s">
        <v>19</v>
      </c>
      <c r="G18" s="645"/>
      <c r="H18" s="645"/>
      <c r="I18" s="646"/>
      <c r="J18" s="647"/>
      <c r="M18" s="154"/>
    </row>
    <row r="19" spans="2:14" x14ac:dyDescent="0.25">
      <c r="B19" s="836" t="s">
        <v>29</v>
      </c>
      <c r="C19" s="837"/>
      <c r="D19" s="837"/>
      <c r="E19" s="837"/>
      <c r="F19" s="837"/>
      <c r="G19" s="837"/>
      <c r="H19" s="837"/>
      <c r="I19" s="837"/>
      <c r="J19" s="838"/>
    </row>
    <row r="20" spans="2:14" ht="16.5" customHeight="1" x14ac:dyDescent="0.25">
      <c r="B20" s="754" t="s">
        <v>466</v>
      </c>
      <c r="C20" s="755"/>
      <c r="D20" s="755"/>
      <c r="E20" s="755"/>
      <c r="F20" s="755"/>
      <c r="G20" s="755"/>
      <c r="H20" s="755"/>
      <c r="I20" s="755"/>
      <c r="J20" s="756"/>
    </row>
    <row r="21" spans="2:14" ht="16.5" customHeight="1" x14ac:dyDescent="0.25">
      <c r="B21" s="754" t="s">
        <v>467</v>
      </c>
      <c r="C21" s="755"/>
      <c r="D21" s="755"/>
      <c r="E21" s="755"/>
      <c r="F21" s="755"/>
      <c r="G21" s="755"/>
      <c r="H21" s="755"/>
      <c r="I21" s="755"/>
      <c r="J21" s="756"/>
    </row>
    <row r="22" spans="2:14" x14ac:dyDescent="0.25">
      <c r="B22" s="594"/>
      <c r="C22" s="595"/>
      <c r="D22" s="596"/>
      <c r="E22" s="596"/>
      <c r="F22" s="596"/>
      <c r="G22" s="596"/>
      <c r="H22" s="596"/>
      <c r="I22" s="596"/>
      <c r="J22" s="597"/>
    </row>
    <row r="23" spans="2:14" x14ac:dyDescent="0.25">
      <c r="B23" s="839"/>
      <c r="C23" s="840"/>
      <c r="D23" s="841"/>
      <c r="E23" s="841"/>
      <c r="F23" s="841"/>
      <c r="G23" s="841"/>
      <c r="H23" s="841"/>
      <c r="I23" s="841"/>
      <c r="J23" s="842"/>
    </row>
    <row r="24" spans="2:14" x14ac:dyDescent="0.25">
      <c r="B24" s="594"/>
      <c r="C24" s="595"/>
      <c r="D24" s="596"/>
      <c r="E24" s="596"/>
      <c r="F24" s="596"/>
      <c r="G24" s="596"/>
      <c r="H24" s="596"/>
      <c r="I24" s="596"/>
      <c r="J24" s="597"/>
    </row>
    <row r="25" spans="2:14" x14ac:dyDescent="0.25">
      <c r="B25" s="843" t="s">
        <v>436</v>
      </c>
      <c r="C25" s="844"/>
      <c r="D25" s="845"/>
      <c r="E25" s="845"/>
      <c r="F25" s="845"/>
      <c r="G25" s="845"/>
      <c r="H25" s="845"/>
      <c r="I25" s="845"/>
      <c r="J25" s="846"/>
    </row>
    <row r="26" spans="2:14" ht="14.25" thickBot="1" x14ac:dyDescent="0.3">
      <c r="B26" s="648" t="s">
        <v>468</v>
      </c>
      <c r="C26" s="649"/>
      <c r="D26" s="650"/>
      <c r="E26" s="650"/>
      <c r="F26" s="650"/>
      <c r="G26" s="650"/>
      <c r="H26" s="650"/>
      <c r="I26" s="650"/>
      <c r="J26" s="651"/>
    </row>
    <row r="27" spans="2:14" ht="14.25" thickBot="1" x14ac:dyDescent="0.3">
      <c r="B27" s="648" t="s">
        <v>469</v>
      </c>
      <c r="C27" s="649"/>
      <c r="D27" s="650"/>
      <c r="E27" s="650"/>
      <c r="F27" s="650"/>
      <c r="G27" s="650"/>
      <c r="H27" s="650"/>
      <c r="I27" s="650"/>
      <c r="J27" s="651"/>
    </row>
    <row r="28" spans="2:14" x14ac:dyDescent="0.25">
      <c r="B28" s="323" t="s">
        <v>470</v>
      </c>
      <c r="C28" s="323"/>
      <c r="D28" s="323"/>
    </row>
    <row r="29" spans="2:14" x14ac:dyDescent="0.25">
      <c r="B29" s="121" t="s">
        <v>471</v>
      </c>
    </row>
    <row r="30" spans="2:14" x14ac:dyDescent="0.25">
      <c r="B30" s="121" t="s">
        <v>472</v>
      </c>
    </row>
  </sheetData>
  <mergeCells count="39">
    <mergeCell ref="B27:J27"/>
    <mergeCell ref="B18:D18"/>
    <mergeCell ref="G18:H18"/>
    <mergeCell ref="I18:J18"/>
    <mergeCell ref="B19:J19"/>
    <mergeCell ref="B20:J20"/>
    <mergeCell ref="B21:J21"/>
    <mergeCell ref="B22:J22"/>
    <mergeCell ref="B23:J23"/>
    <mergeCell ref="B24:J24"/>
    <mergeCell ref="B25:J25"/>
    <mergeCell ref="B26:J26"/>
    <mergeCell ref="B16:D16"/>
    <mergeCell ref="G16:H16"/>
    <mergeCell ref="I16:J16"/>
    <mergeCell ref="B17:D17"/>
    <mergeCell ref="G17:H17"/>
    <mergeCell ref="I17:J17"/>
    <mergeCell ref="I9:J9"/>
    <mergeCell ref="B14:D14"/>
    <mergeCell ref="G14:H14"/>
    <mergeCell ref="I14:J14"/>
    <mergeCell ref="B15:D15"/>
    <mergeCell ref="G15:H15"/>
    <mergeCell ref="I15:J15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1162-B24C-4151-B431-9238142D3996}">
  <dimension ref="A1:N43"/>
  <sheetViews>
    <sheetView workbookViewId="0">
      <selection activeCell="H21" sqref="H21"/>
    </sheetView>
  </sheetViews>
  <sheetFormatPr baseColWidth="10" defaultRowHeight="13.5" x14ac:dyDescent="0.25"/>
  <cols>
    <col min="1" max="1" width="11.42578125" style="121"/>
    <col min="2" max="2" width="16.140625" style="121" customWidth="1"/>
    <col min="3" max="3" width="13.140625" style="121" customWidth="1"/>
    <col min="4" max="4" width="40.5703125" style="121" customWidth="1"/>
    <col min="5" max="5" width="15.5703125" style="121" customWidth="1"/>
    <col min="6" max="6" width="11.42578125" style="121"/>
    <col min="7" max="7" width="13.140625" style="121" customWidth="1"/>
    <col min="8" max="8" width="12.5703125" style="121" customWidth="1"/>
    <col min="9" max="9" width="15.5703125" style="121" customWidth="1"/>
    <col min="10" max="10" width="16" style="121" customWidth="1"/>
    <col min="11" max="257" width="11.42578125" style="121"/>
    <col min="258" max="258" width="16.140625" style="121" customWidth="1"/>
    <col min="259" max="259" width="13.140625" style="121" customWidth="1"/>
    <col min="260" max="260" width="40.5703125" style="121" customWidth="1"/>
    <col min="261" max="261" width="15.5703125" style="121" customWidth="1"/>
    <col min="262" max="262" width="11.42578125" style="121"/>
    <col min="263" max="263" width="13.140625" style="121" customWidth="1"/>
    <col min="264" max="264" width="12.5703125" style="121" customWidth="1"/>
    <col min="265" max="265" width="15.5703125" style="121" customWidth="1"/>
    <col min="266" max="266" width="16" style="121" customWidth="1"/>
    <col min="267" max="513" width="11.42578125" style="121"/>
    <col min="514" max="514" width="16.140625" style="121" customWidth="1"/>
    <col min="515" max="515" width="13.140625" style="121" customWidth="1"/>
    <col min="516" max="516" width="40.5703125" style="121" customWidth="1"/>
    <col min="517" max="517" width="15.5703125" style="121" customWidth="1"/>
    <col min="518" max="518" width="11.42578125" style="121"/>
    <col min="519" max="519" width="13.140625" style="121" customWidth="1"/>
    <col min="520" max="520" width="12.5703125" style="121" customWidth="1"/>
    <col min="521" max="521" width="15.5703125" style="121" customWidth="1"/>
    <col min="522" max="522" width="16" style="121" customWidth="1"/>
    <col min="523" max="769" width="11.42578125" style="121"/>
    <col min="770" max="770" width="16.140625" style="121" customWidth="1"/>
    <col min="771" max="771" width="13.140625" style="121" customWidth="1"/>
    <col min="772" max="772" width="40.5703125" style="121" customWidth="1"/>
    <col min="773" max="773" width="15.5703125" style="121" customWidth="1"/>
    <col min="774" max="774" width="11.42578125" style="121"/>
    <col min="775" max="775" width="13.140625" style="121" customWidth="1"/>
    <col min="776" max="776" width="12.5703125" style="121" customWidth="1"/>
    <col min="777" max="777" width="15.5703125" style="121" customWidth="1"/>
    <col min="778" max="778" width="16" style="121" customWidth="1"/>
    <col min="779" max="1025" width="11.42578125" style="121"/>
    <col min="1026" max="1026" width="16.140625" style="121" customWidth="1"/>
    <col min="1027" max="1027" width="13.140625" style="121" customWidth="1"/>
    <col min="1028" max="1028" width="40.5703125" style="121" customWidth="1"/>
    <col min="1029" max="1029" width="15.5703125" style="121" customWidth="1"/>
    <col min="1030" max="1030" width="11.42578125" style="121"/>
    <col min="1031" max="1031" width="13.140625" style="121" customWidth="1"/>
    <col min="1032" max="1032" width="12.5703125" style="121" customWidth="1"/>
    <col min="1033" max="1033" width="15.5703125" style="121" customWidth="1"/>
    <col min="1034" max="1034" width="16" style="121" customWidth="1"/>
    <col min="1035" max="1281" width="11.42578125" style="121"/>
    <col min="1282" max="1282" width="16.140625" style="121" customWidth="1"/>
    <col min="1283" max="1283" width="13.140625" style="121" customWidth="1"/>
    <col min="1284" max="1284" width="40.5703125" style="121" customWidth="1"/>
    <col min="1285" max="1285" width="15.5703125" style="121" customWidth="1"/>
    <col min="1286" max="1286" width="11.42578125" style="121"/>
    <col min="1287" max="1287" width="13.140625" style="121" customWidth="1"/>
    <col min="1288" max="1288" width="12.5703125" style="121" customWidth="1"/>
    <col min="1289" max="1289" width="15.5703125" style="121" customWidth="1"/>
    <col min="1290" max="1290" width="16" style="121" customWidth="1"/>
    <col min="1291" max="1537" width="11.42578125" style="121"/>
    <col min="1538" max="1538" width="16.140625" style="121" customWidth="1"/>
    <col min="1539" max="1539" width="13.140625" style="121" customWidth="1"/>
    <col min="1540" max="1540" width="40.5703125" style="121" customWidth="1"/>
    <col min="1541" max="1541" width="15.5703125" style="121" customWidth="1"/>
    <col min="1542" max="1542" width="11.42578125" style="121"/>
    <col min="1543" max="1543" width="13.140625" style="121" customWidth="1"/>
    <col min="1544" max="1544" width="12.5703125" style="121" customWidth="1"/>
    <col min="1545" max="1545" width="15.5703125" style="121" customWidth="1"/>
    <col min="1546" max="1546" width="16" style="121" customWidth="1"/>
    <col min="1547" max="1793" width="11.42578125" style="121"/>
    <col min="1794" max="1794" width="16.140625" style="121" customWidth="1"/>
    <col min="1795" max="1795" width="13.140625" style="121" customWidth="1"/>
    <col min="1796" max="1796" width="40.5703125" style="121" customWidth="1"/>
    <col min="1797" max="1797" width="15.5703125" style="121" customWidth="1"/>
    <col min="1798" max="1798" width="11.42578125" style="121"/>
    <col min="1799" max="1799" width="13.140625" style="121" customWidth="1"/>
    <col min="1800" max="1800" width="12.5703125" style="121" customWidth="1"/>
    <col min="1801" max="1801" width="15.5703125" style="121" customWidth="1"/>
    <col min="1802" max="1802" width="16" style="121" customWidth="1"/>
    <col min="1803" max="2049" width="11.42578125" style="121"/>
    <col min="2050" max="2050" width="16.140625" style="121" customWidth="1"/>
    <col min="2051" max="2051" width="13.140625" style="121" customWidth="1"/>
    <col min="2052" max="2052" width="40.5703125" style="121" customWidth="1"/>
    <col min="2053" max="2053" width="15.5703125" style="121" customWidth="1"/>
    <col min="2054" max="2054" width="11.42578125" style="121"/>
    <col min="2055" max="2055" width="13.140625" style="121" customWidth="1"/>
    <col min="2056" max="2056" width="12.5703125" style="121" customWidth="1"/>
    <col min="2057" max="2057" width="15.5703125" style="121" customWidth="1"/>
    <col min="2058" max="2058" width="16" style="121" customWidth="1"/>
    <col min="2059" max="2305" width="11.42578125" style="121"/>
    <col min="2306" max="2306" width="16.140625" style="121" customWidth="1"/>
    <col min="2307" max="2307" width="13.140625" style="121" customWidth="1"/>
    <col min="2308" max="2308" width="40.5703125" style="121" customWidth="1"/>
    <col min="2309" max="2309" width="15.5703125" style="121" customWidth="1"/>
    <col min="2310" max="2310" width="11.42578125" style="121"/>
    <col min="2311" max="2311" width="13.140625" style="121" customWidth="1"/>
    <col min="2312" max="2312" width="12.5703125" style="121" customWidth="1"/>
    <col min="2313" max="2313" width="15.5703125" style="121" customWidth="1"/>
    <col min="2314" max="2314" width="16" style="121" customWidth="1"/>
    <col min="2315" max="2561" width="11.42578125" style="121"/>
    <col min="2562" max="2562" width="16.140625" style="121" customWidth="1"/>
    <col min="2563" max="2563" width="13.140625" style="121" customWidth="1"/>
    <col min="2564" max="2564" width="40.5703125" style="121" customWidth="1"/>
    <col min="2565" max="2565" width="15.5703125" style="121" customWidth="1"/>
    <col min="2566" max="2566" width="11.42578125" style="121"/>
    <col min="2567" max="2567" width="13.140625" style="121" customWidth="1"/>
    <col min="2568" max="2568" width="12.5703125" style="121" customWidth="1"/>
    <col min="2569" max="2569" width="15.5703125" style="121" customWidth="1"/>
    <col min="2570" max="2570" width="16" style="121" customWidth="1"/>
    <col min="2571" max="2817" width="11.42578125" style="121"/>
    <col min="2818" max="2818" width="16.140625" style="121" customWidth="1"/>
    <col min="2819" max="2819" width="13.140625" style="121" customWidth="1"/>
    <col min="2820" max="2820" width="40.5703125" style="121" customWidth="1"/>
    <col min="2821" max="2821" width="15.5703125" style="121" customWidth="1"/>
    <col min="2822" max="2822" width="11.42578125" style="121"/>
    <col min="2823" max="2823" width="13.140625" style="121" customWidth="1"/>
    <col min="2824" max="2824" width="12.5703125" style="121" customWidth="1"/>
    <col min="2825" max="2825" width="15.5703125" style="121" customWidth="1"/>
    <col min="2826" max="2826" width="16" style="121" customWidth="1"/>
    <col min="2827" max="3073" width="11.42578125" style="121"/>
    <col min="3074" max="3074" width="16.140625" style="121" customWidth="1"/>
    <col min="3075" max="3075" width="13.140625" style="121" customWidth="1"/>
    <col min="3076" max="3076" width="40.5703125" style="121" customWidth="1"/>
    <col min="3077" max="3077" width="15.5703125" style="121" customWidth="1"/>
    <col min="3078" max="3078" width="11.42578125" style="121"/>
    <col min="3079" max="3079" width="13.140625" style="121" customWidth="1"/>
    <col min="3080" max="3080" width="12.5703125" style="121" customWidth="1"/>
    <col min="3081" max="3081" width="15.5703125" style="121" customWidth="1"/>
    <col min="3082" max="3082" width="16" style="121" customWidth="1"/>
    <col min="3083" max="3329" width="11.42578125" style="121"/>
    <col min="3330" max="3330" width="16.140625" style="121" customWidth="1"/>
    <col min="3331" max="3331" width="13.140625" style="121" customWidth="1"/>
    <col min="3332" max="3332" width="40.5703125" style="121" customWidth="1"/>
    <col min="3333" max="3333" width="15.5703125" style="121" customWidth="1"/>
    <col min="3334" max="3334" width="11.42578125" style="121"/>
    <col min="3335" max="3335" width="13.140625" style="121" customWidth="1"/>
    <col min="3336" max="3336" width="12.5703125" style="121" customWidth="1"/>
    <col min="3337" max="3337" width="15.5703125" style="121" customWidth="1"/>
    <col min="3338" max="3338" width="16" style="121" customWidth="1"/>
    <col min="3339" max="3585" width="11.42578125" style="121"/>
    <col min="3586" max="3586" width="16.140625" style="121" customWidth="1"/>
    <col min="3587" max="3587" width="13.140625" style="121" customWidth="1"/>
    <col min="3588" max="3588" width="40.5703125" style="121" customWidth="1"/>
    <col min="3589" max="3589" width="15.5703125" style="121" customWidth="1"/>
    <col min="3590" max="3590" width="11.42578125" style="121"/>
    <col min="3591" max="3591" width="13.140625" style="121" customWidth="1"/>
    <col min="3592" max="3592" width="12.5703125" style="121" customWidth="1"/>
    <col min="3593" max="3593" width="15.5703125" style="121" customWidth="1"/>
    <col min="3594" max="3594" width="16" style="121" customWidth="1"/>
    <col min="3595" max="3841" width="11.42578125" style="121"/>
    <col min="3842" max="3842" width="16.140625" style="121" customWidth="1"/>
    <col min="3843" max="3843" width="13.140625" style="121" customWidth="1"/>
    <col min="3844" max="3844" width="40.5703125" style="121" customWidth="1"/>
    <col min="3845" max="3845" width="15.5703125" style="121" customWidth="1"/>
    <col min="3846" max="3846" width="11.42578125" style="121"/>
    <col min="3847" max="3847" width="13.140625" style="121" customWidth="1"/>
    <col min="3848" max="3848" width="12.5703125" style="121" customWidth="1"/>
    <col min="3849" max="3849" width="15.5703125" style="121" customWidth="1"/>
    <col min="3850" max="3850" width="16" style="121" customWidth="1"/>
    <col min="3851" max="4097" width="11.42578125" style="121"/>
    <col min="4098" max="4098" width="16.140625" style="121" customWidth="1"/>
    <col min="4099" max="4099" width="13.140625" style="121" customWidth="1"/>
    <col min="4100" max="4100" width="40.5703125" style="121" customWidth="1"/>
    <col min="4101" max="4101" width="15.5703125" style="121" customWidth="1"/>
    <col min="4102" max="4102" width="11.42578125" style="121"/>
    <col min="4103" max="4103" width="13.140625" style="121" customWidth="1"/>
    <col min="4104" max="4104" width="12.5703125" style="121" customWidth="1"/>
    <col min="4105" max="4105" width="15.5703125" style="121" customWidth="1"/>
    <col min="4106" max="4106" width="16" style="121" customWidth="1"/>
    <col min="4107" max="4353" width="11.42578125" style="121"/>
    <col min="4354" max="4354" width="16.140625" style="121" customWidth="1"/>
    <col min="4355" max="4355" width="13.140625" style="121" customWidth="1"/>
    <col min="4356" max="4356" width="40.5703125" style="121" customWidth="1"/>
    <col min="4357" max="4357" width="15.5703125" style="121" customWidth="1"/>
    <col min="4358" max="4358" width="11.42578125" style="121"/>
    <col min="4359" max="4359" width="13.140625" style="121" customWidth="1"/>
    <col min="4360" max="4360" width="12.5703125" style="121" customWidth="1"/>
    <col min="4361" max="4361" width="15.5703125" style="121" customWidth="1"/>
    <col min="4362" max="4362" width="16" style="121" customWidth="1"/>
    <col min="4363" max="4609" width="11.42578125" style="121"/>
    <col min="4610" max="4610" width="16.140625" style="121" customWidth="1"/>
    <col min="4611" max="4611" width="13.140625" style="121" customWidth="1"/>
    <col min="4612" max="4612" width="40.5703125" style="121" customWidth="1"/>
    <col min="4613" max="4613" width="15.5703125" style="121" customWidth="1"/>
    <col min="4614" max="4614" width="11.42578125" style="121"/>
    <col min="4615" max="4615" width="13.140625" style="121" customWidth="1"/>
    <col min="4616" max="4616" width="12.5703125" style="121" customWidth="1"/>
    <col min="4617" max="4617" width="15.5703125" style="121" customWidth="1"/>
    <col min="4618" max="4618" width="16" style="121" customWidth="1"/>
    <col min="4619" max="4865" width="11.42578125" style="121"/>
    <col min="4866" max="4866" width="16.140625" style="121" customWidth="1"/>
    <col min="4867" max="4867" width="13.140625" style="121" customWidth="1"/>
    <col min="4868" max="4868" width="40.5703125" style="121" customWidth="1"/>
    <col min="4869" max="4869" width="15.5703125" style="121" customWidth="1"/>
    <col min="4870" max="4870" width="11.42578125" style="121"/>
    <col min="4871" max="4871" width="13.140625" style="121" customWidth="1"/>
    <col min="4872" max="4872" width="12.5703125" style="121" customWidth="1"/>
    <col min="4873" max="4873" width="15.5703125" style="121" customWidth="1"/>
    <col min="4874" max="4874" width="16" style="121" customWidth="1"/>
    <col min="4875" max="5121" width="11.42578125" style="121"/>
    <col min="5122" max="5122" width="16.140625" style="121" customWidth="1"/>
    <col min="5123" max="5123" width="13.140625" style="121" customWidth="1"/>
    <col min="5124" max="5124" width="40.5703125" style="121" customWidth="1"/>
    <col min="5125" max="5125" width="15.5703125" style="121" customWidth="1"/>
    <col min="5126" max="5126" width="11.42578125" style="121"/>
    <col min="5127" max="5127" width="13.140625" style="121" customWidth="1"/>
    <col min="5128" max="5128" width="12.5703125" style="121" customWidth="1"/>
    <col min="5129" max="5129" width="15.5703125" style="121" customWidth="1"/>
    <col min="5130" max="5130" width="16" style="121" customWidth="1"/>
    <col min="5131" max="5377" width="11.42578125" style="121"/>
    <col min="5378" max="5378" width="16.140625" style="121" customWidth="1"/>
    <col min="5379" max="5379" width="13.140625" style="121" customWidth="1"/>
    <col min="5380" max="5380" width="40.5703125" style="121" customWidth="1"/>
    <col min="5381" max="5381" width="15.5703125" style="121" customWidth="1"/>
    <col min="5382" max="5382" width="11.42578125" style="121"/>
    <col min="5383" max="5383" width="13.140625" style="121" customWidth="1"/>
    <col min="5384" max="5384" width="12.5703125" style="121" customWidth="1"/>
    <col min="5385" max="5385" width="15.5703125" style="121" customWidth="1"/>
    <col min="5386" max="5386" width="16" style="121" customWidth="1"/>
    <col min="5387" max="5633" width="11.42578125" style="121"/>
    <col min="5634" max="5634" width="16.140625" style="121" customWidth="1"/>
    <col min="5635" max="5635" width="13.140625" style="121" customWidth="1"/>
    <col min="5636" max="5636" width="40.5703125" style="121" customWidth="1"/>
    <col min="5637" max="5637" width="15.5703125" style="121" customWidth="1"/>
    <col min="5638" max="5638" width="11.42578125" style="121"/>
    <col min="5639" max="5639" width="13.140625" style="121" customWidth="1"/>
    <col min="5640" max="5640" width="12.5703125" style="121" customWidth="1"/>
    <col min="5641" max="5641" width="15.5703125" style="121" customWidth="1"/>
    <col min="5642" max="5642" width="16" style="121" customWidth="1"/>
    <col min="5643" max="5889" width="11.42578125" style="121"/>
    <col min="5890" max="5890" width="16.140625" style="121" customWidth="1"/>
    <col min="5891" max="5891" width="13.140625" style="121" customWidth="1"/>
    <col min="5892" max="5892" width="40.5703125" style="121" customWidth="1"/>
    <col min="5893" max="5893" width="15.5703125" style="121" customWidth="1"/>
    <col min="5894" max="5894" width="11.42578125" style="121"/>
    <col min="5895" max="5895" width="13.140625" style="121" customWidth="1"/>
    <col min="5896" max="5896" width="12.5703125" style="121" customWidth="1"/>
    <col min="5897" max="5897" width="15.5703125" style="121" customWidth="1"/>
    <col min="5898" max="5898" width="16" style="121" customWidth="1"/>
    <col min="5899" max="6145" width="11.42578125" style="121"/>
    <col min="6146" max="6146" width="16.140625" style="121" customWidth="1"/>
    <col min="6147" max="6147" width="13.140625" style="121" customWidth="1"/>
    <col min="6148" max="6148" width="40.5703125" style="121" customWidth="1"/>
    <col min="6149" max="6149" width="15.5703125" style="121" customWidth="1"/>
    <col min="6150" max="6150" width="11.42578125" style="121"/>
    <col min="6151" max="6151" width="13.140625" style="121" customWidth="1"/>
    <col min="6152" max="6152" width="12.5703125" style="121" customWidth="1"/>
    <col min="6153" max="6153" width="15.5703125" style="121" customWidth="1"/>
    <col min="6154" max="6154" width="16" style="121" customWidth="1"/>
    <col min="6155" max="6401" width="11.42578125" style="121"/>
    <col min="6402" max="6402" width="16.140625" style="121" customWidth="1"/>
    <col min="6403" max="6403" width="13.140625" style="121" customWidth="1"/>
    <col min="6404" max="6404" width="40.5703125" style="121" customWidth="1"/>
    <col min="6405" max="6405" width="15.5703125" style="121" customWidth="1"/>
    <col min="6406" max="6406" width="11.42578125" style="121"/>
    <col min="6407" max="6407" width="13.140625" style="121" customWidth="1"/>
    <col min="6408" max="6408" width="12.5703125" style="121" customWidth="1"/>
    <col min="6409" max="6409" width="15.5703125" style="121" customWidth="1"/>
    <col min="6410" max="6410" width="16" style="121" customWidth="1"/>
    <col min="6411" max="6657" width="11.42578125" style="121"/>
    <col min="6658" max="6658" width="16.140625" style="121" customWidth="1"/>
    <col min="6659" max="6659" width="13.140625" style="121" customWidth="1"/>
    <col min="6660" max="6660" width="40.5703125" style="121" customWidth="1"/>
    <col min="6661" max="6661" width="15.5703125" style="121" customWidth="1"/>
    <col min="6662" max="6662" width="11.42578125" style="121"/>
    <col min="6663" max="6663" width="13.140625" style="121" customWidth="1"/>
    <col min="6664" max="6664" width="12.5703125" style="121" customWidth="1"/>
    <col min="6665" max="6665" width="15.5703125" style="121" customWidth="1"/>
    <col min="6666" max="6666" width="16" style="121" customWidth="1"/>
    <col min="6667" max="6913" width="11.42578125" style="121"/>
    <col min="6914" max="6914" width="16.140625" style="121" customWidth="1"/>
    <col min="6915" max="6915" width="13.140625" style="121" customWidth="1"/>
    <col min="6916" max="6916" width="40.5703125" style="121" customWidth="1"/>
    <col min="6917" max="6917" width="15.5703125" style="121" customWidth="1"/>
    <col min="6918" max="6918" width="11.42578125" style="121"/>
    <col min="6919" max="6919" width="13.140625" style="121" customWidth="1"/>
    <col min="6920" max="6920" width="12.5703125" style="121" customWidth="1"/>
    <col min="6921" max="6921" width="15.5703125" style="121" customWidth="1"/>
    <col min="6922" max="6922" width="16" style="121" customWidth="1"/>
    <col min="6923" max="7169" width="11.42578125" style="121"/>
    <col min="7170" max="7170" width="16.140625" style="121" customWidth="1"/>
    <col min="7171" max="7171" width="13.140625" style="121" customWidth="1"/>
    <col min="7172" max="7172" width="40.5703125" style="121" customWidth="1"/>
    <col min="7173" max="7173" width="15.5703125" style="121" customWidth="1"/>
    <col min="7174" max="7174" width="11.42578125" style="121"/>
    <col min="7175" max="7175" width="13.140625" style="121" customWidth="1"/>
    <col min="7176" max="7176" width="12.5703125" style="121" customWidth="1"/>
    <col min="7177" max="7177" width="15.5703125" style="121" customWidth="1"/>
    <col min="7178" max="7178" width="16" style="121" customWidth="1"/>
    <col min="7179" max="7425" width="11.42578125" style="121"/>
    <col min="7426" max="7426" width="16.140625" style="121" customWidth="1"/>
    <col min="7427" max="7427" width="13.140625" style="121" customWidth="1"/>
    <col min="7428" max="7428" width="40.5703125" style="121" customWidth="1"/>
    <col min="7429" max="7429" width="15.5703125" style="121" customWidth="1"/>
    <col min="7430" max="7430" width="11.42578125" style="121"/>
    <col min="7431" max="7431" width="13.140625" style="121" customWidth="1"/>
    <col min="7432" max="7432" width="12.5703125" style="121" customWidth="1"/>
    <col min="7433" max="7433" width="15.5703125" style="121" customWidth="1"/>
    <col min="7434" max="7434" width="16" style="121" customWidth="1"/>
    <col min="7435" max="7681" width="11.42578125" style="121"/>
    <col min="7682" max="7682" width="16.140625" style="121" customWidth="1"/>
    <col min="7683" max="7683" width="13.140625" style="121" customWidth="1"/>
    <col min="7684" max="7684" width="40.5703125" style="121" customWidth="1"/>
    <col min="7685" max="7685" width="15.5703125" style="121" customWidth="1"/>
    <col min="7686" max="7686" width="11.42578125" style="121"/>
    <col min="7687" max="7687" width="13.140625" style="121" customWidth="1"/>
    <col min="7688" max="7688" width="12.5703125" style="121" customWidth="1"/>
    <col min="7689" max="7689" width="15.5703125" style="121" customWidth="1"/>
    <col min="7690" max="7690" width="16" style="121" customWidth="1"/>
    <col min="7691" max="7937" width="11.42578125" style="121"/>
    <col min="7938" max="7938" width="16.140625" style="121" customWidth="1"/>
    <col min="7939" max="7939" width="13.140625" style="121" customWidth="1"/>
    <col min="7940" max="7940" width="40.5703125" style="121" customWidth="1"/>
    <col min="7941" max="7941" width="15.5703125" style="121" customWidth="1"/>
    <col min="7942" max="7942" width="11.42578125" style="121"/>
    <col min="7943" max="7943" width="13.140625" style="121" customWidth="1"/>
    <col min="7944" max="7944" width="12.5703125" style="121" customWidth="1"/>
    <col min="7945" max="7945" width="15.5703125" style="121" customWidth="1"/>
    <col min="7946" max="7946" width="16" style="121" customWidth="1"/>
    <col min="7947" max="8193" width="11.42578125" style="121"/>
    <col min="8194" max="8194" width="16.140625" style="121" customWidth="1"/>
    <col min="8195" max="8195" width="13.140625" style="121" customWidth="1"/>
    <col min="8196" max="8196" width="40.5703125" style="121" customWidth="1"/>
    <col min="8197" max="8197" width="15.5703125" style="121" customWidth="1"/>
    <col min="8198" max="8198" width="11.42578125" style="121"/>
    <col min="8199" max="8199" width="13.140625" style="121" customWidth="1"/>
    <col min="8200" max="8200" width="12.5703125" style="121" customWidth="1"/>
    <col min="8201" max="8201" width="15.5703125" style="121" customWidth="1"/>
    <col min="8202" max="8202" width="16" style="121" customWidth="1"/>
    <col min="8203" max="8449" width="11.42578125" style="121"/>
    <col min="8450" max="8450" width="16.140625" style="121" customWidth="1"/>
    <col min="8451" max="8451" width="13.140625" style="121" customWidth="1"/>
    <col min="8452" max="8452" width="40.5703125" style="121" customWidth="1"/>
    <col min="8453" max="8453" width="15.5703125" style="121" customWidth="1"/>
    <col min="8454" max="8454" width="11.42578125" style="121"/>
    <col min="8455" max="8455" width="13.140625" style="121" customWidth="1"/>
    <col min="8456" max="8456" width="12.5703125" style="121" customWidth="1"/>
    <col min="8457" max="8457" width="15.5703125" style="121" customWidth="1"/>
    <col min="8458" max="8458" width="16" style="121" customWidth="1"/>
    <col min="8459" max="8705" width="11.42578125" style="121"/>
    <col min="8706" max="8706" width="16.140625" style="121" customWidth="1"/>
    <col min="8707" max="8707" width="13.140625" style="121" customWidth="1"/>
    <col min="8708" max="8708" width="40.5703125" style="121" customWidth="1"/>
    <col min="8709" max="8709" width="15.5703125" style="121" customWidth="1"/>
    <col min="8710" max="8710" width="11.42578125" style="121"/>
    <col min="8711" max="8711" width="13.140625" style="121" customWidth="1"/>
    <col min="8712" max="8712" width="12.5703125" style="121" customWidth="1"/>
    <col min="8713" max="8713" width="15.5703125" style="121" customWidth="1"/>
    <col min="8714" max="8714" width="16" style="121" customWidth="1"/>
    <col min="8715" max="8961" width="11.42578125" style="121"/>
    <col min="8962" max="8962" width="16.140625" style="121" customWidth="1"/>
    <col min="8963" max="8963" width="13.140625" style="121" customWidth="1"/>
    <col min="8964" max="8964" width="40.5703125" style="121" customWidth="1"/>
    <col min="8965" max="8965" width="15.5703125" style="121" customWidth="1"/>
    <col min="8966" max="8966" width="11.42578125" style="121"/>
    <col min="8967" max="8967" width="13.140625" style="121" customWidth="1"/>
    <col min="8968" max="8968" width="12.5703125" style="121" customWidth="1"/>
    <col min="8969" max="8969" width="15.5703125" style="121" customWidth="1"/>
    <col min="8970" max="8970" width="16" style="121" customWidth="1"/>
    <col min="8971" max="9217" width="11.42578125" style="121"/>
    <col min="9218" max="9218" width="16.140625" style="121" customWidth="1"/>
    <col min="9219" max="9219" width="13.140625" style="121" customWidth="1"/>
    <col min="9220" max="9220" width="40.5703125" style="121" customWidth="1"/>
    <col min="9221" max="9221" width="15.5703125" style="121" customWidth="1"/>
    <col min="9222" max="9222" width="11.42578125" style="121"/>
    <col min="9223" max="9223" width="13.140625" style="121" customWidth="1"/>
    <col min="9224" max="9224" width="12.5703125" style="121" customWidth="1"/>
    <col min="9225" max="9225" width="15.5703125" style="121" customWidth="1"/>
    <col min="9226" max="9226" width="16" style="121" customWidth="1"/>
    <col min="9227" max="9473" width="11.42578125" style="121"/>
    <col min="9474" max="9474" width="16.140625" style="121" customWidth="1"/>
    <col min="9475" max="9475" width="13.140625" style="121" customWidth="1"/>
    <col min="9476" max="9476" width="40.5703125" style="121" customWidth="1"/>
    <col min="9477" max="9477" width="15.5703125" style="121" customWidth="1"/>
    <col min="9478" max="9478" width="11.42578125" style="121"/>
    <col min="9479" max="9479" width="13.140625" style="121" customWidth="1"/>
    <col min="9480" max="9480" width="12.5703125" style="121" customWidth="1"/>
    <col min="9481" max="9481" width="15.5703125" style="121" customWidth="1"/>
    <col min="9482" max="9482" width="16" style="121" customWidth="1"/>
    <col min="9483" max="9729" width="11.42578125" style="121"/>
    <col min="9730" max="9730" width="16.140625" style="121" customWidth="1"/>
    <col min="9731" max="9731" width="13.140625" style="121" customWidth="1"/>
    <col min="9732" max="9732" width="40.5703125" style="121" customWidth="1"/>
    <col min="9733" max="9733" width="15.5703125" style="121" customWidth="1"/>
    <col min="9734" max="9734" width="11.42578125" style="121"/>
    <col min="9735" max="9735" width="13.140625" style="121" customWidth="1"/>
    <col min="9736" max="9736" width="12.5703125" style="121" customWidth="1"/>
    <col min="9737" max="9737" width="15.5703125" style="121" customWidth="1"/>
    <col min="9738" max="9738" width="16" style="121" customWidth="1"/>
    <col min="9739" max="9985" width="11.42578125" style="121"/>
    <col min="9986" max="9986" width="16.140625" style="121" customWidth="1"/>
    <col min="9987" max="9987" width="13.140625" style="121" customWidth="1"/>
    <col min="9988" max="9988" width="40.5703125" style="121" customWidth="1"/>
    <col min="9989" max="9989" width="15.5703125" style="121" customWidth="1"/>
    <col min="9990" max="9990" width="11.42578125" style="121"/>
    <col min="9991" max="9991" width="13.140625" style="121" customWidth="1"/>
    <col min="9992" max="9992" width="12.5703125" style="121" customWidth="1"/>
    <col min="9993" max="9993" width="15.5703125" style="121" customWidth="1"/>
    <col min="9994" max="9994" width="16" style="121" customWidth="1"/>
    <col min="9995" max="10241" width="11.42578125" style="121"/>
    <col min="10242" max="10242" width="16.140625" style="121" customWidth="1"/>
    <col min="10243" max="10243" width="13.140625" style="121" customWidth="1"/>
    <col min="10244" max="10244" width="40.5703125" style="121" customWidth="1"/>
    <col min="10245" max="10245" width="15.5703125" style="121" customWidth="1"/>
    <col min="10246" max="10246" width="11.42578125" style="121"/>
    <col min="10247" max="10247" width="13.140625" style="121" customWidth="1"/>
    <col min="10248" max="10248" width="12.5703125" style="121" customWidth="1"/>
    <col min="10249" max="10249" width="15.5703125" style="121" customWidth="1"/>
    <col min="10250" max="10250" width="16" style="121" customWidth="1"/>
    <col min="10251" max="10497" width="11.42578125" style="121"/>
    <col min="10498" max="10498" width="16.140625" style="121" customWidth="1"/>
    <col min="10499" max="10499" width="13.140625" style="121" customWidth="1"/>
    <col min="10500" max="10500" width="40.5703125" style="121" customWidth="1"/>
    <col min="10501" max="10501" width="15.5703125" style="121" customWidth="1"/>
    <col min="10502" max="10502" width="11.42578125" style="121"/>
    <col min="10503" max="10503" width="13.140625" style="121" customWidth="1"/>
    <col min="10504" max="10504" width="12.5703125" style="121" customWidth="1"/>
    <col min="10505" max="10505" width="15.5703125" style="121" customWidth="1"/>
    <col min="10506" max="10506" width="16" style="121" customWidth="1"/>
    <col min="10507" max="10753" width="11.42578125" style="121"/>
    <col min="10754" max="10754" width="16.140625" style="121" customWidth="1"/>
    <col min="10755" max="10755" width="13.140625" style="121" customWidth="1"/>
    <col min="10756" max="10756" width="40.5703125" style="121" customWidth="1"/>
    <col min="10757" max="10757" width="15.5703125" style="121" customWidth="1"/>
    <col min="10758" max="10758" width="11.42578125" style="121"/>
    <col min="10759" max="10759" width="13.140625" style="121" customWidth="1"/>
    <col min="10760" max="10760" width="12.5703125" style="121" customWidth="1"/>
    <col min="10761" max="10761" width="15.5703125" style="121" customWidth="1"/>
    <col min="10762" max="10762" width="16" style="121" customWidth="1"/>
    <col min="10763" max="11009" width="11.42578125" style="121"/>
    <col min="11010" max="11010" width="16.140625" style="121" customWidth="1"/>
    <col min="11011" max="11011" width="13.140625" style="121" customWidth="1"/>
    <col min="11012" max="11012" width="40.5703125" style="121" customWidth="1"/>
    <col min="11013" max="11013" width="15.5703125" style="121" customWidth="1"/>
    <col min="11014" max="11014" width="11.42578125" style="121"/>
    <col min="11015" max="11015" width="13.140625" style="121" customWidth="1"/>
    <col min="11016" max="11016" width="12.5703125" style="121" customWidth="1"/>
    <col min="11017" max="11017" width="15.5703125" style="121" customWidth="1"/>
    <col min="11018" max="11018" width="16" style="121" customWidth="1"/>
    <col min="11019" max="11265" width="11.42578125" style="121"/>
    <col min="11266" max="11266" width="16.140625" style="121" customWidth="1"/>
    <col min="11267" max="11267" width="13.140625" style="121" customWidth="1"/>
    <col min="11268" max="11268" width="40.5703125" style="121" customWidth="1"/>
    <col min="11269" max="11269" width="15.5703125" style="121" customWidth="1"/>
    <col min="11270" max="11270" width="11.42578125" style="121"/>
    <col min="11271" max="11271" width="13.140625" style="121" customWidth="1"/>
    <col min="11272" max="11272" width="12.5703125" style="121" customWidth="1"/>
    <col min="11273" max="11273" width="15.5703125" style="121" customWidth="1"/>
    <col min="11274" max="11274" width="16" style="121" customWidth="1"/>
    <col min="11275" max="11521" width="11.42578125" style="121"/>
    <col min="11522" max="11522" width="16.140625" style="121" customWidth="1"/>
    <col min="11523" max="11523" width="13.140625" style="121" customWidth="1"/>
    <col min="11524" max="11524" width="40.5703125" style="121" customWidth="1"/>
    <col min="11525" max="11525" width="15.5703125" style="121" customWidth="1"/>
    <col min="11526" max="11526" width="11.42578125" style="121"/>
    <col min="11527" max="11527" width="13.140625" style="121" customWidth="1"/>
    <col min="11528" max="11528" width="12.5703125" style="121" customWidth="1"/>
    <col min="11529" max="11529" width="15.5703125" style="121" customWidth="1"/>
    <col min="11530" max="11530" width="16" style="121" customWidth="1"/>
    <col min="11531" max="11777" width="11.42578125" style="121"/>
    <col min="11778" max="11778" width="16.140625" style="121" customWidth="1"/>
    <col min="11779" max="11779" width="13.140625" style="121" customWidth="1"/>
    <col min="11780" max="11780" width="40.5703125" style="121" customWidth="1"/>
    <col min="11781" max="11781" width="15.5703125" style="121" customWidth="1"/>
    <col min="11782" max="11782" width="11.42578125" style="121"/>
    <col min="11783" max="11783" width="13.140625" style="121" customWidth="1"/>
    <col min="11784" max="11784" width="12.5703125" style="121" customWidth="1"/>
    <col min="11785" max="11785" width="15.5703125" style="121" customWidth="1"/>
    <col min="11786" max="11786" width="16" style="121" customWidth="1"/>
    <col min="11787" max="12033" width="11.42578125" style="121"/>
    <col min="12034" max="12034" width="16.140625" style="121" customWidth="1"/>
    <col min="12035" max="12035" width="13.140625" style="121" customWidth="1"/>
    <col min="12036" max="12036" width="40.5703125" style="121" customWidth="1"/>
    <col min="12037" max="12037" width="15.5703125" style="121" customWidth="1"/>
    <col min="12038" max="12038" width="11.42578125" style="121"/>
    <col min="12039" max="12039" width="13.140625" style="121" customWidth="1"/>
    <col min="12040" max="12040" width="12.5703125" style="121" customWidth="1"/>
    <col min="12041" max="12041" width="15.5703125" style="121" customWidth="1"/>
    <col min="12042" max="12042" width="16" style="121" customWidth="1"/>
    <col min="12043" max="12289" width="11.42578125" style="121"/>
    <col min="12290" max="12290" width="16.140625" style="121" customWidth="1"/>
    <col min="12291" max="12291" width="13.140625" style="121" customWidth="1"/>
    <col min="12292" max="12292" width="40.5703125" style="121" customWidth="1"/>
    <col min="12293" max="12293" width="15.5703125" style="121" customWidth="1"/>
    <col min="12294" max="12294" width="11.42578125" style="121"/>
    <col min="12295" max="12295" width="13.140625" style="121" customWidth="1"/>
    <col min="12296" max="12296" width="12.5703125" style="121" customWidth="1"/>
    <col min="12297" max="12297" width="15.5703125" style="121" customWidth="1"/>
    <col min="12298" max="12298" width="16" style="121" customWidth="1"/>
    <col min="12299" max="12545" width="11.42578125" style="121"/>
    <col min="12546" max="12546" width="16.140625" style="121" customWidth="1"/>
    <col min="12547" max="12547" width="13.140625" style="121" customWidth="1"/>
    <col min="12548" max="12548" width="40.5703125" style="121" customWidth="1"/>
    <col min="12549" max="12549" width="15.5703125" style="121" customWidth="1"/>
    <col min="12550" max="12550" width="11.42578125" style="121"/>
    <col min="12551" max="12551" width="13.140625" style="121" customWidth="1"/>
    <col min="12552" max="12552" width="12.5703125" style="121" customWidth="1"/>
    <col min="12553" max="12553" width="15.5703125" style="121" customWidth="1"/>
    <col min="12554" max="12554" width="16" style="121" customWidth="1"/>
    <col min="12555" max="12801" width="11.42578125" style="121"/>
    <col min="12802" max="12802" width="16.140625" style="121" customWidth="1"/>
    <col min="12803" max="12803" width="13.140625" style="121" customWidth="1"/>
    <col min="12804" max="12804" width="40.5703125" style="121" customWidth="1"/>
    <col min="12805" max="12805" width="15.5703125" style="121" customWidth="1"/>
    <col min="12806" max="12806" width="11.42578125" style="121"/>
    <col min="12807" max="12807" width="13.140625" style="121" customWidth="1"/>
    <col min="12808" max="12808" width="12.5703125" style="121" customWidth="1"/>
    <col min="12809" max="12809" width="15.5703125" style="121" customWidth="1"/>
    <col min="12810" max="12810" width="16" style="121" customWidth="1"/>
    <col min="12811" max="13057" width="11.42578125" style="121"/>
    <col min="13058" max="13058" width="16.140625" style="121" customWidth="1"/>
    <col min="13059" max="13059" width="13.140625" style="121" customWidth="1"/>
    <col min="13060" max="13060" width="40.5703125" style="121" customWidth="1"/>
    <col min="13061" max="13061" width="15.5703125" style="121" customWidth="1"/>
    <col min="13062" max="13062" width="11.42578125" style="121"/>
    <col min="13063" max="13063" width="13.140625" style="121" customWidth="1"/>
    <col min="13064" max="13064" width="12.5703125" style="121" customWidth="1"/>
    <col min="13065" max="13065" width="15.5703125" style="121" customWidth="1"/>
    <col min="13066" max="13066" width="16" style="121" customWidth="1"/>
    <col min="13067" max="13313" width="11.42578125" style="121"/>
    <col min="13314" max="13314" width="16.140625" style="121" customWidth="1"/>
    <col min="13315" max="13315" width="13.140625" style="121" customWidth="1"/>
    <col min="13316" max="13316" width="40.5703125" style="121" customWidth="1"/>
    <col min="13317" max="13317" width="15.5703125" style="121" customWidth="1"/>
    <col min="13318" max="13318" width="11.42578125" style="121"/>
    <col min="13319" max="13319" width="13.140625" style="121" customWidth="1"/>
    <col min="13320" max="13320" width="12.5703125" style="121" customWidth="1"/>
    <col min="13321" max="13321" width="15.5703125" style="121" customWidth="1"/>
    <col min="13322" max="13322" width="16" style="121" customWidth="1"/>
    <col min="13323" max="13569" width="11.42578125" style="121"/>
    <col min="13570" max="13570" width="16.140625" style="121" customWidth="1"/>
    <col min="13571" max="13571" width="13.140625" style="121" customWidth="1"/>
    <col min="13572" max="13572" width="40.5703125" style="121" customWidth="1"/>
    <col min="13573" max="13573" width="15.5703125" style="121" customWidth="1"/>
    <col min="13574" max="13574" width="11.42578125" style="121"/>
    <col min="13575" max="13575" width="13.140625" style="121" customWidth="1"/>
    <col min="13576" max="13576" width="12.5703125" style="121" customWidth="1"/>
    <col min="13577" max="13577" width="15.5703125" style="121" customWidth="1"/>
    <col min="13578" max="13578" width="16" style="121" customWidth="1"/>
    <col min="13579" max="13825" width="11.42578125" style="121"/>
    <col min="13826" max="13826" width="16.140625" style="121" customWidth="1"/>
    <col min="13827" max="13827" width="13.140625" style="121" customWidth="1"/>
    <col min="13828" max="13828" width="40.5703125" style="121" customWidth="1"/>
    <col min="13829" max="13829" width="15.5703125" style="121" customWidth="1"/>
    <col min="13830" max="13830" width="11.42578125" style="121"/>
    <col min="13831" max="13831" width="13.140625" style="121" customWidth="1"/>
    <col min="13832" max="13832" width="12.5703125" style="121" customWidth="1"/>
    <col min="13833" max="13833" width="15.5703125" style="121" customWidth="1"/>
    <col min="13834" max="13834" width="16" style="121" customWidth="1"/>
    <col min="13835" max="14081" width="11.42578125" style="121"/>
    <col min="14082" max="14082" width="16.140625" style="121" customWidth="1"/>
    <col min="14083" max="14083" width="13.140625" style="121" customWidth="1"/>
    <col min="14084" max="14084" width="40.5703125" style="121" customWidth="1"/>
    <col min="14085" max="14085" width="15.5703125" style="121" customWidth="1"/>
    <col min="14086" max="14086" width="11.42578125" style="121"/>
    <col min="14087" max="14087" width="13.140625" style="121" customWidth="1"/>
    <col min="14088" max="14088" width="12.5703125" style="121" customWidth="1"/>
    <col min="14089" max="14089" width="15.5703125" style="121" customWidth="1"/>
    <col min="14090" max="14090" width="16" style="121" customWidth="1"/>
    <col min="14091" max="14337" width="11.42578125" style="121"/>
    <col min="14338" max="14338" width="16.140625" style="121" customWidth="1"/>
    <col min="14339" max="14339" width="13.140625" style="121" customWidth="1"/>
    <col min="14340" max="14340" width="40.5703125" style="121" customWidth="1"/>
    <col min="14341" max="14341" width="15.5703125" style="121" customWidth="1"/>
    <col min="14342" max="14342" width="11.42578125" style="121"/>
    <col min="14343" max="14343" width="13.140625" style="121" customWidth="1"/>
    <col min="14344" max="14344" width="12.5703125" style="121" customWidth="1"/>
    <col min="14345" max="14345" width="15.5703125" style="121" customWidth="1"/>
    <col min="14346" max="14346" width="16" style="121" customWidth="1"/>
    <col min="14347" max="14593" width="11.42578125" style="121"/>
    <col min="14594" max="14594" width="16.140625" style="121" customWidth="1"/>
    <col min="14595" max="14595" width="13.140625" style="121" customWidth="1"/>
    <col min="14596" max="14596" width="40.5703125" style="121" customWidth="1"/>
    <col min="14597" max="14597" width="15.5703125" style="121" customWidth="1"/>
    <col min="14598" max="14598" width="11.42578125" style="121"/>
    <col min="14599" max="14599" width="13.140625" style="121" customWidth="1"/>
    <col min="14600" max="14600" width="12.5703125" style="121" customWidth="1"/>
    <col min="14601" max="14601" width="15.5703125" style="121" customWidth="1"/>
    <col min="14602" max="14602" width="16" style="121" customWidth="1"/>
    <col min="14603" max="14849" width="11.42578125" style="121"/>
    <col min="14850" max="14850" width="16.140625" style="121" customWidth="1"/>
    <col min="14851" max="14851" width="13.140625" style="121" customWidth="1"/>
    <col min="14852" max="14852" width="40.5703125" style="121" customWidth="1"/>
    <col min="14853" max="14853" width="15.5703125" style="121" customWidth="1"/>
    <col min="14854" max="14854" width="11.42578125" style="121"/>
    <col min="14855" max="14855" width="13.140625" style="121" customWidth="1"/>
    <col min="14856" max="14856" width="12.5703125" style="121" customWidth="1"/>
    <col min="14857" max="14857" width="15.5703125" style="121" customWidth="1"/>
    <col min="14858" max="14858" width="16" style="121" customWidth="1"/>
    <col min="14859" max="15105" width="11.42578125" style="121"/>
    <col min="15106" max="15106" width="16.140625" style="121" customWidth="1"/>
    <col min="15107" max="15107" width="13.140625" style="121" customWidth="1"/>
    <col min="15108" max="15108" width="40.5703125" style="121" customWidth="1"/>
    <col min="15109" max="15109" width="15.5703125" style="121" customWidth="1"/>
    <col min="15110" max="15110" width="11.42578125" style="121"/>
    <col min="15111" max="15111" width="13.140625" style="121" customWidth="1"/>
    <col min="15112" max="15112" width="12.5703125" style="121" customWidth="1"/>
    <col min="15113" max="15113" width="15.5703125" style="121" customWidth="1"/>
    <col min="15114" max="15114" width="16" style="121" customWidth="1"/>
    <col min="15115" max="15361" width="11.42578125" style="121"/>
    <col min="15362" max="15362" width="16.140625" style="121" customWidth="1"/>
    <col min="15363" max="15363" width="13.140625" style="121" customWidth="1"/>
    <col min="15364" max="15364" width="40.5703125" style="121" customWidth="1"/>
    <col min="15365" max="15365" width="15.5703125" style="121" customWidth="1"/>
    <col min="15366" max="15366" width="11.42578125" style="121"/>
    <col min="15367" max="15367" width="13.140625" style="121" customWidth="1"/>
    <col min="15368" max="15368" width="12.5703125" style="121" customWidth="1"/>
    <col min="15369" max="15369" width="15.5703125" style="121" customWidth="1"/>
    <col min="15370" max="15370" width="16" style="121" customWidth="1"/>
    <col min="15371" max="15617" width="11.42578125" style="121"/>
    <col min="15618" max="15618" width="16.140625" style="121" customWidth="1"/>
    <col min="15619" max="15619" width="13.140625" style="121" customWidth="1"/>
    <col min="15620" max="15620" width="40.5703125" style="121" customWidth="1"/>
    <col min="15621" max="15621" width="15.5703125" style="121" customWidth="1"/>
    <col min="15622" max="15622" width="11.42578125" style="121"/>
    <col min="15623" max="15623" width="13.140625" style="121" customWidth="1"/>
    <col min="15624" max="15624" width="12.5703125" style="121" customWidth="1"/>
    <col min="15625" max="15625" width="15.5703125" style="121" customWidth="1"/>
    <col min="15626" max="15626" width="16" style="121" customWidth="1"/>
    <col min="15627" max="15873" width="11.42578125" style="121"/>
    <col min="15874" max="15874" width="16.140625" style="121" customWidth="1"/>
    <col min="15875" max="15875" width="13.140625" style="121" customWidth="1"/>
    <col min="15876" max="15876" width="40.5703125" style="121" customWidth="1"/>
    <col min="15877" max="15877" width="15.5703125" style="121" customWidth="1"/>
    <col min="15878" max="15878" width="11.42578125" style="121"/>
    <col min="15879" max="15879" width="13.140625" style="121" customWidth="1"/>
    <col min="15880" max="15880" width="12.5703125" style="121" customWidth="1"/>
    <col min="15881" max="15881" width="15.5703125" style="121" customWidth="1"/>
    <col min="15882" max="15882" width="16" style="121" customWidth="1"/>
    <col min="15883" max="16129" width="11.42578125" style="121"/>
    <col min="16130" max="16130" width="16.140625" style="121" customWidth="1"/>
    <col min="16131" max="16131" width="13.140625" style="121" customWidth="1"/>
    <col min="16132" max="16132" width="40.5703125" style="121" customWidth="1"/>
    <col min="16133" max="16133" width="15.5703125" style="121" customWidth="1"/>
    <col min="16134" max="16134" width="11.42578125" style="121"/>
    <col min="16135" max="16135" width="13.140625" style="121" customWidth="1"/>
    <col min="16136" max="16136" width="12.5703125" style="121" customWidth="1"/>
    <col min="16137" max="16137" width="15.5703125" style="121" customWidth="1"/>
    <col min="16138" max="16138" width="16" style="121" customWidth="1"/>
    <col min="16139" max="16384" width="11.42578125" style="121"/>
  </cols>
  <sheetData>
    <row r="1" spans="1:10" ht="15.75" x14ac:dyDescent="0.25">
      <c r="A1" s="538"/>
      <c r="B1" s="847"/>
      <c r="C1" s="630"/>
      <c r="D1" s="611" t="s">
        <v>0</v>
      </c>
      <c r="E1" s="611"/>
      <c r="F1" s="611"/>
      <c r="G1" s="611"/>
      <c r="H1" s="611"/>
      <c r="I1" s="122" t="s">
        <v>1</v>
      </c>
      <c r="J1" s="123" t="s">
        <v>473</v>
      </c>
    </row>
    <row r="2" spans="1:10" ht="16.5" thickBot="1" x14ac:dyDescent="0.3">
      <c r="A2" s="538"/>
      <c r="B2" s="848"/>
      <c r="C2" s="632"/>
      <c r="D2" s="612" t="s">
        <v>2</v>
      </c>
      <c r="E2" s="612"/>
      <c r="F2" s="612"/>
      <c r="G2" s="612"/>
      <c r="H2" s="612"/>
      <c r="I2" s="124" t="s">
        <v>3</v>
      </c>
      <c r="J2" s="125" t="s">
        <v>474</v>
      </c>
    </row>
    <row r="3" spans="1:10" ht="50.1" customHeight="1" thickBot="1" x14ac:dyDescent="0.3">
      <c r="A3" s="538"/>
      <c r="B3" s="848"/>
      <c r="C3" s="632"/>
      <c r="D3" s="666" t="s">
        <v>475</v>
      </c>
      <c r="E3" s="667"/>
      <c r="F3" s="667"/>
      <c r="G3" s="667"/>
      <c r="H3" s="668"/>
      <c r="I3" s="616" t="s">
        <v>4</v>
      </c>
      <c r="J3" s="606">
        <v>45383</v>
      </c>
    </row>
    <row r="4" spans="1:10" x14ac:dyDescent="0.25">
      <c r="A4" s="538"/>
      <c r="B4" s="848"/>
      <c r="C4" s="632"/>
      <c r="D4" s="126" t="s">
        <v>5</v>
      </c>
      <c r="E4" s="659" t="s">
        <v>291</v>
      </c>
      <c r="F4" s="660"/>
      <c r="G4" s="660"/>
      <c r="H4" s="661"/>
      <c r="I4" s="617"/>
      <c r="J4" s="607"/>
    </row>
    <row r="5" spans="1:10" ht="15" customHeight="1" thickBot="1" x14ac:dyDescent="0.3">
      <c r="A5" s="538"/>
      <c r="B5" s="849"/>
      <c r="C5" s="634"/>
      <c r="D5" s="321" t="s">
        <v>6</v>
      </c>
      <c r="E5" s="662" t="s">
        <v>31</v>
      </c>
      <c r="F5" s="663"/>
      <c r="G5" s="663"/>
      <c r="H5" s="664"/>
      <c r="I5" s="618"/>
      <c r="J5" s="607"/>
    </row>
    <row r="6" spans="1:10" ht="25.5" x14ac:dyDescent="0.25">
      <c r="A6" s="850" t="s">
        <v>9</v>
      </c>
      <c r="B6" s="850" t="s">
        <v>9</v>
      </c>
      <c r="C6" s="671" t="s">
        <v>32</v>
      </c>
      <c r="D6" s="665" t="s">
        <v>10</v>
      </c>
      <c r="E6" s="665" t="s">
        <v>11</v>
      </c>
      <c r="F6" s="665" t="s">
        <v>12</v>
      </c>
      <c r="G6" s="665"/>
      <c r="H6" s="665" t="s">
        <v>13</v>
      </c>
      <c r="I6" s="665"/>
      <c r="J6" s="322" t="s">
        <v>14</v>
      </c>
    </row>
    <row r="7" spans="1:10" ht="27" thickBot="1" x14ac:dyDescent="0.3">
      <c r="A7" s="851"/>
      <c r="B7" s="851"/>
      <c r="C7" s="672"/>
      <c r="D7" s="673"/>
      <c r="E7" s="673"/>
      <c r="F7" s="127" t="s">
        <v>15</v>
      </c>
      <c r="G7" s="128" t="s">
        <v>16</v>
      </c>
      <c r="H7" s="127" t="s">
        <v>15</v>
      </c>
      <c r="I7" s="128" t="s">
        <v>16</v>
      </c>
      <c r="J7" s="525" t="s">
        <v>17</v>
      </c>
    </row>
    <row r="8" spans="1:10" x14ac:dyDescent="0.25">
      <c r="A8" s="539" t="s">
        <v>476</v>
      </c>
      <c r="B8" s="540"/>
      <c r="C8" s="540"/>
      <c r="D8" s="148"/>
      <c r="E8" s="138"/>
      <c r="F8" s="18"/>
      <c r="G8" s="140"/>
      <c r="H8" s="139"/>
      <c r="I8" s="18"/>
      <c r="J8" s="529"/>
    </row>
    <row r="9" spans="1:10" ht="15.75" x14ac:dyDescent="0.25">
      <c r="A9" s="539">
        <v>310148</v>
      </c>
      <c r="B9" s="143">
        <v>310148</v>
      </c>
      <c r="C9" s="305" t="s">
        <v>477</v>
      </c>
      <c r="D9" s="144" t="s">
        <v>478</v>
      </c>
      <c r="E9" s="443" t="s">
        <v>449</v>
      </c>
      <c r="F9" s="332">
        <v>12800</v>
      </c>
      <c r="G9" s="337" t="s">
        <v>19</v>
      </c>
      <c r="H9" s="852"/>
      <c r="I9" s="853"/>
      <c r="J9" s="325"/>
    </row>
    <row r="10" spans="1:10" ht="15.75" x14ac:dyDescent="0.25">
      <c r="A10" s="539">
        <v>11400031</v>
      </c>
      <c r="B10" s="143">
        <v>11400031</v>
      </c>
      <c r="C10" s="305" t="s">
        <v>397</v>
      </c>
      <c r="D10" s="144" t="s">
        <v>428</v>
      </c>
      <c r="E10" s="443" t="s">
        <v>449</v>
      </c>
      <c r="F10" s="332">
        <v>3200</v>
      </c>
      <c r="G10" s="337" t="s">
        <v>19</v>
      </c>
      <c r="H10" s="852"/>
      <c r="I10" s="853"/>
      <c r="J10" s="325"/>
    </row>
    <row r="11" spans="1:10" ht="15.75" x14ac:dyDescent="0.25">
      <c r="A11" s="539">
        <v>10415</v>
      </c>
      <c r="B11" s="22" t="s">
        <v>314</v>
      </c>
      <c r="C11" s="22"/>
      <c r="D11" s="1" t="s">
        <v>315</v>
      </c>
      <c r="E11" s="443" t="s">
        <v>479</v>
      </c>
      <c r="F11" s="332">
        <v>800</v>
      </c>
      <c r="G11" s="337" t="s">
        <v>19</v>
      </c>
      <c r="H11" s="332"/>
      <c r="I11" s="334"/>
      <c r="J11" s="325"/>
    </row>
    <row r="12" spans="1:10" ht="15.75" x14ac:dyDescent="0.25">
      <c r="A12" s="539">
        <v>1212410</v>
      </c>
      <c r="B12" s="143">
        <v>1212410</v>
      </c>
      <c r="C12" s="305" t="s">
        <v>336</v>
      </c>
      <c r="D12" s="144" t="s">
        <v>337</v>
      </c>
      <c r="E12" s="443" t="s">
        <v>372</v>
      </c>
      <c r="F12" s="332">
        <v>12</v>
      </c>
      <c r="G12" s="337" t="s">
        <v>19</v>
      </c>
      <c r="H12" s="332"/>
      <c r="I12" s="334"/>
      <c r="J12" s="325"/>
    </row>
    <row r="13" spans="1:10" ht="15.75" x14ac:dyDescent="0.25">
      <c r="A13" s="539">
        <v>702069</v>
      </c>
      <c r="B13" s="143">
        <v>702123</v>
      </c>
      <c r="C13" s="143" t="s">
        <v>59</v>
      </c>
      <c r="D13" s="144" t="s">
        <v>99</v>
      </c>
      <c r="E13" s="443" t="s">
        <v>465</v>
      </c>
      <c r="F13" s="332">
        <v>1</v>
      </c>
      <c r="G13" s="463" t="s">
        <v>21</v>
      </c>
      <c r="H13" s="19"/>
      <c r="I13" s="142"/>
      <c r="J13" s="325"/>
    </row>
    <row r="14" spans="1:10" ht="16.5" thickBot="1" x14ac:dyDescent="0.3">
      <c r="A14" s="538"/>
      <c r="B14" s="344"/>
      <c r="C14" s="344"/>
      <c r="D14" s="541"/>
      <c r="E14" s="542"/>
      <c r="F14" s="543"/>
      <c r="G14" s="544"/>
      <c r="H14" s="545"/>
      <c r="I14" s="546"/>
      <c r="J14" s="547"/>
    </row>
    <row r="15" spans="1:10" ht="15.75" x14ac:dyDescent="0.25">
      <c r="B15" s="548"/>
      <c r="C15" s="549"/>
      <c r="D15" s="550"/>
      <c r="E15" s="551"/>
      <c r="F15" s="552"/>
      <c r="G15" s="553"/>
      <c r="H15" s="554"/>
      <c r="I15" s="555"/>
      <c r="J15" s="556"/>
    </row>
    <row r="16" spans="1:10" ht="15.75" x14ac:dyDescent="0.25">
      <c r="B16" s="557"/>
      <c r="C16" s="558"/>
      <c r="D16" s="559"/>
      <c r="E16" s="560"/>
      <c r="F16" s="561"/>
      <c r="G16" s="562"/>
      <c r="H16" s="563"/>
      <c r="I16" s="564"/>
      <c r="J16" s="565"/>
    </row>
    <row r="17" spans="2:14" ht="15.75" x14ac:dyDescent="0.25">
      <c r="B17" s="557"/>
      <c r="C17" s="558"/>
      <c r="D17" s="559"/>
      <c r="E17" s="560"/>
      <c r="F17" s="561"/>
      <c r="G17" s="562"/>
      <c r="H17" s="563"/>
      <c r="I17" s="564"/>
      <c r="J17" s="565"/>
    </row>
    <row r="18" spans="2:14" ht="15.75" x14ac:dyDescent="0.25">
      <c r="B18" s="557"/>
      <c r="C18" s="558"/>
      <c r="D18" s="559"/>
      <c r="E18" s="560"/>
      <c r="F18" s="561"/>
      <c r="G18" s="562"/>
      <c r="H18" s="563"/>
      <c r="I18" s="564"/>
      <c r="J18" s="565"/>
    </row>
    <row r="19" spans="2:14" ht="15.75" x14ac:dyDescent="0.25">
      <c r="B19" s="557"/>
      <c r="C19" s="558"/>
      <c r="D19" s="559"/>
      <c r="E19" s="560"/>
      <c r="F19" s="561"/>
      <c r="G19" s="562"/>
      <c r="H19" s="563"/>
      <c r="I19" s="564"/>
      <c r="J19" s="565"/>
    </row>
    <row r="20" spans="2:14" ht="15.75" x14ac:dyDescent="0.25">
      <c r="B20" s="557"/>
      <c r="C20" s="558"/>
      <c r="D20" s="559"/>
      <c r="E20" s="560"/>
      <c r="F20" s="561"/>
      <c r="G20" s="562"/>
      <c r="H20" s="563"/>
      <c r="I20" s="564"/>
      <c r="J20" s="565"/>
    </row>
    <row r="21" spans="2:14" ht="15.75" x14ac:dyDescent="0.25">
      <c r="B21" s="557"/>
      <c r="C21" s="558"/>
      <c r="D21" s="559"/>
      <c r="E21" s="560"/>
      <c r="F21" s="561"/>
      <c r="G21" s="562"/>
      <c r="H21" s="563"/>
      <c r="I21" s="564"/>
      <c r="J21" s="565"/>
    </row>
    <row r="22" spans="2:14" ht="15.75" x14ac:dyDescent="0.25">
      <c r="B22" s="557"/>
      <c r="C22" s="558"/>
      <c r="D22" s="559"/>
      <c r="E22" s="560"/>
      <c r="F22" s="561"/>
      <c r="G22" s="562"/>
      <c r="H22" s="563"/>
      <c r="I22" s="564"/>
      <c r="J22" s="565"/>
    </row>
    <row r="23" spans="2:14" ht="15.75" x14ac:dyDescent="0.25">
      <c r="B23" s="557"/>
      <c r="C23" s="558"/>
      <c r="D23" s="559"/>
      <c r="E23" s="560"/>
      <c r="F23" s="561"/>
      <c r="G23" s="562"/>
      <c r="H23" s="563"/>
      <c r="I23" s="564"/>
      <c r="J23" s="565"/>
    </row>
    <row r="24" spans="2:14" ht="15.75" x14ac:dyDescent="0.25">
      <c r="B24" s="557"/>
      <c r="C24" s="558"/>
      <c r="D24" s="559"/>
      <c r="E24" s="560"/>
      <c r="F24" s="561"/>
      <c r="G24" s="562"/>
      <c r="H24" s="563"/>
      <c r="I24" s="564"/>
      <c r="J24" s="565"/>
    </row>
    <row r="25" spans="2:14" ht="15.75" x14ac:dyDescent="0.25">
      <c r="B25" s="557"/>
      <c r="C25" s="558"/>
      <c r="D25" s="559"/>
      <c r="E25" s="560"/>
      <c r="F25" s="561"/>
      <c r="G25" s="562"/>
      <c r="H25" s="563"/>
      <c r="I25" s="564"/>
      <c r="J25" s="565"/>
    </row>
    <row r="26" spans="2:14" ht="15.75" thickBot="1" x14ac:dyDescent="0.3">
      <c r="B26" s="566"/>
      <c r="C26" s="567"/>
      <c r="D26" s="568"/>
      <c r="E26" s="569"/>
      <c r="F26" s="570"/>
      <c r="G26" s="570"/>
      <c r="H26" s="570"/>
      <c r="I26" s="570"/>
      <c r="J26" s="571"/>
    </row>
    <row r="27" spans="2:14" ht="14.25" thickBot="1" x14ac:dyDescent="0.3">
      <c r="B27" s="149"/>
      <c r="C27" s="150"/>
      <c r="F27" s="151"/>
      <c r="G27" s="152"/>
      <c r="J27" s="153"/>
      <c r="M27" s="154"/>
    </row>
    <row r="28" spans="2:14" ht="14.25" thickBot="1" x14ac:dyDescent="0.3">
      <c r="B28" s="155"/>
      <c r="C28" s="156"/>
      <c r="D28" s="157"/>
      <c r="E28" s="158" t="s">
        <v>15</v>
      </c>
      <c r="F28" s="159" t="s">
        <v>22</v>
      </c>
      <c r="G28" s="160"/>
      <c r="H28" s="157"/>
      <c r="I28" s="157"/>
      <c r="J28" s="161"/>
      <c r="M28" s="154"/>
    </row>
    <row r="29" spans="2:14" x14ac:dyDescent="0.25">
      <c r="B29" s="674" t="s">
        <v>23</v>
      </c>
      <c r="C29" s="675"/>
      <c r="D29" s="676"/>
      <c r="E29" s="19">
        <f>SUM(F9:F12)-E33</f>
        <v>16597</v>
      </c>
      <c r="F29" s="162" t="s">
        <v>19</v>
      </c>
      <c r="G29" s="677" t="s">
        <v>33</v>
      </c>
      <c r="H29" s="677"/>
      <c r="I29" s="678">
        <v>16597</v>
      </c>
      <c r="J29" s="679"/>
      <c r="M29" s="154"/>
    </row>
    <row r="30" spans="2:14" x14ac:dyDescent="0.25">
      <c r="B30" s="578" t="s">
        <v>24</v>
      </c>
      <c r="C30" s="579"/>
      <c r="D30" s="580"/>
      <c r="E30" s="163">
        <v>10</v>
      </c>
      <c r="F30" s="18" t="s">
        <v>25</v>
      </c>
      <c r="G30" s="581" t="s">
        <v>34</v>
      </c>
      <c r="H30" s="581"/>
      <c r="I30" s="582"/>
      <c r="J30" s="583"/>
      <c r="M30" s="154"/>
    </row>
    <row r="31" spans="2:14" x14ac:dyDescent="0.25">
      <c r="B31" s="578" t="s">
        <v>26</v>
      </c>
      <c r="C31" s="579"/>
      <c r="D31" s="580"/>
      <c r="E31" s="18">
        <v>1</v>
      </c>
      <c r="F31" s="18" t="s">
        <v>316</v>
      </c>
      <c r="G31" s="581" t="s">
        <v>35</v>
      </c>
      <c r="H31" s="581"/>
      <c r="I31" s="582">
        <v>0.6</v>
      </c>
      <c r="J31" s="583"/>
      <c r="M31" s="154"/>
    </row>
    <row r="32" spans="2:14" x14ac:dyDescent="0.25">
      <c r="B32" s="578" t="s">
        <v>27</v>
      </c>
      <c r="C32" s="579"/>
      <c r="D32" s="580"/>
      <c r="E32" s="139">
        <f>E29</f>
        <v>16597</v>
      </c>
      <c r="F32" s="18" t="s">
        <v>19</v>
      </c>
      <c r="G32" s="680" t="s">
        <v>36</v>
      </c>
      <c r="H32" s="681"/>
      <c r="I32" s="582"/>
      <c r="J32" s="583"/>
      <c r="M32" s="154"/>
      <c r="N32" s="164"/>
    </row>
    <row r="33" spans="2:13" ht="14.25" thickBot="1" x14ac:dyDescent="0.3">
      <c r="B33" s="685" t="s">
        <v>28</v>
      </c>
      <c r="C33" s="644"/>
      <c r="D33" s="686"/>
      <c r="E33" s="165">
        <v>215</v>
      </c>
      <c r="F33" s="166" t="s">
        <v>19</v>
      </c>
      <c r="G33" s="645"/>
      <c r="H33" s="645"/>
      <c r="I33" s="646"/>
      <c r="J33" s="647"/>
      <c r="M33" s="154"/>
    </row>
    <row r="34" spans="2:13" ht="14.25" thickBot="1" x14ac:dyDescent="0.3">
      <c r="B34" s="682" t="s">
        <v>29</v>
      </c>
      <c r="C34" s="683"/>
      <c r="D34" s="683"/>
      <c r="E34" s="683"/>
      <c r="F34" s="683"/>
      <c r="G34" s="683"/>
      <c r="H34" s="683"/>
      <c r="I34" s="683"/>
      <c r="J34" s="684"/>
    </row>
    <row r="35" spans="2:13" ht="16.5" customHeight="1" x14ac:dyDescent="0.25">
      <c r="B35" s="754" t="s">
        <v>480</v>
      </c>
      <c r="C35" s="755"/>
      <c r="D35" s="755"/>
      <c r="E35" s="755"/>
      <c r="F35" s="755"/>
      <c r="G35" s="755"/>
      <c r="H35" s="755"/>
      <c r="I35" s="755"/>
      <c r="J35" s="756"/>
    </row>
    <row r="36" spans="2:13" ht="16.5" customHeight="1" x14ac:dyDescent="0.25">
      <c r="B36" s="754" t="s">
        <v>481</v>
      </c>
      <c r="C36" s="755"/>
      <c r="D36" s="755"/>
      <c r="E36" s="755"/>
      <c r="F36" s="755"/>
      <c r="G36" s="755"/>
      <c r="H36" s="755"/>
      <c r="I36" s="755"/>
      <c r="J36" s="756"/>
    </row>
    <row r="37" spans="2:13" ht="16.5" customHeight="1" x14ac:dyDescent="0.25">
      <c r="B37" s="754" t="s">
        <v>482</v>
      </c>
      <c r="C37" s="755"/>
      <c r="D37" s="755"/>
      <c r="E37" s="755"/>
      <c r="F37" s="755"/>
      <c r="G37" s="755"/>
      <c r="H37" s="755"/>
      <c r="I37" s="755"/>
      <c r="J37" s="756"/>
    </row>
    <row r="38" spans="2:13" ht="16.5" customHeight="1" x14ac:dyDescent="0.25">
      <c r="B38" s="754" t="s">
        <v>483</v>
      </c>
      <c r="C38" s="755"/>
      <c r="D38" s="755"/>
      <c r="E38" s="755"/>
      <c r="F38" s="755"/>
      <c r="G38" s="755"/>
      <c r="H38" s="755"/>
      <c r="I38" s="755"/>
      <c r="J38" s="756"/>
    </row>
    <row r="39" spans="2:13" ht="16.5" customHeight="1" thickBot="1" x14ac:dyDescent="0.3">
      <c r="B39" s="754" t="s">
        <v>484</v>
      </c>
      <c r="C39" s="755"/>
      <c r="D39" s="755"/>
      <c r="E39" s="755"/>
      <c r="F39" s="755"/>
      <c r="G39" s="755"/>
      <c r="H39" s="755"/>
      <c r="I39" s="755"/>
      <c r="J39" s="756"/>
    </row>
    <row r="40" spans="2:13" ht="16.5" customHeight="1" x14ac:dyDescent="0.25">
      <c r="B40" s="836" t="s">
        <v>113</v>
      </c>
      <c r="C40" s="837"/>
      <c r="D40" s="837"/>
      <c r="E40" s="837"/>
      <c r="F40" s="837"/>
      <c r="G40" s="837"/>
      <c r="H40" s="837"/>
      <c r="I40" s="837"/>
      <c r="J40" s="838"/>
    </row>
    <row r="41" spans="2:13" x14ac:dyDescent="0.25">
      <c r="B41" s="171" t="s">
        <v>485</v>
      </c>
      <c r="C41" s="169"/>
      <c r="D41" s="169"/>
      <c r="E41" s="169"/>
      <c r="F41" s="169"/>
      <c r="G41" s="169"/>
      <c r="H41" s="169"/>
      <c r="I41" s="169"/>
      <c r="J41" s="170"/>
    </row>
    <row r="42" spans="2:13" x14ac:dyDescent="0.25">
      <c r="B42" s="171" t="s">
        <v>486</v>
      </c>
      <c r="C42" s="169"/>
      <c r="D42" s="168"/>
      <c r="E42" s="169"/>
      <c r="F42" s="169"/>
      <c r="G42" s="169"/>
      <c r="H42" s="169"/>
      <c r="I42" s="169"/>
      <c r="J42" s="170"/>
    </row>
    <row r="43" spans="2:13" x14ac:dyDescent="0.25">
      <c r="B43" s="572" t="s">
        <v>487</v>
      </c>
      <c r="C43" s="573"/>
      <c r="D43" s="573"/>
      <c r="E43" s="573"/>
      <c r="F43" s="573"/>
      <c r="G43" s="573"/>
      <c r="H43" s="573"/>
      <c r="I43" s="573"/>
      <c r="J43" s="574"/>
    </row>
  </sheetData>
  <mergeCells count="39">
    <mergeCell ref="B40:J40"/>
    <mergeCell ref="B34:J34"/>
    <mergeCell ref="B35:J35"/>
    <mergeCell ref="B36:J36"/>
    <mergeCell ref="B37:J37"/>
    <mergeCell ref="B38:J38"/>
    <mergeCell ref="B39:J39"/>
    <mergeCell ref="B32:D32"/>
    <mergeCell ref="G32:H32"/>
    <mergeCell ref="I32:J32"/>
    <mergeCell ref="B33:D33"/>
    <mergeCell ref="G33:H33"/>
    <mergeCell ref="I33:J33"/>
    <mergeCell ref="B30:D30"/>
    <mergeCell ref="G30:H30"/>
    <mergeCell ref="I30:J30"/>
    <mergeCell ref="B31:D31"/>
    <mergeCell ref="G31:H31"/>
    <mergeCell ref="I31:J31"/>
    <mergeCell ref="H6:I6"/>
    <mergeCell ref="H9:I9"/>
    <mergeCell ref="H10:I10"/>
    <mergeCell ref="B29:D29"/>
    <mergeCell ref="G29:H29"/>
    <mergeCell ref="I29:J29"/>
    <mergeCell ref="F6:G6"/>
    <mergeCell ref="A6:A7"/>
    <mergeCell ref="B6:B7"/>
    <mergeCell ref="C6:C7"/>
    <mergeCell ref="D6:D7"/>
    <mergeCell ref="E6:E7"/>
    <mergeCell ref="J3:J5"/>
    <mergeCell ref="E4:H4"/>
    <mergeCell ref="E5:H5"/>
    <mergeCell ref="B1:C5"/>
    <mergeCell ref="D1:H1"/>
    <mergeCell ref="D2:H2"/>
    <mergeCell ref="D3:H3"/>
    <mergeCell ref="I3:I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4D31-3E98-4CDE-8A25-DD226F2DC882}">
  <dimension ref="A1:I55"/>
  <sheetViews>
    <sheetView workbookViewId="0">
      <selection activeCell="C4" sqref="C4"/>
    </sheetView>
  </sheetViews>
  <sheetFormatPr baseColWidth="10" defaultColWidth="11.5703125" defaultRowHeight="15" x14ac:dyDescent="0.25"/>
  <cols>
    <col min="2" max="2" width="12" customWidth="1"/>
    <col min="3" max="3" width="44.5703125" customWidth="1"/>
    <col min="8" max="8" width="17.5703125" customWidth="1"/>
    <col min="9" max="9" width="17.28515625" customWidth="1"/>
  </cols>
  <sheetData>
    <row r="1" spans="1:9" ht="16.5" x14ac:dyDescent="0.3">
      <c r="A1" s="629"/>
      <c r="B1" s="630"/>
      <c r="C1" s="611" t="s">
        <v>0</v>
      </c>
      <c r="D1" s="611"/>
      <c r="E1" s="611"/>
      <c r="F1" s="611"/>
      <c r="G1" s="611"/>
      <c r="H1" s="7" t="s">
        <v>1</v>
      </c>
      <c r="I1" s="8"/>
    </row>
    <row r="2" spans="1:9" ht="17.25" thickBot="1" x14ac:dyDescent="0.35">
      <c r="A2" s="631"/>
      <c r="B2" s="632"/>
      <c r="C2" s="612" t="s">
        <v>2</v>
      </c>
      <c r="D2" s="612"/>
      <c r="E2" s="612"/>
      <c r="F2" s="612"/>
      <c r="G2" s="612"/>
      <c r="H2" s="9" t="s">
        <v>3</v>
      </c>
      <c r="I2" s="10"/>
    </row>
    <row r="3" spans="1:9" ht="18" x14ac:dyDescent="0.25">
      <c r="A3" s="631"/>
      <c r="B3" s="632"/>
      <c r="C3" s="613" t="s">
        <v>231</v>
      </c>
      <c r="D3" s="614"/>
      <c r="E3" s="614"/>
      <c r="F3" s="614"/>
      <c r="G3" s="615"/>
      <c r="H3" s="616" t="s">
        <v>4</v>
      </c>
      <c r="I3" s="606"/>
    </row>
    <row r="4" spans="1:9" ht="16.5" x14ac:dyDescent="0.3">
      <c r="A4" s="631"/>
      <c r="B4" s="632"/>
      <c r="C4" s="9" t="s">
        <v>5</v>
      </c>
      <c r="D4" s="609" t="s">
        <v>30</v>
      </c>
      <c r="E4" s="609"/>
      <c r="F4" s="609"/>
      <c r="G4" s="609"/>
      <c r="H4" s="617"/>
      <c r="I4" s="607"/>
    </row>
    <row r="5" spans="1:9" ht="17.25" thickBot="1" x14ac:dyDescent="0.35">
      <c r="A5" s="633"/>
      <c r="B5" s="634"/>
      <c r="C5" s="11" t="s">
        <v>6</v>
      </c>
      <c r="D5" s="610" t="s">
        <v>31</v>
      </c>
      <c r="E5" s="610"/>
      <c r="F5" s="610"/>
      <c r="G5" s="610"/>
      <c r="H5" s="618"/>
      <c r="I5" s="608"/>
    </row>
    <row r="6" spans="1:9" ht="18" x14ac:dyDescent="0.25">
      <c r="A6" s="635" t="s">
        <v>7</v>
      </c>
      <c r="B6" s="636"/>
      <c r="C6" s="636"/>
      <c r="D6" s="637" t="s">
        <v>64</v>
      </c>
      <c r="E6" s="637"/>
      <c r="F6" s="637"/>
      <c r="G6" s="638" t="s">
        <v>8</v>
      </c>
      <c r="H6" s="638"/>
      <c r="I6" s="12" t="s">
        <v>39</v>
      </c>
    </row>
    <row r="7" spans="1:9" ht="22.15" customHeight="1" x14ac:dyDescent="0.25">
      <c r="A7" s="605" t="s">
        <v>9</v>
      </c>
      <c r="B7" s="639" t="s">
        <v>32</v>
      </c>
      <c r="C7" s="605" t="s">
        <v>10</v>
      </c>
      <c r="D7" s="605" t="s">
        <v>11</v>
      </c>
      <c r="E7" s="605" t="s">
        <v>12</v>
      </c>
      <c r="F7" s="605"/>
      <c r="G7" s="605" t="s">
        <v>13</v>
      </c>
      <c r="H7" s="605"/>
      <c r="I7" s="14" t="s">
        <v>14</v>
      </c>
    </row>
    <row r="8" spans="1:9" ht="25.5" x14ac:dyDescent="0.25">
      <c r="A8" s="605"/>
      <c r="B8" s="640"/>
      <c r="C8" s="605"/>
      <c r="D8" s="605"/>
      <c r="E8" s="15" t="s">
        <v>15</v>
      </c>
      <c r="F8" s="16" t="s">
        <v>16</v>
      </c>
      <c r="G8" s="15" t="s">
        <v>15</v>
      </c>
      <c r="H8" s="16" t="s">
        <v>16</v>
      </c>
      <c r="I8" s="13" t="s">
        <v>17</v>
      </c>
    </row>
    <row r="9" spans="1:9" x14ac:dyDescent="0.25">
      <c r="A9" s="47"/>
      <c r="B9" s="47"/>
      <c r="C9" s="199" t="s">
        <v>38</v>
      </c>
      <c r="D9" s="47"/>
      <c r="E9" s="48"/>
      <c r="F9" s="49"/>
      <c r="G9" s="48"/>
      <c r="H9" s="49"/>
      <c r="I9" s="47"/>
    </row>
    <row r="10" spans="1:9" ht="27" x14ac:dyDescent="0.25">
      <c r="A10" s="143">
        <v>907000268</v>
      </c>
      <c r="B10" s="143" t="s">
        <v>66</v>
      </c>
      <c r="C10" s="196" t="s">
        <v>67</v>
      </c>
      <c r="D10" s="183" t="s">
        <v>18</v>
      </c>
      <c r="E10" s="183">
        <v>335</v>
      </c>
      <c r="F10" s="191" t="s">
        <v>19</v>
      </c>
      <c r="G10" s="192" t="s">
        <v>21</v>
      </c>
      <c r="H10" s="49" t="s">
        <v>68</v>
      </c>
      <c r="I10" s="47"/>
    </row>
    <row r="11" spans="1:9" x14ac:dyDescent="0.25">
      <c r="A11" s="190">
        <v>910000003</v>
      </c>
      <c r="B11" s="143" t="s">
        <v>69</v>
      </c>
      <c r="C11" s="144" t="s">
        <v>70</v>
      </c>
      <c r="D11" s="184" t="s">
        <v>18</v>
      </c>
      <c r="E11" s="184">
        <v>100</v>
      </c>
      <c r="F11" s="184" t="s">
        <v>19</v>
      </c>
      <c r="G11" s="48"/>
      <c r="H11" s="49" t="s">
        <v>71</v>
      </c>
      <c r="I11" s="47"/>
    </row>
    <row r="12" spans="1:9" x14ac:dyDescent="0.25">
      <c r="A12" s="190">
        <v>902000168</v>
      </c>
      <c r="B12" s="143" t="s">
        <v>128</v>
      </c>
      <c r="C12" s="144" t="s">
        <v>127</v>
      </c>
      <c r="D12" s="184" t="s">
        <v>18</v>
      </c>
      <c r="E12" s="184">
        <v>150</v>
      </c>
      <c r="F12" s="184" t="s">
        <v>19</v>
      </c>
      <c r="G12" s="48"/>
      <c r="H12" s="49" t="s">
        <v>129</v>
      </c>
      <c r="I12" s="47"/>
    </row>
    <row r="13" spans="1:9" x14ac:dyDescent="0.25">
      <c r="A13" s="193"/>
      <c r="B13" s="194"/>
      <c r="C13" s="197" t="s">
        <v>119</v>
      </c>
      <c r="D13" s="185" t="s">
        <v>18</v>
      </c>
      <c r="E13" s="185">
        <v>430</v>
      </c>
      <c r="F13" s="185" t="s">
        <v>19</v>
      </c>
      <c r="G13" s="186"/>
      <c r="H13" s="186" t="s">
        <v>40</v>
      </c>
      <c r="I13" s="186"/>
    </row>
    <row r="14" spans="1:9" x14ac:dyDescent="0.25">
      <c r="A14" s="299">
        <v>908000032</v>
      </c>
      <c r="B14" s="300" t="s">
        <v>72</v>
      </c>
      <c r="C14" s="301" t="s">
        <v>73</v>
      </c>
      <c r="D14" s="302" t="s">
        <v>18</v>
      </c>
      <c r="E14" s="302">
        <v>90</v>
      </c>
      <c r="F14" s="187" t="s">
        <v>19</v>
      </c>
      <c r="G14" s="188"/>
      <c r="H14" s="188" t="s">
        <v>74</v>
      </c>
      <c r="I14" s="188"/>
    </row>
    <row r="15" spans="1:9" x14ac:dyDescent="0.25">
      <c r="A15" s="181"/>
      <c r="B15" s="189"/>
      <c r="C15" s="198" t="s">
        <v>75</v>
      </c>
      <c r="D15" s="185" t="s">
        <v>125</v>
      </c>
      <c r="E15" s="185">
        <v>60</v>
      </c>
      <c r="F15" s="185" t="s">
        <v>19</v>
      </c>
      <c r="G15" s="186"/>
      <c r="H15" s="186" t="s">
        <v>126</v>
      </c>
      <c r="I15" s="186"/>
    </row>
    <row r="16" spans="1:9" x14ac:dyDescent="0.25">
      <c r="A16" s="187"/>
      <c r="B16" s="46"/>
      <c r="C16" s="195" t="s">
        <v>39</v>
      </c>
      <c r="D16" s="187"/>
      <c r="E16" s="187"/>
      <c r="F16" s="187"/>
      <c r="G16" s="188"/>
      <c r="H16" s="187"/>
      <c r="I16" s="187"/>
    </row>
    <row r="17" spans="1:9" x14ac:dyDescent="0.25">
      <c r="A17" s="190">
        <v>910000018</v>
      </c>
      <c r="B17" s="143" t="s">
        <v>130</v>
      </c>
      <c r="C17" s="144" t="s">
        <v>131</v>
      </c>
      <c r="D17" s="47" t="s">
        <v>18</v>
      </c>
      <c r="E17" s="48">
        <v>150</v>
      </c>
      <c r="F17" s="49" t="s">
        <v>19</v>
      </c>
      <c r="G17" s="48"/>
      <c r="H17" s="49"/>
      <c r="I17" s="46" t="s">
        <v>132</v>
      </c>
    </row>
    <row r="18" spans="1:9" x14ac:dyDescent="0.25">
      <c r="A18" s="190">
        <v>11400027</v>
      </c>
      <c r="B18" s="143" t="s">
        <v>133</v>
      </c>
      <c r="C18" s="144" t="s">
        <v>134</v>
      </c>
      <c r="D18" s="47" t="s">
        <v>135</v>
      </c>
      <c r="E18" s="48">
        <v>20</v>
      </c>
      <c r="F18" s="49" t="s">
        <v>19</v>
      </c>
      <c r="G18" s="48"/>
      <c r="H18" s="49"/>
      <c r="I18" s="46" t="s">
        <v>136</v>
      </c>
    </row>
    <row r="19" spans="1:9" ht="15" customHeight="1" x14ac:dyDescent="0.25">
      <c r="A19" s="299">
        <v>908000032</v>
      </c>
      <c r="B19" s="300" t="s">
        <v>72</v>
      </c>
      <c r="C19" s="301" t="s">
        <v>73</v>
      </c>
      <c r="D19" s="302" t="s">
        <v>18</v>
      </c>
      <c r="E19" s="302">
        <v>20</v>
      </c>
      <c r="F19" s="187" t="s">
        <v>19</v>
      </c>
      <c r="G19" s="188"/>
      <c r="H19" s="188"/>
      <c r="I19" s="46" t="s">
        <v>140</v>
      </c>
    </row>
    <row r="20" spans="1:9" x14ac:dyDescent="0.25">
      <c r="A20" s="193"/>
      <c r="B20" s="194"/>
      <c r="C20" s="197" t="s">
        <v>119</v>
      </c>
      <c r="D20" s="185" t="s">
        <v>18</v>
      </c>
      <c r="E20" s="185">
        <v>215</v>
      </c>
      <c r="F20" s="185" t="s">
        <v>19</v>
      </c>
      <c r="G20" s="186"/>
      <c r="H20" s="186" t="s">
        <v>137</v>
      </c>
      <c r="I20" s="186" t="s">
        <v>138</v>
      </c>
    </row>
    <row r="21" spans="1:9" x14ac:dyDescent="0.25">
      <c r="A21" s="179"/>
      <c r="B21" s="182"/>
      <c r="C21" s="201" t="s">
        <v>147</v>
      </c>
      <c r="D21" s="185" t="s">
        <v>125</v>
      </c>
      <c r="E21" s="179">
        <v>12</v>
      </c>
      <c r="F21" s="179" t="s">
        <v>21</v>
      </c>
      <c r="G21" s="180"/>
      <c r="H21" s="179"/>
      <c r="I21" s="179"/>
    </row>
    <row r="22" spans="1:9" x14ac:dyDescent="0.25">
      <c r="A22" s="50"/>
      <c r="B22" s="17"/>
      <c r="C22" s="200" t="s">
        <v>20</v>
      </c>
      <c r="D22" s="2"/>
      <c r="E22" s="3"/>
      <c r="F22" s="2"/>
      <c r="G22" s="3"/>
      <c r="H22" s="2"/>
      <c r="I22" s="59"/>
    </row>
    <row r="23" spans="1:9" x14ac:dyDescent="0.25">
      <c r="A23" s="17"/>
      <c r="B23" s="17"/>
      <c r="C23" s="60"/>
      <c r="D23" s="61"/>
      <c r="E23" s="19"/>
      <c r="F23" s="62"/>
      <c r="G23" s="3"/>
      <c r="H23" s="2"/>
      <c r="I23" s="63"/>
    </row>
    <row r="24" spans="1:9" x14ac:dyDescent="0.25">
      <c r="A24" s="2">
        <v>121603</v>
      </c>
      <c r="B24" s="2" t="s">
        <v>41</v>
      </c>
      <c r="C24" s="64" t="s">
        <v>42</v>
      </c>
      <c r="D24" s="53" t="s">
        <v>43</v>
      </c>
      <c r="E24" s="54">
        <v>1</v>
      </c>
      <c r="F24" s="54" t="s">
        <v>21</v>
      </c>
      <c r="G24" s="52"/>
      <c r="H24" s="5"/>
      <c r="I24" s="65"/>
    </row>
    <row r="25" spans="1:9" x14ac:dyDescent="0.25">
      <c r="A25" s="2">
        <v>1950692</v>
      </c>
      <c r="B25" s="2" t="s">
        <v>44</v>
      </c>
      <c r="C25" s="66" t="s">
        <v>45</v>
      </c>
      <c r="D25" s="53" t="s">
        <v>46</v>
      </c>
      <c r="E25" s="54">
        <v>1</v>
      </c>
      <c r="F25" s="54" t="s">
        <v>47</v>
      </c>
      <c r="G25" s="52"/>
      <c r="H25" s="5"/>
      <c r="I25" s="65"/>
    </row>
    <row r="26" spans="1:9" x14ac:dyDescent="0.25">
      <c r="A26" s="21">
        <v>702069</v>
      </c>
      <c r="B26" s="22" t="s">
        <v>48</v>
      </c>
      <c r="C26" s="1" t="s">
        <v>49</v>
      </c>
      <c r="D26" s="55" t="s">
        <v>50</v>
      </c>
      <c r="E26" s="27">
        <v>1</v>
      </c>
      <c r="F26" s="28" t="s">
        <v>21</v>
      </c>
      <c r="G26" s="3"/>
      <c r="H26" s="2"/>
      <c r="I26" s="63"/>
    </row>
    <row r="27" spans="1:9" x14ac:dyDescent="0.25">
      <c r="A27" s="67" t="s">
        <v>51</v>
      </c>
      <c r="B27" s="68" t="s">
        <v>52</v>
      </c>
      <c r="C27" s="56" t="s">
        <v>53</v>
      </c>
      <c r="D27" s="32" t="s">
        <v>46</v>
      </c>
      <c r="E27" s="27">
        <v>60</v>
      </c>
      <c r="F27" s="28" t="s">
        <v>54</v>
      </c>
      <c r="G27" s="52"/>
      <c r="H27" s="20"/>
      <c r="I27" s="23"/>
    </row>
    <row r="28" spans="1:9" x14ac:dyDescent="0.25">
      <c r="A28" s="22">
        <v>701096</v>
      </c>
      <c r="B28" s="22" t="s">
        <v>55</v>
      </c>
      <c r="C28" s="1" t="s">
        <v>56</v>
      </c>
      <c r="D28" s="32" t="s">
        <v>57</v>
      </c>
      <c r="E28" s="27">
        <v>1</v>
      </c>
      <c r="F28" s="28" t="s">
        <v>21</v>
      </c>
      <c r="G28" s="52"/>
      <c r="H28" s="20"/>
      <c r="I28" s="46"/>
    </row>
    <row r="29" spans="1:9" ht="15.75" x14ac:dyDescent="0.25">
      <c r="A29" s="67" t="s">
        <v>58</v>
      </c>
      <c r="B29" s="68" t="s">
        <v>59</v>
      </c>
      <c r="C29" s="56" t="s">
        <v>60</v>
      </c>
      <c r="D29" s="4" t="s">
        <v>61</v>
      </c>
      <c r="E29" s="27">
        <v>1</v>
      </c>
      <c r="F29" s="28" t="s">
        <v>21</v>
      </c>
      <c r="G29" s="19"/>
      <c r="H29" s="20"/>
      <c r="I29" s="24"/>
    </row>
    <row r="30" spans="1:9" ht="0.6" customHeight="1" x14ac:dyDescent="0.25">
      <c r="A30" s="34">
        <v>60100120</v>
      </c>
      <c r="B30" s="22" t="s">
        <v>62</v>
      </c>
      <c r="C30" t="s">
        <v>63</v>
      </c>
      <c r="D30" s="4" t="s">
        <v>50</v>
      </c>
      <c r="E30" s="27">
        <v>1</v>
      </c>
      <c r="F30" s="28" t="s">
        <v>21</v>
      </c>
      <c r="G30" s="25"/>
      <c r="H30" s="26"/>
      <c r="I30" s="33"/>
    </row>
    <row r="31" spans="1:9" ht="15.75" x14ac:dyDescent="0.25">
      <c r="A31" s="29"/>
      <c r="B31" s="30"/>
      <c r="C31" s="31" t="s">
        <v>139</v>
      </c>
      <c r="D31" s="4"/>
      <c r="E31" s="27">
        <v>1</v>
      </c>
      <c r="F31" s="28" t="s">
        <v>21</v>
      </c>
      <c r="G31" s="35"/>
      <c r="H31" s="32"/>
      <c r="I31" s="36"/>
    </row>
    <row r="32" spans="1:9" ht="15.75" thickBot="1" x14ac:dyDescent="0.3">
      <c r="A32" s="37"/>
      <c r="B32" s="38"/>
      <c r="C32" s="39"/>
      <c r="D32" s="40" t="s">
        <v>15</v>
      </c>
      <c r="E32" s="41" t="s">
        <v>22</v>
      </c>
      <c r="F32" s="42"/>
      <c r="G32" s="39"/>
      <c r="H32" s="39"/>
      <c r="I32" s="43"/>
    </row>
    <row r="33" spans="1:9" x14ac:dyDescent="0.25">
      <c r="A33" s="623" t="s">
        <v>23</v>
      </c>
      <c r="B33" s="624"/>
      <c r="C33" s="625"/>
      <c r="D33" s="3">
        <v>1500</v>
      </c>
      <c r="E33" s="44" t="s">
        <v>19</v>
      </c>
      <c r="F33" s="626" t="s">
        <v>33</v>
      </c>
      <c r="G33" s="626"/>
      <c r="H33" s="627"/>
      <c r="I33" s="628"/>
    </row>
    <row r="34" spans="1:9" x14ac:dyDescent="0.25">
      <c r="A34" s="578" t="s">
        <v>24</v>
      </c>
      <c r="B34" s="579"/>
      <c r="C34" s="580"/>
      <c r="D34" s="2">
        <v>4</v>
      </c>
      <c r="E34" s="18" t="s">
        <v>25</v>
      </c>
      <c r="F34" s="581" t="s">
        <v>34</v>
      </c>
      <c r="G34" s="581"/>
      <c r="H34" s="582"/>
      <c r="I34" s="583"/>
    </row>
    <row r="35" spans="1:9" x14ac:dyDescent="0.25">
      <c r="A35" s="578" t="s">
        <v>26</v>
      </c>
      <c r="B35" s="579"/>
      <c r="C35" s="580"/>
      <c r="D35" s="3">
        <v>1</v>
      </c>
      <c r="E35" s="18" t="s">
        <v>21</v>
      </c>
      <c r="F35" s="581" t="s">
        <v>35</v>
      </c>
      <c r="G35" s="581"/>
      <c r="H35" s="582"/>
      <c r="I35" s="583"/>
    </row>
    <row r="36" spans="1:9" x14ac:dyDescent="0.25">
      <c r="A36" s="578" t="s">
        <v>27</v>
      </c>
      <c r="B36" s="579"/>
      <c r="C36" s="580"/>
      <c r="D36" s="3">
        <v>1500</v>
      </c>
      <c r="E36" s="17" t="s">
        <v>19</v>
      </c>
      <c r="F36" s="641" t="s">
        <v>36</v>
      </c>
      <c r="G36" s="641"/>
      <c r="H36" s="582"/>
      <c r="I36" s="583"/>
    </row>
    <row r="37" spans="1:9" ht="15.75" thickBot="1" x14ac:dyDescent="0.3">
      <c r="A37" s="642" t="s">
        <v>28</v>
      </c>
      <c r="B37" s="643"/>
      <c r="C37" s="644"/>
      <c r="D37" s="6">
        <f>SUM(E10:E20)-D33</f>
        <v>70</v>
      </c>
      <c r="E37" s="45" t="s">
        <v>19</v>
      </c>
      <c r="F37" s="645"/>
      <c r="G37" s="645"/>
      <c r="H37" s="646"/>
      <c r="I37" s="647"/>
    </row>
    <row r="38" spans="1:9" ht="15.75" thickBot="1" x14ac:dyDescent="0.3">
      <c r="A38" s="584" t="s">
        <v>29</v>
      </c>
      <c r="B38" s="585"/>
      <c r="C38" s="585"/>
      <c r="D38" s="585"/>
      <c r="E38" s="585"/>
      <c r="F38" s="585"/>
      <c r="G38" s="585"/>
      <c r="H38" s="585"/>
      <c r="I38" s="586"/>
    </row>
    <row r="39" spans="1:9" x14ac:dyDescent="0.25">
      <c r="A39" s="587" t="s">
        <v>142</v>
      </c>
      <c r="B39" s="588"/>
      <c r="C39" s="589"/>
      <c r="D39" s="589"/>
      <c r="E39" s="589"/>
      <c r="F39" s="589"/>
      <c r="G39" s="589"/>
      <c r="H39" s="589"/>
      <c r="I39" s="590"/>
    </row>
    <row r="40" spans="1:9" ht="14.65" customHeight="1" x14ac:dyDescent="0.25">
      <c r="A40" s="591" t="s">
        <v>141</v>
      </c>
      <c r="B40" s="592"/>
      <c r="C40" s="592"/>
      <c r="D40" s="592"/>
      <c r="E40" s="592"/>
      <c r="F40" s="592"/>
      <c r="G40" s="592"/>
      <c r="H40" s="592"/>
      <c r="I40" s="593"/>
    </row>
    <row r="41" spans="1:9" x14ac:dyDescent="0.25">
      <c r="A41" s="594" t="s">
        <v>143</v>
      </c>
      <c r="B41" s="595"/>
      <c r="C41" s="596"/>
      <c r="D41" s="596"/>
      <c r="E41" s="596"/>
      <c r="F41" s="596"/>
      <c r="G41" s="596"/>
      <c r="H41" s="596"/>
      <c r="I41" s="597"/>
    </row>
    <row r="42" spans="1:9" ht="16.5" x14ac:dyDescent="0.3">
      <c r="A42" s="598" t="s">
        <v>144</v>
      </c>
      <c r="B42" s="599"/>
      <c r="C42" s="599"/>
      <c r="D42" s="599"/>
      <c r="E42" s="599"/>
      <c r="F42" s="599"/>
      <c r="G42" s="599"/>
      <c r="H42" s="599"/>
      <c r="I42" s="600"/>
    </row>
    <row r="43" spans="1:9" x14ac:dyDescent="0.25">
      <c r="A43" s="601" t="s">
        <v>152</v>
      </c>
      <c r="B43" s="602"/>
      <c r="C43" s="603"/>
      <c r="D43" s="603"/>
      <c r="E43" s="603"/>
      <c r="F43" s="603"/>
      <c r="G43" s="603"/>
      <c r="H43" s="603"/>
      <c r="I43" s="604"/>
    </row>
    <row r="44" spans="1:9" x14ac:dyDescent="0.25">
      <c r="A44" s="575" t="s">
        <v>145</v>
      </c>
      <c r="B44" s="576"/>
      <c r="C44" s="576"/>
      <c r="D44" s="576"/>
      <c r="E44" s="576"/>
      <c r="F44" s="576"/>
      <c r="G44" s="576"/>
      <c r="H44" s="576"/>
      <c r="I44" s="577"/>
    </row>
    <row r="45" spans="1:9" x14ac:dyDescent="0.25">
      <c r="A45" s="575" t="s">
        <v>146</v>
      </c>
      <c r="B45" s="576"/>
      <c r="C45" s="576"/>
      <c r="D45" s="576"/>
      <c r="E45" s="576"/>
      <c r="F45" s="576"/>
      <c r="G45" s="576"/>
      <c r="H45" s="576"/>
      <c r="I45" s="577"/>
    </row>
    <row r="46" spans="1:9" ht="15.75" thickBot="1" x14ac:dyDescent="0.3">
      <c r="A46" s="648" t="s">
        <v>148</v>
      </c>
      <c r="B46" s="649"/>
      <c r="C46" s="650"/>
      <c r="D46" s="650"/>
      <c r="E46" s="650"/>
      <c r="F46" s="650"/>
      <c r="G46" s="650"/>
      <c r="H46" s="650"/>
      <c r="I46" s="651"/>
    </row>
    <row r="47" spans="1:9" x14ac:dyDescent="0.25">
      <c r="A47" s="652" t="s">
        <v>37</v>
      </c>
      <c r="B47" s="653"/>
      <c r="C47" s="653"/>
      <c r="D47" s="653"/>
      <c r="E47" s="653"/>
      <c r="F47" s="653"/>
      <c r="G47" s="653"/>
      <c r="H47" s="653"/>
      <c r="I47" s="654"/>
    </row>
    <row r="48" spans="1:9" ht="15.75" thickBot="1" x14ac:dyDescent="0.3">
      <c r="A48" s="655"/>
      <c r="B48" s="656"/>
      <c r="C48" s="657"/>
      <c r="D48" s="657"/>
      <c r="E48" s="657"/>
      <c r="F48" s="657"/>
      <c r="G48" s="657"/>
      <c r="H48" s="657"/>
      <c r="I48" s="658"/>
    </row>
    <row r="49" spans="1:9" ht="15.75" thickBot="1" x14ac:dyDescent="0.3">
      <c r="A49" s="619"/>
      <c r="B49" s="620"/>
      <c r="C49" s="621"/>
      <c r="D49" s="621"/>
      <c r="E49" s="621"/>
      <c r="F49" s="621"/>
      <c r="G49" s="621"/>
      <c r="H49" s="621"/>
      <c r="I49" s="622"/>
    </row>
    <row r="50" spans="1:9" ht="15.75" thickBot="1" x14ac:dyDescent="0.3">
      <c r="A50" s="619"/>
      <c r="B50" s="620"/>
      <c r="C50" s="621"/>
      <c r="D50" s="621"/>
      <c r="E50" s="621"/>
      <c r="F50" s="621"/>
      <c r="G50" s="621"/>
      <c r="H50" s="621"/>
      <c r="I50" s="622"/>
    </row>
    <row r="51" spans="1:9" ht="15.75" thickBot="1" x14ac:dyDescent="0.3">
      <c r="A51" s="619"/>
      <c r="B51" s="620"/>
      <c r="C51" s="621"/>
      <c r="D51" s="621"/>
      <c r="E51" s="621"/>
      <c r="F51" s="621"/>
      <c r="G51" s="621"/>
      <c r="H51" s="621"/>
      <c r="I51" s="622"/>
    </row>
    <row r="52" spans="1:9" ht="15.75" thickBot="1" x14ac:dyDescent="0.3">
      <c r="A52" s="619"/>
      <c r="B52" s="620"/>
      <c r="C52" s="621"/>
      <c r="D52" s="621"/>
      <c r="E52" s="621"/>
      <c r="F52" s="621"/>
      <c r="G52" s="621"/>
      <c r="H52" s="621"/>
      <c r="I52" s="622"/>
    </row>
    <row r="53" spans="1:9" ht="15.75" thickBot="1" x14ac:dyDescent="0.3">
      <c r="A53" s="619"/>
      <c r="B53" s="620"/>
      <c r="C53" s="621"/>
      <c r="D53" s="621"/>
      <c r="E53" s="621"/>
      <c r="F53" s="621"/>
      <c r="G53" s="621"/>
      <c r="H53" s="621"/>
      <c r="I53" s="622"/>
    </row>
    <row r="54" spans="1:9" ht="15.75" thickBot="1" x14ac:dyDescent="0.3">
      <c r="A54" s="619"/>
      <c r="B54" s="620"/>
      <c r="C54" s="621"/>
      <c r="D54" s="621"/>
      <c r="E54" s="621"/>
      <c r="F54" s="621"/>
      <c r="G54" s="621"/>
      <c r="H54" s="621"/>
      <c r="I54" s="622"/>
    </row>
    <row r="55" spans="1:9" ht="15.75" thickBot="1" x14ac:dyDescent="0.3">
      <c r="A55" s="619"/>
      <c r="B55" s="620"/>
      <c r="C55" s="621"/>
      <c r="D55" s="621"/>
      <c r="E55" s="621"/>
      <c r="F55" s="621"/>
      <c r="G55" s="621"/>
      <c r="H55" s="621"/>
      <c r="I55" s="622"/>
    </row>
  </sheetData>
  <mergeCells count="50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37:C37"/>
    <mergeCell ref="F37:G37"/>
    <mergeCell ref="H37:I37"/>
    <mergeCell ref="A38:I38"/>
    <mergeCell ref="A39:I39"/>
    <mergeCell ref="A40:I40"/>
    <mergeCell ref="A41:I41"/>
    <mergeCell ref="A42:I42"/>
    <mergeCell ref="A43:I43"/>
    <mergeCell ref="A44:I44"/>
    <mergeCell ref="A45:I45"/>
    <mergeCell ref="A35:C35"/>
    <mergeCell ref="F35:G35"/>
    <mergeCell ref="H35:I35"/>
    <mergeCell ref="A36:C36"/>
    <mergeCell ref="F36:G36"/>
    <mergeCell ref="H36:I36"/>
    <mergeCell ref="A33:C33"/>
    <mergeCell ref="F33:G33"/>
    <mergeCell ref="H33:I33"/>
    <mergeCell ref="A34:C34"/>
    <mergeCell ref="F34:G34"/>
    <mergeCell ref="H34:I3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4CAD-8E9D-45D5-AABC-5BA2DA607B79}">
  <dimension ref="A1:Q94"/>
  <sheetViews>
    <sheetView topLeftCell="A7" workbookViewId="0">
      <selection activeCell="E8" sqref="E8"/>
    </sheetView>
  </sheetViews>
  <sheetFormatPr baseColWidth="10" defaultColWidth="8.42578125" defaultRowHeight="12.75" x14ac:dyDescent="0.25"/>
  <cols>
    <col min="1" max="1" width="10" style="207" bestFit="1" customWidth="1"/>
    <col min="2" max="2" width="44.28515625" style="207" bestFit="1" customWidth="1"/>
    <col min="3" max="3" width="10.42578125" style="207" bestFit="1" customWidth="1"/>
    <col min="4" max="4" width="10.42578125" style="207" customWidth="1"/>
    <col min="5" max="5" width="9.7109375" style="207" bestFit="1" customWidth="1"/>
    <col min="6" max="6" width="9.5703125" style="207" bestFit="1" customWidth="1"/>
    <col min="7" max="7" width="9.5703125" style="289" bestFit="1" customWidth="1"/>
    <col min="8" max="8" width="10.42578125" style="280" bestFit="1" customWidth="1"/>
    <col min="9" max="9" width="4.5703125" style="280" customWidth="1"/>
    <col min="10" max="10" width="1.85546875" style="206" customWidth="1"/>
    <col min="11" max="11" width="7" style="207" bestFit="1" customWidth="1"/>
    <col min="12" max="12" width="6.28515625" style="207" customWidth="1"/>
    <col min="13" max="13" width="20.42578125" style="207" customWidth="1"/>
    <col min="14" max="14" width="6.42578125" style="207" bestFit="1" customWidth="1"/>
    <col min="15" max="15" width="9" style="207" bestFit="1" customWidth="1"/>
    <col min="16" max="16" width="8.42578125" style="207"/>
    <col min="17" max="17" width="3.28515625" style="207" customWidth="1"/>
    <col min="18" max="256" width="8.42578125" style="207"/>
    <col min="257" max="257" width="10" style="207" bestFit="1" customWidth="1"/>
    <col min="258" max="258" width="44.28515625" style="207" bestFit="1" customWidth="1"/>
    <col min="259" max="259" width="10.42578125" style="207" bestFit="1" customWidth="1"/>
    <col min="260" max="260" width="10.42578125" style="207" customWidth="1"/>
    <col min="261" max="261" width="9.7109375" style="207" bestFit="1" customWidth="1"/>
    <col min="262" max="263" width="9.5703125" style="207" bestFit="1" customWidth="1"/>
    <col min="264" max="264" width="10.42578125" style="207" bestFit="1" customWidth="1"/>
    <col min="265" max="265" width="4.5703125" style="207" customWidth="1"/>
    <col min="266" max="266" width="1.85546875" style="207" customWidth="1"/>
    <col min="267" max="267" width="7" style="207" bestFit="1" customWidth="1"/>
    <col min="268" max="268" width="6.28515625" style="207" customWidth="1"/>
    <col min="269" max="269" width="20.42578125" style="207" customWidth="1"/>
    <col min="270" max="270" width="6.42578125" style="207" bestFit="1" customWidth="1"/>
    <col min="271" max="272" width="8.42578125" style="207"/>
    <col min="273" max="273" width="3.28515625" style="207" customWidth="1"/>
    <col min="274" max="512" width="8.42578125" style="207"/>
    <col min="513" max="513" width="10" style="207" bestFit="1" customWidth="1"/>
    <col min="514" max="514" width="44.28515625" style="207" bestFit="1" customWidth="1"/>
    <col min="515" max="515" width="10.42578125" style="207" bestFit="1" customWidth="1"/>
    <col min="516" max="516" width="10.42578125" style="207" customWidth="1"/>
    <col min="517" max="517" width="9.7109375" style="207" bestFit="1" customWidth="1"/>
    <col min="518" max="519" width="9.5703125" style="207" bestFit="1" customWidth="1"/>
    <col min="520" max="520" width="10.42578125" style="207" bestFit="1" customWidth="1"/>
    <col min="521" max="521" width="4.5703125" style="207" customWidth="1"/>
    <col min="522" max="522" width="1.85546875" style="207" customWidth="1"/>
    <col min="523" max="523" width="7" style="207" bestFit="1" customWidth="1"/>
    <col min="524" max="524" width="6.28515625" style="207" customWidth="1"/>
    <col min="525" max="525" width="20.42578125" style="207" customWidth="1"/>
    <col min="526" max="526" width="6.42578125" style="207" bestFit="1" customWidth="1"/>
    <col min="527" max="528" width="8.42578125" style="207"/>
    <col min="529" max="529" width="3.28515625" style="207" customWidth="1"/>
    <col min="530" max="768" width="8.42578125" style="207"/>
    <col min="769" max="769" width="10" style="207" bestFit="1" customWidth="1"/>
    <col min="770" max="770" width="44.28515625" style="207" bestFit="1" customWidth="1"/>
    <col min="771" max="771" width="10.42578125" style="207" bestFit="1" customWidth="1"/>
    <col min="772" max="772" width="10.42578125" style="207" customWidth="1"/>
    <col min="773" max="773" width="9.7109375" style="207" bestFit="1" customWidth="1"/>
    <col min="774" max="775" width="9.5703125" style="207" bestFit="1" customWidth="1"/>
    <col min="776" max="776" width="10.42578125" style="207" bestFit="1" customWidth="1"/>
    <col min="777" max="777" width="4.5703125" style="207" customWidth="1"/>
    <col min="778" max="778" width="1.85546875" style="207" customWidth="1"/>
    <col min="779" max="779" width="7" style="207" bestFit="1" customWidth="1"/>
    <col min="780" max="780" width="6.28515625" style="207" customWidth="1"/>
    <col min="781" max="781" width="20.42578125" style="207" customWidth="1"/>
    <col min="782" max="782" width="6.42578125" style="207" bestFit="1" customWidth="1"/>
    <col min="783" max="784" width="8.42578125" style="207"/>
    <col min="785" max="785" width="3.28515625" style="207" customWidth="1"/>
    <col min="786" max="1024" width="8.42578125" style="207"/>
    <col min="1025" max="1025" width="10" style="207" bestFit="1" customWidth="1"/>
    <col min="1026" max="1026" width="44.28515625" style="207" bestFit="1" customWidth="1"/>
    <col min="1027" max="1027" width="10.42578125" style="207" bestFit="1" customWidth="1"/>
    <col min="1028" max="1028" width="10.42578125" style="207" customWidth="1"/>
    <col min="1029" max="1029" width="9.7109375" style="207" bestFit="1" customWidth="1"/>
    <col min="1030" max="1031" width="9.5703125" style="207" bestFit="1" customWidth="1"/>
    <col min="1032" max="1032" width="10.42578125" style="207" bestFit="1" customWidth="1"/>
    <col min="1033" max="1033" width="4.5703125" style="207" customWidth="1"/>
    <col min="1034" max="1034" width="1.85546875" style="207" customWidth="1"/>
    <col min="1035" max="1035" width="7" style="207" bestFit="1" customWidth="1"/>
    <col min="1036" max="1036" width="6.28515625" style="207" customWidth="1"/>
    <col min="1037" max="1037" width="20.42578125" style="207" customWidth="1"/>
    <col min="1038" max="1038" width="6.42578125" style="207" bestFit="1" customWidth="1"/>
    <col min="1039" max="1040" width="8.42578125" style="207"/>
    <col min="1041" max="1041" width="3.28515625" style="207" customWidth="1"/>
    <col min="1042" max="1280" width="8.42578125" style="207"/>
    <col min="1281" max="1281" width="10" style="207" bestFit="1" customWidth="1"/>
    <col min="1282" max="1282" width="44.28515625" style="207" bestFit="1" customWidth="1"/>
    <col min="1283" max="1283" width="10.42578125" style="207" bestFit="1" customWidth="1"/>
    <col min="1284" max="1284" width="10.42578125" style="207" customWidth="1"/>
    <col min="1285" max="1285" width="9.7109375" style="207" bestFit="1" customWidth="1"/>
    <col min="1286" max="1287" width="9.5703125" style="207" bestFit="1" customWidth="1"/>
    <col min="1288" max="1288" width="10.42578125" style="207" bestFit="1" customWidth="1"/>
    <col min="1289" max="1289" width="4.5703125" style="207" customWidth="1"/>
    <col min="1290" max="1290" width="1.85546875" style="207" customWidth="1"/>
    <col min="1291" max="1291" width="7" style="207" bestFit="1" customWidth="1"/>
    <col min="1292" max="1292" width="6.28515625" style="207" customWidth="1"/>
    <col min="1293" max="1293" width="20.42578125" style="207" customWidth="1"/>
    <col min="1294" max="1294" width="6.42578125" style="207" bestFit="1" customWidth="1"/>
    <col min="1295" max="1296" width="8.42578125" style="207"/>
    <col min="1297" max="1297" width="3.28515625" style="207" customWidth="1"/>
    <col min="1298" max="1536" width="8.42578125" style="207"/>
    <col min="1537" max="1537" width="10" style="207" bestFit="1" customWidth="1"/>
    <col min="1538" max="1538" width="44.28515625" style="207" bestFit="1" customWidth="1"/>
    <col min="1539" max="1539" width="10.42578125" style="207" bestFit="1" customWidth="1"/>
    <col min="1540" max="1540" width="10.42578125" style="207" customWidth="1"/>
    <col min="1541" max="1541" width="9.7109375" style="207" bestFit="1" customWidth="1"/>
    <col min="1542" max="1543" width="9.5703125" style="207" bestFit="1" customWidth="1"/>
    <col min="1544" max="1544" width="10.42578125" style="207" bestFit="1" customWidth="1"/>
    <col min="1545" max="1545" width="4.5703125" style="207" customWidth="1"/>
    <col min="1546" max="1546" width="1.85546875" style="207" customWidth="1"/>
    <col min="1547" max="1547" width="7" style="207" bestFit="1" customWidth="1"/>
    <col min="1548" max="1548" width="6.28515625" style="207" customWidth="1"/>
    <col min="1549" max="1549" width="20.42578125" style="207" customWidth="1"/>
    <col min="1550" max="1550" width="6.42578125" style="207" bestFit="1" customWidth="1"/>
    <col min="1551" max="1552" width="8.42578125" style="207"/>
    <col min="1553" max="1553" width="3.28515625" style="207" customWidth="1"/>
    <col min="1554" max="1792" width="8.42578125" style="207"/>
    <col min="1793" max="1793" width="10" style="207" bestFit="1" customWidth="1"/>
    <col min="1794" max="1794" width="44.28515625" style="207" bestFit="1" customWidth="1"/>
    <col min="1795" max="1795" width="10.42578125" style="207" bestFit="1" customWidth="1"/>
    <col min="1796" max="1796" width="10.42578125" style="207" customWidth="1"/>
    <col min="1797" max="1797" width="9.7109375" style="207" bestFit="1" customWidth="1"/>
    <col min="1798" max="1799" width="9.5703125" style="207" bestFit="1" customWidth="1"/>
    <col min="1800" max="1800" width="10.42578125" style="207" bestFit="1" customWidth="1"/>
    <col min="1801" max="1801" width="4.5703125" style="207" customWidth="1"/>
    <col min="1802" max="1802" width="1.85546875" style="207" customWidth="1"/>
    <col min="1803" max="1803" width="7" style="207" bestFit="1" customWidth="1"/>
    <col min="1804" max="1804" width="6.28515625" style="207" customWidth="1"/>
    <col min="1805" max="1805" width="20.42578125" style="207" customWidth="1"/>
    <col min="1806" max="1806" width="6.42578125" style="207" bestFit="1" customWidth="1"/>
    <col min="1807" max="1808" width="8.42578125" style="207"/>
    <col min="1809" max="1809" width="3.28515625" style="207" customWidth="1"/>
    <col min="1810" max="2048" width="8.42578125" style="207"/>
    <col min="2049" max="2049" width="10" style="207" bestFit="1" customWidth="1"/>
    <col min="2050" max="2050" width="44.28515625" style="207" bestFit="1" customWidth="1"/>
    <col min="2051" max="2051" width="10.42578125" style="207" bestFit="1" customWidth="1"/>
    <col min="2052" max="2052" width="10.42578125" style="207" customWidth="1"/>
    <col min="2053" max="2053" width="9.7109375" style="207" bestFit="1" customWidth="1"/>
    <col min="2054" max="2055" width="9.5703125" style="207" bestFit="1" customWidth="1"/>
    <col min="2056" max="2056" width="10.42578125" style="207" bestFit="1" customWidth="1"/>
    <col min="2057" max="2057" width="4.5703125" style="207" customWidth="1"/>
    <col min="2058" max="2058" width="1.85546875" style="207" customWidth="1"/>
    <col min="2059" max="2059" width="7" style="207" bestFit="1" customWidth="1"/>
    <col min="2060" max="2060" width="6.28515625" style="207" customWidth="1"/>
    <col min="2061" max="2061" width="20.42578125" style="207" customWidth="1"/>
    <col min="2062" max="2062" width="6.42578125" style="207" bestFit="1" customWidth="1"/>
    <col min="2063" max="2064" width="8.42578125" style="207"/>
    <col min="2065" max="2065" width="3.28515625" style="207" customWidth="1"/>
    <col min="2066" max="2304" width="8.42578125" style="207"/>
    <col min="2305" max="2305" width="10" style="207" bestFit="1" customWidth="1"/>
    <col min="2306" max="2306" width="44.28515625" style="207" bestFit="1" customWidth="1"/>
    <col min="2307" max="2307" width="10.42578125" style="207" bestFit="1" customWidth="1"/>
    <col min="2308" max="2308" width="10.42578125" style="207" customWidth="1"/>
    <col min="2309" max="2309" width="9.7109375" style="207" bestFit="1" customWidth="1"/>
    <col min="2310" max="2311" width="9.5703125" style="207" bestFit="1" customWidth="1"/>
    <col min="2312" max="2312" width="10.42578125" style="207" bestFit="1" customWidth="1"/>
    <col min="2313" max="2313" width="4.5703125" style="207" customWidth="1"/>
    <col min="2314" max="2314" width="1.85546875" style="207" customWidth="1"/>
    <col min="2315" max="2315" width="7" style="207" bestFit="1" customWidth="1"/>
    <col min="2316" max="2316" width="6.28515625" style="207" customWidth="1"/>
    <col min="2317" max="2317" width="20.42578125" style="207" customWidth="1"/>
    <col min="2318" max="2318" width="6.42578125" style="207" bestFit="1" customWidth="1"/>
    <col min="2319" max="2320" width="8.42578125" style="207"/>
    <col min="2321" max="2321" width="3.28515625" style="207" customWidth="1"/>
    <col min="2322" max="2560" width="8.42578125" style="207"/>
    <col min="2561" max="2561" width="10" style="207" bestFit="1" customWidth="1"/>
    <col min="2562" max="2562" width="44.28515625" style="207" bestFit="1" customWidth="1"/>
    <col min="2563" max="2563" width="10.42578125" style="207" bestFit="1" customWidth="1"/>
    <col min="2564" max="2564" width="10.42578125" style="207" customWidth="1"/>
    <col min="2565" max="2565" width="9.7109375" style="207" bestFit="1" customWidth="1"/>
    <col min="2566" max="2567" width="9.5703125" style="207" bestFit="1" customWidth="1"/>
    <col min="2568" max="2568" width="10.42578125" style="207" bestFit="1" customWidth="1"/>
    <col min="2569" max="2569" width="4.5703125" style="207" customWidth="1"/>
    <col min="2570" max="2570" width="1.85546875" style="207" customWidth="1"/>
    <col min="2571" max="2571" width="7" style="207" bestFit="1" customWidth="1"/>
    <col min="2572" max="2572" width="6.28515625" style="207" customWidth="1"/>
    <col min="2573" max="2573" width="20.42578125" style="207" customWidth="1"/>
    <col min="2574" max="2574" width="6.42578125" style="207" bestFit="1" customWidth="1"/>
    <col min="2575" max="2576" width="8.42578125" style="207"/>
    <col min="2577" max="2577" width="3.28515625" style="207" customWidth="1"/>
    <col min="2578" max="2816" width="8.42578125" style="207"/>
    <col min="2817" max="2817" width="10" style="207" bestFit="1" customWidth="1"/>
    <col min="2818" max="2818" width="44.28515625" style="207" bestFit="1" customWidth="1"/>
    <col min="2819" max="2819" width="10.42578125" style="207" bestFit="1" customWidth="1"/>
    <col min="2820" max="2820" width="10.42578125" style="207" customWidth="1"/>
    <col min="2821" max="2821" width="9.7109375" style="207" bestFit="1" customWidth="1"/>
    <col min="2822" max="2823" width="9.5703125" style="207" bestFit="1" customWidth="1"/>
    <col min="2824" max="2824" width="10.42578125" style="207" bestFit="1" customWidth="1"/>
    <col min="2825" max="2825" width="4.5703125" style="207" customWidth="1"/>
    <col min="2826" max="2826" width="1.85546875" style="207" customWidth="1"/>
    <col min="2827" max="2827" width="7" style="207" bestFit="1" customWidth="1"/>
    <col min="2828" max="2828" width="6.28515625" style="207" customWidth="1"/>
    <col min="2829" max="2829" width="20.42578125" style="207" customWidth="1"/>
    <col min="2830" max="2830" width="6.42578125" style="207" bestFit="1" customWidth="1"/>
    <col min="2831" max="2832" width="8.42578125" style="207"/>
    <col min="2833" max="2833" width="3.28515625" style="207" customWidth="1"/>
    <col min="2834" max="3072" width="8.42578125" style="207"/>
    <col min="3073" max="3073" width="10" style="207" bestFit="1" customWidth="1"/>
    <col min="3074" max="3074" width="44.28515625" style="207" bestFit="1" customWidth="1"/>
    <col min="3075" max="3075" width="10.42578125" style="207" bestFit="1" customWidth="1"/>
    <col min="3076" max="3076" width="10.42578125" style="207" customWidth="1"/>
    <col min="3077" max="3077" width="9.7109375" style="207" bestFit="1" customWidth="1"/>
    <col min="3078" max="3079" width="9.5703125" style="207" bestFit="1" customWidth="1"/>
    <col min="3080" max="3080" width="10.42578125" style="207" bestFit="1" customWidth="1"/>
    <col min="3081" max="3081" width="4.5703125" style="207" customWidth="1"/>
    <col min="3082" max="3082" width="1.85546875" style="207" customWidth="1"/>
    <col min="3083" max="3083" width="7" style="207" bestFit="1" customWidth="1"/>
    <col min="3084" max="3084" width="6.28515625" style="207" customWidth="1"/>
    <col min="3085" max="3085" width="20.42578125" style="207" customWidth="1"/>
    <col min="3086" max="3086" width="6.42578125" style="207" bestFit="1" customWidth="1"/>
    <col min="3087" max="3088" width="8.42578125" style="207"/>
    <col min="3089" max="3089" width="3.28515625" style="207" customWidth="1"/>
    <col min="3090" max="3328" width="8.42578125" style="207"/>
    <col min="3329" max="3329" width="10" style="207" bestFit="1" customWidth="1"/>
    <col min="3330" max="3330" width="44.28515625" style="207" bestFit="1" customWidth="1"/>
    <col min="3331" max="3331" width="10.42578125" style="207" bestFit="1" customWidth="1"/>
    <col min="3332" max="3332" width="10.42578125" style="207" customWidth="1"/>
    <col min="3333" max="3333" width="9.7109375" style="207" bestFit="1" customWidth="1"/>
    <col min="3334" max="3335" width="9.5703125" style="207" bestFit="1" customWidth="1"/>
    <col min="3336" max="3336" width="10.42578125" style="207" bestFit="1" customWidth="1"/>
    <col min="3337" max="3337" width="4.5703125" style="207" customWidth="1"/>
    <col min="3338" max="3338" width="1.85546875" style="207" customWidth="1"/>
    <col min="3339" max="3339" width="7" style="207" bestFit="1" customWidth="1"/>
    <col min="3340" max="3340" width="6.28515625" style="207" customWidth="1"/>
    <col min="3341" max="3341" width="20.42578125" style="207" customWidth="1"/>
    <col min="3342" max="3342" width="6.42578125" style="207" bestFit="1" customWidth="1"/>
    <col min="3343" max="3344" width="8.42578125" style="207"/>
    <col min="3345" max="3345" width="3.28515625" style="207" customWidth="1"/>
    <col min="3346" max="3584" width="8.42578125" style="207"/>
    <col min="3585" max="3585" width="10" style="207" bestFit="1" customWidth="1"/>
    <col min="3586" max="3586" width="44.28515625" style="207" bestFit="1" customWidth="1"/>
    <col min="3587" max="3587" width="10.42578125" style="207" bestFit="1" customWidth="1"/>
    <col min="3588" max="3588" width="10.42578125" style="207" customWidth="1"/>
    <col min="3589" max="3589" width="9.7109375" style="207" bestFit="1" customWidth="1"/>
    <col min="3590" max="3591" width="9.5703125" style="207" bestFit="1" customWidth="1"/>
    <col min="3592" max="3592" width="10.42578125" style="207" bestFit="1" customWidth="1"/>
    <col min="3593" max="3593" width="4.5703125" style="207" customWidth="1"/>
    <col min="3594" max="3594" width="1.85546875" style="207" customWidth="1"/>
    <col min="3595" max="3595" width="7" style="207" bestFit="1" customWidth="1"/>
    <col min="3596" max="3596" width="6.28515625" style="207" customWidth="1"/>
    <col min="3597" max="3597" width="20.42578125" style="207" customWidth="1"/>
    <col min="3598" max="3598" width="6.42578125" style="207" bestFit="1" customWidth="1"/>
    <col min="3599" max="3600" width="8.42578125" style="207"/>
    <col min="3601" max="3601" width="3.28515625" style="207" customWidth="1"/>
    <col min="3602" max="3840" width="8.42578125" style="207"/>
    <col min="3841" max="3841" width="10" style="207" bestFit="1" customWidth="1"/>
    <col min="3842" max="3842" width="44.28515625" style="207" bestFit="1" customWidth="1"/>
    <col min="3843" max="3843" width="10.42578125" style="207" bestFit="1" customWidth="1"/>
    <col min="3844" max="3844" width="10.42578125" style="207" customWidth="1"/>
    <col min="3845" max="3845" width="9.7109375" style="207" bestFit="1" customWidth="1"/>
    <col min="3846" max="3847" width="9.5703125" style="207" bestFit="1" customWidth="1"/>
    <col min="3848" max="3848" width="10.42578125" style="207" bestFit="1" customWidth="1"/>
    <col min="3849" max="3849" width="4.5703125" style="207" customWidth="1"/>
    <col min="3850" max="3850" width="1.85546875" style="207" customWidth="1"/>
    <col min="3851" max="3851" width="7" style="207" bestFit="1" customWidth="1"/>
    <col min="3852" max="3852" width="6.28515625" style="207" customWidth="1"/>
    <col min="3853" max="3853" width="20.42578125" style="207" customWidth="1"/>
    <col min="3854" max="3854" width="6.42578125" style="207" bestFit="1" customWidth="1"/>
    <col min="3855" max="3856" width="8.42578125" style="207"/>
    <col min="3857" max="3857" width="3.28515625" style="207" customWidth="1"/>
    <col min="3858" max="4096" width="8.42578125" style="207"/>
    <col min="4097" max="4097" width="10" style="207" bestFit="1" customWidth="1"/>
    <col min="4098" max="4098" width="44.28515625" style="207" bestFit="1" customWidth="1"/>
    <col min="4099" max="4099" width="10.42578125" style="207" bestFit="1" customWidth="1"/>
    <col min="4100" max="4100" width="10.42578125" style="207" customWidth="1"/>
    <col min="4101" max="4101" width="9.7109375" style="207" bestFit="1" customWidth="1"/>
    <col min="4102" max="4103" width="9.5703125" style="207" bestFit="1" customWidth="1"/>
    <col min="4104" max="4104" width="10.42578125" style="207" bestFit="1" customWidth="1"/>
    <col min="4105" max="4105" width="4.5703125" style="207" customWidth="1"/>
    <col min="4106" max="4106" width="1.85546875" style="207" customWidth="1"/>
    <col min="4107" max="4107" width="7" style="207" bestFit="1" customWidth="1"/>
    <col min="4108" max="4108" width="6.28515625" style="207" customWidth="1"/>
    <col min="4109" max="4109" width="20.42578125" style="207" customWidth="1"/>
    <col min="4110" max="4110" width="6.42578125" style="207" bestFit="1" customWidth="1"/>
    <col min="4111" max="4112" width="8.42578125" style="207"/>
    <col min="4113" max="4113" width="3.28515625" style="207" customWidth="1"/>
    <col min="4114" max="4352" width="8.42578125" style="207"/>
    <col min="4353" max="4353" width="10" style="207" bestFit="1" customWidth="1"/>
    <col min="4354" max="4354" width="44.28515625" style="207" bestFit="1" customWidth="1"/>
    <col min="4355" max="4355" width="10.42578125" style="207" bestFit="1" customWidth="1"/>
    <col min="4356" max="4356" width="10.42578125" style="207" customWidth="1"/>
    <col min="4357" max="4357" width="9.7109375" style="207" bestFit="1" customWidth="1"/>
    <col min="4358" max="4359" width="9.5703125" style="207" bestFit="1" customWidth="1"/>
    <col min="4360" max="4360" width="10.42578125" style="207" bestFit="1" customWidth="1"/>
    <col min="4361" max="4361" width="4.5703125" style="207" customWidth="1"/>
    <col min="4362" max="4362" width="1.85546875" style="207" customWidth="1"/>
    <col min="4363" max="4363" width="7" style="207" bestFit="1" customWidth="1"/>
    <col min="4364" max="4364" width="6.28515625" style="207" customWidth="1"/>
    <col min="4365" max="4365" width="20.42578125" style="207" customWidth="1"/>
    <col min="4366" max="4366" width="6.42578125" style="207" bestFit="1" customWidth="1"/>
    <col min="4367" max="4368" width="8.42578125" style="207"/>
    <col min="4369" max="4369" width="3.28515625" style="207" customWidth="1"/>
    <col min="4370" max="4608" width="8.42578125" style="207"/>
    <col min="4609" max="4609" width="10" style="207" bestFit="1" customWidth="1"/>
    <col min="4610" max="4610" width="44.28515625" style="207" bestFit="1" customWidth="1"/>
    <col min="4611" max="4611" width="10.42578125" style="207" bestFit="1" customWidth="1"/>
    <col min="4612" max="4612" width="10.42578125" style="207" customWidth="1"/>
    <col min="4613" max="4613" width="9.7109375" style="207" bestFit="1" customWidth="1"/>
    <col min="4614" max="4615" width="9.5703125" style="207" bestFit="1" customWidth="1"/>
    <col min="4616" max="4616" width="10.42578125" style="207" bestFit="1" customWidth="1"/>
    <col min="4617" max="4617" width="4.5703125" style="207" customWidth="1"/>
    <col min="4618" max="4618" width="1.85546875" style="207" customWidth="1"/>
    <col min="4619" max="4619" width="7" style="207" bestFit="1" customWidth="1"/>
    <col min="4620" max="4620" width="6.28515625" style="207" customWidth="1"/>
    <col min="4621" max="4621" width="20.42578125" style="207" customWidth="1"/>
    <col min="4622" max="4622" width="6.42578125" style="207" bestFit="1" customWidth="1"/>
    <col min="4623" max="4624" width="8.42578125" style="207"/>
    <col min="4625" max="4625" width="3.28515625" style="207" customWidth="1"/>
    <col min="4626" max="4864" width="8.42578125" style="207"/>
    <col min="4865" max="4865" width="10" style="207" bestFit="1" customWidth="1"/>
    <col min="4866" max="4866" width="44.28515625" style="207" bestFit="1" customWidth="1"/>
    <col min="4867" max="4867" width="10.42578125" style="207" bestFit="1" customWidth="1"/>
    <col min="4868" max="4868" width="10.42578125" style="207" customWidth="1"/>
    <col min="4869" max="4869" width="9.7109375" style="207" bestFit="1" customWidth="1"/>
    <col min="4870" max="4871" width="9.5703125" style="207" bestFit="1" customWidth="1"/>
    <col min="4872" max="4872" width="10.42578125" style="207" bestFit="1" customWidth="1"/>
    <col min="4873" max="4873" width="4.5703125" style="207" customWidth="1"/>
    <col min="4874" max="4874" width="1.85546875" style="207" customWidth="1"/>
    <col min="4875" max="4875" width="7" style="207" bestFit="1" customWidth="1"/>
    <col min="4876" max="4876" width="6.28515625" style="207" customWidth="1"/>
    <col min="4877" max="4877" width="20.42578125" style="207" customWidth="1"/>
    <col min="4878" max="4878" width="6.42578125" style="207" bestFit="1" customWidth="1"/>
    <col min="4879" max="4880" width="8.42578125" style="207"/>
    <col min="4881" max="4881" width="3.28515625" style="207" customWidth="1"/>
    <col min="4882" max="5120" width="8.42578125" style="207"/>
    <col min="5121" max="5121" width="10" style="207" bestFit="1" customWidth="1"/>
    <col min="5122" max="5122" width="44.28515625" style="207" bestFit="1" customWidth="1"/>
    <col min="5123" max="5123" width="10.42578125" style="207" bestFit="1" customWidth="1"/>
    <col min="5124" max="5124" width="10.42578125" style="207" customWidth="1"/>
    <col min="5125" max="5125" width="9.7109375" style="207" bestFit="1" customWidth="1"/>
    <col min="5126" max="5127" width="9.5703125" style="207" bestFit="1" customWidth="1"/>
    <col min="5128" max="5128" width="10.42578125" style="207" bestFit="1" customWidth="1"/>
    <col min="5129" max="5129" width="4.5703125" style="207" customWidth="1"/>
    <col min="5130" max="5130" width="1.85546875" style="207" customWidth="1"/>
    <col min="5131" max="5131" width="7" style="207" bestFit="1" customWidth="1"/>
    <col min="5132" max="5132" width="6.28515625" style="207" customWidth="1"/>
    <col min="5133" max="5133" width="20.42578125" style="207" customWidth="1"/>
    <col min="5134" max="5134" width="6.42578125" style="207" bestFit="1" customWidth="1"/>
    <col min="5135" max="5136" width="8.42578125" style="207"/>
    <col min="5137" max="5137" width="3.28515625" style="207" customWidth="1"/>
    <col min="5138" max="5376" width="8.42578125" style="207"/>
    <col min="5377" max="5377" width="10" style="207" bestFit="1" customWidth="1"/>
    <col min="5378" max="5378" width="44.28515625" style="207" bestFit="1" customWidth="1"/>
    <col min="5379" max="5379" width="10.42578125" style="207" bestFit="1" customWidth="1"/>
    <col min="5380" max="5380" width="10.42578125" style="207" customWidth="1"/>
    <col min="5381" max="5381" width="9.7109375" style="207" bestFit="1" customWidth="1"/>
    <col min="5382" max="5383" width="9.5703125" style="207" bestFit="1" customWidth="1"/>
    <col min="5384" max="5384" width="10.42578125" style="207" bestFit="1" customWidth="1"/>
    <col min="5385" max="5385" width="4.5703125" style="207" customWidth="1"/>
    <col min="5386" max="5386" width="1.85546875" style="207" customWidth="1"/>
    <col min="5387" max="5387" width="7" style="207" bestFit="1" customWidth="1"/>
    <col min="5388" max="5388" width="6.28515625" style="207" customWidth="1"/>
    <col min="5389" max="5389" width="20.42578125" style="207" customWidth="1"/>
    <col min="5390" max="5390" width="6.42578125" style="207" bestFit="1" customWidth="1"/>
    <col min="5391" max="5392" width="8.42578125" style="207"/>
    <col min="5393" max="5393" width="3.28515625" style="207" customWidth="1"/>
    <col min="5394" max="5632" width="8.42578125" style="207"/>
    <col min="5633" max="5633" width="10" style="207" bestFit="1" customWidth="1"/>
    <col min="5634" max="5634" width="44.28515625" style="207" bestFit="1" customWidth="1"/>
    <col min="5635" max="5635" width="10.42578125" style="207" bestFit="1" customWidth="1"/>
    <col min="5636" max="5636" width="10.42578125" style="207" customWidth="1"/>
    <col min="5637" max="5637" width="9.7109375" style="207" bestFit="1" customWidth="1"/>
    <col min="5638" max="5639" width="9.5703125" style="207" bestFit="1" customWidth="1"/>
    <col min="5640" max="5640" width="10.42578125" style="207" bestFit="1" customWidth="1"/>
    <col min="5641" max="5641" width="4.5703125" style="207" customWidth="1"/>
    <col min="5642" max="5642" width="1.85546875" style="207" customWidth="1"/>
    <col min="5643" max="5643" width="7" style="207" bestFit="1" customWidth="1"/>
    <col min="5644" max="5644" width="6.28515625" style="207" customWidth="1"/>
    <col min="5645" max="5645" width="20.42578125" style="207" customWidth="1"/>
    <col min="5646" max="5646" width="6.42578125" style="207" bestFit="1" customWidth="1"/>
    <col min="5647" max="5648" width="8.42578125" style="207"/>
    <col min="5649" max="5649" width="3.28515625" style="207" customWidth="1"/>
    <col min="5650" max="5888" width="8.42578125" style="207"/>
    <col min="5889" max="5889" width="10" style="207" bestFit="1" customWidth="1"/>
    <col min="5890" max="5890" width="44.28515625" style="207" bestFit="1" customWidth="1"/>
    <col min="5891" max="5891" width="10.42578125" style="207" bestFit="1" customWidth="1"/>
    <col min="5892" max="5892" width="10.42578125" style="207" customWidth="1"/>
    <col min="5893" max="5893" width="9.7109375" style="207" bestFit="1" customWidth="1"/>
    <col min="5894" max="5895" width="9.5703125" style="207" bestFit="1" customWidth="1"/>
    <col min="5896" max="5896" width="10.42578125" style="207" bestFit="1" customWidth="1"/>
    <col min="5897" max="5897" width="4.5703125" style="207" customWidth="1"/>
    <col min="5898" max="5898" width="1.85546875" style="207" customWidth="1"/>
    <col min="5899" max="5899" width="7" style="207" bestFit="1" customWidth="1"/>
    <col min="5900" max="5900" width="6.28515625" style="207" customWidth="1"/>
    <col min="5901" max="5901" width="20.42578125" style="207" customWidth="1"/>
    <col min="5902" max="5902" width="6.42578125" style="207" bestFit="1" customWidth="1"/>
    <col min="5903" max="5904" width="8.42578125" style="207"/>
    <col min="5905" max="5905" width="3.28515625" style="207" customWidth="1"/>
    <col min="5906" max="6144" width="8.42578125" style="207"/>
    <col min="6145" max="6145" width="10" style="207" bestFit="1" customWidth="1"/>
    <col min="6146" max="6146" width="44.28515625" style="207" bestFit="1" customWidth="1"/>
    <col min="6147" max="6147" width="10.42578125" style="207" bestFit="1" customWidth="1"/>
    <col min="6148" max="6148" width="10.42578125" style="207" customWidth="1"/>
    <col min="6149" max="6149" width="9.7109375" style="207" bestFit="1" customWidth="1"/>
    <col min="6150" max="6151" width="9.5703125" style="207" bestFit="1" customWidth="1"/>
    <col min="6152" max="6152" width="10.42578125" style="207" bestFit="1" customWidth="1"/>
    <col min="6153" max="6153" width="4.5703125" style="207" customWidth="1"/>
    <col min="6154" max="6154" width="1.85546875" style="207" customWidth="1"/>
    <col min="6155" max="6155" width="7" style="207" bestFit="1" customWidth="1"/>
    <col min="6156" max="6156" width="6.28515625" style="207" customWidth="1"/>
    <col min="6157" max="6157" width="20.42578125" style="207" customWidth="1"/>
    <col min="6158" max="6158" width="6.42578125" style="207" bestFit="1" customWidth="1"/>
    <col min="6159" max="6160" width="8.42578125" style="207"/>
    <col min="6161" max="6161" width="3.28515625" style="207" customWidth="1"/>
    <col min="6162" max="6400" width="8.42578125" style="207"/>
    <col min="6401" max="6401" width="10" style="207" bestFit="1" customWidth="1"/>
    <col min="6402" max="6402" width="44.28515625" style="207" bestFit="1" customWidth="1"/>
    <col min="6403" max="6403" width="10.42578125" style="207" bestFit="1" customWidth="1"/>
    <col min="6404" max="6404" width="10.42578125" style="207" customWidth="1"/>
    <col min="6405" max="6405" width="9.7109375" style="207" bestFit="1" customWidth="1"/>
    <col min="6406" max="6407" width="9.5703125" style="207" bestFit="1" customWidth="1"/>
    <col min="6408" max="6408" width="10.42578125" style="207" bestFit="1" customWidth="1"/>
    <col min="6409" max="6409" width="4.5703125" style="207" customWidth="1"/>
    <col min="6410" max="6410" width="1.85546875" style="207" customWidth="1"/>
    <col min="6411" max="6411" width="7" style="207" bestFit="1" customWidth="1"/>
    <col min="6412" max="6412" width="6.28515625" style="207" customWidth="1"/>
    <col min="6413" max="6413" width="20.42578125" style="207" customWidth="1"/>
    <col min="6414" max="6414" width="6.42578125" style="207" bestFit="1" customWidth="1"/>
    <col min="6415" max="6416" width="8.42578125" style="207"/>
    <col min="6417" max="6417" width="3.28515625" style="207" customWidth="1"/>
    <col min="6418" max="6656" width="8.42578125" style="207"/>
    <col min="6657" max="6657" width="10" style="207" bestFit="1" customWidth="1"/>
    <col min="6658" max="6658" width="44.28515625" style="207" bestFit="1" customWidth="1"/>
    <col min="6659" max="6659" width="10.42578125" style="207" bestFit="1" customWidth="1"/>
    <col min="6660" max="6660" width="10.42578125" style="207" customWidth="1"/>
    <col min="6661" max="6661" width="9.7109375" style="207" bestFit="1" customWidth="1"/>
    <col min="6662" max="6663" width="9.5703125" style="207" bestFit="1" customWidth="1"/>
    <col min="6664" max="6664" width="10.42578125" style="207" bestFit="1" customWidth="1"/>
    <col min="6665" max="6665" width="4.5703125" style="207" customWidth="1"/>
    <col min="6666" max="6666" width="1.85546875" style="207" customWidth="1"/>
    <col min="6667" max="6667" width="7" style="207" bestFit="1" customWidth="1"/>
    <col min="6668" max="6668" width="6.28515625" style="207" customWidth="1"/>
    <col min="6669" max="6669" width="20.42578125" style="207" customWidth="1"/>
    <col min="6670" max="6670" width="6.42578125" style="207" bestFit="1" customWidth="1"/>
    <col min="6671" max="6672" width="8.42578125" style="207"/>
    <col min="6673" max="6673" width="3.28515625" style="207" customWidth="1"/>
    <col min="6674" max="6912" width="8.42578125" style="207"/>
    <col min="6913" max="6913" width="10" style="207" bestFit="1" customWidth="1"/>
    <col min="6914" max="6914" width="44.28515625" style="207" bestFit="1" customWidth="1"/>
    <col min="6915" max="6915" width="10.42578125" style="207" bestFit="1" customWidth="1"/>
    <col min="6916" max="6916" width="10.42578125" style="207" customWidth="1"/>
    <col min="6917" max="6917" width="9.7109375" style="207" bestFit="1" customWidth="1"/>
    <col min="6918" max="6919" width="9.5703125" style="207" bestFit="1" customWidth="1"/>
    <col min="6920" max="6920" width="10.42578125" style="207" bestFit="1" customWidth="1"/>
    <col min="6921" max="6921" width="4.5703125" style="207" customWidth="1"/>
    <col min="6922" max="6922" width="1.85546875" style="207" customWidth="1"/>
    <col min="6923" max="6923" width="7" style="207" bestFit="1" customWidth="1"/>
    <col min="6924" max="6924" width="6.28515625" style="207" customWidth="1"/>
    <col min="6925" max="6925" width="20.42578125" style="207" customWidth="1"/>
    <col min="6926" max="6926" width="6.42578125" style="207" bestFit="1" customWidth="1"/>
    <col min="6927" max="6928" width="8.42578125" style="207"/>
    <col min="6929" max="6929" width="3.28515625" style="207" customWidth="1"/>
    <col min="6930" max="7168" width="8.42578125" style="207"/>
    <col min="7169" max="7169" width="10" style="207" bestFit="1" customWidth="1"/>
    <col min="7170" max="7170" width="44.28515625" style="207" bestFit="1" customWidth="1"/>
    <col min="7171" max="7171" width="10.42578125" style="207" bestFit="1" customWidth="1"/>
    <col min="7172" max="7172" width="10.42578125" style="207" customWidth="1"/>
    <col min="7173" max="7173" width="9.7109375" style="207" bestFit="1" customWidth="1"/>
    <col min="7174" max="7175" width="9.5703125" style="207" bestFit="1" customWidth="1"/>
    <col min="7176" max="7176" width="10.42578125" style="207" bestFit="1" customWidth="1"/>
    <col min="7177" max="7177" width="4.5703125" style="207" customWidth="1"/>
    <col min="7178" max="7178" width="1.85546875" style="207" customWidth="1"/>
    <col min="7179" max="7179" width="7" style="207" bestFit="1" customWidth="1"/>
    <col min="7180" max="7180" width="6.28515625" style="207" customWidth="1"/>
    <col min="7181" max="7181" width="20.42578125" style="207" customWidth="1"/>
    <col min="7182" max="7182" width="6.42578125" style="207" bestFit="1" customWidth="1"/>
    <col min="7183" max="7184" width="8.42578125" style="207"/>
    <col min="7185" max="7185" width="3.28515625" style="207" customWidth="1"/>
    <col min="7186" max="7424" width="8.42578125" style="207"/>
    <col min="7425" max="7425" width="10" style="207" bestFit="1" customWidth="1"/>
    <col min="7426" max="7426" width="44.28515625" style="207" bestFit="1" customWidth="1"/>
    <col min="7427" max="7427" width="10.42578125" style="207" bestFit="1" customWidth="1"/>
    <col min="7428" max="7428" width="10.42578125" style="207" customWidth="1"/>
    <col min="7429" max="7429" width="9.7109375" style="207" bestFit="1" customWidth="1"/>
    <col min="7430" max="7431" width="9.5703125" style="207" bestFit="1" customWidth="1"/>
    <col min="7432" max="7432" width="10.42578125" style="207" bestFit="1" customWidth="1"/>
    <col min="7433" max="7433" width="4.5703125" style="207" customWidth="1"/>
    <col min="7434" max="7434" width="1.85546875" style="207" customWidth="1"/>
    <col min="7435" max="7435" width="7" style="207" bestFit="1" customWidth="1"/>
    <col min="7436" max="7436" width="6.28515625" style="207" customWidth="1"/>
    <col min="7437" max="7437" width="20.42578125" style="207" customWidth="1"/>
    <col min="7438" max="7438" width="6.42578125" style="207" bestFit="1" customWidth="1"/>
    <col min="7439" max="7440" width="8.42578125" style="207"/>
    <col min="7441" max="7441" width="3.28515625" style="207" customWidth="1"/>
    <col min="7442" max="7680" width="8.42578125" style="207"/>
    <col min="7681" max="7681" width="10" style="207" bestFit="1" customWidth="1"/>
    <col min="7682" max="7682" width="44.28515625" style="207" bestFit="1" customWidth="1"/>
    <col min="7683" max="7683" width="10.42578125" style="207" bestFit="1" customWidth="1"/>
    <col min="7684" max="7684" width="10.42578125" style="207" customWidth="1"/>
    <col min="7685" max="7685" width="9.7109375" style="207" bestFit="1" customWidth="1"/>
    <col min="7686" max="7687" width="9.5703125" style="207" bestFit="1" customWidth="1"/>
    <col min="7688" max="7688" width="10.42578125" style="207" bestFit="1" customWidth="1"/>
    <col min="7689" max="7689" width="4.5703125" style="207" customWidth="1"/>
    <col min="7690" max="7690" width="1.85546875" style="207" customWidth="1"/>
    <col min="7691" max="7691" width="7" style="207" bestFit="1" customWidth="1"/>
    <col min="7692" max="7692" width="6.28515625" style="207" customWidth="1"/>
    <col min="7693" max="7693" width="20.42578125" style="207" customWidth="1"/>
    <col min="7694" max="7694" width="6.42578125" style="207" bestFit="1" customWidth="1"/>
    <col min="7695" max="7696" width="8.42578125" style="207"/>
    <col min="7697" max="7697" width="3.28515625" style="207" customWidth="1"/>
    <col min="7698" max="7936" width="8.42578125" style="207"/>
    <col min="7937" max="7937" width="10" style="207" bestFit="1" customWidth="1"/>
    <col min="7938" max="7938" width="44.28515625" style="207" bestFit="1" customWidth="1"/>
    <col min="7939" max="7939" width="10.42578125" style="207" bestFit="1" customWidth="1"/>
    <col min="7940" max="7940" width="10.42578125" style="207" customWidth="1"/>
    <col min="7941" max="7941" width="9.7109375" style="207" bestFit="1" customWidth="1"/>
    <col min="7942" max="7943" width="9.5703125" style="207" bestFit="1" customWidth="1"/>
    <col min="7944" max="7944" width="10.42578125" style="207" bestFit="1" customWidth="1"/>
    <col min="7945" max="7945" width="4.5703125" style="207" customWidth="1"/>
    <col min="7946" max="7946" width="1.85546875" style="207" customWidth="1"/>
    <col min="7947" max="7947" width="7" style="207" bestFit="1" customWidth="1"/>
    <col min="7948" max="7948" width="6.28515625" style="207" customWidth="1"/>
    <col min="7949" max="7949" width="20.42578125" style="207" customWidth="1"/>
    <col min="7950" max="7950" width="6.42578125" style="207" bestFit="1" customWidth="1"/>
    <col min="7951" max="7952" width="8.42578125" style="207"/>
    <col min="7953" max="7953" width="3.28515625" style="207" customWidth="1"/>
    <col min="7954" max="8192" width="8.42578125" style="207"/>
    <col min="8193" max="8193" width="10" style="207" bestFit="1" customWidth="1"/>
    <col min="8194" max="8194" width="44.28515625" style="207" bestFit="1" customWidth="1"/>
    <col min="8195" max="8195" width="10.42578125" style="207" bestFit="1" customWidth="1"/>
    <col min="8196" max="8196" width="10.42578125" style="207" customWidth="1"/>
    <col min="8197" max="8197" width="9.7109375" style="207" bestFit="1" customWidth="1"/>
    <col min="8198" max="8199" width="9.5703125" style="207" bestFit="1" customWidth="1"/>
    <col min="8200" max="8200" width="10.42578125" style="207" bestFit="1" customWidth="1"/>
    <col min="8201" max="8201" width="4.5703125" style="207" customWidth="1"/>
    <col min="8202" max="8202" width="1.85546875" style="207" customWidth="1"/>
    <col min="8203" max="8203" width="7" style="207" bestFit="1" customWidth="1"/>
    <col min="8204" max="8204" width="6.28515625" style="207" customWidth="1"/>
    <col min="8205" max="8205" width="20.42578125" style="207" customWidth="1"/>
    <col min="8206" max="8206" width="6.42578125" style="207" bestFit="1" customWidth="1"/>
    <col min="8207" max="8208" width="8.42578125" style="207"/>
    <col min="8209" max="8209" width="3.28515625" style="207" customWidth="1"/>
    <col min="8210" max="8448" width="8.42578125" style="207"/>
    <col min="8449" max="8449" width="10" style="207" bestFit="1" customWidth="1"/>
    <col min="8450" max="8450" width="44.28515625" style="207" bestFit="1" customWidth="1"/>
    <col min="8451" max="8451" width="10.42578125" style="207" bestFit="1" customWidth="1"/>
    <col min="8452" max="8452" width="10.42578125" style="207" customWidth="1"/>
    <col min="8453" max="8453" width="9.7109375" style="207" bestFit="1" customWidth="1"/>
    <col min="8454" max="8455" width="9.5703125" style="207" bestFit="1" customWidth="1"/>
    <col min="8456" max="8456" width="10.42578125" style="207" bestFit="1" customWidth="1"/>
    <col min="8457" max="8457" width="4.5703125" style="207" customWidth="1"/>
    <col min="8458" max="8458" width="1.85546875" style="207" customWidth="1"/>
    <col min="8459" max="8459" width="7" style="207" bestFit="1" customWidth="1"/>
    <col min="8460" max="8460" width="6.28515625" style="207" customWidth="1"/>
    <col min="8461" max="8461" width="20.42578125" style="207" customWidth="1"/>
    <col min="8462" max="8462" width="6.42578125" style="207" bestFit="1" customWidth="1"/>
    <col min="8463" max="8464" width="8.42578125" style="207"/>
    <col min="8465" max="8465" width="3.28515625" style="207" customWidth="1"/>
    <col min="8466" max="8704" width="8.42578125" style="207"/>
    <col min="8705" max="8705" width="10" style="207" bestFit="1" customWidth="1"/>
    <col min="8706" max="8706" width="44.28515625" style="207" bestFit="1" customWidth="1"/>
    <col min="8707" max="8707" width="10.42578125" style="207" bestFit="1" customWidth="1"/>
    <col min="8708" max="8708" width="10.42578125" style="207" customWidth="1"/>
    <col min="8709" max="8709" width="9.7109375" style="207" bestFit="1" customWidth="1"/>
    <col min="8710" max="8711" width="9.5703125" style="207" bestFit="1" customWidth="1"/>
    <col min="8712" max="8712" width="10.42578125" style="207" bestFit="1" customWidth="1"/>
    <col min="8713" max="8713" width="4.5703125" style="207" customWidth="1"/>
    <col min="8714" max="8714" width="1.85546875" style="207" customWidth="1"/>
    <col min="8715" max="8715" width="7" style="207" bestFit="1" customWidth="1"/>
    <col min="8716" max="8716" width="6.28515625" style="207" customWidth="1"/>
    <col min="8717" max="8717" width="20.42578125" style="207" customWidth="1"/>
    <col min="8718" max="8718" width="6.42578125" style="207" bestFit="1" customWidth="1"/>
    <col min="8719" max="8720" width="8.42578125" style="207"/>
    <col min="8721" max="8721" width="3.28515625" style="207" customWidth="1"/>
    <col min="8722" max="8960" width="8.42578125" style="207"/>
    <col min="8961" max="8961" width="10" style="207" bestFit="1" customWidth="1"/>
    <col min="8962" max="8962" width="44.28515625" style="207" bestFit="1" customWidth="1"/>
    <col min="8963" max="8963" width="10.42578125" style="207" bestFit="1" customWidth="1"/>
    <col min="8964" max="8964" width="10.42578125" style="207" customWidth="1"/>
    <col min="8965" max="8965" width="9.7109375" style="207" bestFit="1" customWidth="1"/>
    <col min="8966" max="8967" width="9.5703125" style="207" bestFit="1" customWidth="1"/>
    <col min="8968" max="8968" width="10.42578125" style="207" bestFit="1" customWidth="1"/>
    <col min="8969" max="8969" width="4.5703125" style="207" customWidth="1"/>
    <col min="8970" max="8970" width="1.85546875" style="207" customWidth="1"/>
    <col min="8971" max="8971" width="7" style="207" bestFit="1" customWidth="1"/>
    <col min="8972" max="8972" width="6.28515625" style="207" customWidth="1"/>
    <col min="8973" max="8973" width="20.42578125" style="207" customWidth="1"/>
    <col min="8974" max="8974" width="6.42578125" style="207" bestFit="1" customWidth="1"/>
    <col min="8975" max="8976" width="8.42578125" style="207"/>
    <col min="8977" max="8977" width="3.28515625" style="207" customWidth="1"/>
    <col min="8978" max="9216" width="8.42578125" style="207"/>
    <col min="9217" max="9217" width="10" style="207" bestFit="1" customWidth="1"/>
    <col min="9218" max="9218" width="44.28515625" style="207" bestFit="1" customWidth="1"/>
    <col min="9219" max="9219" width="10.42578125" style="207" bestFit="1" customWidth="1"/>
    <col min="9220" max="9220" width="10.42578125" style="207" customWidth="1"/>
    <col min="9221" max="9221" width="9.7109375" style="207" bestFit="1" customWidth="1"/>
    <col min="9222" max="9223" width="9.5703125" style="207" bestFit="1" customWidth="1"/>
    <col min="9224" max="9224" width="10.42578125" style="207" bestFit="1" customWidth="1"/>
    <col min="9225" max="9225" width="4.5703125" style="207" customWidth="1"/>
    <col min="9226" max="9226" width="1.85546875" style="207" customWidth="1"/>
    <col min="9227" max="9227" width="7" style="207" bestFit="1" customWidth="1"/>
    <col min="9228" max="9228" width="6.28515625" style="207" customWidth="1"/>
    <col min="9229" max="9229" width="20.42578125" style="207" customWidth="1"/>
    <col min="9230" max="9230" width="6.42578125" style="207" bestFit="1" customWidth="1"/>
    <col min="9231" max="9232" width="8.42578125" style="207"/>
    <col min="9233" max="9233" width="3.28515625" style="207" customWidth="1"/>
    <col min="9234" max="9472" width="8.42578125" style="207"/>
    <col min="9473" max="9473" width="10" style="207" bestFit="1" customWidth="1"/>
    <col min="9474" max="9474" width="44.28515625" style="207" bestFit="1" customWidth="1"/>
    <col min="9475" max="9475" width="10.42578125" style="207" bestFit="1" customWidth="1"/>
    <col min="9476" max="9476" width="10.42578125" style="207" customWidth="1"/>
    <col min="9477" max="9477" width="9.7109375" style="207" bestFit="1" customWidth="1"/>
    <col min="9478" max="9479" width="9.5703125" style="207" bestFit="1" customWidth="1"/>
    <col min="9480" max="9480" width="10.42578125" style="207" bestFit="1" customWidth="1"/>
    <col min="9481" max="9481" width="4.5703125" style="207" customWidth="1"/>
    <col min="9482" max="9482" width="1.85546875" style="207" customWidth="1"/>
    <col min="9483" max="9483" width="7" style="207" bestFit="1" customWidth="1"/>
    <col min="9484" max="9484" width="6.28515625" style="207" customWidth="1"/>
    <col min="9485" max="9485" width="20.42578125" style="207" customWidth="1"/>
    <col min="9486" max="9486" width="6.42578125" style="207" bestFit="1" customWidth="1"/>
    <col min="9487" max="9488" width="8.42578125" style="207"/>
    <col min="9489" max="9489" width="3.28515625" style="207" customWidth="1"/>
    <col min="9490" max="9728" width="8.42578125" style="207"/>
    <col min="9729" max="9729" width="10" style="207" bestFit="1" customWidth="1"/>
    <col min="9730" max="9730" width="44.28515625" style="207" bestFit="1" customWidth="1"/>
    <col min="9731" max="9731" width="10.42578125" style="207" bestFit="1" customWidth="1"/>
    <col min="9732" max="9732" width="10.42578125" style="207" customWidth="1"/>
    <col min="9733" max="9733" width="9.7109375" style="207" bestFit="1" customWidth="1"/>
    <col min="9734" max="9735" width="9.5703125" style="207" bestFit="1" customWidth="1"/>
    <col min="9736" max="9736" width="10.42578125" style="207" bestFit="1" customWidth="1"/>
    <col min="9737" max="9737" width="4.5703125" style="207" customWidth="1"/>
    <col min="9738" max="9738" width="1.85546875" style="207" customWidth="1"/>
    <col min="9739" max="9739" width="7" style="207" bestFit="1" customWidth="1"/>
    <col min="9740" max="9740" width="6.28515625" style="207" customWidth="1"/>
    <col min="9741" max="9741" width="20.42578125" style="207" customWidth="1"/>
    <col min="9742" max="9742" width="6.42578125" style="207" bestFit="1" customWidth="1"/>
    <col min="9743" max="9744" width="8.42578125" style="207"/>
    <col min="9745" max="9745" width="3.28515625" style="207" customWidth="1"/>
    <col min="9746" max="9984" width="8.42578125" style="207"/>
    <col min="9985" max="9985" width="10" style="207" bestFit="1" customWidth="1"/>
    <col min="9986" max="9986" width="44.28515625" style="207" bestFit="1" customWidth="1"/>
    <col min="9987" max="9987" width="10.42578125" style="207" bestFit="1" customWidth="1"/>
    <col min="9988" max="9988" width="10.42578125" style="207" customWidth="1"/>
    <col min="9989" max="9989" width="9.7109375" style="207" bestFit="1" customWidth="1"/>
    <col min="9990" max="9991" width="9.5703125" style="207" bestFit="1" customWidth="1"/>
    <col min="9992" max="9992" width="10.42578125" style="207" bestFit="1" customWidth="1"/>
    <col min="9993" max="9993" width="4.5703125" style="207" customWidth="1"/>
    <col min="9994" max="9994" width="1.85546875" style="207" customWidth="1"/>
    <col min="9995" max="9995" width="7" style="207" bestFit="1" customWidth="1"/>
    <col min="9996" max="9996" width="6.28515625" style="207" customWidth="1"/>
    <col min="9997" max="9997" width="20.42578125" style="207" customWidth="1"/>
    <col min="9998" max="9998" width="6.42578125" style="207" bestFit="1" customWidth="1"/>
    <col min="9999" max="10000" width="8.42578125" style="207"/>
    <col min="10001" max="10001" width="3.28515625" style="207" customWidth="1"/>
    <col min="10002" max="10240" width="8.42578125" style="207"/>
    <col min="10241" max="10241" width="10" style="207" bestFit="1" customWidth="1"/>
    <col min="10242" max="10242" width="44.28515625" style="207" bestFit="1" customWidth="1"/>
    <col min="10243" max="10243" width="10.42578125" style="207" bestFit="1" customWidth="1"/>
    <col min="10244" max="10244" width="10.42578125" style="207" customWidth="1"/>
    <col min="10245" max="10245" width="9.7109375" style="207" bestFit="1" customWidth="1"/>
    <col min="10246" max="10247" width="9.5703125" style="207" bestFit="1" customWidth="1"/>
    <col min="10248" max="10248" width="10.42578125" style="207" bestFit="1" customWidth="1"/>
    <col min="10249" max="10249" width="4.5703125" style="207" customWidth="1"/>
    <col min="10250" max="10250" width="1.85546875" style="207" customWidth="1"/>
    <col min="10251" max="10251" width="7" style="207" bestFit="1" customWidth="1"/>
    <col min="10252" max="10252" width="6.28515625" style="207" customWidth="1"/>
    <col min="10253" max="10253" width="20.42578125" style="207" customWidth="1"/>
    <col min="10254" max="10254" width="6.42578125" style="207" bestFit="1" customWidth="1"/>
    <col min="10255" max="10256" width="8.42578125" style="207"/>
    <col min="10257" max="10257" width="3.28515625" style="207" customWidth="1"/>
    <col min="10258" max="10496" width="8.42578125" style="207"/>
    <col min="10497" max="10497" width="10" style="207" bestFit="1" customWidth="1"/>
    <col min="10498" max="10498" width="44.28515625" style="207" bestFit="1" customWidth="1"/>
    <col min="10499" max="10499" width="10.42578125" style="207" bestFit="1" customWidth="1"/>
    <col min="10500" max="10500" width="10.42578125" style="207" customWidth="1"/>
    <col min="10501" max="10501" width="9.7109375" style="207" bestFit="1" customWidth="1"/>
    <col min="10502" max="10503" width="9.5703125" style="207" bestFit="1" customWidth="1"/>
    <col min="10504" max="10504" width="10.42578125" style="207" bestFit="1" customWidth="1"/>
    <col min="10505" max="10505" width="4.5703125" style="207" customWidth="1"/>
    <col min="10506" max="10506" width="1.85546875" style="207" customWidth="1"/>
    <col min="10507" max="10507" width="7" style="207" bestFit="1" customWidth="1"/>
    <col min="10508" max="10508" width="6.28515625" style="207" customWidth="1"/>
    <col min="10509" max="10509" width="20.42578125" style="207" customWidth="1"/>
    <col min="10510" max="10510" width="6.42578125" style="207" bestFit="1" customWidth="1"/>
    <col min="10511" max="10512" width="8.42578125" style="207"/>
    <col min="10513" max="10513" width="3.28515625" style="207" customWidth="1"/>
    <col min="10514" max="10752" width="8.42578125" style="207"/>
    <col min="10753" max="10753" width="10" style="207" bestFit="1" customWidth="1"/>
    <col min="10754" max="10754" width="44.28515625" style="207" bestFit="1" customWidth="1"/>
    <col min="10755" max="10755" width="10.42578125" style="207" bestFit="1" customWidth="1"/>
    <col min="10756" max="10756" width="10.42578125" style="207" customWidth="1"/>
    <col min="10757" max="10757" width="9.7109375" style="207" bestFit="1" customWidth="1"/>
    <col min="10758" max="10759" width="9.5703125" style="207" bestFit="1" customWidth="1"/>
    <col min="10760" max="10760" width="10.42578125" style="207" bestFit="1" customWidth="1"/>
    <col min="10761" max="10761" width="4.5703125" style="207" customWidth="1"/>
    <col min="10762" max="10762" width="1.85546875" style="207" customWidth="1"/>
    <col min="10763" max="10763" width="7" style="207" bestFit="1" customWidth="1"/>
    <col min="10764" max="10764" width="6.28515625" style="207" customWidth="1"/>
    <col min="10765" max="10765" width="20.42578125" style="207" customWidth="1"/>
    <col min="10766" max="10766" width="6.42578125" style="207" bestFit="1" customWidth="1"/>
    <col min="10767" max="10768" width="8.42578125" style="207"/>
    <col min="10769" max="10769" width="3.28515625" style="207" customWidth="1"/>
    <col min="10770" max="11008" width="8.42578125" style="207"/>
    <col min="11009" max="11009" width="10" style="207" bestFit="1" customWidth="1"/>
    <col min="11010" max="11010" width="44.28515625" style="207" bestFit="1" customWidth="1"/>
    <col min="11011" max="11011" width="10.42578125" style="207" bestFit="1" customWidth="1"/>
    <col min="11012" max="11012" width="10.42578125" style="207" customWidth="1"/>
    <col min="11013" max="11013" width="9.7109375" style="207" bestFit="1" customWidth="1"/>
    <col min="11014" max="11015" width="9.5703125" style="207" bestFit="1" customWidth="1"/>
    <col min="11016" max="11016" width="10.42578125" style="207" bestFit="1" customWidth="1"/>
    <col min="11017" max="11017" width="4.5703125" style="207" customWidth="1"/>
    <col min="11018" max="11018" width="1.85546875" style="207" customWidth="1"/>
    <col min="11019" max="11019" width="7" style="207" bestFit="1" customWidth="1"/>
    <col min="11020" max="11020" width="6.28515625" style="207" customWidth="1"/>
    <col min="11021" max="11021" width="20.42578125" style="207" customWidth="1"/>
    <col min="11022" max="11022" width="6.42578125" style="207" bestFit="1" customWidth="1"/>
    <col min="11023" max="11024" width="8.42578125" style="207"/>
    <col min="11025" max="11025" width="3.28515625" style="207" customWidth="1"/>
    <col min="11026" max="11264" width="8.42578125" style="207"/>
    <col min="11265" max="11265" width="10" style="207" bestFit="1" customWidth="1"/>
    <col min="11266" max="11266" width="44.28515625" style="207" bestFit="1" customWidth="1"/>
    <col min="11267" max="11267" width="10.42578125" style="207" bestFit="1" customWidth="1"/>
    <col min="11268" max="11268" width="10.42578125" style="207" customWidth="1"/>
    <col min="11269" max="11269" width="9.7109375" style="207" bestFit="1" customWidth="1"/>
    <col min="11270" max="11271" width="9.5703125" style="207" bestFit="1" customWidth="1"/>
    <col min="11272" max="11272" width="10.42578125" style="207" bestFit="1" customWidth="1"/>
    <col min="11273" max="11273" width="4.5703125" style="207" customWidth="1"/>
    <col min="11274" max="11274" width="1.85546875" style="207" customWidth="1"/>
    <col min="11275" max="11275" width="7" style="207" bestFit="1" customWidth="1"/>
    <col min="11276" max="11276" width="6.28515625" style="207" customWidth="1"/>
    <col min="11277" max="11277" width="20.42578125" style="207" customWidth="1"/>
    <col min="11278" max="11278" width="6.42578125" style="207" bestFit="1" customWidth="1"/>
    <col min="11279" max="11280" width="8.42578125" style="207"/>
    <col min="11281" max="11281" width="3.28515625" style="207" customWidth="1"/>
    <col min="11282" max="11520" width="8.42578125" style="207"/>
    <col min="11521" max="11521" width="10" style="207" bestFit="1" customWidth="1"/>
    <col min="11522" max="11522" width="44.28515625" style="207" bestFit="1" customWidth="1"/>
    <col min="11523" max="11523" width="10.42578125" style="207" bestFit="1" customWidth="1"/>
    <col min="11524" max="11524" width="10.42578125" style="207" customWidth="1"/>
    <col min="11525" max="11525" width="9.7109375" style="207" bestFit="1" customWidth="1"/>
    <col min="11526" max="11527" width="9.5703125" style="207" bestFit="1" customWidth="1"/>
    <col min="11528" max="11528" width="10.42578125" style="207" bestFit="1" customWidth="1"/>
    <col min="11529" max="11529" width="4.5703125" style="207" customWidth="1"/>
    <col min="11530" max="11530" width="1.85546875" style="207" customWidth="1"/>
    <col min="11531" max="11531" width="7" style="207" bestFit="1" customWidth="1"/>
    <col min="11532" max="11532" width="6.28515625" style="207" customWidth="1"/>
    <col min="11533" max="11533" width="20.42578125" style="207" customWidth="1"/>
    <col min="11534" max="11534" width="6.42578125" style="207" bestFit="1" customWidth="1"/>
    <col min="11535" max="11536" width="8.42578125" style="207"/>
    <col min="11537" max="11537" width="3.28515625" style="207" customWidth="1"/>
    <col min="11538" max="11776" width="8.42578125" style="207"/>
    <col min="11777" max="11777" width="10" style="207" bestFit="1" customWidth="1"/>
    <col min="11778" max="11778" width="44.28515625" style="207" bestFit="1" customWidth="1"/>
    <col min="11779" max="11779" width="10.42578125" style="207" bestFit="1" customWidth="1"/>
    <col min="11780" max="11780" width="10.42578125" style="207" customWidth="1"/>
    <col min="11781" max="11781" width="9.7109375" style="207" bestFit="1" customWidth="1"/>
    <col min="11782" max="11783" width="9.5703125" style="207" bestFit="1" customWidth="1"/>
    <col min="11784" max="11784" width="10.42578125" style="207" bestFit="1" customWidth="1"/>
    <col min="11785" max="11785" width="4.5703125" style="207" customWidth="1"/>
    <col min="11786" max="11786" width="1.85546875" style="207" customWidth="1"/>
    <col min="11787" max="11787" width="7" style="207" bestFit="1" customWidth="1"/>
    <col min="11788" max="11788" width="6.28515625" style="207" customWidth="1"/>
    <col min="11789" max="11789" width="20.42578125" style="207" customWidth="1"/>
    <col min="11790" max="11790" width="6.42578125" style="207" bestFit="1" customWidth="1"/>
    <col min="11791" max="11792" width="8.42578125" style="207"/>
    <col min="11793" max="11793" width="3.28515625" style="207" customWidth="1"/>
    <col min="11794" max="12032" width="8.42578125" style="207"/>
    <col min="12033" max="12033" width="10" style="207" bestFit="1" customWidth="1"/>
    <col min="12034" max="12034" width="44.28515625" style="207" bestFit="1" customWidth="1"/>
    <col min="12035" max="12035" width="10.42578125" style="207" bestFit="1" customWidth="1"/>
    <col min="12036" max="12036" width="10.42578125" style="207" customWidth="1"/>
    <col min="12037" max="12037" width="9.7109375" style="207" bestFit="1" customWidth="1"/>
    <col min="12038" max="12039" width="9.5703125" style="207" bestFit="1" customWidth="1"/>
    <col min="12040" max="12040" width="10.42578125" style="207" bestFit="1" customWidth="1"/>
    <col min="12041" max="12041" width="4.5703125" style="207" customWidth="1"/>
    <col min="12042" max="12042" width="1.85546875" style="207" customWidth="1"/>
    <col min="12043" max="12043" width="7" style="207" bestFit="1" customWidth="1"/>
    <col min="12044" max="12044" width="6.28515625" style="207" customWidth="1"/>
    <col min="12045" max="12045" width="20.42578125" style="207" customWidth="1"/>
    <col min="12046" max="12046" width="6.42578125" style="207" bestFit="1" customWidth="1"/>
    <col min="12047" max="12048" width="8.42578125" style="207"/>
    <col min="12049" max="12049" width="3.28515625" style="207" customWidth="1"/>
    <col min="12050" max="12288" width="8.42578125" style="207"/>
    <col min="12289" max="12289" width="10" style="207" bestFit="1" customWidth="1"/>
    <col min="12290" max="12290" width="44.28515625" style="207" bestFit="1" customWidth="1"/>
    <col min="12291" max="12291" width="10.42578125" style="207" bestFit="1" customWidth="1"/>
    <col min="12292" max="12292" width="10.42578125" style="207" customWidth="1"/>
    <col min="12293" max="12293" width="9.7109375" style="207" bestFit="1" customWidth="1"/>
    <col min="12294" max="12295" width="9.5703125" style="207" bestFit="1" customWidth="1"/>
    <col min="12296" max="12296" width="10.42578125" style="207" bestFit="1" customWidth="1"/>
    <col min="12297" max="12297" width="4.5703125" style="207" customWidth="1"/>
    <col min="12298" max="12298" width="1.85546875" style="207" customWidth="1"/>
    <col min="12299" max="12299" width="7" style="207" bestFit="1" customWidth="1"/>
    <col min="12300" max="12300" width="6.28515625" style="207" customWidth="1"/>
    <col min="12301" max="12301" width="20.42578125" style="207" customWidth="1"/>
    <col min="12302" max="12302" width="6.42578125" style="207" bestFit="1" customWidth="1"/>
    <col min="12303" max="12304" width="8.42578125" style="207"/>
    <col min="12305" max="12305" width="3.28515625" style="207" customWidth="1"/>
    <col min="12306" max="12544" width="8.42578125" style="207"/>
    <col min="12545" max="12545" width="10" style="207" bestFit="1" customWidth="1"/>
    <col min="12546" max="12546" width="44.28515625" style="207" bestFit="1" customWidth="1"/>
    <col min="12547" max="12547" width="10.42578125" style="207" bestFit="1" customWidth="1"/>
    <col min="12548" max="12548" width="10.42578125" style="207" customWidth="1"/>
    <col min="12549" max="12549" width="9.7109375" style="207" bestFit="1" customWidth="1"/>
    <col min="12550" max="12551" width="9.5703125" style="207" bestFit="1" customWidth="1"/>
    <col min="12552" max="12552" width="10.42578125" style="207" bestFit="1" customWidth="1"/>
    <col min="12553" max="12553" width="4.5703125" style="207" customWidth="1"/>
    <col min="12554" max="12554" width="1.85546875" style="207" customWidth="1"/>
    <col min="12555" max="12555" width="7" style="207" bestFit="1" customWidth="1"/>
    <col min="12556" max="12556" width="6.28515625" style="207" customWidth="1"/>
    <col min="12557" max="12557" width="20.42578125" style="207" customWidth="1"/>
    <col min="12558" max="12558" width="6.42578125" style="207" bestFit="1" customWidth="1"/>
    <col min="12559" max="12560" width="8.42578125" style="207"/>
    <col min="12561" max="12561" width="3.28515625" style="207" customWidth="1"/>
    <col min="12562" max="12800" width="8.42578125" style="207"/>
    <col min="12801" max="12801" width="10" style="207" bestFit="1" customWidth="1"/>
    <col min="12802" max="12802" width="44.28515625" style="207" bestFit="1" customWidth="1"/>
    <col min="12803" max="12803" width="10.42578125" style="207" bestFit="1" customWidth="1"/>
    <col min="12804" max="12804" width="10.42578125" style="207" customWidth="1"/>
    <col min="12805" max="12805" width="9.7109375" style="207" bestFit="1" customWidth="1"/>
    <col min="12806" max="12807" width="9.5703125" style="207" bestFit="1" customWidth="1"/>
    <col min="12808" max="12808" width="10.42578125" style="207" bestFit="1" customWidth="1"/>
    <col min="12809" max="12809" width="4.5703125" style="207" customWidth="1"/>
    <col min="12810" max="12810" width="1.85546875" style="207" customWidth="1"/>
    <col min="12811" max="12811" width="7" style="207" bestFit="1" customWidth="1"/>
    <col min="12812" max="12812" width="6.28515625" style="207" customWidth="1"/>
    <col min="12813" max="12813" width="20.42578125" style="207" customWidth="1"/>
    <col min="12814" max="12814" width="6.42578125" style="207" bestFit="1" customWidth="1"/>
    <col min="12815" max="12816" width="8.42578125" style="207"/>
    <col min="12817" max="12817" width="3.28515625" style="207" customWidth="1"/>
    <col min="12818" max="13056" width="8.42578125" style="207"/>
    <col min="13057" max="13057" width="10" style="207" bestFit="1" customWidth="1"/>
    <col min="13058" max="13058" width="44.28515625" style="207" bestFit="1" customWidth="1"/>
    <col min="13059" max="13059" width="10.42578125" style="207" bestFit="1" customWidth="1"/>
    <col min="13060" max="13060" width="10.42578125" style="207" customWidth="1"/>
    <col min="13061" max="13061" width="9.7109375" style="207" bestFit="1" customWidth="1"/>
    <col min="13062" max="13063" width="9.5703125" style="207" bestFit="1" customWidth="1"/>
    <col min="13064" max="13064" width="10.42578125" style="207" bestFit="1" customWidth="1"/>
    <col min="13065" max="13065" width="4.5703125" style="207" customWidth="1"/>
    <col min="13066" max="13066" width="1.85546875" style="207" customWidth="1"/>
    <col min="13067" max="13067" width="7" style="207" bestFit="1" customWidth="1"/>
    <col min="13068" max="13068" width="6.28515625" style="207" customWidth="1"/>
    <col min="13069" max="13069" width="20.42578125" style="207" customWidth="1"/>
    <col min="13070" max="13070" width="6.42578125" style="207" bestFit="1" customWidth="1"/>
    <col min="13071" max="13072" width="8.42578125" style="207"/>
    <col min="13073" max="13073" width="3.28515625" style="207" customWidth="1"/>
    <col min="13074" max="13312" width="8.42578125" style="207"/>
    <col min="13313" max="13313" width="10" style="207" bestFit="1" customWidth="1"/>
    <col min="13314" max="13314" width="44.28515625" style="207" bestFit="1" customWidth="1"/>
    <col min="13315" max="13315" width="10.42578125" style="207" bestFit="1" customWidth="1"/>
    <col min="13316" max="13316" width="10.42578125" style="207" customWidth="1"/>
    <col min="13317" max="13317" width="9.7109375" style="207" bestFit="1" customWidth="1"/>
    <col min="13318" max="13319" width="9.5703125" style="207" bestFit="1" customWidth="1"/>
    <col min="13320" max="13320" width="10.42578125" style="207" bestFit="1" customWidth="1"/>
    <col min="13321" max="13321" width="4.5703125" style="207" customWidth="1"/>
    <col min="13322" max="13322" width="1.85546875" style="207" customWidth="1"/>
    <col min="13323" max="13323" width="7" style="207" bestFit="1" customWidth="1"/>
    <col min="13324" max="13324" width="6.28515625" style="207" customWidth="1"/>
    <col min="13325" max="13325" width="20.42578125" style="207" customWidth="1"/>
    <col min="13326" max="13326" width="6.42578125" style="207" bestFit="1" customWidth="1"/>
    <col min="13327" max="13328" width="8.42578125" style="207"/>
    <col min="13329" max="13329" width="3.28515625" style="207" customWidth="1"/>
    <col min="13330" max="13568" width="8.42578125" style="207"/>
    <col min="13569" max="13569" width="10" style="207" bestFit="1" customWidth="1"/>
    <col min="13570" max="13570" width="44.28515625" style="207" bestFit="1" customWidth="1"/>
    <col min="13571" max="13571" width="10.42578125" style="207" bestFit="1" customWidth="1"/>
    <col min="13572" max="13572" width="10.42578125" style="207" customWidth="1"/>
    <col min="13573" max="13573" width="9.7109375" style="207" bestFit="1" customWidth="1"/>
    <col min="13574" max="13575" width="9.5703125" style="207" bestFit="1" customWidth="1"/>
    <col min="13576" max="13576" width="10.42578125" style="207" bestFit="1" customWidth="1"/>
    <col min="13577" max="13577" width="4.5703125" style="207" customWidth="1"/>
    <col min="13578" max="13578" width="1.85546875" style="207" customWidth="1"/>
    <col min="13579" max="13579" width="7" style="207" bestFit="1" customWidth="1"/>
    <col min="13580" max="13580" width="6.28515625" style="207" customWidth="1"/>
    <col min="13581" max="13581" width="20.42578125" style="207" customWidth="1"/>
    <col min="13582" max="13582" width="6.42578125" style="207" bestFit="1" customWidth="1"/>
    <col min="13583" max="13584" width="8.42578125" style="207"/>
    <col min="13585" max="13585" width="3.28515625" style="207" customWidth="1"/>
    <col min="13586" max="13824" width="8.42578125" style="207"/>
    <col min="13825" max="13825" width="10" style="207" bestFit="1" customWidth="1"/>
    <col min="13826" max="13826" width="44.28515625" style="207" bestFit="1" customWidth="1"/>
    <col min="13827" max="13827" width="10.42578125" style="207" bestFit="1" customWidth="1"/>
    <col min="13828" max="13828" width="10.42578125" style="207" customWidth="1"/>
    <col min="13829" max="13829" width="9.7109375" style="207" bestFit="1" customWidth="1"/>
    <col min="13830" max="13831" width="9.5703125" style="207" bestFit="1" customWidth="1"/>
    <col min="13832" max="13832" width="10.42578125" style="207" bestFit="1" customWidth="1"/>
    <col min="13833" max="13833" width="4.5703125" style="207" customWidth="1"/>
    <col min="13834" max="13834" width="1.85546875" style="207" customWidth="1"/>
    <col min="13835" max="13835" width="7" style="207" bestFit="1" customWidth="1"/>
    <col min="13836" max="13836" width="6.28515625" style="207" customWidth="1"/>
    <col min="13837" max="13837" width="20.42578125" style="207" customWidth="1"/>
    <col min="13838" max="13838" width="6.42578125" style="207" bestFit="1" customWidth="1"/>
    <col min="13839" max="13840" width="8.42578125" style="207"/>
    <col min="13841" max="13841" width="3.28515625" style="207" customWidth="1"/>
    <col min="13842" max="14080" width="8.42578125" style="207"/>
    <col min="14081" max="14081" width="10" style="207" bestFit="1" customWidth="1"/>
    <col min="14082" max="14082" width="44.28515625" style="207" bestFit="1" customWidth="1"/>
    <col min="14083" max="14083" width="10.42578125" style="207" bestFit="1" customWidth="1"/>
    <col min="14084" max="14084" width="10.42578125" style="207" customWidth="1"/>
    <col min="14085" max="14085" width="9.7109375" style="207" bestFit="1" customWidth="1"/>
    <col min="14086" max="14087" width="9.5703125" style="207" bestFit="1" customWidth="1"/>
    <col min="14088" max="14088" width="10.42578125" style="207" bestFit="1" customWidth="1"/>
    <col min="14089" max="14089" width="4.5703125" style="207" customWidth="1"/>
    <col min="14090" max="14090" width="1.85546875" style="207" customWidth="1"/>
    <col min="14091" max="14091" width="7" style="207" bestFit="1" customWidth="1"/>
    <col min="14092" max="14092" width="6.28515625" style="207" customWidth="1"/>
    <col min="14093" max="14093" width="20.42578125" style="207" customWidth="1"/>
    <col min="14094" max="14094" width="6.42578125" style="207" bestFit="1" customWidth="1"/>
    <col min="14095" max="14096" width="8.42578125" style="207"/>
    <col min="14097" max="14097" width="3.28515625" style="207" customWidth="1"/>
    <col min="14098" max="14336" width="8.42578125" style="207"/>
    <col min="14337" max="14337" width="10" style="207" bestFit="1" customWidth="1"/>
    <col min="14338" max="14338" width="44.28515625" style="207" bestFit="1" customWidth="1"/>
    <col min="14339" max="14339" width="10.42578125" style="207" bestFit="1" customWidth="1"/>
    <col min="14340" max="14340" width="10.42578125" style="207" customWidth="1"/>
    <col min="14341" max="14341" width="9.7109375" style="207" bestFit="1" customWidth="1"/>
    <col min="14342" max="14343" width="9.5703125" style="207" bestFit="1" customWidth="1"/>
    <col min="14344" max="14344" width="10.42578125" style="207" bestFit="1" customWidth="1"/>
    <col min="14345" max="14345" width="4.5703125" style="207" customWidth="1"/>
    <col min="14346" max="14346" width="1.85546875" style="207" customWidth="1"/>
    <col min="14347" max="14347" width="7" style="207" bestFit="1" customWidth="1"/>
    <col min="14348" max="14348" width="6.28515625" style="207" customWidth="1"/>
    <col min="14349" max="14349" width="20.42578125" style="207" customWidth="1"/>
    <col min="14350" max="14350" width="6.42578125" style="207" bestFit="1" customWidth="1"/>
    <col min="14351" max="14352" width="8.42578125" style="207"/>
    <col min="14353" max="14353" width="3.28515625" style="207" customWidth="1"/>
    <col min="14354" max="14592" width="8.42578125" style="207"/>
    <col min="14593" max="14593" width="10" style="207" bestFit="1" customWidth="1"/>
    <col min="14594" max="14594" width="44.28515625" style="207" bestFit="1" customWidth="1"/>
    <col min="14595" max="14595" width="10.42578125" style="207" bestFit="1" customWidth="1"/>
    <col min="14596" max="14596" width="10.42578125" style="207" customWidth="1"/>
    <col min="14597" max="14597" width="9.7109375" style="207" bestFit="1" customWidth="1"/>
    <col min="14598" max="14599" width="9.5703125" style="207" bestFit="1" customWidth="1"/>
    <col min="14600" max="14600" width="10.42578125" style="207" bestFit="1" customWidth="1"/>
    <col min="14601" max="14601" width="4.5703125" style="207" customWidth="1"/>
    <col min="14602" max="14602" width="1.85546875" style="207" customWidth="1"/>
    <col min="14603" max="14603" width="7" style="207" bestFit="1" customWidth="1"/>
    <col min="14604" max="14604" width="6.28515625" style="207" customWidth="1"/>
    <col min="14605" max="14605" width="20.42578125" style="207" customWidth="1"/>
    <col min="14606" max="14606" width="6.42578125" style="207" bestFit="1" customWidth="1"/>
    <col min="14607" max="14608" width="8.42578125" style="207"/>
    <col min="14609" max="14609" width="3.28515625" style="207" customWidth="1"/>
    <col min="14610" max="14848" width="8.42578125" style="207"/>
    <col min="14849" max="14849" width="10" style="207" bestFit="1" customWidth="1"/>
    <col min="14850" max="14850" width="44.28515625" style="207" bestFit="1" customWidth="1"/>
    <col min="14851" max="14851" width="10.42578125" style="207" bestFit="1" customWidth="1"/>
    <col min="14852" max="14852" width="10.42578125" style="207" customWidth="1"/>
    <col min="14853" max="14853" width="9.7109375" style="207" bestFit="1" customWidth="1"/>
    <col min="14854" max="14855" width="9.5703125" style="207" bestFit="1" customWidth="1"/>
    <col min="14856" max="14856" width="10.42578125" style="207" bestFit="1" customWidth="1"/>
    <col min="14857" max="14857" width="4.5703125" style="207" customWidth="1"/>
    <col min="14858" max="14858" width="1.85546875" style="207" customWidth="1"/>
    <col min="14859" max="14859" width="7" style="207" bestFit="1" customWidth="1"/>
    <col min="14860" max="14860" width="6.28515625" style="207" customWidth="1"/>
    <col min="14861" max="14861" width="20.42578125" style="207" customWidth="1"/>
    <col min="14862" max="14862" width="6.42578125" style="207" bestFit="1" customWidth="1"/>
    <col min="14863" max="14864" width="8.42578125" style="207"/>
    <col min="14865" max="14865" width="3.28515625" style="207" customWidth="1"/>
    <col min="14866" max="15104" width="8.42578125" style="207"/>
    <col min="15105" max="15105" width="10" style="207" bestFit="1" customWidth="1"/>
    <col min="15106" max="15106" width="44.28515625" style="207" bestFit="1" customWidth="1"/>
    <col min="15107" max="15107" width="10.42578125" style="207" bestFit="1" customWidth="1"/>
    <col min="15108" max="15108" width="10.42578125" style="207" customWidth="1"/>
    <col min="15109" max="15109" width="9.7109375" style="207" bestFit="1" customWidth="1"/>
    <col min="15110" max="15111" width="9.5703125" style="207" bestFit="1" customWidth="1"/>
    <col min="15112" max="15112" width="10.42578125" style="207" bestFit="1" customWidth="1"/>
    <col min="15113" max="15113" width="4.5703125" style="207" customWidth="1"/>
    <col min="15114" max="15114" width="1.85546875" style="207" customWidth="1"/>
    <col min="15115" max="15115" width="7" style="207" bestFit="1" customWidth="1"/>
    <col min="15116" max="15116" width="6.28515625" style="207" customWidth="1"/>
    <col min="15117" max="15117" width="20.42578125" style="207" customWidth="1"/>
    <col min="15118" max="15118" width="6.42578125" style="207" bestFit="1" customWidth="1"/>
    <col min="15119" max="15120" width="8.42578125" style="207"/>
    <col min="15121" max="15121" width="3.28515625" style="207" customWidth="1"/>
    <col min="15122" max="15360" width="8.42578125" style="207"/>
    <col min="15361" max="15361" width="10" style="207" bestFit="1" customWidth="1"/>
    <col min="15362" max="15362" width="44.28515625" style="207" bestFit="1" customWidth="1"/>
    <col min="15363" max="15363" width="10.42578125" style="207" bestFit="1" customWidth="1"/>
    <col min="15364" max="15364" width="10.42578125" style="207" customWidth="1"/>
    <col min="15365" max="15365" width="9.7109375" style="207" bestFit="1" customWidth="1"/>
    <col min="15366" max="15367" width="9.5703125" style="207" bestFit="1" customWidth="1"/>
    <col min="15368" max="15368" width="10.42578125" style="207" bestFit="1" customWidth="1"/>
    <col min="15369" max="15369" width="4.5703125" style="207" customWidth="1"/>
    <col min="15370" max="15370" width="1.85546875" style="207" customWidth="1"/>
    <col min="15371" max="15371" width="7" style="207" bestFit="1" customWidth="1"/>
    <col min="15372" max="15372" width="6.28515625" style="207" customWidth="1"/>
    <col min="15373" max="15373" width="20.42578125" style="207" customWidth="1"/>
    <col min="15374" max="15374" width="6.42578125" style="207" bestFit="1" customWidth="1"/>
    <col min="15375" max="15376" width="8.42578125" style="207"/>
    <col min="15377" max="15377" width="3.28515625" style="207" customWidth="1"/>
    <col min="15378" max="15616" width="8.42578125" style="207"/>
    <col min="15617" max="15617" width="10" style="207" bestFit="1" customWidth="1"/>
    <col min="15618" max="15618" width="44.28515625" style="207" bestFit="1" customWidth="1"/>
    <col min="15619" max="15619" width="10.42578125" style="207" bestFit="1" customWidth="1"/>
    <col min="15620" max="15620" width="10.42578125" style="207" customWidth="1"/>
    <col min="15621" max="15621" width="9.7109375" style="207" bestFit="1" customWidth="1"/>
    <col min="15622" max="15623" width="9.5703125" style="207" bestFit="1" customWidth="1"/>
    <col min="15624" max="15624" width="10.42578125" style="207" bestFit="1" customWidth="1"/>
    <col min="15625" max="15625" width="4.5703125" style="207" customWidth="1"/>
    <col min="15626" max="15626" width="1.85546875" style="207" customWidth="1"/>
    <col min="15627" max="15627" width="7" style="207" bestFit="1" customWidth="1"/>
    <col min="15628" max="15628" width="6.28515625" style="207" customWidth="1"/>
    <col min="15629" max="15629" width="20.42578125" style="207" customWidth="1"/>
    <col min="15630" max="15630" width="6.42578125" style="207" bestFit="1" customWidth="1"/>
    <col min="15631" max="15632" width="8.42578125" style="207"/>
    <col min="15633" max="15633" width="3.28515625" style="207" customWidth="1"/>
    <col min="15634" max="15872" width="8.42578125" style="207"/>
    <col min="15873" max="15873" width="10" style="207" bestFit="1" customWidth="1"/>
    <col min="15874" max="15874" width="44.28515625" style="207" bestFit="1" customWidth="1"/>
    <col min="15875" max="15875" width="10.42578125" style="207" bestFit="1" customWidth="1"/>
    <col min="15876" max="15876" width="10.42578125" style="207" customWidth="1"/>
    <col min="15877" max="15877" width="9.7109375" style="207" bestFit="1" customWidth="1"/>
    <col min="15878" max="15879" width="9.5703125" style="207" bestFit="1" customWidth="1"/>
    <col min="15880" max="15880" width="10.42578125" style="207" bestFit="1" customWidth="1"/>
    <col min="15881" max="15881" width="4.5703125" style="207" customWidth="1"/>
    <col min="15882" max="15882" width="1.85546875" style="207" customWidth="1"/>
    <col min="15883" max="15883" width="7" style="207" bestFit="1" customWidth="1"/>
    <col min="15884" max="15884" width="6.28515625" style="207" customWidth="1"/>
    <col min="15885" max="15885" width="20.42578125" style="207" customWidth="1"/>
    <col min="15886" max="15886" width="6.42578125" style="207" bestFit="1" customWidth="1"/>
    <col min="15887" max="15888" width="8.42578125" style="207"/>
    <col min="15889" max="15889" width="3.28515625" style="207" customWidth="1"/>
    <col min="15890" max="16128" width="8.42578125" style="207"/>
    <col min="16129" max="16129" width="10" style="207" bestFit="1" customWidth="1"/>
    <col min="16130" max="16130" width="44.28515625" style="207" bestFit="1" customWidth="1"/>
    <col min="16131" max="16131" width="10.42578125" style="207" bestFit="1" customWidth="1"/>
    <col min="16132" max="16132" width="10.42578125" style="207" customWidth="1"/>
    <col min="16133" max="16133" width="9.7109375" style="207" bestFit="1" customWidth="1"/>
    <col min="16134" max="16135" width="9.5703125" style="207" bestFit="1" customWidth="1"/>
    <col min="16136" max="16136" width="10.42578125" style="207" bestFit="1" customWidth="1"/>
    <col min="16137" max="16137" width="4.5703125" style="207" customWidth="1"/>
    <col min="16138" max="16138" width="1.85546875" style="207" customWidth="1"/>
    <col min="16139" max="16139" width="7" style="207" bestFit="1" customWidth="1"/>
    <col min="16140" max="16140" width="6.28515625" style="207" customWidth="1"/>
    <col min="16141" max="16141" width="20.42578125" style="207" customWidth="1"/>
    <col min="16142" max="16142" width="6.42578125" style="207" bestFit="1" customWidth="1"/>
    <col min="16143" max="16144" width="8.42578125" style="207"/>
    <col min="16145" max="16145" width="3.28515625" style="207" customWidth="1"/>
    <col min="16146" max="16384" width="8.42578125" style="207"/>
  </cols>
  <sheetData>
    <row r="1" spans="1:10" ht="27.75" customHeight="1" x14ac:dyDescent="0.25">
      <c r="A1" s="202"/>
      <c r="B1" s="202"/>
      <c r="C1" s="202"/>
      <c r="D1" s="202"/>
      <c r="E1" s="203" t="s">
        <v>157</v>
      </c>
      <c r="F1" s="204" t="s">
        <v>158</v>
      </c>
      <c r="G1" s="204" t="s">
        <v>159</v>
      </c>
      <c r="H1" s="204" t="s">
        <v>160</v>
      </c>
      <c r="I1" s="205"/>
    </row>
    <row r="2" spans="1:10" ht="30.75" customHeight="1" x14ac:dyDescent="0.25">
      <c r="A2" s="202"/>
      <c r="B2" s="202"/>
      <c r="C2" s="202"/>
      <c r="D2" s="202"/>
      <c r="E2" s="208">
        <f>IFERROR(O65,"")</f>
        <v>5366.5007189528978</v>
      </c>
      <c r="F2" s="208">
        <f>IFERROR(H56,"")</f>
        <v>2892.4610526315792</v>
      </c>
      <c r="G2" s="208">
        <f>IFERROR(H57,"")</f>
        <v>648.07822291923162</v>
      </c>
      <c r="H2" s="208">
        <f>IFERROR(H59,"")</f>
        <v>997.15624923376379</v>
      </c>
      <c r="I2" s="209"/>
    </row>
    <row r="3" spans="1:10" ht="15" customHeight="1" x14ac:dyDescent="0.25">
      <c r="A3" s="202"/>
      <c r="B3" s="202"/>
      <c r="C3" s="202"/>
      <c r="D3" s="202"/>
      <c r="E3" s="202"/>
      <c r="F3" s="210"/>
      <c r="G3" s="210"/>
      <c r="H3" s="210"/>
      <c r="I3" s="210"/>
    </row>
    <row r="4" spans="1:10" ht="24.75" customHeight="1" thickBot="1" x14ac:dyDescent="0.3">
      <c r="A4" s="880"/>
      <c r="B4" s="880"/>
      <c r="C4" s="880"/>
      <c r="D4" s="880"/>
      <c r="E4" s="880"/>
      <c r="F4" s="880"/>
      <c r="G4" s="880"/>
      <c r="H4" s="880"/>
      <c r="I4" s="211"/>
    </row>
    <row r="5" spans="1:10" ht="19.5" customHeight="1" thickBot="1" x14ac:dyDescent="0.3">
      <c r="A5" s="881" t="s">
        <v>161</v>
      </c>
      <c r="B5" s="882"/>
      <c r="C5" s="882"/>
      <c r="D5" s="882"/>
      <c r="E5" s="882"/>
      <c r="F5" s="882"/>
      <c r="G5" s="882"/>
      <c r="H5" s="883"/>
      <c r="I5" s="212"/>
    </row>
    <row r="6" spans="1:10" ht="19.5" thickBot="1" x14ac:dyDescent="0.3">
      <c r="A6" s="212"/>
      <c r="B6" s="212"/>
      <c r="C6" s="212"/>
      <c r="D6" s="212"/>
      <c r="E6" s="212"/>
      <c r="F6" s="884" t="s">
        <v>162</v>
      </c>
      <c r="G6" s="884"/>
      <c r="H6" s="213">
        <f ca="1">TODAY()</f>
        <v>46055</v>
      </c>
      <c r="I6" s="213"/>
    </row>
    <row r="7" spans="1:10" ht="26.25" thickBot="1" x14ac:dyDescent="0.3">
      <c r="A7" s="214" t="s">
        <v>163</v>
      </c>
      <c r="B7" s="215" t="s">
        <v>164</v>
      </c>
      <c r="C7" s="215" t="s">
        <v>163</v>
      </c>
      <c r="D7" s="216" t="s">
        <v>165</v>
      </c>
      <c r="E7" s="216" t="s">
        <v>166</v>
      </c>
      <c r="F7" s="216" t="s">
        <v>167</v>
      </c>
      <c r="G7" s="216" t="s">
        <v>168</v>
      </c>
      <c r="H7" s="217" t="s">
        <v>169</v>
      </c>
      <c r="I7" s="218"/>
    </row>
    <row r="8" spans="1:10" ht="13.5" x14ac:dyDescent="0.25">
      <c r="A8" s="315">
        <v>40</v>
      </c>
      <c r="B8" s="316" t="s">
        <v>75</v>
      </c>
      <c r="C8" s="220">
        <f>+A8</f>
        <v>40</v>
      </c>
      <c r="D8" s="221" t="s">
        <v>213</v>
      </c>
      <c r="E8" s="221">
        <v>0.67</v>
      </c>
      <c r="F8" s="221">
        <f>IFERROR(C8*E8,"")</f>
        <v>26.8</v>
      </c>
      <c r="G8" s="222">
        <f t="shared" ref="G8:G14" si="0">IFERROR(F8/$F$69,"")</f>
        <v>6.359166940019716E-3</v>
      </c>
      <c r="H8" s="223"/>
      <c r="I8" s="223"/>
      <c r="J8" s="224"/>
    </row>
    <row r="9" spans="1:10" ht="13.5" x14ac:dyDescent="0.25">
      <c r="A9" s="315">
        <v>20</v>
      </c>
      <c r="B9" s="316" t="str">
        <f>IFERROR(VLOOKUP(H9,'[1]Consolidado MP Planta'!$A$2:$M$823,3,0),"")</f>
        <v>CREMA BETTERCREAM DOBLE CHOCO (UND:4 K)</v>
      </c>
      <c r="C9" s="220">
        <f t="shared" ref="C9:C14" si="1">+A9</f>
        <v>20</v>
      </c>
      <c r="D9" s="221" t="str">
        <f>IFERROR(VLOOKUP(H9,'[1]Consolidado MP Planta'!$A$2:$M$823,13,0),"")</f>
        <v>Gramos</v>
      </c>
      <c r="E9" s="221">
        <v>2.5</v>
      </c>
      <c r="F9" s="221">
        <f t="shared" ref="F9:F14" si="2">IFERROR(C9*E9,"")</f>
        <v>50</v>
      </c>
      <c r="G9" s="222">
        <f t="shared" si="0"/>
        <v>1.1864117425409918E-2</v>
      </c>
      <c r="H9" s="223" t="s">
        <v>225</v>
      </c>
      <c r="I9" s="223"/>
      <c r="J9" s="224"/>
    </row>
    <row r="10" spans="1:10" ht="13.5" x14ac:dyDescent="0.25">
      <c r="A10" s="315">
        <v>12</v>
      </c>
      <c r="B10" s="316" t="s">
        <v>147</v>
      </c>
      <c r="C10" s="220">
        <f t="shared" si="1"/>
        <v>12</v>
      </c>
      <c r="D10" s="220" t="s">
        <v>217</v>
      </c>
      <c r="E10" s="221">
        <v>31.55</v>
      </c>
      <c r="F10" s="221">
        <f t="shared" ref="F10" si="3">IFERROR(E10*C10,"")</f>
        <v>378.6</v>
      </c>
      <c r="G10" s="222">
        <f t="shared" si="0"/>
        <v>8.9835097145203893E-2</v>
      </c>
      <c r="H10" s="223"/>
      <c r="I10" s="223"/>
      <c r="J10" s="224"/>
    </row>
    <row r="11" spans="1:10" ht="13.5" hidden="1" x14ac:dyDescent="0.25">
      <c r="A11" s="219"/>
      <c r="B11" s="207" t="str">
        <f>IFERROR(VLOOKUP(H11,'[1]Consolidado MP Planta'!$A$2:$M$823,3,0),"")</f>
        <v/>
      </c>
      <c r="C11" s="220">
        <f t="shared" si="1"/>
        <v>0</v>
      </c>
      <c r="D11" s="221" t="str">
        <f>IFERROR(VLOOKUP(H11,'[1]Consolidado MP Planta'!$A$2:$M$823,13,0),"")</f>
        <v/>
      </c>
      <c r="E11" s="221" t="str">
        <f>IFERROR(VLOOKUP(H11,'[1]Consolidado MP Planta'!$A$2:$M$823,12,0),"")</f>
        <v/>
      </c>
      <c r="F11" s="221" t="str">
        <f t="shared" si="2"/>
        <v/>
      </c>
      <c r="G11" s="222" t="str">
        <f t="shared" si="0"/>
        <v/>
      </c>
      <c r="H11" s="223"/>
      <c r="I11" s="223"/>
      <c r="J11" s="224"/>
    </row>
    <row r="12" spans="1:10" ht="13.5" hidden="1" x14ac:dyDescent="0.25">
      <c r="A12" s="219"/>
      <c r="B12" s="207" t="str">
        <f>IFERROR(VLOOKUP(H12,'[1]Consolidado MP Planta'!$A$2:$M$823,3,0),"")</f>
        <v/>
      </c>
      <c r="C12" s="220">
        <f t="shared" si="1"/>
        <v>0</v>
      </c>
      <c r="D12" s="221" t="str">
        <f>IFERROR(VLOOKUP(H12,'[1]Consolidado MP Planta'!$A$2:$M$823,13,0),"")</f>
        <v/>
      </c>
      <c r="E12" s="221" t="str">
        <f>IFERROR(VLOOKUP(H12,'[1]Consolidado MP Planta'!$A$2:$M$823,12,0),"")</f>
        <v/>
      </c>
      <c r="F12" s="221" t="str">
        <f t="shared" si="2"/>
        <v/>
      </c>
      <c r="G12" s="222" t="str">
        <f t="shared" si="0"/>
        <v/>
      </c>
      <c r="H12" s="223"/>
      <c r="I12" s="223"/>
      <c r="J12" s="224"/>
    </row>
    <row r="13" spans="1:10" ht="13.5" hidden="1" x14ac:dyDescent="0.25">
      <c r="A13" s="219"/>
      <c r="B13" s="207" t="str">
        <f>IFERROR(VLOOKUP(H13,'[1]Consolidado MP Planta'!$A$2:$M$823,3,0),"")</f>
        <v/>
      </c>
      <c r="C13" s="220">
        <f t="shared" si="1"/>
        <v>0</v>
      </c>
      <c r="D13" s="221" t="str">
        <f>IFERROR(VLOOKUP(H13,'[1]Consolidado MP Planta'!$A$2:$M$823,13,0),"")</f>
        <v/>
      </c>
      <c r="E13" s="221" t="str">
        <f>IFERROR(VLOOKUP(H13,'[1]Consolidado MP Planta'!$A$2:$M$823,12,0),"")</f>
        <v/>
      </c>
      <c r="F13" s="221" t="str">
        <f t="shared" si="2"/>
        <v/>
      </c>
      <c r="G13" s="222" t="str">
        <f t="shared" si="0"/>
        <v/>
      </c>
      <c r="H13" s="223"/>
      <c r="I13" s="223"/>
      <c r="J13" s="224"/>
    </row>
    <row r="14" spans="1:10" ht="13.5" hidden="1" x14ac:dyDescent="0.25">
      <c r="A14" s="219"/>
      <c r="B14" s="207" t="str">
        <f>IFERROR(VLOOKUP(H14,'[1]Consolidado MP Planta'!$A$2:$M$823,3,0),"")</f>
        <v/>
      </c>
      <c r="C14" s="220">
        <f t="shared" si="1"/>
        <v>0</v>
      </c>
      <c r="D14" s="221" t="str">
        <f>IFERROR(VLOOKUP(H14,'[1]Consolidado MP Planta'!$A$2:$M$823,13,0),"")</f>
        <v/>
      </c>
      <c r="E14" s="221" t="str">
        <f>IFERROR(VLOOKUP(H14,'[1]Consolidado MP Planta'!$A$2:$M$823,12,0),"")</f>
        <v/>
      </c>
      <c r="F14" s="221" t="str">
        <f t="shared" si="2"/>
        <v/>
      </c>
      <c r="G14" s="222" t="str">
        <f t="shared" si="0"/>
        <v/>
      </c>
      <c r="H14" s="223"/>
      <c r="I14" s="223"/>
      <c r="J14" s="224"/>
    </row>
    <row r="15" spans="1:10" ht="14.25" thickBot="1" x14ac:dyDescent="0.3">
      <c r="A15" s="219"/>
      <c r="B15" s="207" t="str">
        <f>IFERROR(VLOOKUP(H15,'[2]ARTICULOS MP PLANTA'!$A$2:$G$589,2,0),"")</f>
        <v/>
      </c>
      <c r="C15" s="220"/>
      <c r="D15" s="221"/>
      <c r="E15" s="221"/>
      <c r="F15" s="221"/>
      <c r="G15" s="222"/>
      <c r="H15" s="223"/>
      <c r="I15" s="223"/>
      <c r="J15" s="224"/>
    </row>
    <row r="16" spans="1:10" ht="26.25" thickBot="1" x14ac:dyDescent="0.3">
      <c r="A16" s="214" t="s">
        <v>163</v>
      </c>
      <c r="B16" s="215" t="s">
        <v>170</v>
      </c>
      <c r="C16" s="215" t="s">
        <v>163</v>
      </c>
      <c r="D16" s="216" t="s">
        <v>165</v>
      </c>
      <c r="E16" s="216" t="s">
        <v>166</v>
      </c>
      <c r="F16" s="216" t="s">
        <v>167</v>
      </c>
      <c r="G16" s="216" t="s">
        <v>168</v>
      </c>
      <c r="H16" s="217" t="s">
        <v>169</v>
      </c>
      <c r="I16" s="218"/>
      <c r="J16" s="224"/>
    </row>
    <row r="17" spans="1:12" ht="13.5" x14ac:dyDescent="0.25">
      <c r="A17" s="309">
        <v>1</v>
      </c>
      <c r="B17" s="312" t="s">
        <v>67</v>
      </c>
      <c r="C17" s="220">
        <f>+A17</f>
        <v>1</v>
      </c>
      <c r="D17" s="220" t="s">
        <v>217</v>
      </c>
      <c r="E17" s="221">
        <v>482</v>
      </c>
      <c r="F17" s="221">
        <f>IFERROR(E17*C17,"")</f>
        <v>482</v>
      </c>
      <c r="G17" s="222">
        <f t="shared" ref="G17:G24" si="4">IFERROR(F17/$F$69,"")</f>
        <v>0.1143700919809516</v>
      </c>
      <c r="H17" s="223" t="s">
        <v>216</v>
      </c>
      <c r="I17" s="223"/>
      <c r="J17" s="224"/>
    </row>
    <row r="18" spans="1:12" ht="13.5" x14ac:dyDescent="0.25">
      <c r="A18" s="309">
        <v>100</v>
      </c>
      <c r="B18" s="312" t="str">
        <f>IFERROR(VLOOKUP(H18,[1]SEMIELABORADOS!$A$2:$M$6000,2,0),"")</f>
        <v>MEZCLA TRES LECHES C/AGUA (KILO)</v>
      </c>
      <c r="C18" s="220">
        <f t="shared" ref="C18:C24" si="5">+A18</f>
        <v>100</v>
      </c>
      <c r="D18" s="220" t="str">
        <f>IFERROR(VLOOKUP(H18,[1]SEMIELABORADOS!$A$2:$M$6000,6,0),"")</f>
        <v>Gramo</v>
      </c>
      <c r="E18" s="221">
        <v>1.1499999999999999</v>
      </c>
      <c r="F18" s="221">
        <f t="shared" ref="F18:F24" si="6">IFERROR(E18*C18,"")</f>
        <v>114.99999999999999</v>
      </c>
      <c r="G18" s="222">
        <f t="shared" si="4"/>
        <v>2.7287470078442806E-2</v>
      </c>
      <c r="H18" s="223" t="s">
        <v>219</v>
      </c>
      <c r="I18" s="223"/>
      <c r="J18" s="224"/>
    </row>
    <row r="19" spans="1:12" ht="13.5" x14ac:dyDescent="0.25">
      <c r="A19" s="315">
        <v>150</v>
      </c>
      <c r="B19" s="316" t="s">
        <v>127</v>
      </c>
      <c r="C19" s="220">
        <f>+A19</f>
        <v>150</v>
      </c>
      <c r="D19" s="220" t="s">
        <v>214</v>
      </c>
      <c r="E19" s="221">
        <v>3.38</v>
      </c>
      <c r="F19" s="221">
        <f>IFERROR(E19*C19,"")</f>
        <v>507</v>
      </c>
      <c r="G19" s="222">
        <f t="shared" si="4"/>
        <v>0.12030215069365656</v>
      </c>
      <c r="H19" s="223" t="s">
        <v>220</v>
      </c>
      <c r="I19" s="223"/>
      <c r="J19" s="224"/>
    </row>
    <row r="20" spans="1:12" ht="13.5" x14ac:dyDescent="0.25">
      <c r="A20" s="219">
        <v>1</v>
      </c>
      <c r="B20" s="207" t="s">
        <v>488</v>
      </c>
      <c r="C20" s="220">
        <f>+A20</f>
        <v>1</v>
      </c>
      <c r="D20" s="220" t="s">
        <v>218</v>
      </c>
      <c r="E20" s="221">
        <f>+'costo Rosquete'!H53</f>
        <v>581.26105263157888</v>
      </c>
      <c r="F20" s="221">
        <f>IFERROR(E20*C20,"")</f>
        <v>581.26105263157888</v>
      </c>
      <c r="G20" s="222">
        <f t="shared" si="4"/>
        <v>0.13792298766476851</v>
      </c>
      <c r="H20" s="223"/>
      <c r="I20" s="223"/>
      <c r="J20" s="224"/>
    </row>
    <row r="21" spans="1:12" ht="13.5" x14ac:dyDescent="0.25">
      <c r="A21" s="309">
        <v>110</v>
      </c>
      <c r="B21" s="312" t="str">
        <f>IFERROR(VLOOKUP(H21,[1]SEMIELABORADOS!$A$2:$M$6000,2,0),"")</f>
        <v>GANACHE CHOCOLATE OSCURO (KILO)</v>
      </c>
      <c r="C21" s="220">
        <f>+A21</f>
        <v>110</v>
      </c>
      <c r="D21" s="220" t="str">
        <f>IFERROR(VLOOKUP(H21,[1]SEMIELABORADOS!$A$2:$M$6000,6,0),"")</f>
        <v>Gramo</v>
      </c>
      <c r="E21" s="221">
        <v>3.78</v>
      </c>
      <c r="F21" s="221">
        <f>IFERROR(E21*C21,"")</f>
        <v>415.79999999999995</v>
      </c>
      <c r="G21" s="222">
        <f t="shared" si="4"/>
        <v>9.8662000509708858E-2</v>
      </c>
      <c r="H21" s="223" t="s">
        <v>222</v>
      </c>
      <c r="I21" s="223"/>
      <c r="J21" s="224"/>
    </row>
    <row r="22" spans="1:12" ht="13.5" x14ac:dyDescent="0.25">
      <c r="A22" s="315">
        <v>150</v>
      </c>
      <c r="B22" s="316" t="str">
        <f>IFERROR(VLOOKUP(H22,[1]SEMIELABORADOS!$A$2:$M$6000,2,0),"")</f>
        <v>CREMA BEIDGE (KILO)</v>
      </c>
      <c r="C22" s="220">
        <f t="shared" si="5"/>
        <v>150</v>
      </c>
      <c r="D22" s="220" t="str">
        <f>IFERROR(VLOOKUP(H22,[1]SEMIELABORADOS!$A$2:$M$6000,6,0),"")</f>
        <v>Gramo</v>
      </c>
      <c r="E22" s="221">
        <v>2.2400000000000002</v>
      </c>
      <c r="F22" s="221">
        <f t="shared" si="6"/>
        <v>336.00000000000006</v>
      </c>
      <c r="G22" s="222">
        <f t="shared" si="4"/>
        <v>7.9726869098754663E-2</v>
      </c>
      <c r="H22" s="223" t="s">
        <v>223</v>
      </c>
      <c r="I22" s="223"/>
      <c r="J22" s="224"/>
    </row>
    <row r="23" spans="1:12" ht="13.5" hidden="1" x14ac:dyDescent="0.25">
      <c r="A23" s="219">
        <v>0</v>
      </c>
      <c r="C23" s="220">
        <f t="shared" si="5"/>
        <v>0</v>
      </c>
      <c r="D23" s="220" t="s">
        <v>217</v>
      </c>
      <c r="E23" s="221">
        <v>0</v>
      </c>
      <c r="F23" s="221">
        <f t="shared" si="6"/>
        <v>0</v>
      </c>
      <c r="G23" s="222">
        <f t="shared" si="4"/>
        <v>0</v>
      </c>
      <c r="H23" s="223"/>
      <c r="I23" s="223"/>
      <c r="J23" s="224"/>
    </row>
    <row r="24" spans="1:12" ht="13.5" hidden="1" x14ac:dyDescent="0.25">
      <c r="A24" s="219"/>
      <c r="B24" s="207" t="str">
        <f>IFERROR(VLOOKUP(H24,[1]SEMIELABORADOS!$A$2:$M$6000,2,0),"")</f>
        <v/>
      </c>
      <c r="C24" s="220">
        <f t="shared" si="5"/>
        <v>0</v>
      </c>
      <c r="D24" s="220" t="str">
        <f>IFERROR(VLOOKUP(H24,[1]SEMIELABORADOS!$A$2:$M$6000,6,0),"")</f>
        <v/>
      </c>
      <c r="E24" s="221" t="str">
        <f>IFERROR(VLOOKUP(H24,[1]SEMIELABORADOS!$A$2:$H$65536,8,0),"")</f>
        <v/>
      </c>
      <c r="F24" s="221" t="str">
        <f t="shared" si="6"/>
        <v/>
      </c>
      <c r="G24" s="222" t="str">
        <f t="shared" si="4"/>
        <v/>
      </c>
      <c r="H24" s="223"/>
      <c r="I24" s="223"/>
      <c r="J24" s="224"/>
    </row>
    <row r="25" spans="1:12" ht="14.25" thickBot="1" x14ac:dyDescent="0.3">
      <c r="A25" s="219"/>
      <c r="C25" s="220"/>
      <c r="D25" s="220"/>
      <c r="E25" s="221"/>
      <c r="F25" s="221"/>
      <c r="G25" s="222"/>
      <c r="H25" s="223"/>
      <c r="I25" s="223"/>
      <c r="J25" s="224"/>
    </row>
    <row r="26" spans="1:12" ht="26.25" thickBot="1" x14ac:dyDescent="0.3">
      <c r="A26" s="214" t="s">
        <v>163</v>
      </c>
      <c r="B26" s="215" t="s">
        <v>20</v>
      </c>
      <c r="C26" s="215" t="s">
        <v>163</v>
      </c>
      <c r="D26" s="216" t="s">
        <v>165</v>
      </c>
      <c r="E26" s="216" t="s">
        <v>166</v>
      </c>
      <c r="F26" s="216" t="s">
        <v>167</v>
      </c>
      <c r="G26" s="216" t="s">
        <v>168</v>
      </c>
      <c r="H26" s="217" t="s">
        <v>169</v>
      </c>
      <c r="I26" s="218"/>
    </row>
    <row r="27" spans="1:12" ht="13.5" x14ac:dyDescent="0.25">
      <c r="A27" s="219">
        <v>1</v>
      </c>
      <c r="B27" s="225" t="str">
        <f>IFERROR(VLOOKUP(H27,'[1]Consolidado MP Planta'!$A$2:$M$823,3,0),"")</f>
        <v>QUEQUERA RED  BASE/DOMO 10 (CAJA:50)</v>
      </c>
      <c r="C27" s="220">
        <f t="shared" ref="C27:C35" si="7">+A27</f>
        <v>1</v>
      </c>
      <c r="D27" s="221" t="str">
        <f>IFERROR(VLOOKUP(H27,'[1]Consolidado MP Planta'!$A$2:$M$823,13,0),"")</f>
        <v>UND</v>
      </c>
      <c r="E27" s="221">
        <v>367</v>
      </c>
      <c r="F27" s="221">
        <f t="shared" ref="F27:F35" si="8">IFERROR(C27*E27,"")</f>
        <v>367</v>
      </c>
      <c r="G27" s="222">
        <f>IFERROR(F27/$F$69,"")</f>
        <v>8.7082621902508789E-2</v>
      </c>
      <c r="H27" s="320" t="s">
        <v>226</v>
      </c>
      <c r="I27" s="226"/>
      <c r="J27" s="224"/>
      <c r="K27" s="874"/>
      <c r="L27" s="874"/>
    </row>
    <row r="28" spans="1:12" ht="13.5" x14ac:dyDescent="0.25">
      <c r="A28" s="219">
        <v>1</v>
      </c>
      <c r="B28" s="225" t="str">
        <f>IFERROR(VLOOKUP(H28,'[1]Consolidado MP Planta'!$A$2:$M$823,3,0),"")</f>
        <v>ORLA CARTON 10" DORADA (UND)</v>
      </c>
      <c r="C28" s="220">
        <f t="shared" ref="C28:C31" si="9">+A28</f>
        <v>1</v>
      </c>
      <c r="D28" s="221" t="str">
        <f>IFERROR(VLOOKUP(H28,'[1]Consolidado MP Planta'!$A$2:$M$823,13,0),"")</f>
        <v>Und</v>
      </c>
      <c r="E28" s="221">
        <v>137</v>
      </c>
      <c r="F28" s="221">
        <f t="shared" ref="F28:F31" si="10">IFERROR(C28*E28,"")</f>
        <v>137</v>
      </c>
      <c r="G28" s="222">
        <f t="shared" ref="G28:G31" si="11">IFERROR(F28/$F$69,"")</f>
        <v>3.2507681745623171E-2</v>
      </c>
      <c r="H28" s="320" t="s">
        <v>227</v>
      </c>
      <c r="I28" s="226"/>
      <c r="J28" s="224"/>
      <c r="K28" s="874"/>
      <c r="L28" s="874"/>
    </row>
    <row r="29" spans="1:12" ht="13.5" x14ac:dyDescent="0.25">
      <c r="A29" s="219">
        <v>1</v>
      </c>
      <c r="B29" s="225" t="str">
        <f>IFERROR(VLOOKUP(H29,'[1]Consolidado MP Planta'!$A$2:$M$823,3,0),"")</f>
        <v>ETIQ.BLANCA 1 1/4 * 3/4 (UND)</v>
      </c>
      <c r="C29" s="220">
        <f t="shared" si="9"/>
        <v>1</v>
      </c>
      <c r="D29" s="221" t="str">
        <f>IFERROR(VLOOKUP(H29,'[1]Consolidado MP Planta'!$A$2:$M$823,13,0),"")</f>
        <v>Und</v>
      </c>
      <c r="E29" s="221">
        <f>IFERROR(VLOOKUP(H29,'[1]Consolidado MP Planta'!$A$2:$M$823,12,0),"")</f>
        <v>0.57999999999999996</v>
      </c>
      <c r="F29" s="221">
        <f t="shared" si="10"/>
        <v>0.57999999999999996</v>
      </c>
      <c r="G29" s="222">
        <f t="shared" si="11"/>
        <v>1.3762376213475504E-4</v>
      </c>
      <c r="H29" s="320" t="s">
        <v>229</v>
      </c>
      <c r="I29" s="226"/>
      <c r="J29" s="224"/>
      <c r="K29" s="205"/>
      <c r="L29" s="205"/>
    </row>
    <row r="30" spans="1:12" ht="13.5" x14ac:dyDescent="0.25">
      <c r="A30" s="219">
        <v>60</v>
      </c>
      <c r="B30" s="225" t="str">
        <f>IFERROR(VLOOKUP(H30,'[1]Consolidado MP Planta'!$A$2:$M$823,3,0),"")</f>
        <v>CINTA ADHESIVA TRANSPARENT 2*100 M (UND)</v>
      </c>
      <c r="C30" s="220">
        <f t="shared" si="9"/>
        <v>60</v>
      </c>
      <c r="D30" s="221" t="str">
        <f>IFERROR(VLOOKUP(H30,'[1]Consolidado MP Planta'!$A$2:$M$823,13,0),"")</f>
        <v>Cm</v>
      </c>
      <c r="E30" s="221">
        <f>IFERROR(VLOOKUP(H30,'[1]Consolidado MP Planta'!$A$2:$M$823,12,0),"")</f>
        <v>0.17499999999999999</v>
      </c>
      <c r="F30" s="221">
        <f t="shared" si="10"/>
        <v>10.5</v>
      </c>
      <c r="G30" s="222">
        <f t="shared" si="11"/>
        <v>2.4914646593360828E-3</v>
      </c>
      <c r="H30" s="320" t="s">
        <v>230</v>
      </c>
      <c r="I30" s="226"/>
      <c r="J30" s="224"/>
      <c r="K30" s="205"/>
      <c r="L30" s="205"/>
    </row>
    <row r="31" spans="1:12" ht="13.5" x14ac:dyDescent="0.25">
      <c r="A31" s="219">
        <v>1</v>
      </c>
      <c r="B31" s="225" t="str">
        <f>IFERROR(VLOOKUP(H31,'[1]Consolidado MP Planta'!$A$2:$M$823,3,0),"")</f>
        <v>ETIQUETA BLANCA R-153 (UND)</v>
      </c>
      <c r="C31" s="220">
        <f t="shared" si="9"/>
        <v>1</v>
      </c>
      <c r="D31" s="221" t="str">
        <f>IFERROR(VLOOKUP(H31,'[1]Consolidado MP Planta'!$A$2:$M$823,13,0),"")</f>
        <v>Und</v>
      </c>
      <c r="E31" s="221">
        <f>IFERROR(VLOOKUP(H31,'[1]Consolidado MP Planta'!$A$2:$M$823,12,0),"")</f>
        <v>0.39</v>
      </c>
      <c r="F31" s="221">
        <f t="shared" si="10"/>
        <v>0.39</v>
      </c>
      <c r="G31" s="222">
        <f t="shared" si="11"/>
        <v>9.2540115918197355E-5</v>
      </c>
      <c r="H31" s="320" t="s">
        <v>228</v>
      </c>
      <c r="I31" s="226"/>
      <c r="J31" s="224"/>
      <c r="K31" s="205"/>
      <c r="L31" s="205"/>
    </row>
    <row r="32" spans="1:12" ht="13.5" x14ac:dyDescent="0.25">
      <c r="A32" s="219">
        <v>1</v>
      </c>
      <c r="B32" s="225" t="str">
        <f>IFERROR(VLOOKUP(H32,'[1]Consolidado MP Planta'!$A$2:$M$823,3,0),"")</f>
        <v>ETIQUETA BLANCA 2 5/8X1 15/16 (UND)</v>
      </c>
      <c r="C32" s="220">
        <f t="shared" si="7"/>
        <v>1</v>
      </c>
      <c r="D32" s="221" t="str">
        <f>IFERROR(VLOOKUP(H32,'[1]Consolidado MP Planta'!$A$2:$M$823,13,0),"")</f>
        <v>Und</v>
      </c>
      <c r="E32" s="221">
        <f>IFERROR(VLOOKUP(H32,'[1]Consolidado MP Planta'!$A$2:$M$823,12,0),"")</f>
        <v>2.1280000000000001</v>
      </c>
      <c r="F32" s="221">
        <f t="shared" si="8"/>
        <v>2.1280000000000001</v>
      </c>
      <c r="G32" s="222">
        <f>IFERROR(F32/$F$69,"")</f>
        <v>5.049368376254461E-4</v>
      </c>
      <c r="H32" s="320" t="s">
        <v>58</v>
      </c>
      <c r="I32" s="226"/>
      <c r="J32" s="224"/>
      <c r="K32" s="874"/>
      <c r="L32" s="874"/>
    </row>
    <row r="33" spans="1:13" ht="13.5" x14ac:dyDescent="0.25">
      <c r="A33" s="219">
        <v>1</v>
      </c>
      <c r="B33" s="225" t="s">
        <v>139</v>
      </c>
      <c r="C33" s="220">
        <f t="shared" si="7"/>
        <v>1</v>
      </c>
      <c r="D33" s="221" t="s">
        <v>218</v>
      </c>
      <c r="E33" s="221">
        <v>115</v>
      </c>
      <c r="F33" s="221">
        <f t="shared" si="8"/>
        <v>115</v>
      </c>
      <c r="G33" s="222">
        <f>IFERROR(F33/$F$69,"")</f>
        <v>2.7287470078442809E-2</v>
      </c>
      <c r="H33" s="320"/>
      <c r="I33" s="226"/>
      <c r="J33" s="224"/>
      <c r="K33" s="874"/>
      <c r="L33" s="874"/>
    </row>
    <row r="34" spans="1:13" ht="13.5" x14ac:dyDescent="0.25">
      <c r="A34" s="219">
        <v>1</v>
      </c>
      <c r="B34" s="225" t="str">
        <f>IFERROR(VLOOKUP(H34,'[1]Consolidado MP Planta'!$A$2:$M$823,3,0),"")</f>
        <v/>
      </c>
      <c r="C34" s="220">
        <f t="shared" si="7"/>
        <v>1</v>
      </c>
      <c r="D34" s="221" t="str">
        <f>IFERROR(VLOOKUP(H34,'[1]Consolidado MP Planta'!$A$2:$M$823,13,0),"")</f>
        <v/>
      </c>
      <c r="E34" s="221" t="str">
        <f>IFERROR(VLOOKUP(H34,'[1]Consolidado MP Planta'!$A$2:$M$823,12,0),"")</f>
        <v/>
      </c>
      <c r="F34" s="221" t="str">
        <f t="shared" si="8"/>
        <v/>
      </c>
      <c r="G34" s="222" t="str">
        <f>IFERROR(F34/$F$69,"")</f>
        <v/>
      </c>
      <c r="H34" s="226"/>
      <c r="I34" s="226"/>
      <c r="J34" s="224"/>
      <c r="K34" s="227"/>
      <c r="L34" s="228"/>
    </row>
    <row r="35" spans="1:13" ht="13.5" x14ac:dyDescent="0.25">
      <c r="A35" s="219"/>
      <c r="B35" s="225" t="str">
        <f>IFERROR(VLOOKUP(H35,'[1]Consolidado MP Planta'!$A$2:$M$823,3,0),"")</f>
        <v/>
      </c>
      <c r="C35" s="220">
        <f t="shared" si="7"/>
        <v>0</v>
      </c>
      <c r="D35" s="221" t="str">
        <f>IFERROR(VLOOKUP(H35,'[1]Consolidado MP Planta'!$A$2:$M$823,13,0),"")</f>
        <v/>
      </c>
      <c r="E35" s="221" t="str">
        <f>IFERROR(VLOOKUP(H35,'[1]Consolidado MP Planta'!$A$2:$M$823,12,0),"")</f>
        <v/>
      </c>
      <c r="F35" s="221" t="str">
        <f t="shared" si="8"/>
        <v/>
      </c>
      <c r="G35" s="222" t="str">
        <f>IFERROR(F35/$F$69,"")</f>
        <v/>
      </c>
      <c r="H35" s="226"/>
      <c r="I35" s="226"/>
      <c r="J35" s="224"/>
    </row>
    <row r="36" spans="1:13" ht="14.25" thickBot="1" x14ac:dyDescent="0.3">
      <c r="A36" s="219"/>
      <c r="B36" s="225"/>
      <c r="C36" s="220"/>
      <c r="D36" s="221"/>
      <c r="E36" s="221"/>
      <c r="F36" s="221"/>
      <c r="G36" s="222"/>
      <c r="H36" s="226"/>
      <c r="I36" s="226"/>
      <c r="J36" s="224"/>
    </row>
    <row r="37" spans="1:13" ht="26.25" thickBot="1" x14ac:dyDescent="0.25">
      <c r="A37" s="214" t="s">
        <v>163</v>
      </c>
      <c r="B37" s="215" t="s">
        <v>171</v>
      </c>
      <c r="C37" s="215" t="s">
        <v>163</v>
      </c>
      <c r="D37" s="216" t="s">
        <v>165</v>
      </c>
      <c r="E37" s="216" t="s">
        <v>166</v>
      </c>
      <c r="F37" s="216" t="s">
        <v>167</v>
      </c>
      <c r="G37" s="216" t="s">
        <v>168</v>
      </c>
      <c r="H37" s="217" t="s">
        <v>169</v>
      </c>
      <c r="I37" s="226"/>
      <c r="J37" s="224"/>
    </row>
    <row r="38" spans="1:13" ht="13.5" x14ac:dyDescent="0.25">
      <c r="A38" s="219">
        <f t="shared" ref="A38:A44" si="12">+A17</f>
        <v>1</v>
      </c>
      <c r="B38" s="225" t="s">
        <v>67</v>
      </c>
      <c r="C38" s="220">
        <f>+A38</f>
        <v>1</v>
      </c>
      <c r="D38" s="221" t="s">
        <v>218</v>
      </c>
      <c r="E38" s="221">
        <v>5.29</v>
      </c>
      <c r="F38" s="221">
        <f>IFERROR(E38*C38,"")</f>
        <v>5.29</v>
      </c>
      <c r="G38" s="222">
        <f t="shared" ref="G38:G44" si="13">IFERROR(F38/$F$69,"")</f>
        <v>1.2552236236083693E-3</v>
      </c>
      <c r="H38" s="226" t="s">
        <v>216</v>
      </c>
      <c r="I38" s="226"/>
      <c r="J38" s="224"/>
    </row>
    <row r="39" spans="1:13" ht="13.5" x14ac:dyDescent="0.25">
      <c r="A39" s="219">
        <f t="shared" si="12"/>
        <v>100</v>
      </c>
      <c r="B39" s="225" t="str">
        <f>IFERROR(VLOOKUP(H39,[1]SEMIELABORADOS!$A$2:$M$6000,2,0),"")</f>
        <v>MEZCLA TRES LECHES C/AGUA (KILO)</v>
      </c>
      <c r="C39" s="220">
        <f t="shared" ref="C39:C44" si="14">+A39</f>
        <v>100</v>
      </c>
      <c r="D39" s="221" t="str">
        <f>IFERROR(VLOOKUP(H39,[1]SEMIELABORADOS!$A$2:$M$6000,6,0),"")</f>
        <v>Gramo</v>
      </c>
      <c r="E39" s="221">
        <f>IFERROR(VLOOKUP(H39,[1]SEMIELABORADOS!$A$2:$M$65536,10,0),"")</f>
        <v>4.851120221866667E-3</v>
      </c>
      <c r="F39" s="221">
        <f t="shared" ref="F39:F44" si="15">IFERROR(E39*C39,"")</f>
        <v>0.48511202218666671</v>
      </c>
      <c r="G39" s="222">
        <f t="shared" si="13"/>
        <v>1.151085199140135E-4</v>
      </c>
      <c r="H39" s="226" t="s">
        <v>219</v>
      </c>
      <c r="I39" s="226"/>
      <c r="J39" s="224"/>
    </row>
    <row r="40" spans="1:13" ht="13.5" x14ac:dyDescent="0.25">
      <c r="A40" s="219">
        <f t="shared" si="12"/>
        <v>150</v>
      </c>
      <c r="B40" s="225" t="s">
        <v>127</v>
      </c>
      <c r="C40" s="220">
        <f t="shared" si="14"/>
        <v>150</v>
      </c>
      <c r="D40" s="221" t="s">
        <v>221</v>
      </c>
      <c r="E40" s="221">
        <v>0</v>
      </c>
      <c r="F40" s="221">
        <f t="shared" si="15"/>
        <v>0</v>
      </c>
      <c r="G40" s="222">
        <f t="shared" si="13"/>
        <v>0</v>
      </c>
      <c r="H40" s="226" t="s">
        <v>220</v>
      </c>
      <c r="I40" s="226"/>
      <c r="J40" s="224"/>
    </row>
    <row r="41" spans="1:13" ht="13.5" x14ac:dyDescent="0.25">
      <c r="A41" s="219">
        <f t="shared" si="12"/>
        <v>1</v>
      </c>
      <c r="B41" s="225" t="s">
        <v>488</v>
      </c>
      <c r="C41" s="220">
        <f>+A41</f>
        <v>1</v>
      </c>
      <c r="D41" s="221" t="s">
        <v>218</v>
      </c>
      <c r="E41" s="221">
        <f>+'costo Rosquete'!H54</f>
        <v>9.6951779448621576</v>
      </c>
      <c r="F41" s="221">
        <f>IFERROR(E41*C41,"")</f>
        <v>9.6951779448621576</v>
      </c>
      <c r="G41" s="222">
        <f t="shared" si="13"/>
        <v>2.3004945919617805E-3</v>
      </c>
      <c r="H41" s="226"/>
      <c r="I41" s="226"/>
      <c r="J41" s="224"/>
    </row>
    <row r="42" spans="1:13" ht="13.5" x14ac:dyDescent="0.25">
      <c r="A42" s="219">
        <f t="shared" si="12"/>
        <v>110</v>
      </c>
      <c r="B42" s="225" t="str">
        <f>IFERROR(VLOOKUP(H42,[1]SEMIELABORADOS!$A$2:$M$6000,2,0),"")</f>
        <v>GANACHE CHOCOLATE OSCURO (KILO)</v>
      </c>
      <c r="C42" s="220">
        <f>+A42</f>
        <v>110</v>
      </c>
      <c r="D42" s="221" t="str">
        <f>IFERROR(VLOOKUP(H42,[1]SEMIELABORADOS!$A$2:$M$6000,6,0),"")</f>
        <v>Gramo</v>
      </c>
      <c r="E42" s="221">
        <f>IFERROR(VLOOKUP(H42,[1]SEMIELABORADOS!$A$2:$M$65536,10,0),"")</f>
        <v>1.4250614250614247E-5</v>
      </c>
      <c r="F42" s="221">
        <f>IFERROR(E42*C42,"")</f>
        <v>1.5675675675675671E-3</v>
      </c>
      <c r="G42" s="222">
        <f t="shared" si="13"/>
        <v>3.7195611387771622E-7</v>
      </c>
      <c r="H42" s="226" t="s">
        <v>222</v>
      </c>
      <c r="I42" s="226"/>
      <c r="J42" s="224"/>
    </row>
    <row r="43" spans="1:13" ht="13.5" x14ac:dyDescent="0.25">
      <c r="A43" s="219">
        <f t="shared" si="12"/>
        <v>150</v>
      </c>
      <c r="B43" s="225" t="str">
        <f>IFERROR(VLOOKUP(H43,[1]SEMIELABORADOS!$A$2:$M$6000,2,0),"")</f>
        <v>CREMA BEIDGE (KILO)</v>
      </c>
      <c r="C43" s="220">
        <f t="shared" si="14"/>
        <v>150</v>
      </c>
      <c r="D43" s="221" t="str">
        <f>IFERROR(VLOOKUP(H43,[1]SEMIELABORADOS!$A$2:$M$6000,6,0),"")</f>
        <v>Gramo</v>
      </c>
      <c r="E43" s="221">
        <f>IFERROR(VLOOKUP(H43,[1]SEMIELABORADOS!$A$2:$M$65536,10,0),"")</f>
        <v>5.5769230769230759E-5</v>
      </c>
      <c r="F43" s="221">
        <f t="shared" si="15"/>
        <v>8.3653846153846131E-3</v>
      </c>
      <c r="G43" s="222">
        <f t="shared" si="13"/>
        <v>1.9849581077128123E-6</v>
      </c>
      <c r="H43" s="226" t="s">
        <v>223</v>
      </c>
      <c r="I43" s="226"/>
      <c r="J43" s="224"/>
    </row>
    <row r="44" spans="1:13" ht="13.5" x14ac:dyDescent="0.25">
      <c r="A44" s="219">
        <f t="shared" si="12"/>
        <v>0</v>
      </c>
      <c r="B44" s="207" t="s">
        <v>147</v>
      </c>
      <c r="C44" s="220">
        <f t="shared" si="14"/>
        <v>0</v>
      </c>
      <c r="D44" s="221" t="s">
        <v>218</v>
      </c>
      <c r="E44" s="221">
        <f>+'Costo pelado de chocolate'!E76</f>
        <v>1.8617142857142857</v>
      </c>
      <c r="F44" s="221">
        <f t="shared" si="15"/>
        <v>0</v>
      </c>
      <c r="G44" s="222">
        <f t="shared" si="13"/>
        <v>0</v>
      </c>
      <c r="H44" s="226"/>
      <c r="I44" s="226"/>
      <c r="J44" s="224"/>
    </row>
    <row r="45" spans="1:13" ht="14.25" thickBot="1" x14ac:dyDescent="0.3">
      <c r="A45" s="219"/>
      <c r="B45" s="225"/>
      <c r="C45" s="220"/>
      <c r="D45" s="221"/>
      <c r="E45" s="221"/>
      <c r="F45" s="221"/>
      <c r="G45" s="222"/>
      <c r="H45" s="226"/>
      <c r="I45" s="226"/>
      <c r="J45" s="224"/>
    </row>
    <row r="46" spans="1:13" ht="26.25" thickBot="1" x14ac:dyDescent="0.3">
      <c r="A46" s="214" t="s">
        <v>163</v>
      </c>
      <c r="B46" s="215" t="s">
        <v>172</v>
      </c>
      <c r="C46" s="215" t="s">
        <v>163</v>
      </c>
      <c r="D46" s="216" t="s">
        <v>165</v>
      </c>
      <c r="E46" s="216" t="s">
        <v>166</v>
      </c>
      <c r="F46" s="216" t="s">
        <v>167</v>
      </c>
      <c r="G46" s="216" t="s">
        <v>168</v>
      </c>
      <c r="H46" s="217" t="s">
        <v>169</v>
      </c>
      <c r="I46" s="218"/>
      <c r="J46" s="224"/>
    </row>
    <row r="47" spans="1:13" ht="13.5" x14ac:dyDescent="0.25">
      <c r="A47" s="219">
        <f>+A38</f>
        <v>1</v>
      </c>
      <c r="B47" s="225" t="s">
        <v>67</v>
      </c>
      <c r="C47" s="220">
        <f>+A47</f>
        <v>1</v>
      </c>
      <c r="D47" s="221" t="s">
        <v>218</v>
      </c>
      <c r="E47" s="221">
        <v>33.340000000000003</v>
      </c>
      <c r="F47" s="221">
        <f>IFERROR(E47*C47,"")</f>
        <v>33.340000000000003</v>
      </c>
      <c r="G47" s="222">
        <f>IFERROR(F47/$F$69,"")</f>
        <v>7.9109934992633336E-3</v>
      </c>
      <c r="H47" s="226" t="s">
        <v>216</v>
      </c>
      <c r="I47" s="218"/>
      <c r="J47" s="224"/>
    </row>
    <row r="48" spans="1:13" ht="13.5" x14ac:dyDescent="0.25">
      <c r="A48" s="219">
        <f t="shared" ref="A48:A53" si="16">+A39</f>
        <v>100</v>
      </c>
      <c r="B48" s="225" t="str">
        <f>IFERROR(VLOOKUP(H48,[1]SEMIELABORADOS!$A$2:$M$6000,2,0),"")</f>
        <v>MEZCLA TRES LECHES C/AGUA (KILO)</v>
      </c>
      <c r="C48" s="220">
        <f t="shared" ref="C48:C53" si="17">+A48</f>
        <v>100</v>
      </c>
      <c r="D48" s="221" t="str">
        <f>IFERROR(VLOOKUP(H48,[1]SEMIELABORADOS!$A$2:$M$6000,6,0),"")</f>
        <v>Gramo</v>
      </c>
      <c r="E48" s="221">
        <f>IFERROR(VLOOKUP(H48,[1]SEMIELABORADOS!$A$2:$M$65536,12,0),"")</f>
        <v>0.20748563565692499</v>
      </c>
      <c r="F48" s="221">
        <f t="shared" ref="F48:F53" si="18">IFERROR(E48*C48,"")</f>
        <v>20.7485635656925</v>
      </c>
      <c r="G48" s="222">
        <f t="shared" ref="G48:G53" si="19">IFERROR(F48/$F$69,"")</f>
        <v>4.9232678910391542E-3</v>
      </c>
      <c r="H48" s="226" t="s">
        <v>219</v>
      </c>
      <c r="I48" s="218"/>
      <c r="J48" s="224"/>
      <c r="M48" s="229"/>
    </row>
    <row r="49" spans="1:17" ht="13.5" x14ac:dyDescent="0.25">
      <c r="A49" s="219">
        <f t="shared" si="16"/>
        <v>150</v>
      </c>
      <c r="B49" s="225" t="s">
        <v>127</v>
      </c>
      <c r="C49" s="220">
        <f t="shared" si="17"/>
        <v>150</v>
      </c>
      <c r="D49" s="221" t="s">
        <v>221</v>
      </c>
      <c r="E49" s="221">
        <v>0.15</v>
      </c>
      <c r="F49" s="221">
        <f t="shared" si="18"/>
        <v>22.5</v>
      </c>
      <c r="G49" s="222">
        <f t="shared" si="19"/>
        <v>5.3388528414344627E-3</v>
      </c>
      <c r="H49" s="226" t="s">
        <v>220</v>
      </c>
      <c r="I49" s="218"/>
      <c r="J49" s="224"/>
    </row>
    <row r="50" spans="1:17" ht="13.5" x14ac:dyDescent="0.25">
      <c r="A50" s="219">
        <f t="shared" si="16"/>
        <v>1</v>
      </c>
      <c r="B50" s="225" t="s">
        <v>119</v>
      </c>
      <c r="C50" s="220">
        <f t="shared" si="17"/>
        <v>1</v>
      </c>
      <c r="D50" s="221" t="s">
        <v>218</v>
      </c>
      <c r="E50" s="221">
        <f>+'costo Rosquete'!H56</f>
        <v>102.30127992481204</v>
      </c>
      <c r="F50" s="221">
        <f t="shared" si="18"/>
        <v>102.30127992481204</v>
      </c>
      <c r="G50" s="222">
        <f t="shared" si="19"/>
        <v>2.4274287955954005E-2</v>
      </c>
      <c r="H50" s="226"/>
      <c r="I50" s="218"/>
      <c r="J50" s="224"/>
    </row>
    <row r="51" spans="1:17" ht="13.5" x14ac:dyDescent="0.25">
      <c r="A51" s="219">
        <f t="shared" si="16"/>
        <v>110</v>
      </c>
      <c r="B51" s="225" t="str">
        <f>IFERROR(VLOOKUP(H51,[1]SEMIELABORADOS!$A$2:$M$6000,2,0),"")</f>
        <v>GANACHE CHOCOLATE OSCURO (KILO)</v>
      </c>
      <c r="C51" s="220">
        <f t="shared" si="17"/>
        <v>110</v>
      </c>
      <c r="D51" s="221" t="str">
        <f>IFERROR(VLOOKUP(H51,[1]SEMIELABORADOS!$A$2:$M$6000,6,0),"")</f>
        <v>Gramo</v>
      </c>
      <c r="E51" s="221">
        <f>IFERROR(VLOOKUP(H51,[1]SEMIELABORADOS!$A$2:$M$65536,12,0),"")</f>
        <v>0.69065858476658482</v>
      </c>
      <c r="F51" s="221">
        <f t="shared" si="18"/>
        <v>75.972444324324329</v>
      </c>
      <c r="G51" s="222">
        <f t="shared" si="19"/>
        <v>1.8026920011184021E-2</v>
      </c>
      <c r="H51" s="226" t="s">
        <v>222</v>
      </c>
      <c r="I51" s="218"/>
      <c r="J51" s="224"/>
    </row>
    <row r="52" spans="1:17" ht="13.5" x14ac:dyDescent="0.25">
      <c r="A52" s="219">
        <f t="shared" si="16"/>
        <v>150</v>
      </c>
      <c r="B52" s="225" t="str">
        <f>IFERROR(VLOOKUP(H52,[1]SEMIELABORADOS!$A$2:$M$6000,2,0),"")</f>
        <v>CREMA BEIDGE (KILO)</v>
      </c>
      <c r="C52" s="220">
        <f t="shared" si="17"/>
        <v>150</v>
      </c>
      <c r="D52" s="221" t="str">
        <f>IFERROR(VLOOKUP(H52,[1]SEMIELABORADOS!$A$2:$M$6000,6,0),"")</f>
        <v>Gramo</v>
      </c>
      <c r="E52" s="221">
        <f>IFERROR(VLOOKUP(H52,[1]SEMIELABORADOS!$A$2:$M$65536,12,0),"")</f>
        <v>0.84195974279289931</v>
      </c>
      <c r="F52" s="221">
        <f t="shared" si="18"/>
        <v>126.2939614189349</v>
      </c>
      <c r="G52" s="222">
        <f t="shared" si="19"/>
        <v>2.9967327767888668E-2</v>
      </c>
      <c r="H52" s="226" t="s">
        <v>223</v>
      </c>
      <c r="I52" s="218"/>
      <c r="J52" s="224"/>
    </row>
    <row r="53" spans="1:17" ht="13.5" x14ac:dyDescent="0.25">
      <c r="A53" s="219">
        <f t="shared" si="16"/>
        <v>0</v>
      </c>
      <c r="B53" s="207" t="s">
        <v>147</v>
      </c>
      <c r="C53" s="220">
        <f t="shared" si="17"/>
        <v>0</v>
      </c>
      <c r="D53" s="221" t="s">
        <v>218</v>
      </c>
      <c r="E53" s="221">
        <f>+'Costo pelado de chocolate'!E74</f>
        <v>8.25</v>
      </c>
      <c r="F53" s="221">
        <f t="shared" si="18"/>
        <v>0</v>
      </c>
      <c r="G53" s="222">
        <f t="shared" si="19"/>
        <v>0</v>
      </c>
      <c r="H53" s="225"/>
      <c r="I53" s="218"/>
      <c r="J53" s="224"/>
    </row>
    <row r="54" spans="1:17" ht="13.5" x14ac:dyDescent="0.25">
      <c r="A54" s="219">
        <v>1</v>
      </c>
      <c r="B54" s="225" t="s">
        <v>173</v>
      </c>
      <c r="C54" s="220">
        <f>+A54</f>
        <v>1</v>
      </c>
      <c r="D54" s="220" t="s">
        <v>174</v>
      </c>
      <c r="E54" s="221">
        <f>+F68</f>
        <v>616</v>
      </c>
      <c r="F54" s="221">
        <f>IFERROR(C54*E54,"")</f>
        <v>616</v>
      </c>
      <c r="G54" s="222">
        <f>IFERROR(F54/$F$69,"")</f>
        <v>0.14616592668105019</v>
      </c>
      <c r="H54" s="230"/>
      <c r="I54" s="230"/>
      <c r="J54" s="224"/>
    </row>
    <row r="55" spans="1:17" ht="14.25" thickBot="1" x14ac:dyDescent="0.3">
      <c r="A55" s="219"/>
      <c r="B55" s="225"/>
      <c r="C55" s="220"/>
      <c r="D55" s="220"/>
      <c r="E55" s="221"/>
      <c r="F55" s="221"/>
      <c r="G55" s="222"/>
      <c r="H55" s="230"/>
      <c r="I55" s="230"/>
      <c r="J55" s="224"/>
    </row>
    <row r="56" spans="1:17" ht="13.5" thickBot="1" x14ac:dyDescent="0.3">
      <c r="A56" s="231"/>
      <c r="B56" s="875" t="s">
        <v>175</v>
      </c>
      <c r="C56" s="875"/>
      <c r="D56" s="875"/>
      <c r="E56" s="875"/>
      <c r="F56" s="233">
        <f>SUM(F8:F14,F17:F24)</f>
        <v>2892.4610526315792</v>
      </c>
      <c r="G56" s="222">
        <f>+F56/$F$69</f>
        <v>0.68632995153691656</v>
      </c>
      <c r="H56" s="234">
        <f>+F56/$D$63</f>
        <v>2892.4610526315792</v>
      </c>
      <c r="I56" s="234"/>
      <c r="J56" s="235"/>
      <c r="K56" s="236"/>
      <c r="L56" s="236"/>
      <c r="M56" s="236"/>
      <c r="N56" s="236"/>
      <c r="O56" s="236"/>
      <c r="P56" s="236"/>
      <c r="Q56" s="237"/>
    </row>
    <row r="57" spans="1:17" x14ac:dyDescent="0.2">
      <c r="A57" s="231"/>
      <c r="B57" s="875" t="s">
        <v>176</v>
      </c>
      <c r="C57" s="875"/>
      <c r="D57" s="875"/>
      <c r="E57" s="875"/>
      <c r="F57" s="233">
        <f>SUM(F27:F35,F38:F44)</f>
        <v>648.07822291923162</v>
      </c>
      <c r="G57" s="222">
        <f>+F57/$F$69</f>
        <v>0.15377752275129497</v>
      </c>
      <c r="H57" s="234">
        <f>+F57/$D$63</f>
        <v>648.07822291923162</v>
      </c>
      <c r="I57" s="234"/>
      <c r="J57" s="238"/>
      <c r="K57" s="876" t="s">
        <v>177</v>
      </c>
      <c r="L57" s="877"/>
      <c r="M57" s="877"/>
      <c r="N57" s="877"/>
      <c r="O57" s="239">
        <f>+F58</f>
        <v>3540.539275550811</v>
      </c>
      <c r="P57" s="239"/>
      <c r="Q57" s="240"/>
    </row>
    <row r="58" spans="1:17" x14ac:dyDescent="0.2">
      <c r="A58" s="231"/>
      <c r="B58" s="875" t="s">
        <v>178</v>
      </c>
      <c r="C58" s="875"/>
      <c r="D58" s="875"/>
      <c r="E58" s="875"/>
      <c r="F58" s="233">
        <f>+F56+F57</f>
        <v>3540.539275550811</v>
      </c>
      <c r="G58" s="222">
        <f>+F58/$F$69</f>
        <v>0.84010747428821164</v>
      </c>
      <c r="H58" s="234">
        <f>+F58/$D$63</f>
        <v>3540.539275550811</v>
      </c>
      <c r="I58" s="234"/>
      <c r="J58" s="241"/>
      <c r="K58" s="242"/>
      <c r="M58" s="243" t="s">
        <v>179</v>
      </c>
      <c r="N58" s="244"/>
      <c r="O58" s="239">
        <f>+H59</f>
        <v>997.15624923376379</v>
      </c>
      <c r="P58" s="239"/>
      <c r="Q58" s="240"/>
    </row>
    <row r="59" spans="1:17" ht="13.5" thickBot="1" x14ac:dyDescent="0.25">
      <c r="A59" s="231"/>
      <c r="B59" s="232"/>
      <c r="C59" s="875" t="s">
        <v>180</v>
      </c>
      <c r="D59" s="875"/>
      <c r="E59" s="875"/>
      <c r="F59" s="233">
        <f>SUM(F47:F54)</f>
        <v>997.15624923376379</v>
      </c>
      <c r="G59" s="222">
        <f>+F59/$F$69</f>
        <v>0.23660757664781382</v>
      </c>
      <c r="H59" s="234">
        <f>+F59/$D$63</f>
        <v>997.15624923376379</v>
      </c>
      <c r="I59" s="234"/>
      <c r="J59" s="241"/>
      <c r="K59" s="242"/>
      <c r="L59" s="242"/>
      <c r="M59" s="242" t="s">
        <v>181</v>
      </c>
      <c r="N59" s="245"/>
      <c r="O59" s="239">
        <f>O57*N59</f>
        <v>0</v>
      </c>
      <c r="P59" s="239"/>
      <c r="Q59" s="240"/>
    </row>
    <row r="60" spans="1:17" ht="13.5" thickBot="1" x14ac:dyDescent="0.25">
      <c r="A60" s="231"/>
      <c r="B60" s="246"/>
      <c r="C60" s="246"/>
      <c r="D60" s="246"/>
      <c r="E60" s="246"/>
      <c r="F60" s="247"/>
      <c r="G60" s="222"/>
      <c r="H60" s="248"/>
      <c r="I60" s="234"/>
      <c r="J60" s="241"/>
      <c r="K60" s="249"/>
      <c r="M60" s="250" t="s">
        <v>182</v>
      </c>
      <c r="N60" s="251"/>
      <c r="O60" s="252">
        <f>SUM(O57:O59)</f>
        <v>4537.6955247845744</v>
      </c>
      <c r="P60" s="253"/>
      <c r="Q60" s="240"/>
    </row>
    <row r="61" spans="1:17" x14ac:dyDescent="0.2">
      <c r="B61" s="878" t="s">
        <v>183</v>
      </c>
      <c r="C61" s="878"/>
      <c r="D61" s="254">
        <v>1150</v>
      </c>
      <c r="E61" s="255"/>
      <c r="G61" s="222"/>
      <c r="H61" s="248">
        <f>+H59/77</f>
        <v>12.95008115888005</v>
      </c>
      <c r="I61" s="256"/>
      <c r="J61" s="241"/>
      <c r="K61" s="249"/>
      <c r="L61" s="242"/>
      <c r="M61" s="242" t="s">
        <v>184</v>
      </c>
      <c r="N61" s="257"/>
      <c r="O61" s="239">
        <f>+H62</f>
        <v>828.80519416832317</v>
      </c>
      <c r="P61" s="239"/>
      <c r="Q61" s="240"/>
    </row>
    <row r="62" spans="1:17" x14ac:dyDescent="0.2">
      <c r="B62" s="878" t="s">
        <v>185</v>
      </c>
      <c r="C62" s="878"/>
      <c r="D62" s="258">
        <v>1150</v>
      </c>
      <c r="E62" s="255"/>
      <c r="G62" s="222"/>
      <c r="H62" s="248">
        <f>+H61*64</f>
        <v>828.80519416832317</v>
      </c>
      <c r="I62" s="256"/>
      <c r="J62" s="241"/>
      <c r="K62" s="249"/>
      <c r="L62" s="242"/>
      <c r="M62" s="879" t="s">
        <v>182</v>
      </c>
      <c r="N62" s="879"/>
      <c r="O62" s="239">
        <f>SUM(O60:O61)</f>
        <v>5366.5007189528978</v>
      </c>
      <c r="P62" s="239"/>
      <c r="Q62" s="240"/>
    </row>
    <row r="63" spans="1:17" ht="13.5" thickBot="1" x14ac:dyDescent="0.25">
      <c r="B63" s="870" t="s">
        <v>186</v>
      </c>
      <c r="C63" s="870"/>
      <c r="D63" s="254">
        <f>+D61/D62</f>
        <v>1</v>
      </c>
      <c r="E63" s="255"/>
      <c r="F63" s="259"/>
      <c r="G63" s="222"/>
      <c r="H63" s="248"/>
      <c r="I63" s="256"/>
      <c r="J63" s="241"/>
      <c r="K63" s="249"/>
      <c r="L63" s="879"/>
      <c r="M63" s="879"/>
      <c r="N63" s="257"/>
      <c r="O63" s="239">
        <f>+O62*N63</f>
        <v>0</v>
      </c>
      <c r="P63" s="239"/>
      <c r="Q63" s="240"/>
    </row>
    <row r="64" spans="1:17" ht="13.5" thickBot="1" x14ac:dyDescent="0.25">
      <c r="B64" s="870" t="s">
        <v>187</v>
      </c>
      <c r="C64" s="870"/>
      <c r="D64" s="260"/>
      <c r="E64" s="255"/>
      <c r="F64" s="259"/>
      <c r="G64" s="222"/>
      <c r="H64" s="248"/>
      <c r="I64" s="256"/>
      <c r="J64" s="241"/>
      <c r="K64" s="871" t="s">
        <v>188</v>
      </c>
      <c r="L64" s="872"/>
      <c r="M64" s="872"/>
      <c r="N64" s="873"/>
      <c r="O64" s="252">
        <f>SUM(O62:O63)</f>
        <v>5366.5007189528978</v>
      </c>
      <c r="P64" s="261" t="s">
        <v>189</v>
      </c>
      <c r="Q64" s="240"/>
    </row>
    <row r="65" spans="2:17" ht="13.5" thickBot="1" x14ac:dyDescent="0.25">
      <c r="C65" s="231" t="s">
        <v>190</v>
      </c>
      <c r="D65" s="262"/>
      <c r="E65" s="205" t="s">
        <v>191</v>
      </c>
      <c r="F65" s="263" t="s">
        <v>192</v>
      </c>
      <c r="G65" s="222"/>
      <c r="H65" s="248"/>
      <c r="I65" s="256"/>
      <c r="J65" s="264"/>
      <c r="K65" s="265"/>
      <c r="L65" s="859" t="s">
        <v>193</v>
      </c>
      <c r="M65" s="859"/>
      <c r="N65" s="859"/>
      <c r="O65" s="266">
        <f>+O64/D63</f>
        <v>5366.5007189528978</v>
      </c>
      <c r="P65" s="267">
        <f>+O65/D62</f>
        <v>4.6665223643068678</v>
      </c>
      <c r="Q65" s="268"/>
    </row>
    <row r="66" spans="2:17" ht="13.5" thickBot="1" x14ac:dyDescent="0.25">
      <c r="B66" s="860" t="s">
        <v>178</v>
      </c>
      <c r="C66" s="860"/>
      <c r="D66" s="860"/>
      <c r="E66" s="269">
        <f>+F66/F66</f>
        <v>1</v>
      </c>
      <c r="F66" s="270">
        <f>SUM(F58)</f>
        <v>3540.539275550811</v>
      </c>
      <c r="G66" s="222">
        <f>+F66/$F$69</f>
        <v>0.84010747428821164</v>
      </c>
      <c r="H66" s="248"/>
      <c r="I66" s="256"/>
      <c r="K66" s="861"/>
      <c r="L66" s="862"/>
      <c r="M66" s="862"/>
      <c r="N66" s="862"/>
      <c r="O66" s="271"/>
      <c r="P66" s="272"/>
    </row>
    <row r="67" spans="2:17" ht="13.5" thickBot="1" x14ac:dyDescent="0.3">
      <c r="B67" s="863" t="s">
        <v>194</v>
      </c>
      <c r="C67" s="863"/>
      <c r="D67" s="863"/>
      <c r="E67" s="273">
        <v>0.02</v>
      </c>
      <c r="F67" s="270">
        <f>+F56*E67</f>
        <v>57.849221052631584</v>
      </c>
      <c r="G67" s="222">
        <f>+F67/$F$69</f>
        <v>1.3726599030738333E-2</v>
      </c>
      <c r="H67" s="234"/>
      <c r="I67" s="256"/>
      <c r="J67" s="274"/>
      <c r="O67" s="275">
        <v>5710</v>
      </c>
      <c r="P67" s="232"/>
    </row>
    <row r="68" spans="2:17" ht="13.5" thickBot="1" x14ac:dyDescent="0.3">
      <c r="B68" s="864" t="s">
        <v>195</v>
      </c>
      <c r="C68" s="865"/>
      <c r="D68" s="276">
        <v>8</v>
      </c>
      <c r="E68" s="277">
        <v>77</v>
      </c>
      <c r="F68" s="270">
        <f>+E68*D68</f>
        <v>616</v>
      </c>
      <c r="G68" s="222">
        <f>+F68/$F$69</f>
        <v>0.14616592668105019</v>
      </c>
      <c r="H68" s="234"/>
      <c r="I68" s="234"/>
      <c r="J68" s="224"/>
    </row>
    <row r="69" spans="2:17" ht="13.5" thickBot="1" x14ac:dyDescent="0.3">
      <c r="B69" s="866" t="s">
        <v>196</v>
      </c>
      <c r="C69" s="867"/>
      <c r="D69" s="867"/>
      <c r="E69" s="868"/>
      <c r="F69" s="247">
        <f>SUM(F66:F68)</f>
        <v>4214.388496603442</v>
      </c>
      <c r="G69" s="222">
        <f>+F69/$F$69</f>
        <v>1</v>
      </c>
      <c r="H69" s="869"/>
      <c r="I69" s="234"/>
      <c r="J69" s="224"/>
      <c r="M69" s="207" t="s">
        <v>197</v>
      </c>
    </row>
    <row r="70" spans="2:17" x14ac:dyDescent="0.25">
      <c r="C70" s="229"/>
      <c r="D70" s="229"/>
      <c r="E70" s="279"/>
      <c r="F70" s="270"/>
      <c r="G70" s="222"/>
      <c r="H70" s="869"/>
      <c r="I70" s="278"/>
      <c r="J70" s="207"/>
      <c r="M70" s="207" t="s">
        <v>198</v>
      </c>
    </row>
    <row r="71" spans="2:17" ht="13.5" thickBot="1" x14ac:dyDescent="0.3">
      <c r="B71" s="854" t="s">
        <v>199</v>
      </c>
      <c r="C71" s="854"/>
      <c r="D71" s="854"/>
      <c r="E71" s="854"/>
      <c r="F71" s="854"/>
      <c r="G71" s="222"/>
      <c r="H71" s="281"/>
      <c r="I71" s="278"/>
      <c r="J71" s="207"/>
      <c r="M71" s="207" t="s">
        <v>200</v>
      </c>
    </row>
    <row r="72" spans="2:17" ht="13.5" thickBot="1" x14ac:dyDescent="0.3">
      <c r="B72" s="282" t="s">
        <v>201</v>
      </c>
      <c r="C72" s="283">
        <f>+F56</f>
        <v>2892.4610526315792</v>
      </c>
      <c r="D72" s="283">
        <f>+D61</f>
        <v>1150</v>
      </c>
      <c r="E72" s="284">
        <f>+C72/D72</f>
        <v>2.51518352402746</v>
      </c>
      <c r="F72" s="222"/>
      <c r="G72" s="281"/>
      <c r="H72" s="224"/>
      <c r="I72" s="281"/>
      <c r="J72" s="207"/>
    </row>
    <row r="73" spans="2:17" x14ac:dyDescent="0.25">
      <c r="B73" s="285"/>
      <c r="C73" s="286"/>
      <c r="D73" s="287"/>
      <c r="E73" s="270"/>
      <c r="F73" s="222"/>
      <c r="G73" s="281"/>
      <c r="H73" s="224"/>
      <c r="I73" s="224"/>
      <c r="J73" s="207"/>
    </row>
    <row r="74" spans="2:17" x14ac:dyDescent="0.25">
      <c r="B74" s="282" t="s">
        <v>202</v>
      </c>
      <c r="C74" s="283">
        <f>SUM(F66:F67)</f>
        <v>3598.3884966034425</v>
      </c>
      <c r="D74" s="283">
        <f>+D61</f>
        <v>1150</v>
      </c>
      <c r="E74" s="288">
        <f>+C74/D74</f>
        <v>3.1290334753073412</v>
      </c>
      <c r="F74" s="222"/>
      <c r="G74" s="281"/>
      <c r="H74" s="224"/>
      <c r="I74" s="224"/>
      <c r="J74" s="207"/>
    </row>
    <row r="75" spans="2:17" x14ac:dyDescent="0.25">
      <c r="B75" s="282"/>
      <c r="C75" s="283"/>
      <c r="D75" s="283"/>
      <c r="E75" s="288"/>
      <c r="F75" s="222"/>
      <c r="G75" s="281"/>
      <c r="H75" s="224"/>
      <c r="I75" s="224"/>
      <c r="J75" s="207"/>
    </row>
    <row r="76" spans="2:17" ht="13.5" thickBot="1" x14ac:dyDescent="0.3">
      <c r="B76" s="282" t="s">
        <v>203</v>
      </c>
      <c r="C76" s="283">
        <f>+F68</f>
        <v>616</v>
      </c>
      <c r="D76" s="283">
        <f>+D61</f>
        <v>1150</v>
      </c>
      <c r="E76" s="288">
        <f>+C76/D76</f>
        <v>0.53565217391304343</v>
      </c>
      <c r="F76" s="222"/>
      <c r="G76" s="281"/>
      <c r="H76" s="224"/>
      <c r="I76" s="224"/>
      <c r="J76" s="207"/>
    </row>
    <row r="77" spans="2:17" ht="13.5" thickBot="1" x14ac:dyDescent="0.3">
      <c r="B77" s="282" t="s">
        <v>204</v>
      </c>
      <c r="C77" s="283">
        <f>+F59</f>
        <v>997.15624923376379</v>
      </c>
      <c r="D77" s="283">
        <f>+D76</f>
        <v>1150</v>
      </c>
      <c r="E77" s="284">
        <f>+C77/D77</f>
        <v>0.86709239063805543</v>
      </c>
      <c r="F77" s="222"/>
      <c r="G77" s="281"/>
      <c r="H77" s="224"/>
      <c r="I77" s="224"/>
      <c r="J77" s="207"/>
    </row>
    <row r="78" spans="2:17" ht="13.5" thickBot="1" x14ac:dyDescent="0.3">
      <c r="B78" s="246"/>
      <c r="C78" s="247"/>
      <c r="D78" s="247"/>
      <c r="E78" s="288"/>
      <c r="F78" s="222"/>
      <c r="G78" s="281"/>
      <c r="H78" s="224"/>
      <c r="I78" s="224"/>
      <c r="J78" s="207"/>
    </row>
    <row r="79" spans="2:17" ht="13.5" thickBot="1" x14ac:dyDescent="0.3">
      <c r="B79" s="282" t="s">
        <v>205</v>
      </c>
      <c r="C79" s="283">
        <f>+F57</f>
        <v>648.07822291923162</v>
      </c>
      <c r="D79" s="283">
        <f>+D77</f>
        <v>1150</v>
      </c>
      <c r="E79" s="284">
        <f>+C79/D79</f>
        <v>0.56354628079933189</v>
      </c>
      <c r="F79" s="222"/>
      <c r="G79" s="281"/>
      <c r="H79" s="224"/>
      <c r="I79" s="224"/>
      <c r="J79" s="224"/>
    </row>
    <row r="80" spans="2:17" ht="13.5" thickBot="1" x14ac:dyDescent="0.3">
      <c r="B80" s="246"/>
      <c r="C80" s="247"/>
      <c r="D80" s="247"/>
      <c r="E80" s="288"/>
      <c r="F80" s="222"/>
      <c r="G80" s="281"/>
      <c r="H80" s="224"/>
      <c r="I80" s="224"/>
    </row>
    <row r="81" spans="1:10" ht="13.5" thickBot="1" x14ac:dyDescent="0.3">
      <c r="B81" s="855" t="s">
        <v>206</v>
      </c>
      <c r="C81" s="856"/>
      <c r="D81" s="857"/>
      <c r="E81" s="284">
        <f>+E72+E77</f>
        <v>3.3822759146655157</v>
      </c>
      <c r="G81" s="222"/>
      <c r="H81" s="281"/>
      <c r="I81" s="224"/>
      <c r="J81" s="288"/>
    </row>
    <row r="82" spans="1:10" x14ac:dyDescent="0.25">
      <c r="I82" s="281"/>
      <c r="J82" s="207"/>
    </row>
    <row r="83" spans="1:10" ht="13.5" thickBot="1" x14ac:dyDescent="0.3">
      <c r="B83" s="854" t="s">
        <v>207</v>
      </c>
      <c r="C83" s="854"/>
      <c r="D83" s="854"/>
      <c r="E83" s="854"/>
      <c r="F83" s="854"/>
      <c r="G83" s="222"/>
      <c r="H83" s="281"/>
      <c r="J83" s="207"/>
    </row>
    <row r="84" spans="1:10" ht="13.5" thickBot="1" x14ac:dyDescent="0.3">
      <c r="B84" s="282" t="s">
        <v>201</v>
      </c>
      <c r="C84" s="283">
        <f>+C72</f>
        <v>2892.4610526315792</v>
      </c>
      <c r="D84" s="283">
        <f>+D63</f>
        <v>1</v>
      </c>
      <c r="E84" s="284">
        <f>+C84/D84</f>
        <v>2892.4610526315792</v>
      </c>
      <c r="F84" s="222"/>
      <c r="G84" s="281"/>
      <c r="H84" s="224"/>
      <c r="I84" s="281"/>
      <c r="J84" s="207"/>
    </row>
    <row r="85" spans="1:10" x14ac:dyDescent="0.25">
      <c r="B85" s="285"/>
      <c r="C85" s="286"/>
      <c r="D85" s="287"/>
      <c r="E85" s="270"/>
      <c r="F85" s="222"/>
      <c r="G85" s="281"/>
      <c r="H85" s="224"/>
      <c r="I85" s="224"/>
      <c r="J85" s="207"/>
    </row>
    <row r="86" spans="1:10" x14ac:dyDescent="0.25">
      <c r="B86" s="282" t="s">
        <v>202</v>
      </c>
      <c r="C86" s="283">
        <f>+C74</f>
        <v>3598.3884966034425</v>
      </c>
      <c r="D86" s="283">
        <f>+D63</f>
        <v>1</v>
      </c>
      <c r="E86" s="288">
        <f>+C86/D86</f>
        <v>3598.3884966034425</v>
      </c>
      <c r="F86" s="222"/>
      <c r="G86" s="281"/>
      <c r="H86" s="224"/>
      <c r="I86" s="224"/>
      <c r="J86" s="207"/>
    </row>
    <row r="87" spans="1:10" x14ac:dyDescent="0.25">
      <c r="B87" s="282"/>
      <c r="C87" s="283"/>
      <c r="D87" s="283"/>
      <c r="E87" s="288"/>
      <c r="F87" s="222"/>
      <c r="G87" s="281"/>
      <c r="H87" s="224"/>
      <c r="I87" s="224"/>
      <c r="J87" s="207"/>
    </row>
    <row r="88" spans="1:10" ht="13.5" thickBot="1" x14ac:dyDescent="0.3">
      <c r="B88" s="282" t="s">
        <v>204</v>
      </c>
      <c r="C88" s="283">
        <f>+C76</f>
        <v>616</v>
      </c>
      <c r="D88" s="283">
        <f>+D63</f>
        <v>1</v>
      </c>
      <c r="E88" s="288">
        <f>+C88/D88</f>
        <v>616</v>
      </c>
      <c r="F88" s="290"/>
      <c r="G88" s="280"/>
      <c r="H88" s="206"/>
      <c r="I88" s="224"/>
    </row>
    <row r="89" spans="1:10" ht="13.5" thickBot="1" x14ac:dyDescent="0.3">
      <c r="B89" s="282" t="s">
        <v>204</v>
      </c>
      <c r="C89" s="283">
        <f>+C77</f>
        <v>997.15624923376379</v>
      </c>
      <c r="D89" s="283">
        <f>+D88</f>
        <v>1</v>
      </c>
      <c r="E89" s="284">
        <f>+C89/D89</f>
        <v>997.15624923376379</v>
      </c>
      <c r="F89" s="289"/>
      <c r="G89" s="280"/>
      <c r="H89" s="206"/>
      <c r="I89" s="206"/>
    </row>
    <row r="90" spans="1:10" x14ac:dyDescent="0.25">
      <c r="I90" s="206"/>
    </row>
    <row r="91" spans="1:10" x14ac:dyDescent="0.2">
      <c r="A91" s="858"/>
      <c r="B91" s="858"/>
      <c r="C91" s="291"/>
      <c r="D91" s="291"/>
      <c r="E91" s="292"/>
      <c r="G91" s="293"/>
    </row>
    <row r="92" spans="1:10" x14ac:dyDescent="0.2">
      <c r="A92" s="225"/>
      <c r="B92" s="294"/>
      <c r="C92" s="295"/>
      <c r="D92" s="295"/>
      <c r="E92" s="296"/>
      <c r="G92" s="293"/>
    </row>
    <row r="93" spans="1:10" x14ac:dyDescent="0.2">
      <c r="A93" s="225"/>
      <c r="B93" s="294"/>
      <c r="C93" s="297"/>
      <c r="D93" s="297"/>
      <c r="E93" s="225"/>
      <c r="G93" s="293"/>
    </row>
    <row r="94" spans="1:10" x14ac:dyDescent="0.2">
      <c r="A94" s="225"/>
      <c r="B94" s="294"/>
      <c r="C94" s="298"/>
      <c r="D94" s="298"/>
      <c r="E94" s="225"/>
      <c r="G94" s="293"/>
    </row>
  </sheetData>
  <mergeCells count="30">
    <mergeCell ref="K32:L32"/>
    <mergeCell ref="A4:H4"/>
    <mergeCell ref="A5:H5"/>
    <mergeCell ref="F6:G6"/>
    <mergeCell ref="K27:L27"/>
    <mergeCell ref="K28:L28"/>
    <mergeCell ref="B64:C64"/>
    <mergeCell ref="K64:N64"/>
    <mergeCell ref="K33:L33"/>
    <mergeCell ref="B56:E56"/>
    <mergeCell ref="B57:E57"/>
    <mergeCell ref="K57:N57"/>
    <mergeCell ref="B58:E58"/>
    <mergeCell ref="C59:E59"/>
    <mergeCell ref="B61:C61"/>
    <mergeCell ref="B62:C62"/>
    <mergeCell ref="M62:N62"/>
    <mergeCell ref="B63:C63"/>
    <mergeCell ref="L63:M63"/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H69:H7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EAD8-9EF9-418B-AABA-7D79AF50BEDA}">
  <dimension ref="A1:K40"/>
  <sheetViews>
    <sheetView tabSelected="1" view="pageBreakPreview" topLeftCell="A3" zoomScaleNormal="100" zoomScaleSheetLayoutView="100" workbookViewId="0">
      <selection activeCell="B11" sqref="B11:F15"/>
    </sheetView>
  </sheetViews>
  <sheetFormatPr baseColWidth="10" defaultRowHeight="15" x14ac:dyDescent="0.25"/>
  <cols>
    <col min="2" max="2" width="12" customWidth="1"/>
    <col min="3" max="3" width="44.5703125" customWidth="1"/>
    <col min="8" max="8" width="17.5703125" customWidth="1"/>
    <col min="9" max="9" width="22.7109375" bestFit="1" customWidth="1"/>
  </cols>
  <sheetData>
    <row r="1" spans="1:11" ht="16.5" x14ac:dyDescent="0.3">
      <c r="A1" s="629"/>
      <c r="B1" s="630"/>
      <c r="C1" s="611" t="s">
        <v>0</v>
      </c>
      <c r="D1" s="611"/>
      <c r="E1" s="611"/>
      <c r="F1" s="611"/>
      <c r="G1" s="611"/>
      <c r="H1" s="7" t="s">
        <v>1</v>
      </c>
      <c r="I1" s="8" t="s">
        <v>490</v>
      </c>
    </row>
    <row r="2" spans="1:11" ht="17.25" thickBot="1" x14ac:dyDescent="0.35">
      <c r="A2" s="631"/>
      <c r="B2" s="632"/>
      <c r="C2" s="612" t="s">
        <v>2</v>
      </c>
      <c r="D2" s="612"/>
      <c r="E2" s="612"/>
      <c r="F2" s="612"/>
      <c r="G2" s="612"/>
      <c r="H2" s="9" t="s">
        <v>3</v>
      </c>
      <c r="I2" s="10">
        <v>2</v>
      </c>
    </row>
    <row r="3" spans="1:11" ht="18" x14ac:dyDescent="0.25">
      <c r="A3" s="631"/>
      <c r="B3" s="632"/>
      <c r="C3" s="613" t="s">
        <v>492</v>
      </c>
      <c r="D3" s="614"/>
      <c r="E3" s="614"/>
      <c r="F3" s="614"/>
      <c r="G3" s="615"/>
      <c r="H3" s="616" t="s">
        <v>4</v>
      </c>
      <c r="I3" s="606">
        <v>45663</v>
      </c>
    </row>
    <row r="4" spans="1:11" ht="16.5" x14ac:dyDescent="0.3">
      <c r="A4" s="631"/>
      <c r="B4" s="632"/>
      <c r="C4" s="9" t="s">
        <v>5</v>
      </c>
      <c r="D4" s="609" t="s">
        <v>30</v>
      </c>
      <c r="E4" s="609"/>
      <c r="F4" s="609"/>
      <c r="G4" s="609"/>
      <c r="H4" s="617"/>
      <c r="I4" s="607"/>
    </row>
    <row r="5" spans="1:11" ht="17.25" thickBot="1" x14ac:dyDescent="0.35">
      <c r="A5" s="633"/>
      <c r="B5" s="634"/>
      <c r="C5" s="11" t="s">
        <v>6</v>
      </c>
      <c r="D5" s="610" t="s">
        <v>31</v>
      </c>
      <c r="E5" s="610"/>
      <c r="F5" s="610"/>
      <c r="G5" s="610"/>
      <c r="H5" s="618"/>
      <c r="I5" s="608"/>
    </row>
    <row r="6" spans="1:11" ht="18" x14ac:dyDescent="0.25">
      <c r="A6" s="635" t="s">
        <v>7</v>
      </c>
      <c r="B6" s="636"/>
      <c r="C6" s="636"/>
      <c r="D6" s="637" t="s">
        <v>64</v>
      </c>
      <c r="E6" s="637"/>
      <c r="F6" s="637"/>
      <c r="G6" s="638" t="s">
        <v>8</v>
      </c>
      <c r="H6" s="638"/>
      <c r="I6" s="12" t="s">
        <v>39</v>
      </c>
    </row>
    <row r="7" spans="1:11" ht="22.15" customHeight="1" x14ac:dyDescent="0.25">
      <c r="A7" s="605" t="s">
        <v>9</v>
      </c>
      <c r="B7" s="639" t="s">
        <v>32</v>
      </c>
      <c r="C7" s="605" t="s">
        <v>10</v>
      </c>
      <c r="D7" s="605" t="s">
        <v>11</v>
      </c>
      <c r="E7" s="605" t="s">
        <v>12</v>
      </c>
      <c r="F7" s="605"/>
      <c r="G7" s="605" t="s">
        <v>13</v>
      </c>
      <c r="H7" s="605"/>
      <c r="I7" s="14" t="s">
        <v>14</v>
      </c>
    </row>
    <row r="8" spans="1:11" ht="25.5" x14ac:dyDescent="0.25">
      <c r="A8" s="605"/>
      <c r="B8" s="640"/>
      <c r="C8" s="605"/>
      <c r="D8" s="605"/>
      <c r="E8" s="15" t="s">
        <v>15</v>
      </c>
      <c r="F8" s="16" t="s">
        <v>16</v>
      </c>
      <c r="G8" s="15" t="s">
        <v>15</v>
      </c>
      <c r="H8" s="16" t="s">
        <v>16</v>
      </c>
      <c r="I8" s="13" t="s">
        <v>17</v>
      </c>
    </row>
    <row r="9" spans="1:11" x14ac:dyDescent="0.25">
      <c r="A9" s="50"/>
      <c r="B9" s="17"/>
      <c r="C9" s="58" t="s">
        <v>76</v>
      </c>
      <c r="D9" s="2"/>
      <c r="E9" s="2"/>
      <c r="F9" s="2"/>
      <c r="G9" s="3"/>
      <c r="H9" s="3"/>
      <c r="I9" s="51"/>
    </row>
    <row r="10" spans="1:11" x14ac:dyDescent="0.25">
      <c r="A10" s="21"/>
      <c r="B10" s="22"/>
      <c r="C10" s="58"/>
      <c r="D10" s="2"/>
      <c r="E10" s="2"/>
      <c r="F10" s="2"/>
      <c r="G10" s="3"/>
      <c r="H10" s="3"/>
      <c r="I10" s="51"/>
    </row>
    <row r="11" spans="1:11" x14ac:dyDescent="0.25">
      <c r="A11" s="21"/>
      <c r="B11" s="22" t="s">
        <v>489</v>
      </c>
      <c r="C11" s="57" t="s">
        <v>79</v>
      </c>
      <c r="D11" s="2" t="s">
        <v>77</v>
      </c>
      <c r="E11" s="2">
        <v>137</v>
      </c>
      <c r="F11" s="2" t="s">
        <v>19</v>
      </c>
      <c r="G11" s="3" t="s">
        <v>224</v>
      </c>
      <c r="H11" s="3"/>
      <c r="I11" s="51"/>
    </row>
    <row r="12" spans="1:11" x14ac:dyDescent="0.25">
      <c r="A12" s="21"/>
      <c r="B12" s="22"/>
      <c r="C12" s="58"/>
      <c r="D12" s="2"/>
      <c r="E12" s="2"/>
      <c r="F12" s="2"/>
      <c r="G12" s="3"/>
      <c r="H12" s="3"/>
      <c r="I12" s="51"/>
      <c r="K12" t="s">
        <v>156</v>
      </c>
    </row>
    <row r="13" spans="1:11" x14ac:dyDescent="0.25">
      <c r="A13" s="21"/>
      <c r="B13" s="22"/>
      <c r="C13" s="58" t="s">
        <v>78</v>
      </c>
      <c r="D13" s="2"/>
      <c r="E13" s="2"/>
      <c r="F13" s="2"/>
      <c r="G13" s="3"/>
      <c r="H13" s="3"/>
      <c r="I13" s="51"/>
      <c r="K13">
        <f>1577.7/50</f>
        <v>31.554000000000002</v>
      </c>
    </row>
    <row r="14" spans="1:11" x14ac:dyDescent="0.25">
      <c r="A14" s="22" t="s">
        <v>101</v>
      </c>
      <c r="B14" s="22" t="s">
        <v>102</v>
      </c>
      <c r="C14" s="1" t="s">
        <v>103</v>
      </c>
      <c r="D14" s="18" t="s">
        <v>104</v>
      </c>
      <c r="E14" s="140">
        <v>1</v>
      </c>
      <c r="F14" s="140" t="s">
        <v>21</v>
      </c>
      <c r="G14" s="3"/>
      <c r="H14" s="3"/>
      <c r="I14" s="51"/>
    </row>
    <row r="15" spans="1:11" x14ac:dyDescent="0.25">
      <c r="A15" s="22" t="s">
        <v>58</v>
      </c>
      <c r="B15" s="22" t="s">
        <v>59</v>
      </c>
      <c r="C15" s="1" t="s">
        <v>99</v>
      </c>
      <c r="D15" s="138" t="s">
        <v>100</v>
      </c>
      <c r="E15" s="19">
        <v>1</v>
      </c>
      <c r="F15" s="142" t="s">
        <v>21</v>
      </c>
      <c r="G15" s="3"/>
      <c r="H15" s="3"/>
      <c r="I15" s="51"/>
    </row>
    <row r="16" spans="1:11" x14ac:dyDescent="0.25">
      <c r="A16" s="21"/>
      <c r="B16" s="22"/>
      <c r="C16" s="57"/>
      <c r="D16" s="2"/>
      <c r="E16" s="2"/>
      <c r="F16" s="2"/>
      <c r="G16" s="3"/>
      <c r="H16" s="3"/>
      <c r="I16" s="51"/>
    </row>
    <row r="17" spans="1:9" ht="15.75" thickBot="1" x14ac:dyDescent="0.3">
      <c r="A17" s="37"/>
      <c r="B17" s="38"/>
      <c r="C17" s="39"/>
      <c r="D17" s="40" t="s">
        <v>15</v>
      </c>
      <c r="E17" s="41" t="s">
        <v>22</v>
      </c>
      <c r="F17" s="42"/>
      <c r="G17" s="39"/>
      <c r="H17" s="39"/>
      <c r="I17" s="43"/>
    </row>
    <row r="18" spans="1:9" x14ac:dyDescent="0.25">
      <c r="A18" s="623" t="s">
        <v>23</v>
      </c>
      <c r="B18" s="624"/>
      <c r="C18" s="625"/>
      <c r="D18" s="3">
        <v>128</v>
      </c>
      <c r="E18" s="44" t="s">
        <v>19</v>
      </c>
      <c r="F18" s="626" t="s">
        <v>33</v>
      </c>
      <c r="G18" s="626"/>
      <c r="H18" s="627"/>
      <c r="I18" s="628"/>
    </row>
    <row r="19" spans="1:9" x14ac:dyDescent="0.25">
      <c r="A19" s="578" t="s">
        <v>24</v>
      </c>
      <c r="B19" s="579"/>
      <c r="C19" s="580"/>
      <c r="D19" s="2">
        <v>5</v>
      </c>
      <c r="E19" s="18" t="s">
        <v>25</v>
      </c>
      <c r="F19" s="581" t="s">
        <v>34</v>
      </c>
      <c r="G19" s="581"/>
      <c r="H19" s="582"/>
      <c r="I19" s="583"/>
    </row>
    <row r="20" spans="1:9" x14ac:dyDescent="0.25">
      <c r="A20" s="578" t="s">
        <v>26</v>
      </c>
      <c r="B20" s="579"/>
      <c r="C20" s="580"/>
      <c r="D20" s="3">
        <v>1</v>
      </c>
      <c r="E20" s="18" t="s">
        <v>21</v>
      </c>
      <c r="F20" s="581" t="s">
        <v>35</v>
      </c>
      <c r="G20" s="581"/>
      <c r="H20" s="582"/>
      <c r="I20" s="583"/>
    </row>
    <row r="21" spans="1:9" x14ac:dyDescent="0.25">
      <c r="A21" s="578" t="s">
        <v>27</v>
      </c>
      <c r="B21" s="579"/>
      <c r="C21" s="580"/>
      <c r="D21" s="3">
        <v>128</v>
      </c>
      <c r="E21" s="17" t="s">
        <v>19</v>
      </c>
      <c r="F21" s="641" t="s">
        <v>36</v>
      </c>
      <c r="G21" s="641"/>
      <c r="H21" s="582"/>
      <c r="I21" s="583"/>
    </row>
    <row r="22" spans="1:9" ht="15.75" thickBot="1" x14ac:dyDescent="0.3">
      <c r="A22" s="642" t="s">
        <v>28</v>
      </c>
      <c r="B22" s="643"/>
      <c r="C22" s="644"/>
      <c r="D22" s="6">
        <f>SUM(E11)-D18</f>
        <v>9</v>
      </c>
      <c r="E22" s="45" t="s">
        <v>19</v>
      </c>
      <c r="F22" s="645"/>
      <c r="G22" s="645"/>
      <c r="H22" s="646"/>
      <c r="I22" s="647"/>
    </row>
    <row r="23" spans="1:9" ht="15.75" thickBot="1" x14ac:dyDescent="0.3">
      <c r="A23" s="584" t="s">
        <v>29</v>
      </c>
      <c r="B23" s="585"/>
      <c r="C23" s="585"/>
      <c r="D23" s="585"/>
      <c r="E23" s="585"/>
      <c r="F23" s="585"/>
      <c r="G23" s="585"/>
      <c r="H23" s="585"/>
      <c r="I23" s="586"/>
    </row>
    <row r="24" spans="1:9" x14ac:dyDescent="0.25">
      <c r="A24" s="587" t="s">
        <v>124</v>
      </c>
      <c r="B24" s="588"/>
      <c r="C24" s="589"/>
      <c r="D24" s="589"/>
      <c r="E24" s="589"/>
      <c r="F24" s="589"/>
      <c r="G24" s="589"/>
      <c r="H24" s="589"/>
      <c r="I24" s="590"/>
    </row>
    <row r="25" spans="1:9" ht="14.65" customHeight="1" x14ac:dyDescent="0.25">
      <c r="A25" s="591" t="s">
        <v>149</v>
      </c>
      <c r="B25" s="592"/>
      <c r="C25" s="592"/>
      <c r="D25" s="592"/>
      <c r="E25" s="592"/>
      <c r="F25" s="592"/>
      <c r="G25" s="592"/>
      <c r="H25" s="592"/>
      <c r="I25" s="593"/>
    </row>
    <row r="26" spans="1:9" x14ac:dyDescent="0.25">
      <c r="A26" s="594" t="s">
        <v>150</v>
      </c>
      <c r="B26" s="595"/>
      <c r="C26" s="596"/>
      <c r="D26" s="596"/>
      <c r="E26" s="596"/>
      <c r="F26" s="596"/>
      <c r="G26" s="596"/>
      <c r="H26" s="596"/>
      <c r="I26" s="597"/>
    </row>
    <row r="27" spans="1:9" ht="16.5" x14ac:dyDescent="0.3">
      <c r="A27" s="598"/>
      <c r="B27" s="599"/>
      <c r="C27" s="599"/>
      <c r="D27" s="599"/>
      <c r="E27" s="599"/>
      <c r="F27" s="599"/>
      <c r="G27" s="599"/>
      <c r="H27" s="599"/>
      <c r="I27" s="600"/>
    </row>
    <row r="28" spans="1:9" x14ac:dyDescent="0.25">
      <c r="A28" s="601"/>
      <c r="B28" s="602"/>
      <c r="C28" s="603"/>
      <c r="D28" s="603"/>
      <c r="E28" s="603"/>
      <c r="F28" s="603"/>
      <c r="G28" s="603"/>
      <c r="H28" s="603"/>
      <c r="I28" s="604"/>
    </row>
    <row r="29" spans="1:9" x14ac:dyDescent="0.25">
      <c r="A29" s="575"/>
      <c r="B29" s="576"/>
      <c r="C29" s="576"/>
      <c r="D29" s="576"/>
      <c r="E29" s="576"/>
      <c r="F29" s="576"/>
      <c r="G29" s="576"/>
      <c r="H29" s="576"/>
      <c r="I29" s="577"/>
    </row>
    <row r="30" spans="1:9" x14ac:dyDescent="0.25">
      <c r="A30" s="575"/>
      <c r="B30" s="576"/>
      <c r="C30" s="576"/>
      <c r="D30" s="576"/>
      <c r="E30" s="576"/>
      <c r="F30" s="576"/>
      <c r="G30" s="576"/>
      <c r="H30" s="576"/>
      <c r="I30" s="577"/>
    </row>
    <row r="31" spans="1:9" ht="15.75" thickBot="1" x14ac:dyDescent="0.3">
      <c r="A31" s="648"/>
      <c r="B31" s="649"/>
      <c r="C31" s="650"/>
      <c r="D31" s="650"/>
      <c r="E31" s="650"/>
      <c r="F31" s="650"/>
      <c r="G31" s="650"/>
      <c r="H31" s="650"/>
      <c r="I31" s="651"/>
    </row>
    <row r="32" spans="1:9" x14ac:dyDescent="0.25">
      <c r="A32" s="652" t="s">
        <v>37</v>
      </c>
      <c r="B32" s="653"/>
      <c r="C32" s="653"/>
      <c r="D32" s="653"/>
      <c r="E32" s="653"/>
      <c r="F32" s="653"/>
      <c r="G32" s="653"/>
      <c r="H32" s="653"/>
      <c r="I32" s="654"/>
    </row>
    <row r="33" spans="1:9" ht="15.75" thickBot="1" x14ac:dyDescent="0.3">
      <c r="A33" s="655" t="s">
        <v>491</v>
      </c>
      <c r="B33" s="656"/>
      <c r="C33" s="657"/>
      <c r="D33" s="657"/>
      <c r="E33" s="657"/>
      <c r="F33" s="657"/>
      <c r="G33" s="657"/>
      <c r="H33" s="657"/>
      <c r="I33" s="658"/>
    </row>
    <row r="34" spans="1:9" ht="15.75" thickBot="1" x14ac:dyDescent="0.3">
      <c r="A34" s="619"/>
      <c r="B34" s="620"/>
      <c r="C34" s="621"/>
      <c r="D34" s="621"/>
      <c r="E34" s="621"/>
      <c r="F34" s="621"/>
      <c r="G34" s="621"/>
      <c r="H34" s="621"/>
      <c r="I34" s="622"/>
    </row>
    <row r="35" spans="1:9" ht="15.75" thickBot="1" x14ac:dyDescent="0.3">
      <c r="A35" s="619"/>
      <c r="B35" s="620"/>
      <c r="C35" s="621"/>
      <c r="D35" s="621"/>
      <c r="E35" s="621"/>
      <c r="F35" s="621"/>
      <c r="G35" s="621"/>
      <c r="H35" s="621"/>
      <c r="I35" s="622"/>
    </row>
    <row r="36" spans="1:9" ht="15.75" thickBot="1" x14ac:dyDescent="0.3">
      <c r="A36" s="619"/>
      <c r="B36" s="620"/>
      <c r="C36" s="621"/>
      <c r="D36" s="621"/>
      <c r="E36" s="621"/>
      <c r="F36" s="621"/>
      <c r="G36" s="621"/>
      <c r="H36" s="621"/>
      <c r="I36" s="622"/>
    </row>
    <row r="37" spans="1:9" ht="15.75" thickBot="1" x14ac:dyDescent="0.3">
      <c r="A37" s="619"/>
      <c r="B37" s="620"/>
      <c r="C37" s="621"/>
      <c r="D37" s="621"/>
      <c r="E37" s="621"/>
      <c r="F37" s="621"/>
      <c r="G37" s="621"/>
      <c r="H37" s="621"/>
      <c r="I37" s="622"/>
    </row>
    <row r="38" spans="1:9" ht="15.75" thickBot="1" x14ac:dyDescent="0.3">
      <c r="A38" s="619"/>
      <c r="B38" s="620"/>
      <c r="C38" s="621"/>
      <c r="D38" s="621"/>
      <c r="E38" s="621"/>
      <c r="F38" s="621"/>
      <c r="G38" s="621"/>
      <c r="H38" s="621"/>
      <c r="I38" s="622"/>
    </row>
    <row r="39" spans="1:9" ht="15.75" thickBot="1" x14ac:dyDescent="0.3">
      <c r="A39" s="619"/>
      <c r="B39" s="620"/>
      <c r="C39" s="621"/>
      <c r="D39" s="621"/>
      <c r="E39" s="621"/>
      <c r="F39" s="621"/>
      <c r="G39" s="621"/>
      <c r="H39" s="621"/>
      <c r="I39" s="622"/>
    </row>
    <row r="40" spans="1:9" ht="15.75" thickBot="1" x14ac:dyDescent="0.3">
      <c r="A40" s="619"/>
      <c r="B40" s="620"/>
      <c r="C40" s="621"/>
      <c r="D40" s="621"/>
      <c r="E40" s="621"/>
      <c r="F40" s="621"/>
      <c r="G40" s="621"/>
      <c r="H40" s="621"/>
      <c r="I40" s="622"/>
    </row>
  </sheetData>
  <mergeCells count="5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31:I31"/>
    <mergeCell ref="A22:C22"/>
    <mergeCell ref="F22:G22"/>
    <mergeCell ref="H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8:I38"/>
    <mergeCell ref="A39:I39"/>
    <mergeCell ref="A40:I40"/>
    <mergeCell ref="A32:I32"/>
    <mergeCell ref="A33:I33"/>
    <mergeCell ref="A34:I34"/>
    <mergeCell ref="A35:I35"/>
    <mergeCell ref="A36:I36"/>
    <mergeCell ref="A37:I37"/>
  </mergeCells>
  <pageMargins left="0.7" right="0.7" top="0.75" bottom="0.75" header="0.3" footer="0.3"/>
  <pageSetup paperSize="9" scale="5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BA0-DFF4-42BF-84C1-FB455408366F}">
  <dimension ref="A1:Q91"/>
  <sheetViews>
    <sheetView topLeftCell="A5" workbookViewId="0">
      <selection activeCell="B53" sqref="B53:E53"/>
    </sheetView>
  </sheetViews>
  <sheetFormatPr baseColWidth="10" defaultColWidth="8.42578125" defaultRowHeight="12.75" x14ac:dyDescent="0.25"/>
  <cols>
    <col min="1" max="1" width="10" style="207" bestFit="1" customWidth="1"/>
    <col min="2" max="2" width="44.28515625" style="207" bestFit="1" customWidth="1"/>
    <col min="3" max="3" width="10.42578125" style="207" bestFit="1" customWidth="1"/>
    <col min="4" max="4" width="10.42578125" style="207" customWidth="1"/>
    <col min="5" max="5" width="9.7109375" style="207" bestFit="1" customWidth="1"/>
    <col min="6" max="6" width="9.5703125" style="207" bestFit="1" customWidth="1"/>
    <col min="7" max="7" width="9.5703125" style="289" bestFit="1" customWidth="1"/>
    <col min="8" max="8" width="10.42578125" style="280" bestFit="1" customWidth="1"/>
    <col min="9" max="9" width="4.5703125" style="280" customWidth="1"/>
    <col min="10" max="10" width="1.85546875" style="206" customWidth="1"/>
    <col min="11" max="11" width="7" style="207" bestFit="1" customWidth="1"/>
    <col min="12" max="12" width="6.28515625" style="207" customWidth="1"/>
    <col min="13" max="13" width="20.42578125" style="207" customWidth="1"/>
    <col min="14" max="14" width="6.42578125" style="207" bestFit="1" customWidth="1"/>
    <col min="15" max="16" width="8.42578125" style="207"/>
    <col min="17" max="17" width="3.28515625" style="207" customWidth="1"/>
    <col min="18" max="256" width="8.42578125" style="207"/>
    <col min="257" max="257" width="10" style="207" bestFit="1" customWidth="1"/>
    <col min="258" max="258" width="44.28515625" style="207" bestFit="1" customWidth="1"/>
    <col min="259" max="259" width="10.42578125" style="207" bestFit="1" customWidth="1"/>
    <col min="260" max="260" width="10.42578125" style="207" customWidth="1"/>
    <col min="261" max="261" width="9.7109375" style="207" bestFit="1" customWidth="1"/>
    <col min="262" max="263" width="9.5703125" style="207" bestFit="1" customWidth="1"/>
    <col min="264" max="264" width="10.42578125" style="207" bestFit="1" customWidth="1"/>
    <col min="265" max="265" width="4.5703125" style="207" customWidth="1"/>
    <col min="266" max="266" width="1.85546875" style="207" customWidth="1"/>
    <col min="267" max="267" width="7" style="207" bestFit="1" customWidth="1"/>
    <col min="268" max="268" width="6.28515625" style="207" customWidth="1"/>
    <col min="269" max="269" width="20.42578125" style="207" customWidth="1"/>
    <col min="270" max="270" width="6.42578125" style="207" bestFit="1" customWidth="1"/>
    <col min="271" max="272" width="8.42578125" style="207"/>
    <col min="273" max="273" width="3.28515625" style="207" customWidth="1"/>
    <col min="274" max="512" width="8.42578125" style="207"/>
    <col min="513" max="513" width="10" style="207" bestFit="1" customWidth="1"/>
    <col min="514" max="514" width="44.28515625" style="207" bestFit="1" customWidth="1"/>
    <col min="515" max="515" width="10.42578125" style="207" bestFit="1" customWidth="1"/>
    <col min="516" max="516" width="10.42578125" style="207" customWidth="1"/>
    <col min="517" max="517" width="9.7109375" style="207" bestFit="1" customWidth="1"/>
    <col min="518" max="519" width="9.5703125" style="207" bestFit="1" customWidth="1"/>
    <col min="520" max="520" width="10.42578125" style="207" bestFit="1" customWidth="1"/>
    <col min="521" max="521" width="4.5703125" style="207" customWidth="1"/>
    <col min="522" max="522" width="1.85546875" style="207" customWidth="1"/>
    <col min="523" max="523" width="7" style="207" bestFit="1" customWidth="1"/>
    <col min="524" max="524" width="6.28515625" style="207" customWidth="1"/>
    <col min="525" max="525" width="20.42578125" style="207" customWidth="1"/>
    <col min="526" max="526" width="6.42578125" style="207" bestFit="1" customWidth="1"/>
    <col min="527" max="528" width="8.42578125" style="207"/>
    <col min="529" max="529" width="3.28515625" style="207" customWidth="1"/>
    <col min="530" max="768" width="8.42578125" style="207"/>
    <col min="769" max="769" width="10" style="207" bestFit="1" customWidth="1"/>
    <col min="770" max="770" width="44.28515625" style="207" bestFit="1" customWidth="1"/>
    <col min="771" max="771" width="10.42578125" style="207" bestFit="1" customWidth="1"/>
    <col min="772" max="772" width="10.42578125" style="207" customWidth="1"/>
    <col min="773" max="773" width="9.7109375" style="207" bestFit="1" customWidth="1"/>
    <col min="774" max="775" width="9.5703125" style="207" bestFit="1" customWidth="1"/>
    <col min="776" max="776" width="10.42578125" style="207" bestFit="1" customWidth="1"/>
    <col min="777" max="777" width="4.5703125" style="207" customWidth="1"/>
    <col min="778" max="778" width="1.85546875" style="207" customWidth="1"/>
    <col min="779" max="779" width="7" style="207" bestFit="1" customWidth="1"/>
    <col min="780" max="780" width="6.28515625" style="207" customWidth="1"/>
    <col min="781" max="781" width="20.42578125" style="207" customWidth="1"/>
    <col min="782" max="782" width="6.42578125" style="207" bestFit="1" customWidth="1"/>
    <col min="783" max="784" width="8.42578125" style="207"/>
    <col min="785" max="785" width="3.28515625" style="207" customWidth="1"/>
    <col min="786" max="1024" width="8.42578125" style="207"/>
    <col min="1025" max="1025" width="10" style="207" bestFit="1" customWidth="1"/>
    <col min="1026" max="1026" width="44.28515625" style="207" bestFit="1" customWidth="1"/>
    <col min="1027" max="1027" width="10.42578125" style="207" bestFit="1" customWidth="1"/>
    <col min="1028" max="1028" width="10.42578125" style="207" customWidth="1"/>
    <col min="1029" max="1029" width="9.7109375" style="207" bestFit="1" customWidth="1"/>
    <col min="1030" max="1031" width="9.5703125" style="207" bestFit="1" customWidth="1"/>
    <col min="1032" max="1032" width="10.42578125" style="207" bestFit="1" customWidth="1"/>
    <col min="1033" max="1033" width="4.5703125" style="207" customWidth="1"/>
    <col min="1034" max="1034" width="1.85546875" style="207" customWidth="1"/>
    <col min="1035" max="1035" width="7" style="207" bestFit="1" customWidth="1"/>
    <col min="1036" max="1036" width="6.28515625" style="207" customWidth="1"/>
    <col min="1037" max="1037" width="20.42578125" style="207" customWidth="1"/>
    <col min="1038" max="1038" width="6.42578125" style="207" bestFit="1" customWidth="1"/>
    <col min="1039" max="1040" width="8.42578125" style="207"/>
    <col min="1041" max="1041" width="3.28515625" style="207" customWidth="1"/>
    <col min="1042" max="1280" width="8.42578125" style="207"/>
    <col min="1281" max="1281" width="10" style="207" bestFit="1" customWidth="1"/>
    <col min="1282" max="1282" width="44.28515625" style="207" bestFit="1" customWidth="1"/>
    <col min="1283" max="1283" width="10.42578125" style="207" bestFit="1" customWidth="1"/>
    <col min="1284" max="1284" width="10.42578125" style="207" customWidth="1"/>
    <col min="1285" max="1285" width="9.7109375" style="207" bestFit="1" customWidth="1"/>
    <col min="1286" max="1287" width="9.5703125" style="207" bestFit="1" customWidth="1"/>
    <col min="1288" max="1288" width="10.42578125" style="207" bestFit="1" customWidth="1"/>
    <col min="1289" max="1289" width="4.5703125" style="207" customWidth="1"/>
    <col min="1290" max="1290" width="1.85546875" style="207" customWidth="1"/>
    <col min="1291" max="1291" width="7" style="207" bestFit="1" customWidth="1"/>
    <col min="1292" max="1292" width="6.28515625" style="207" customWidth="1"/>
    <col min="1293" max="1293" width="20.42578125" style="207" customWidth="1"/>
    <col min="1294" max="1294" width="6.42578125" style="207" bestFit="1" customWidth="1"/>
    <col min="1295" max="1296" width="8.42578125" style="207"/>
    <col min="1297" max="1297" width="3.28515625" style="207" customWidth="1"/>
    <col min="1298" max="1536" width="8.42578125" style="207"/>
    <col min="1537" max="1537" width="10" style="207" bestFit="1" customWidth="1"/>
    <col min="1538" max="1538" width="44.28515625" style="207" bestFit="1" customWidth="1"/>
    <col min="1539" max="1539" width="10.42578125" style="207" bestFit="1" customWidth="1"/>
    <col min="1540" max="1540" width="10.42578125" style="207" customWidth="1"/>
    <col min="1541" max="1541" width="9.7109375" style="207" bestFit="1" customWidth="1"/>
    <col min="1542" max="1543" width="9.5703125" style="207" bestFit="1" customWidth="1"/>
    <col min="1544" max="1544" width="10.42578125" style="207" bestFit="1" customWidth="1"/>
    <col min="1545" max="1545" width="4.5703125" style="207" customWidth="1"/>
    <col min="1546" max="1546" width="1.85546875" style="207" customWidth="1"/>
    <col min="1547" max="1547" width="7" style="207" bestFit="1" customWidth="1"/>
    <col min="1548" max="1548" width="6.28515625" style="207" customWidth="1"/>
    <col min="1549" max="1549" width="20.42578125" style="207" customWidth="1"/>
    <col min="1550" max="1550" width="6.42578125" style="207" bestFit="1" customWidth="1"/>
    <col min="1551" max="1552" width="8.42578125" style="207"/>
    <col min="1553" max="1553" width="3.28515625" style="207" customWidth="1"/>
    <col min="1554" max="1792" width="8.42578125" style="207"/>
    <col min="1793" max="1793" width="10" style="207" bestFit="1" customWidth="1"/>
    <col min="1794" max="1794" width="44.28515625" style="207" bestFit="1" customWidth="1"/>
    <col min="1795" max="1795" width="10.42578125" style="207" bestFit="1" customWidth="1"/>
    <col min="1796" max="1796" width="10.42578125" style="207" customWidth="1"/>
    <col min="1797" max="1797" width="9.7109375" style="207" bestFit="1" customWidth="1"/>
    <col min="1798" max="1799" width="9.5703125" style="207" bestFit="1" customWidth="1"/>
    <col min="1800" max="1800" width="10.42578125" style="207" bestFit="1" customWidth="1"/>
    <col min="1801" max="1801" width="4.5703125" style="207" customWidth="1"/>
    <col min="1802" max="1802" width="1.85546875" style="207" customWidth="1"/>
    <col min="1803" max="1803" width="7" style="207" bestFit="1" customWidth="1"/>
    <col min="1804" max="1804" width="6.28515625" style="207" customWidth="1"/>
    <col min="1805" max="1805" width="20.42578125" style="207" customWidth="1"/>
    <col min="1806" max="1806" width="6.42578125" style="207" bestFit="1" customWidth="1"/>
    <col min="1807" max="1808" width="8.42578125" style="207"/>
    <col min="1809" max="1809" width="3.28515625" style="207" customWidth="1"/>
    <col min="1810" max="2048" width="8.42578125" style="207"/>
    <col min="2049" max="2049" width="10" style="207" bestFit="1" customWidth="1"/>
    <col min="2050" max="2050" width="44.28515625" style="207" bestFit="1" customWidth="1"/>
    <col min="2051" max="2051" width="10.42578125" style="207" bestFit="1" customWidth="1"/>
    <col min="2052" max="2052" width="10.42578125" style="207" customWidth="1"/>
    <col min="2053" max="2053" width="9.7109375" style="207" bestFit="1" customWidth="1"/>
    <col min="2054" max="2055" width="9.5703125" style="207" bestFit="1" customWidth="1"/>
    <col min="2056" max="2056" width="10.42578125" style="207" bestFit="1" customWidth="1"/>
    <col min="2057" max="2057" width="4.5703125" style="207" customWidth="1"/>
    <col min="2058" max="2058" width="1.85546875" style="207" customWidth="1"/>
    <col min="2059" max="2059" width="7" style="207" bestFit="1" customWidth="1"/>
    <col min="2060" max="2060" width="6.28515625" style="207" customWidth="1"/>
    <col min="2061" max="2061" width="20.42578125" style="207" customWidth="1"/>
    <col min="2062" max="2062" width="6.42578125" style="207" bestFit="1" customWidth="1"/>
    <col min="2063" max="2064" width="8.42578125" style="207"/>
    <col min="2065" max="2065" width="3.28515625" style="207" customWidth="1"/>
    <col min="2066" max="2304" width="8.42578125" style="207"/>
    <col min="2305" max="2305" width="10" style="207" bestFit="1" customWidth="1"/>
    <col min="2306" max="2306" width="44.28515625" style="207" bestFit="1" customWidth="1"/>
    <col min="2307" max="2307" width="10.42578125" style="207" bestFit="1" customWidth="1"/>
    <col min="2308" max="2308" width="10.42578125" style="207" customWidth="1"/>
    <col min="2309" max="2309" width="9.7109375" style="207" bestFit="1" customWidth="1"/>
    <col min="2310" max="2311" width="9.5703125" style="207" bestFit="1" customWidth="1"/>
    <col min="2312" max="2312" width="10.42578125" style="207" bestFit="1" customWidth="1"/>
    <col min="2313" max="2313" width="4.5703125" style="207" customWidth="1"/>
    <col min="2314" max="2314" width="1.85546875" style="207" customWidth="1"/>
    <col min="2315" max="2315" width="7" style="207" bestFit="1" customWidth="1"/>
    <col min="2316" max="2316" width="6.28515625" style="207" customWidth="1"/>
    <col min="2317" max="2317" width="20.42578125" style="207" customWidth="1"/>
    <col min="2318" max="2318" width="6.42578125" style="207" bestFit="1" customWidth="1"/>
    <col min="2319" max="2320" width="8.42578125" style="207"/>
    <col min="2321" max="2321" width="3.28515625" style="207" customWidth="1"/>
    <col min="2322" max="2560" width="8.42578125" style="207"/>
    <col min="2561" max="2561" width="10" style="207" bestFit="1" customWidth="1"/>
    <col min="2562" max="2562" width="44.28515625" style="207" bestFit="1" customWidth="1"/>
    <col min="2563" max="2563" width="10.42578125" style="207" bestFit="1" customWidth="1"/>
    <col min="2564" max="2564" width="10.42578125" style="207" customWidth="1"/>
    <col min="2565" max="2565" width="9.7109375" style="207" bestFit="1" customWidth="1"/>
    <col min="2566" max="2567" width="9.5703125" style="207" bestFit="1" customWidth="1"/>
    <col min="2568" max="2568" width="10.42578125" style="207" bestFit="1" customWidth="1"/>
    <col min="2569" max="2569" width="4.5703125" style="207" customWidth="1"/>
    <col min="2570" max="2570" width="1.85546875" style="207" customWidth="1"/>
    <col min="2571" max="2571" width="7" style="207" bestFit="1" customWidth="1"/>
    <col min="2572" max="2572" width="6.28515625" style="207" customWidth="1"/>
    <col min="2573" max="2573" width="20.42578125" style="207" customWidth="1"/>
    <col min="2574" max="2574" width="6.42578125" style="207" bestFit="1" customWidth="1"/>
    <col min="2575" max="2576" width="8.42578125" style="207"/>
    <col min="2577" max="2577" width="3.28515625" style="207" customWidth="1"/>
    <col min="2578" max="2816" width="8.42578125" style="207"/>
    <col min="2817" max="2817" width="10" style="207" bestFit="1" customWidth="1"/>
    <col min="2818" max="2818" width="44.28515625" style="207" bestFit="1" customWidth="1"/>
    <col min="2819" max="2819" width="10.42578125" style="207" bestFit="1" customWidth="1"/>
    <col min="2820" max="2820" width="10.42578125" style="207" customWidth="1"/>
    <col min="2821" max="2821" width="9.7109375" style="207" bestFit="1" customWidth="1"/>
    <col min="2822" max="2823" width="9.5703125" style="207" bestFit="1" customWidth="1"/>
    <col min="2824" max="2824" width="10.42578125" style="207" bestFit="1" customWidth="1"/>
    <col min="2825" max="2825" width="4.5703125" style="207" customWidth="1"/>
    <col min="2826" max="2826" width="1.85546875" style="207" customWidth="1"/>
    <col min="2827" max="2827" width="7" style="207" bestFit="1" customWidth="1"/>
    <col min="2828" max="2828" width="6.28515625" style="207" customWidth="1"/>
    <col min="2829" max="2829" width="20.42578125" style="207" customWidth="1"/>
    <col min="2830" max="2830" width="6.42578125" style="207" bestFit="1" customWidth="1"/>
    <col min="2831" max="2832" width="8.42578125" style="207"/>
    <col min="2833" max="2833" width="3.28515625" style="207" customWidth="1"/>
    <col min="2834" max="3072" width="8.42578125" style="207"/>
    <col min="3073" max="3073" width="10" style="207" bestFit="1" customWidth="1"/>
    <col min="3074" max="3074" width="44.28515625" style="207" bestFit="1" customWidth="1"/>
    <col min="3075" max="3075" width="10.42578125" style="207" bestFit="1" customWidth="1"/>
    <col min="3076" max="3076" width="10.42578125" style="207" customWidth="1"/>
    <col min="3077" max="3077" width="9.7109375" style="207" bestFit="1" customWidth="1"/>
    <col min="3078" max="3079" width="9.5703125" style="207" bestFit="1" customWidth="1"/>
    <col min="3080" max="3080" width="10.42578125" style="207" bestFit="1" customWidth="1"/>
    <col min="3081" max="3081" width="4.5703125" style="207" customWidth="1"/>
    <col min="3082" max="3082" width="1.85546875" style="207" customWidth="1"/>
    <col min="3083" max="3083" width="7" style="207" bestFit="1" customWidth="1"/>
    <col min="3084" max="3084" width="6.28515625" style="207" customWidth="1"/>
    <col min="3085" max="3085" width="20.42578125" style="207" customWidth="1"/>
    <col min="3086" max="3086" width="6.42578125" style="207" bestFit="1" customWidth="1"/>
    <col min="3087" max="3088" width="8.42578125" style="207"/>
    <col min="3089" max="3089" width="3.28515625" style="207" customWidth="1"/>
    <col min="3090" max="3328" width="8.42578125" style="207"/>
    <col min="3329" max="3329" width="10" style="207" bestFit="1" customWidth="1"/>
    <col min="3330" max="3330" width="44.28515625" style="207" bestFit="1" customWidth="1"/>
    <col min="3331" max="3331" width="10.42578125" style="207" bestFit="1" customWidth="1"/>
    <col min="3332" max="3332" width="10.42578125" style="207" customWidth="1"/>
    <col min="3333" max="3333" width="9.7109375" style="207" bestFit="1" customWidth="1"/>
    <col min="3334" max="3335" width="9.5703125" style="207" bestFit="1" customWidth="1"/>
    <col min="3336" max="3336" width="10.42578125" style="207" bestFit="1" customWidth="1"/>
    <col min="3337" max="3337" width="4.5703125" style="207" customWidth="1"/>
    <col min="3338" max="3338" width="1.85546875" style="207" customWidth="1"/>
    <col min="3339" max="3339" width="7" style="207" bestFit="1" customWidth="1"/>
    <col min="3340" max="3340" width="6.28515625" style="207" customWidth="1"/>
    <col min="3341" max="3341" width="20.42578125" style="207" customWidth="1"/>
    <col min="3342" max="3342" width="6.42578125" style="207" bestFit="1" customWidth="1"/>
    <col min="3343" max="3344" width="8.42578125" style="207"/>
    <col min="3345" max="3345" width="3.28515625" style="207" customWidth="1"/>
    <col min="3346" max="3584" width="8.42578125" style="207"/>
    <col min="3585" max="3585" width="10" style="207" bestFit="1" customWidth="1"/>
    <col min="3586" max="3586" width="44.28515625" style="207" bestFit="1" customWidth="1"/>
    <col min="3587" max="3587" width="10.42578125" style="207" bestFit="1" customWidth="1"/>
    <col min="3588" max="3588" width="10.42578125" style="207" customWidth="1"/>
    <col min="3589" max="3589" width="9.7109375" style="207" bestFit="1" customWidth="1"/>
    <col min="3590" max="3591" width="9.5703125" style="207" bestFit="1" customWidth="1"/>
    <col min="3592" max="3592" width="10.42578125" style="207" bestFit="1" customWidth="1"/>
    <col min="3593" max="3593" width="4.5703125" style="207" customWidth="1"/>
    <col min="3594" max="3594" width="1.85546875" style="207" customWidth="1"/>
    <col min="3595" max="3595" width="7" style="207" bestFit="1" customWidth="1"/>
    <col min="3596" max="3596" width="6.28515625" style="207" customWidth="1"/>
    <col min="3597" max="3597" width="20.42578125" style="207" customWidth="1"/>
    <col min="3598" max="3598" width="6.42578125" style="207" bestFit="1" customWidth="1"/>
    <col min="3599" max="3600" width="8.42578125" style="207"/>
    <col min="3601" max="3601" width="3.28515625" style="207" customWidth="1"/>
    <col min="3602" max="3840" width="8.42578125" style="207"/>
    <col min="3841" max="3841" width="10" style="207" bestFit="1" customWidth="1"/>
    <col min="3842" max="3842" width="44.28515625" style="207" bestFit="1" customWidth="1"/>
    <col min="3843" max="3843" width="10.42578125" style="207" bestFit="1" customWidth="1"/>
    <col min="3844" max="3844" width="10.42578125" style="207" customWidth="1"/>
    <col min="3845" max="3845" width="9.7109375" style="207" bestFit="1" customWidth="1"/>
    <col min="3846" max="3847" width="9.5703125" style="207" bestFit="1" customWidth="1"/>
    <col min="3848" max="3848" width="10.42578125" style="207" bestFit="1" customWidth="1"/>
    <col min="3849" max="3849" width="4.5703125" style="207" customWidth="1"/>
    <col min="3850" max="3850" width="1.85546875" style="207" customWidth="1"/>
    <col min="3851" max="3851" width="7" style="207" bestFit="1" customWidth="1"/>
    <col min="3852" max="3852" width="6.28515625" style="207" customWidth="1"/>
    <col min="3853" max="3853" width="20.42578125" style="207" customWidth="1"/>
    <col min="3854" max="3854" width="6.42578125" style="207" bestFit="1" customWidth="1"/>
    <col min="3855" max="3856" width="8.42578125" style="207"/>
    <col min="3857" max="3857" width="3.28515625" style="207" customWidth="1"/>
    <col min="3858" max="4096" width="8.42578125" style="207"/>
    <col min="4097" max="4097" width="10" style="207" bestFit="1" customWidth="1"/>
    <col min="4098" max="4098" width="44.28515625" style="207" bestFit="1" customWidth="1"/>
    <col min="4099" max="4099" width="10.42578125" style="207" bestFit="1" customWidth="1"/>
    <col min="4100" max="4100" width="10.42578125" style="207" customWidth="1"/>
    <col min="4101" max="4101" width="9.7109375" style="207" bestFit="1" customWidth="1"/>
    <col min="4102" max="4103" width="9.5703125" style="207" bestFit="1" customWidth="1"/>
    <col min="4104" max="4104" width="10.42578125" style="207" bestFit="1" customWidth="1"/>
    <col min="4105" max="4105" width="4.5703125" style="207" customWidth="1"/>
    <col min="4106" max="4106" width="1.85546875" style="207" customWidth="1"/>
    <col min="4107" max="4107" width="7" style="207" bestFit="1" customWidth="1"/>
    <col min="4108" max="4108" width="6.28515625" style="207" customWidth="1"/>
    <col min="4109" max="4109" width="20.42578125" style="207" customWidth="1"/>
    <col min="4110" max="4110" width="6.42578125" style="207" bestFit="1" customWidth="1"/>
    <col min="4111" max="4112" width="8.42578125" style="207"/>
    <col min="4113" max="4113" width="3.28515625" style="207" customWidth="1"/>
    <col min="4114" max="4352" width="8.42578125" style="207"/>
    <col min="4353" max="4353" width="10" style="207" bestFit="1" customWidth="1"/>
    <col min="4354" max="4354" width="44.28515625" style="207" bestFit="1" customWidth="1"/>
    <col min="4355" max="4355" width="10.42578125" style="207" bestFit="1" customWidth="1"/>
    <col min="4356" max="4356" width="10.42578125" style="207" customWidth="1"/>
    <col min="4357" max="4357" width="9.7109375" style="207" bestFit="1" customWidth="1"/>
    <col min="4358" max="4359" width="9.5703125" style="207" bestFit="1" customWidth="1"/>
    <col min="4360" max="4360" width="10.42578125" style="207" bestFit="1" customWidth="1"/>
    <col min="4361" max="4361" width="4.5703125" style="207" customWidth="1"/>
    <col min="4362" max="4362" width="1.85546875" style="207" customWidth="1"/>
    <col min="4363" max="4363" width="7" style="207" bestFit="1" customWidth="1"/>
    <col min="4364" max="4364" width="6.28515625" style="207" customWidth="1"/>
    <col min="4365" max="4365" width="20.42578125" style="207" customWidth="1"/>
    <col min="4366" max="4366" width="6.42578125" style="207" bestFit="1" customWidth="1"/>
    <col min="4367" max="4368" width="8.42578125" style="207"/>
    <col min="4369" max="4369" width="3.28515625" style="207" customWidth="1"/>
    <col min="4370" max="4608" width="8.42578125" style="207"/>
    <col min="4609" max="4609" width="10" style="207" bestFit="1" customWidth="1"/>
    <col min="4610" max="4610" width="44.28515625" style="207" bestFit="1" customWidth="1"/>
    <col min="4611" max="4611" width="10.42578125" style="207" bestFit="1" customWidth="1"/>
    <col min="4612" max="4612" width="10.42578125" style="207" customWidth="1"/>
    <col min="4613" max="4613" width="9.7109375" style="207" bestFit="1" customWidth="1"/>
    <col min="4614" max="4615" width="9.5703125" style="207" bestFit="1" customWidth="1"/>
    <col min="4616" max="4616" width="10.42578125" style="207" bestFit="1" customWidth="1"/>
    <col min="4617" max="4617" width="4.5703125" style="207" customWidth="1"/>
    <col min="4618" max="4618" width="1.85546875" style="207" customWidth="1"/>
    <col min="4619" max="4619" width="7" style="207" bestFit="1" customWidth="1"/>
    <col min="4620" max="4620" width="6.28515625" style="207" customWidth="1"/>
    <col min="4621" max="4621" width="20.42578125" style="207" customWidth="1"/>
    <col min="4622" max="4622" width="6.42578125" style="207" bestFit="1" customWidth="1"/>
    <col min="4623" max="4624" width="8.42578125" style="207"/>
    <col min="4625" max="4625" width="3.28515625" style="207" customWidth="1"/>
    <col min="4626" max="4864" width="8.42578125" style="207"/>
    <col min="4865" max="4865" width="10" style="207" bestFit="1" customWidth="1"/>
    <col min="4866" max="4866" width="44.28515625" style="207" bestFit="1" customWidth="1"/>
    <col min="4867" max="4867" width="10.42578125" style="207" bestFit="1" customWidth="1"/>
    <col min="4868" max="4868" width="10.42578125" style="207" customWidth="1"/>
    <col min="4869" max="4869" width="9.7109375" style="207" bestFit="1" customWidth="1"/>
    <col min="4870" max="4871" width="9.5703125" style="207" bestFit="1" customWidth="1"/>
    <col min="4872" max="4872" width="10.42578125" style="207" bestFit="1" customWidth="1"/>
    <col min="4873" max="4873" width="4.5703125" style="207" customWidth="1"/>
    <col min="4874" max="4874" width="1.85546875" style="207" customWidth="1"/>
    <col min="4875" max="4875" width="7" style="207" bestFit="1" customWidth="1"/>
    <col min="4876" max="4876" width="6.28515625" style="207" customWidth="1"/>
    <col min="4877" max="4877" width="20.42578125" style="207" customWidth="1"/>
    <col min="4878" max="4878" width="6.42578125" style="207" bestFit="1" customWidth="1"/>
    <col min="4879" max="4880" width="8.42578125" style="207"/>
    <col min="4881" max="4881" width="3.28515625" style="207" customWidth="1"/>
    <col min="4882" max="5120" width="8.42578125" style="207"/>
    <col min="5121" max="5121" width="10" style="207" bestFit="1" customWidth="1"/>
    <col min="5122" max="5122" width="44.28515625" style="207" bestFit="1" customWidth="1"/>
    <col min="5123" max="5123" width="10.42578125" style="207" bestFit="1" customWidth="1"/>
    <col min="5124" max="5124" width="10.42578125" style="207" customWidth="1"/>
    <col min="5125" max="5125" width="9.7109375" style="207" bestFit="1" customWidth="1"/>
    <col min="5126" max="5127" width="9.5703125" style="207" bestFit="1" customWidth="1"/>
    <col min="5128" max="5128" width="10.42578125" style="207" bestFit="1" customWidth="1"/>
    <col min="5129" max="5129" width="4.5703125" style="207" customWidth="1"/>
    <col min="5130" max="5130" width="1.85546875" style="207" customWidth="1"/>
    <col min="5131" max="5131" width="7" style="207" bestFit="1" customWidth="1"/>
    <col min="5132" max="5132" width="6.28515625" style="207" customWidth="1"/>
    <col min="5133" max="5133" width="20.42578125" style="207" customWidth="1"/>
    <col min="5134" max="5134" width="6.42578125" style="207" bestFit="1" customWidth="1"/>
    <col min="5135" max="5136" width="8.42578125" style="207"/>
    <col min="5137" max="5137" width="3.28515625" style="207" customWidth="1"/>
    <col min="5138" max="5376" width="8.42578125" style="207"/>
    <col min="5377" max="5377" width="10" style="207" bestFit="1" customWidth="1"/>
    <col min="5378" max="5378" width="44.28515625" style="207" bestFit="1" customWidth="1"/>
    <col min="5379" max="5379" width="10.42578125" style="207" bestFit="1" customWidth="1"/>
    <col min="5380" max="5380" width="10.42578125" style="207" customWidth="1"/>
    <col min="5381" max="5381" width="9.7109375" style="207" bestFit="1" customWidth="1"/>
    <col min="5382" max="5383" width="9.5703125" style="207" bestFit="1" customWidth="1"/>
    <col min="5384" max="5384" width="10.42578125" style="207" bestFit="1" customWidth="1"/>
    <col min="5385" max="5385" width="4.5703125" style="207" customWidth="1"/>
    <col min="5386" max="5386" width="1.85546875" style="207" customWidth="1"/>
    <col min="5387" max="5387" width="7" style="207" bestFit="1" customWidth="1"/>
    <col min="5388" max="5388" width="6.28515625" style="207" customWidth="1"/>
    <col min="5389" max="5389" width="20.42578125" style="207" customWidth="1"/>
    <col min="5390" max="5390" width="6.42578125" style="207" bestFit="1" customWidth="1"/>
    <col min="5391" max="5392" width="8.42578125" style="207"/>
    <col min="5393" max="5393" width="3.28515625" style="207" customWidth="1"/>
    <col min="5394" max="5632" width="8.42578125" style="207"/>
    <col min="5633" max="5633" width="10" style="207" bestFit="1" customWidth="1"/>
    <col min="5634" max="5634" width="44.28515625" style="207" bestFit="1" customWidth="1"/>
    <col min="5635" max="5635" width="10.42578125" style="207" bestFit="1" customWidth="1"/>
    <col min="5636" max="5636" width="10.42578125" style="207" customWidth="1"/>
    <col min="5637" max="5637" width="9.7109375" style="207" bestFit="1" customWidth="1"/>
    <col min="5638" max="5639" width="9.5703125" style="207" bestFit="1" customWidth="1"/>
    <col min="5640" max="5640" width="10.42578125" style="207" bestFit="1" customWidth="1"/>
    <col min="5641" max="5641" width="4.5703125" style="207" customWidth="1"/>
    <col min="5642" max="5642" width="1.85546875" style="207" customWidth="1"/>
    <col min="5643" max="5643" width="7" style="207" bestFit="1" customWidth="1"/>
    <col min="5644" max="5644" width="6.28515625" style="207" customWidth="1"/>
    <col min="5645" max="5645" width="20.42578125" style="207" customWidth="1"/>
    <col min="5646" max="5646" width="6.42578125" style="207" bestFit="1" customWidth="1"/>
    <col min="5647" max="5648" width="8.42578125" style="207"/>
    <col min="5649" max="5649" width="3.28515625" style="207" customWidth="1"/>
    <col min="5650" max="5888" width="8.42578125" style="207"/>
    <col min="5889" max="5889" width="10" style="207" bestFit="1" customWidth="1"/>
    <col min="5890" max="5890" width="44.28515625" style="207" bestFit="1" customWidth="1"/>
    <col min="5891" max="5891" width="10.42578125" style="207" bestFit="1" customWidth="1"/>
    <col min="5892" max="5892" width="10.42578125" style="207" customWidth="1"/>
    <col min="5893" max="5893" width="9.7109375" style="207" bestFit="1" customWidth="1"/>
    <col min="5894" max="5895" width="9.5703125" style="207" bestFit="1" customWidth="1"/>
    <col min="5896" max="5896" width="10.42578125" style="207" bestFit="1" customWidth="1"/>
    <col min="5897" max="5897" width="4.5703125" style="207" customWidth="1"/>
    <col min="5898" max="5898" width="1.85546875" style="207" customWidth="1"/>
    <col min="5899" max="5899" width="7" style="207" bestFit="1" customWidth="1"/>
    <col min="5900" max="5900" width="6.28515625" style="207" customWidth="1"/>
    <col min="5901" max="5901" width="20.42578125" style="207" customWidth="1"/>
    <col min="5902" max="5902" width="6.42578125" style="207" bestFit="1" customWidth="1"/>
    <col min="5903" max="5904" width="8.42578125" style="207"/>
    <col min="5905" max="5905" width="3.28515625" style="207" customWidth="1"/>
    <col min="5906" max="6144" width="8.42578125" style="207"/>
    <col min="6145" max="6145" width="10" style="207" bestFit="1" customWidth="1"/>
    <col min="6146" max="6146" width="44.28515625" style="207" bestFit="1" customWidth="1"/>
    <col min="6147" max="6147" width="10.42578125" style="207" bestFit="1" customWidth="1"/>
    <col min="6148" max="6148" width="10.42578125" style="207" customWidth="1"/>
    <col min="6149" max="6149" width="9.7109375" style="207" bestFit="1" customWidth="1"/>
    <col min="6150" max="6151" width="9.5703125" style="207" bestFit="1" customWidth="1"/>
    <col min="6152" max="6152" width="10.42578125" style="207" bestFit="1" customWidth="1"/>
    <col min="6153" max="6153" width="4.5703125" style="207" customWidth="1"/>
    <col min="6154" max="6154" width="1.85546875" style="207" customWidth="1"/>
    <col min="6155" max="6155" width="7" style="207" bestFit="1" customWidth="1"/>
    <col min="6156" max="6156" width="6.28515625" style="207" customWidth="1"/>
    <col min="6157" max="6157" width="20.42578125" style="207" customWidth="1"/>
    <col min="6158" max="6158" width="6.42578125" style="207" bestFit="1" customWidth="1"/>
    <col min="6159" max="6160" width="8.42578125" style="207"/>
    <col min="6161" max="6161" width="3.28515625" style="207" customWidth="1"/>
    <col min="6162" max="6400" width="8.42578125" style="207"/>
    <col min="6401" max="6401" width="10" style="207" bestFit="1" customWidth="1"/>
    <col min="6402" max="6402" width="44.28515625" style="207" bestFit="1" customWidth="1"/>
    <col min="6403" max="6403" width="10.42578125" style="207" bestFit="1" customWidth="1"/>
    <col min="6404" max="6404" width="10.42578125" style="207" customWidth="1"/>
    <col min="6405" max="6405" width="9.7109375" style="207" bestFit="1" customWidth="1"/>
    <col min="6406" max="6407" width="9.5703125" style="207" bestFit="1" customWidth="1"/>
    <col min="6408" max="6408" width="10.42578125" style="207" bestFit="1" customWidth="1"/>
    <col min="6409" max="6409" width="4.5703125" style="207" customWidth="1"/>
    <col min="6410" max="6410" width="1.85546875" style="207" customWidth="1"/>
    <col min="6411" max="6411" width="7" style="207" bestFit="1" customWidth="1"/>
    <col min="6412" max="6412" width="6.28515625" style="207" customWidth="1"/>
    <col min="6413" max="6413" width="20.42578125" style="207" customWidth="1"/>
    <col min="6414" max="6414" width="6.42578125" style="207" bestFit="1" customWidth="1"/>
    <col min="6415" max="6416" width="8.42578125" style="207"/>
    <col min="6417" max="6417" width="3.28515625" style="207" customWidth="1"/>
    <col min="6418" max="6656" width="8.42578125" style="207"/>
    <col min="6657" max="6657" width="10" style="207" bestFit="1" customWidth="1"/>
    <col min="6658" max="6658" width="44.28515625" style="207" bestFit="1" customWidth="1"/>
    <col min="6659" max="6659" width="10.42578125" style="207" bestFit="1" customWidth="1"/>
    <col min="6660" max="6660" width="10.42578125" style="207" customWidth="1"/>
    <col min="6661" max="6661" width="9.7109375" style="207" bestFit="1" customWidth="1"/>
    <col min="6662" max="6663" width="9.5703125" style="207" bestFit="1" customWidth="1"/>
    <col min="6664" max="6664" width="10.42578125" style="207" bestFit="1" customWidth="1"/>
    <col min="6665" max="6665" width="4.5703125" style="207" customWidth="1"/>
    <col min="6666" max="6666" width="1.85546875" style="207" customWidth="1"/>
    <col min="6667" max="6667" width="7" style="207" bestFit="1" customWidth="1"/>
    <col min="6668" max="6668" width="6.28515625" style="207" customWidth="1"/>
    <col min="6669" max="6669" width="20.42578125" style="207" customWidth="1"/>
    <col min="6670" max="6670" width="6.42578125" style="207" bestFit="1" customWidth="1"/>
    <col min="6671" max="6672" width="8.42578125" style="207"/>
    <col min="6673" max="6673" width="3.28515625" style="207" customWidth="1"/>
    <col min="6674" max="6912" width="8.42578125" style="207"/>
    <col min="6913" max="6913" width="10" style="207" bestFit="1" customWidth="1"/>
    <col min="6914" max="6914" width="44.28515625" style="207" bestFit="1" customWidth="1"/>
    <col min="6915" max="6915" width="10.42578125" style="207" bestFit="1" customWidth="1"/>
    <col min="6916" max="6916" width="10.42578125" style="207" customWidth="1"/>
    <col min="6917" max="6917" width="9.7109375" style="207" bestFit="1" customWidth="1"/>
    <col min="6918" max="6919" width="9.5703125" style="207" bestFit="1" customWidth="1"/>
    <col min="6920" max="6920" width="10.42578125" style="207" bestFit="1" customWidth="1"/>
    <col min="6921" max="6921" width="4.5703125" style="207" customWidth="1"/>
    <col min="6922" max="6922" width="1.85546875" style="207" customWidth="1"/>
    <col min="6923" max="6923" width="7" style="207" bestFit="1" customWidth="1"/>
    <col min="6924" max="6924" width="6.28515625" style="207" customWidth="1"/>
    <col min="6925" max="6925" width="20.42578125" style="207" customWidth="1"/>
    <col min="6926" max="6926" width="6.42578125" style="207" bestFit="1" customWidth="1"/>
    <col min="6927" max="6928" width="8.42578125" style="207"/>
    <col min="6929" max="6929" width="3.28515625" style="207" customWidth="1"/>
    <col min="6930" max="7168" width="8.42578125" style="207"/>
    <col min="7169" max="7169" width="10" style="207" bestFit="1" customWidth="1"/>
    <col min="7170" max="7170" width="44.28515625" style="207" bestFit="1" customWidth="1"/>
    <col min="7171" max="7171" width="10.42578125" style="207" bestFit="1" customWidth="1"/>
    <col min="7172" max="7172" width="10.42578125" style="207" customWidth="1"/>
    <col min="7173" max="7173" width="9.7109375" style="207" bestFit="1" customWidth="1"/>
    <col min="7174" max="7175" width="9.5703125" style="207" bestFit="1" customWidth="1"/>
    <col min="7176" max="7176" width="10.42578125" style="207" bestFit="1" customWidth="1"/>
    <col min="7177" max="7177" width="4.5703125" style="207" customWidth="1"/>
    <col min="7178" max="7178" width="1.85546875" style="207" customWidth="1"/>
    <col min="7179" max="7179" width="7" style="207" bestFit="1" customWidth="1"/>
    <col min="7180" max="7180" width="6.28515625" style="207" customWidth="1"/>
    <col min="7181" max="7181" width="20.42578125" style="207" customWidth="1"/>
    <col min="7182" max="7182" width="6.42578125" style="207" bestFit="1" customWidth="1"/>
    <col min="7183" max="7184" width="8.42578125" style="207"/>
    <col min="7185" max="7185" width="3.28515625" style="207" customWidth="1"/>
    <col min="7186" max="7424" width="8.42578125" style="207"/>
    <col min="7425" max="7425" width="10" style="207" bestFit="1" customWidth="1"/>
    <col min="7426" max="7426" width="44.28515625" style="207" bestFit="1" customWidth="1"/>
    <col min="7427" max="7427" width="10.42578125" style="207" bestFit="1" customWidth="1"/>
    <col min="7428" max="7428" width="10.42578125" style="207" customWidth="1"/>
    <col min="7429" max="7429" width="9.7109375" style="207" bestFit="1" customWidth="1"/>
    <col min="7430" max="7431" width="9.5703125" style="207" bestFit="1" customWidth="1"/>
    <col min="7432" max="7432" width="10.42578125" style="207" bestFit="1" customWidth="1"/>
    <col min="7433" max="7433" width="4.5703125" style="207" customWidth="1"/>
    <col min="7434" max="7434" width="1.85546875" style="207" customWidth="1"/>
    <col min="7435" max="7435" width="7" style="207" bestFit="1" customWidth="1"/>
    <col min="7436" max="7436" width="6.28515625" style="207" customWidth="1"/>
    <col min="7437" max="7437" width="20.42578125" style="207" customWidth="1"/>
    <col min="7438" max="7438" width="6.42578125" style="207" bestFit="1" customWidth="1"/>
    <col min="7439" max="7440" width="8.42578125" style="207"/>
    <col min="7441" max="7441" width="3.28515625" style="207" customWidth="1"/>
    <col min="7442" max="7680" width="8.42578125" style="207"/>
    <col min="7681" max="7681" width="10" style="207" bestFit="1" customWidth="1"/>
    <col min="7682" max="7682" width="44.28515625" style="207" bestFit="1" customWidth="1"/>
    <col min="7683" max="7683" width="10.42578125" style="207" bestFit="1" customWidth="1"/>
    <col min="7684" max="7684" width="10.42578125" style="207" customWidth="1"/>
    <col min="7685" max="7685" width="9.7109375" style="207" bestFit="1" customWidth="1"/>
    <col min="7686" max="7687" width="9.5703125" style="207" bestFit="1" customWidth="1"/>
    <col min="7688" max="7688" width="10.42578125" style="207" bestFit="1" customWidth="1"/>
    <col min="7689" max="7689" width="4.5703125" style="207" customWidth="1"/>
    <col min="7690" max="7690" width="1.85546875" style="207" customWidth="1"/>
    <col min="7691" max="7691" width="7" style="207" bestFit="1" customWidth="1"/>
    <col min="7692" max="7692" width="6.28515625" style="207" customWidth="1"/>
    <col min="7693" max="7693" width="20.42578125" style="207" customWidth="1"/>
    <col min="7694" max="7694" width="6.42578125" style="207" bestFit="1" customWidth="1"/>
    <col min="7695" max="7696" width="8.42578125" style="207"/>
    <col min="7697" max="7697" width="3.28515625" style="207" customWidth="1"/>
    <col min="7698" max="7936" width="8.42578125" style="207"/>
    <col min="7937" max="7937" width="10" style="207" bestFit="1" customWidth="1"/>
    <col min="7938" max="7938" width="44.28515625" style="207" bestFit="1" customWidth="1"/>
    <col min="7939" max="7939" width="10.42578125" style="207" bestFit="1" customWidth="1"/>
    <col min="7940" max="7940" width="10.42578125" style="207" customWidth="1"/>
    <col min="7941" max="7941" width="9.7109375" style="207" bestFit="1" customWidth="1"/>
    <col min="7942" max="7943" width="9.5703125" style="207" bestFit="1" customWidth="1"/>
    <col min="7944" max="7944" width="10.42578125" style="207" bestFit="1" customWidth="1"/>
    <col min="7945" max="7945" width="4.5703125" style="207" customWidth="1"/>
    <col min="7946" max="7946" width="1.85546875" style="207" customWidth="1"/>
    <col min="7947" max="7947" width="7" style="207" bestFit="1" customWidth="1"/>
    <col min="7948" max="7948" width="6.28515625" style="207" customWidth="1"/>
    <col min="7949" max="7949" width="20.42578125" style="207" customWidth="1"/>
    <col min="7950" max="7950" width="6.42578125" style="207" bestFit="1" customWidth="1"/>
    <col min="7951" max="7952" width="8.42578125" style="207"/>
    <col min="7953" max="7953" width="3.28515625" style="207" customWidth="1"/>
    <col min="7954" max="8192" width="8.42578125" style="207"/>
    <col min="8193" max="8193" width="10" style="207" bestFit="1" customWidth="1"/>
    <col min="8194" max="8194" width="44.28515625" style="207" bestFit="1" customWidth="1"/>
    <col min="8195" max="8195" width="10.42578125" style="207" bestFit="1" customWidth="1"/>
    <col min="8196" max="8196" width="10.42578125" style="207" customWidth="1"/>
    <col min="8197" max="8197" width="9.7109375" style="207" bestFit="1" customWidth="1"/>
    <col min="8198" max="8199" width="9.5703125" style="207" bestFit="1" customWidth="1"/>
    <col min="8200" max="8200" width="10.42578125" style="207" bestFit="1" customWidth="1"/>
    <col min="8201" max="8201" width="4.5703125" style="207" customWidth="1"/>
    <col min="8202" max="8202" width="1.85546875" style="207" customWidth="1"/>
    <col min="8203" max="8203" width="7" style="207" bestFit="1" customWidth="1"/>
    <col min="8204" max="8204" width="6.28515625" style="207" customWidth="1"/>
    <col min="8205" max="8205" width="20.42578125" style="207" customWidth="1"/>
    <col min="8206" max="8206" width="6.42578125" style="207" bestFit="1" customWidth="1"/>
    <col min="8207" max="8208" width="8.42578125" style="207"/>
    <col min="8209" max="8209" width="3.28515625" style="207" customWidth="1"/>
    <col min="8210" max="8448" width="8.42578125" style="207"/>
    <col min="8449" max="8449" width="10" style="207" bestFit="1" customWidth="1"/>
    <col min="8450" max="8450" width="44.28515625" style="207" bestFit="1" customWidth="1"/>
    <col min="8451" max="8451" width="10.42578125" style="207" bestFit="1" customWidth="1"/>
    <col min="8452" max="8452" width="10.42578125" style="207" customWidth="1"/>
    <col min="8453" max="8453" width="9.7109375" style="207" bestFit="1" customWidth="1"/>
    <col min="8454" max="8455" width="9.5703125" style="207" bestFit="1" customWidth="1"/>
    <col min="8456" max="8456" width="10.42578125" style="207" bestFit="1" customWidth="1"/>
    <col min="8457" max="8457" width="4.5703125" style="207" customWidth="1"/>
    <col min="8458" max="8458" width="1.85546875" style="207" customWidth="1"/>
    <col min="8459" max="8459" width="7" style="207" bestFit="1" customWidth="1"/>
    <col min="8460" max="8460" width="6.28515625" style="207" customWidth="1"/>
    <col min="8461" max="8461" width="20.42578125" style="207" customWidth="1"/>
    <col min="8462" max="8462" width="6.42578125" style="207" bestFit="1" customWidth="1"/>
    <col min="8463" max="8464" width="8.42578125" style="207"/>
    <col min="8465" max="8465" width="3.28515625" style="207" customWidth="1"/>
    <col min="8466" max="8704" width="8.42578125" style="207"/>
    <col min="8705" max="8705" width="10" style="207" bestFit="1" customWidth="1"/>
    <col min="8706" max="8706" width="44.28515625" style="207" bestFit="1" customWidth="1"/>
    <col min="8707" max="8707" width="10.42578125" style="207" bestFit="1" customWidth="1"/>
    <col min="8708" max="8708" width="10.42578125" style="207" customWidth="1"/>
    <col min="8709" max="8709" width="9.7109375" style="207" bestFit="1" customWidth="1"/>
    <col min="8710" max="8711" width="9.5703125" style="207" bestFit="1" customWidth="1"/>
    <col min="8712" max="8712" width="10.42578125" style="207" bestFit="1" customWidth="1"/>
    <col min="8713" max="8713" width="4.5703125" style="207" customWidth="1"/>
    <col min="8714" max="8714" width="1.85546875" style="207" customWidth="1"/>
    <col min="8715" max="8715" width="7" style="207" bestFit="1" customWidth="1"/>
    <col min="8716" max="8716" width="6.28515625" style="207" customWidth="1"/>
    <col min="8717" max="8717" width="20.42578125" style="207" customWidth="1"/>
    <col min="8718" max="8718" width="6.42578125" style="207" bestFit="1" customWidth="1"/>
    <col min="8719" max="8720" width="8.42578125" style="207"/>
    <col min="8721" max="8721" width="3.28515625" style="207" customWidth="1"/>
    <col min="8722" max="8960" width="8.42578125" style="207"/>
    <col min="8961" max="8961" width="10" style="207" bestFit="1" customWidth="1"/>
    <col min="8962" max="8962" width="44.28515625" style="207" bestFit="1" customWidth="1"/>
    <col min="8963" max="8963" width="10.42578125" style="207" bestFit="1" customWidth="1"/>
    <col min="8964" max="8964" width="10.42578125" style="207" customWidth="1"/>
    <col min="8965" max="8965" width="9.7109375" style="207" bestFit="1" customWidth="1"/>
    <col min="8966" max="8967" width="9.5703125" style="207" bestFit="1" customWidth="1"/>
    <col min="8968" max="8968" width="10.42578125" style="207" bestFit="1" customWidth="1"/>
    <col min="8969" max="8969" width="4.5703125" style="207" customWidth="1"/>
    <col min="8970" max="8970" width="1.85546875" style="207" customWidth="1"/>
    <col min="8971" max="8971" width="7" style="207" bestFit="1" customWidth="1"/>
    <col min="8972" max="8972" width="6.28515625" style="207" customWidth="1"/>
    <col min="8973" max="8973" width="20.42578125" style="207" customWidth="1"/>
    <col min="8974" max="8974" width="6.42578125" style="207" bestFit="1" customWidth="1"/>
    <col min="8975" max="8976" width="8.42578125" style="207"/>
    <col min="8977" max="8977" width="3.28515625" style="207" customWidth="1"/>
    <col min="8978" max="9216" width="8.42578125" style="207"/>
    <col min="9217" max="9217" width="10" style="207" bestFit="1" customWidth="1"/>
    <col min="9218" max="9218" width="44.28515625" style="207" bestFit="1" customWidth="1"/>
    <col min="9219" max="9219" width="10.42578125" style="207" bestFit="1" customWidth="1"/>
    <col min="9220" max="9220" width="10.42578125" style="207" customWidth="1"/>
    <col min="9221" max="9221" width="9.7109375" style="207" bestFit="1" customWidth="1"/>
    <col min="9222" max="9223" width="9.5703125" style="207" bestFit="1" customWidth="1"/>
    <col min="9224" max="9224" width="10.42578125" style="207" bestFit="1" customWidth="1"/>
    <col min="9225" max="9225" width="4.5703125" style="207" customWidth="1"/>
    <col min="9226" max="9226" width="1.85546875" style="207" customWidth="1"/>
    <col min="9227" max="9227" width="7" style="207" bestFit="1" customWidth="1"/>
    <col min="9228" max="9228" width="6.28515625" style="207" customWidth="1"/>
    <col min="9229" max="9229" width="20.42578125" style="207" customWidth="1"/>
    <col min="9230" max="9230" width="6.42578125" style="207" bestFit="1" customWidth="1"/>
    <col min="9231" max="9232" width="8.42578125" style="207"/>
    <col min="9233" max="9233" width="3.28515625" style="207" customWidth="1"/>
    <col min="9234" max="9472" width="8.42578125" style="207"/>
    <col min="9473" max="9473" width="10" style="207" bestFit="1" customWidth="1"/>
    <col min="9474" max="9474" width="44.28515625" style="207" bestFit="1" customWidth="1"/>
    <col min="9475" max="9475" width="10.42578125" style="207" bestFit="1" customWidth="1"/>
    <col min="9476" max="9476" width="10.42578125" style="207" customWidth="1"/>
    <col min="9477" max="9477" width="9.7109375" style="207" bestFit="1" customWidth="1"/>
    <col min="9478" max="9479" width="9.5703125" style="207" bestFit="1" customWidth="1"/>
    <col min="9480" max="9480" width="10.42578125" style="207" bestFit="1" customWidth="1"/>
    <col min="9481" max="9481" width="4.5703125" style="207" customWidth="1"/>
    <col min="9482" max="9482" width="1.85546875" style="207" customWidth="1"/>
    <col min="9483" max="9483" width="7" style="207" bestFit="1" customWidth="1"/>
    <col min="9484" max="9484" width="6.28515625" style="207" customWidth="1"/>
    <col min="9485" max="9485" width="20.42578125" style="207" customWidth="1"/>
    <col min="9486" max="9486" width="6.42578125" style="207" bestFit="1" customWidth="1"/>
    <col min="9487" max="9488" width="8.42578125" style="207"/>
    <col min="9489" max="9489" width="3.28515625" style="207" customWidth="1"/>
    <col min="9490" max="9728" width="8.42578125" style="207"/>
    <col min="9729" max="9729" width="10" style="207" bestFit="1" customWidth="1"/>
    <col min="9730" max="9730" width="44.28515625" style="207" bestFit="1" customWidth="1"/>
    <col min="9731" max="9731" width="10.42578125" style="207" bestFit="1" customWidth="1"/>
    <col min="9732" max="9732" width="10.42578125" style="207" customWidth="1"/>
    <col min="9733" max="9733" width="9.7109375" style="207" bestFit="1" customWidth="1"/>
    <col min="9734" max="9735" width="9.5703125" style="207" bestFit="1" customWidth="1"/>
    <col min="9736" max="9736" width="10.42578125" style="207" bestFit="1" customWidth="1"/>
    <col min="9737" max="9737" width="4.5703125" style="207" customWidth="1"/>
    <col min="9738" max="9738" width="1.85546875" style="207" customWidth="1"/>
    <col min="9739" max="9739" width="7" style="207" bestFit="1" customWidth="1"/>
    <col min="9740" max="9740" width="6.28515625" style="207" customWidth="1"/>
    <col min="9741" max="9741" width="20.42578125" style="207" customWidth="1"/>
    <col min="9742" max="9742" width="6.42578125" style="207" bestFit="1" customWidth="1"/>
    <col min="9743" max="9744" width="8.42578125" style="207"/>
    <col min="9745" max="9745" width="3.28515625" style="207" customWidth="1"/>
    <col min="9746" max="9984" width="8.42578125" style="207"/>
    <col min="9985" max="9985" width="10" style="207" bestFit="1" customWidth="1"/>
    <col min="9986" max="9986" width="44.28515625" style="207" bestFit="1" customWidth="1"/>
    <col min="9987" max="9987" width="10.42578125" style="207" bestFit="1" customWidth="1"/>
    <col min="9988" max="9988" width="10.42578125" style="207" customWidth="1"/>
    <col min="9989" max="9989" width="9.7109375" style="207" bestFit="1" customWidth="1"/>
    <col min="9990" max="9991" width="9.5703125" style="207" bestFit="1" customWidth="1"/>
    <col min="9992" max="9992" width="10.42578125" style="207" bestFit="1" customWidth="1"/>
    <col min="9993" max="9993" width="4.5703125" style="207" customWidth="1"/>
    <col min="9994" max="9994" width="1.85546875" style="207" customWidth="1"/>
    <col min="9995" max="9995" width="7" style="207" bestFit="1" customWidth="1"/>
    <col min="9996" max="9996" width="6.28515625" style="207" customWidth="1"/>
    <col min="9997" max="9997" width="20.42578125" style="207" customWidth="1"/>
    <col min="9998" max="9998" width="6.42578125" style="207" bestFit="1" customWidth="1"/>
    <col min="9999" max="10000" width="8.42578125" style="207"/>
    <col min="10001" max="10001" width="3.28515625" style="207" customWidth="1"/>
    <col min="10002" max="10240" width="8.42578125" style="207"/>
    <col min="10241" max="10241" width="10" style="207" bestFit="1" customWidth="1"/>
    <col min="10242" max="10242" width="44.28515625" style="207" bestFit="1" customWidth="1"/>
    <col min="10243" max="10243" width="10.42578125" style="207" bestFit="1" customWidth="1"/>
    <col min="10244" max="10244" width="10.42578125" style="207" customWidth="1"/>
    <col min="10245" max="10245" width="9.7109375" style="207" bestFit="1" customWidth="1"/>
    <col min="10246" max="10247" width="9.5703125" style="207" bestFit="1" customWidth="1"/>
    <col min="10248" max="10248" width="10.42578125" style="207" bestFit="1" customWidth="1"/>
    <col min="10249" max="10249" width="4.5703125" style="207" customWidth="1"/>
    <col min="10250" max="10250" width="1.85546875" style="207" customWidth="1"/>
    <col min="10251" max="10251" width="7" style="207" bestFit="1" customWidth="1"/>
    <col min="10252" max="10252" width="6.28515625" style="207" customWidth="1"/>
    <col min="10253" max="10253" width="20.42578125" style="207" customWidth="1"/>
    <col min="10254" max="10254" width="6.42578125" style="207" bestFit="1" customWidth="1"/>
    <col min="10255" max="10256" width="8.42578125" style="207"/>
    <col min="10257" max="10257" width="3.28515625" style="207" customWidth="1"/>
    <col min="10258" max="10496" width="8.42578125" style="207"/>
    <col min="10497" max="10497" width="10" style="207" bestFit="1" customWidth="1"/>
    <col min="10498" max="10498" width="44.28515625" style="207" bestFit="1" customWidth="1"/>
    <col min="10499" max="10499" width="10.42578125" style="207" bestFit="1" customWidth="1"/>
    <col min="10500" max="10500" width="10.42578125" style="207" customWidth="1"/>
    <col min="10501" max="10501" width="9.7109375" style="207" bestFit="1" customWidth="1"/>
    <col min="10502" max="10503" width="9.5703125" style="207" bestFit="1" customWidth="1"/>
    <col min="10504" max="10504" width="10.42578125" style="207" bestFit="1" customWidth="1"/>
    <col min="10505" max="10505" width="4.5703125" style="207" customWidth="1"/>
    <col min="10506" max="10506" width="1.85546875" style="207" customWidth="1"/>
    <col min="10507" max="10507" width="7" style="207" bestFit="1" customWidth="1"/>
    <col min="10508" max="10508" width="6.28515625" style="207" customWidth="1"/>
    <col min="10509" max="10509" width="20.42578125" style="207" customWidth="1"/>
    <col min="10510" max="10510" width="6.42578125" style="207" bestFit="1" customWidth="1"/>
    <col min="10511" max="10512" width="8.42578125" style="207"/>
    <col min="10513" max="10513" width="3.28515625" style="207" customWidth="1"/>
    <col min="10514" max="10752" width="8.42578125" style="207"/>
    <col min="10753" max="10753" width="10" style="207" bestFit="1" customWidth="1"/>
    <col min="10754" max="10754" width="44.28515625" style="207" bestFit="1" customWidth="1"/>
    <col min="10755" max="10755" width="10.42578125" style="207" bestFit="1" customWidth="1"/>
    <col min="10756" max="10756" width="10.42578125" style="207" customWidth="1"/>
    <col min="10757" max="10757" width="9.7109375" style="207" bestFit="1" customWidth="1"/>
    <col min="10758" max="10759" width="9.5703125" style="207" bestFit="1" customWidth="1"/>
    <col min="10760" max="10760" width="10.42578125" style="207" bestFit="1" customWidth="1"/>
    <col min="10761" max="10761" width="4.5703125" style="207" customWidth="1"/>
    <col min="10762" max="10762" width="1.85546875" style="207" customWidth="1"/>
    <col min="10763" max="10763" width="7" style="207" bestFit="1" customWidth="1"/>
    <col min="10764" max="10764" width="6.28515625" style="207" customWidth="1"/>
    <col min="10765" max="10765" width="20.42578125" style="207" customWidth="1"/>
    <col min="10766" max="10766" width="6.42578125" style="207" bestFit="1" customWidth="1"/>
    <col min="10767" max="10768" width="8.42578125" style="207"/>
    <col min="10769" max="10769" width="3.28515625" style="207" customWidth="1"/>
    <col min="10770" max="11008" width="8.42578125" style="207"/>
    <col min="11009" max="11009" width="10" style="207" bestFit="1" customWidth="1"/>
    <col min="11010" max="11010" width="44.28515625" style="207" bestFit="1" customWidth="1"/>
    <col min="11011" max="11011" width="10.42578125" style="207" bestFit="1" customWidth="1"/>
    <col min="11012" max="11012" width="10.42578125" style="207" customWidth="1"/>
    <col min="11013" max="11013" width="9.7109375" style="207" bestFit="1" customWidth="1"/>
    <col min="11014" max="11015" width="9.5703125" style="207" bestFit="1" customWidth="1"/>
    <col min="11016" max="11016" width="10.42578125" style="207" bestFit="1" customWidth="1"/>
    <col min="11017" max="11017" width="4.5703125" style="207" customWidth="1"/>
    <col min="11018" max="11018" width="1.85546875" style="207" customWidth="1"/>
    <col min="11019" max="11019" width="7" style="207" bestFit="1" customWidth="1"/>
    <col min="11020" max="11020" width="6.28515625" style="207" customWidth="1"/>
    <col min="11021" max="11021" width="20.42578125" style="207" customWidth="1"/>
    <col min="11022" max="11022" width="6.42578125" style="207" bestFit="1" customWidth="1"/>
    <col min="11023" max="11024" width="8.42578125" style="207"/>
    <col min="11025" max="11025" width="3.28515625" style="207" customWidth="1"/>
    <col min="11026" max="11264" width="8.42578125" style="207"/>
    <col min="11265" max="11265" width="10" style="207" bestFit="1" customWidth="1"/>
    <col min="11266" max="11266" width="44.28515625" style="207" bestFit="1" customWidth="1"/>
    <col min="11267" max="11267" width="10.42578125" style="207" bestFit="1" customWidth="1"/>
    <col min="11268" max="11268" width="10.42578125" style="207" customWidth="1"/>
    <col min="11269" max="11269" width="9.7109375" style="207" bestFit="1" customWidth="1"/>
    <col min="11270" max="11271" width="9.5703125" style="207" bestFit="1" customWidth="1"/>
    <col min="11272" max="11272" width="10.42578125" style="207" bestFit="1" customWidth="1"/>
    <col min="11273" max="11273" width="4.5703125" style="207" customWidth="1"/>
    <col min="11274" max="11274" width="1.85546875" style="207" customWidth="1"/>
    <col min="11275" max="11275" width="7" style="207" bestFit="1" customWidth="1"/>
    <col min="11276" max="11276" width="6.28515625" style="207" customWidth="1"/>
    <col min="11277" max="11277" width="20.42578125" style="207" customWidth="1"/>
    <col min="11278" max="11278" width="6.42578125" style="207" bestFit="1" customWidth="1"/>
    <col min="11279" max="11280" width="8.42578125" style="207"/>
    <col min="11281" max="11281" width="3.28515625" style="207" customWidth="1"/>
    <col min="11282" max="11520" width="8.42578125" style="207"/>
    <col min="11521" max="11521" width="10" style="207" bestFit="1" customWidth="1"/>
    <col min="11522" max="11522" width="44.28515625" style="207" bestFit="1" customWidth="1"/>
    <col min="11523" max="11523" width="10.42578125" style="207" bestFit="1" customWidth="1"/>
    <col min="11524" max="11524" width="10.42578125" style="207" customWidth="1"/>
    <col min="11525" max="11525" width="9.7109375" style="207" bestFit="1" customWidth="1"/>
    <col min="11526" max="11527" width="9.5703125" style="207" bestFit="1" customWidth="1"/>
    <col min="11528" max="11528" width="10.42578125" style="207" bestFit="1" customWidth="1"/>
    <col min="11529" max="11529" width="4.5703125" style="207" customWidth="1"/>
    <col min="11530" max="11530" width="1.85546875" style="207" customWidth="1"/>
    <col min="11531" max="11531" width="7" style="207" bestFit="1" customWidth="1"/>
    <col min="11532" max="11532" width="6.28515625" style="207" customWidth="1"/>
    <col min="11533" max="11533" width="20.42578125" style="207" customWidth="1"/>
    <col min="11534" max="11534" width="6.42578125" style="207" bestFit="1" customWidth="1"/>
    <col min="11535" max="11536" width="8.42578125" style="207"/>
    <col min="11537" max="11537" width="3.28515625" style="207" customWidth="1"/>
    <col min="11538" max="11776" width="8.42578125" style="207"/>
    <col min="11777" max="11777" width="10" style="207" bestFit="1" customWidth="1"/>
    <col min="11778" max="11778" width="44.28515625" style="207" bestFit="1" customWidth="1"/>
    <col min="11779" max="11779" width="10.42578125" style="207" bestFit="1" customWidth="1"/>
    <col min="11780" max="11780" width="10.42578125" style="207" customWidth="1"/>
    <col min="11781" max="11781" width="9.7109375" style="207" bestFit="1" customWidth="1"/>
    <col min="11782" max="11783" width="9.5703125" style="207" bestFit="1" customWidth="1"/>
    <col min="11784" max="11784" width="10.42578125" style="207" bestFit="1" customWidth="1"/>
    <col min="11785" max="11785" width="4.5703125" style="207" customWidth="1"/>
    <col min="11786" max="11786" width="1.85546875" style="207" customWidth="1"/>
    <col min="11787" max="11787" width="7" style="207" bestFit="1" customWidth="1"/>
    <col min="11788" max="11788" width="6.28515625" style="207" customWidth="1"/>
    <col min="11789" max="11789" width="20.42578125" style="207" customWidth="1"/>
    <col min="11790" max="11790" width="6.42578125" style="207" bestFit="1" customWidth="1"/>
    <col min="11791" max="11792" width="8.42578125" style="207"/>
    <col min="11793" max="11793" width="3.28515625" style="207" customWidth="1"/>
    <col min="11794" max="12032" width="8.42578125" style="207"/>
    <col min="12033" max="12033" width="10" style="207" bestFit="1" customWidth="1"/>
    <col min="12034" max="12034" width="44.28515625" style="207" bestFit="1" customWidth="1"/>
    <col min="12035" max="12035" width="10.42578125" style="207" bestFit="1" customWidth="1"/>
    <col min="12036" max="12036" width="10.42578125" style="207" customWidth="1"/>
    <col min="12037" max="12037" width="9.7109375" style="207" bestFit="1" customWidth="1"/>
    <col min="12038" max="12039" width="9.5703125" style="207" bestFit="1" customWidth="1"/>
    <col min="12040" max="12040" width="10.42578125" style="207" bestFit="1" customWidth="1"/>
    <col min="12041" max="12041" width="4.5703125" style="207" customWidth="1"/>
    <col min="12042" max="12042" width="1.85546875" style="207" customWidth="1"/>
    <col min="12043" max="12043" width="7" style="207" bestFit="1" customWidth="1"/>
    <col min="12044" max="12044" width="6.28515625" style="207" customWidth="1"/>
    <col min="12045" max="12045" width="20.42578125" style="207" customWidth="1"/>
    <col min="12046" max="12046" width="6.42578125" style="207" bestFit="1" customWidth="1"/>
    <col min="12047" max="12048" width="8.42578125" style="207"/>
    <col min="12049" max="12049" width="3.28515625" style="207" customWidth="1"/>
    <col min="12050" max="12288" width="8.42578125" style="207"/>
    <col min="12289" max="12289" width="10" style="207" bestFit="1" customWidth="1"/>
    <col min="12290" max="12290" width="44.28515625" style="207" bestFit="1" customWidth="1"/>
    <col min="12291" max="12291" width="10.42578125" style="207" bestFit="1" customWidth="1"/>
    <col min="12292" max="12292" width="10.42578125" style="207" customWidth="1"/>
    <col min="12293" max="12293" width="9.7109375" style="207" bestFit="1" customWidth="1"/>
    <col min="12294" max="12295" width="9.5703125" style="207" bestFit="1" customWidth="1"/>
    <col min="12296" max="12296" width="10.42578125" style="207" bestFit="1" customWidth="1"/>
    <col min="12297" max="12297" width="4.5703125" style="207" customWidth="1"/>
    <col min="12298" max="12298" width="1.85546875" style="207" customWidth="1"/>
    <col min="12299" max="12299" width="7" style="207" bestFit="1" customWidth="1"/>
    <col min="12300" max="12300" width="6.28515625" style="207" customWidth="1"/>
    <col min="12301" max="12301" width="20.42578125" style="207" customWidth="1"/>
    <col min="12302" max="12302" width="6.42578125" style="207" bestFit="1" customWidth="1"/>
    <col min="12303" max="12304" width="8.42578125" style="207"/>
    <col min="12305" max="12305" width="3.28515625" style="207" customWidth="1"/>
    <col min="12306" max="12544" width="8.42578125" style="207"/>
    <col min="12545" max="12545" width="10" style="207" bestFit="1" customWidth="1"/>
    <col min="12546" max="12546" width="44.28515625" style="207" bestFit="1" customWidth="1"/>
    <col min="12547" max="12547" width="10.42578125" style="207" bestFit="1" customWidth="1"/>
    <col min="12548" max="12548" width="10.42578125" style="207" customWidth="1"/>
    <col min="12549" max="12549" width="9.7109375" style="207" bestFit="1" customWidth="1"/>
    <col min="12550" max="12551" width="9.5703125" style="207" bestFit="1" customWidth="1"/>
    <col min="12552" max="12552" width="10.42578125" style="207" bestFit="1" customWidth="1"/>
    <col min="12553" max="12553" width="4.5703125" style="207" customWidth="1"/>
    <col min="12554" max="12554" width="1.85546875" style="207" customWidth="1"/>
    <col min="12555" max="12555" width="7" style="207" bestFit="1" customWidth="1"/>
    <col min="12556" max="12556" width="6.28515625" style="207" customWidth="1"/>
    <col min="12557" max="12557" width="20.42578125" style="207" customWidth="1"/>
    <col min="12558" max="12558" width="6.42578125" style="207" bestFit="1" customWidth="1"/>
    <col min="12559" max="12560" width="8.42578125" style="207"/>
    <col min="12561" max="12561" width="3.28515625" style="207" customWidth="1"/>
    <col min="12562" max="12800" width="8.42578125" style="207"/>
    <col min="12801" max="12801" width="10" style="207" bestFit="1" customWidth="1"/>
    <col min="12802" max="12802" width="44.28515625" style="207" bestFit="1" customWidth="1"/>
    <col min="12803" max="12803" width="10.42578125" style="207" bestFit="1" customWidth="1"/>
    <col min="12804" max="12804" width="10.42578125" style="207" customWidth="1"/>
    <col min="12805" max="12805" width="9.7109375" style="207" bestFit="1" customWidth="1"/>
    <col min="12806" max="12807" width="9.5703125" style="207" bestFit="1" customWidth="1"/>
    <col min="12808" max="12808" width="10.42578125" style="207" bestFit="1" customWidth="1"/>
    <col min="12809" max="12809" width="4.5703125" style="207" customWidth="1"/>
    <col min="12810" max="12810" width="1.85546875" style="207" customWidth="1"/>
    <col min="12811" max="12811" width="7" style="207" bestFit="1" customWidth="1"/>
    <col min="12812" max="12812" width="6.28515625" style="207" customWidth="1"/>
    <col min="12813" max="12813" width="20.42578125" style="207" customWidth="1"/>
    <col min="12814" max="12814" width="6.42578125" style="207" bestFit="1" customWidth="1"/>
    <col min="12815" max="12816" width="8.42578125" style="207"/>
    <col min="12817" max="12817" width="3.28515625" style="207" customWidth="1"/>
    <col min="12818" max="13056" width="8.42578125" style="207"/>
    <col min="13057" max="13057" width="10" style="207" bestFit="1" customWidth="1"/>
    <col min="13058" max="13058" width="44.28515625" style="207" bestFit="1" customWidth="1"/>
    <col min="13059" max="13059" width="10.42578125" style="207" bestFit="1" customWidth="1"/>
    <col min="13060" max="13060" width="10.42578125" style="207" customWidth="1"/>
    <col min="13061" max="13061" width="9.7109375" style="207" bestFit="1" customWidth="1"/>
    <col min="13062" max="13063" width="9.5703125" style="207" bestFit="1" customWidth="1"/>
    <col min="13064" max="13064" width="10.42578125" style="207" bestFit="1" customWidth="1"/>
    <col min="13065" max="13065" width="4.5703125" style="207" customWidth="1"/>
    <col min="13066" max="13066" width="1.85546875" style="207" customWidth="1"/>
    <col min="13067" max="13067" width="7" style="207" bestFit="1" customWidth="1"/>
    <col min="13068" max="13068" width="6.28515625" style="207" customWidth="1"/>
    <col min="13069" max="13069" width="20.42578125" style="207" customWidth="1"/>
    <col min="13070" max="13070" width="6.42578125" style="207" bestFit="1" customWidth="1"/>
    <col min="13071" max="13072" width="8.42578125" style="207"/>
    <col min="13073" max="13073" width="3.28515625" style="207" customWidth="1"/>
    <col min="13074" max="13312" width="8.42578125" style="207"/>
    <col min="13313" max="13313" width="10" style="207" bestFit="1" customWidth="1"/>
    <col min="13314" max="13314" width="44.28515625" style="207" bestFit="1" customWidth="1"/>
    <col min="13315" max="13315" width="10.42578125" style="207" bestFit="1" customWidth="1"/>
    <col min="13316" max="13316" width="10.42578125" style="207" customWidth="1"/>
    <col min="13317" max="13317" width="9.7109375" style="207" bestFit="1" customWidth="1"/>
    <col min="13318" max="13319" width="9.5703125" style="207" bestFit="1" customWidth="1"/>
    <col min="13320" max="13320" width="10.42578125" style="207" bestFit="1" customWidth="1"/>
    <col min="13321" max="13321" width="4.5703125" style="207" customWidth="1"/>
    <col min="13322" max="13322" width="1.85546875" style="207" customWidth="1"/>
    <col min="13323" max="13323" width="7" style="207" bestFit="1" customWidth="1"/>
    <col min="13324" max="13324" width="6.28515625" style="207" customWidth="1"/>
    <col min="13325" max="13325" width="20.42578125" style="207" customWidth="1"/>
    <col min="13326" max="13326" width="6.42578125" style="207" bestFit="1" customWidth="1"/>
    <col min="13327" max="13328" width="8.42578125" style="207"/>
    <col min="13329" max="13329" width="3.28515625" style="207" customWidth="1"/>
    <col min="13330" max="13568" width="8.42578125" style="207"/>
    <col min="13569" max="13569" width="10" style="207" bestFit="1" customWidth="1"/>
    <col min="13570" max="13570" width="44.28515625" style="207" bestFit="1" customWidth="1"/>
    <col min="13571" max="13571" width="10.42578125" style="207" bestFit="1" customWidth="1"/>
    <col min="13572" max="13572" width="10.42578125" style="207" customWidth="1"/>
    <col min="13573" max="13573" width="9.7109375" style="207" bestFit="1" customWidth="1"/>
    <col min="13574" max="13575" width="9.5703125" style="207" bestFit="1" customWidth="1"/>
    <col min="13576" max="13576" width="10.42578125" style="207" bestFit="1" customWidth="1"/>
    <col min="13577" max="13577" width="4.5703125" style="207" customWidth="1"/>
    <col min="13578" max="13578" width="1.85546875" style="207" customWidth="1"/>
    <col min="13579" max="13579" width="7" style="207" bestFit="1" customWidth="1"/>
    <col min="13580" max="13580" width="6.28515625" style="207" customWidth="1"/>
    <col min="13581" max="13581" width="20.42578125" style="207" customWidth="1"/>
    <col min="13582" max="13582" width="6.42578125" style="207" bestFit="1" customWidth="1"/>
    <col min="13583" max="13584" width="8.42578125" style="207"/>
    <col min="13585" max="13585" width="3.28515625" style="207" customWidth="1"/>
    <col min="13586" max="13824" width="8.42578125" style="207"/>
    <col min="13825" max="13825" width="10" style="207" bestFit="1" customWidth="1"/>
    <col min="13826" max="13826" width="44.28515625" style="207" bestFit="1" customWidth="1"/>
    <col min="13827" max="13827" width="10.42578125" style="207" bestFit="1" customWidth="1"/>
    <col min="13828" max="13828" width="10.42578125" style="207" customWidth="1"/>
    <col min="13829" max="13829" width="9.7109375" style="207" bestFit="1" customWidth="1"/>
    <col min="13830" max="13831" width="9.5703125" style="207" bestFit="1" customWidth="1"/>
    <col min="13832" max="13832" width="10.42578125" style="207" bestFit="1" customWidth="1"/>
    <col min="13833" max="13833" width="4.5703125" style="207" customWidth="1"/>
    <col min="13834" max="13834" width="1.85546875" style="207" customWidth="1"/>
    <col min="13835" max="13835" width="7" style="207" bestFit="1" customWidth="1"/>
    <col min="13836" max="13836" width="6.28515625" style="207" customWidth="1"/>
    <col min="13837" max="13837" width="20.42578125" style="207" customWidth="1"/>
    <col min="13838" max="13838" width="6.42578125" style="207" bestFit="1" customWidth="1"/>
    <col min="13839" max="13840" width="8.42578125" style="207"/>
    <col min="13841" max="13841" width="3.28515625" style="207" customWidth="1"/>
    <col min="13842" max="14080" width="8.42578125" style="207"/>
    <col min="14081" max="14081" width="10" style="207" bestFit="1" customWidth="1"/>
    <col min="14082" max="14082" width="44.28515625" style="207" bestFit="1" customWidth="1"/>
    <col min="14083" max="14083" width="10.42578125" style="207" bestFit="1" customWidth="1"/>
    <col min="14084" max="14084" width="10.42578125" style="207" customWidth="1"/>
    <col min="14085" max="14085" width="9.7109375" style="207" bestFit="1" customWidth="1"/>
    <col min="14086" max="14087" width="9.5703125" style="207" bestFit="1" customWidth="1"/>
    <col min="14088" max="14088" width="10.42578125" style="207" bestFit="1" customWidth="1"/>
    <col min="14089" max="14089" width="4.5703125" style="207" customWidth="1"/>
    <col min="14090" max="14090" width="1.85546875" style="207" customWidth="1"/>
    <col min="14091" max="14091" width="7" style="207" bestFit="1" customWidth="1"/>
    <col min="14092" max="14092" width="6.28515625" style="207" customWidth="1"/>
    <col min="14093" max="14093" width="20.42578125" style="207" customWidth="1"/>
    <col min="14094" max="14094" width="6.42578125" style="207" bestFit="1" customWidth="1"/>
    <col min="14095" max="14096" width="8.42578125" style="207"/>
    <col min="14097" max="14097" width="3.28515625" style="207" customWidth="1"/>
    <col min="14098" max="14336" width="8.42578125" style="207"/>
    <col min="14337" max="14337" width="10" style="207" bestFit="1" customWidth="1"/>
    <col min="14338" max="14338" width="44.28515625" style="207" bestFit="1" customWidth="1"/>
    <col min="14339" max="14339" width="10.42578125" style="207" bestFit="1" customWidth="1"/>
    <col min="14340" max="14340" width="10.42578125" style="207" customWidth="1"/>
    <col min="14341" max="14341" width="9.7109375" style="207" bestFit="1" customWidth="1"/>
    <col min="14342" max="14343" width="9.5703125" style="207" bestFit="1" customWidth="1"/>
    <col min="14344" max="14344" width="10.42578125" style="207" bestFit="1" customWidth="1"/>
    <col min="14345" max="14345" width="4.5703125" style="207" customWidth="1"/>
    <col min="14346" max="14346" width="1.85546875" style="207" customWidth="1"/>
    <col min="14347" max="14347" width="7" style="207" bestFit="1" customWidth="1"/>
    <col min="14348" max="14348" width="6.28515625" style="207" customWidth="1"/>
    <col min="14349" max="14349" width="20.42578125" style="207" customWidth="1"/>
    <col min="14350" max="14350" width="6.42578125" style="207" bestFit="1" customWidth="1"/>
    <col min="14351" max="14352" width="8.42578125" style="207"/>
    <col min="14353" max="14353" width="3.28515625" style="207" customWidth="1"/>
    <col min="14354" max="14592" width="8.42578125" style="207"/>
    <col min="14593" max="14593" width="10" style="207" bestFit="1" customWidth="1"/>
    <col min="14594" max="14594" width="44.28515625" style="207" bestFit="1" customWidth="1"/>
    <col min="14595" max="14595" width="10.42578125" style="207" bestFit="1" customWidth="1"/>
    <col min="14596" max="14596" width="10.42578125" style="207" customWidth="1"/>
    <col min="14597" max="14597" width="9.7109375" style="207" bestFit="1" customWidth="1"/>
    <col min="14598" max="14599" width="9.5703125" style="207" bestFit="1" customWidth="1"/>
    <col min="14600" max="14600" width="10.42578125" style="207" bestFit="1" customWidth="1"/>
    <col min="14601" max="14601" width="4.5703125" style="207" customWidth="1"/>
    <col min="14602" max="14602" width="1.85546875" style="207" customWidth="1"/>
    <col min="14603" max="14603" width="7" style="207" bestFit="1" customWidth="1"/>
    <col min="14604" max="14604" width="6.28515625" style="207" customWidth="1"/>
    <col min="14605" max="14605" width="20.42578125" style="207" customWidth="1"/>
    <col min="14606" max="14606" width="6.42578125" style="207" bestFit="1" customWidth="1"/>
    <col min="14607" max="14608" width="8.42578125" style="207"/>
    <col min="14609" max="14609" width="3.28515625" style="207" customWidth="1"/>
    <col min="14610" max="14848" width="8.42578125" style="207"/>
    <col min="14849" max="14849" width="10" style="207" bestFit="1" customWidth="1"/>
    <col min="14850" max="14850" width="44.28515625" style="207" bestFit="1" customWidth="1"/>
    <col min="14851" max="14851" width="10.42578125" style="207" bestFit="1" customWidth="1"/>
    <col min="14852" max="14852" width="10.42578125" style="207" customWidth="1"/>
    <col min="14853" max="14853" width="9.7109375" style="207" bestFit="1" customWidth="1"/>
    <col min="14854" max="14855" width="9.5703125" style="207" bestFit="1" customWidth="1"/>
    <col min="14856" max="14856" width="10.42578125" style="207" bestFit="1" customWidth="1"/>
    <col min="14857" max="14857" width="4.5703125" style="207" customWidth="1"/>
    <col min="14858" max="14858" width="1.85546875" style="207" customWidth="1"/>
    <col min="14859" max="14859" width="7" style="207" bestFit="1" customWidth="1"/>
    <col min="14860" max="14860" width="6.28515625" style="207" customWidth="1"/>
    <col min="14861" max="14861" width="20.42578125" style="207" customWidth="1"/>
    <col min="14862" max="14862" width="6.42578125" style="207" bestFit="1" customWidth="1"/>
    <col min="14863" max="14864" width="8.42578125" style="207"/>
    <col min="14865" max="14865" width="3.28515625" style="207" customWidth="1"/>
    <col min="14866" max="15104" width="8.42578125" style="207"/>
    <col min="15105" max="15105" width="10" style="207" bestFit="1" customWidth="1"/>
    <col min="15106" max="15106" width="44.28515625" style="207" bestFit="1" customWidth="1"/>
    <col min="15107" max="15107" width="10.42578125" style="207" bestFit="1" customWidth="1"/>
    <col min="15108" max="15108" width="10.42578125" style="207" customWidth="1"/>
    <col min="15109" max="15109" width="9.7109375" style="207" bestFit="1" customWidth="1"/>
    <col min="15110" max="15111" width="9.5703125" style="207" bestFit="1" customWidth="1"/>
    <col min="15112" max="15112" width="10.42578125" style="207" bestFit="1" customWidth="1"/>
    <col min="15113" max="15113" width="4.5703125" style="207" customWidth="1"/>
    <col min="15114" max="15114" width="1.85546875" style="207" customWidth="1"/>
    <col min="15115" max="15115" width="7" style="207" bestFit="1" customWidth="1"/>
    <col min="15116" max="15116" width="6.28515625" style="207" customWidth="1"/>
    <col min="15117" max="15117" width="20.42578125" style="207" customWidth="1"/>
    <col min="15118" max="15118" width="6.42578125" style="207" bestFit="1" customWidth="1"/>
    <col min="15119" max="15120" width="8.42578125" style="207"/>
    <col min="15121" max="15121" width="3.28515625" style="207" customWidth="1"/>
    <col min="15122" max="15360" width="8.42578125" style="207"/>
    <col min="15361" max="15361" width="10" style="207" bestFit="1" customWidth="1"/>
    <col min="15362" max="15362" width="44.28515625" style="207" bestFit="1" customWidth="1"/>
    <col min="15363" max="15363" width="10.42578125" style="207" bestFit="1" customWidth="1"/>
    <col min="15364" max="15364" width="10.42578125" style="207" customWidth="1"/>
    <col min="15365" max="15365" width="9.7109375" style="207" bestFit="1" customWidth="1"/>
    <col min="15366" max="15367" width="9.5703125" style="207" bestFit="1" customWidth="1"/>
    <col min="15368" max="15368" width="10.42578125" style="207" bestFit="1" customWidth="1"/>
    <col min="15369" max="15369" width="4.5703125" style="207" customWidth="1"/>
    <col min="15370" max="15370" width="1.85546875" style="207" customWidth="1"/>
    <col min="15371" max="15371" width="7" style="207" bestFit="1" customWidth="1"/>
    <col min="15372" max="15372" width="6.28515625" style="207" customWidth="1"/>
    <col min="15373" max="15373" width="20.42578125" style="207" customWidth="1"/>
    <col min="15374" max="15374" width="6.42578125" style="207" bestFit="1" customWidth="1"/>
    <col min="15375" max="15376" width="8.42578125" style="207"/>
    <col min="15377" max="15377" width="3.28515625" style="207" customWidth="1"/>
    <col min="15378" max="15616" width="8.42578125" style="207"/>
    <col min="15617" max="15617" width="10" style="207" bestFit="1" customWidth="1"/>
    <col min="15618" max="15618" width="44.28515625" style="207" bestFit="1" customWidth="1"/>
    <col min="15619" max="15619" width="10.42578125" style="207" bestFit="1" customWidth="1"/>
    <col min="15620" max="15620" width="10.42578125" style="207" customWidth="1"/>
    <col min="15621" max="15621" width="9.7109375" style="207" bestFit="1" customWidth="1"/>
    <col min="15622" max="15623" width="9.5703125" style="207" bestFit="1" customWidth="1"/>
    <col min="15624" max="15624" width="10.42578125" style="207" bestFit="1" customWidth="1"/>
    <col min="15625" max="15625" width="4.5703125" style="207" customWidth="1"/>
    <col min="15626" max="15626" width="1.85546875" style="207" customWidth="1"/>
    <col min="15627" max="15627" width="7" style="207" bestFit="1" customWidth="1"/>
    <col min="15628" max="15628" width="6.28515625" style="207" customWidth="1"/>
    <col min="15629" max="15629" width="20.42578125" style="207" customWidth="1"/>
    <col min="15630" max="15630" width="6.42578125" style="207" bestFit="1" customWidth="1"/>
    <col min="15631" max="15632" width="8.42578125" style="207"/>
    <col min="15633" max="15633" width="3.28515625" style="207" customWidth="1"/>
    <col min="15634" max="15872" width="8.42578125" style="207"/>
    <col min="15873" max="15873" width="10" style="207" bestFit="1" customWidth="1"/>
    <col min="15874" max="15874" width="44.28515625" style="207" bestFit="1" customWidth="1"/>
    <col min="15875" max="15875" width="10.42578125" style="207" bestFit="1" customWidth="1"/>
    <col min="15876" max="15876" width="10.42578125" style="207" customWidth="1"/>
    <col min="15877" max="15877" width="9.7109375" style="207" bestFit="1" customWidth="1"/>
    <col min="15878" max="15879" width="9.5703125" style="207" bestFit="1" customWidth="1"/>
    <col min="15880" max="15880" width="10.42578125" style="207" bestFit="1" customWidth="1"/>
    <col min="15881" max="15881" width="4.5703125" style="207" customWidth="1"/>
    <col min="15882" max="15882" width="1.85546875" style="207" customWidth="1"/>
    <col min="15883" max="15883" width="7" style="207" bestFit="1" customWidth="1"/>
    <col min="15884" max="15884" width="6.28515625" style="207" customWidth="1"/>
    <col min="15885" max="15885" width="20.42578125" style="207" customWidth="1"/>
    <col min="15886" max="15886" width="6.42578125" style="207" bestFit="1" customWidth="1"/>
    <col min="15887" max="15888" width="8.42578125" style="207"/>
    <col min="15889" max="15889" width="3.28515625" style="207" customWidth="1"/>
    <col min="15890" max="16128" width="8.42578125" style="207"/>
    <col min="16129" max="16129" width="10" style="207" bestFit="1" customWidth="1"/>
    <col min="16130" max="16130" width="44.28515625" style="207" bestFit="1" customWidth="1"/>
    <col min="16131" max="16131" width="10.42578125" style="207" bestFit="1" customWidth="1"/>
    <col min="16132" max="16132" width="10.42578125" style="207" customWidth="1"/>
    <col min="16133" max="16133" width="9.7109375" style="207" bestFit="1" customWidth="1"/>
    <col min="16134" max="16135" width="9.5703125" style="207" bestFit="1" customWidth="1"/>
    <col min="16136" max="16136" width="10.42578125" style="207" bestFit="1" customWidth="1"/>
    <col min="16137" max="16137" width="4.5703125" style="207" customWidth="1"/>
    <col min="16138" max="16138" width="1.85546875" style="207" customWidth="1"/>
    <col min="16139" max="16139" width="7" style="207" bestFit="1" customWidth="1"/>
    <col min="16140" max="16140" width="6.28515625" style="207" customWidth="1"/>
    <col min="16141" max="16141" width="20.42578125" style="207" customWidth="1"/>
    <col min="16142" max="16142" width="6.42578125" style="207" bestFit="1" customWidth="1"/>
    <col min="16143" max="16144" width="8.42578125" style="207"/>
    <col min="16145" max="16145" width="3.28515625" style="207" customWidth="1"/>
    <col min="16146" max="16384" width="8.42578125" style="207"/>
  </cols>
  <sheetData>
    <row r="1" spans="1:10" ht="27.75" customHeight="1" x14ac:dyDescent="0.25">
      <c r="A1" s="202"/>
      <c r="B1" s="202"/>
      <c r="C1" s="202"/>
      <c r="D1" s="202"/>
      <c r="E1" s="203" t="s">
        <v>157</v>
      </c>
      <c r="F1" s="204" t="s">
        <v>158</v>
      </c>
      <c r="G1" s="204" t="s">
        <v>159</v>
      </c>
      <c r="H1" s="204" t="s">
        <v>160</v>
      </c>
      <c r="I1" s="205"/>
    </row>
    <row r="2" spans="1:10" ht="30.75" customHeight="1" x14ac:dyDescent="0.25">
      <c r="A2" s="202"/>
      <c r="B2" s="202"/>
      <c r="C2" s="202"/>
      <c r="D2" s="202"/>
      <c r="E2" s="208">
        <f>IFERROR(O62,"")</f>
        <v>1358.528</v>
      </c>
      <c r="F2" s="208">
        <f>IFERROR(H53,"")</f>
        <v>883.4</v>
      </c>
      <c r="G2" s="208">
        <f>IFERROR(H54,"")</f>
        <v>52.128</v>
      </c>
      <c r="H2" s="208">
        <f>IFERROR(H56,"")</f>
        <v>231</v>
      </c>
      <c r="I2" s="209"/>
    </row>
    <row r="3" spans="1:10" ht="15" customHeight="1" x14ac:dyDescent="0.25">
      <c r="A3" s="202"/>
      <c r="B3" s="202"/>
      <c r="C3" s="202"/>
      <c r="D3" s="202"/>
      <c r="E3" s="202"/>
      <c r="F3" s="210"/>
      <c r="G3" s="210"/>
      <c r="H3" s="210"/>
      <c r="I3" s="210"/>
    </row>
    <row r="4" spans="1:10" ht="24.75" customHeight="1" thickBot="1" x14ac:dyDescent="0.3">
      <c r="A4" s="880"/>
      <c r="B4" s="880"/>
      <c r="C4" s="880"/>
      <c r="D4" s="880"/>
      <c r="E4" s="880"/>
      <c r="F4" s="880"/>
      <c r="G4" s="880"/>
      <c r="H4" s="880"/>
      <c r="I4" s="211"/>
    </row>
    <row r="5" spans="1:10" ht="19.5" customHeight="1" thickBot="1" x14ac:dyDescent="0.3">
      <c r="A5" s="881" t="s">
        <v>161</v>
      </c>
      <c r="B5" s="882"/>
      <c r="C5" s="882"/>
      <c r="D5" s="882"/>
      <c r="E5" s="882"/>
      <c r="F5" s="882"/>
      <c r="G5" s="882"/>
      <c r="H5" s="883"/>
      <c r="I5" s="212"/>
    </row>
    <row r="6" spans="1:10" ht="19.5" thickBot="1" x14ac:dyDescent="0.3">
      <c r="A6" s="212"/>
      <c r="B6" s="212"/>
      <c r="C6" s="212"/>
      <c r="D6" s="212"/>
      <c r="E6" s="212"/>
      <c r="F6" s="884" t="s">
        <v>162</v>
      </c>
      <c r="G6" s="884"/>
      <c r="H6" s="213">
        <f ca="1">TODAY()</f>
        <v>46055</v>
      </c>
      <c r="I6" s="213"/>
    </row>
    <row r="7" spans="1:10" ht="26.25" thickBot="1" x14ac:dyDescent="0.3">
      <c r="A7" s="214" t="s">
        <v>163</v>
      </c>
      <c r="B7" s="215" t="s">
        <v>164</v>
      </c>
      <c r="C7" s="215" t="s">
        <v>163</v>
      </c>
      <c r="D7" s="216" t="s">
        <v>165</v>
      </c>
      <c r="E7" s="216" t="s">
        <v>166</v>
      </c>
      <c r="F7" s="216" t="s">
        <v>167</v>
      </c>
      <c r="G7" s="216" t="s">
        <v>168</v>
      </c>
      <c r="H7" s="217" t="s">
        <v>169</v>
      </c>
      <c r="I7" s="218"/>
    </row>
    <row r="8" spans="1:10" ht="13.5" x14ac:dyDescent="0.25">
      <c r="A8" s="219">
        <v>28</v>
      </c>
      <c r="B8" s="207" t="s">
        <v>79</v>
      </c>
      <c r="C8" s="220">
        <f>+A8</f>
        <v>28</v>
      </c>
      <c r="D8" s="221" t="s">
        <v>215</v>
      </c>
      <c r="E8" s="221">
        <v>31.55</v>
      </c>
      <c r="F8" s="221">
        <f>IFERROR(C8*E8,"")</f>
        <v>883.4</v>
      </c>
      <c r="G8" s="222">
        <f t="shared" ref="G8:G14" si="0">IFERROR(F8/$F$66,"")</f>
        <v>0.74599137304973162</v>
      </c>
      <c r="H8" s="223"/>
      <c r="I8" s="223"/>
      <c r="J8" s="224"/>
    </row>
    <row r="9" spans="1:10" ht="13.5" hidden="1" x14ac:dyDescent="0.25">
      <c r="A9" s="219"/>
      <c r="B9" s="207" t="str">
        <f>IFERROR(VLOOKUP(H9,'[1]Consolidado MP Planta'!$A$2:$M$823,3,0),"")</f>
        <v/>
      </c>
      <c r="C9" s="220">
        <f t="shared" ref="C9:C14" si="1">+A9</f>
        <v>0</v>
      </c>
      <c r="D9" s="221" t="str">
        <f>IFERROR(VLOOKUP(H9,'[1]Consolidado MP Planta'!$A$2:$M$823,13,0),"")</f>
        <v/>
      </c>
      <c r="E9" s="221" t="str">
        <f>IFERROR(VLOOKUP(H9,'[1]Consolidado MP Planta'!$A$2:$M$823,12,0),"")</f>
        <v/>
      </c>
      <c r="F9" s="221" t="str">
        <f t="shared" ref="F9:F14" si="2">IFERROR(C9*E9,"")</f>
        <v/>
      </c>
      <c r="G9" s="222" t="str">
        <f t="shared" si="0"/>
        <v/>
      </c>
      <c r="H9" s="223"/>
      <c r="I9" s="223"/>
      <c r="J9" s="224"/>
    </row>
    <row r="10" spans="1:10" ht="13.5" hidden="1" x14ac:dyDescent="0.25">
      <c r="A10" s="219"/>
      <c r="B10" s="207" t="str">
        <f>IFERROR(VLOOKUP(H10,'[1]Consolidado MP Planta'!$A$2:$M$823,3,0),"")</f>
        <v/>
      </c>
      <c r="C10" s="220">
        <f t="shared" si="1"/>
        <v>0</v>
      </c>
      <c r="D10" s="221" t="str">
        <f>IFERROR(VLOOKUP(H10,'[1]Consolidado MP Planta'!$A$2:$M$823,13,0),"")</f>
        <v/>
      </c>
      <c r="E10" s="221" t="str">
        <f>IFERROR(VLOOKUP(H10,'[1]Consolidado MP Planta'!$A$2:$M$823,12,0),"")</f>
        <v/>
      </c>
      <c r="F10" s="221" t="str">
        <f t="shared" si="2"/>
        <v/>
      </c>
      <c r="G10" s="222" t="str">
        <f t="shared" si="0"/>
        <v/>
      </c>
      <c r="H10" s="223"/>
      <c r="I10" s="223"/>
      <c r="J10" s="224"/>
    </row>
    <row r="11" spans="1:10" ht="13.5" hidden="1" x14ac:dyDescent="0.25">
      <c r="A11" s="219"/>
      <c r="B11" s="207" t="str">
        <f>IFERROR(VLOOKUP(H11,'[1]Consolidado MP Planta'!$A$2:$M$823,3,0),"")</f>
        <v/>
      </c>
      <c r="C11" s="220">
        <f t="shared" si="1"/>
        <v>0</v>
      </c>
      <c r="D11" s="221" t="str">
        <f>IFERROR(VLOOKUP(H11,'[1]Consolidado MP Planta'!$A$2:$M$823,13,0),"")</f>
        <v/>
      </c>
      <c r="E11" s="221" t="str">
        <f>IFERROR(VLOOKUP(H11,'[1]Consolidado MP Planta'!$A$2:$M$823,12,0),"")</f>
        <v/>
      </c>
      <c r="F11" s="221" t="str">
        <f t="shared" si="2"/>
        <v/>
      </c>
      <c r="G11" s="222" t="str">
        <f t="shared" si="0"/>
        <v/>
      </c>
      <c r="H11" s="223"/>
      <c r="I11" s="223"/>
      <c r="J11" s="224"/>
    </row>
    <row r="12" spans="1:10" ht="13.5" hidden="1" x14ac:dyDescent="0.25">
      <c r="A12" s="219"/>
      <c r="B12" s="207" t="str">
        <f>IFERROR(VLOOKUP(H12,'[1]Consolidado MP Planta'!$A$2:$M$823,3,0),"")</f>
        <v/>
      </c>
      <c r="C12" s="220">
        <f t="shared" si="1"/>
        <v>0</v>
      </c>
      <c r="D12" s="221" t="str">
        <f>IFERROR(VLOOKUP(H12,'[1]Consolidado MP Planta'!$A$2:$M$823,13,0),"")</f>
        <v/>
      </c>
      <c r="E12" s="221" t="str">
        <f>IFERROR(VLOOKUP(H12,'[1]Consolidado MP Planta'!$A$2:$M$823,12,0),"")</f>
        <v/>
      </c>
      <c r="F12" s="221" t="str">
        <f t="shared" si="2"/>
        <v/>
      </c>
      <c r="G12" s="222" t="str">
        <f t="shared" si="0"/>
        <v/>
      </c>
      <c r="H12" s="223"/>
      <c r="I12" s="223"/>
      <c r="J12" s="224"/>
    </row>
    <row r="13" spans="1:10" ht="13.5" hidden="1" x14ac:dyDescent="0.25">
      <c r="A13" s="219"/>
      <c r="B13" s="207" t="str">
        <f>IFERROR(VLOOKUP(H13,'[1]Consolidado MP Planta'!$A$2:$M$823,3,0),"")</f>
        <v/>
      </c>
      <c r="C13" s="220">
        <f t="shared" si="1"/>
        <v>0</v>
      </c>
      <c r="D13" s="221" t="str">
        <f>IFERROR(VLOOKUP(H13,'[1]Consolidado MP Planta'!$A$2:$M$823,13,0),"")</f>
        <v/>
      </c>
      <c r="E13" s="221" t="str">
        <f>IFERROR(VLOOKUP(H13,'[1]Consolidado MP Planta'!$A$2:$M$823,12,0),"")</f>
        <v/>
      </c>
      <c r="F13" s="221" t="str">
        <f t="shared" si="2"/>
        <v/>
      </c>
      <c r="G13" s="222" t="str">
        <f t="shared" si="0"/>
        <v/>
      </c>
      <c r="H13" s="223"/>
      <c r="I13" s="223"/>
      <c r="J13" s="224"/>
    </row>
    <row r="14" spans="1:10" ht="13.5" hidden="1" x14ac:dyDescent="0.25">
      <c r="A14" s="219"/>
      <c r="B14" s="207" t="str">
        <f>IFERROR(VLOOKUP(H14,'[1]Consolidado MP Planta'!$A$2:$M$823,3,0),"")</f>
        <v/>
      </c>
      <c r="C14" s="220">
        <f t="shared" si="1"/>
        <v>0</v>
      </c>
      <c r="D14" s="221" t="str">
        <f>IFERROR(VLOOKUP(H14,'[1]Consolidado MP Planta'!$A$2:$M$823,13,0),"")</f>
        <v/>
      </c>
      <c r="E14" s="221" t="str">
        <f>IFERROR(VLOOKUP(H14,'[1]Consolidado MP Planta'!$A$2:$M$823,12,0),"")</f>
        <v/>
      </c>
      <c r="F14" s="221" t="str">
        <f t="shared" si="2"/>
        <v/>
      </c>
      <c r="G14" s="222" t="str">
        <f t="shared" si="0"/>
        <v/>
      </c>
      <c r="H14" s="223"/>
      <c r="I14" s="223"/>
      <c r="J14" s="224"/>
    </row>
    <row r="15" spans="1:10" ht="14.25" thickBot="1" x14ac:dyDescent="0.3">
      <c r="A15" s="219"/>
      <c r="B15" s="207" t="str">
        <f>IFERROR(VLOOKUP(H15,'[2]ARTICULOS MP PLANTA'!$A$2:$G$589,2,0),"")</f>
        <v/>
      </c>
      <c r="C15" s="220"/>
      <c r="D15" s="221"/>
      <c r="E15" s="221"/>
      <c r="F15" s="221"/>
      <c r="G15" s="222"/>
      <c r="H15" s="223"/>
      <c r="I15" s="223"/>
      <c r="J15" s="224"/>
    </row>
    <row r="16" spans="1:10" ht="26.25" hidden="1" thickBot="1" x14ac:dyDescent="0.3">
      <c r="A16" s="214" t="s">
        <v>163</v>
      </c>
      <c r="B16" s="215" t="s">
        <v>170</v>
      </c>
      <c r="C16" s="215" t="s">
        <v>163</v>
      </c>
      <c r="D16" s="216" t="s">
        <v>165</v>
      </c>
      <c r="E16" s="216" t="s">
        <v>166</v>
      </c>
      <c r="F16" s="216" t="s">
        <v>167</v>
      </c>
      <c r="G16" s="216" t="s">
        <v>168</v>
      </c>
      <c r="H16" s="217" t="s">
        <v>169</v>
      </c>
      <c r="I16" s="218"/>
      <c r="J16" s="224"/>
    </row>
    <row r="17" spans="1:12" ht="13.5" hidden="1" x14ac:dyDescent="0.25">
      <c r="A17" s="219"/>
      <c r="B17" s="207" t="str">
        <f>IFERROR(VLOOKUP(H17,[1]SEMIELABORADOS!$A$2:$M$6000,2,0),"")</f>
        <v/>
      </c>
      <c r="C17" s="220">
        <f>+A17</f>
        <v>0</v>
      </c>
      <c r="D17" s="220" t="str">
        <f>IFERROR(VLOOKUP(H17,[1]SEMIELABORADOS!$A$2:$M$6000,6,0),"")</f>
        <v/>
      </c>
      <c r="E17" s="221" t="str">
        <f>IFERROR(VLOOKUP(H17,[1]SEMIELABORADOS!$A$2:$H$65536,8,0),"")</f>
        <v/>
      </c>
      <c r="F17" s="221" t="str">
        <f>IFERROR(E17*C17,"")</f>
        <v/>
      </c>
      <c r="G17" s="222" t="str">
        <f t="shared" ref="G17:G24" si="3">IFERROR(F17/$F$66,"")</f>
        <v/>
      </c>
      <c r="H17" s="223"/>
      <c r="I17" s="223"/>
      <c r="J17" s="224"/>
    </row>
    <row r="18" spans="1:12" ht="13.5" hidden="1" x14ac:dyDescent="0.25">
      <c r="A18" s="219"/>
      <c r="B18" s="207" t="str">
        <f>IFERROR(VLOOKUP(H18,[1]SEMIELABORADOS!$A$2:$M$6000,2,0),"")</f>
        <v/>
      </c>
      <c r="C18" s="220">
        <f t="shared" ref="C18:C24" si="4">+A18</f>
        <v>0</v>
      </c>
      <c r="D18" s="220" t="str">
        <f>IFERROR(VLOOKUP(H18,[1]SEMIELABORADOS!$A$2:$M$6000,6,0),"")</f>
        <v/>
      </c>
      <c r="E18" s="221" t="str">
        <f>IFERROR(VLOOKUP(H18,[1]SEMIELABORADOS!$A$2:$H$65536,8,0),"")</f>
        <v/>
      </c>
      <c r="F18" s="221" t="str">
        <f t="shared" ref="F18:F24" si="5">IFERROR(E18*C18,"")</f>
        <v/>
      </c>
      <c r="G18" s="222" t="str">
        <f t="shared" si="3"/>
        <v/>
      </c>
      <c r="H18" s="223"/>
      <c r="I18" s="223"/>
      <c r="J18" s="224"/>
    </row>
    <row r="19" spans="1:12" ht="13.5" hidden="1" x14ac:dyDescent="0.25">
      <c r="A19" s="219"/>
      <c r="B19" s="207" t="str">
        <f>IFERROR(VLOOKUP(H19,[1]SEMIELABORADOS!$A$2:$M$6000,2,0),"")</f>
        <v/>
      </c>
      <c r="C19" s="220">
        <f>+A19</f>
        <v>0</v>
      </c>
      <c r="D19" s="220" t="str">
        <f>IFERROR(VLOOKUP(H19,[1]SEMIELABORADOS!$A$2:$M$6000,6,0),"")</f>
        <v/>
      </c>
      <c r="E19" s="221" t="str">
        <f>IFERROR(VLOOKUP(H19,[1]SEMIELABORADOS!$A$2:$H$65536,8,0),"")</f>
        <v/>
      </c>
      <c r="F19" s="221" t="str">
        <f>IFERROR(E19*C19,"")</f>
        <v/>
      </c>
      <c r="G19" s="222" t="str">
        <f t="shared" si="3"/>
        <v/>
      </c>
      <c r="H19" s="223"/>
      <c r="I19" s="223"/>
      <c r="J19" s="224"/>
    </row>
    <row r="20" spans="1:12" ht="13.5" hidden="1" x14ac:dyDescent="0.25">
      <c r="A20" s="219"/>
      <c r="B20" s="207" t="str">
        <f>IFERROR(VLOOKUP(H20,[1]SEMIELABORADOS!$A$2:$M$6000,2,0),"")</f>
        <v/>
      </c>
      <c r="C20" s="220">
        <f>+A20</f>
        <v>0</v>
      </c>
      <c r="D20" s="220" t="str">
        <f>IFERROR(VLOOKUP(H20,[1]SEMIELABORADOS!$A$2:$M$6000,6,0),"")</f>
        <v/>
      </c>
      <c r="E20" s="221" t="str">
        <f>IFERROR(VLOOKUP(H20,[1]SEMIELABORADOS!$A$2:$H$65536,8,0),"")</f>
        <v/>
      </c>
      <c r="F20" s="221" t="str">
        <f>IFERROR(E20*C20,"")</f>
        <v/>
      </c>
      <c r="G20" s="222" t="str">
        <f t="shared" si="3"/>
        <v/>
      </c>
      <c r="H20" s="223"/>
      <c r="I20" s="223"/>
      <c r="J20" s="224"/>
    </row>
    <row r="21" spans="1:12" ht="13.5" hidden="1" x14ac:dyDescent="0.25">
      <c r="A21" s="219"/>
      <c r="B21" s="207" t="str">
        <f>IFERROR(VLOOKUP(H21,[1]SEMIELABORADOS!$A$2:$M$6000,2,0),"")</f>
        <v/>
      </c>
      <c r="C21" s="220">
        <f>+A21</f>
        <v>0</v>
      </c>
      <c r="D21" s="220" t="str">
        <f>IFERROR(VLOOKUP(H21,[1]SEMIELABORADOS!$A$2:$M$6000,6,0),"")</f>
        <v/>
      </c>
      <c r="E21" s="221" t="str">
        <f>IFERROR(VLOOKUP(H21,[1]SEMIELABORADOS!$A$2:$H$65536,8,0),"")</f>
        <v/>
      </c>
      <c r="F21" s="221" t="str">
        <f>IFERROR(E21*C21,"")</f>
        <v/>
      </c>
      <c r="G21" s="222" t="str">
        <f t="shared" si="3"/>
        <v/>
      </c>
      <c r="H21" s="223"/>
      <c r="I21" s="223"/>
      <c r="J21" s="224"/>
    </row>
    <row r="22" spans="1:12" ht="13.5" hidden="1" x14ac:dyDescent="0.25">
      <c r="A22" s="219"/>
      <c r="B22" s="207" t="str">
        <f>IFERROR(VLOOKUP(H22,[1]SEMIELABORADOS!$A$2:$M$6000,2,0),"")</f>
        <v/>
      </c>
      <c r="C22" s="220">
        <f t="shared" si="4"/>
        <v>0</v>
      </c>
      <c r="D22" s="220" t="str">
        <f>IFERROR(VLOOKUP(H22,[1]SEMIELABORADOS!$A$2:$M$6000,6,0),"")</f>
        <v/>
      </c>
      <c r="E22" s="221" t="str">
        <f>IFERROR(VLOOKUP(H22,[1]SEMIELABORADOS!$A$2:$H$65536,8,0),"")</f>
        <v/>
      </c>
      <c r="F22" s="221" t="str">
        <f t="shared" si="5"/>
        <v/>
      </c>
      <c r="G22" s="222" t="str">
        <f t="shared" si="3"/>
        <v/>
      </c>
      <c r="H22" s="223"/>
      <c r="I22" s="223"/>
      <c r="J22" s="224"/>
    </row>
    <row r="23" spans="1:12" ht="13.5" hidden="1" x14ac:dyDescent="0.25">
      <c r="A23" s="219"/>
      <c r="B23" s="207" t="str">
        <f>IFERROR(VLOOKUP(H23,[1]SEMIELABORADOS!$A$2:$M$6000,2,0),"")</f>
        <v/>
      </c>
      <c r="C23" s="220">
        <f t="shared" si="4"/>
        <v>0</v>
      </c>
      <c r="D23" s="220" t="str">
        <f>IFERROR(VLOOKUP(H23,[1]SEMIELABORADOS!$A$2:$M$6000,6,0),"")</f>
        <v/>
      </c>
      <c r="E23" s="221" t="str">
        <f>IFERROR(VLOOKUP(H23,[1]SEMIELABORADOS!$A$2:$H$65536,8,0),"")</f>
        <v/>
      </c>
      <c r="F23" s="221" t="str">
        <f t="shared" si="5"/>
        <v/>
      </c>
      <c r="G23" s="222" t="str">
        <f t="shared" si="3"/>
        <v/>
      </c>
      <c r="H23" s="223"/>
      <c r="I23" s="223"/>
      <c r="J23" s="224"/>
    </row>
    <row r="24" spans="1:12" ht="13.5" hidden="1" x14ac:dyDescent="0.25">
      <c r="A24" s="219"/>
      <c r="B24" s="207" t="str">
        <f>IFERROR(VLOOKUP(H24,[1]SEMIELABORADOS!$A$2:$M$6000,2,0),"")</f>
        <v/>
      </c>
      <c r="C24" s="220">
        <f t="shared" si="4"/>
        <v>0</v>
      </c>
      <c r="D24" s="220" t="str">
        <f>IFERROR(VLOOKUP(H24,[1]SEMIELABORADOS!$A$2:$M$6000,6,0),"")</f>
        <v/>
      </c>
      <c r="E24" s="221" t="str">
        <f>IFERROR(VLOOKUP(H24,[1]SEMIELABORADOS!$A$2:$H$65536,8,0),"")</f>
        <v/>
      </c>
      <c r="F24" s="221" t="str">
        <f t="shared" si="5"/>
        <v/>
      </c>
      <c r="G24" s="222" t="str">
        <f t="shared" si="3"/>
        <v/>
      </c>
      <c r="H24" s="223"/>
      <c r="I24" s="223"/>
      <c r="J24" s="224"/>
    </row>
    <row r="25" spans="1:12" ht="14.25" hidden="1" thickBot="1" x14ac:dyDescent="0.3">
      <c r="A25" s="219"/>
      <c r="C25" s="220"/>
      <c r="D25" s="220"/>
      <c r="E25" s="221"/>
      <c r="F25" s="221"/>
      <c r="G25" s="222"/>
      <c r="H25" s="223"/>
      <c r="I25" s="223"/>
      <c r="J25" s="224"/>
    </row>
    <row r="26" spans="1:12" ht="26.25" thickBot="1" x14ac:dyDescent="0.3">
      <c r="A26" s="214" t="s">
        <v>163</v>
      </c>
      <c r="B26" s="215" t="s">
        <v>20</v>
      </c>
      <c r="C26" s="215" t="s">
        <v>163</v>
      </c>
      <c r="D26" s="216" t="s">
        <v>165</v>
      </c>
      <c r="E26" s="216" t="s">
        <v>166</v>
      </c>
      <c r="F26" s="216" t="s">
        <v>167</v>
      </c>
      <c r="G26" s="216" t="s">
        <v>168</v>
      </c>
      <c r="H26" s="217" t="s">
        <v>169</v>
      </c>
      <c r="I26" s="218"/>
    </row>
    <row r="27" spans="1:12" ht="13.5" x14ac:dyDescent="0.25">
      <c r="A27" s="219">
        <v>1</v>
      </c>
      <c r="B27" s="225" t="str">
        <f>IFERROR(VLOOKUP(H27,'[1]Consolidado MP Planta'!$A$2:$M$823,3,0),"")</f>
        <v>BOLSA TRANSPARENTE 56X96X1.80 KILO</v>
      </c>
      <c r="C27" s="220">
        <f t="shared" ref="C27:C32" si="6">+A27</f>
        <v>1</v>
      </c>
      <c r="D27" s="221" t="str">
        <f>IFERROR(VLOOKUP(H27,'[1]Consolidado MP Planta'!$A$2:$M$823,13,0),"")</f>
        <v>Und</v>
      </c>
      <c r="E27" s="221">
        <f>IFERROR(VLOOKUP(H27,'[1]Consolidado MP Planta'!$A$2:$M$823,12,0),"")</f>
        <v>50</v>
      </c>
      <c r="F27" s="221">
        <f t="shared" ref="F27:F32" si="7">IFERROR(C27*E27,"")</f>
        <v>50</v>
      </c>
      <c r="G27" s="222">
        <f t="shared" ref="G27:G32" si="8">IFERROR(F27/$F$66,"")</f>
        <v>4.2222740154501455E-2</v>
      </c>
      <c r="H27" s="226" t="s">
        <v>101</v>
      </c>
      <c r="I27" s="226"/>
      <c r="J27" s="224"/>
      <c r="K27" s="874"/>
      <c r="L27" s="874"/>
    </row>
    <row r="28" spans="1:12" ht="13.5" x14ac:dyDescent="0.25">
      <c r="A28" s="219">
        <v>1</v>
      </c>
      <c r="B28" s="225" t="str">
        <f>IFERROR(VLOOKUP(H28,'[1]Consolidado MP Planta'!$A$2:$M$823,3,0),"")</f>
        <v>ETIQUETA BLANCA 2 5/8X1 15/16 (UND)</v>
      </c>
      <c r="C28" s="220">
        <f t="shared" si="6"/>
        <v>1</v>
      </c>
      <c r="D28" s="221" t="str">
        <f>IFERROR(VLOOKUP(H28,'[1]Consolidado MP Planta'!$A$2:$M$823,13,0),"")</f>
        <v>Und</v>
      </c>
      <c r="E28" s="221">
        <f>IFERROR(VLOOKUP(H28,'[1]Consolidado MP Planta'!$A$2:$M$823,12,0),"")</f>
        <v>2.1280000000000001</v>
      </c>
      <c r="F28" s="221">
        <f t="shared" si="7"/>
        <v>2.1280000000000001</v>
      </c>
      <c r="G28" s="222">
        <f t="shared" si="8"/>
        <v>1.7969998209755819E-3</v>
      </c>
      <c r="H28" s="226" t="s">
        <v>58</v>
      </c>
      <c r="I28" s="226"/>
      <c r="J28" s="224"/>
      <c r="K28" s="874"/>
      <c r="L28" s="874"/>
    </row>
    <row r="29" spans="1:12" ht="13.5" hidden="1" x14ac:dyDescent="0.25">
      <c r="A29" s="219"/>
      <c r="B29" s="225" t="str">
        <f>IFERROR(VLOOKUP(H29,'[1]Consolidado MP Planta'!$A$2:$M$823,3,0),"")</f>
        <v/>
      </c>
      <c r="C29" s="220">
        <f t="shared" si="6"/>
        <v>0</v>
      </c>
      <c r="D29" s="221" t="str">
        <f>IFERROR(VLOOKUP(H29,'[1]Consolidado MP Planta'!$A$2:$M$823,13,0),"")</f>
        <v/>
      </c>
      <c r="E29" s="221" t="str">
        <f>IFERROR(VLOOKUP(H29,'[1]Consolidado MP Planta'!$A$2:$M$823,12,0),"")</f>
        <v/>
      </c>
      <c r="F29" s="221" t="str">
        <f t="shared" si="7"/>
        <v/>
      </c>
      <c r="G29" s="222" t="str">
        <f t="shared" si="8"/>
        <v/>
      </c>
      <c r="H29" s="226"/>
      <c r="I29" s="226"/>
      <c r="J29" s="224"/>
      <c r="K29" s="874"/>
      <c r="L29" s="874"/>
    </row>
    <row r="30" spans="1:12" ht="13.5" hidden="1" x14ac:dyDescent="0.25">
      <c r="A30" s="219"/>
      <c r="B30" s="225" t="str">
        <f>IFERROR(VLOOKUP(H30,'[1]Consolidado MP Planta'!$A$2:$M$823,3,0),"")</f>
        <v/>
      </c>
      <c r="C30" s="220">
        <f t="shared" si="6"/>
        <v>0</v>
      </c>
      <c r="D30" s="221" t="str">
        <f>IFERROR(VLOOKUP(H30,'[1]Consolidado MP Planta'!$A$2:$M$823,13,0),"")</f>
        <v/>
      </c>
      <c r="E30" s="221" t="str">
        <f>IFERROR(VLOOKUP(H30,'[1]Consolidado MP Planta'!$A$2:$M$823,12,0),"")</f>
        <v/>
      </c>
      <c r="F30" s="221" t="str">
        <f t="shared" si="7"/>
        <v/>
      </c>
      <c r="G30" s="222" t="str">
        <f t="shared" si="8"/>
        <v/>
      </c>
      <c r="H30" s="226"/>
      <c r="I30" s="226"/>
      <c r="J30" s="224"/>
      <c r="K30" s="874"/>
      <c r="L30" s="874"/>
    </row>
    <row r="31" spans="1:12" ht="13.5" hidden="1" x14ac:dyDescent="0.25">
      <c r="A31" s="219"/>
      <c r="B31" s="225" t="str">
        <f>IFERROR(VLOOKUP(H31,'[1]Consolidado MP Planta'!$A$2:$M$823,3,0),"")</f>
        <v/>
      </c>
      <c r="C31" s="220">
        <f t="shared" si="6"/>
        <v>0</v>
      </c>
      <c r="D31" s="221" t="str">
        <f>IFERROR(VLOOKUP(H31,'[1]Consolidado MP Planta'!$A$2:$M$823,13,0),"")</f>
        <v/>
      </c>
      <c r="E31" s="221" t="str">
        <f>IFERROR(VLOOKUP(H31,'[1]Consolidado MP Planta'!$A$2:$M$823,12,0),"")</f>
        <v/>
      </c>
      <c r="F31" s="221" t="str">
        <f t="shared" si="7"/>
        <v/>
      </c>
      <c r="G31" s="222" t="str">
        <f t="shared" si="8"/>
        <v/>
      </c>
      <c r="H31" s="226"/>
      <c r="I31" s="226"/>
      <c r="J31" s="224"/>
      <c r="K31" s="227"/>
      <c r="L31" s="228"/>
    </row>
    <row r="32" spans="1:12" ht="13.5" hidden="1" x14ac:dyDescent="0.25">
      <c r="A32" s="219"/>
      <c r="B32" s="225" t="str">
        <f>IFERROR(VLOOKUP(H32,'[1]Consolidado MP Planta'!$A$2:$M$823,3,0),"")</f>
        <v/>
      </c>
      <c r="C32" s="220">
        <f t="shared" si="6"/>
        <v>0</v>
      </c>
      <c r="D32" s="221" t="str">
        <f>IFERROR(VLOOKUP(H32,'[1]Consolidado MP Planta'!$A$2:$M$823,13,0),"")</f>
        <v/>
      </c>
      <c r="E32" s="221" t="str">
        <f>IFERROR(VLOOKUP(H32,'[1]Consolidado MP Planta'!$A$2:$M$823,12,0),"")</f>
        <v/>
      </c>
      <c r="F32" s="221" t="str">
        <f t="shared" si="7"/>
        <v/>
      </c>
      <c r="G32" s="222" t="str">
        <f t="shared" si="8"/>
        <v/>
      </c>
      <c r="H32" s="226"/>
      <c r="I32" s="226"/>
      <c r="J32" s="224"/>
    </row>
    <row r="33" spans="1:13" ht="14.25" thickBot="1" x14ac:dyDescent="0.3">
      <c r="A33" s="219"/>
      <c r="B33" s="225"/>
      <c r="C33" s="220"/>
      <c r="D33" s="221"/>
      <c r="E33" s="221"/>
      <c r="F33" s="221"/>
      <c r="G33" s="222"/>
      <c r="H33" s="226"/>
      <c r="I33" s="226"/>
      <c r="J33" s="224"/>
    </row>
    <row r="34" spans="1:13" ht="26.25" hidden="1" thickBot="1" x14ac:dyDescent="0.25">
      <c r="A34" s="214" t="s">
        <v>163</v>
      </c>
      <c r="B34" s="215" t="s">
        <v>171</v>
      </c>
      <c r="C34" s="215" t="s">
        <v>163</v>
      </c>
      <c r="D34" s="216" t="s">
        <v>165</v>
      </c>
      <c r="E34" s="216" t="s">
        <v>166</v>
      </c>
      <c r="F34" s="216" t="s">
        <v>167</v>
      </c>
      <c r="G34" s="216" t="s">
        <v>168</v>
      </c>
      <c r="H34" s="217" t="s">
        <v>169</v>
      </c>
      <c r="I34" s="226"/>
      <c r="J34" s="224"/>
    </row>
    <row r="35" spans="1:13" ht="13.5" hidden="1" x14ac:dyDescent="0.25">
      <c r="A35" s="219">
        <f>+A17</f>
        <v>0</v>
      </c>
      <c r="B35" s="225" t="str">
        <f>IFERROR(VLOOKUP(H35,[1]SEMIELABORADOS!$A$2:$M$6000,2,0),"")</f>
        <v/>
      </c>
      <c r="C35" s="220">
        <f>+A35</f>
        <v>0</v>
      </c>
      <c r="D35" s="221" t="str">
        <f>IFERROR(VLOOKUP(H35,[1]SEMIELABORADOS!$A$2:$M$6000,6,0),"")</f>
        <v/>
      </c>
      <c r="E35" s="221" t="str">
        <f>IFERROR(VLOOKUP(H35,[1]SEMIELABORADOS!$A$2:$M$65536,10,0),"")</f>
        <v/>
      </c>
      <c r="F35" s="221" t="str">
        <f>IFERROR(E35*C35,"")</f>
        <v/>
      </c>
      <c r="G35" s="222" t="str">
        <f t="shared" ref="G35:G41" si="9">IFERROR(F35/$F$66,"")</f>
        <v/>
      </c>
      <c r="H35" s="226"/>
      <c r="I35" s="226"/>
      <c r="J35" s="224"/>
    </row>
    <row r="36" spans="1:13" ht="13.5" hidden="1" x14ac:dyDescent="0.25">
      <c r="A36" s="219">
        <f t="shared" ref="A36:A41" si="10">+A18</f>
        <v>0</v>
      </c>
      <c r="B36" s="225" t="str">
        <f>IFERROR(VLOOKUP(H36,[1]SEMIELABORADOS!$A$2:$M$6000,2,0),"")</f>
        <v/>
      </c>
      <c r="C36" s="220">
        <f t="shared" ref="C36:C41" si="11">+A36</f>
        <v>0</v>
      </c>
      <c r="D36" s="221" t="str">
        <f>IFERROR(VLOOKUP(H36,[1]SEMIELABORADOS!$A$2:$M$6000,6,0),"")</f>
        <v/>
      </c>
      <c r="E36" s="221" t="str">
        <f>IFERROR(VLOOKUP(H36,[1]SEMIELABORADOS!$A$2:$M$65536,10,0),"")</f>
        <v/>
      </c>
      <c r="F36" s="221" t="str">
        <f t="shared" ref="F36:F41" si="12">IFERROR(E36*C36,"")</f>
        <v/>
      </c>
      <c r="G36" s="222" t="str">
        <f t="shared" si="9"/>
        <v/>
      </c>
      <c r="H36" s="226"/>
      <c r="I36" s="226"/>
      <c r="J36" s="224"/>
    </row>
    <row r="37" spans="1:13" ht="13.5" hidden="1" x14ac:dyDescent="0.25">
      <c r="A37" s="219">
        <f t="shared" si="10"/>
        <v>0</v>
      </c>
      <c r="B37" s="225" t="str">
        <f>IFERROR(VLOOKUP(H37,[1]SEMIELABORADOS!$A$2:$M$6000,2,0),"")</f>
        <v/>
      </c>
      <c r="C37" s="220">
        <f t="shared" si="11"/>
        <v>0</v>
      </c>
      <c r="D37" s="221" t="str">
        <f>IFERROR(VLOOKUP(H37,[1]SEMIELABORADOS!$A$2:$M$6000,6,0),"")</f>
        <v/>
      </c>
      <c r="E37" s="221" t="str">
        <f>IFERROR(VLOOKUP(H37,[1]SEMIELABORADOS!$A$2:$M$65536,10,0),"")</f>
        <v/>
      </c>
      <c r="F37" s="221" t="str">
        <f t="shared" si="12"/>
        <v/>
      </c>
      <c r="G37" s="222" t="str">
        <f t="shared" si="9"/>
        <v/>
      </c>
      <c r="H37" s="226"/>
      <c r="I37" s="226"/>
      <c r="J37" s="224"/>
    </row>
    <row r="38" spans="1:13" ht="13.5" hidden="1" x14ac:dyDescent="0.25">
      <c r="A38" s="219">
        <f t="shared" si="10"/>
        <v>0</v>
      </c>
      <c r="B38" s="225" t="str">
        <f>IFERROR(VLOOKUP(H38,[1]SEMIELABORADOS!$A$2:$M$6000,2,0),"")</f>
        <v/>
      </c>
      <c r="C38" s="220">
        <f>+A38</f>
        <v>0</v>
      </c>
      <c r="D38" s="221" t="str">
        <f>IFERROR(VLOOKUP(H38,[1]SEMIELABORADOS!$A$2:$M$6000,6,0),"")</f>
        <v/>
      </c>
      <c r="E38" s="221" t="str">
        <f>IFERROR(VLOOKUP(H38,[1]SEMIELABORADOS!$A$2:$M$65536,10,0),"")</f>
        <v/>
      </c>
      <c r="F38" s="221" t="str">
        <f>IFERROR(E38*C38,"")</f>
        <v/>
      </c>
      <c r="G38" s="222" t="str">
        <f t="shared" si="9"/>
        <v/>
      </c>
      <c r="H38" s="226"/>
      <c r="I38" s="226"/>
      <c r="J38" s="224"/>
    </row>
    <row r="39" spans="1:13" ht="13.5" hidden="1" x14ac:dyDescent="0.25">
      <c r="A39" s="219">
        <f t="shared" si="10"/>
        <v>0</v>
      </c>
      <c r="B39" s="225" t="str">
        <f>IFERROR(VLOOKUP(H39,[1]SEMIELABORADOS!$A$2:$M$6000,2,0),"")</f>
        <v/>
      </c>
      <c r="C39" s="220">
        <f>+A39</f>
        <v>0</v>
      </c>
      <c r="D39" s="221" t="str">
        <f>IFERROR(VLOOKUP(H39,[1]SEMIELABORADOS!$A$2:$M$6000,6,0),"")</f>
        <v/>
      </c>
      <c r="E39" s="221" t="str">
        <f>IFERROR(VLOOKUP(H39,[1]SEMIELABORADOS!$A$2:$M$65536,10,0),"")</f>
        <v/>
      </c>
      <c r="F39" s="221" t="str">
        <f>IFERROR(E39*C39,"")</f>
        <v/>
      </c>
      <c r="G39" s="222" t="str">
        <f t="shared" si="9"/>
        <v/>
      </c>
      <c r="H39" s="226"/>
      <c r="I39" s="226"/>
      <c r="J39" s="224"/>
    </row>
    <row r="40" spans="1:13" ht="13.5" hidden="1" x14ac:dyDescent="0.25">
      <c r="A40" s="219">
        <f t="shared" si="10"/>
        <v>0</v>
      </c>
      <c r="B40" s="225" t="str">
        <f>IFERROR(VLOOKUP(H40,[1]SEMIELABORADOS!$A$2:$M$6000,2,0),"")</f>
        <v/>
      </c>
      <c r="C40" s="220">
        <f t="shared" si="11"/>
        <v>0</v>
      </c>
      <c r="D40" s="221" t="str">
        <f>IFERROR(VLOOKUP(H40,[1]SEMIELABORADOS!$A$2:$M$6000,6,0),"")</f>
        <v/>
      </c>
      <c r="E40" s="221" t="str">
        <f>IFERROR(VLOOKUP(H40,[1]SEMIELABORADOS!$A$2:$M$65536,10,0),"")</f>
        <v/>
      </c>
      <c r="F40" s="221" t="str">
        <f t="shared" si="12"/>
        <v/>
      </c>
      <c r="G40" s="222" t="str">
        <f t="shared" si="9"/>
        <v/>
      </c>
      <c r="H40" s="226"/>
      <c r="I40" s="226"/>
      <c r="J40" s="224"/>
    </row>
    <row r="41" spans="1:13" ht="13.5" hidden="1" x14ac:dyDescent="0.25">
      <c r="A41" s="219">
        <f t="shared" si="10"/>
        <v>0</v>
      </c>
      <c r="B41" s="225" t="str">
        <f>IFERROR(VLOOKUP(H41,[1]SEMIELABORADOS!$A$2:$M$6000,2,0),"")</f>
        <v/>
      </c>
      <c r="C41" s="220">
        <f t="shared" si="11"/>
        <v>0</v>
      </c>
      <c r="D41" s="221" t="str">
        <f>IFERROR(VLOOKUP(H41,[1]SEMIELABORADOS!$A$2:$M$6000,6,0),"")</f>
        <v/>
      </c>
      <c r="E41" s="221" t="str">
        <f>IFERROR(VLOOKUP(H41,[1]SEMIELABORADOS!$A$2:$M$65536,10,0),"")</f>
        <v/>
      </c>
      <c r="F41" s="221" t="str">
        <f t="shared" si="12"/>
        <v/>
      </c>
      <c r="G41" s="222" t="str">
        <f t="shared" si="9"/>
        <v/>
      </c>
      <c r="H41" s="226"/>
      <c r="I41" s="226"/>
      <c r="J41" s="224"/>
    </row>
    <row r="42" spans="1:13" ht="14.25" hidden="1" thickBot="1" x14ac:dyDescent="0.3">
      <c r="A42" s="219"/>
      <c r="B42" s="225"/>
      <c r="C42" s="220"/>
      <c r="D42" s="221"/>
      <c r="E42" s="221"/>
      <c r="F42" s="221"/>
      <c r="G42" s="222"/>
      <c r="H42" s="226"/>
      <c r="I42" s="226"/>
      <c r="J42" s="224"/>
    </row>
    <row r="43" spans="1:13" ht="26.25" thickBot="1" x14ac:dyDescent="0.3">
      <c r="A43" s="214" t="s">
        <v>163</v>
      </c>
      <c r="B43" s="215" t="s">
        <v>172</v>
      </c>
      <c r="C43" s="215" t="s">
        <v>163</v>
      </c>
      <c r="D43" s="216" t="s">
        <v>165</v>
      </c>
      <c r="E43" s="216" t="s">
        <v>166</v>
      </c>
      <c r="F43" s="216" t="s">
        <v>167</v>
      </c>
      <c r="G43" s="216" t="s">
        <v>168</v>
      </c>
      <c r="H43" s="217" t="s">
        <v>169</v>
      </c>
      <c r="I43" s="218"/>
      <c r="J43" s="224"/>
    </row>
    <row r="44" spans="1:13" ht="13.5" hidden="1" x14ac:dyDescent="0.25">
      <c r="A44" s="219">
        <f>+A35</f>
        <v>0</v>
      </c>
      <c r="B44" s="225" t="str">
        <f>IFERROR(VLOOKUP(H44,[1]SEMIELABORADOS!$A$2:$M$6000,2,0),"")</f>
        <v/>
      </c>
      <c r="C44" s="220">
        <f>+A44</f>
        <v>0</v>
      </c>
      <c r="D44" s="221" t="str">
        <f>IFERROR(VLOOKUP(H44,[1]SEMIELABORADOS!$A$2:$M$6000,6,0),"")</f>
        <v/>
      </c>
      <c r="E44" s="221" t="str">
        <f>IFERROR(VLOOKUP(H44,[1]SEMIELABORADOS!$A$2:$M$65536,12,0),"")</f>
        <v/>
      </c>
      <c r="F44" s="221" t="str">
        <f>IFERROR(E44*C44,"")</f>
        <v/>
      </c>
      <c r="G44" s="222" t="str">
        <f>IFERROR(F44/$F$66,"")</f>
        <v/>
      </c>
      <c r="H44" s="226"/>
      <c r="I44" s="218"/>
      <c r="J44" s="224"/>
    </row>
    <row r="45" spans="1:13" ht="13.5" hidden="1" x14ac:dyDescent="0.25">
      <c r="A45" s="219">
        <f t="shared" ref="A45:A50" si="13">+A36</f>
        <v>0</v>
      </c>
      <c r="B45" s="225" t="str">
        <f>IFERROR(VLOOKUP(H45,[1]SEMIELABORADOS!$A$2:$M$6000,2,0),"")</f>
        <v/>
      </c>
      <c r="C45" s="220">
        <f t="shared" ref="C45:C50" si="14">+A45</f>
        <v>0</v>
      </c>
      <c r="D45" s="221" t="str">
        <f>IFERROR(VLOOKUP(H45,[1]SEMIELABORADOS!$A$2:$M$6000,6,0),"")</f>
        <v/>
      </c>
      <c r="E45" s="221" t="str">
        <f>IFERROR(VLOOKUP(H45,[1]SEMIELABORADOS!$A$2:$M$65536,12,0),"")</f>
        <v/>
      </c>
      <c r="F45" s="221" t="str">
        <f t="shared" ref="F45:F50" si="15">IFERROR(E45*C45,"")</f>
        <v/>
      </c>
      <c r="G45" s="222" t="str">
        <f t="shared" ref="G45:G50" si="16">IFERROR(F45/$F$66,"")</f>
        <v/>
      </c>
      <c r="H45" s="226"/>
      <c r="I45" s="218"/>
      <c r="J45" s="224"/>
      <c r="M45" s="229"/>
    </row>
    <row r="46" spans="1:13" ht="13.5" hidden="1" x14ac:dyDescent="0.25">
      <c r="A46" s="219">
        <f t="shared" si="13"/>
        <v>0</v>
      </c>
      <c r="B46" s="225" t="str">
        <f>IFERROR(VLOOKUP(H46,[1]SEMIELABORADOS!$A$2:$M$6000,2,0),"")</f>
        <v/>
      </c>
      <c r="C46" s="220">
        <f t="shared" si="14"/>
        <v>0</v>
      </c>
      <c r="D46" s="221" t="str">
        <f>IFERROR(VLOOKUP(H46,[1]SEMIELABORADOS!$A$2:$M$6000,6,0),"")</f>
        <v/>
      </c>
      <c r="E46" s="221" t="str">
        <f>IFERROR(VLOOKUP(H46,[1]SEMIELABORADOS!$A$2:$M$65536,12,0),"")</f>
        <v/>
      </c>
      <c r="F46" s="221" t="str">
        <f t="shared" si="15"/>
        <v/>
      </c>
      <c r="G46" s="222" t="str">
        <f t="shared" si="16"/>
        <v/>
      </c>
      <c r="H46" s="226"/>
      <c r="I46" s="218"/>
      <c r="J46" s="224"/>
    </row>
    <row r="47" spans="1:13" ht="13.5" hidden="1" x14ac:dyDescent="0.25">
      <c r="A47" s="219">
        <f t="shared" si="13"/>
        <v>0</v>
      </c>
      <c r="B47" s="225" t="str">
        <f>IFERROR(VLOOKUP(H47,[1]SEMIELABORADOS!$A$2:$M$6000,2,0),"")</f>
        <v/>
      </c>
      <c r="C47" s="220">
        <f t="shared" si="14"/>
        <v>0</v>
      </c>
      <c r="D47" s="221" t="str">
        <f>IFERROR(VLOOKUP(H47,[1]SEMIELABORADOS!$A$2:$M$6000,6,0),"")</f>
        <v/>
      </c>
      <c r="E47" s="221" t="str">
        <f>IFERROR(VLOOKUP(H47,[1]SEMIELABORADOS!$A$2:$M$65536,12,0),"")</f>
        <v/>
      </c>
      <c r="F47" s="221" t="str">
        <f t="shared" si="15"/>
        <v/>
      </c>
      <c r="G47" s="222" t="str">
        <f t="shared" si="16"/>
        <v/>
      </c>
      <c r="H47" s="226"/>
      <c r="I47" s="218"/>
      <c r="J47" s="224"/>
    </row>
    <row r="48" spans="1:13" ht="13.5" hidden="1" x14ac:dyDescent="0.25">
      <c r="A48" s="219">
        <f t="shared" si="13"/>
        <v>0</v>
      </c>
      <c r="B48" s="225" t="str">
        <f>IFERROR(VLOOKUP(H48,[1]SEMIELABORADOS!$A$2:$M$6000,2,0),"")</f>
        <v/>
      </c>
      <c r="C48" s="220">
        <f t="shared" si="14"/>
        <v>0</v>
      </c>
      <c r="D48" s="221" t="str">
        <f>IFERROR(VLOOKUP(H48,[1]SEMIELABORADOS!$A$2:$M$6000,6,0),"")</f>
        <v/>
      </c>
      <c r="E48" s="221" t="str">
        <f>IFERROR(VLOOKUP(H48,[1]SEMIELABORADOS!$A$2:$M$65536,12,0),"")</f>
        <v/>
      </c>
      <c r="F48" s="221" t="str">
        <f t="shared" si="15"/>
        <v/>
      </c>
      <c r="G48" s="222" t="str">
        <f t="shared" si="16"/>
        <v/>
      </c>
      <c r="H48" s="226"/>
      <c r="I48" s="218"/>
      <c r="J48" s="224"/>
    </row>
    <row r="49" spans="1:17" ht="13.5" hidden="1" x14ac:dyDescent="0.25">
      <c r="A49" s="219">
        <f t="shared" si="13"/>
        <v>0</v>
      </c>
      <c r="B49" s="225" t="str">
        <f>IFERROR(VLOOKUP(H49,[1]SEMIELABORADOS!$A$2:$M$6000,2,0),"")</f>
        <v/>
      </c>
      <c r="C49" s="220">
        <f t="shared" si="14"/>
        <v>0</v>
      </c>
      <c r="D49" s="221" t="str">
        <f>IFERROR(VLOOKUP(H49,[1]SEMIELABORADOS!$A$2:$M$6000,6,0),"")</f>
        <v/>
      </c>
      <c r="E49" s="221" t="str">
        <f>IFERROR(VLOOKUP(H49,[1]SEMIELABORADOS!$A$2:$M$65536,12,0),"")</f>
        <v/>
      </c>
      <c r="F49" s="221" t="str">
        <f t="shared" si="15"/>
        <v/>
      </c>
      <c r="G49" s="222" t="str">
        <f t="shared" si="16"/>
        <v/>
      </c>
      <c r="H49" s="226"/>
      <c r="I49" s="218"/>
      <c r="J49" s="224"/>
    </row>
    <row r="50" spans="1:17" ht="13.5" hidden="1" x14ac:dyDescent="0.25">
      <c r="A50" s="219">
        <f t="shared" si="13"/>
        <v>0</v>
      </c>
      <c r="B50" s="225" t="str">
        <f>IFERROR(VLOOKUP(H50,[1]SEMIELABORADOS!$A$2:$M$6000,2,0),"")</f>
        <v/>
      </c>
      <c r="C50" s="220">
        <f t="shared" si="14"/>
        <v>0</v>
      </c>
      <c r="D50" s="221" t="str">
        <f>IFERROR(VLOOKUP(H50,[1]SEMIELABORADOS!$A$2:$M$6000,6,0),"")</f>
        <v/>
      </c>
      <c r="E50" s="221" t="str">
        <f>IFERROR(VLOOKUP(H50,[1]SEMIELABORADOS!$A$2:$M$65536,12,0),"")</f>
        <v/>
      </c>
      <c r="F50" s="221" t="str">
        <f t="shared" si="15"/>
        <v/>
      </c>
      <c r="G50" s="222" t="str">
        <f t="shared" si="16"/>
        <v/>
      </c>
      <c r="H50" s="225"/>
      <c r="I50" s="218"/>
      <c r="J50" s="224"/>
    </row>
    <row r="51" spans="1:17" ht="13.5" x14ac:dyDescent="0.25">
      <c r="A51" s="219">
        <v>1</v>
      </c>
      <c r="B51" s="225" t="s">
        <v>173</v>
      </c>
      <c r="C51" s="220">
        <f>+A51</f>
        <v>1</v>
      </c>
      <c r="D51" s="220" t="s">
        <v>174</v>
      </c>
      <c r="E51" s="221">
        <f>+F65</f>
        <v>231</v>
      </c>
      <c r="F51" s="221">
        <f>IFERROR(C51*E51,"")</f>
        <v>231</v>
      </c>
      <c r="G51" s="222">
        <f>IFERROR(F51/$F$66,"")</f>
        <v>0.19506905951379672</v>
      </c>
      <c r="H51" s="230"/>
      <c r="I51" s="230"/>
      <c r="J51" s="224"/>
    </row>
    <row r="52" spans="1:17" ht="14.25" thickBot="1" x14ac:dyDescent="0.3">
      <c r="A52" s="219"/>
      <c r="B52" s="225"/>
      <c r="C52" s="220"/>
      <c r="D52" s="220"/>
      <c r="E52" s="221"/>
      <c r="F52" s="221"/>
      <c r="G52" s="222"/>
      <c r="H52" s="230"/>
      <c r="I52" s="230"/>
      <c r="J52" s="224"/>
    </row>
    <row r="53" spans="1:17" ht="13.5" thickBot="1" x14ac:dyDescent="0.3">
      <c r="A53" s="231"/>
      <c r="B53" s="875" t="s">
        <v>175</v>
      </c>
      <c r="C53" s="875"/>
      <c r="D53" s="875"/>
      <c r="E53" s="875"/>
      <c r="F53" s="233">
        <f>SUM(F8:F14,F17:F24)</f>
        <v>883.4</v>
      </c>
      <c r="G53" s="222">
        <f>+F53/$F$66</f>
        <v>0.74599137304973162</v>
      </c>
      <c r="H53" s="234">
        <f>+F53/$D$60</f>
        <v>883.4</v>
      </c>
      <c r="I53" s="234"/>
      <c r="J53" s="235"/>
      <c r="K53" s="236"/>
      <c r="L53" s="236"/>
      <c r="M53" s="236"/>
      <c r="N53" s="236"/>
      <c r="O53" s="236"/>
      <c r="P53" s="236"/>
      <c r="Q53" s="237"/>
    </row>
    <row r="54" spans="1:17" x14ac:dyDescent="0.2">
      <c r="A54" s="231"/>
      <c r="B54" s="875" t="s">
        <v>176</v>
      </c>
      <c r="C54" s="875"/>
      <c r="D54" s="875"/>
      <c r="E54" s="875"/>
      <c r="F54" s="233">
        <f>SUM(F27:F32,F35:F41)</f>
        <v>52.128</v>
      </c>
      <c r="G54" s="222">
        <f>+F54/$F$66</f>
        <v>4.4019739975477035E-2</v>
      </c>
      <c r="H54" s="234">
        <f>+F54/$D$60</f>
        <v>52.128</v>
      </c>
      <c r="I54" s="234"/>
      <c r="J54" s="238"/>
      <c r="K54" s="876" t="s">
        <v>177</v>
      </c>
      <c r="L54" s="877"/>
      <c r="M54" s="877"/>
      <c r="N54" s="877"/>
      <c r="O54" s="239">
        <f>+F55</f>
        <v>935.52800000000002</v>
      </c>
      <c r="P54" s="239"/>
      <c r="Q54" s="240"/>
    </row>
    <row r="55" spans="1:17" x14ac:dyDescent="0.2">
      <c r="A55" s="231"/>
      <c r="B55" s="875" t="s">
        <v>178</v>
      </c>
      <c r="C55" s="875"/>
      <c r="D55" s="875"/>
      <c r="E55" s="875"/>
      <c r="F55" s="233">
        <f>+F53+F54</f>
        <v>935.52800000000002</v>
      </c>
      <c r="G55" s="222">
        <f>+F55/$F$66</f>
        <v>0.79001111302520877</v>
      </c>
      <c r="H55" s="234">
        <f>+F55/$D$60</f>
        <v>935.52800000000002</v>
      </c>
      <c r="I55" s="234"/>
      <c r="J55" s="241"/>
      <c r="K55" s="242"/>
      <c r="M55" s="243" t="s">
        <v>179</v>
      </c>
      <c r="N55" s="244"/>
      <c r="O55" s="239">
        <f>+H56</f>
        <v>231</v>
      </c>
      <c r="P55" s="239"/>
      <c r="Q55" s="240"/>
    </row>
    <row r="56" spans="1:17" ht="13.5" thickBot="1" x14ac:dyDescent="0.25">
      <c r="A56" s="231"/>
      <c r="B56" s="232"/>
      <c r="C56" s="875" t="s">
        <v>180</v>
      </c>
      <c r="D56" s="875"/>
      <c r="E56" s="875"/>
      <c r="F56" s="233">
        <f>SUM(F44:F51)</f>
        <v>231</v>
      </c>
      <c r="G56" s="222">
        <f>+F56/$F$66</f>
        <v>0.19506905951379672</v>
      </c>
      <c r="H56" s="234">
        <f>+F56/$D$60</f>
        <v>231</v>
      </c>
      <c r="I56" s="234"/>
      <c r="J56" s="241"/>
      <c r="K56" s="242"/>
      <c r="L56" s="242"/>
      <c r="M56" s="242" t="s">
        <v>181</v>
      </c>
      <c r="N56" s="245"/>
      <c r="O56" s="239">
        <f>O54*N56</f>
        <v>0</v>
      </c>
      <c r="P56" s="239"/>
      <c r="Q56" s="240"/>
    </row>
    <row r="57" spans="1:17" ht="13.5" thickBot="1" x14ac:dyDescent="0.25">
      <c r="A57" s="231"/>
      <c r="B57" s="246"/>
      <c r="C57" s="246"/>
      <c r="D57" s="246"/>
      <c r="E57" s="246"/>
      <c r="F57" s="247"/>
      <c r="G57" s="222"/>
      <c r="H57" s="248"/>
      <c r="I57" s="234"/>
      <c r="J57" s="241"/>
      <c r="K57" s="249"/>
      <c r="M57" s="250" t="s">
        <v>182</v>
      </c>
      <c r="N57" s="251"/>
      <c r="O57" s="252">
        <f>SUM(O54:O56)</f>
        <v>1166.528</v>
      </c>
      <c r="P57" s="253"/>
      <c r="Q57" s="240"/>
    </row>
    <row r="58" spans="1:17" x14ac:dyDescent="0.2">
      <c r="B58" s="878" t="s">
        <v>183</v>
      </c>
      <c r="C58" s="878"/>
      <c r="D58" s="254">
        <v>28</v>
      </c>
      <c r="E58" s="255"/>
      <c r="G58" s="222"/>
      <c r="H58" s="248">
        <f>+H56/77</f>
        <v>3</v>
      </c>
      <c r="I58" s="256"/>
      <c r="J58" s="241"/>
      <c r="K58" s="249"/>
      <c r="L58" s="242"/>
      <c r="M58" s="242" t="s">
        <v>184</v>
      </c>
      <c r="N58" s="257"/>
      <c r="O58" s="239">
        <f>+H59</f>
        <v>192</v>
      </c>
      <c r="P58" s="239"/>
      <c r="Q58" s="240"/>
    </row>
    <row r="59" spans="1:17" x14ac:dyDescent="0.2">
      <c r="B59" s="878" t="s">
        <v>185</v>
      </c>
      <c r="C59" s="878"/>
      <c r="D59" s="258">
        <v>28</v>
      </c>
      <c r="E59" s="255"/>
      <c r="G59" s="222"/>
      <c r="H59" s="248">
        <f>+H58*64</f>
        <v>192</v>
      </c>
      <c r="I59" s="256"/>
      <c r="J59" s="241"/>
      <c r="K59" s="249"/>
      <c r="L59" s="242"/>
      <c r="M59" s="879" t="s">
        <v>182</v>
      </c>
      <c r="N59" s="879"/>
      <c r="O59" s="239">
        <f>SUM(O57:O58)</f>
        <v>1358.528</v>
      </c>
      <c r="P59" s="239"/>
      <c r="Q59" s="240"/>
    </row>
    <row r="60" spans="1:17" ht="13.5" thickBot="1" x14ac:dyDescent="0.25">
      <c r="B60" s="870" t="s">
        <v>186</v>
      </c>
      <c r="C60" s="870"/>
      <c r="D60" s="254">
        <f>+D58/D59</f>
        <v>1</v>
      </c>
      <c r="E60" s="255"/>
      <c r="F60" s="259"/>
      <c r="G60" s="222"/>
      <c r="H60" s="248"/>
      <c r="I60" s="256"/>
      <c r="J60" s="241"/>
      <c r="K60" s="249"/>
      <c r="L60" s="879"/>
      <c r="M60" s="879"/>
      <c r="N60" s="257"/>
      <c r="O60" s="239">
        <f>+O59*N60</f>
        <v>0</v>
      </c>
      <c r="P60" s="239"/>
      <c r="Q60" s="240"/>
    </row>
    <row r="61" spans="1:17" ht="13.5" thickBot="1" x14ac:dyDescent="0.25">
      <c r="B61" s="870" t="s">
        <v>187</v>
      </c>
      <c r="C61" s="870"/>
      <c r="D61" s="260"/>
      <c r="E61" s="255"/>
      <c r="F61" s="259"/>
      <c r="G61" s="222"/>
      <c r="H61" s="248"/>
      <c r="I61" s="256"/>
      <c r="J61" s="241"/>
      <c r="K61" s="871" t="s">
        <v>188</v>
      </c>
      <c r="L61" s="872"/>
      <c r="M61" s="872"/>
      <c r="N61" s="873"/>
      <c r="O61" s="252">
        <f>SUM(O59:O60)</f>
        <v>1358.528</v>
      </c>
      <c r="P61" s="261" t="s">
        <v>189</v>
      </c>
      <c r="Q61" s="240"/>
    </row>
    <row r="62" spans="1:17" ht="13.5" thickBot="1" x14ac:dyDescent="0.25">
      <c r="C62" s="231" t="s">
        <v>190</v>
      </c>
      <c r="D62" s="262"/>
      <c r="E62" s="205" t="s">
        <v>191</v>
      </c>
      <c r="F62" s="263" t="s">
        <v>192</v>
      </c>
      <c r="G62" s="222"/>
      <c r="H62" s="248"/>
      <c r="I62" s="256"/>
      <c r="J62" s="264"/>
      <c r="K62" s="265"/>
      <c r="L62" s="859" t="s">
        <v>193</v>
      </c>
      <c r="M62" s="859"/>
      <c r="N62" s="859"/>
      <c r="O62" s="266">
        <f>+O61/D60</f>
        <v>1358.528</v>
      </c>
      <c r="P62" s="267">
        <f>+O62/D59</f>
        <v>48.518857142857144</v>
      </c>
      <c r="Q62" s="268"/>
    </row>
    <row r="63" spans="1:17" ht="13.5" thickBot="1" x14ac:dyDescent="0.25">
      <c r="B63" s="860" t="s">
        <v>178</v>
      </c>
      <c r="C63" s="860"/>
      <c r="D63" s="860"/>
      <c r="E63" s="269">
        <f>+F63/F63</f>
        <v>1</v>
      </c>
      <c r="F63" s="270">
        <f>SUM(F55)</f>
        <v>935.52800000000002</v>
      </c>
      <c r="G63" s="222">
        <f>+F63/$F$66</f>
        <v>0.79001111302520877</v>
      </c>
      <c r="H63" s="248"/>
      <c r="I63" s="256"/>
      <c r="K63" s="861"/>
      <c r="L63" s="862"/>
      <c r="M63" s="862"/>
      <c r="N63" s="862"/>
      <c r="O63" s="271"/>
      <c r="P63" s="272"/>
    </row>
    <row r="64" spans="1:17" ht="13.5" thickBot="1" x14ac:dyDescent="0.3">
      <c r="B64" s="863" t="s">
        <v>194</v>
      </c>
      <c r="C64" s="863"/>
      <c r="D64" s="863"/>
      <c r="E64" s="273">
        <v>0.02</v>
      </c>
      <c r="F64" s="270">
        <f>+F53*E64</f>
        <v>17.667999999999999</v>
      </c>
      <c r="G64" s="222">
        <f>+F64/$F$66</f>
        <v>1.4919827460994633E-2</v>
      </c>
      <c r="H64" s="234"/>
      <c r="I64" s="256"/>
      <c r="J64" s="274"/>
      <c r="O64" s="275"/>
      <c r="P64" s="232"/>
    </row>
    <row r="65" spans="2:13" ht="13.5" thickBot="1" x14ac:dyDescent="0.3">
      <c r="B65" s="864" t="s">
        <v>195</v>
      </c>
      <c r="C65" s="865"/>
      <c r="D65" s="276">
        <v>3</v>
      </c>
      <c r="E65" s="277">
        <v>77</v>
      </c>
      <c r="F65" s="270">
        <f>+E65*D65</f>
        <v>231</v>
      </c>
      <c r="G65" s="222">
        <f>+F65/$F$66</f>
        <v>0.19506905951379672</v>
      </c>
      <c r="H65" s="234"/>
      <c r="I65" s="234"/>
      <c r="J65" s="224"/>
    </row>
    <row r="66" spans="2:13" ht="13.5" thickBot="1" x14ac:dyDescent="0.3">
      <c r="B66" s="866" t="s">
        <v>196</v>
      </c>
      <c r="C66" s="867"/>
      <c r="D66" s="867"/>
      <c r="E66" s="868"/>
      <c r="F66" s="247">
        <f>SUM(F63:F65)</f>
        <v>1184.1959999999999</v>
      </c>
      <c r="G66" s="222">
        <f>+F66/$F$66</f>
        <v>1</v>
      </c>
      <c r="H66" s="869"/>
      <c r="I66" s="234"/>
      <c r="J66" s="224"/>
      <c r="M66" s="207" t="s">
        <v>197</v>
      </c>
    </row>
    <row r="67" spans="2:13" x14ac:dyDescent="0.25">
      <c r="C67" s="229"/>
      <c r="D67" s="229"/>
      <c r="E67" s="279"/>
      <c r="F67" s="270"/>
      <c r="G67" s="222"/>
      <c r="H67" s="869"/>
      <c r="I67" s="278"/>
      <c r="J67" s="207"/>
      <c r="M67" s="207" t="s">
        <v>198</v>
      </c>
    </row>
    <row r="68" spans="2:13" ht="13.5" thickBot="1" x14ac:dyDescent="0.3">
      <c r="B68" s="854" t="s">
        <v>199</v>
      </c>
      <c r="C68" s="854"/>
      <c r="D68" s="854"/>
      <c r="E68" s="854"/>
      <c r="F68" s="854"/>
      <c r="G68" s="222"/>
      <c r="H68" s="281"/>
      <c r="I68" s="278"/>
      <c r="J68" s="207"/>
      <c r="M68" s="207" t="s">
        <v>200</v>
      </c>
    </row>
    <row r="69" spans="2:13" ht="13.5" thickBot="1" x14ac:dyDescent="0.3">
      <c r="B69" s="282" t="s">
        <v>201</v>
      </c>
      <c r="C69" s="283">
        <f>+F53</f>
        <v>883.4</v>
      </c>
      <c r="D69" s="283">
        <f>+D58</f>
        <v>28</v>
      </c>
      <c r="E69" s="284">
        <f>+C69/D69</f>
        <v>31.55</v>
      </c>
      <c r="F69" s="222"/>
      <c r="G69" s="281"/>
      <c r="H69" s="224"/>
      <c r="I69" s="281"/>
      <c r="J69" s="207"/>
    </row>
    <row r="70" spans="2:13" x14ac:dyDescent="0.25">
      <c r="B70" s="285"/>
      <c r="C70" s="286"/>
      <c r="D70" s="287"/>
      <c r="E70" s="270"/>
      <c r="F70" s="222"/>
      <c r="G70" s="281"/>
      <c r="H70" s="224"/>
      <c r="I70" s="224"/>
      <c r="J70" s="207"/>
    </row>
    <row r="71" spans="2:13" x14ac:dyDescent="0.25">
      <c r="B71" s="282" t="s">
        <v>202</v>
      </c>
      <c r="C71" s="283">
        <f>SUM(F63:F64)</f>
        <v>953.19600000000003</v>
      </c>
      <c r="D71" s="283">
        <f>+D58</f>
        <v>28</v>
      </c>
      <c r="E71" s="288">
        <f>+C71/D71</f>
        <v>34.04271428571429</v>
      </c>
      <c r="F71" s="222"/>
      <c r="G71" s="281"/>
      <c r="H71" s="224"/>
      <c r="I71" s="224"/>
      <c r="J71" s="207"/>
    </row>
    <row r="72" spans="2:13" x14ac:dyDescent="0.25">
      <c r="B72" s="282"/>
      <c r="C72" s="283"/>
      <c r="D72" s="283"/>
      <c r="E72" s="288"/>
      <c r="F72" s="222"/>
      <c r="G72" s="281"/>
      <c r="H72" s="224"/>
      <c r="I72" s="224"/>
      <c r="J72" s="207"/>
    </row>
    <row r="73" spans="2:13" ht="13.5" thickBot="1" x14ac:dyDescent="0.3">
      <c r="B73" s="282" t="s">
        <v>203</v>
      </c>
      <c r="C73" s="283">
        <f>+F65</f>
        <v>231</v>
      </c>
      <c r="D73" s="283">
        <f>+D58</f>
        <v>28</v>
      </c>
      <c r="E73" s="288">
        <f>+C73/D73</f>
        <v>8.25</v>
      </c>
      <c r="F73" s="222"/>
      <c r="G73" s="281"/>
      <c r="H73" s="224"/>
      <c r="I73" s="224"/>
      <c r="J73" s="207"/>
    </row>
    <row r="74" spans="2:13" ht="13.5" thickBot="1" x14ac:dyDescent="0.3">
      <c r="B74" s="282" t="s">
        <v>204</v>
      </c>
      <c r="C74" s="283">
        <f>+F56</f>
        <v>231</v>
      </c>
      <c r="D74" s="283">
        <f>+D73</f>
        <v>28</v>
      </c>
      <c r="E74" s="284">
        <f>+C74/D74</f>
        <v>8.25</v>
      </c>
      <c r="F74" s="222"/>
      <c r="G74" s="281"/>
      <c r="H74" s="224"/>
      <c r="I74" s="224"/>
      <c r="J74" s="207"/>
    </row>
    <row r="75" spans="2:13" ht="13.5" thickBot="1" x14ac:dyDescent="0.3">
      <c r="B75" s="246"/>
      <c r="C75" s="247"/>
      <c r="D75" s="247"/>
      <c r="E75" s="288"/>
      <c r="F75" s="222"/>
      <c r="G75" s="281"/>
      <c r="H75" s="224"/>
      <c r="I75" s="224"/>
      <c r="J75" s="207"/>
    </row>
    <row r="76" spans="2:13" ht="13.5" thickBot="1" x14ac:dyDescent="0.3">
      <c r="B76" s="282" t="s">
        <v>205</v>
      </c>
      <c r="C76" s="283">
        <f>+F54</f>
        <v>52.128</v>
      </c>
      <c r="D76" s="283">
        <f>+D74</f>
        <v>28</v>
      </c>
      <c r="E76" s="284">
        <f>+C76/D76</f>
        <v>1.8617142857142857</v>
      </c>
      <c r="F76" s="222"/>
      <c r="G76" s="281"/>
      <c r="H76" s="224"/>
      <c r="I76" s="224"/>
      <c r="J76" s="224"/>
    </row>
    <row r="77" spans="2:13" ht="13.5" thickBot="1" x14ac:dyDescent="0.3">
      <c r="B77" s="246"/>
      <c r="C77" s="247"/>
      <c r="D77" s="247"/>
      <c r="E77" s="288"/>
      <c r="F77" s="222"/>
      <c r="G77" s="281"/>
      <c r="H77" s="224"/>
      <c r="I77" s="224"/>
    </row>
    <row r="78" spans="2:13" ht="13.5" thickBot="1" x14ac:dyDescent="0.3">
      <c r="B78" s="855" t="s">
        <v>206</v>
      </c>
      <c r="C78" s="856"/>
      <c r="D78" s="857"/>
      <c r="E78" s="284">
        <f>+E69+E74</f>
        <v>39.799999999999997</v>
      </c>
      <c r="G78" s="222"/>
      <c r="H78" s="281"/>
      <c r="I78" s="224"/>
      <c r="J78" s="288"/>
    </row>
    <row r="79" spans="2:13" x14ac:dyDescent="0.25">
      <c r="I79" s="281"/>
      <c r="J79" s="207"/>
    </row>
    <row r="80" spans="2:13" ht="13.5" thickBot="1" x14ac:dyDescent="0.3">
      <c r="B80" s="854" t="s">
        <v>207</v>
      </c>
      <c r="C80" s="854"/>
      <c r="D80" s="854"/>
      <c r="E80" s="854"/>
      <c r="F80" s="854"/>
      <c r="G80" s="222"/>
      <c r="H80" s="281"/>
      <c r="J80" s="207"/>
    </row>
    <row r="81" spans="1:10" ht="13.5" thickBot="1" x14ac:dyDescent="0.3">
      <c r="B81" s="282" t="s">
        <v>201</v>
      </c>
      <c r="C81" s="283">
        <f>+C69</f>
        <v>883.4</v>
      </c>
      <c r="D81" s="283">
        <f>+D60</f>
        <v>1</v>
      </c>
      <c r="E81" s="284">
        <f>+C81/D81</f>
        <v>883.4</v>
      </c>
      <c r="F81" s="222"/>
      <c r="G81" s="281"/>
      <c r="H81" s="224"/>
      <c r="I81" s="281"/>
      <c r="J81" s="207"/>
    </row>
    <row r="82" spans="1:10" x14ac:dyDescent="0.25">
      <c r="B82" s="285"/>
      <c r="C82" s="286"/>
      <c r="D82" s="287"/>
      <c r="E82" s="270"/>
      <c r="F82" s="222"/>
      <c r="G82" s="281"/>
      <c r="H82" s="224"/>
      <c r="I82" s="224"/>
      <c r="J82" s="207"/>
    </row>
    <row r="83" spans="1:10" x14ac:dyDescent="0.25">
      <c r="B83" s="282" t="s">
        <v>202</v>
      </c>
      <c r="C83" s="283">
        <f>+C71</f>
        <v>953.19600000000003</v>
      </c>
      <c r="D83" s="283">
        <f>+D60</f>
        <v>1</v>
      </c>
      <c r="E83" s="288">
        <f>+C83/D83</f>
        <v>953.19600000000003</v>
      </c>
      <c r="F83" s="222"/>
      <c r="G83" s="281"/>
      <c r="H83" s="224"/>
      <c r="I83" s="224"/>
      <c r="J83" s="207"/>
    </row>
    <row r="84" spans="1:10" x14ac:dyDescent="0.25">
      <c r="B84" s="282"/>
      <c r="C84" s="283"/>
      <c r="D84" s="283"/>
      <c r="E84" s="288"/>
      <c r="F84" s="222"/>
      <c r="G84" s="281"/>
      <c r="H84" s="224"/>
      <c r="I84" s="224"/>
      <c r="J84" s="207"/>
    </row>
    <row r="85" spans="1:10" ht="13.5" thickBot="1" x14ac:dyDescent="0.3">
      <c r="B85" s="282" t="s">
        <v>204</v>
      </c>
      <c r="C85" s="283">
        <f>+C73</f>
        <v>231</v>
      </c>
      <c r="D85" s="283">
        <f>+D60</f>
        <v>1</v>
      </c>
      <c r="E85" s="288">
        <f>+C85/D85</f>
        <v>231</v>
      </c>
      <c r="F85" s="290"/>
      <c r="G85" s="280"/>
      <c r="H85" s="206"/>
      <c r="I85" s="224"/>
    </row>
    <row r="86" spans="1:10" ht="13.5" thickBot="1" x14ac:dyDescent="0.3">
      <c r="B86" s="282" t="s">
        <v>204</v>
      </c>
      <c r="C86" s="283">
        <f>+C74</f>
        <v>231</v>
      </c>
      <c r="D86" s="283">
        <f>+D85</f>
        <v>1</v>
      </c>
      <c r="E86" s="284">
        <f>+C86/D86</f>
        <v>231</v>
      </c>
      <c r="F86" s="289"/>
      <c r="G86" s="280"/>
      <c r="H86" s="206"/>
      <c r="I86" s="206"/>
    </row>
    <row r="87" spans="1:10" x14ac:dyDescent="0.25">
      <c r="I87" s="206"/>
    </row>
    <row r="88" spans="1:10" x14ac:dyDescent="0.2">
      <c r="A88" s="858"/>
      <c r="B88" s="858"/>
      <c r="C88" s="291"/>
      <c r="D88" s="291"/>
      <c r="E88" s="292"/>
      <c r="G88" s="293"/>
    </row>
    <row r="89" spans="1:10" x14ac:dyDescent="0.2">
      <c r="A89" s="225"/>
      <c r="B89" s="294"/>
      <c r="C89" s="295"/>
      <c r="D89" s="295"/>
      <c r="E89" s="296"/>
      <c r="G89" s="293"/>
    </row>
    <row r="90" spans="1:10" x14ac:dyDescent="0.2">
      <c r="A90" s="225"/>
      <c r="B90" s="294"/>
      <c r="C90" s="297"/>
      <c r="D90" s="297"/>
      <c r="E90" s="225"/>
      <c r="G90" s="293"/>
    </row>
    <row r="91" spans="1:10" x14ac:dyDescent="0.2">
      <c r="A91" s="225"/>
      <c r="B91" s="294"/>
      <c r="C91" s="298"/>
      <c r="D91" s="298"/>
      <c r="E91" s="225"/>
      <c r="G91" s="2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2C7A-F745-4849-BA79-3448FCA525A8}">
  <dimension ref="A1:K33"/>
  <sheetViews>
    <sheetView topLeftCell="A6" workbookViewId="0">
      <selection activeCell="D24" sqref="D24"/>
    </sheetView>
  </sheetViews>
  <sheetFormatPr baseColWidth="10" defaultRowHeight="15" x14ac:dyDescent="0.25"/>
  <cols>
    <col min="3" max="3" width="42.5703125" customWidth="1"/>
  </cols>
  <sheetData>
    <row r="1" spans="1:11" ht="15.75" x14ac:dyDescent="0.25">
      <c r="A1" s="933"/>
      <c r="B1" s="934"/>
      <c r="C1" s="937" t="s">
        <v>0</v>
      </c>
      <c r="D1" s="937"/>
      <c r="E1" s="937"/>
      <c r="F1" s="937"/>
      <c r="G1" s="938"/>
      <c r="H1" s="69" t="s">
        <v>1</v>
      </c>
      <c r="I1" s="70"/>
    </row>
    <row r="2" spans="1:11" ht="16.5" thickBot="1" x14ac:dyDescent="0.3">
      <c r="A2" s="935"/>
      <c r="B2" s="936"/>
      <c r="C2" s="939" t="s">
        <v>2</v>
      </c>
      <c r="D2" s="939"/>
      <c r="E2" s="939"/>
      <c r="F2" s="939"/>
      <c r="G2" s="940"/>
      <c r="H2" s="71" t="s">
        <v>3</v>
      </c>
      <c r="I2" s="72"/>
    </row>
    <row r="3" spans="1:11" ht="18.75" thickBot="1" x14ac:dyDescent="0.3">
      <c r="A3" s="935"/>
      <c r="B3" s="936"/>
      <c r="C3" s="941" t="s">
        <v>119</v>
      </c>
      <c r="D3" s="941"/>
      <c r="E3" s="941"/>
      <c r="F3" s="941"/>
      <c r="G3" s="941"/>
      <c r="H3" s="942" t="s">
        <v>4</v>
      </c>
      <c r="I3" s="930"/>
      <c r="K3" s="73"/>
    </row>
    <row r="4" spans="1:11" x14ac:dyDescent="0.25">
      <c r="A4" s="935"/>
      <c r="B4" s="936"/>
      <c r="C4" s="74" t="s">
        <v>5</v>
      </c>
      <c r="D4" s="931" t="s">
        <v>232</v>
      </c>
      <c r="E4" s="932"/>
      <c r="F4" s="932"/>
      <c r="G4" s="932"/>
      <c r="H4" s="943"/>
      <c r="I4" s="930"/>
    </row>
    <row r="5" spans="1:11" x14ac:dyDescent="0.25">
      <c r="A5" s="935"/>
      <c r="B5" s="936"/>
      <c r="C5" s="75" t="s">
        <v>6</v>
      </c>
      <c r="D5" s="889" t="s">
        <v>31</v>
      </c>
      <c r="E5" s="890"/>
      <c r="F5" s="890"/>
      <c r="G5" s="890"/>
      <c r="H5" s="944"/>
      <c r="I5" s="930"/>
    </row>
    <row r="6" spans="1:11" ht="18.75" thickBot="1" x14ac:dyDescent="0.3">
      <c r="A6" s="919" t="s">
        <v>7</v>
      </c>
      <c r="B6" s="919"/>
      <c r="C6" s="919"/>
      <c r="D6" s="920" t="s">
        <v>122</v>
      </c>
      <c r="E6" s="920"/>
      <c r="F6" s="920"/>
      <c r="G6" s="921" t="s">
        <v>8</v>
      </c>
      <c r="H6" s="921"/>
      <c r="I6" s="76" t="s">
        <v>123</v>
      </c>
    </row>
    <row r="7" spans="1:11" ht="25.5" x14ac:dyDescent="0.25">
      <c r="A7" s="922" t="s">
        <v>9</v>
      </c>
      <c r="B7" s="924" t="s">
        <v>80</v>
      </c>
      <c r="C7" s="926" t="s">
        <v>10</v>
      </c>
      <c r="D7" s="926" t="s">
        <v>11</v>
      </c>
      <c r="E7" s="928" t="s">
        <v>12</v>
      </c>
      <c r="F7" s="929"/>
      <c r="G7" s="928" t="s">
        <v>13</v>
      </c>
      <c r="H7" s="929"/>
      <c r="I7" s="77" t="s">
        <v>14</v>
      </c>
    </row>
    <row r="8" spans="1:11" ht="27" thickBot="1" x14ac:dyDescent="0.3">
      <c r="A8" s="923"/>
      <c r="B8" s="925"/>
      <c r="C8" s="927"/>
      <c r="D8" s="927"/>
      <c r="E8" s="78" t="s">
        <v>15</v>
      </c>
      <c r="F8" s="79" t="s">
        <v>16</v>
      </c>
      <c r="G8" s="78" t="s">
        <v>15</v>
      </c>
      <c r="H8" s="79" t="s">
        <v>16</v>
      </c>
      <c r="I8" s="80" t="s">
        <v>17</v>
      </c>
    </row>
    <row r="9" spans="1:11" ht="15.75" x14ac:dyDescent="0.25">
      <c r="A9" s="81"/>
      <c r="B9" s="172"/>
      <c r="C9" s="82" t="s">
        <v>81</v>
      </c>
      <c r="D9" s="83"/>
      <c r="E9" s="84"/>
      <c r="F9" s="84"/>
      <c r="G9" s="85"/>
      <c r="H9" s="4"/>
      <c r="I9" s="4"/>
    </row>
    <row r="10" spans="1:11" ht="15.75" x14ac:dyDescent="0.25">
      <c r="A10" s="34">
        <v>902000014</v>
      </c>
      <c r="B10" s="305" t="s">
        <v>233</v>
      </c>
      <c r="C10" t="s">
        <v>234</v>
      </c>
      <c r="D10" s="4" t="s">
        <v>18</v>
      </c>
      <c r="E10" s="4">
        <v>8000</v>
      </c>
      <c r="F10" s="4" t="s">
        <v>19</v>
      </c>
      <c r="G10" s="4"/>
      <c r="H10" s="4"/>
      <c r="I10" s="4"/>
    </row>
    <row r="11" spans="1:11" ht="15.75" x14ac:dyDescent="0.25">
      <c r="A11" s="67" t="s">
        <v>235</v>
      </c>
      <c r="B11" s="68"/>
      <c r="C11" s="56" t="s">
        <v>236</v>
      </c>
      <c r="D11" s="4"/>
      <c r="E11" s="4">
        <v>300</v>
      </c>
      <c r="F11" s="4" t="s">
        <v>19</v>
      </c>
      <c r="G11" s="4"/>
      <c r="H11" s="4"/>
      <c r="I11" s="4"/>
    </row>
    <row r="12" spans="1:11" ht="15.75" x14ac:dyDescent="0.25">
      <c r="A12" s="32"/>
      <c r="B12" s="32"/>
      <c r="C12" s="88"/>
      <c r="D12" s="4"/>
      <c r="E12" s="4"/>
      <c r="F12" s="4"/>
      <c r="G12" s="4"/>
      <c r="H12" s="4"/>
      <c r="I12" s="4"/>
    </row>
    <row r="13" spans="1:11" ht="15.75" x14ac:dyDescent="0.25">
      <c r="A13" s="120"/>
      <c r="B13" s="120"/>
      <c r="C13" s="89" t="s">
        <v>118</v>
      </c>
      <c r="D13" s="4"/>
      <c r="E13" s="4"/>
      <c r="F13" s="4"/>
      <c r="G13" s="90"/>
      <c r="H13" s="4"/>
      <c r="I13" s="91"/>
    </row>
    <row r="14" spans="1:11" ht="15.75" x14ac:dyDescent="0.25">
      <c r="A14" s="22" t="s">
        <v>101</v>
      </c>
      <c r="B14" s="22" t="s">
        <v>102</v>
      </c>
      <c r="C14" s="1" t="s">
        <v>103</v>
      </c>
      <c r="D14" s="18" t="s">
        <v>104</v>
      </c>
      <c r="E14" s="308">
        <v>1.5</v>
      </c>
      <c r="F14" s="140" t="s">
        <v>21</v>
      </c>
      <c r="G14" s="90"/>
      <c r="H14" s="4"/>
      <c r="I14" s="91"/>
    </row>
    <row r="15" spans="1:11" ht="15.75" x14ac:dyDescent="0.25">
      <c r="A15" s="22" t="s">
        <v>58</v>
      </c>
      <c r="B15" s="22" t="s">
        <v>59</v>
      </c>
      <c r="C15" s="1" t="s">
        <v>99</v>
      </c>
      <c r="D15" s="138" t="s">
        <v>100</v>
      </c>
      <c r="E15" s="307">
        <v>1.5</v>
      </c>
      <c r="F15" s="142" t="s">
        <v>21</v>
      </c>
      <c r="G15" s="90"/>
      <c r="H15" s="4"/>
      <c r="I15" s="91"/>
    </row>
    <row r="16" spans="1:11" ht="15.75" x14ac:dyDescent="0.25">
      <c r="A16" s="34">
        <v>906036</v>
      </c>
      <c r="B16" s="305" t="s">
        <v>237</v>
      </c>
      <c r="C16" t="s">
        <v>238</v>
      </c>
      <c r="D16" s="4"/>
      <c r="E16" s="306">
        <v>2</v>
      </c>
      <c r="F16" s="4" t="s">
        <v>21</v>
      </c>
      <c r="G16" s="90"/>
      <c r="H16" s="4"/>
      <c r="I16" s="91"/>
    </row>
    <row r="17" spans="1:9" ht="15.75" x14ac:dyDescent="0.25">
      <c r="A17" s="92"/>
      <c r="B17" s="93"/>
      <c r="C17" s="88"/>
      <c r="D17" s="4"/>
      <c r="E17" s="94"/>
      <c r="F17" s="95"/>
      <c r="G17" s="85"/>
      <c r="H17" s="85"/>
      <c r="I17" s="96"/>
    </row>
    <row r="18" spans="1:9" ht="15.75" thickBot="1" x14ac:dyDescent="0.3">
      <c r="A18" s="97"/>
      <c r="B18" s="98"/>
      <c r="C18" s="99"/>
      <c r="D18" s="99"/>
      <c r="E18" s="100"/>
      <c r="F18" s="101"/>
      <c r="G18" s="100"/>
      <c r="H18" s="100"/>
      <c r="I18" s="102"/>
    </row>
    <row r="19" spans="1:9" ht="15.75" thickBot="1" x14ac:dyDescent="0.3">
      <c r="A19" s="103"/>
      <c r="B19" s="104"/>
      <c r="C19" s="105"/>
      <c r="D19" s="105"/>
      <c r="E19" s="106"/>
      <c r="F19" s="107"/>
      <c r="G19" s="105"/>
      <c r="H19" s="105"/>
      <c r="I19" s="108"/>
    </row>
    <row r="20" spans="1:9" ht="15.75" thickBot="1" x14ac:dyDescent="0.3">
      <c r="A20" s="109"/>
      <c r="B20" s="110"/>
      <c r="C20" s="111"/>
      <c r="D20" s="112" t="s">
        <v>15</v>
      </c>
      <c r="E20" s="112" t="s">
        <v>22</v>
      </c>
      <c r="F20" s="113"/>
      <c r="G20" s="111"/>
      <c r="H20" s="111"/>
      <c r="I20" s="114"/>
    </row>
    <row r="21" spans="1:9" x14ac:dyDescent="0.25">
      <c r="A21" s="912" t="s">
        <v>23</v>
      </c>
      <c r="B21" s="913"/>
      <c r="C21" s="914"/>
      <c r="D21" s="5">
        <v>7650</v>
      </c>
      <c r="E21" s="115" t="s">
        <v>19</v>
      </c>
      <c r="F21" s="915" t="s">
        <v>33</v>
      </c>
      <c r="G21" s="916"/>
      <c r="H21" s="917"/>
      <c r="I21" s="918"/>
    </row>
    <row r="22" spans="1:9" x14ac:dyDescent="0.25">
      <c r="A22" s="903" t="s">
        <v>24</v>
      </c>
      <c r="B22" s="904"/>
      <c r="C22" s="905"/>
      <c r="D22" s="116">
        <v>10</v>
      </c>
      <c r="E22" s="55" t="s">
        <v>25</v>
      </c>
      <c r="F22" s="906" t="s">
        <v>34</v>
      </c>
      <c r="G22" s="907"/>
      <c r="H22" s="908"/>
      <c r="I22" s="909"/>
    </row>
    <row r="23" spans="1:9" x14ac:dyDescent="0.25">
      <c r="A23" s="903" t="s">
        <v>26</v>
      </c>
      <c r="B23" s="904"/>
      <c r="C23" s="905"/>
      <c r="D23" s="2">
        <v>17</v>
      </c>
      <c r="E23" s="55" t="s">
        <v>21</v>
      </c>
      <c r="F23" s="906" t="s">
        <v>35</v>
      </c>
      <c r="G23" s="907"/>
      <c r="H23" s="908"/>
      <c r="I23" s="909"/>
    </row>
    <row r="24" spans="1:9" x14ac:dyDescent="0.25">
      <c r="A24" s="903" t="s">
        <v>27</v>
      </c>
      <c r="B24" s="904"/>
      <c r="C24" s="905"/>
      <c r="D24" s="2">
        <v>450</v>
      </c>
      <c r="E24" s="55" t="s">
        <v>19</v>
      </c>
      <c r="F24" s="910" t="s">
        <v>36</v>
      </c>
      <c r="G24" s="911"/>
      <c r="H24" s="908"/>
      <c r="I24" s="909"/>
    </row>
    <row r="25" spans="1:9" ht="15.75" thickBot="1" x14ac:dyDescent="0.3">
      <c r="A25" s="892" t="s">
        <v>28</v>
      </c>
      <c r="B25" s="893"/>
      <c r="C25" s="894"/>
      <c r="D25" s="117">
        <v>650</v>
      </c>
      <c r="E25" s="118" t="s">
        <v>19</v>
      </c>
      <c r="F25" s="895"/>
      <c r="G25" s="896"/>
      <c r="H25" s="897"/>
      <c r="I25" s="898"/>
    </row>
    <row r="26" spans="1:9" ht="15.75" thickBot="1" x14ac:dyDescent="0.3">
      <c r="A26" s="899" t="s">
        <v>29</v>
      </c>
      <c r="B26" s="900"/>
      <c r="C26" s="900"/>
      <c r="D26" s="900"/>
      <c r="E26" s="900"/>
      <c r="F26" s="900"/>
      <c r="G26" s="900"/>
      <c r="H26" s="900"/>
      <c r="I26" s="900"/>
    </row>
    <row r="27" spans="1:9" x14ac:dyDescent="0.25">
      <c r="A27" s="901" t="s">
        <v>239</v>
      </c>
      <c r="B27" s="902"/>
      <c r="C27" s="902"/>
      <c r="D27" s="902"/>
      <c r="E27" s="902"/>
      <c r="F27" s="902"/>
      <c r="G27" s="902"/>
      <c r="H27" s="902"/>
      <c r="I27" s="902"/>
    </row>
    <row r="28" spans="1:9" ht="15.75" thickBot="1" x14ac:dyDescent="0.3">
      <c r="A28" s="885" t="s">
        <v>240</v>
      </c>
      <c r="B28" s="886"/>
      <c r="C28" s="886"/>
      <c r="D28" s="886"/>
      <c r="E28" s="886"/>
      <c r="F28" s="886"/>
      <c r="G28" s="886"/>
      <c r="H28" s="886"/>
      <c r="I28" s="886"/>
    </row>
    <row r="29" spans="1:9" x14ac:dyDescent="0.25">
      <c r="A29" s="887" t="s">
        <v>84</v>
      </c>
      <c r="B29" s="888"/>
      <c r="C29" s="888"/>
      <c r="D29" s="888"/>
      <c r="E29" s="888"/>
      <c r="F29" s="888"/>
      <c r="G29" s="888"/>
      <c r="H29" s="888"/>
      <c r="I29" s="888"/>
    </row>
    <row r="30" spans="1:9" x14ac:dyDescent="0.25">
      <c r="A30" s="889"/>
      <c r="B30" s="890"/>
      <c r="C30" s="890"/>
      <c r="D30" s="890"/>
      <c r="E30" s="890"/>
      <c r="F30" s="890"/>
      <c r="G30" s="890"/>
      <c r="H30" s="890"/>
      <c r="I30" s="891"/>
    </row>
    <row r="31" spans="1:9" x14ac:dyDescent="0.25">
      <c r="A31" s="889"/>
      <c r="B31" s="890"/>
      <c r="C31" s="890"/>
      <c r="D31" s="890"/>
      <c r="E31" s="890"/>
      <c r="F31" s="890"/>
      <c r="G31" s="890"/>
      <c r="H31" s="890"/>
      <c r="I31" s="891"/>
    </row>
    <row r="32" spans="1:9" x14ac:dyDescent="0.25">
      <c r="A32" s="173"/>
      <c r="B32" s="174"/>
      <c r="C32" s="174"/>
      <c r="D32" s="174"/>
      <c r="E32" s="174"/>
      <c r="F32" s="174"/>
      <c r="G32" s="174"/>
      <c r="H32" s="174"/>
      <c r="I32" s="175"/>
    </row>
    <row r="33" spans="1:9" x14ac:dyDescent="0.25">
      <c r="A33" s="173"/>
      <c r="B33" s="174"/>
      <c r="C33" s="174"/>
      <c r="D33" s="174"/>
      <c r="E33" s="174"/>
      <c r="F33" s="174"/>
      <c r="G33" s="174"/>
      <c r="H33" s="174"/>
      <c r="I33" s="175"/>
    </row>
  </sheetData>
  <mergeCells count="3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8:I28"/>
    <mergeCell ref="A29:I29"/>
    <mergeCell ref="A30:I30"/>
    <mergeCell ref="A31:I31"/>
    <mergeCell ref="A25:C25"/>
    <mergeCell ref="F25:G25"/>
    <mergeCell ref="H25:I25"/>
    <mergeCell ref="A26:I26"/>
    <mergeCell ref="A27:I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3CBA-7895-4AD7-8D14-8F51F4BBFBA3}">
  <dimension ref="A1:N32"/>
  <sheetViews>
    <sheetView workbookViewId="0">
      <selection activeCell="C9" sqref="C9"/>
    </sheetView>
  </sheetViews>
  <sheetFormatPr baseColWidth="10" defaultRowHeight="13.5" x14ac:dyDescent="0.25"/>
  <cols>
    <col min="1" max="1" width="11.42578125" style="121"/>
    <col min="2" max="2" width="16.140625" style="121" customWidth="1"/>
    <col min="3" max="3" width="13.42578125" style="121" customWidth="1"/>
    <col min="4" max="4" width="38.140625" style="121" customWidth="1"/>
    <col min="5" max="5" width="14.140625" style="121" customWidth="1"/>
    <col min="6" max="8" width="11.42578125" style="121"/>
    <col min="9" max="9" width="15" style="121" customWidth="1"/>
    <col min="10" max="10" width="16" style="121" customWidth="1"/>
    <col min="11" max="257" width="11.42578125" style="121"/>
    <col min="258" max="258" width="16.140625" style="121" customWidth="1"/>
    <col min="259" max="259" width="13.42578125" style="121" customWidth="1"/>
    <col min="260" max="260" width="38.140625" style="121" customWidth="1"/>
    <col min="261" max="261" width="14.140625" style="121" customWidth="1"/>
    <col min="262" max="264" width="11.42578125" style="121"/>
    <col min="265" max="265" width="15" style="121" customWidth="1"/>
    <col min="266" max="266" width="16" style="121" customWidth="1"/>
    <col min="267" max="513" width="11.42578125" style="121"/>
    <col min="514" max="514" width="16.140625" style="121" customWidth="1"/>
    <col min="515" max="515" width="13.42578125" style="121" customWidth="1"/>
    <col min="516" max="516" width="38.140625" style="121" customWidth="1"/>
    <col min="517" max="517" width="14.140625" style="121" customWidth="1"/>
    <col min="518" max="520" width="11.42578125" style="121"/>
    <col min="521" max="521" width="15" style="121" customWidth="1"/>
    <col min="522" max="522" width="16" style="121" customWidth="1"/>
    <col min="523" max="769" width="11.42578125" style="121"/>
    <col min="770" max="770" width="16.140625" style="121" customWidth="1"/>
    <col min="771" max="771" width="13.42578125" style="121" customWidth="1"/>
    <col min="772" max="772" width="38.140625" style="121" customWidth="1"/>
    <col min="773" max="773" width="14.140625" style="121" customWidth="1"/>
    <col min="774" max="776" width="11.42578125" style="121"/>
    <col min="777" max="777" width="15" style="121" customWidth="1"/>
    <col min="778" max="778" width="16" style="121" customWidth="1"/>
    <col min="779" max="1025" width="11.42578125" style="121"/>
    <col min="1026" max="1026" width="16.140625" style="121" customWidth="1"/>
    <col min="1027" max="1027" width="13.42578125" style="121" customWidth="1"/>
    <col min="1028" max="1028" width="38.140625" style="121" customWidth="1"/>
    <col min="1029" max="1029" width="14.140625" style="121" customWidth="1"/>
    <col min="1030" max="1032" width="11.42578125" style="121"/>
    <col min="1033" max="1033" width="15" style="121" customWidth="1"/>
    <col min="1034" max="1034" width="16" style="121" customWidth="1"/>
    <col min="1035" max="1281" width="11.42578125" style="121"/>
    <col min="1282" max="1282" width="16.140625" style="121" customWidth="1"/>
    <col min="1283" max="1283" width="13.42578125" style="121" customWidth="1"/>
    <col min="1284" max="1284" width="38.140625" style="121" customWidth="1"/>
    <col min="1285" max="1285" width="14.140625" style="121" customWidth="1"/>
    <col min="1286" max="1288" width="11.42578125" style="121"/>
    <col min="1289" max="1289" width="15" style="121" customWidth="1"/>
    <col min="1290" max="1290" width="16" style="121" customWidth="1"/>
    <col min="1291" max="1537" width="11.42578125" style="121"/>
    <col min="1538" max="1538" width="16.140625" style="121" customWidth="1"/>
    <col min="1539" max="1539" width="13.42578125" style="121" customWidth="1"/>
    <col min="1540" max="1540" width="38.140625" style="121" customWidth="1"/>
    <col min="1541" max="1541" width="14.140625" style="121" customWidth="1"/>
    <col min="1542" max="1544" width="11.42578125" style="121"/>
    <col min="1545" max="1545" width="15" style="121" customWidth="1"/>
    <col min="1546" max="1546" width="16" style="121" customWidth="1"/>
    <col min="1547" max="1793" width="11.42578125" style="121"/>
    <col min="1794" max="1794" width="16.140625" style="121" customWidth="1"/>
    <col min="1795" max="1795" width="13.42578125" style="121" customWidth="1"/>
    <col min="1796" max="1796" width="38.140625" style="121" customWidth="1"/>
    <col min="1797" max="1797" width="14.140625" style="121" customWidth="1"/>
    <col min="1798" max="1800" width="11.42578125" style="121"/>
    <col min="1801" max="1801" width="15" style="121" customWidth="1"/>
    <col min="1802" max="1802" width="16" style="121" customWidth="1"/>
    <col min="1803" max="2049" width="11.42578125" style="121"/>
    <col min="2050" max="2050" width="16.140625" style="121" customWidth="1"/>
    <col min="2051" max="2051" width="13.42578125" style="121" customWidth="1"/>
    <col min="2052" max="2052" width="38.140625" style="121" customWidth="1"/>
    <col min="2053" max="2053" width="14.140625" style="121" customWidth="1"/>
    <col min="2054" max="2056" width="11.42578125" style="121"/>
    <col min="2057" max="2057" width="15" style="121" customWidth="1"/>
    <col min="2058" max="2058" width="16" style="121" customWidth="1"/>
    <col min="2059" max="2305" width="11.42578125" style="121"/>
    <col min="2306" max="2306" width="16.140625" style="121" customWidth="1"/>
    <col min="2307" max="2307" width="13.42578125" style="121" customWidth="1"/>
    <col min="2308" max="2308" width="38.140625" style="121" customWidth="1"/>
    <col min="2309" max="2309" width="14.140625" style="121" customWidth="1"/>
    <col min="2310" max="2312" width="11.42578125" style="121"/>
    <col min="2313" max="2313" width="15" style="121" customWidth="1"/>
    <col min="2314" max="2314" width="16" style="121" customWidth="1"/>
    <col min="2315" max="2561" width="11.42578125" style="121"/>
    <col min="2562" max="2562" width="16.140625" style="121" customWidth="1"/>
    <col min="2563" max="2563" width="13.42578125" style="121" customWidth="1"/>
    <col min="2564" max="2564" width="38.140625" style="121" customWidth="1"/>
    <col min="2565" max="2565" width="14.140625" style="121" customWidth="1"/>
    <col min="2566" max="2568" width="11.42578125" style="121"/>
    <col min="2569" max="2569" width="15" style="121" customWidth="1"/>
    <col min="2570" max="2570" width="16" style="121" customWidth="1"/>
    <col min="2571" max="2817" width="11.42578125" style="121"/>
    <col min="2818" max="2818" width="16.140625" style="121" customWidth="1"/>
    <col min="2819" max="2819" width="13.42578125" style="121" customWidth="1"/>
    <col min="2820" max="2820" width="38.140625" style="121" customWidth="1"/>
    <col min="2821" max="2821" width="14.140625" style="121" customWidth="1"/>
    <col min="2822" max="2824" width="11.42578125" style="121"/>
    <col min="2825" max="2825" width="15" style="121" customWidth="1"/>
    <col min="2826" max="2826" width="16" style="121" customWidth="1"/>
    <col min="2827" max="3073" width="11.42578125" style="121"/>
    <col min="3074" max="3074" width="16.140625" style="121" customWidth="1"/>
    <col min="3075" max="3075" width="13.42578125" style="121" customWidth="1"/>
    <col min="3076" max="3076" width="38.140625" style="121" customWidth="1"/>
    <col min="3077" max="3077" width="14.140625" style="121" customWidth="1"/>
    <col min="3078" max="3080" width="11.42578125" style="121"/>
    <col min="3081" max="3081" width="15" style="121" customWidth="1"/>
    <col min="3082" max="3082" width="16" style="121" customWidth="1"/>
    <col min="3083" max="3329" width="11.42578125" style="121"/>
    <col min="3330" max="3330" width="16.140625" style="121" customWidth="1"/>
    <col min="3331" max="3331" width="13.42578125" style="121" customWidth="1"/>
    <col min="3332" max="3332" width="38.140625" style="121" customWidth="1"/>
    <col min="3333" max="3333" width="14.140625" style="121" customWidth="1"/>
    <col min="3334" max="3336" width="11.42578125" style="121"/>
    <col min="3337" max="3337" width="15" style="121" customWidth="1"/>
    <col min="3338" max="3338" width="16" style="121" customWidth="1"/>
    <col min="3339" max="3585" width="11.42578125" style="121"/>
    <col min="3586" max="3586" width="16.140625" style="121" customWidth="1"/>
    <col min="3587" max="3587" width="13.42578125" style="121" customWidth="1"/>
    <col min="3588" max="3588" width="38.140625" style="121" customWidth="1"/>
    <col min="3589" max="3589" width="14.140625" style="121" customWidth="1"/>
    <col min="3590" max="3592" width="11.42578125" style="121"/>
    <col min="3593" max="3593" width="15" style="121" customWidth="1"/>
    <col min="3594" max="3594" width="16" style="121" customWidth="1"/>
    <col min="3595" max="3841" width="11.42578125" style="121"/>
    <col min="3842" max="3842" width="16.140625" style="121" customWidth="1"/>
    <col min="3843" max="3843" width="13.42578125" style="121" customWidth="1"/>
    <col min="3844" max="3844" width="38.140625" style="121" customWidth="1"/>
    <col min="3845" max="3845" width="14.140625" style="121" customWidth="1"/>
    <col min="3846" max="3848" width="11.42578125" style="121"/>
    <col min="3849" max="3849" width="15" style="121" customWidth="1"/>
    <col min="3850" max="3850" width="16" style="121" customWidth="1"/>
    <col min="3851" max="4097" width="11.42578125" style="121"/>
    <col min="4098" max="4098" width="16.140625" style="121" customWidth="1"/>
    <col min="4099" max="4099" width="13.42578125" style="121" customWidth="1"/>
    <col min="4100" max="4100" width="38.140625" style="121" customWidth="1"/>
    <col min="4101" max="4101" width="14.140625" style="121" customWidth="1"/>
    <col min="4102" max="4104" width="11.42578125" style="121"/>
    <col min="4105" max="4105" width="15" style="121" customWidth="1"/>
    <col min="4106" max="4106" width="16" style="121" customWidth="1"/>
    <col min="4107" max="4353" width="11.42578125" style="121"/>
    <col min="4354" max="4354" width="16.140625" style="121" customWidth="1"/>
    <col min="4355" max="4355" width="13.42578125" style="121" customWidth="1"/>
    <col min="4356" max="4356" width="38.140625" style="121" customWidth="1"/>
    <col min="4357" max="4357" width="14.140625" style="121" customWidth="1"/>
    <col min="4358" max="4360" width="11.42578125" style="121"/>
    <col min="4361" max="4361" width="15" style="121" customWidth="1"/>
    <col min="4362" max="4362" width="16" style="121" customWidth="1"/>
    <col min="4363" max="4609" width="11.42578125" style="121"/>
    <col min="4610" max="4610" width="16.140625" style="121" customWidth="1"/>
    <col min="4611" max="4611" width="13.42578125" style="121" customWidth="1"/>
    <col min="4612" max="4612" width="38.140625" style="121" customWidth="1"/>
    <col min="4613" max="4613" width="14.140625" style="121" customWidth="1"/>
    <col min="4614" max="4616" width="11.42578125" style="121"/>
    <col min="4617" max="4617" width="15" style="121" customWidth="1"/>
    <col min="4618" max="4618" width="16" style="121" customWidth="1"/>
    <col min="4619" max="4865" width="11.42578125" style="121"/>
    <col min="4866" max="4866" width="16.140625" style="121" customWidth="1"/>
    <col min="4867" max="4867" width="13.42578125" style="121" customWidth="1"/>
    <col min="4868" max="4868" width="38.140625" style="121" customWidth="1"/>
    <col min="4869" max="4869" width="14.140625" style="121" customWidth="1"/>
    <col min="4870" max="4872" width="11.42578125" style="121"/>
    <col min="4873" max="4873" width="15" style="121" customWidth="1"/>
    <col min="4874" max="4874" width="16" style="121" customWidth="1"/>
    <col min="4875" max="5121" width="11.42578125" style="121"/>
    <col min="5122" max="5122" width="16.140625" style="121" customWidth="1"/>
    <col min="5123" max="5123" width="13.42578125" style="121" customWidth="1"/>
    <col min="5124" max="5124" width="38.140625" style="121" customWidth="1"/>
    <col min="5125" max="5125" width="14.140625" style="121" customWidth="1"/>
    <col min="5126" max="5128" width="11.42578125" style="121"/>
    <col min="5129" max="5129" width="15" style="121" customWidth="1"/>
    <col min="5130" max="5130" width="16" style="121" customWidth="1"/>
    <col min="5131" max="5377" width="11.42578125" style="121"/>
    <col min="5378" max="5378" width="16.140625" style="121" customWidth="1"/>
    <col min="5379" max="5379" width="13.42578125" style="121" customWidth="1"/>
    <col min="5380" max="5380" width="38.140625" style="121" customWidth="1"/>
    <col min="5381" max="5381" width="14.140625" style="121" customWidth="1"/>
    <col min="5382" max="5384" width="11.42578125" style="121"/>
    <col min="5385" max="5385" width="15" style="121" customWidth="1"/>
    <col min="5386" max="5386" width="16" style="121" customWidth="1"/>
    <col min="5387" max="5633" width="11.42578125" style="121"/>
    <col min="5634" max="5634" width="16.140625" style="121" customWidth="1"/>
    <col min="5635" max="5635" width="13.42578125" style="121" customWidth="1"/>
    <col min="5636" max="5636" width="38.140625" style="121" customWidth="1"/>
    <col min="5637" max="5637" width="14.140625" style="121" customWidth="1"/>
    <col min="5638" max="5640" width="11.42578125" style="121"/>
    <col min="5641" max="5641" width="15" style="121" customWidth="1"/>
    <col min="5642" max="5642" width="16" style="121" customWidth="1"/>
    <col min="5643" max="5889" width="11.42578125" style="121"/>
    <col min="5890" max="5890" width="16.140625" style="121" customWidth="1"/>
    <col min="5891" max="5891" width="13.42578125" style="121" customWidth="1"/>
    <col min="5892" max="5892" width="38.140625" style="121" customWidth="1"/>
    <col min="5893" max="5893" width="14.140625" style="121" customWidth="1"/>
    <col min="5894" max="5896" width="11.42578125" style="121"/>
    <col min="5897" max="5897" width="15" style="121" customWidth="1"/>
    <col min="5898" max="5898" width="16" style="121" customWidth="1"/>
    <col min="5899" max="6145" width="11.42578125" style="121"/>
    <col min="6146" max="6146" width="16.140625" style="121" customWidth="1"/>
    <col min="6147" max="6147" width="13.42578125" style="121" customWidth="1"/>
    <col min="6148" max="6148" width="38.140625" style="121" customWidth="1"/>
    <col min="6149" max="6149" width="14.140625" style="121" customWidth="1"/>
    <col min="6150" max="6152" width="11.42578125" style="121"/>
    <col min="6153" max="6153" width="15" style="121" customWidth="1"/>
    <col min="6154" max="6154" width="16" style="121" customWidth="1"/>
    <col min="6155" max="6401" width="11.42578125" style="121"/>
    <col min="6402" max="6402" width="16.140625" style="121" customWidth="1"/>
    <col min="6403" max="6403" width="13.42578125" style="121" customWidth="1"/>
    <col min="6404" max="6404" width="38.140625" style="121" customWidth="1"/>
    <col min="6405" max="6405" width="14.140625" style="121" customWidth="1"/>
    <col min="6406" max="6408" width="11.42578125" style="121"/>
    <col min="6409" max="6409" width="15" style="121" customWidth="1"/>
    <col min="6410" max="6410" width="16" style="121" customWidth="1"/>
    <col min="6411" max="6657" width="11.42578125" style="121"/>
    <col min="6658" max="6658" width="16.140625" style="121" customWidth="1"/>
    <col min="6659" max="6659" width="13.42578125" style="121" customWidth="1"/>
    <col min="6660" max="6660" width="38.140625" style="121" customWidth="1"/>
    <col min="6661" max="6661" width="14.140625" style="121" customWidth="1"/>
    <col min="6662" max="6664" width="11.42578125" style="121"/>
    <col min="6665" max="6665" width="15" style="121" customWidth="1"/>
    <col min="6666" max="6666" width="16" style="121" customWidth="1"/>
    <col min="6667" max="6913" width="11.42578125" style="121"/>
    <col min="6914" max="6914" width="16.140625" style="121" customWidth="1"/>
    <col min="6915" max="6915" width="13.42578125" style="121" customWidth="1"/>
    <col min="6916" max="6916" width="38.140625" style="121" customWidth="1"/>
    <col min="6917" max="6917" width="14.140625" style="121" customWidth="1"/>
    <col min="6918" max="6920" width="11.42578125" style="121"/>
    <col min="6921" max="6921" width="15" style="121" customWidth="1"/>
    <col min="6922" max="6922" width="16" style="121" customWidth="1"/>
    <col min="6923" max="7169" width="11.42578125" style="121"/>
    <col min="7170" max="7170" width="16.140625" style="121" customWidth="1"/>
    <col min="7171" max="7171" width="13.42578125" style="121" customWidth="1"/>
    <col min="7172" max="7172" width="38.140625" style="121" customWidth="1"/>
    <col min="7173" max="7173" width="14.140625" style="121" customWidth="1"/>
    <col min="7174" max="7176" width="11.42578125" style="121"/>
    <col min="7177" max="7177" width="15" style="121" customWidth="1"/>
    <col min="7178" max="7178" width="16" style="121" customWidth="1"/>
    <col min="7179" max="7425" width="11.42578125" style="121"/>
    <col min="7426" max="7426" width="16.140625" style="121" customWidth="1"/>
    <col min="7427" max="7427" width="13.42578125" style="121" customWidth="1"/>
    <col min="7428" max="7428" width="38.140625" style="121" customWidth="1"/>
    <col min="7429" max="7429" width="14.140625" style="121" customWidth="1"/>
    <col min="7430" max="7432" width="11.42578125" style="121"/>
    <col min="7433" max="7433" width="15" style="121" customWidth="1"/>
    <col min="7434" max="7434" width="16" style="121" customWidth="1"/>
    <col min="7435" max="7681" width="11.42578125" style="121"/>
    <col min="7682" max="7682" width="16.140625" style="121" customWidth="1"/>
    <col min="7683" max="7683" width="13.42578125" style="121" customWidth="1"/>
    <col min="7684" max="7684" width="38.140625" style="121" customWidth="1"/>
    <col min="7685" max="7685" width="14.140625" style="121" customWidth="1"/>
    <col min="7686" max="7688" width="11.42578125" style="121"/>
    <col min="7689" max="7689" width="15" style="121" customWidth="1"/>
    <col min="7690" max="7690" width="16" style="121" customWidth="1"/>
    <col min="7691" max="7937" width="11.42578125" style="121"/>
    <col min="7938" max="7938" width="16.140625" style="121" customWidth="1"/>
    <col min="7939" max="7939" width="13.42578125" style="121" customWidth="1"/>
    <col min="7940" max="7940" width="38.140625" style="121" customWidth="1"/>
    <col min="7941" max="7941" width="14.140625" style="121" customWidth="1"/>
    <col min="7942" max="7944" width="11.42578125" style="121"/>
    <col min="7945" max="7945" width="15" style="121" customWidth="1"/>
    <col min="7946" max="7946" width="16" style="121" customWidth="1"/>
    <col min="7947" max="8193" width="11.42578125" style="121"/>
    <col min="8194" max="8194" width="16.140625" style="121" customWidth="1"/>
    <col min="8195" max="8195" width="13.42578125" style="121" customWidth="1"/>
    <col min="8196" max="8196" width="38.140625" style="121" customWidth="1"/>
    <col min="8197" max="8197" width="14.140625" style="121" customWidth="1"/>
    <col min="8198" max="8200" width="11.42578125" style="121"/>
    <col min="8201" max="8201" width="15" style="121" customWidth="1"/>
    <col min="8202" max="8202" width="16" style="121" customWidth="1"/>
    <col min="8203" max="8449" width="11.42578125" style="121"/>
    <col min="8450" max="8450" width="16.140625" style="121" customWidth="1"/>
    <col min="8451" max="8451" width="13.42578125" style="121" customWidth="1"/>
    <col min="8452" max="8452" width="38.140625" style="121" customWidth="1"/>
    <col min="8453" max="8453" width="14.140625" style="121" customWidth="1"/>
    <col min="8454" max="8456" width="11.42578125" style="121"/>
    <col min="8457" max="8457" width="15" style="121" customWidth="1"/>
    <col min="8458" max="8458" width="16" style="121" customWidth="1"/>
    <col min="8459" max="8705" width="11.42578125" style="121"/>
    <col min="8706" max="8706" width="16.140625" style="121" customWidth="1"/>
    <col min="8707" max="8707" width="13.42578125" style="121" customWidth="1"/>
    <col min="8708" max="8708" width="38.140625" style="121" customWidth="1"/>
    <col min="8709" max="8709" width="14.140625" style="121" customWidth="1"/>
    <col min="8710" max="8712" width="11.42578125" style="121"/>
    <col min="8713" max="8713" width="15" style="121" customWidth="1"/>
    <col min="8714" max="8714" width="16" style="121" customWidth="1"/>
    <col min="8715" max="8961" width="11.42578125" style="121"/>
    <col min="8962" max="8962" width="16.140625" style="121" customWidth="1"/>
    <col min="8963" max="8963" width="13.42578125" style="121" customWidth="1"/>
    <col min="8964" max="8964" width="38.140625" style="121" customWidth="1"/>
    <col min="8965" max="8965" width="14.140625" style="121" customWidth="1"/>
    <col min="8966" max="8968" width="11.42578125" style="121"/>
    <col min="8969" max="8969" width="15" style="121" customWidth="1"/>
    <col min="8970" max="8970" width="16" style="121" customWidth="1"/>
    <col min="8971" max="9217" width="11.42578125" style="121"/>
    <col min="9218" max="9218" width="16.140625" style="121" customWidth="1"/>
    <col min="9219" max="9219" width="13.42578125" style="121" customWidth="1"/>
    <col min="9220" max="9220" width="38.140625" style="121" customWidth="1"/>
    <col min="9221" max="9221" width="14.140625" style="121" customWidth="1"/>
    <col min="9222" max="9224" width="11.42578125" style="121"/>
    <col min="9225" max="9225" width="15" style="121" customWidth="1"/>
    <col min="9226" max="9226" width="16" style="121" customWidth="1"/>
    <col min="9227" max="9473" width="11.42578125" style="121"/>
    <col min="9474" max="9474" width="16.140625" style="121" customWidth="1"/>
    <col min="9475" max="9475" width="13.42578125" style="121" customWidth="1"/>
    <col min="9476" max="9476" width="38.140625" style="121" customWidth="1"/>
    <col min="9477" max="9477" width="14.140625" style="121" customWidth="1"/>
    <col min="9478" max="9480" width="11.42578125" style="121"/>
    <col min="9481" max="9481" width="15" style="121" customWidth="1"/>
    <col min="9482" max="9482" width="16" style="121" customWidth="1"/>
    <col min="9483" max="9729" width="11.42578125" style="121"/>
    <col min="9730" max="9730" width="16.140625" style="121" customWidth="1"/>
    <col min="9731" max="9731" width="13.42578125" style="121" customWidth="1"/>
    <col min="9732" max="9732" width="38.140625" style="121" customWidth="1"/>
    <col min="9733" max="9733" width="14.140625" style="121" customWidth="1"/>
    <col min="9734" max="9736" width="11.42578125" style="121"/>
    <col min="9737" max="9737" width="15" style="121" customWidth="1"/>
    <col min="9738" max="9738" width="16" style="121" customWidth="1"/>
    <col min="9739" max="9985" width="11.42578125" style="121"/>
    <col min="9986" max="9986" width="16.140625" style="121" customWidth="1"/>
    <col min="9987" max="9987" width="13.42578125" style="121" customWidth="1"/>
    <col min="9988" max="9988" width="38.140625" style="121" customWidth="1"/>
    <col min="9989" max="9989" width="14.140625" style="121" customWidth="1"/>
    <col min="9990" max="9992" width="11.42578125" style="121"/>
    <col min="9993" max="9993" width="15" style="121" customWidth="1"/>
    <col min="9994" max="9994" width="16" style="121" customWidth="1"/>
    <col min="9995" max="10241" width="11.42578125" style="121"/>
    <col min="10242" max="10242" width="16.140625" style="121" customWidth="1"/>
    <col min="10243" max="10243" width="13.42578125" style="121" customWidth="1"/>
    <col min="10244" max="10244" width="38.140625" style="121" customWidth="1"/>
    <col min="10245" max="10245" width="14.140625" style="121" customWidth="1"/>
    <col min="10246" max="10248" width="11.42578125" style="121"/>
    <col min="10249" max="10249" width="15" style="121" customWidth="1"/>
    <col min="10250" max="10250" width="16" style="121" customWidth="1"/>
    <col min="10251" max="10497" width="11.42578125" style="121"/>
    <col min="10498" max="10498" width="16.140625" style="121" customWidth="1"/>
    <col min="10499" max="10499" width="13.42578125" style="121" customWidth="1"/>
    <col min="10500" max="10500" width="38.140625" style="121" customWidth="1"/>
    <col min="10501" max="10501" width="14.140625" style="121" customWidth="1"/>
    <col min="10502" max="10504" width="11.42578125" style="121"/>
    <col min="10505" max="10505" width="15" style="121" customWidth="1"/>
    <col min="10506" max="10506" width="16" style="121" customWidth="1"/>
    <col min="10507" max="10753" width="11.42578125" style="121"/>
    <col min="10754" max="10754" width="16.140625" style="121" customWidth="1"/>
    <col min="10755" max="10755" width="13.42578125" style="121" customWidth="1"/>
    <col min="10756" max="10756" width="38.140625" style="121" customWidth="1"/>
    <col min="10757" max="10757" width="14.140625" style="121" customWidth="1"/>
    <col min="10758" max="10760" width="11.42578125" style="121"/>
    <col min="10761" max="10761" width="15" style="121" customWidth="1"/>
    <col min="10762" max="10762" width="16" style="121" customWidth="1"/>
    <col min="10763" max="11009" width="11.42578125" style="121"/>
    <col min="11010" max="11010" width="16.140625" style="121" customWidth="1"/>
    <col min="11011" max="11011" width="13.42578125" style="121" customWidth="1"/>
    <col min="11012" max="11012" width="38.140625" style="121" customWidth="1"/>
    <col min="11013" max="11013" width="14.140625" style="121" customWidth="1"/>
    <col min="11014" max="11016" width="11.42578125" style="121"/>
    <col min="11017" max="11017" width="15" style="121" customWidth="1"/>
    <col min="11018" max="11018" width="16" style="121" customWidth="1"/>
    <col min="11019" max="11265" width="11.42578125" style="121"/>
    <col min="11266" max="11266" width="16.140625" style="121" customWidth="1"/>
    <col min="11267" max="11267" width="13.42578125" style="121" customWidth="1"/>
    <col min="11268" max="11268" width="38.140625" style="121" customWidth="1"/>
    <col min="11269" max="11269" width="14.140625" style="121" customWidth="1"/>
    <col min="11270" max="11272" width="11.42578125" style="121"/>
    <col min="11273" max="11273" width="15" style="121" customWidth="1"/>
    <col min="11274" max="11274" width="16" style="121" customWidth="1"/>
    <col min="11275" max="11521" width="11.42578125" style="121"/>
    <col min="11522" max="11522" width="16.140625" style="121" customWidth="1"/>
    <col min="11523" max="11523" width="13.42578125" style="121" customWidth="1"/>
    <col min="11524" max="11524" width="38.140625" style="121" customWidth="1"/>
    <col min="11525" max="11525" width="14.140625" style="121" customWidth="1"/>
    <col min="11526" max="11528" width="11.42578125" style="121"/>
    <col min="11529" max="11529" width="15" style="121" customWidth="1"/>
    <col min="11530" max="11530" width="16" style="121" customWidth="1"/>
    <col min="11531" max="11777" width="11.42578125" style="121"/>
    <col min="11778" max="11778" width="16.140625" style="121" customWidth="1"/>
    <col min="11779" max="11779" width="13.42578125" style="121" customWidth="1"/>
    <col min="11780" max="11780" width="38.140625" style="121" customWidth="1"/>
    <col min="11781" max="11781" width="14.140625" style="121" customWidth="1"/>
    <col min="11782" max="11784" width="11.42578125" style="121"/>
    <col min="11785" max="11785" width="15" style="121" customWidth="1"/>
    <col min="11786" max="11786" width="16" style="121" customWidth="1"/>
    <col min="11787" max="12033" width="11.42578125" style="121"/>
    <col min="12034" max="12034" width="16.140625" style="121" customWidth="1"/>
    <col min="12035" max="12035" width="13.42578125" style="121" customWidth="1"/>
    <col min="12036" max="12036" width="38.140625" style="121" customWidth="1"/>
    <col min="12037" max="12037" width="14.140625" style="121" customWidth="1"/>
    <col min="12038" max="12040" width="11.42578125" style="121"/>
    <col min="12041" max="12041" width="15" style="121" customWidth="1"/>
    <col min="12042" max="12042" width="16" style="121" customWidth="1"/>
    <col min="12043" max="12289" width="11.42578125" style="121"/>
    <col min="12290" max="12290" width="16.140625" style="121" customWidth="1"/>
    <col min="12291" max="12291" width="13.42578125" style="121" customWidth="1"/>
    <col min="12292" max="12292" width="38.140625" style="121" customWidth="1"/>
    <col min="12293" max="12293" width="14.140625" style="121" customWidth="1"/>
    <col min="12294" max="12296" width="11.42578125" style="121"/>
    <col min="12297" max="12297" width="15" style="121" customWidth="1"/>
    <col min="12298" max="12298" width="16" style="121" customWidth="1"/>
    <col min="12299" max="12545" width="11.42578125" style="121"/>
    <col min="12546" max="12546" width="16.140625" style="121" customWidth="1"/>
    <col min="12547" max="12547" width="13.42578125" style="121" customWidth="1"/>
    <col min="12548" max="12548" width="38.140625" style="121" customWidth="1"/>
    <col min="12549" max="12549" width="14.140625" style="121" customWidth="1"/>
    <col min="12550" max="12552" width="11.42578125" style="121"/>
    <col min="12553" max="12553" width="15" style="121" customWidth="1"/>
    <col min="12554" max="12554" width="16" style="121" customWidth="1"/>
    <col min="12555" max="12801" width="11.42578125" style="121"/>
    <col min="12802" max="12802" width="16.140625" style="121" customWidth="1"/>
    <col min="12803" max="12803" width="13.42578125" style="121" customWidth="1"/>
    <col min="12804" max="12804" width="38.140625" style="121" customWidth="1"/>
    <col min="12805" max="12805" width="14.140625" style="121" customWidth="1"/>
    <col min="12806" max="12808" width="11.42578125" style="121"/>
    <col min="12809" max="12809" width="15" style="121" customWidth="1"/>
    <col min="12810" max="12810" width="16" style="121" customWidth="1"/>
    <col min="12811" max="13057" width="11.42578125" style="121"/>
    <col min="13058" max="13058" width="16.140625" style="121" customWidth="1"/>
    <col min="13059" max="13059" width="13.42578125" style="121" customWidth="1"/>
    <col min="13060" max="13060" width="38.140625" style="121" customWidth="1"/>
    <col min="13061" max="13061" width="14.140625" style="121" customWidth="1"/>
    <col min="13062" max="13064" width="11.42578125" style="121"/>
    <col min="13065" max="13065" width="15" style="121" customWidth="1"/>
    <col min="13066" max="13066" width="16" style="121" customWidth="1"/>
    <col min="13067" max="13313" width="11.42578125" style="121"/>
    <col min="13314" max="13314" width="16.140625" style="121" customWidth="1"/>
    <col min="13315" max="13315" width="13.42578125" style="121" customWidth="1"/>
    <col min="13316" max="13316" width="38.140625" style="121" customWidth="1"/>
    <col min="13317" max="13317" width="14.140625" style="121" customWidth="1"/>
    <col min="13318" max="13320" width="11.42578125" style="121"/>
    <col min="13321" max="13321" width="15" style="121" customWidth="1"/>
    <col min="13322" max="13322" width="16" style="121" customWidth="1"/>
    <col min="13323" max="13569" width="11.42578125" style="121"/>
    <col min="13570" max="13570" width="16.140625" style="121" customWidth="1"/>
    <col min="13571" max="13571" width="13.42578125" style="121" customWidth="1"/>
    <col min="13572" max="13572" width="38.140625" style="121" customWidth="1"/>
    <col min="13573" max="13573" width="14.140625" style="121" customWidth="1"/>
    <col min="13574" max="13576" width="11.42578125" style="121"/>
    <col min="13577" max="13577" width="15" style="121" customWidth="1"/>
    <col min="13578" max="13578" width="16" style="121" customWidth="1"/>
    <col min="13579" max="13825" width="11.42578125" style="121"/>
    <col min="13826" max="13826" width="16.140625" style="121" customWidth="1"/>
    <col min="13827" max="13827" width="13.42578125" style="121" customWidth="1"/>
    <col min="13828" max="13828" width="38.140625" style="121" customWidth="1"/>
    <col min="13829" max="13829" width="14.140625" style="121" customWidth="1"/>
    <col min="13830" max="13832" width="11.42578125" style="121"/>
    <col min="13833" max="13833" width="15" style="121" customWidth="1"/>
    <col min="13834" max="13834" width="16" style="121" customWidth="1"/>
    <col min="13835" max="14081" width="11.42578125" style="121"/>
    <col min="14082" max="14082" width="16.140625" style="121" customWidth="1"/>
    <col min="14083" max="14083" width="13.42578125" style="121" customWidth="1"/>
    <col min="14084" max="14084" width="38.140625" style="121" customWidth="1"/>
    <col min="14085" max="14085" width="14.140625" style="121" customWidth="1"/>
    <col min="14086" max="14088" width="11.42578125" style="121"/>
    <col min="14089" max="14089" width="15" style="121" customWidth="1"/>
    <col min="14090" max="14090" width="16" style="121" customWidth="1"/>
    <col min="14091" max="14337" width="11.42578125" style="121"/>
    <col min="14338" max="14338" width="16.140625" style="121" customWidth="1"/>
    <col min="14339" max="14339" width="13.42578125" style="121" customWidth="1"/>
    <col min="14340" max="14340" width="38.140625" style="121" customWidth="1"/>
    <col min="14341" max="14341" width="14.140625" style="121" customWidth="1"/>
    <col min="14342" max="14344" width="11.42578125" style="121"/>
    <col min="14345" max="14345" width="15" style="121" customWidth="1"/>
    <col min="14346" max="14346" width="16" style="121" customWidth="1"/>
    <col min="14347" max="14593" width="11.42578125" style="121"/>
    <col min="14594" max="14594" width="16.140625" style="121" customWidth="1"/>
    <col min="14595" max="14595" width="13.42578125" style="121" customWidth="1"/>
    <col min="14596" max="14596" width="38.140625" style="121" customWidth="1"/>
    <col min="14597" max="14597" width="14.140625" style="121" customWidth="1"/>
    <col min="14598" max="14600" width="11.42578125" style="121"/>
    <col min="14601" max="14601" width="15" style="121" customWidth="1"/>
    <col min="14602" max="14602" width="16" style="121" customWidth="1"/>
    <col min="14603" max="14849" width="11.42578125" style="121"/>
    <col min="14850" max="14850" width="16.140625" style="121" customWidth="1"/>
    <col min="14851" max="14851" width="13.42578125" style="121" customWidth="1"/>
    <col min="14852" max="14852" width="38.140625" style="121" customWidth="1"/>
    <col min="14853" max="14853" width="14.140625" style="121" customWidth="1"/>
    <col min="14854" max="14856" width="11.42578125" style="121"/>
    <col min="14857" max="14857" width="15" style="121" customWidth="1"/>
    <col min="14858" max="14858" width="16" style="121" customWidth="1"/>
    <col min="14859" max="15105" width="11.42578125" style="121"/>
    <col min="15106" max="15106" width="16.140625" style="121" customWidth="1"/>
    <col min="15107" max="15107" width="13.42578125" style="121" customWidth="1"/>
    <col min="15108" max="15108" width="38.140625" style="121" customWidth="1"/>
    <col min="15109" max="15109" width="14.140625" style="121" customWidth="1"/>
    <col min="15110" max="15112" width="11.42578125" style="121"/>
    <col min="15113" max="15113" width="15" style="121" customWidth="1"/>
    <col min="15114" max="15114" width="16" style="121" customWidth="1"/>
    <col min="15115" max="15361" width="11.42578125" style="121"/>
    <col min="15362" max="15362" width="16.140625" style="121" customWidth="1"/>
    <col min="15363" max="15363" width="13.42578125" style="121" customWidth="1"/>
    <col min="15364" max="15364" width="38.140625" style="121" customWidth="1"/>
    <col min="15365" max="15365" width="14.140625" style="121" customWidth="1"/>
    <col min="15366" max="15368" width="11.42578125" style="121"/>
    <col min="15369" max="15369" width="15" style="121" customWidth="1"/>
    <col min="15370" max="15370" width="16" style="121" customWidth="1"/>
    <col min="15371" max="15617" width="11.42578125" style="121"/>
    <col min="15618" max="15618" width="16.140625" style="121" customWidth="1"/>
    <col min="15619" max="15619" width="13.42578125" style="121" customWidth="1"/>
    <col min="15620" max="15620" width="38.140625" style="121" customWidth="1"/>
    <col min="15621" max="15621" width="14.140625" style="121" customWidth="1"/>
    <col min="15622" max="15624" width="11.42578125" style="121"/>
    <col min="15625" max="15625" width="15" style="121" customWidth="1"/>
    <col min="15626" max="15626" width="16" style="121" customWidth="1"/>
    <col min="15627" max="15873" width="11.42578125" style="121"/>
    <col min="15874" max="15874" width="16.140625" style="121" customWidth="1"/>
    <col min="15875" max="15875" width="13.42578125" style="121" customWidth="1"/>
    <col min="15876" max="15876" width="38.140625" style="121" customWidth="1"/>
    <col min="15877" max="15877" width="14.140625" style="121" customWidth="1"/>
    <col min="15878" max="15880" width="11.42578125" style="121"/>
    <col min="15881" max="15881" width="15" style="121" customWidth="1"/>
    <col min="15882" max="15882" width="16" style="121" customWidth="1"/>
    <col min="15883" max="16129" width="11.42578125" style="121"/>
    <col min="16130" max="16130" width="16.140625" style="121" customWidth="1"/>
    <col min="16131" max="16131" width="13.42578125" style="121" customWidth="1"/>
    <col min="16132" max="16132" width="38.140625" style="121" customWidth="1"/>
    <col min="16133" max="16133" width="14.140625" style="121" customWidth="1"/>
    <col min="16134" max="16136" width="11.42578125" style="121"/>
    <col min="16137" max="16137" width="15" style="121" customWidth="1"/>
    <col min="16138" max="16138" width="16" style="121" customWidth="1"/>
    <col min="16139" max="16384" width="11.42578125" style="121"/>
  </cols>
  <sheetData>
    <row r="1" spans="1:13" ht="15.75" x14ac:dyDescent="0.25">
      <c r="B1" s="629"/>
      <c r="C1" s="630"/>
      <c r="D1" s="611" t="s">
        <v>0</v>
      </c>
      <c r="E1" s="611"/>
      <c r="F1" s="611"/>
      <c r="G1" s="611"/>
      <c r="H1" s="611"/>
      <c r="I1" s="122" t="s">
        <v>1</v>
      </c>
      <c r="J1" s="123" t="s">
        <v>253</v>
      </c>
    </row>
    <row r="2" spans="1:13" ht="16.5" thickBot="1" x14ac:dyDescent="0.3">
      <c r="B2" s="631"/>
      <c r="C2" s="632"/>
      <c r="D2" s="612" t="s">
        <v>2</v>
      </c>
      <c r="E2" s="612"/>
      <c r="F2" s="612"/>
      <c r="G2" s="612"/>
      <c r="H2" s="612"/>
      <c r="I2" s="124" t="s">
        <v>3</v>
      </c>
      <c r="J2" s="125" t="s">
        <v>254</v>
      </c>
    </row>
    <row r="3" spans="1:13" ht="18.75" thickBot="1" x14ac:dyDescent="0.3">
      <c r="B3" s="631"/>
      <c r="C3" s="632"/>
      <c r="D3" s="666" t="s">
        <v>255</v>
      </c>
      <c r="E3" s="667"/>
      <c r="F3" s="667"/>
      <c r="G3" s="667"/>
      <c r="H3" s="668"/>
      <c r="I3" s="616" t="s">
        <v>4</v>
      </c>
      <c r="J3" s="606">
        <v>44089</v>
      </c>
    </row>
    <row r="4" spans="1:13" x14ac:dyDescent="0.25">
      <c r="B4" s="631"/>
      <c r="C4" s="632"/>
      <c r="D4" s="126" t="s">
        <v>5</v>
      </c>
      <c r="E4" s="659" t="s">
        <v>232</v>
      </c>
      <c r="F4" s="660"/>
      <c r="G4" s="660"/>
      <c r="H4" s="661"/>
      <c r="I4" s="617"/>
      <c r="J4" s="607"/>
    </row>
    <row r="5" spans="1:13" ht="14.25" thickBot="1" x14ac:dyDescent="0.3">
      <c r="B5" s="633"/>
      <c r="C5" s="634"/>
      <c r="D5" s="321" t="s">
        <v>6</v>
      </c>
      <c r="E5" s="662" t="s">
        <v>256</v>
      </c>
      <c r="F5" s="663"/>
      <c r="G5" s="663"/>
      <c r="H5" s="664"/>
      <c r="I5" s="618"/>
      <c r="J5" s="607"/>
    </row>
    <row r="6" spans="1:13" ht="25.5" x14ac:dyDescent="0.25">
      <c r="B6" s="669" t="s">
        <v>9</v>
      </c>
      <c r="C6" s="671" t="s">
        <v>32</v>
      </c>
      <c r="D6" s="665" t="s">
        <v>10</v>
      </c>
      <c r="E6" s="665" t="s">
        <v>11</v>
      </c>
      <c r="F6" s="665" t="s">
        <v>12</v>
      </c>
      <c r="G6" s="665"/>
      <c r="H6" s="665" t="s">
        <v>13</v>
      </c>
      <c r="I6" s="665"/>
      <c r="J6" s="322" t="s">
        <v>14</v>
      </c>
    </row>
    <row r="7" spans="1:13" ht="27" thickBot="1" x14ac:dyDescent="0.3">
      <c r="B7" s="670"/>
      <c r="C7" s="672"/>
      <c r="D7" s="673"/>
      <c r="E7" s="673"/>
      <c r="F7" s="127" t="s">
        <v>15</v>
      </c>
      <c r="G7" s="128" t="s">
        <v>16</v>
      </c>
      <c r="H7" s="127" t="s">
        <v>15</v>
      </c>
      <c r="I7" s="128" t="s">
        <v>16</v>
      </c>
      <c r="J7" s="129" t="s">
        <v>17</v>
      </c>
    </row>
    <row r="8" spans="1:13" x14ac:dyDescent="0.25">
      <c r="B8" s="130"/>
      <c r="C8" s="131"/>
      <c r="D8" s="132"/>
      <c r="E8" s="133"/>
      <c r="F8" s="134"/>
      <c r="G8" s="135"/>
      <c r="H8" s="134"/>
      <c r="I8" s="135"/>
      <c r="J8" s="136"/>
    </row>
    <row r="9" spans="1:13" ht="15" x14ac:dyDescent="0.25">
      <c r="B9" s="137" t="s">
        <v>85</v>
      </c>
      <c r="C9" s="137" t="s">
        <v>86</v>
      </c>
      <c r="D9" s="56" t="s">
        <v>87</v>
      </c>
      <c r="E9" s="138" t="s">
        <v>88</v>
      </c>
      <c r="F9" s="139">
        <v>4763</v>
      </c>
      <c r="G9" s="140" t="s">
        <v>19</v>
      </c>
      <c r="H9" s="139"/>
      <c r="I9" s="18"/>
      <c r="J9" s="141"/>
    </row>
    <row r="10" spans="1:13" ht="15" x14ac:dyDescent="0.25">
      <c r="A10" s="121">
        <v>111000001</v>
      </c>
      <c r="B10" s="22">
        <v>10100289</v>
      </c>
      <c r="C10" s="22" t="s">
        <v>89</v>
      </c>
      <c r="D10" s="1" t="s">
        <v>90</v>
      </c>
      <c r="E10" s="138" t="s">
        <v>91</v>
      </c>
      <c r="F10" s="142">
        <v>1725</v>
      </c>
      <c r="G10" s="62" t="s">
        <v>19</v>
      </c>
      <c r="H10" s="139"/>
      <c r="I10" s="18"/>
      <c r="J10" s="141"/>
    </row>
    <row r="11" spans="1:13" ht="15" x14ac:dyDescent="0.25">
      <c r="B11" s="143">
        <v>118000004</v>
      </c>
      <c r="C11" s="143" t="s">
        <v>92</v>
      </c>
      <c r="D11" s="144" t="s">
        <v>93</v>
      </c>
      <c r="E11" s="138" t="s">
        <v>94</v>
      </c>
      <c r="F11" s="19">
        <v>22</v>
      </c>
      <c r="G11" s="62" t="s">
        <v>19</v>
      </c>
      <c r="H11" s="139"/>
      <c r="I11" s="18"/>
      <c r="J11" s="141"/>
    </row>
    <row r="12" spans="1:13" ht="15" x14ac:dyDescent="0.25">
      <c r="A12" s="121">
        <v>113000004</v>
      </c>
      <c r="B12" s="143">
        <v>1210482</v>
      </c>
      <c r="C12" s="143" t="s">
        <v>95</v>
      </c>
      <c r="D12" s="144" t="s">
        <v>96</v>
      </c>
      <c r="E12" s="145" t="s">
        <v>97</v>
      </c>
      <c r="F12" s="19">
        <v>1650</v>
      </c>
      <c r="G12" s="62" t="s">
        <v>19</v>
      </c>
      <c r="H12" s="139"/>
      <c r="I12" s="18"/>
      <c r="J12" s="141"/>
      <c r="L12" s="146"/>
    </row>
    <row r="13" spans="1:13" x14ac:dyDescent="0.25">
      <c r="B13" s="147"/>
      <c r="C13" s="147"/>
      <c r="D13" s="148" t="s">
        <v>98</v>
      </c>
      <c r="E13" s="138"/>
      <c r="F13" s="19"/>
      <c r="G13" s="142"/>
      <c r="H13" s="139"/>
      <c r="I13" s="139"/>
      <c r="J13" s="141"/>
    </row>
    <row r="14" spans="1:13" ht="15" x14ac:dyDescent="0.25">
      <c r="B14" s="22" t="s">
        <v>58</v>
      </c>
      <c r="C14" s="22" t="s">
        <v>59</v>
      </c>
      <c r="D14" s="1" t="s">
        <v>99</v>
      </c>
      <c r="E14" s="138" t="s">
        <v>100</v>
      </c>
      <c r="F14" s="19">
        <v>1</v>
      </c>
      <c r="G14" s="142" t="s">
        <v>21</v>
      </c>
      <c r="H14" s="139"/>
      <c r="I14" s="139"/>
      <c r="J14" s="141"/>
    </row>
    <row r="15" spans="1:13" ht="15" x14ac:dyDescent="0.25">
      <c r="B15" s="22" t="s">
        <v>101</v>
      </c>
      <c r="C15" s="22" t="s">
        <v>102</v>
      </c>
      <c r="D15" s="1" t="s">
        <v>103</v>
      </c>
      <c r="E15" s="18" t="s">
        <v>104</v>
      </c>
      <c r="F15" s="140">
        <v>1</v>
      </c>
      <c r="G15" s="140" t="s">
        <v>21</v>
      </c>
      <c r="H15" s="140"/>
      <c r="I15" s="140"/>
      <c r="J15" s="141"/>
    </row>
    <row r="16" spans="1:13" ht="14.25" thickBot="1" x14ac:dyDescent="0.3">
      <c r="B16" s="149"/>
      <c r="C16" s="150"/>
      <c r="F16" s="151"/>
      <c r="G16" s="152"/>
      <c r="J16" s="153"/>
      <c r="M16" s="154"/>
    </row>
    <row r="17" spans="2:14" ht="14.25" thickBot="1" x14ac:dyDescent="0.3">
      <c r="B17" s="155"/>
      <c r="C17" s="156"/>
      <c r="D17" s="157"/>
      <c r="E17" s="158"/>
      <c r="F17" s="159"/>
      <c r="G17" s="160"/>
      <c r="H17" s="157"/>
      <c r="I17" s="157"/>
      <c r="J17" s="161"/>
      <c r="M17" s="154"/>
    </row>
    <row r="18" spans="2:14" x14ac:dyDescent="0.25">
      <c r="B18" s="623" t="s">
        <v>23</v>
      </c>
      <c r="C18" s="624"/>
      <c r="D18" s="625"/>
      <c r="E18" s="19">
        <v>8000</v>
      </c>
      <c r="F18" s="162" t="s">
        <v>19</v>
      </c>
      <c r="G18" s="677" t="s">
        <v>105</v>
      </c>
      <c r="H18" s="677"/>
      <c r="I18" s="678" t="s">
        <v>257</v>
      </c>
      <c r="J18" s="679"/>
      <c r="M18" s="154"/>
    </row>
    <row r="19" spans="2:14" x14ac:dyDescent="0.25">
      <c r="B19" s="578" t="s">
        <v>24</v>
      </c>
      <c r="C19" s="579"/>
      <c r="D19" s="580"/>
      <c r="E19" s="18">
        <v>5</v>
      </c>
      <c r="F19" s="18" t="s">
        <v>25</v>
      </c>
      <c r="G19" s="581" t="s">
        <v>34</v>
      </c>
      <c r="H19" s="581"/>
      <c r="I19" s="582" t="s">
        <v>106</v>
      </c>
      <c r="J19" s="583"/>
      <c r="M19" s="154"/>
    </row>
    <row r="20" spans="2:14" x14ac:dyDescent="0.25">
      <c r="B20" s="578" t="s">
        <v>26</v>
      </c>
      <c r="C20" s="579"/>
      <c r="D20" s="580"/>
      <c r="E20" s="18">
        <v>4</v>
      </c>
      <c r="F20" s="163" t="s">
        <v>107</v>
      </c>
      <c r="G20" s="581" t="s">
        <v>108</v>
      </c>
      <c r="H20" s="581"/>
      <c r="I20" s="582"/>
      <c r="J20" s="583"/>
      <c r="M20" s="154"/>
    </row>
    <row r="21" spans="2:14" x14ac:dyDescent="0.25">
      <c r="B21" s="578" t="s">
        <v>27</v>
      </c>
      <c r="C21" s="579"/>
      <c r="D21" s="580"/>
      <c r="E21" s="139">
        <f>+E18/E20</f>
        <v>2000</v>
      </c>
      <c r="F21" s="18" t="s">
        <v>19</v>
      </c>
      <c r="G21" s="680" t="s">
        <v>109</v>
      </c>
      <c r="H21" s="681"/>
      <c r="I21" s="582"/>
      <c r="J21" s="583"/>
      <c r="M21" s="154"/>
      <c r="N21" s="164"/>
    </row>
    <row r="22" spans="2:14" ht="14.25" thickBot="1" x14ac:dyDescent="0.3">
      <c r="B22" s="642" t="s">
        <v>28</v>
      </c>
      <c r="C22" s="643"/>
      <c r="D22" s="644"/>
      <c r="E22" s="165">
        <v>80</v>
      </c>
      <c r="F22" s="166" t="s">
        <v>19</v>
      </c>
      <c r="G22" s="645"/>
      <c r="H22" s="645"/>
      <c r="I22" s="646"/>
      <c r="J22" s="647"/>
      <c r="M22" s="154"/>
    </row>
    <row r="23" spans="2:14" ht="14.25" thickBot="1" x14ac:dyDescent="0.3">
      <c r="B23" s="682"/>
      <c r="C23" s="683"/>
      <c r="D23" s="683"/>
      <c r="E23" s="683"/>
      <c r="F23" s="683"/>
      <c r="G23" s="683"/>
      <c r="H23" s="683"/>
      <c r="I23" s="683"/>
      <c r="J23" s="684"/>
    </row>
    <row r="24" spans="2:14" x14ac:dyDescent="0.25">
      <c r="B24" s="945" t="s">
        <v>110</v>
      </c>
      <c r="C24" s="946"/>
      <c r="D24" s="947"/>
      <c r="E24" s="947"/>
      <c r="F24" s="947"/>
      <c r="G24" s="947"/>
      <c r="H24" s="947"/>
      <c r="I24" s="947"/>
      <c r="J24" s="948"/>
    </row>
    <row r="25" spans="2:14" x14ac:dyDescent="0.25">
      <c r="B25" s="945" t="s">
        <v>111</v>
      </c>
      <c r="C25" s="946"/>
      <c r="D25" s="947"/>
      <c r="E25" s="947"/>
      <c r="F25" s="947"/>
      <c r="G25" s="947"/>
      <c r="H25" s="947"/>
      <c r="I25" s="947"/>
      <c r="J25" s="948"/>
    </row>
    <row r="26" spans="2:14" x14ac:dyDescent="0.25">
      <c r="B26" s="945" t="s">
        <v>112</v>
      </c>
      <c r="C26" s="946"/>
      <c r="D26" s="947"/>
      <c r="E26" s="947"/>
      <c r="F26" s="947"/>
      <c r="G26" s="947"/>
      <c r="H26" s="947"/>
      <c r="I26" s="947"/>
      <c r="J26" s="948"/>
    </row>
    <row r="27" spans="2:14" x14ac:dyDescent="0.25">
      <c r="B27" s="945" t="s">
        <v>258</v>
      </c>
      <c r="C27" s="946"/>
      <c r="D27" s="947"/>
      <c r="E27" s="947"/>
      <c r="F27" s="947"/>
      <c r="G27" s="947"/>
      <c r="H27" s="947"/>
      <c r="I27" s="947"/>
      <c r="J27" s="948"/>
    </row>
    <row r="28" spans="2:14" x14ac:dyDescent="0.25">
      <c r="B28" s="591"/>
      <c r="C28" s="592"/>
      <c r="D28" s="592"/>
      <c r="E28" s="592"/>
      <c r="F28" s="592"/>
      <c r="G28" s="592"/>
      <c r="H28" s="592"/>
      <c r="I28" s="592"/>
      <c r="J28" s="593"/>
    </row>
    <row r="29" spans="2:14" ht="14.25" thickBot="1" x14ac:dyDescent="0.3">
      <c r="B29" s="648"/>
      <c r="C29" s="649"/>
      <c r="D29" s="650"/>
      <c r="E29" s="650"/>
      <c r="F29" s="650"/>
      <c r="G29" s="650"/>
      <c r="H29" s="650"/>
      <c r="I29" s="650"/>
      <c r="J29" s="651"/>
    </row>
    <row r="30" spans="2:14" ht="14.25" thickBot="1" x14ac:dyDescent="0.3">
      <c r="B30" s="682" t="s">
        <v>113</v>
      </c>
      <c r="C30" s="683"/>
      <c r="D30" s="683"/>
      <c r="E30" s="683"/>
      <c r="F30" s="683"/>
      <c r="G30" s="683"/>
      <c r="H30" s="683"/>
      <c r="I30" s="683"/>
      <c r="J30" s="684"/>
    </row>
    <row r="31" spans="2:14" x14ac:dyDescent="0.25">
      <c r="B31" s="323" t="s">
        <v>259</v>
      </c>
      <c r="C31" s="323"/>
      <c r="D31" s="323"/>
    </row>
    <row r="32" spans="2:14" x14ac:dyDescent="0.25">
      <c r="B32" s="323" t="s">
        <v>260</v>
      </c>
      <c r="C32" s="323"/>
    </row>
  </sheetData>
  <mergeCells count="37">
    <mergeCell ref="B26:J26"/>
    <mergeCell ref="B27:J27"/>
    <mergeCell ref="B28:J28"/>
    <mergeCell ref="B29:J29"/>
    <mergeCell ref="B30:J30"/>
    <mergeCell ref="B25:J25"/>
    <mergeCell ref="B20:D20"/>
    <mergeCell ref="G20:H20"/>
    <mergeCell ref="I20:J20"/>
    <mergeCell ref="B21:D21"/>
    <mergeCell ref="G21:H21"/>
    <mergeCell ref="I21:J21"/>
    <mergeCell ref="B22:D22"/>
    <mergeCell ref="G22:H22"/>
    <mergeCell ref="I22:J22"/>
    <mergeCell ref="B23:J23"/>
    <mergeCell ref="B24:J24"/>
    <mergeCell ref="B18:D18"/>
    <mergeCell ref="G18:H18"/>
    <mergeCell ref="I18:J18"/>
    <mergeCell ref="B19:D19"/>
    <mergeCell ref="G19:H19"/>
    <mergeCell ref="I19:J19"/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276D-4C5C-4837-AFBF-51C34520476D}">
  <dimension ref="A1:L31"/>
  <sheetViews>
    <sheetView workbookViewId="0">
      <selection activeCell="B15" sqref="B15"/>
    </sheetView>
  </sheetViews>
  <sheetFormatPr baseColWidth="10" defaultColWidth="11.42578125" defaultRowHeight="13.5" x14ac:dyDescent="0.25"/>
  <cols>
    <col min="1" max="1" width="16.140625" style="121" customWidth="1"/>
    <col min="2" max="2" width="39.5703125" style="121" customWidth="1"/>
    <col min="3" max="3" width="14.140625" style="121" customWidth="1"/>
    <col min="4" max="6" width="11.42578125" style="121"/>
    <col min="7" max="7" width="14.28515625" style="121" customWidth="1"/>
    <col min="8" max="8" width="16" style="121" customWidth="1"/>
    <col min="9" max="16384" width="11.42578125" style="121"/>
  </cols>
  <sheetData>
    <row r="1" spans="1:8" ht="15.75" x14ac:dyDescent="0.25">
      <c r="A1" s="949"/>
      <c r="B1" s="611" t="s">
        <v>0</v>
      </c>
      <c r="C1" s="611"/>
      <c r="D1" s="611"/>
      <c r="E1" s="611"/>
      <c r="F1" s="611"/>
      <c r="G1" s="122" t="s">
        <v>1</v>
      </c>
      <c r="H1" s="123" t="s">
        <v>261</v>
      </c>
    </row>
    <row r="2" spans="1:8" ht="16.5" thickBot="1" x14ac:dyDescent="0.3">
      <c r="A2" s="950"/>
      <c r="B2" s="612" t="s">
        <v>2</v>
      </c>
      <c r="C2" s="612"/>
      <c r="D2" s="612"/>
      <c r="E2" s="612"/>
      <c r="F2" s="612"/>
      <c r="G2" s="124" t="s">
        <v>3</v>
      </c>
      <c r="H2" s="125"/>
    </row>
    <row r="3" spans="1:8" ht="18.75" thickBot="1" x14ac:dyDescent="0.3">
      <c r="A3" s="631"/>
      <c r="B3" s="951" t="s">
        <v>286</v>
      </c>
      <c r="C3" s="952"/>
      <c r="D3" s="952"/>
      <c r="E3" s="952"/>
      <c r="F3" s="953"/>
      <c r="G3" s="616" t="s">
        <v>4</v>
      </c>
      <c r="H3" s="606"/>
    </row>
    <row r="4" spans="1:8" x14ac:dyDescent="0.25">
      <c r="A4" s="950"/>
      <c r="B4" s="126" t="s">
        <v>5</v>
      </c>
      <c r="C4" s="659" t="s">
        <v>262</v>
      </c>
      <c r="D4" s="660"/>
      <c r="E4" s="660"/>
      <c r="F4" s="661"/>
      <c r="G4" s="617"/>
      <c r="H4" s="607"/>
    </row>
    <row r="5" spans="1:8" ht="14.25" thickBot="1" x14ac:dyDescent="0.3">
      <c r="A5" s="950"/>
      <c r="B5" s="321" t="s">
        <v>6</v>
      </c>
      <c r="C5" s="662" t="s">
        <v>263</v>
      </c>
      <c r="D5" s="663"/>
      <c r="E5" s="663"/>
      <c r="F5" s="664"/>
      <c r="G5" s="618"/>
      <c r="H5" s="607"/>
    </row>
    <row r="6" spans="1:8" ht="25.5" x14ac:dyDescent="0.25">
      <c r="A6" s="669" t="s">
        <v>9</v>
      </c>
      <c r="B6" s="665" t="s">
        <v>10</v>
      </c>
      <c r="C6" s="665" t="s">
        <v>11</v>
      </c>
      <c r="D6" s="665" t="s">
        <v>12</v>
      </c>
      <c r="E6" s="665"/>
      <c r="F6" s="665" t="s">
        <v>13</v>
      </c>
      <c r="G6" s="665"/>
      <c r="H6" s="322" t="s">
        <v>14</v>
      </c>
    </row>
    <row r="7" spans="1:8" ht="27" thickBot="1" x14ac:dyDescent="0.3">
      <c r="A7" s="670"/>
      <c r="B7" s="673"/>
      <c r="C7" s="673"/>
      <c r="D7" s="127" t="s">
        <v>15</v>
      </c>
      <c r="E7" s="128" t="s">
        <v>16</v>
      </c>
      <c r="F7" s="127" t="s">
        <v>15</v>
      </c>
      <c r="G7" s="128" t="s">
        <v>16</v>
      </c>
      <c r="H7" s="129" t="s">
        <v>17</v>
      </c>
    </row>
    <row r="8" spans="1:8" x14ac:dyDescent="0.25">
      <c r="A8" s="324"/>
      <c r="B8" s="148"/>
      <c r="C8" s="145"/>
      <c r="D8" s="19"/>
      <c r="E8" s="62"/>
      <c r="F8" s="19"/>
      <c r="G8" s="142"/>
      <c r="H8" s="325"/>
    </row>
    <row r="9" spans="1:8" ht="15" x14ac:dyDescent="0.25">
      <c r="A9" s="326" t="s">
        <v>264</v>
      </c>
      <c r="B9" s="327" t="s">
        <v>265</v>
      </c>
      <c r="C9" s="138" t="s">
        <v>266</v>
      </c>
      <c r="D9" s="142">
        <v>825</v>
      </c>
      <c r="E9" s="62" t="s">
        <v>19</v>
      </c>
      <c r="F9" s="328"/>
      <c r="G9" s="18"/>
      <c r="H9" s="141"/>
    </row>
    <row r="10" spans="1:8" ht="15" x14ac:dyDescent="0.25">
      <c r="A10" s="326" t="s">
        <v>267</v>
      </c>
      <c r="B10" s="327" t="s">
        <v>268</v>
      </c>
      <c r="C10" s="138" t="s">
        <v>269</v>
      </c>
      <c r="D10" s="19">
        <v>3300</v>
      </c>
      <c r="E10" s="62" t="s">
        <v>19</v>
      </c>
      <c r="F10" s="139"/>
      <c r="G10" s="18"/>
      <c r="H10" s="141"/>
    </row>
    <row r="11" spans="1:8" ht="15" x14ac:dyDescent="0.25">
      <c r="A11" s="326">
        <v>512255</v>
      </c>
      <c r="B11" s="327" t="s">
        <v>270</v>
      </c>
      <c r="C11" s="145" t="s">
        <v>271</v>
      </c>
      <c r="D11" s="19">
        <v>638</v>
      </c>
      <c r="E11" s="62" t="s">
        <v>19</v>
      </c>
      <c r="F11" s="328"/>
      <c r="G11" s="18"/>
      <c r="H11" s="141"/>
    </row>
    <row r="12" spans="1:8" ht="15" x14ac:dyDescent="0.25">
      <c r="A12" s="326"/>
      <c r="B12" s="329" t="s">
        <v>98</v>
      </c>
      <c r="C12" s="145"/>
      <c r="D12" s="19"/>
      <c r="E12" s="62"/>
      <c r="F12" s="19"/>
      <c r="G12" s="142"/>
      <c r="H12" s="141"/>
    </row>
    <row r="13" spans="1:8" ht="15" x14ac:dyDescent="0.25">
      <c r="A13" s="326" t="s">
        <v>272</v>
      </c>
      <c r="B13" s="327" t="s">
        <v>273</v>
      </c>
      <c r="C13" s="145" t="s">
        <v>104</v>
      </c>
      <c r="D13" s="19">
        <v>3</v>
      </c>
      <c r="E13" s="142" t="s">
        <v>274</v>
      </c>
      <c r="F13" s="19"/>
      <c r="G13" s="142"/>
      <c r="H13" s="141"/>
    </row>
    <row r="14" spans="1:8" ht="15" x14ac:dyDescent="0.25">
      <c r="A14" s="326" t="s">
        <v>275</v>
      </c>
      <c r="B14" s="327" t="s">
        <v>276</v>
      </c>
      <c r="C14" s="145" t="s">
        <v>61</v>
      </c>
      <c r="D14" s="19">
        <v>1</v>
      </c>
      <c r="E14" s="142" t="s">
        <v>277</v>
      </c>
      <c r="F14" s="19"/>
      <c r="G14" s="142"/>
      <c r="H14" s="141"/>
    </row>
    <row r="15" spans="1:8" ht="15" x14ac:dyDescent="0.25">
      <c r="A15" s="326" t="s">
        <v>278</v>
      </c>
      <c r="B15" s="327" t="s">
        <v>279</v>
      </c>
      <c r="C15" s="145" t="s">
        <v>104</v>
      </c>
      <c r="D15" s="19">
        <v>1</v>
      </c>
      <c r="E15" s="142" t="s">
        <v>277</v>
      </c>
      <c r="F15" s="19"/>
      <c r="G15" s="142"/>
      <c r="H15" s="141"/>
    </row>
    <row r="16" spans="1:8" ht="15" x14ac:dyDescent="0.25">
      <c r="A16" s="330"/>
      <c r="B16" s="148"/>
      <c r="C16" s="138"/>
      <c r="D16" s="19"/>
      <c r="E16" s="62"/>
      <c r="F16" s="19"/>
      <c r="G16" s="142"/>
      <c r="H16" s="141"/>
    </row>
    <row r="17" spans="1:12" ht="15.75" x14ac:dyDescent="0.25">
      <c r="A17" s="326"/>
      <c r="B17" s="327"/>
      <c r="C17" s="331"/>
      <c r="D17" s="332"/>
      <c r="E17" s="333"/>
      <c r="F17" s="334"/>
      <c r="G17" s="142"/>
      <c r="H17" s="141"/>
    </row>
    <row r="18" spans="1:12" ht="16.5" thickBot="1" x14ac:dyDescent="0.3">
      <c r="A18" s="326"/>
      <c r="B18" s="327"/>
      <c r="C18" s="335"/>
      <c r="D18" s="336"/>
      <c r="E18" s="337"/>
      <c r="F18" s="334"/>
      <c r="G18" s="142"/>
      <c r="H18" s="141"/>
    </row>
    <row r="19" spans="1:12" ht="14.25" thickBot="1" x14ac:dyDescent="0.3">
      <c r="A19" s="155"/>
      <c r="B19" s="157"/>
      <c r="C19" s="158" t="s">
        <v>15</v>
      </c>
      <c r="D19" s="159" t="s">
        <v>22</v>
      </c>
      <c r="E19" s="160"/>
      <c r="F19" s="157"/>
      <c r="G19" s="157"/>
      <c r="H19" s="161"/>
      <c r="K19" s="154"/>
    </row>
    <row r="20" spans="1:12" x14ac:dyDescent="0.25">
      <c r="A20" s="674" t="s">
        <v>23</v>
      </c>
      <c r="B20" s="676"/>
      <c r="C20" s="19">
        <v>4763</v>
      </c>
      <c r="D20" s="162" t="s">
        <v>19</v>
      </c>
      <c r="E20" s="677"/>
      <c r="F20" s="677"/>
      <c r="G20" s="678"/>
      <c r="H20" s="679"/>
      <c r="K20" s="154"/>
    </row>
    <row r="21" spans="1:12" x14ac:dyDescent="0.25">
      <c r="A21" s="578" t="s">
        <v>24</v>
      </c>
      <c r="B21" s="580"/>
      <c r="C21" s="338">
        <v>0.10416666666666667</v>
      </c>
      <c r="D21" s="18" t="s">
        <v>280</v>
      </c>
      <c r="E21" s="581"/>
      <c r="F21" s="581"/>
      <c r="G21" s="582"/>
      <c r="H21" s="583"/>
      <c r="K21" s="154"/>
    </row>
    <row r="22" spans="1:12" x14ac:dyDescent="0.25">
      <c r="A22" s="578" t="s">
        <v>26</v>
      </c>
      <c r="B22" s="580"/>
      <c r="C22" s="18">
        <v>1</v>
      </c>
      <c r="D22" s="18" t="s">
        <v>281</v>
      </c>
      <c r="E22" s="581"/>
      <c r="F22" s="581"/>
      <c r="G22" s="582"/>
      <c r="H22" s="583"/>
      <c r="K22" s="154"/>
    </row>
    <row r="23" spans="1:12" x14ac:dyDescent="0.25">
      <c r="A23" s="578" t="s">
        <v>282</v>
      </c>
      <c r="B23" s="580"/>
      <c r="C23" s="139">
        <f>+C20</f>
        <v>4763</v>
      </c>
      <c r="D23" s="18" t="s">
        <v>19</v>
      </c>
      <c r="E23" s="680" t="s">
        <v>283</v>
      </c>
      <c r="F23" s="681"/>
      <c r="G23" s="582"/>
      <c r="H23" s="583"/>
      <c r="K23" s="154"/>
      <c r="L23" s="164"/>
    </row>
    <row r="24" spans="1:12" ht="14.25" thickBot="1" x14ac:dyDescent="0.3">
      <c r="A24" s="685" t="s">
        <v>28</v>
      </c>
      <c r="B24" s="686"/>
      <c r="C24" s="165">
        <f>SUM(D9:D11)-C20</f>
        <v>0</v>
      </c>
      <c r="D24" s="166" t="s">
        <v>19</v>
      </c>
      <c r="E24" s="645"/>
      <c r="F24" s="645"/>
      <c r="G24" s="646"/>
      <c r="H24" s="647"/>
      <c r="K24" s="154"/>
    </row>
    <row r="25" spans="1:12" ht="14.25" thickBot="1" x14ac:dyDescent="0.3">
      <c r="A25" s="682" t="s">
        <v>29</v>
      </c>
      <c r="B25" s="683"/>
      <c r="C25" s="683"/>
      <c r="D25" s="683"/>
      <c r="E25" s="683"/>
      <c r="F25" s="683"/>
      <c r="G25" s="683"/>
      <c r="H25" s="684"/>
    </row>
    <row r="26" spans="1:12" x14ac:dyDescent="0.25">
      <c r="A26" s="945" t="s">
        <v>284</v>
      </c>
      <c r="B26" s="947"/>
      <c r="C26" s="947"/>
      <c r="D26" s="947"/>
      <c r="E26" s="947"/>
      <c r="F26" s="947"/>
      <c r="G26" s="947"/>
      <c r="H26" s="948"/>
    </row>
    <row r="27" spans="1:12" x14ac:dyDescent="0.25">
      <c r="A27" s="945" t="s">
        <v>285</v>
      </c>
      <c r="B27" s="947"/>
      <c r="C27" s="947"/>
      <c r="D27" s="947"/>
      <c r="E27" s="947"/>
      <c r="F27" s="947"/>
      <c r="G27" s="947"/>
      <c r="H27" s="948"/>
    </row>
    <row r="28" spans="1:12" x14ac:dyDescent="0.25">
      <c r="A28" s="591"/>
      <c r="B28" s="592"/>
      <c r="C28" s="592"/>
      <c r="D28" s="592"/>
      <c r="E28" s="592"/>
      <c r="F28" s="592"/>
      <c r="G28" s="592"/>
      <c r="H28" s="593"/>
    </row>
    <row r="29" spans="1:12" ht="14.25" thickBot="1" x14ac:dyDescent="0.3">
      <c r="A29" s="648"/>
      <c r="B29" s="650"/>
      <c r="C29" s="650"/>
      <c r="D29" s="650"/>
      <c r="E29" s="650"/>
      <c r="F29" s="650"/>
      <c r="G29" s="650"/>
      <c r="H29" s="651"/>
    </row>
    <row r="31" spans="1:12" x14ac:dyDescent="0.25">
      <c r="A31" s="323"/>
      <c r="B31" s="323"/>
    </row>
  </sheetData>
  <mergeCells count="33">
    <mergeCell ref="A25:H25"/>
    <mergeCell ref="A26:H26"/>
    <mergeCell ref="A27:H27"/>
    <mergeCell ref="A28:H28"/>
    <mergeCell ref="A29:H29"/>
    <mergeCell ref="A23:B23"/>
    <mergeCell ref="E23:F23"/>
    <mergeCell ref="G23:H23"/>
    <mergeCell ref="A24:B24"/>
    <mergeCell ref="E24:F24"/>
    <mergeCell ref="G24:H24"/>
    <mergeCell ref="A21:B21"/>
    <mergeCell ref="E21:F21"/>
    <mergeCell ref="G21:H21"/>
    <mergeCell ref="A22:B22"/>
    <mergeCell ref="E22:F22"/>
    <mergeCell ref="G22:H22"/>
    <mergeCell ref="A20:B20"/>
    <mergeCell ref="E20:F20"/>
    <mergeCell ref="G20:H20"/>
    <mergeCell ref="A1:A5"/>
    <mergeCell ref="B1:F1"/>
    <mergeCell ref="B2:F2"/>
    <mergeCell ref="B3:F3"/>
    <mergeCell ref="G3:G5"/>
    <mergeCell ref="H3:H5"/>
    <mergeCell ref="C4:F4"/>
    <mergeCell ref="C5:F5"/>
    <mergeCell ref="A6:A7"/>
    <mergeCell ref="B6:B7"/>
    <mergeCell ref="C6:C7"/>
    <mergeCell ref="D6:E6"/>
    <mergeCell ref="F6:G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4DAB-8C61-41E4-ACD1-B8B961C873EE}">
  <dimension ref="A1:K34"/>
  <sheetViews>
    <sheetView topLeftCell="A10" workbookViewId="0">
      <selection activeCell="A15" sqref="A15:A16"/>
    </sheetView>
  </sheetViews>
  <sheetFormatPr baseColWidth="10" defaultRowHeight="15" x14ac:dyDescent="0.25"/>
  <cols>
    <col min="3" max="3" width="41.7109375" customWidth="1"/>
    <col min="8" max="8" width="16.140625" customWidth="1"/>
    <col min="9" max="9" width="15.5703125" customWidth="1"/>
    <col min="259" max="259" width="41.7109375" customWidth="1"/>
    <col min="264" max="264" width="16.140625" customWidth="1"/>
    <col min="265" max="265" width="15.5703125" customWidth="1"/>
    <col min="515" max="515" width="41.7109375" customWidth="1"/>
    <col min="520" max="520" width="16.140625" customWidth="1"/>
    <col min="521" max="521" width="15.5703125" customWidth="1"/>
    <col min="771" max="771" width="41.7109375" customWidth="1"/>
    <col min="776" max="776" width="16.140625" customWidth="1"/>
    <col min="777" max="777" width="15.5703125" customWidth="1"/>
    <col min="1027" max="1027" width="41.7109375" customWidth="1"/>
    <col min="1032" max="1032" width="16.140625" customWidth="1"/>
    <col min="1033" max="1033" width="15.5703125" customWidth="1"/>
    <col min="1283" max="1283" width="41.7109375" customWidth="1"/>
    <col min="1288" max="1288" width="16.140625" customWidth="1"/>
    <col min="1289" max="1289" width="15.5703125" customWidth="1"/>
    <col min="1539" max="1539" width="41.7109375" customWidth="1"/>
    <col min="1544" max="1544" width="16.140625" customWidth="1"/>
    <col min="1545" max="1545" width="15.5703125" customWidth="1"/>
    <col min="1795" max="1795" width="41.7109375" customWidth="1"/>
    <col min="1800" max="1800" width="16.140625" customWidth="1"/>
    <col min="1801" max="1801" width="15.5703125" customWidth="1"/>
    <col min="2051" max="2051" width="41.7109375" customWidth="1"/>
    <col min="2056" max="2056" width="16.140625" customWidth="1"/>
    <col min="2057" max="2057" width="15.5703125" customWidth="1"/>
    <col min="2307" max="2307" width="41.7109375" customWidth="1"/>
    <col min="2312" max="2312" width="16.140625" customWidth="1"/>
    <col min="2313" max="2313" width="15.5703125" customWidth="1"/>
    <col min="2563" max="2563" width="41.7109375" customWidth="1"/>
    <col min="2568" max="2568" width="16.140625" customWidth="1"/>
    <col min="2569" max="2569" width="15.5703125" customWidth="1"/>
    <col min="2819" max="2819" width="41.7109375" customWidth="1"/>
    <col min="2824" max="2824" width="16.140625" customWidth="1"/>
    <col min="2825" max="2825" width="15.5703125" customWidth="1"/>
    <col min="3075" max="3075" width="41.7109375" customWidth="1"/>
    <col min="3080" max="3080" width="16.140625" customWidth="1"/>
    <col min="3081" max="3081" width="15.5703125" customWidth="1"/>
    <col min="3331" max="3331" width="41.7109375" customWidth="1"/>
    <col min="3336" max="3336" width="16.140625" customWidth="1"/>
    <col min="3337" max="3337" width="15.5703125" customWidth="1"/>
    <col min="3587" max="3587" width="41.7109375" customWidth="1"/>
    <col min="3592" max="3592" width="16.140625" customWidth="1"/>
    <col min="3593" max="3593" width="15.5703125" customWidth="1"/>
    <col min="3843" max="3843" width="41.7109375" customWidth="1"/>
    <col min="3848" max="3848" width="16.140625" customWidth="1"/>
    <col min="3849" max="3849" width="15.5703125" customWidth="1"/>
    <col min="4099" max="4099" width="41.7109375" customWidth="1"/>
    <col min="4104" max="4104" width="16.140625" customWidth="1"/>
    <col min="4105" max="4105" width="15.5703125" customWidth="1"/>
    <col min="4355" max="4355" width="41.7109375" customWidth="1"/>
    <col min="4360" max="4360" width="16.140625" customWidth="1"/>
    <col min="4361" max="4361" width="15.5703125" customWidth="1"/>
    <col min="4611" max="4611" width="41.7109375" customWidth="1"/>
    <col min="4616" max="4616" width="16.140625" customWidth="1"/>
    <col min="4617" max="4617" width="15.5703125" customWidth="1"/>
    <col min="4867" max="4867" width="41.7109375" customWidth="1"/>
    <col min="4872" max="4872" width="16.140625" customWidth="1"/>
    <col min="4873" max="4873" width="15.5703125" customWidth="1"/>
    <col min="5123" max="5123" width="41.7109375" customWidth="1"/>
    <col min="5128" max="5128" width="16.140625" customWidth="1"/>
    <col min="5129" max="5129" width="15.5703125" customWidth="1"/>
    <col min="5379" max="5379" width="41.7109375" customWidth="1"/>
    <col min="5384" max="5384" width="16.140625" customWidth="1"/>
    <col min="5385" max="5385" width="15.5703125" customWidth="1"/>
    <col min="5635" max="5635" width="41.7109375" customWidth="1"/>
    <col min="5640" max="5640" width="16.140625" customWidth="1"/>
    <col min="5641" max="5641" width="15.5703125" customWidth="1"/>
    <col min="5891" max="5891" width="41.7109375" customWidth="1"/>
    <col min="5896" max="5896" width="16.140625" customWidth="1"/>
    <col min="5897" max="5897" width="15.5703125" customWidth="1"/>
    <col min="6147" max="6147" width="41.7109375" customWidth="1"/>
    <col min="6152" max="6152" width="16.140625" customWidth="1"/>
    <col min="6153" max="6153" width="15.5703125" customWidth="1"/>
    <col min="6403" max="6403" width="41.7109375" customWidth="1"/>
    <col min="6408" max="6408" width="16.140625" customWidth="1"/>
    <col min="6409" max="6409" width="15.5703125" customWidth="1"/>
    <col min="6659" max="6659" width="41.7109375" customWidth="1"/>
    <col min="6664" max="6664" width="16.140625" customWidth="1"/>
    <col min="6665" max="6665" width="15.5703125" customWidth="1"/>
    <col min="6915" max="6915" width="41.7109375" customWidth="1"/>
    <col min="6920" max="6920" width="16.140625" customWidth="1"/>
    <col min="6921" max="6921" width="15.5703125" customWidth="1"/>
    <col min="7171" max="7171" width="41.7109375" customWidth="1"/>
    <col min="7176" max="7176" width="16.140625" customWidth="1"/>
    <col min="7177" max="7177" width="15.5703125" customWidth="1"/>
    <col min="7427" max="7427" width="41.7109375" customWidth="1"/>
    <col min="7432" max="7432" width="16.140625" customWidth="1"/>
    <col min="7433" max="7433" width="15.5703125" customWidth="1"/>
    <col min="7683" max="7683" width="41.7109375" customWidth="1"/>
    <col min="7688" max="7688" width="16.140625" customWidth="1"/>
    <col min="7689" max="7689" width="15.5703125" customWidth="1"/>
    <col min="7939" max="7939" width="41.7109375" customWidth="1"/>
    <col min="7944" max="7944" width="16.140625" customWidth="1"/>
    <col min="7945" max="7945" width="15.5703125" customWidth="1"/>
    <col min="8195" max="8195" width="41.7109375" customWidth="1"/>
    <col min="8200" max="8200" width="16.140625" customWidth="1"/>
    <col min="8201" max="8201" width="15.5703125" customWidth="1"/>
    <col min="8451" max="8451" width="41.7109375" customWidth="1"/>
    <col min="8456" max="8456" width="16.140625" customWidth="1"/>
    <col min="8457" max="8457" width="15.5703125" customWidth="1"/>
    <col min="8707" max="8707" width="41.7109375" customWidth="1"/>
    <col min="8712" max="8712" width="16.140625" customWidth="1"/>
    <col min="8713" max="8713" width="15.5703125" customWidth="1"/>
    <col min="8963" max="8963" width="41.7109375" customWidth="1"/>
    <col min="8968" max="8968" width="16.140625" customWidth="1"/>
    <col min="8969" max="8969" width="15.5703125" customWidth="1"/>
    <col min="9219" max="9219" width="41.7109375" customWidth="1"/>
    <col min="9224" max="9224" width="16.140625" customWidth="1"/>
    <col min="9225" max="9225" width="15.5703125" customWidth="1"/>
    <col min="9475" max="9475" width="41.7109375" customWidth="1"/>
    <col min="9480" max="9480" width="16.140625" customWidth="1"/>
    <col min="9481" max="9481" width="15.5703125" customWidth="1"/>
    <col min="9731" max="9731" width="41.7109375" customWidth="1"/>
    <col min="9736" max="9736" width="16.140625" customWidth="1"/>
    <col min="9737" max="9737" width="15.5703125" customWidth="1"/>
    <col min="9987" max="9987" width="41.7109375" customWidth="1"/>
    <col min="9992" max="9992" width="16.140625" customWidth="1"/>
    <col min="9993" max="9993" width="15.5703125" customWidth="1"/>
    <col min="10243" max="10243" width="41.7109375" customWidth="1"/>
    <col min="10248" max="10248" width="16.140625" customWidth="1"/>
    <col min="10249" max="10249" width="15.5703125" customWidth="1"/>
    <col min="10499" max="10499" width="41.7109375" customWidth="1"/>
    <col min="10504" max="10504" width="16.140625" customWidth="1"/>
    <col min="10505" max="10505" width="15.5703125" customWidth="1"/>
    <col min="10755" max="10755" width="41.7109375" customWidth="1"/>
    <col min="10760" max="10760" width="16.140625" customWidth="1"/>
    <col min="10761" max="10761" width="15.5703125" customWidth="1"/>
    <col min="11011" max="11011" width="41.7109375" customWidth="1"/>
    <col min="11016" max="11016" width="16.140625" customWidth="1"/>
    <col min="11017" max="11017" width="15.5703125" customWidth="1"/>
    <col min="11267" max="11267" width="41.7109375" customWidth="1"/>
    <col min="11272" max="11272" width="16.140625" customWidth="1"/>
    <col min="11273" max="11273" width="15.5703125" customWidth="1"/>
    <col min="11523" max="11523" width="41.7109375" customWidth="1"/>
    <col min="11528" max="11528" width="16.140625" customWidth="1"/>
    <col min="11529" max="11529" width="15.5703125" customWidth="1"/>
    <col min="11779" max="11779" width="41.7109375" customWidth="1"/>
    <col min="11784" max="11784" width="16.140625" customWidth="1"/>
    <col min="11785" max="11785" width="15.5703125" customWidth="1"/>
    <col min="12035" max="12035" width="41.7109375" customWidth="1"/>
    <col min="12040" max="12040" width="16.140625" customWidth="1"/>
    <col min="12041" max="12041" width="15.5703125" customWidth="1"/>
    <col min="12291" max="12291" width="41.7109375" customWidth="1"/>
    <col min="12296" max="12296" width="16.140625" customWidth="1"/>
    <col min="12297" max="12297" width="15.5703125" customWidth="1"/>
    <col min="12547" max="12547" width="41.7109375" customWidth="1"/>
    <col min="12552" max="12552" width="16.140625" customWidth="1"/>
    <col min="12553" max="12553" width="15.5703125" customWidth="1"/>
    <col min="12803" max="12803" width="41.7109375" customWidth="1"/>
    <col min="12808" max="12808" width="16.140625" customWidth="1"/>
    <col min="12809" max="12809" width="15.5703125" customWidth="1"/>
    <col min="13059" max="13059" width="41.7109375" customWidth="1"/>
    <col min="13064" max="13064" width="16.140625" customWidth="1"/>
    <col min="13065" max="13065" width="15.5703125" customWidth="1"/>
    <col min="13315" max="13315" width="41.7109375" customWidth="1"/>
    <col min="13320" max="13320" width="16.140625" customWidth="1"/>
    <col min="13321" max="13321" width="15.5703125" customWidth="1"/>
    <col min="13571" max="13571" width="41.7109375" customWidth="1"/>
    <col min="13576" max="13576" width="16.140625" customWidth="1"/>
    <col min="13577" max="13577" width="15.5703125" customWidth="1"/>
    <col min="13827" max="13827" width="41.7109375" customWidth="1"/>
    <col min="13832" max="13832" width="16.140625" customWidth="1"/>
    <col min="13833" max="13833" width="15.5703125" customWidth="1"/>
    <col min="14083" max="14083" width="41.7109375" customWidth="1"/>
    <col min="14088" max="14088" width="16.140625" customWidth="1"/>
    <col min="14089" max="14089" width="15.5703125" customWidth="1"/>
    <col min="14339" max="14339" width="41.7109375" customWidth="1"/>
    <col min="14344" max="14344" width="16.140625" customWidth="1"/>
    <col min="14345" max="14345" width="15.5703125" customWidth="1"/>
    <col min="14595" max="14595" width="41.7109375" customWidth="1"/>
    <col min="14600" max="14600" width="16.140625" customWidth="1"/>
    <col min="14601" max="14601" width="15.5703125" customWidth="1"/>
    <col min="14851" max="14851" width="41.7109375" customWidth="1"/>
    <col min="14856" max="14856" width="16.140625" customWidth="1"/>
    <col min="14857" max="14857" width="15.5703125" customWidth="1"/>
    <col min="15107" max="15107" width="41.7109375" customWidth="1"/>
    <col min="15112" max="15112" width="16.140625" customWidth="1"/>
    <col min="15113" max="15113" width="15.5703125" customWidth="1"/>
    <col min="15363" max="15363" width="41.7109375" customWidth="1"/>
    <col min="15368" max="15368" width="16.140625" customWidth="1"/>
    <col min="15369" max="15369" width="15.5703125" customWidth="1"/>
    <col min="15619" max="15619" width="41.7109375" customWidth="1"/>
    <col min="15624" max="15624" width="16.140625" customWidth="1"/>
    <col min="15625" max="15625" width="15.5703125" customWidth="1"/>
    <col min="15875" max="15875" width="41.7109375" customWidth="1"/>
    <col min="15880" max="15880" width="16.140625" customWidth="1"/>
    <col min="15881" max="15881" width="15.5703125" customWidth="1"/>
    <col min="16131" max="16131" width="41.7109375" customWidth="1"/>
    <col min="16136" max="16136" width="16.140625" customWidth="1"/>
    <col min="16137" max="16137" width="15.5703125" customWidth="1"/>
  </cols>
  <sheetData>
    <row r="1" spans="1:11" ht="15.75" x14ac:dyDescent="0.25">
      <c r="A1" s="933"/>
      <c r="B1" s="934"/>
      <c r="C1" s="937" t="s">
        <v>0</v>
      </c>
      <c r="D1" s="937"/>
      <c r="E1" s="937"/>
      <c r="F1" s="937"/>
      <c r="G1" s="938"/>
      <c r="H1" s="69" t="s">
        <v>1</v>
      </c>
      <c r="I1" s="70"/>
    </row>
    <row r="2" spans="1:11" ht="16.5" thickBot="1" x14ac:dyDescent="0.3">
      <c r="A2" s="935"/>
      <c r="B2" s="936"/>
      <c r="C2" s="939" t="s">
        <v>2</v>
      </c>
      <c r="D2" s="939"/>
      <c r="E2" s="939"/>
      <c r="F2" s="939"/>
      <c r="G2" s="940"/>
      <c r="H2" s="71" t="s">
        <v>3</v>
      </c>
      <c r="I2" s="72"/>
    </row>
    <row r="3" spans="1:11" ht="18.75" thickBot="1" x14ac:dyDescent="0.3">
      <c r="A3" s="935"/>
      <c r="B3" s="936"/>
      <c r="C3" s="941" t="s">
        <v>119</v>
      </c>
      <c r="D3" s="941"/>
      <c r="E3" s="941"/>
      <c r="F3" s="941"/>
      <c r="G3" s="941"/>
      <c r="H3" s="942" t="s">
        <v>4</v>
      </c>
      <c r="I3" s="930"/>
      <c r="K3" s="73"/>
    </row>
    <row r="4" spans="1:11" x14ac:dyDescent="0.25">
      <c r="A4" s="935"/>
      <c r="B4" s="936"/>
      <c r="C4" s="74" t="s">
        <v>5</v>
      </c>
      <c r="D4" s="931" t="s">
        <v>114</v>
      </c>
      <c r="E4" s="932"/>
      <c r="F4" s="932"/>
      <c r="G4" s="932"/>
      <c r="H4" s="943"/>
      <c r="I4" s="930"/>
    </row>
    <row r="5" spans="1:11" x14ac:dyDescent="0.25">
      <c r="A5" s="935"/>
      <c r="B5" s="936"/>
      <c r="C5" s="75" t="s">
        <v>6</v>
      </c>
      <c r="D5" s="889" t="s">
        <v>31</v>
      </c>
      <c r="E5" s="890"/>
      <c r="F5" s="890"/>
      <c r="G5" s="890"/>
      <c r="H5" s="944"/>
      <c r="I5" s="930"/>
    </row>
    <row r="6" spans="1:11" ht="18.75" thickBot="1" x14ac:dyDescent="0.3">
      <c r="A6" s="919" t="s">
        <v>7</v>
      </c>
      <c r="B6" s="919"/>
      <c r="C6" s="919"/>
      <c r="D6" s="920" t="s">
        <v>122</v>
      </c>
      <c r="E6" s="920"/>
      <c r="F6" s="920"/>
      <c r="G6" s="921" t="s">
        <v>8</v>
      </c>
      <c r="H6" s="921"/>
      <c r="I6" s="76" t="s">
        <v>123</v>
      </c>
    </row>
    <row r="7" spans="1:11" ht="25.5" x14ac:dyDescent="0.25">
      <c r="A7" s="922" t="s">
        <v>9</v>
      </c>
      <c r="B7" s="924" t="s">
        <v>80</v>
      </c>
      <c r="C7" s="926" t="s">
        <v>10</v>
      </c>
      <c r="D7" s="926" t="s">
        <v>11</v>
      </c>
      <c r="E7" s="928" t="s">
        <v>12</v>
      </c>
      <c r="F7" s="929"/>
      <c r="G7" s="928" t="s">
        <v>13</v>
      </c>
      <c r="H7" s="929"/>
      <c r="I7" s="77" t="s">
        <v>14</v>
      </c>
    </row>
    <row r="8" spans="1:11" ht="27" thickBot="1" x14ac:dyDescent="0.3">
      <c r="A8" s="923"/>
      <c r="B8" s="925"/>
      <c r="C8" s="927"/>
      <c r="D8" s="927"/>
      <c r="E8" s="78" t="s">
        <v>15</v>
      </c>
      <c r="F8" s="79" t="s">
        <v>16</v>
      </c>
      <c r="G8" s="78" t="s">
        <v>15</v>
      </c>
      <c r="H8" s="79" t="s">
        <v>16</v>
      </c>
      <c r="I8" s="80" t="s">
        <v>17</v>
      </c>
    </row>
    <row r="9" spans="1:11" ht="15.75" x14ac:dyDescent="0.25">
      <c r="A9" s="81"/>
      <c r="B9" s="172"/>
      <c r="C9" s="82" t="s">
        <v>81</v>
      </c>
      <c r="D9" s="83"/>
      <c r="E9" s="84"/>
      <c r="F9" s="84"/>
      <c r="G9" s="85"/>
      <c r="H9" s="4"/>
      <c r="I9" s="4"/>
    </row>
    <row r="10" spans="1:11" ht="15.75" x14ac:dyDescent="0.25">
      <c r="A10" s="86"/>
      <c r="B10" s="86"/>
      <c r="C10" s="87" t="s">
        <v>120</v>
      </c>
      <c r="D10" s="4" t="s">
        <v>18</v>
      </c>
      <c r="E10" s="4">
        <v>430</v>
      </c>
      <c r="F10" s="4"/>
      <c r="G10" s="4"/>
      <c r="H10" s="4"/>
      <c r="I10" s="4"/>
    </row>
    <row r="11" spans="1:11" ht="15.75" x14ac:dyDescent="0.25">
      <c r="A11" s="32"/>
      <c r="B11" s="32"/>
      <c r="C11" s="88"/>
      <c r="D11" s="4"/>
      <c r="E11" s="4"/>
      <c r="F11" s="4"/>
      <c r="G11" s="4"/>
      <c r="H11" s="4"/>
      <c r="I11" s="4"/>
    </row>
    <row r="12" spans="1:11" ht="15.75" x14ac:dyDescent="0.25">
      <c r="A12" s="119"/>
      <c r="B12" s="1"/>
      <c r="C12" s="1"/>
      <c r="D12" s="4"/>
      <c r="E12" s="4"/>
      <c r="F12" s="4"/>
      <c r="G12" s="4"/>
      <c r="H12" s="4"/>
      <c r="I12" s="4"/>
    </row>
    <row r="13" spans="1:11" ht="15.75" x14ac:dyDescent="0.25">
      <c r="A13" s="32"/>
      <c r="B13" s="32"/>
      <c r="C13" s="88"/>
      <c r="D13" s="4"/>
      <c r="E13" s="4"/>
      <c r="F13" s="4"/>
      <c r="G13" s="4"/>
      <c r="H13" s="4"/>
      <c r="I13" s="4"/>
    </row>
    <row r="14" spans="1:11" ht="15.75" x14ac:dyDescent="0.25">
      <c r="A14" s="120"/>
      <c r="B14" s="120"/>
      <c r="C14" s="89" t="s">
        <v>118</v>
      </c>
      <c r="D14" s="4"/>
      <c r="E14" s="4"/>
      <c r="F14" s="4"/>
      <c r="G14" s="90"/>
      <c r="H14" s="4"/>
      <c r="I14" s="91"/>
    </row>
    <row r="15" spans="1:11" ht="15.75" x14ac:dyDescent="0.25">
      <c r="A15" s="22" t="s">
        <v>101</v>
      </c>
      <c r="B15" s="22" t="s">
        <v>102</v>
      </c>
      <c r="C15" s="1" t="s">
        <v>103</v>
      </c>
      <c r="D15" s="18" t="s">
        <v>104</v>
      </c>
      <c r="E15" s="140">
        <v>1</v>
      </c>
      <c r="F15" s="140" t="s">
        <v>21</v>
      </c>
      <c r="G15" s="90"/>
      <c r="H15" s="4"/>
      <c r="I15" s="91"/>
    </row>
    <row r="16" spans="1:11" ht="15.75" x14ac:dyDescent="0.25">
      <c r="A16" s="22" t="s">
        <v>58</v>
      </c>
      <c r="B16" s="22" t="s">
        <v>59</v>
      </c>
      <c r="C16" s="1" t="s">
        <v>99</v>
      </c>
      <c r="D16" s="138" t="s">
        <v>100</v>
      </c>
      <c r="E16" s="19">
        <v>1</v>
      </c>
      <c r="F16" s="142" t="s">
        <v>21</v>
      </c>
      <c r="G16" s="90"/>
      <c r="H16" s="4"/>
      <c r="I16" s="91"/>
    </row>
    <row r="17" spans="1:9" ht="15.75" x14ac:dyDescent="0.25">
      <c r="A17" s="92"/>
      <c r="B17" s="93"/>
      <c r="C17" s="88"/>
      <c r="D17" s="4"/>
      <c r="E17" s="4"/>
      <c r="F17" s="4"/>
      <c r="G17" s="90"/>
      <c r="H17" s="4"/>
      <c r="I17" s="91"/>
    </row>
    <row r="18" spans="1:9" ht="15.75" x14ac:dyDescent="0.25">
      <c r="A18" s="92"/>
      <c r="B18" s="93"/>
      <c r="C18" s="88"/>
      <c r="D18" s="4"/>
      <c r="E18" s="94"/>
      <c r="F18" s="95"/>
      <c r="G18" s="85"/>
      <c r="H18" s="85"/>
      <c r="I18" s="96"/>
    </row>
    <row r="19" spans="1:9" ht="15.75" thickBot="1" x14ac:dyDescent="0.3">
      <c r="A19" s="97"/>
      <c r="B19" s="98"/>
      <c r="C19" s="99"/>
      <c r="D19" s="99"/>
      <c r="E19" s="100"/>
      <c r="F19" s="101"/>
      <c r="G19" s="100"/>
      <c r="H19" s="100"/>
      <c r="I19" s="102"/>
    </row>
    <row r="20" spans="1:9" ht="15.75" thickBot="1" x14ac:dyDescent="0.3">
      <c r="A20" s="103"/>
      <c r="B20" s="104"/>
      <c r="C20" s="105"/>
      <c r="D20" s="105"/>
      <c r="E20" s="106"/>
      <c r="F20" s="107"/>
      <c r="G20" s="105"/>
      <c r="H20" s="105"/>
      <c r="I20" s="108"/>
    </row>
    <row r="21" spans="1:9" ht="15.75" thickBot="1" x14ac:dyDescent="0.3">
      <c r="A21" s="109"/>
      <c r="B21" s="110"/>
      <c r="C21" s="111"/>
      <c r="D21" s="112" t="s">
        <v>15</v>
      </c>
      <c r="E21" s="112" t="s">
        <v>22</v>
      </c>
      <c r="F21" s="113"/>
      <c r="G21" s="111"/>
      <c r="H21" s="111"/>
      <c r="I21" s="114"/>
    </row>
    <row r="22" spans="1:9" x14ac:dyDescent="0.25">
      <c r="A22" s="912" t="s">
        <v>23</v>
      </c>
      <c r="B22" s="913"/>
      <c r="C22" s="914"/>
      <c r="D22" s="5">
        <v>430</v>
      </c>
      <c r="E22" s="115" t="s">
        <v>19</v>
      </c>
      <c r="F22" s="915" t="s">
        <v>33</v>
      </c>
      <c r="G22" s="916"/>
      <c r="H22" s="917"/>
      <c r="I22" s="918"/>
    </row>
    <row r="23" spans="1:9" x14ac:dyDescent="0.25">
      <c r="A23" s="903" t="s">
        <v>24</v>
      </c>
      <c r="B23" s="904"/>
      <c r="C23" s="905"/>
      <c r="D23" s="116">
        <v>1</v>
      </c>
      <c r="E23" s="55" t="s">
        <v>25</v>
      </c>
      <c r="F23" s="906" t="s">
        <v>34</v>
      </c>
      <c r="G23" s="907"/>
      <c r="H23" s="908"/>
      <c r="I23" s="909"/>
    </row>
    <row r="24" spans="1:9" x14ac:dyDescent="0.25">
      <c r="A24" s="903" t="s">
        <v>26</v>
      </c>
      <c r="B24" s="904"/>
      <c r="C24" s="905"/>
      <c r="D24" s="2">
        <v>1</v>
      </c>
      <c r="E24" s="55" t="s">
        <v>82</v>
      </c>
      <c r="F24" s="906" t="s">
        <v>35</v>
      </c>
      <c r="G24" s="907"/>
      <c r="H24" s="908"/>
      <c r="I24" s="909"/>
    </row>
    <row r="25" spans="1:9" x14ac:dyDescent="0.25">
      <c r="A25" s="903" t="s">
        <v>27</v>
      </c>
      <c r="B25" s="904"/>
      <c r="C25" s="905"/>
      <c r="D25" s="2">
        <v>430</v>
      </c>
      <c r="E25" s="55" t="s">
        <v>19</v>
      </c>
      <c r="F25" s="910" t="s">
        <v>36</v>
      </c>
      <c r="G25" s="911"/>
      <c r="H25" s="908"/>
      <c r="I25" s="909"/>
    </row>
    <row r="26" spans="1:9" ht="15.75" thickBot="1" x14ac:dyDescent="0.3">
      <c r="A26" s="892" t="s">
        <v>28</v>
      </c>
      <c r="B26" s="893"/>
      <c r="C26" s="894"/>
      <c r="D26" s="117">
        <v>0</v>
      </c>
      <c r="E26" s="118" t="s">
        <v>19</v>
      </c>
      <c r="F26" s="895"/>
      <c r="G26" s="896"/>
      <c r="H26" s="897"/>
      <c r="I26" s="898"/>
    </row>
    <row r="27" spans="1:9" ht="15.75" thickBot="1" x14ac:dyDescent="0.3">
      <c r="A27" s="899" t="s">
        <v>29</v>
      </c>
      <c r="B27" s="900"/>
      <c r="C27" s="900"/>
      <c r="D27" s="900"/>
      <c r="E27" s="900"/>
      <c r="F27" s="900"/>
      <c r="G27" s="900"/>
      <c r="H27" s="900"/>
      <c r="I27" s="900"/>
    </row>
    <row r="28" spans="1:9" x14ac:dyDescent="0.25">
      <c r="A28" s="901" t="s">
        <v>153</v>
      </c>
      <c r="B28" s="902"/>
      <c r="C28" s="902"/>
      <c r="D28" s="902"/>
      <c r="E28" s="902"/>
      <c r="F28" s="902"/>
      <c r="G28" s="902"/>
      <c r="H28" s="902"/>
      <c r="I28" s="902"/>
    </row>
    <row r="29" spans="1:9" ht="15.75" thickBot="1" x14ac:dyDescent="0.3">
      <c r="A29" s="885" t="s">
        <v>83</v>
      </c>
      <c r="B29" s="886"/>
      <c r="C29" s="886"/>
      <c r="D29" s="886"/>
      <c r="E29" s="886"/>
      <c r="F29" s="886"/>
      <c r="G29" s="886"/>
      <c r="H29" s="886"/>
      <c r="I29" s="886"/>
    </row>
    <row r="30" spans="1:9" x14ac:dyDescent="0.25">
      <c r="A30" s="887" t="s">
        <v>84</v>
      </c>
      <c r="B30" s="888"/>
      <c r="C30" s="888"/>
      <c r="D30" s="888"/>
      <c r="E30" s="888"/>
      <c r="F30" s="888"/>
      <c r="G30" s="888"/>
      <c r="H30" s="888"/>
      <c r="I30" s="888"/>
    </row>
    <row r="31" spans="1:9" x14ac:dyDescent="0.25">
      <c r="A31" s="889"/>
      <c r="B31" s="890"/>
      <c r="C31" s="890"/>
      <c r="D31" s="890"/>
      <c r="E31" s="890"/>
      <c r="F31" s="890"/>
      <c r="G31" s="890"/>
      <c r="H31" s="890"/>
      <c r="I31" s="891"/>
    </row>
    <row r="32" spans="1:9" x14ac:dyDescent="0.25">
      <c r="A32" s="889"/>
      <c r="B32" s="890"/>
      <c r="C32" s="890"/>
      <c r="D32" s="890"/>
      <c r="E32" s="890"/>
      <c r="F32" s="890"/>
      <c r="G32" s="890"/>
      <c r="H32" s="890"/>
      <c r="I32" s="891"/>
    </row>
    <row r="33" spans="1:9" x14ac:dyDescent="0.25">
      <c r="A33" s="173"/>
      <c r="B33" s="174"/>
      <c r="C33" s="174"/>
      <c r="D33" s="174"/>
      <c r="E33" s="174"/>
      <c r="F33" s="174"/>
      <c r="G33" s="174"/>
      <c r="H33" s="174"/>
      <c r="I33" s="175"/>
    </row>
    <row r="34" spans="1:9" x14ac:dyDescent="0.25">
      <c r="A34" s="173"/>
      <c r="B34" s="174"/>
      <c r="C34" s="174"/>
      <c r="D34" s="174"/>
      <c r="E34" s="174"/>
      <c r="F34" s="174"/>
      <c r="G34" s="174"/>
      <c r="H34" s="174"/>
      <c r="I34" s="175"/>
    </row>
  </sheetData>
  <mergeCells count="38">
    <mergeCell ref="A29:I29"/>
    <mergeCell ref="A30:I30"/>
    <mergeCell ref="A31:I31"/>
    <mergeCell ref="A32:I32"/>
    <mergeCell ref="A26:C26"/>
    <mergeCell ref="F26:G26"/>
    <mergeCell ref="H26:I26"/>
    <mergeCell ref="A27:I27"/>
    <mergeCell ref="A28:I28"/>
    <mergeCell ref="A24:C24"/>
    <mergeCell ref="F24:G24"/>
    <mergeCell ref="H24:I24"/>
    <mergeCell ref="A25:C25"/>
    <mergeCell ref="F25:G25"/>
    <mergeCell ref="H25:I25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DACD-021A-4802-BD56-F8156782E552}">
  <dimension ref="A1:Q91"/>
  <sheetViews>
    <sheetView topLeftCell="A16" workbookViewId="0">
      <selection activeCell="D60" sqref="D60"/>
    </sheetView>
  </sheetViews>
  <sheetFormatPr baseColWidth="10" defaultColWidth="8.42578125" defaultRowHeight="12.75" x14ac:dyDescent="0.25"/>
  <cols>
    <col min="1" max="1" width="10" style="207" bestFit="1" customWidth="1"/>
    <col min="2" max="2" width="44.28515625" style="207" bestFit="1" customWidth="1"/>
    <col min="3" max="3" width="10.42578125" style="207" bestFit="1" customWidth="1"/>
    <col min="4" max="4" width="10.42578125" style="207" customWidth="1"/>
    <col min="5" max="5" width="9.7109375" style="207" bestFit="1" customWidth="1"/>
    <col min="6" max="6" width="9.5703125" style="207" bestFit="1" customWidth="1"/>
    <col min="7" max="7" width="9.5703125" style="289" bestFit="1" customWidth="1"/>
    <col min="8" max="8" width="10.42578125" style="280" bestFit="1" customWidth="1"/>
    <col min="9" max="9" width="7.5703125" style="280" bestFit="1" customWidth="1"/>
    <col min="10" max="10" width="1.85546875" style="206" customWidth="1"/>
    <col min="11" max="11" width="7" style="207" bestFit="1" customWidth="1"/>
    <col min="12" max="12" width="6.28515625" style="207" customWidth="1"/>
    <col min="13" max="13" width="20.42578125" style="207" customWidth="1"/>
    <col min="14" max="14" width="6.42578125" style="207" bestFit="1" customWidth="1"/>
    <col min="15" max="16" width="8.42578125" style="207"/>
    <col min="17" max="17" width="3.28515625" style="207" customWidth="1"/>
    <col min="18" max="256" width="8.42578125" style="207"/>
    <col min="257" max="257" width="10" style="207" bestFit="1" customWidth="1"/>
    <col min="258" max="258" width="44.28515625" style="207" bestFit="1" customWidth="1"/>
    <col min="259" max="259" width="10.42578125" style="207" bestFit="1" customWidth="1"/>
    <col min="260" max="260" width="10.42578125" style="207" customWidth="1"/>
    <col min="261" max="261" width="9.7109375" style="207" bestFit="1" customWidth="1"/>
    <col min="262" max="263" width="9.5703125" style="207" bestFit="1" customWidth="1"/>
    <col min="264" max="264" width="10.42578125" style="207" bestFit="1" customWidth="1"/>
    <col min="265" max="265" width="4.5703125" style="207" customWidth="1"/>
    <col min="266" max="266" width="1.85546875" style="207" customWidth="1"/>
    <col min="267" max="267" width="7" style="207" bestFit="1" customWidth="1"/>
    <col min="268" max="268" width="6.28515625" style="207" customWidth="1"/>
    <col min="269" max="269" width="20.42578125" style="207" customWidth="1"/>
    <col min="270" max="270" width="6.42578125" style="207" bestFit="1" customWidth="1"/>
    <col min="271" max="272" width="8.42578125" style="207"/>
    <col min="273" max="273" width="3.28515625" style="207" customWidth="1"/>
    <col min="274" max="512" width="8.42578125" style="207"/>
    <col min="513" max="513" width="10" style="207" bestFit="1" customWidth="1"/>
    <col min="514" max="514" width="44.28515625" style="207" bestFit="1" customWidth="1"/>
    <col min="515" max="515" width="10.42578125" style="207" bestFit="1" customWidth="1"/>
    <col min="516" max="516" width="10.42578125" style="207" customWidth="1"/>
    <col min="517" max="517" width="9.7109375" style="207" bestFit="1" customWidth="1"/>
    <col min="518" max="519" width="9.5703125" style="207" bestFit="1" customWidth="1"/>
    <col min="520" max="520" width="10.42578125" style="207" bestFit="1" customWidth="1"/>
    <col min="521" max="521" width="4.5703125" style="207" customWidth="1"/>
    <col min="522" max="522" width="1.85546875" style="207" customWidth="1"/>
    <col min="523" max="523" width="7" style="207" bestFit="1" customWidth="1"/>
    <col min="524" max="524" width="6.28515625" style="207" customWidth="1"/>
    <col min="525" max="525" width="20.42578125" style="207" customWidth="1"/>
    <col min="526" max="526" width="6.42578125" style="207" bestFit="1" customWidth="1"/>
    <col min="527" max="528" width="8.42578125" style="207"/>
    <col min="529" max="529" width="3.28515625" style="207" customWidth="1"/>
    <col min="530" max="768" width="8.42578125" style="207"/>
    <col min="769" max="769" width="10" style="207" bestFit="1" customWidth="1"/>
    <col min="770" max="770" width="44.28515625" style="207" bestFit="1" customWidth="1"/>
    <col min="771" max="771" width="10.42578125" style="207" bestFit="1" customWidth="1"/>
    <col min="772" max="772" width="10.42578125" style="207" customWidth="1"/>
    <col min="773" max="773" width="9.7109375" style="207" bestFit="1" customWidth="1"/>
    <col min="774" max="775" width="9.5703125" style="207" bestFit="1" customWidth="1"/>
    <col min="776" max="776" width="10.42578125" style="207" bestFit="1" customWidth="1"/>
    <col min="777" max="777" width="4.5703125" style="207" customWidth="1"/>
    <col min="778" max="778" width="1.85546875" style="207" customWidth="1"/>
    <col min="779" max="779" width="7" style="207" bestFit="1" customWidth="1"/>
    <col min="780" max="780" width="6.28515625" style="207" customWidth="1"/>
    <col min="781" max="781" width="20.42578125" style="207" customWidth="1"/>
    <col min="782" max="782" width="6.42578125" style="207" bestFit="1" customWidth="1"/>
    <col min="783" max="784" width="8.42578125" style="207"/>
    <col min="785" max="785" width="3.28515625" style="207" customWidth="1"/>
    <col min="786" max="1024" width="8.42578125" style="207"/>
    <col min="1025" max="1025" width="10" style="207" bestFit="1" customWidth="1"/>
    <col min="1026" max="1026" width="44.28515625" style="207" bestFit="1" customWidth="1"/>
    <col min="1027" max="1027" width="10.42578125" style="207" bestFit="1" customWidth="1"/>
    <col min="1028" max="1028" width="10.42578125" style="207" customWidth="1"/>
    <col min="1029" max="1029" width="9.7109375" style="207" bestFit="1" customWidth="1"/>
    <col min="1030" max="1031" width="9.5703125" style="207" bestFit="1" customWidth="1"/>
    <col min="1032" max="1032" width="10.42578125" style="207" bestFit="1" customWidth="1"/>
    <col min="1033" max="1033" width="4.5703125" style="207" customWidth="1"/>
    <col min="1034" max="1034" width="1.85546875" style="207" customWidth="1"/>
    <col min="1035" max="1035" width="7" style="207" bestFit="1" customWidth="1"/>
    <col min="1036" max="1036" width="6.28515625" style="207" customWidth="1"/>
    <col min="1037" max="1037" width="20.42578125" style="207" customWidth="1"/>
    <col min="1038" max="1038" width="6.42578125" style="207" bestFit="1" customWidth="1"/>
    <col min="1039" max="1040" width="8.42578125" style="207"/>
    <col min="1041" max="1041" width="3.28515625" style="207" customWidth="1"/>
    <col min="1042" max="1280" width="8.42578125" style="207"/>
    <col min="1281" max="1281" width="10" style="207" bestFit="1" customWidth="1"/>
    <col min="1282" max="1282" width="44.28515625" style="207" bestFit="1" customWidth="1"/>
    <col min="1283" max="1283" width="10.42578125" style="207" bestFit="1" customWidth="1"/>
    <col min="1284" max="1284" width="10.42578125" style="207" customWidth="1"/>
    <col min="1285" max="1285" width="9.7109375" style="207" bestFit="1" customWidth="1"/>
    <col min="1286" max="1287" width="9.5703125" style="207" bestFit="1" customWidth="1"/>
    <col min="1288" max="1288" width="10.42578125" style="207" bestFit="1" customWidth="1"/>
    <col min="1289" max="1289" width="4.5703125" style="207" customWidth="1"/>
    <col min="1290" max="1290" width="1.85546875" style="207" customWidth="1"/>
    <col min="1291" max="1291" width="7" style="207" bestFit="1" customWidth="1"/>
    <col min="1292" max="1292" width="6.28515625" style="207" customWidth="1"/>
    <col min="1293" max="1293" width="20.42578125" style="207" customWidth="1"/>
    <col min="1294" max="1294" width="6.42578125" style="207" bestFit="1" customWidth="1"/>
    <col min="1295" max="1296" width="8.42578125" style="207"/>
    <col min="1297" max="1297" width="3.28515625" style="207" customWidth="1"/>
    <col min="1298" max="1536" width="8.42578125" style="207"/>
    <col min="1537" max="1537" width="10" style="207" bestFit="1" customWidth="1"/>
    <col min="1538" max="1538" width="44.28515625" style="207" bestFit="1" customWidth="1"/>
    <col min="1539" max="1539" width="10.42578125" style="207" bestFit="1" customWidth="1"/>
    <col min="1540" max="1540" width="10.42578125" style="207" customWidth="1"/>
    <col min="1541" max="1541" width="9.7109375" style="207" bestFit="1" customWidth="1"/>
    <col min="1542" max="1543" width="9.5703125" style="207" bestFit="1" customWidth="1"/>
    <col min="1544" max="1544" width="10.42578125" style="207" bestFit="1" customWidth="1"/>
    <col min="1545" max="1545" width="4.5703125" style="207" customWidth="1"/>
    <col min="1546" max="1546" width="1.85546875" style="207" customWidth="1"/>
    <col min="1547" max="1547" width="7" style="207" bestFit="1" customWidth="1"/>
    <col min="1548" max="1548" width="6.28515625" style="207" customWidth="1"/>
    <col min="1549" max="1549" width="20.42578125" style="207" customWidth="1"/>
    <col min="1550" max="1550" width="6.42578125" style="207" bestFit="1" customWidth="1"/>
    <col min="1551" max="1552" width="8.42578125" style="207"/>
    <col min="1553" max="1553" width="3.28515625" style="207" customWidth="1"/>
    <col min="1554" max="1792" width="8.42578125" style="207"/>
    <col min="1793" max="1793" width="10" style="207" bestFit="1" customWidth="1"/>
    <col min="1794" max="1794" width="44.28515625" style="207" bestFit="1" customWidth="1"/>
    <col min="1795" max="1795" width="10.42578125" style="207" bestFit="1" customWidth="1"/>
    <col min="1796" max="1796" width="10.42578125" style="207" customWidth="1"/>
    <col min="1797" max="1797" width="9.7109375" style="207" bestFit="1" customWidth="1"/>
    <col min="1798" max="1799" width="9.5703125" style="207" bestFit="1" customWidth="1"/>
    <col min="1800" max="1800" width="10.42578125" style="207" bestFit="1" customWidth="1"/>
    <col min="1801" max="1801" width="4.5703125" style="207" customWidth="1"/>
    <col min="1802" max="1802" width="1.85546875" style="207" customWidth="1"/>
    <col min="1803" max="1803" width="7" style="207" bestFit="1" customWidth="1"/>
    <col min="1804" max="1804" width="6.28515625" style="207" customWidth="1"/>
    <col min="1805" max="1805" width="20.42578125" style="207" customWidth="1"/>
    <col min="1806" max="1806" width="6.42578125" style="207" bestFit="1" customWidth="1"/>
    <col min="1807" max="1808" width="8.42578125" style="207"/>
    <col min="1809" max="1809" width="3.28515625" style="207" customWidth="1"/>
    <col min="1810" max="2048" width="8.42578125" style="207"/>
    <col min="2049" max="2049" width="10" style="207" bestFit="1" customWidth="1"/>
    <col min="2050" max="2050" width="44.28515625" style="207" bestFit="1" customWidth="1"/>
    <col min="2051" max="2051" width="10.42578125" style="207" bestFit="1" customWidth="1"/>
    <col min="2052" max="2052" width="10.42578125" style="207" customWidth="1"/>
    <col min="2053" max="2053" width="9.7109375" style="207" bestFit="1" customWidth="1"/>
    <col min="2054" max="2055" width="9.5703125" style="207" bestFit="1" customWidth="1"/>
    <col min="2056" max="2056" width="10.42578125" style="207" bestFit="1" customWidth="1"/>
    <col min="2057" max="2057" width="4.5703125" style="207" customWidth="1"/>
    <col min="2058" max="2058" width="1.85546875" style="207" customWidth="1"/>
    <col min="2059" max="2059" width="7" style="207" bestFit="1" customWidth="1"/>
    <col min="2060" max="2060" width="6.28515625" style="207" customWidth="1"/>
    <col min="2061" max="2061" width="20.42578125" style="207" customWidth="1"/>
    <col min="2062" max="2062" width="6.42578125" style="207" bestFit="1" customWidth="1"/>
    <col min="2063" max="2064" width="8.42578125" style="207"/>
    <col min="2065" max="2065" width="3.28515625" style="207" customWidth="1"/>
    <col min="2066" max="2304" width="8.42578125" style="207"/>
    <col min="2305" max="2305" width="10" style="207" bestFit="1" customWidth="1"/>
    <col min="2306" max="2306" width="44.28515625" style="207" bestFit="1" customWidth="1"/>
    <col min="2307" max="2307" width="10.42578125" style="207" bestFit="1" customWidth="1"/>
    <col min="2308" max="2308" width="10.42578125" style="207" customWidth="1"/>
    <col min="2309" max="2309" width="9.7109375" style="207" bestFit="1" customWidth="1"/>
    <col min="2310" max="2311" width="9.5703125" style="207" bestFit="1" customWidth="1"/>
    <col min="2312" max="2312" width="10.42578125" style="207" bestFit="1" customWidth="1"/>
    <col min="2313" max="2313" width="4.5703125" style="207" customWidth="1"/>
    <col min="2314" max="2314" width="1.85546875" style="207" customWidth="1"/>
    <col min="2315" max="2315" width="7" style="207" bestFit="1" customWidth="1"/>
    <col min="2316" max="2316" width="6.28515625" style="207" customWidth="1"/>
    <col min="2317" max="2317" width="20.42578125" style="207" customWidth="1"/>
    <col min="2318" max="2318" width="6.42578125" style="207" bestFit="1" customWidth="1"/>
    <col min="2319" max="2320" width="8.42578125" style="207"/>
    <col min="2321" max="2321" width="3.28515625" style="207" customWidth="1"/>
    <col min="2322" max="2560" width="8.42578125" style="207"/>
    <col min="2561" max="2561" width="10" style="207" bestFit="1" customWidth="1"/>
    <col min="2562" max="2562" width="44.28515625" style="207" bestFit="1" customWidth="1"/>
    <col min="2563" max="2563" width="10.42578125" style="207" bestFit="1" customWidth="1"/>
    <col min="2564" max="2564" width="10.42578125" style="207" customWidth="1"/>
    <col min="2565" max="2565" width="9.7109375" style="207" bestFit="1" customWidth="1"/>
    <col min="2566" max="2567" width="9.5703125" style="207" bestFit="1" customWidth="1"/>
    <col min="2568" max="2568" width="10.42578125" style="207" bestFit="1" customWidth="1"/>
    <col min="2569" max="2569" width="4.5703125" style="207" customWidth="1"/>
    <col min="2570" max="2570" width="1.85546875" style="207" customWidth="1"/>
    <col min="2571" max="2571" width="7" style="207" bestFit="1" customWidth="1"/>
    <col min="2572" max="2572" width="6.28515625" style="207" customWidth="1"/>
    <col min="2573" max="2573" width="20.42578125" style="207" customWidth="1"/>
    <col min="2574" max="2574" width="6.42578125" style="207" bestFit="1" customWidth="1"/>
    <col min="2575" max="2576" width="8.42578125" style="207"/>
    <col min="2577" max="2577" width="3.28515625" style="207" customWidth="1"/>
    <col min="2578" max="2816" width="8.42578125" style="207"/>
    <col min="2817" max="2817" width="10" style="207" bestFit="1" customWidth="1"/>
    <col min="2818" max="2818" width="44.28515625" style="207" bestFit="1" customWidth="1"/>
    <col min="2819" max="2819" width="10.42578125" style="207" bestFit="1" customWidth="1"/>
    <col min="2820" max="2820" width="10.42578125" style="207" customWidth="1"/>
    <col min="2821" max="2821" width="9.7109375" style="207" bestFit="1" customWidth="1"/>
    <col min="2822" max="2823" width="9.5703125" style="207" bestFit="1" customWidth="1"/>
    <col min="2824" max="2824" width="10.42578125" style="207" bestFit="1" customWidth="1"/>
    <col min="2825" max="2825" width="4.5703125" style="207" customWidth="1"/>
    <col min="2826" max="2826" width="1.85546875" style="207" customWidth="1"/>
    <col min="2827" max="2827" width="7" style="207" bestFit="1" customWidth="1"/>
    <col min="2828" max="2828" width="6.28515625" style="207" customWidth="1"/>
    <col min="2829" max="2829" width="20.42578125" style="207" customWidth="1"/>
    <col min="2830" max="2830" width="6.42578125" style="207" bestFit="1" customWidth="1"/>
    <col min="2831" max="2832" width="8.42578125" style="207"/>
    <col min="2833" max="2833" width="3.28515625" style="207" customWidth="1"/>
    <col min="2834" max="3072" width="8.42578125" style="207"/>
    <col min="3073" max="3073" width="10" style="207" bestFit="1" customWidth="1"/>
    <col min="3074" max="3074" width="44.28515625" style="207" bestFit="1" customWidth="1"/>
    <col min="3075" max="3075" width="10.42578125" style="207" bestFit="1" customWidth="1"/>
    <col min="3076" max="3076" width="10.42578125" style="207" customWidth="1"/>
    <col min="3077" max="3077" width="9.7109375" style="207" bestFit="1" customWidth="1"/>
    <col min="3078" max="3079" width="9.5703125" style="207" bestFit="1" customWidth="1"/>
    <col min="3080" max="3080" width="10.42578125" style="207" bestFit="1" customWidth="1"/>
    <col min="3081" max="3081" width="4.5703125" style="207" customWidth="1"/>
    <col min="3082" max="3082" width="1.85546875" style="207" customWidth="1"/>
    <col min="3083" max="3083" width="7" style="207" bestFit="1" customWidth="1"/>
    <col min="3084" max="3084" width="6.28515625" style="207" customWidth="1"/>
    <col min="3085" max="3085" width="20.42578125" style="207" customWidth="1"/>
    <col min="3086" max="3086" width="6.42578125" style="207" bestFit="1" customWidth="1"/>
    <col min="3087" max="3088" width="8.42578125" style="207"/>
    <col min="3089" max="3089" width="3.28515625" style="207" customWidth="1"/>
    <col min="3090" max="3328" width="8.42578125" style="207"/>
    <col min="3329" max="3329" width="10" style="207" bestFit="1" customWidth="1"/>
    <col min="3330" max="3330" width="44.28515625" style="207" bestFit="1" customWidth="1"/>
    <col min="3331" max="3331" width="10.42578125" style="207" bestFit="1" customWidth="1"/>
    <col min="3332" max="3332" width="10.42578125" style="207" customWidth="1"/>
    <col min="3333" max="3333" width="9.7109375" style="207" bestFit="1" customWidth="1"/>
    <col min="3334" max="3335" width="9.5703125" style="207" bestFit="1" customWidth="1"/>
    <col min="3336" max="3336" width="10.42578125" style="207" bestFit="1" customWidth="1"/>
    <col min="3337" max="3337" width="4.5703125" style="207" customWidth="1"/>
    <col min="3338" max="3338" width="1.85546875" style="207" customWidth="1"/>
    <col min="3339" max="3339" width="7" style="207" bestFit="1" customWidth="1"/>
    <col min="3340" max="3340" width="6.28515625" style="207" customWidth="1"/>
    <col min="3341" max="3341" width="20.42578125" style="207" customWidth="1"/>
    <col min="3342" max="3342" width="6.42578125" style="207" bestFit="1" customWidth="1"/>
    <col min="3343" max="3344" width="8.42578125" style="207"/>
    <col min="3345" max="3345" width="3.28515625" style="207" customWidth="1"/>
    <col min="3346" max="3584" width="8.42578125" style="207"/>
    <col min="3585" max="3585" width="10" style="207" bestFit="1" customWidth="1"/>
    <col min="3586" max="3586" width="44.28515625" style="207" bestFit="1" customWidth="1"/>
    <col min="3587" max="3587" width="10.42578125" style="207" bestFit="1" customWidth="1"/>
    <col min="3588" max="3588" width="10.42578125" style="207" customWidth="1"/>
    <col min="3589" max="3589" width="9.7109375" style="207" bestFit="1" customWidth="1"/>
    <col min="3590" max="3591" width="9.5703125" style="207" bestFit="1" customWidth="1"/>
    <col min="3592" max="3592" width="10.42578125" style="207" bestFit="1" customWidth="1"/>
    <col min="3593" max="3593" width="4.5703125" style="207" customWidth="1"/>
    <col min="3594" max="3594" width="1.85546875" style="207" customWidth="1"/>
    <col min="3595" max="3595" width="7" style="207" bestFit="1" customWidth="1"/>
    <col min="3596" max="3596" width="6.28515625" style="207" customWidth="1"/>
    <col min="3597" max="3597" width="20.42578125" style="207" customWidth="1"/>
    <col min="3598" max="3598" width="6.42578125" style="207" bestFit="1" customWidth="1"/>
    <col min="3599" max="3600" width="8.42578125" style="207"/>
    <col min="3601" max="3601" width="3.28515625" style="207" customWidth="1"/>
    <col min="3602" max="3840" width="8.42578125" style="207"/>
    <col min="3841" max="3841" width="10" style="207" bestFit="1" customWidth="1"/>
    <col min="3842" max="3842" width="44.28515625" style="207" bestFit="1" customWidth="1"/>
    <col min="3843" max="3843" width="10.42578125" style="207" bestFit="1" customWidth="1"/>
    <col min="3844" max="3844" width="10.42578125" style="207" customWidth="1"/>
    <col min="3845" max="3845" width="9.7109375" style="207" bestFit="1" customWidth="1"/>
    <col min="3846" max="3847" width="9.5703125" style="207" bestFit="1" customWidth="1"/>
    <col min="3848" max="3848" width="10.42578125" style="207" bestFit="1" customWidth="1"/>
    <col min="3849" max="3849" width="4.5703125" style="207" customWidth="1"/>
    <col min="3850" max="3850" width="1.85546875" style="207" customWidth="1"/>
    <col min="3851" max="3851" width="7" style="207" bestFit="1" customWidth="1"/>
    <col min="3852" max="3852" width="6.28515625" style="207" customWidth="1"/>
    <col min="3853" max="3853" width="20.42578125" style="207" customWidth="1"/>
    <col min="3854" max="3854" width="6.42578125" style="207" bestFit="1" customWidth="1"/>
    <col min="3855" max="3856" width="8.42578125" style="207"/>
    <col min="3857" max="3857" width="3.28515625" style="207" customWidth="1"/>
    <col min="3858" max="4096" width="8.42578125" style="207"/>
    <col min="4097" max="4097" width="10" style="207" bestFit="1" customWidth="1"/>
    <col min="4098" max="4098" width="44.28515625" style="207" bestFit="1" customWidth="1"/>
    <col min="4099" max="4099" width="10.42578125" style="207" bestFit="1" customWidth="1"/>
    <col min="4100" max="4100" width="10.42578125" style="207" customWidth="1"/>
    <col min="4101" max="4101" width="9.7109375" style="207" bestFit="1" customWidth="1"/>
    <col min="4102" max="4103" width="9.5703125" style="207" bestFit="1" customWidth="1"/>
    <col min="4104" max="4104" width="10.42578125" style="207" bestFit="1" customWidth="1"/>
    <col min="4105" max="4105" width="4.5703125" style="207" customWidth="1"/>
    <col min="4106" max="4106" width="1.85546875" style="207" customWidth="1"/>
    <col min="4107" max="4107" width="7" style="207" bestFit="1" customWidth="1"/>
    <col min="4108" max="4108" width="6.28515625" style="207" customWidth="1"/>
    <col min="4109" max="4109" width="20.42578125" style="207" customWidth="1"/>
    <col min="4110" max="4110" width="6.42578125" style="207" bestFit="1" customWidth="1"/>
    <col min="4111" max="4112" width="8.42578125" style="207"/>
    <col min="4113" max="4113" width="3.28515625" style="207" customWidth="1"/>
    <col min="4114" max="4352" width="8.42578125" style="207"/>
    <col min="4353" max="4353" width="10" style="207" bestFit="1" customWidth="1"/>
    <col min="4354" max="4354" width="44.28515625" style="207" bestFit="1" customWidth="1"/>
    <col min="4355" max="4355" width="10.42578125" style="207" bestFit="1" customWidth="1"/>
    <col min="4356" max="4356" width="10.42578125" style="207" customWidth="1"/>
    <col min="4357" max="4357" width="9.7109375" style="207" bestFit="1" customWidth="1"/>
    <col min="4358" max="4359" width="9.5703125" style="207" bestFit="1" customWidth="1"/>
    <col min="4360" max="4360" width="10.42578125" style="207" bestFit="1" customWidth="1"/>
    <col min="4361" max="4361" width="4.5703125" style="207" customWidth="1"/>
    <col min="4362" max="4362" width="1.85546875" style="207" customWidth="1"/>
    <col min="4363" max="4363" width="7" style="207" bestFit="1" customWidth="1"/>
    <col min="4364" max="4364" width="6.28515625" style="207" customWidth="1"/>
    <col min="4365" max="4365" width="20.42578125" style="207" customWidth="1"/>
    <col min="4366" max="4366" width="6.42578125" style="207" bestFit="1" customWidth="1"/>
    <col min="4367" max="4368" width="8.42578125" style="207"/>
    <col min="4369" max="4369" width="3.28515625" style="207" customWidth="1"/>
    <col min="4370" max="4608" width="8.42578125" style="207"/>
    <col min="4609" max="4609" width="10" style="207" bestFit="1" customWidth="1"/>
    <col min="4610" max="4610" width="44.28515625" style="207" bestFit="1" customWidth="1"/>
    <col min="4611" max="4611" width="10.42578125" style="207" bestFit="1" customWidth="1"/>
    <col min="4612" max="4612" width="10.42578125" style="207" customWidth="1"/>
    <col min="4613" max="4613" width="9.7109375" style="207" bestFit="1" customWidth="1"/>
    <col min="4614" max="4615" width="9.5703125" style="207" bestFit="1" customWidth="1"/>
    <col min="4616" max="4616" width="10.42578125" style="207" bestFit="1" customWidth="1"/>
    <col min="4617" max="4617" width="4.5703125" style="207" customWidth="1"/>
    <col min="4618" max="4618" width="1.85546875" style="207" customWidth="1"/>
    <col min="4619" max="4619" width="7" style="207" bestFit="1" customWidth="1"/>
    <col min="4620" max="4620" width="6.28515625" style="207" customWidth="1"/>
    <col min="4621" max="4621" width="20.42578125" style="207" customWidth="1"/>
    <col min="4622" max="4622" width="6.42578125" style="207" bestFit="1" customWidth="1"/>
    <col min="4623" max="4624" width="8.42578125" style="207"/>
    <col min="4625" max="4625" width="3.28515625" style="207" customWidth="1"/>
    <col min="4626" max="4864" width="8.42578125" style="207"/>
    <col min="4865" max="4865" width="10" style="207" bestFit="1" customWidth="1"/>
    <col min="4866" max="4866" width="44.28515625" style="207" bestFit="1" customWidth="1"/>
    <col min="4867" max="4867" width="10.42578125" style="207" bestFit="1" customWidth="1"/>
    <col min="4868" max="4868" width="10.42578125" style="207" customWidth="1"/>
    <col min="4869" max="4869" width="9.7109375" style="207" bestFit="1" customWidth="1"/>
    <col min="4870" max="4871" width="9.5703125" style="207" bestFit="1" customWidth="1"/>
    <col min="4872" max="4872" width="10.42578125" style="207" bestFit="1" customWidth="1"/>
    <col min="4873" max="4873" width="4.5703125" style="207" customWidth="1"/>
    <col min="4874" max="4874" width="1.85546875" style="207" customWidth="1"/>
    <col min="4875" max="4875" width="7" style="207" bestFit="1" customWidth="1"/>
    <col min="4876" max="4876" width="6.28515625" style="207" customWidth="1"/>
    <col min="4877" max="4877" width="20.42578125" style="207" customWidth="1"/>
    <col min="4878" max="4878" width="6.42578125" style="207" bestFit="1" customWidth="1"/>
    <col min="4879" max="4880" width="8.42578125" style="207"/>
    <col min="4881" max="4881" width="3.28515625" style="207" customWidth="1"/>
    <col min="4882" max="5120" width="8.42578125" style="207"/>
    <col min="5121" max="5121" width="10" style="207" bestFit="1" customWidth="1"/>
    <col min="5122" max="5122" width="44.28515625" style="207" bestFit="1" customWidth="1"/>
    <col min="5123" max="5123" width="10.42578125" style="207" bestFit="1" customWidth="1"/>
    <col min="5124" max="5124" width="10.42578125" style="207" customWidth="1"/>
    <col min="5125" max="5125" width="9.7109375" style="207" bestFit="1" customWidth="1"/>
    <col min="5126" max="5127" width="9.5703125" style="207" bestFit="1" customWidth="1"/>
    <col min="5128" max="5128" width="10.42578125" style="207" bestFit="1" customWidth="1"/>
    <col min="5129" max="5129" width="4.5703125" style="207" customWidth="1"/>
    <col min="5130" max="5130" width="1.85546875" style="207" customWidth="1"/>
    <col min="5131" max="5131" width="7" style="207" bestFit="1" customWidth="1"/>
    <col min="5132" max="5132" width="6.28515625" style="207" customWidth="1"/>
    <col min="5133" max="5133" width="20.42578125" style="207" customWidth="1"/>
    <col min="5134" max="5134" width="6.42578125" style="207" bestFit="1" customWidth="1"/>
    <col min="5135" max="5136" width="8.42578125" style="207"/>
    <col min="5137" max="5137" width="3.28515625" style="207" customWidth="1"/>
    <col min="5138" max="5376" width="8.42578125" style="207"/>
    <col min="5377" max="5377" width="10" style="207" bestFit="1" customWidth="1"/>
    <col min="5378" max="5378" width="44.28515625" style="207" bestFit="1" customWidth="1"/>
    <col min="5379" max="5379" width="10.42578125" style="207" bestFit="1" customWidth="1"/>
    <col min="5380" max="5380" width="10.42578125" style="207" customWidth="1"/>
    <col min="5381" max="5381" width="9.7109375" style="207" bestFit="1" customWidth="1"/>
    <col min="5382" max="5383" width="9.5703125" style="207" bestFit="1" customWidth="1"/>
    <col min="5384" max="5384" width="10.42578125" style="207" bestFit="1" customWidth="1"/>
    <col min="5385" max="5385" width="4.5703125" style="207" customWidth="1"/>
    <col min="5386" max="5386" width="1.85546875" style="207" customWidth="1"/>
    <col min="5387" max="5387" width="7" style="207" bestFit="1" customWidth="1"/>
    <col min="5388" max="5388" width="6.28515625" style="207" customWidth="1"/>
    <col min="5389" max="5389" width="20.42578125" style="207" customWidth="1"/>
    <col min="5390" max="5390" width="6.42578125" style="207" bestFit="1" customWidth="1"/>
    <col min="5391" max="5392" width="8.42578125" style="207"/>
    <col min="5393" max="5393" width="3.28515625" style="207" customWidth="1"/>
    <col min="5394" max="5632" width="8.42578125" style="207"/>
    <col min="5633" max="5633" width="10" style="207" bestFit="1" customWidth="1"/>
    <col min="5634" max="5634" width="44.28515625" style="207" bestFit="1" customWidth="1"/>
    <col min="5635" max="5635" width="10.42578125" style="207" bestFit="1" customWidth="1"/>
    <col min="5636" max="5636" width="10.42578125" style="207" customWidth="1"/>
    <col min="5637" max="5637" width="9.7109375" style="207" bestFit="1" customWidth="1"/>
    <col min="5638" max="5639" width="9.5703125" style="207" bestFit="1" customWidth="1"/>
    <col min="5640" max="5640" width="10.42578125" style="207" bestFit="1" customWidth="1"/>
    <col min="5641" max="5641" width="4.5703125" style="207" customWidth="1"/>
    <col min="5642" max="5642" width="1.85546875" style="207" customWidth="1"/>
    <col min="5643" max="5643" width="7" style="207" bestFit="1" customWidth="1"/>
    <col min="5644" max="5644" width="6.28515625" style="207" customWidth="1"/>
    <col min="5645" max="5645" width="20.42578125" style="207" customWidth="1"/>
    <col min="5646" max="5646" width="6.42578125" style="207" bestFit="1" customWidth="1"/>
    <col min="5647" max="5648" width="8.42578125" style="207"/>
    <col min="5649" max="5649" width="3.28515625" style="207" customWidth="1"/>
    <col min="5650" max="5888" width="8.42578125" style="207"/>
    <col min="5889" max="5889" width="10" style="207" bestFit="1" customWidth="1"/>
    <col min="5890" max="5890" width="44.28515625" style="207" bestFit="1" customWidth="1"/>
    <col min="5891" max="5891" width="10.42578125" style="207" bestFit="1" customWidth="1"/>
    <col min="5892" max="5892" width="10.42578125" style="207" customWidth="1"/>
    <col min="5893" max="5893" width="9.7109375" style="207" bestFit="1" customWidth="1"/>
    <col min="5894" max="5895" width="9.5703125" style="207" bestFit="1" customWidth="1"/>
    <col min="5896" max="5896" width="10.42578125" style="207" bestFit="1" customWidth="1"/>
    <col min="5897" max="5897" width="4.5703125" style="207" customWidth="1"/>
    <col min="5898" max="5898" width="1.85546875" style="207" customWidth="1"/>
    <col min="5899" max="5899" width="7" style="207" bestFit="1" customWidth="1"/>
    <col min="5900" max="5900" width="6.28515625" style="207" customWidth="1"/>
    <col min="5901" max="5901" width="20.42578125" style="207" customWidth="1"/>
    <col min="5902" max="5902" width="6.42578125" style="207" bestFit="1" customWidth="1"/>
    <col min="5903" max="5904" width="8.42578125" style="207"/>
    <col min="5905" max="5905" width="3.28515625" style="207" customWidth="1"/>
    <col min="5906" max="6144" width="8.42578125" style="207"/>
    <col min="6145" max="6145" width="10" style="207" bestFit="1" customWidth="1"/>
    <col min="6146" max="6146" width="44.28515625" style="207" bestFit="1" customWidth="1"/>
    <col min="6147" max="6147" width="10.42578125" style="207" bestFit="1" customWidth="1"/>
    <col min="6148" max="6148" width="10.42578125" style="207" customWidth="1"/>
    <col min="6149" max="6149" width="9.7109375" style="207" bestFit="1" customWidth="1"/>
    <col min="6150" max="6151" width="9.5703125" style="207" bestFit="1" customWidth="1"/>
    <col min="6152" max="6152" width="10.42578125" style="207" bestFit="1" customWidth="1"/>
    <col min="6153" max="6153" width="4.5703125" style="207" customWidth="1"/>
    <col min="6154" max="6154" width="1.85546875" style="207" customWidth="1"/>
    <col min="6155" max="6155" width="7" style="207" bestFit="1" customWidth="1"/>
    <col min="6156" max="6156" width="6.28515625" style="207" customWidth="1"/>
    <col min="6157" max="6157" width="20.42578125" style="207" customWidth="1"/>
    <col min="6158" max="6158" width="6.42578125" style="207" bestFit="1" customWidth="1"/>
    <col min="6159" max="6160" width="8.42578125" style="207"/>
    <col min="6161" max="6161" width="3.28515625" style="207" customWidth="1"/>
    <col min="6162" max="6400" width="8.42578125" style="207"/>
    <col min="6401" max="6401" width="10" style="207" bestFit="1" customWidth="1"/>
    <col min="6402" max="6402" width="44.28515625" style="207" bestFit="1" customWidth="1"/>
    <col min="6403" max="6403" width="10.42578125" style="207" bestFit="1" customWidth="1"/>
    <col min="6404" max="6404" width="10.42578125" style="207" customWidth="1"/>
    <col min="6405" max="6405" width="9.7109375" style="207" bestFit="1" customWidth="1"/>
    <col min="6406" max="6407" width="9.5703125" style="207" bestFit="1" customWidth="1"/>
    <col min="6408" max="6408" width="10.42578125" style="207" bestFit="1" customWidth="1"/>
    <col min="6409" max="6409" width="4.5703125" style="207" customWidth="1"/>
    <col min="6410" max="6410" width="1.85546875" style="207" customWidth="1"/>
    <col min="6411" max="6411" width="7" style="207" bestFit="1" customWidth="1"/>
    <col min="6412" max="6412" width="6.28515625" style="207" customWidth="1"/>
    <col min="6413" max="6413" width="20.42578125" style="207" customWidth="1"/>
    <col min="6414" max="6414" width="6.42578125" style="207" bestFit="1" customWidth="1"/>
    <col min="6415" max="6416" width="8.42578125" style="207"/>
    <col min="6417" max="6417" width="3.28515625" style="207" customWidth="1"/>
    <col min="6418" max="6656" width="8.42578125" style="207"/>
    <col min="6657" max="6657" width="10" style="207" bestFit="1" customWidth="1"/>
    <col min="6658" max="6658" width="44.28515625" style="207" bestFit="1" customWidth="1"/>
    <col min="6659" max="6659" width="10.42578125" style="207" bestFit="1" customWidth="1"/>
    <col min="6660" max="6660" width="10.42578125" style="207" customWidth="1"/>
    <col min="6661" max="6661" width="9.7109375" style="207" bestFit="1" customWidth="1"/>
    <col min="6662" max="6663" width="9.5703125" style="207" bestFit="1" customWidth="1"/>
    <col min="6664" max="6664" width="10.42578125" style="207" bestFit="1" customWidth="1"/>
    <col min="6665" max="6665" width="4.5703125" style="207" customWidth="1"/>
    <col min="6666" max="6666" width="1.85546875" style="207" customWidth="1"/>
    <col min="6667" max="6667" width="7" style="207" bestFit="1" customWidth="1"/>
    <col min="6668" max="6668" width="6.28515625" style="207" customWidth="1"/>
    <col min="6669" max="6669" width="20.42578125" style="207" customWidth="1"/>
    <col min="6670" max="6670" width="6.42578125" style="207" bestFit="1" customWidth="1"/>
    <col min="6671" max="6672" width="8.42578125" style="207"/>
    <col min="6673" max="6673" width="3.28515625" style="207" customWidth="1"/>
    <col min="6674" max="6912" width="8.42578125" style="207"/>
    <col min="6913" max="6913" width="10" style="207" bestFit="1" customWidth="1"/>
    <col min="6914" max="6914" width="44.28515625" style="207" bestFit="1" customWidth="1"/>
    <col min="6915" max="6915" width="10.42578125" style="207" bestFit="1" customWidth="1"/>
    <col min="6916" max="6916" width="10.42578125" style="207" customWidth="1"/>
    <col min="6917" max="6917" width="9.7109375" style="207" bestFit="1" customWidth="1"/>
    <col min="6918" max="6919" width="9.5703125" style="207" bestFit="1" customWidth="1"/>
    <col min="6920" max="6920" width="10.42578125" style="207" bestFit="1" customWidth="1"/>
    <col min="6921" max="6921" width="4.5703125" style="207" customWidth="1"/>
    <col min="6922" max="6922" width="1.85546875" style="207" customWidth="1"/>
    <col min="6923" max="6923" width="7" style="207" bestFit="1" customWidth="1"/>
    <col min="6924" max="6924" width="6.28515625" style="207" customWidth="1"/>
    <col min="6925" max="6925" width="20.42578125" style="207" customWidth="1"/>
    <col min="6926" max="6926" width="6.42578125" style="207" bestFit="1" customWidth="1"/>
    <col min="6927" max="6928" width="8.42578125" style="207"/>
    <col min="6929" max="6929" width="3.28515625" style="207" customWidth="1"/>
    <col min="6930" max="7168" width="8.42578125" style="207"/>
    <col min="7169" max="7169" width="10" style="207" bestFit="1" customWidth="1"/>
    <col min="7170" max="7170" width="44.28515625" style="207" bestFit="1" customWidth="1"/>
    <col min="7171" max="7171" width="10.42578125" style="207" bestFit="1" customWidth="1"/>
    <col min="7172" max="7172" width="10.42578125" style="207" customWidth="1"/>
    <col min="7173" max="7173" width="9.7109375" style="207" bestFit="1" customWidth="1"/>
    <col min="7174" max="7175" width="9.5703125" style="207" bestFit="1" customWidth="1"/>
    <col min="7176" max="7176" width="10.42578125" style="207" bestFit="1" customWidth="1"/>
    <col min="7177" max="7177" width="4.5703125" style="207" customWidth="1"/>
    <col min="7178" max="7178" width="1.85546875" style="207" customWidth="1"/>
    <col min="7179" max="7179" width="7" style="207" bestFit="1" customWidth="1"/>
    <col min="7180" max="7180" width="6.28515625" style="207" customWidth="1"/>
    <col min="7181" max="7181" width="20.42578125" style="207" customWidth="1"/>
    <col min="7182" max="7182" width="6.42578125" style="207" bestFit="1" customWidth="1"/>
    <col min="7183" max="7184" width="8.42578125" style="207"/>
    <col min="7185" max="7185" width="3.28515625" style="207" customWidth="1"/>
    <col min="7186" max="7424" width="8.42578125" style="207"/>
    <col min="7425" max="7425" width="10" style="207" bestFit="1" customWidth="1"/>
    <col min="7426" max="7426" width="44.28515625" style="207" bestFit="1" customWidth="1"/>
    <col min="7427" max="7427" width="10.42578125" style="207" bestFit="1" customWidth="1"/>
    <col min="7428" max="7428" width="10.42578125" style="207" customWidth="1"/>
    <col min="7429" max="7429" width="9.7109375" style="207" bestFit="1" customWidth="1"/>
    <col min="7430" max="7431" width="9.5703125" style="207" bestFit="1" customWidth="1"/>
    <col min="7432" max="7432" width="10.42578125" style="207" bestFit="1" customWidth="1"/>
    <col min="7433" max="7433" width="4.5703125" style="207" customWidth="1"/>
    <col min="7434" max="7434" width="1.85546875" style="207" customWidth="1"/>
    <col min="7435" max="7435" width="7" style="207" bestFit="1" customWidth="1"/>
    <col min="7436" max="7436" width="6.28515625" style="207" customWidth="1"/>
    <col min="7437" max="7437" width="20.42578125" style="207" customWidth="1"/>
    <col min="7438" max="7438" width="6.42578125" style="207" bestFit="1" customWidth="1"/>
    <col min="7439" max="7440" width="8.42578125" style="207"/>
    <col min="7441" max="7441" width="3.28515625" style="207" customWidth="1"/>
    <col min="7442" max="7680" width="8.42578125" style="207"/>
    <col min="7681" max="7681" width="10" style="207" bestFit="1" customWidth="1"/>
    <col min="7682" max="7682" width="44.28515625" style="207" bestFit="1" customWidth="1"/>
    <col min="7683" max="7683" width="10.42578125" style="207" bestFit="1" customWidth="1"/>
    <col min="7684" max="7684" width="10.42578125" style="207" customWidth="1"/>
    <col min="7685" max="7685" width="9.7109375" style="207" bestFit="1" customWidth="1"/>
    <col min="7686" max="7687" width="9.5703125" style="207" bestFit="1" customWidth="1"/>
    <col min="7688" max="7688" width="10.42578125" style="207" bestFit="1" customWidth="1"/>
    <col min="7689" max="7689" width="4.5703125" style="207" customWidth="1"/>
    <col min="7690" max="7690" width="1.85546875" style="207" customWidth="1"/>
    <col min="7691" max="7691" width="7" style="207" bestFit="1" customWidth="1"/>
    <col min="7692" max="7692" width="6.28515625" style="207" customWidth="1"/>
    <col min="7693" max="7693" width="20.42578125" style="207" customWidth="1"/>
    <col min="7694" max="7694" width="6.42578125" style="207" bestFit="1" customWidth="1"/>
    <col min="7695" max="7696" width="8.42578125" style="207"/>
    <col min="7697" max="7697" width="3.28515625" style="207" customWidth="1"/>
    <col min="7698" max="7936" width="8.42578125" style="207"/>
    <col min="7937" max="7937" width="10" style="207" bestFit="1" customWidth="1"/>
    <col min="7938" max="7938" width="44.28515625" style="207" bestFit="1" customWidth="1"/>
    <col min="7939" max="7939" width="10.42578125" style="207" bestFit="1" customWidth="1"/>
    <col min="7940" max="7940" width="10.42578125" style="207" customWidth="1"/>
    <col min="7941" max="7941" width="9.7109375" style="207" bestFit="1" customWidth="1"/>
    <col min="7942" max="7943" width="9.5703125" style="207" bestFit="1" customWidth="1"/>
    <col min="7944" max="7944" width="10.42578125" style="207" bestFit="1" customWidth="1"/>
    <col min="7945" max="7945" width="4.5703125" style="207" customWidth="1"/>
    <col min="7946" max="7946" width="1.85546875" style="207" customWidth="1"/>
    <col min="7947" max="7947" width="7" style="207" bestFit="1" customWidth="1"/>
    <col min="7948" max="7948" width="6.28515625" style="207" customWidth="1"/>
    <col min="7949" max="7949" width="20.42578125" style="207" customWidth="1"/>
    <col min="7950" max="7950" width="6.42578125" style="207" bestFit="1" customWidth="1"/>
    <col min="7951" max="7952" width="8.42578125" style="207"/>
    <col min="7953" max="7953" width="3.28515625" style="207" customWidth="1"/>
    <col min="7954" max="8192" width="8.42578125" style="207"/>
    <col min="8193" max="8193" width="10" style="207" bestFit="1" customWidth="1"/>
    <col min="8194" max="8194" width="44.28515625" style="207" bestFit="1" customWidth="1"/>
    <col min="8195" max="8195" width="10.42578125" style="207" bestFit="1" customWidth="1"/>
    <col min="8196" max="8196" width="10.42578125" style="207" customWidth="1"/>
    <col min="8197" max="8197" width="9.7109375" style="207" bestFit="1" customWidth="1"/>
    <col min="8198" max="8199" width="9.5703125" style="207" bestFit="1" customWidth="1"/>
    <col min="8200" max="8200" width="10.42578125" style="207" bestFit="1" customWidth="1"/>
    <col min="8201" max="8201" width="4.5703125" style="207" customWidth="1"/>
    <col min="8202" max="8202" width="1.85546875" style="207" customWidth="1"/>
    <col min="8203" max="8203" width="7" style="207" bestFit="1" customWidth="1"/>
    <col min="8204" max="8204" width="6.28515625" style="207" customWidth="1"/>
    <col min="8205" max="8205" width="20.42578125" style="207" customWidth="1"/>
    <col min="8206" max="8206" width="6.42578125" style="207" bestFit="1" customWidth="1"/>
    <col min="8207" max="8208" width="8.42578125" style="207"/>
    <col min="8209" max="8209" width="3.28515625" style="207" customWidth="1"/>
    <col min="8210" max="8448" width="8.42578125" style="207"/>
    <col min="8449" max="8449" width="10" style="207" bestFit="1" customWidth="1"/>
    <col min="8450" max="8450" width="44.28515625" style="207" bestFit="1" customWidth="1"/>
    <col min="8451" max="8451" width="10.42578125" style="207" bestFit="1" customWidth="1"/>
    <col min="8452" max="8452" width="10.42578125" style="207" customWidth="1"/>
    <col min="8453" max="8453" width="9.7109375" style="207" bestFit="1" customWidth="1"/>
    <col min="8454" max="8455" width="9.5703125" style="207" bestFit="1" customWidth="1"/>
    <col min="8456" max="8456" width="10.42578125" style="207" bestFit="1" customWidth="1"/>
    <col min="8457" max="8457" width="4.5703125" style="207" customWidth="1"/>
    <col min="8458" max="8458" width="1.85546875" style="207" customWidth="1"/>
    <col min="8459" max="8459" width="7" style="207" bestFit="1" customWidth="1"/>
    <col min="8460" max="8460" width="6.28515625" style="207" customWidth="1"/>
    <col min="8461" max="8461" width="20.42578125" style="207" customWidth="1"/>
    <col min="8462" max="8462" width="6.42578125" style="207" bestFit="1" customWidth="1"/>
    <col min="8463" max="8464" width="8.42578125" style="207"/>
    <col min="8465" max="8465" width="3.28515625" style="207" customWidth="1"/>
    <col min="8466" max="8704" width="8.42578125" style="207"/>
    <col min="8705" max="8705" width="10" style="207" bestFit="1" customWidth="1"/>
    <col min="8706" max="8706" width="44.28515625" style="207" bestFit="1" customWidth="1"/>
    <col min="8707" max="8707" width="10.42578125" style="207" bestFit="1" customWidth="1"/>
    <col min="8708" max="8708" width="10.42578125" style="207" customWidth="1"/>
    <col min="8709" max="8709" width="9.7109375" style="207" bestFit="1" customWidth="1"/>
    <col min="8710" max="8711" width="9.5703125" style="207" bestFit="1" customWidth="1"/>
    <col min="8712" max="8712" width="10.42578125" style="207" bestFit="1" customWidth="1"/>
    <col min="8713" max="8713" width="4.5703125" style="207" customWidth="1"/>
    <col min="8714" max="8714" width="1.85546875" style="207" customWidth="1"/>
    <col min="8715" max="8715" width="7" style="207" bestFit="1" customWidth="1"/>
    <col min="8716" max="8716" width="6.28515625" style="207" customWidth="1"/>
    <col min="8717" max="8717" width="20.42578125" style="207" customWidth="1"/>
    <col min="8718" max="8718" width="6.42578125" style="207" bestFit="1" customWidth="1"/>
    <col min="8719" max="8720" width="8.42578125" style="207"/>
    <col min="8721" max="8721" width="3.28515625" style="207" customWidth="1"/>
    <col min="8722" max="8960" width="8.42578125" style="207"/>
    <col min="8961" max="8961" width="10" style="207" bestFit="1" customWidth="1"/>
    <col min="8962" max="8962" width="44.28515625" style="207" bestFit="1" customWidth="1"/>
    <col min="8963" max="8963" width="10.42578125" style="207" bestFit="1" customWidth="1"/>
    <col min="8964" max="8964" width="10.42578125" style="207" customWidth="1"/>
    <col min="8965" max="8965" width="9.7109375" style="207" bestFit="1" customWidth="1"/>
    <col min="8966" max="8967" width="9.5703125" style="207" bestFit="1" customWidth="1"/>
    <col min="8968" max="8968" width="10.42578125" style="207" bestFit="1" customWidth="1"/>
    <col min="8969" max="8969" width="4.5703125" style="207" customWidth="1"/>
    <col min="8970" max="8970" width="1.85546875" style="207" customWidth="1"/>
    <col min="8971" max="8971" width="7" style="207" bestFit="1" customWidth="1"/>
    <col min="8972" max="8972" width="6.28515625" style="207" customWidth="1"/>
    <col min="8973" max="8973" width="20.42578125" style="207" customWidth="1"/>
    <col min="8974" max="8974" width="6.42578125" style="207" bestFit="1" customWidth="1"/>
    <col min="8975" max="8976" width="8.42578125" style="207"/>
    <col min="8977" max="8977" width="3.28515625" style="207" customWidth="1"/>
    <col min="8978" max="9216" width="8.42578125" style="207"/>
    <col min="9217" max="9217" width="10" style="207" bestFit="1" customWidth="1"/>
    <col min="9218" max="9218" width="44.28515625" style="207" bestFit="1" customWidth="1"/>
    <col min="9219" max="9219" width="10.42578125" style="207" bestFit="1" customWidth="1"/>
    <col min="9220" max="9220" width="10.42578125" style="207" customWidth="1"/>
    <col min="9221" max="9221" width="9.7109375" style="207" bestFit="1" customWidth="1"/>
    <col min="9222" max="9223" width="9.5703125" style="207" bestFit="1" customWidth="1"/>
    <col min="9224" max="9224" width="10.42578125" style="207" bestFit="1" customWidth="1"/>
    <col min="9225" max="9225" width="4.5703125" style="207" customWidth="1"/>
    <col min="9226" max="9226" width="1.85546875" style="207" customWidth="1"/>
    <col min="9227" max="9227" width="7" style="207" bestFit="1" customWidth="1"/>
    <col min="9228" max="9228" width="6.28515625" style="207" customWidth="1"/>
    <col min="9229" max="9229" width="20.42578125" style="207" customWidth="1"/>
    <col min="9230" max="9230" width="6.42578125" style="207" bestFit="1" customWidth="1"/>
    <col min="9231" max="9232" width="8.42578125" style="207"/>
    <col min="9233" max="9233" width="3.28515625" style="207" customWidth="1"/>
    <col min="9234" max="9472" width="8.42578125" style="207"/>
    <col min="9473" max="9473" width="10" style="207" bestFit="1" customWidth="1"/>
    <col min="9474" max="9474" width="44.28515625" style="207" bestFit="1" customWidth="1"/>
    <col min="9475" max="9475" width="10.42578125" style="207" bestFit="1" customWidth="1"/>
    <col min="9476" max="9476" width="10.42578125" style="207" customWidth="1"/>
    <col min="9477" max="9477" width="9.7109375" style="207" bestFit="1" customWidth="1"/>
    <col min="9478" max="9479" width="9.5703125" style="207" bestFit="1" customWidth="1"/>
    <col min="9480" max="9480" width="10.42578125" style="207" bestFit="1" customWidth="1"/>
    <col min="9481" max="9481" width="4.5703125" style="207" customWidth="1"/>
    <col min="9482" max="9482" width="1.85546875" style="207" customWidth="1"/>
    <col min="9483" max="9483" width="7" style="207" bestFit="1" customWidth="1"/>
    <col min="9484" max="9484" width="6.28515625" style="207" customWidth="1"/>
    <col min="9485" max="9485" width="20.42578125" style="207" customWidth="1"/>
    <col min="9486" max="9486" width="6.42578125" style="207" bestFit="1" customWidth="1"/>
    <col min="9487" max="9488" width="8.42578125" style="207"/>
    <col min="9489" max="9489" width="3.28515625" style="207" customWidth="1"/>
    <col min="9490" max="9728" width="8.42578125" style="207"/>
    <col min="9729" max="9729" width="10" style="207" bestFit="1" customWidth="1"/>
    <col min="9730" max="9730" width="44.28515625" style="207" bestFit="1" customWidth="1"/>
    <col min="9731" max="9731" width="10.42578125" style="207" bestFit="1" customWidth="1"/>
    <col min="9732" max="9732" width="10.42578125" style="207" customWidth="1"/>
    <col min="9733" max="9733" width="9.7109375" style="207" bestFit="1" customWidth="1"/>
    <col min="9734" max="9735" width="9.5703125" style="207" bestFit="1" customWidth="1"/>
    <col min="9736" max="9736" width="10.42578125" style="207" bestFit="1" customWidth="1"/>
    <col min="9737" max="9737" width="4.5703125" style="207" customWidth="1"/>
    <col min="9738" max="9738" width="1.85546875" style="207" customWidth="1"/>
    <col min="9739" max="9739" width="7" style="207" bestFit="1" customWidth="1"/>
    <col min="9740" max="9740" width="6.28515625" style="207" customWidth="1"/>
    <col min="9741" max="9741" width="20.42578125" style="207" customWidth="1"/>
    <col min="9742" max="9742" width="6.42578125" style="207" bestFit="1" customWidth="1"/>
    <col min="9743" max="9744" width="8.42578125" style="207"/>
    <col min="9745" max="9745" width="3.28515625" style="207" customWidth="1"/>
    <col min="9746" max="9984" width="8.42578125" style="207"/>
    <col min="9985" max="9985" width="10" style="207" bestFit="1" customWidth="1"/>
    <col min="9986" max="9986" width="44.28515625" style="207" bestFit="1" customWidth="1"/>
    <col min="9987" max="9987" width="10.42578125" style="207" bestFit="1" customWidth="1"/>
    <col min="9988" max="9988" width="10.42578125" style="207" customWidth="1"/>
    <col min="9989" max="9989" width="9.7109375" style="207" bestFit="1" customWidth="1"/>
    <col min="9990" max="9991" width="9.5703125" style="207" bestFit="1" customWidth="1"/>
    <col min="9992" max="9992" width="10.42578125" style="207" bestFit="1" customWidth="1"/>
    <col min="9993" max="9993" width="4.5703125" style="207" customWidth="1"/>
    <col min="9994" max="9994" width="1.85546875" style="207" customWidth="1"/>
    <col min="9995" max="9995" width="7" style="207" bestFit="1" customWidth="1"/>
    <col min="9996" max="9996" width="6.28515625" style="207" customWidth="1"/>
    <col min="9997" max="9997" width="20.42578125" style="207" customWidth="1"/>
    <col min="9998" max="9998" width="6.42578125" style="207" bestFit="1" customWidth="1"/>
    <col min="9999" max="10000" width="8.42578125" style="207"/>
    <col min="10001" max="10001" width="3.28515625" style="207" customWidth="1"/>
    <col min="10002" max="10240" width="8.42578125" style="207"/>
    <col min="10241" max="10241" width="10" style="207" bestFit="1" customWidth="1"/>
    <col min="10242" max="10242" width="44.28515625" style="207" bestFit="1" customWidth="1"/>
    <col min="10243" max="10243" width="10.42578125" style="207" bestFit="1" customWidth="1"/>
    <col min="10244" max="10244" width="10.42578125" style="207" customWidth="1"/>
    <col min="10245" max="10245" width="9.7109375" style="207" bestFit="1" customWidth="1"/>
    <col min="10246" max="10247" width="9.5703125" style="207" bestFit="1" customWidth="1"/>
    <col min="10248" max="10248" width="10.42578125" style="207" bestFit="1" customWidth="1"/>
    <col min="10249" max="10249" width="4.5703125" style="207" customWidth="1"/>
    <col min="10250" max="10250" width="1.85546875" style="207" customWidth="1"/>
    <col min="10251" max="10251" width="7" style="207" bestFit="1" customWidth="1"/>
    <col min="10252" max="10252" width="6.28515625" style="207" customWidth="1"/>
    <col min="10253" max="10253" width="20.42578125" style="207" customWidth="1"/>
    <col min="10254" max="10254" width="6.42578125" style="207" bestFit="1" customWidth="1"/>
    <col min="10255" max="10256" width="8.42578125" style="207"/>
    <col min="10257" max="10257" width="3.28515625" style="207" customWidth="1"/>
    <col min="10258" max="10496" width="8.42578125" style="207"/>
    <col min="10497" max="10497" width="10" style="207" bestFit="1" customWidth="1"/>
    <col min="10498" max="10498" width="44.28515625" style="207" bestFit="1" customWidth="1"/>
    <col min="10499" max="10499" width="10.42578125" style="207" bestFit="1" customWidth="1"/>
    <col min="10500" max="10500" width="10.42578125" style="207" customWidth="1"/>
    <col min="10501" max="10501" width="9.7109375" style="207" bestFit="1" customWidth="1"/>
    <col min="10502" max="10503" width="9.5703125" style="207" bestFit="1" customWidth="1"/>
    <col min="10504" max="10504" width="10.42578125" style="207" bestFit="1" customWidth="1"/>
    <col min="10505" max="10505" width="4.5703125" style="207" customWidth="1"/>
    <col min="10506" max="10506" width="1.85546875" style="207" customWidth="1"/>
    <col min="10507" max="10507" width="7" style="207" bestFit="1" customWidth="1"/>
    <col min="10508" max="10508" width="6.28515625" style="207" customWidth="1"/>
    <col min="10509" max="10509" width="20.42578125" style="207" customWidth="1"/>
    <col min="10510" max="10510" width="6.42578125" style="207" bestFit="1" customWidth="1"/>
    <col min="10511" max="10512" width="8.42578125" style="207"/>
    <col min="10513" max="10513" width="3.28515625" style="207" customWidth="1"/>
    <col min="10514" max="10752" width="8.42578125" style="207"/>
    <col min="10753" max="10753" width="10" style="207" bestFit="1" customWidth="1"/>
    <col min="10754" max="10754" width="44.28515625" style="207" bestFit="1" customWidth="1"/>
    <col min="10755" max="10755" width="10.42578125" style="207" bestFit="1" customWidth="1"/>
    <col min="10756" max="10756" width="10.42578125" style="207" customWidth="1"/>
    <col min="10757" max="10757" width="9.7109375" style="207" bestFit="1" customWidth="1"/>
    <col min="10758" max="10759" width="9.5703125" style="207" bestFit="1" customWidth="1"/>
    <col min="10760" max="10760" width="10.42578125" style="207" bestFit="1" customWidth="1"/>
    <col min="10761" max="10761" width="4.5703125" style="207" customWidth="1"/>
    <col min="10762" max="10762" width="1.85546875" style="207" customWidth="1"/>
    <col min="10763" max="10763" width="7" style="207" bestFit="1" customWidth="1"/>
    <col min="10764" max="10764" width="6.28515625" style="207" customWidth="1"/>
    <col min="10765" max="10765" width="20.42578125" style="207" customWidth="1"/>
    <col min="10766" max="10766" width="6.42578125" style="207" bestFit="1" customWidth="1"/>
    <col min="10767" max="10768" width="8.42578125" style="207"/>
    <col min="10769" max="10769" width="3.28515625" style="207" customWidth="1"/>
    <col min="10770" max="11008" width="8.42578125" style="207"/>
    <col min="11009" max="11009" width="10" style="207" bestFit="1" customWidth="1"/>
    <col min="11010" max="11010" width="44.28515625" style="207" bestFit="1" customWidth="1"/>
    <col min="11011" max="11011" width="10.42578125" style="207" bestFit="1" customWidth="1"/>
    <col min="11012" max="11012" width="10.42578125" style="207" customWidth="1"/>
    <col min="11013" max="11013" width="9.7109375" style="207" bestFit="1" customWidth="1"/>
    <col min="11014" max="11015" width="9.5703125" style="207" bestFit="1" customWidth="1"/>
    <col min="11016" max="11016" width="10.42578125" style="207" bestFit="1" customWidth="1"/>
    <col min="11017" max="11017" width="4.5703125" style="207" customWidth="1"/>
    <col min="11018" max="11018" width="1.85546875" style="207" customWidth="1"/>
    <col min="11019" max="11019" width="7" style="207" bestFit="1" customWidth="1"/>
    <col min="11020" max="11020" width="6.28515625" style="207" customWidth="1"/>
    <col min="11021" max="11021" width="20.42578125" style="207" customWidth="1"/>
    <col min="11022" max="11022" width="6.42578125" style="207" bestFit="1" customWidth="1"/>
    <col min="11023" max="11024" width="8.42578125" style="207"/>
    <col min="11025" max="11025" width="3.28515625" style="207" customWidth="1"/>
    <col min="11026" max="11264" width="8.42578125" style="207"/>
    <col min="11265" max="11265" width="10" style="207" bestFit="1" customWidth="1"/>
    <col min="11266" max="11266" width="44.28515625" style="207" bestFit="1" customWidth="1"/>
    <col min="11267" max="11267" width="10.42578125" style="207" bestFit="1" customWidth="1"/>
    <col min="11268" max="11268" width="10.42578125" style="207" customWidth="1"/>
    <col min="11269" max="11269" width="9.7109375" style="207" bestFit="1" customWidth="1"/>
    <col min="11270" max="11271" width="9.5703125" style="207" bestFit="1" customWidth="1"/>
    <col min="11272" max="11272" width="10.42578125" style="207" bestFit="1" customWidth="1"/>
    <col min="11273" max="11273" width="4.5703125" style="207" customWidth="1"/>
    <col min="11274" max="11274" width="1.85546875" style="207" customWidth="1"/>
    <col min="11275" max="11275" width="7" style="207" bestFit="1" customWidth="1"/>
    <col min="11276" max="11276" width="6.28515625" style="207" customWidth="1"/>
    <col min="11277" max="11277" width="20.42578125" style="207" customWidth="1"/>
    <col min="11278" max="11278" width="6.42578125" style="207" bestFit="1" customWidth="1"/>
    <col min="11279" max="11280" width="8.42578125" style="207"/>
    <col min="11281" max="11281" width="3.28515625" style="207" customWidth="1"/>
    <col min="11282" max="11520" width="8.42578125" style="207"/>
    <col min="11521" max="11521" width="10" style="207" bestFit="1" customWidth="1"/>
    <col min="11522" max="11522" width="44.28515625" style="207" bestFit="1" customWidth="1"/>
    <col min="11523" max="11523" width="10.42578125" style="207" bestFit="1" customWidth="1"/>
    <col min="11524" max="11524" width="10.42578125" style="207" customWidth="1"/>
    <col min="11525" max="11525" width="9.7109375" style="207" bestFit="1" customWidth="1"/>
    <col min="11526" max="11527" width="9.5703125" style="207" bestFit="1" customWidth="1"/>
    <col min="11528" max="11528" width="10.42578125" style="207" bestFit="1" customWidth="1"/>
    <col min="11529" max="11529" width="4.5703125" style="207" customWidth="1"/>
    <col min="11530" max="11530" width="1.85546875" style="207" customWidth="1"/>
    <col min="11531" max="11531" width="7" style="207" bestFit="1" customWidth="1"/>
    <col min="11532" max="11532" width="6.28515625" style="207" customWidth="1"/>
    <col min="11533" max="11533" width="20.42578125" style="207" customWidth="1"/>
    <col min="11534" max="11534" width="6.42578125" style="207" bestFit="1" customWidth="1"/>
    <col min="11535" max="11536" width="8.42578125" style="207"/>
    <col min="11537" max="11537" width="3.28515625" style="207" customWidth="1"/>
    <col min="11538" max="11776" width="8.42578125" style="207"/>
    <col min="11777" max="11777" width="10" style="207" bestFit="1" customWidth="1"/>
    <col min="11778" max="11778" width="44.28515625" style="207" bestFit="1" customWidth="1"/>
    <col min="11779" max="11779" width="10.42578125" style="207" bestFit="1" customWidth="1"/>
    <col min="11780" max="11780" width="10.42578125" style="207" customWidth="1"/>
    <col min="11781" max="11781" width="9.7109375" style="207" bestFit="1" customWidth="1"/>
    <col min="11782" max="11783" width="9.5703125" style="207" bestFit="1" customWidth="1"/>
    <col min="11784" max="11784" width="10.42578125" style="207" bestFit="1" customWidth="1"/>
    <col min="11785" max="11785" width="4.5703125" style="207" customWidth="1"/>
    <col min="11786" max="11786" width="1.85546875" style="207" customWidth="1"/>
    <col min="11787" max="11787" width="7" style="207" bestFit="1" customWidth="1"/>
    <col min="11788" max="11788" width="6.28515625" style="207" customWidth="1"/>
    <col min="11789" max="11789" width="20.42578125" style="207" customWidth="1"/>
    <col min="11790" max="11790" width="6.42578125" style="207" bestFit="1" customWidth="1"/>
    <col min="11791" max="11792" width="8.42578125" style="207"/>
    <col min="11793" max="11793" width="3.28515625" style="207" customWidth="1"/>
    <col min="11794" max="12032" width="8.42578125" style="207"/>
    <col min="12033" max="12033" width="10" style="207" bestFit="1" customWidth="1"/>
    <col min="12034" max="12034" width="44.28515625" style="207" bestFit="1" customWidth="1"/>
    <col min="12035" max="12035" width="10.42578125" style="207" bestFit="1" customWidth="1"/>
    <col min="12036" max="12036" width="10.42578125" style="207" customWidth="1"/>
    <col min="12037" max="12037" width="9.7109375" style="207" bestFit="1" customWidth="1"/>
    <col min="12038" max="12039" width="9.5703125" style="207" bestFit="1" customWidth="1"/>
    <col min="12040" max="12040" width="10.42578125" style="207" bestFit="1" customWidth="1"/>
    <col min="12041" max="12041" width="4.5703125" style="207" customWidth="1"/>
    <col min="12042" max="12042" width="1.85546875" style="207" customWidth="1"/>
    <col min="12043" max="12043" width="7" style="207" bestFit="1" customWidth="1"/>
    <col min="12044" max="12044" width="6.28515625" style="207" customWidth="1"/>
    <col min="12045" max="12045" width="20.42578125" style="207" customWidth="1"/>
    <col min="12046" max="12046" width="6.42578125" style="207" bestFit="1" customWidth="1"/>
    <col min="12047" max="12048" width="8.42578125" style="207"/>
    <col min="12049" max="12049" width="3.28515625" style="207" customWidth="1"/>
    <col min="12050" max="12288" width="8.42578125" style="207"/>
    <col min="12289" max="12289" width="10" style="207" bestFit="1" customWidth="1"/>
    <col min="12290" max="12290" width="44.28515625" style="207" bestFit="1" customWidth="1"/>
    <col min="12291" max="12291" width="10.42578125" style="207" bestFit="1" customWidth="1"/>
    <col min="12292" max="12292" width="10.42578125" style="207" customWidth="1"/>
    <col min="12293" max="12293" width="9.7109375" style="207" bestFit="1" customWidth="1"/>
    <col min="12294" max="12295" width="9.5703125" style="207" bestFit="1" customWidth="1"/>
    <col min="12296" max="12296" width="10.42578125" style="207" bestFit="1" customWidth="1"/>
    <col min="12297" max="12297" width="4.5703125" style="207" customWidth="1"/>
    <col min="12298" max="12298" width="1.85546875" style="207" customWidth="1"/>
    <col min="12299" max="12299" width="7" style="207" bestFit="1" customWidth="1"/>
    <col min="12300" max="12300" width="6.28515625" style="207" customWidth="1"/>
    <col min="12301" max="12301" width="20.42578125" style="207" customWidth="1"/>
    <col min="12302" max="12302" width="6.42578125" style="207" bestFit="1" customWidth="1"/>
    <col min="12303" max="12304" width="8.42578125" style="207"/>
    <col min="12305" max="12305" width="3.28515625" style="207" customWidth="1"/>
    <col min="12306" max="12544" width="8.42578125" style="207"/>
    <col min="12545" max="12545" width="10" style="207" bestFit="1" customWidth="1"/>
    <col min="12546" max="12546" width="44.28515625" style="207" bestFit="1" customWidth="1"/>
    <col min="12547" max="12547" width="10.42578125" style="207" bestFit="1" customWidth="1"/>
    <col min="12548" max="12548" width="10.42578125" style="207" customWidth="1"/>
    <col min="12549" max="12549" width="9.7109375" style="207" bestFit="1" customWidth="1"/>
    <col min="12550" max="12551" width="9.5703125" style="207" bestFit="1" customWidth="1"/>
    <col min="12552" max="12552" width="10.42578125" style="207" bestFit="1" customWidth="1"/>
    <col min="12553" max="12553" width="4.5703125" style="207" customWidth="1"/>
    <col min="12554" max="12554" width="1.85546875" style="207" customWidth="1"/>
    <col min="12555" max="12555" width="7" style="207" bestFit="1" customWidth="1"/>
    <col min="12556" max="12556" width="6.28515625" style="207" customWidth="1"/>
    <col min="12557" max="12557" width="20.42578125" style="207" customWidth="1"/>
    <col min="12558" max="12558" width="6.42578125" style="207" bestFit="1" customWidth="1"/>
    <col min="12559" max="12560" width="8.42578125" style="207"/>
    <col min="12561" max="12561" width="3.28515625" style="207" customWidth="1"/>
    <col min="12562" max="12800" width="8.42578125" style="207"/>
    <col min="12801" max="12801" width="10" style="207" bestFit="1" customWidth="1"/>
    <col min="12802" max="12802" width="44.28515625" style="207" bestFit="1" customWidth="1"/>
    <col min="12803" max="12803" width="10.42578125" style="207" bestFit="1" customWidth="1"/>
    <col min="12804" max="12804" width="10.42578125" style="207" customWidth="1"/>
    <col min="12805" max="12805" width="9.7109375" style="207" bestFit="1" customWidth="1"/>
    <col min="12806" max="12807" width="9.5703125" style="207" bestFit="1" customWidth="1"/>
    <col min="12808" max="12808" width="10.42578125" style="207" bestFit="1" customWidth="1"/>
    <col min="12809" max="12809" width="4.5703125" style="207" customWidth="1"/>
    <col min="12810" max="12810" width="1.85546875" style="207" customWidth="1"/>
    <col min="12811" max="12811" width="7" style="207" bestFit="1" customWidth="1"/>
    <col min="12812" max="12812" width="6.28515625" style="207" customWidth="1"/>
    <col min="12813" max="12813" width="20.42578125" style="207" customWidth="1"/>
    <col min="12814" max="12814" width="6.42578125" style="207" bestFit="1" customWidth="1"/>
    <col min="12815" max="12816" width="8.42578125" style="207"/>
    <col min="12817" max="12817" width="3.28515625" style="207" customWidth="1"/>
    <col min="12818" max="13056" width="8.42578125" style="207"/>
    <col min="13057" max="13057" width="10" style="207" bestFit="1" customWidth="1"/>
    <col min="13058" max="13058" width="44.28515625" style="207" bestFit="1" customWidth="1"/>
    <col min="13059" max="13059" width="10.42578125" style="207" bestFit="1" customWidth="1"/>
    <col min="13060" max="13060" width="10.42578125" style="207" customWidth="1"/>
    <col min="13061" max="13061" width="9.7109375" style="207" bestFit="1" customWidth="1"/>
    <col min="13062" max="13063" width="9.5703125" style="207" bestFit="1" customWidth="1"/>
    <col min="13064" max="13064" width="10.42578125" style="207" bestFit="1" customWidth="1"/>
    <col min="13065" max="13065" width="4.5703125" style="207" customWidth="1"/>
    <col min="13066" max="13066" width="1.85546875" style="207" customWidth="1"/>
    <col min="13067" max="13067" width="7" style="207" bestFit="1" customWidth="1"/>
    <col min="13068" max="13068" width="6.28515625" style="207" customWidth="1"/>
    <col min="13069" max="13069" width="20.42578125" style="207" customWidth="1"/>
    <col min="13070" max="13070" width="6.42578125" style="207" bestFit="1" customWidth="1"/>
    <col min="13071" max="13072" width="8.42578125" style="207"/>
    <col min="13073" max="13073" width="3.28515625" style="207" customWidth="1"/>
    <col min="13074" max="13312" width="8.42578125" style="207"/>
    <col min="13313" max="13313" width="10" style="207" bestFit="1" customWidth="1"/>
    <col min="13314" max="13314" width="44.28515625" style="207" bestFit="1" customWidth="1"/>
    <col min="13315" max="13315" width="10.42578125" style="207" bestFit="1" customWidth="1"/>
    <col min="13316" max="13316" width="10.42578125" style="207" customWidth="1"/>
    <col min="13317" max="13317" width="9.7109375" style="207" bestFit="1" customWidth="1"/>
    <col min="13318" max="13319" width="9.5703125" style="207" bestFit="1" customWidth="1"/>
    <col min="13320" max="13320" width="10.42578125" style="207" bestFit="1" customWidth="1"/>
    <col min="13321" max="13321" width="4.5703125" style="207" customWidth="1"/>
    <col min="13322" max="13322" width="1.85546875" style="207" customWidth="1"/>
    <col min="13323" max="13323" width="7" style="207" bestFit="1" customWidth="1"/>
    <col min="13324" max="13324" width="6.28515625" style="207" customWidth="1"/>
    <col min="13325" max="13325" width="20.42578125" style="207" customWidth="1"/>
    <col min="13326" max="13326" width="6.42578125" style="207" bestFit="1" customWidth="1"/>
    <col min="13327" max="13328" width="8.42578125" style="207"/>
    <col min="13329" max="13329" width="3.28515625" style="207" customWidth="1"/>
    <col min="13330" max="13568" width="8.42578125" style="207"/>
    <col min="13569" max="13569" width="10" style="207" bestFit="1" customWidth="1"/>
    <col min="13570" max="13570" width="44.28515625" style="207" bestFit="1" customWidth="1"/>
    <col min="13571" max="13571" width="10.42578125" style="207" bestFit="1" customWidth="1"/>
    <col min="13572" max="13572" width="10.42578125" style="207" customWidth="1"/>
    <col min="13573" max="13573" width="9.7109375" style="207" bestFit="1" customWidth="1"/>
    <col min="13574" max="13575" width="9.5703125" style="207" bestFit="1" customWidth="1"/>
    <col min="13576" max="13576" width="10.42578125" style="207" bestFit="1" customWidth="1"/>
    <col min="13577" max="13577" width="4.5703125" style="207" customWidth="1"/>
    <col min="13578" max="13578" width="1.85546875" style="207" customWidth="1"/>
    <col min="13579" max="13579" width="7" style="207" bestFit="1" customWidth="1"/>
    <col min="13580" max="13580" width="6.28515625" style="207" customWidth="1"/>
    <col min="13581" max="13581" width="20.42578125" style="207" customWidth="1"/>
    <col min="13582" max="13582" width="6.42578125" style="207" bestFit="1" customWidth="1"/>
    <col min="13583" max="13584" width="8.42578125" style="207"/>
    <col min="13585" max="13585" width="3.28515625" style="207" customWidth="1"/>
    <col min="13586" max="13824" width="8.42578125" style="207"/>
    <col min="13825" max="13825" width="10" style="207" bestFit="1" customWidth="1"/>
    <col min="13826" max="13826" width="44.28515625" style="207" bestFit="1" customWidth="1"/>
    <col min="13827" max="13827" width="10.42578125" style="207" bestFit="1" customWidth="1"/>
    <col min="13828" max="13828" width="10.42578125" style="207" customWidth="1"/>
    <col min="13829" max="13829" width="9.7109375" style="207" bestFit="1" customWidth="1"/>
    <col min="13830" max="13831" width="9.5703125" style="207" bestFit="1" customWidth="1"/>
    <col min="13832" max="13832" width="10.42578125" style="207" bestFit="1" customWidth="1"/>
    <col min="13833" max="13833" width="4.5703125" style="207" customWidth="1"/>
    <col min="13834" max="13834" width="1.85546875" style="207" customWidth="1"/>
    <col min="13835" max="13835" width="7" style="207" bestFit="1" customWidth="1"/>
    <col min="13836" max="13836" width="6.28515625" style="207" customWidth="1"/>
    <col min="13837" max="13837" width="20.42578125" style="207" customWidth="1"/>
    <col min="13838" max="13838" width="6.42578125" style="207" bestFit="1" customWidth="1"/>
    <col min="13839" max="13840" width="8.42578125" style="207"/>
    <col min="13841" max="13841" width="3.28515625" style="207" customWidth="1"/>
    <col min="13842" max="14080" width="8.42578125" style="207"/>
    <col min="14081" max="14081" width="10" style="207" bestFit="1" customWidth="1"/>
    <col min="14082" max="14082" width="44.28515625" style="207" bestFit="1" customWidth="1"/>
    <col min="14083" max="14083" width="10.42578125" style="207" bestFit="1" customWidth="1"/>
    <col min="14084" max="14084" width="10.42578125" style="207" customWidth="1"/>
    <col min="14085" max="14085" width="9.7109375" style="207" bestFit="1" customWidth="1"/>
    <col min="14086" max="14087" width="9.5703125" style="207" bestFit="1" customWidth="1"/>
    <col min="14088" max="14088" width="10.42578125" style="207" bestFit="1" customWidth="1"/>
    <col min="14089" max="14089" width="4.5703125" style="207" customWidth="1"/>
    <col min="14090" max="14090" width="1.85546875" style="207" customWidth="1"/>
    <col min="14091" max="14091" width="7" style="207" bestFit="1" customWidth="1"/>
    <col min="14092" max="14092" width="6.28515625" style="207" customWidth="1"/>
    <col min="14093" max="14093" width="20.42578125" style="207" customWidth="1"/>
    <col min="14094" max="14094" width="6.42578125" style="207" bestFit="1" customWidth="1"/>
    <col min="14095" max="14096" width="8.42578125" style="207"/>
    <col min="14097" max="14097" width="3.28515625" style="207" customWidth="1"/>
    <col min="14098" max="14336" width="8.42578125" style="207"/>
    <col min="14337" max="14337" width="10" style="207" bestFit="1" customWidth="1"/>
    <col min="14338" max="14338" width="44.28515625" style="207" bestFit="1" customWidth="1"/>
    <col min="14339" max="14339" width="10.42578125" style="207" bestFit="1" customWidth="1"/>
    <col min="14340" max="14340" width="10.42578125" style="207" customWidth="1"/>
    <col min="14341" max="14341" width="9.7109375" style="207" bestFit="1" customWidth="1"/>
    <col min="14342" max="14343" width="9.5703125" style="207" bestFit="1" customWidth="1"/>
    <col min="14344" max="14344" width="10.42578125" style="207" bestFit="1" customWidth="1"/>
    <col min="14345" max="14345" width="4.5703125" style="207" customWidth="1"/>
    <col min="14346" max="14346" width="1.85546875" style="207" customWidth="1"/>
    <col min="14347" max="14347" width="7" style="207" bestFit="1" customWidth="1"/>
    <col min="14348" max="14348" width="6.28515625" style="207" customWidth="1"/>
    <col min="14349" max="14349" width="20.42578125" style="207" customWidth="1"/>
    <col min="14350" max="14350" width="6.42578125" style="207" bestFit="1" customWidth="1"/>
    <col min="14351" max="14352" width="8.42578125" style="207"/>
    <col min="14353" max="14353" width="3.28515625" style="207" customWidth="1"/>
    <col min="14354" max="14592" width="8.42578125" style="207"/>
    <col min="14593" max="14593" width="10" style="207" bestFit="1" customWidth="1"/>
    <col min="14594" max="14594" width="44.28515625" style="207" bestFit="1" customWidth="1"/>
    <col min="14595" max="14595" width="10.42578125" style="207" bestFit="1" customWidth="1"/>
    <col min="14596" max="14596" width="10.42578125" style="207" customWidth="1"/>
    <col min="14597" max="14597" width="9.7109375" style="207" bestFit="1" customWidth="1"/>
    <col min="14598" max="14599" width="9.5703125" style="207" bestFit="1" customWidth="1"/>
    <col min="14600" max="14600" width="10.42578125" style="207" bestFit="1" customWidth="1"/>
    <col min="14601" max="14601" width="4.5703125" style="207" customWidth="1"/>
    <col min="14602" max="14602" width="1.85546875" style="207" customWidth="1"/>
    <col min="14603" max="14603" width="7" style="207" bestFit="1" customWidth="1"/>
    <col min="14604" max="14604" width="6.28515625" style="207" customWidth="1"/>
    <col min="14605" max="14605" width="20.42578125" style="207" customWidth="1"/>
    <col min="14606" max="14606" width="6.42578125" style="207" bestFit="1" customWidth="1"/>
    <col min="14607" max="14608" width="8.42578125" style="207"/>
    <col min="14609" max="14609" width="3.28515625" style="207" customWidth="1"/>
    <col min="14610" max="14848" width="8.42578125" style="207"/>
    <col min="14849" max="14849" width="10" style="207" bestFit="1" customWidth="1"/>
    <col min="14850" max="14850" width="44.28515625" style="207" bestFit="1" customWidth="1"/>
    <col min="14851" max="14851" width="10.42578125" style="207" bestFit="1" customWidth="1"/>
    <col min="14852" max="14852" width="10.42578125" style="207" customWidth="1"/>
    <col min="14853" max="14853" width="9.7109375" style="207" bestFit="1" customWidth="1"/>
    <col min="14854" max="14855" width="9.5703125" style="207" bestFit="1" customWidth="1"/>
    <col min="14856" max="14856" width="10.42578125" style="207" bestFit="1" customWidth="1"/>
    <col min="14857" max="14857" width="4.5703125" style="207" customWidth="1"/>
    <col min="14858" max="14858" width="1.85546875" style="207" customWidth="1"/>
    <col min="14859" max="14859" width="7" style="207" bestFit="1" customWidth="1"/>
    <col min="14860" max="14860" width="6.28515625" style="207" customWidth="1"/>
    <col min="14861" max="14861" width="20.42578125" style="207" customWidth="1"/>
    <col min="14862" max="14862" width="6.42578125" style="207" bestFit="1" customWidth="1"/>
    <col min="14863" max="14864" width="8.42578125" style="207"/>
    <col min="14865" max="14865" width="3.28515625" style="207" customWidth="1"/>
    <col min="14866" max="15104" width="8.42578125" style="207"/>
    <col min="15105" max="15105" width="10" style="207" bestFit="1" customWidth="1"/>
    <col min="15106" max="15106" width="44.28515625" style="207" bestFit="1" customWidth="1"/>
    <col min="15107" max="15107" width="10.42578125" style="207" bestFit="1" customWidth="1"/>
    <col min="15108" max="15108" width="10.42578125" style="207" customWidth="1"/>
    <col min="15109" max="15109" width="9.7109375" style="207" bestFit="1" customWidth="1"/>
    <col min="15110" max="15111" width="9.5703125" style="207" bestFit="1" customWidth="1"/>
    <col min="15112" max="15112" width="10.42578125" style="207" bestFit="1" customWidth="1"/>
    <col min="15113" max="15113" width="4.5703125" style="207" customWidth="1"/>
    <col min="15114" max="15114" width="1.85546875" style="207" customWidth="1"/>
    <col min="15115" max="15115" width="7" style="207" bestFit="1" customWidth="1"/>
    <col min="15116" max="15116" width="6.28515625" style="207" customWidth="1"/>
    <col min="15117" max="15117" width="20.42578125" style="207" customWidth="1"/>
    <col min="15118" max="15118" width="6.42578125" style="207" bestFit="1" customWidth="1"/>
    <col min="15119" max="15120" width="8.42578125" style="207"/>
    <col min="15121" max="15121" width="3.28515625" style="207" customWidth="1"/>
    <col min="15122" max="15360" width="8.42578125" style="207"/>
    <col min="15361" max="15361" width="10" style="207" bestFit="1" customWidth="1"/>
    <col min="15362" max="15362" width="44.28515625" style="207" bestFit="1" customWidth="1"/>
    <col min="15363" max="15363" width="10.42578125" style="207" bestFit="1" customWidth="1"/>
    <col min="15364" max="15364" width="10.42578125" style="207" customWidth="1"/>
    <col min="15365" max="15365" width="9.7109375" style="207" bestFit="1" customWidth="1"/>
    <col min="15366" max="15367" width="9.5703125" style="207" bestFit="1" customWidth="1"/>
    <col min="15368" max="15368" width="10.42578125" style="207" bestFit="1" customWidth="1"/>
    <col min="15369" max="15369" width="4.5703125" style="207" customWidth="1"/>
    <col min="15370" max="15370" width="1.85546875" style="207" customWidth="1"/>
    <col min="15371" max="15371" width="7" style="207" bestFit="1" customWidth="1"/>
    <col min="15372" max="15372" width="6.28515625" style="207" customWidth="1"/>
    <col min="15373" max="15373" width="20.42578125" style="207" customWidth="1"/>
    <col min="15374" max="15374" width="6.42578125" style="207" bestFit="1" customWidth="1"/>
    <col min="15375" max="15376" width="8.42578125" style="207"/>
    <col min="15377" max="15377" width="3.28515625" style="207" customWidth="1"/>
    <col min="15378" max="15616" width="8.42578125" style="207"/>
    <col min="15617" max="15617" width="10" style="207" bestFit="1" customWidth="1"/>
    <col min="15618" max="15618" width="44.28515625" style="207" bestFit="1" customWidth="1"/>
    <col min="15619" max="15619" width="10.42578125" style="207" bestFit="1" customWidth="1"/>
    <col min="15620" max="15620" width="10.42578125" style="207" customWidth="1"/>
    <col min="15621" max="15621" width="9.7109375" style="207" bestFit="1" customWidth="1"/>
    <col min="15622" max="15623" width="9.5703125" style="207" bestFit="1" customWidth="1"/>
    <col min="15624" max="15624" width="10.42578125" style="207" bestFit="1" customWidth="1"/>
    <col min="15625" max="15625" width="4.5703125" style="207" customWidth="1"/>
    <col min="15626" max="15626" width="1.85546875" style="207" customWidth="1"/>
    <col min="15627" max="15627" width="7" style="207" bestFit="1" customWidth="1"/>
    <col min="15628" max="15628" width="6.28515625" style="207" customWidth="1"/>
    <col min="15629" max="15629" width="20.42578125" style="207" customWidth="1"/>
    <col min="15630" max="15630" width="6.42578125" style="207" bestFit="1" customWidth="1"/>
    <col min="15631" max="15632" width="8.42578125" style="207"/>
    <col min="15633" max="15633" width="3.28515625" style="207" customWidth="1"/>
    <col min="15634" max="15872" width="8.42578125" style="207"/>
    <col min="15873" max="15873" width="10" style="207" bestFit="1" customWidth="1"/>
    <col min="15874" max="15874" width="44.28515625" style="207" bestFit="1" customWidth="1"/>
    <col min="15875" max="15875" width="10.42578125" style="207" bestFit="1" customWidth="1"/>
    <col min="15876" max="15876" width="10.42578125" style="207" customWidth="1"/>
    <col min="15877" max="15877" width="9.7109375" style="207" bestFit="1" customWidth="1"/>
    <col min="15878" max="15879" width="9.5703125" style="207" bestFit="1" customWidth="1"/>
    <col min="15880" max="15880" width="10.42578125" style="207" bestFit="1" customWidth="1"/>
    <col min="15881" max="15881" width="4.5703125" style="207" customWidth="1"/>
    <col min="15882" max="15882" width="1.85546875" style="207" customWidth="1"/>
    <col min="15883" max="15883" width="7" style="207" bestFit="1" customWidth="1"/>
    <col min="15884" max="15884" width="6.28515625" style="207" customWidth="1"/>
    <col min="15885" max="15885" width="20.42578125" style="207" customWidth="1"/>
    <col min="15886" max="15886" width="6.42578125" style="207" bestFit="1" customWidth="1"/>
    <col min="15887" max="15888" width="8.42578125" style="207"/>
    <col min="15889" max="15889" width="3.28515625" style="207" customWidth="1"/>
    <col min="15890" max="16128" width="8.42578125" style="207"/>
    <col min="16129" max="16129" width="10" style="207" bestFit="1" customWidth="1"/>
    <col min="16130" max="16130" width="44.28515625" style="207" bestFit="1" customWidth="1"/>
    <col min="16131" max="16131" width="10.42578125" style="207" bestFit="1" customWidth="1"/>
    <col min="16132" max="16132" width="10.42578125" style="207" customWidth="1"/>
    <col min="16133" max="16133" width="9.7109375" style="207" bestFit="1" customWidth="1"/>
    <col min="16134" max="16135" width="9.5703125" style="207" bestFit="1" customWidth="1"/>
    <col min="16136" max="16136" width="10.42578125" style="207" bestFit="1" customWidth="1"/>
    <col min="16137" max="16137" width="4.5703125" style="207" customWidth="1"/>
    <col min="16138" max="16138" width="1.85546875" style="207" customWidth="1"/>
    <col min="16139" max="16139" width="7" style="207" bestFit="1" customWidth="1"/>
    <col min="16140" max="16140" width="6.28515625" style="207" customWidth="1"/>
    <col min="16141" max="16141" width="20.42578125" style="207" customWidth="1"/>
    <col min="16142" max="16142" width="6.42578125" style="207" bestFit="1" customWidth="1"/>
    <col min="16143" max="16144" width="8.42578125" style="207"/>
    <col min="16145" max="16145" width="3.28515625" style="207" customWidth="1"/>
    <col min="16146" max="16384" width="8.42578125" style="207"/>
  </cols>
  <sheetData>
    <row r="1" spans="1:10" ht="27.75" customHeight="1" x14ac:dyDescent="0.25">
      <c r="A1" s="202"/>
      <c r="B1" s="202"/>
      <c r="C1" s="202"/>
      <c r="D1" s="202"/>
      <c r="E1" s="203" t="s">
        <v>157</v>
      </c>
      <c r="F1" s="204" t="s">
        <v>158</v>
      </c>
      <c r="G1" s="204" t="s">
        <v>159</v>
      </c>
      <c r="H1" s="204" t="s">
        <v>160</v>
      </c>
      <c r="I1" s="205"/>
    </row>
    <row r="2" spans="1:10" ht="30.75" customHeight="1" x14ac:dyDescent="0.25">
      <c r="A2" s="202"/>
      <c r="B2" s="202"/>
      <c r="C2" s="202"/>
      <c r="D2" s="202"/>
      <c r="E2" s="208">
        <f>IFERROR(O62,"")</f>
        <v>600.81575242838801</v>
      </c>
      <c r="F2" s="208">
        <f>IFERROR(H53,"")</f>
        <v>581.26105263157888</v>
      </c>
      <c r="G2" s="208">
        <f>IFERROR(H54,"")</f>
        <v>9.6951779448621576</v>
      </c>
      <c r="H2" s="208">
        <f>IFERROR(H56,"")</f>
        <v>102.30127992481204</v>
      </c>
      <c r="I2" s="209"/>
    </row>
    <row r="3" spans="1:10" ht="15" customHeight="1" x14ac:dyDescent="0.25">
      <c r="A3" s="202"/>
      <c r="B3" s="202"/>
      <c r="C3" s="202"/>
      <c r="D3" s="202"/>
      <c r="E3" s="202"/>
      <c r="F3" s="210"/>
      <c r="G3" s="210"/>
      <c r="H3" s="210"/>
      <c r="I3" s="210"/>
    </row>
    <row r="4" spans="1:10" ht="24.75" customHeight="1" thickBot="1" x14ac:dyDescent="0.3">
      <c r="A4" s="880"/>
      <c r="B4" s="880"/>
      <c r="C4" s="880"/>
      <c r="D4" s="880"/>
      <c r="E4" s="880"/>
      <c r="F4" s="880"/>
      <c r="G4" s="880"/>
      <c r="H4" s="880"/>
      <c r="I4" s="211"/>
    </row>
    <row r="5" spans="1:10" ht="19.5" customHeight="1" thickBot="1" x14ac:dyDescent="0.3">
      <c r="A5" s="881" t="s">
        <v>161</v>
      </c>
      <c r="B5" s="882"/>
      <c r="C5" s="882"/>
      <c r="D5" s="882"/>
      <c r="E5" s="882"/>
      <c r="F5" s="882"/>
      <c r="G5" s="882"/>
      <c r="H5" s="883"/>
      <c r="I5" s="212"/>
    </row>
    <row r="6" spans="1:10" ht="19.5" thickBot="1" x14ac:dyDescent="0.3">
      <c r="A6" s="212"/>
      <c r="B6" s="212"/>
      <c r="C6" s="212"/>
      <c r="D6" s="212"/>
      <c r="E6" s="212"/>
      <c r="F6" s="884" t="s">
        <v>162</v>
      </c>
      <c r="G6" s="884"/>
      <c r="H6" s="213">
        <f ca="1">TODAY()</f>
        <v>46055</v>
      </c>
      <c r="I6" s="213"/>
    </row>
    <row r="7" spans="1:10" ht="26.25" hidden="1" thickBot="1" x14ac:dyDescent="0.3">
      <c r="A7" s="214" t="s">
        <v>163</v>
      </c>
      <c r="B7" s="215" t="s">
        <v>164</v>
      </c>
      <c r="C7" s="215" t="s">
        <v>163</v>
      </c>
      <c r="D7" s="216" t="s">
        <v>165</v>
      </c>
      <c r="E7" s="216" t="s">
        <v>166</v>
      </c>
      <c r="F7" s="216" t="s">
        <v>167</v>
      </c>
      <c r="G7" s="216" t="s">
        <v>168</v>
      </c>
      <c r="H7" s="217" t="s">
        <v>169</v>
      </c>
      <c r="I7" s="218"/>
    </row>
    <row r="8" spans="1:10" ht="13.5" hidden="1" x14ac:dyDescent="0.25">
      <c r="A8" s="219"/>
      <c r="B8" s="207" t="str">
        <f>IFERROR(VLOOKUP(H8,'[1]Consolidado MP Planta'!$A$2:$M$823,3,0),"")</f>
        <v/>
      </c>
      <c r="C8" s="220">
        <f>+A8</f>
        <v>0</v>
      </c>
      <c r="D8" s="221" t="str">
        <f>IFERROR(VLOOKUP(H8,'[1]Consolidado MP Planta'!$A$2:$M$823,13,0),"")</f>
        <v/>
      </c>
      <c r="E8" s="221" t="str">
        <f>IFERROR(VLOOKUP(H8,'[1]Consolidado MP Planta'!$A$2:$M$823,12,0),"")</f>
        <v/>
      </c>
      <c r="F8" s="221" t="str">
        <f>IFERROR(C8*E8,"")</f>
        <v/>
      </c>
      <c r="G8" s="222" t="str">
        <f t="shared" ref="G8:G14" si="0">IFERROR(F8/$F$66,"")</f>
        <v/>
      </c>
      <c r="H8" s="223"/>
      <c r="I8" s="223"/>
      <c r="J8" s="224"/>
    </row>
    <row r="9" spans="1:10" ht="13.5" hidden="1" x14ac:dyDescent="0.25">
      <c r="A9" s="219"/>
      <c r="B9" s="207" t="str">
        <f>IFERROR(VLOOKUP(H9,'[1]Consolidado MP Planta'!$A$2:$M$823,3,0),"")</f>
        <v/>
      </c>
      <c r="C9" s="220">
        <f t="shared" ref="C9:C14" si="1">+A9</f>
        <v>0</v>
      </c>
      <c r="D9" s="221" t="str">
        <f>IFERROR(VLOOKUP(H9,'[1]Consolidado MP Planta'!$A$2:$M$823,13,0),"")</f>
        <v/>
      </c>
      <c r="E9" s="221" t="str">
        <f>IFERROR(VLOOKUP(H9,'[1]Consolidado MP Planta'!$A$2:$M$823,12,0),"")</f>
        <v/>
      </c>
      <c r="F9" s="221" t="str">
        <f t="shared" ref="F9:F14" si="2">IFERROR(C9*E9,"")</f>
        <v/>
      </c>
      <c r="G9" s="222" t="str">
        <f t="shared" si="0"/>
        <v/>
      </c>
      <c r="H9" s="223"/>
      <c r="I9" s="223"/>
      <c r="J9" s="224"/>
    </row>
    <row r="10" spans="1:10" ht="13.5" hidden="1" x14ac:dyDescent="0.25">
      <c r="A10" s="219"/>
      <c r="B10" s="207" t="str">
        <f>IFERROR(VLOOKUP(H10,'[1]Consolidado MP Planta'!$A$2:$M$823,3,0),"")</f>
        <v/>
      </c>
      <c r="C10" s="220">
        <f t="shared" si="1"/>
        <v>0</v>
      </c>
      <c r="D10" s="221" t="str">
        <f>IFERROR(VLOOKUP(H10,'[1]Consolidado MP Planta'!$A$2:$M$823,13,0),"")</f>
        <v/>
      </c>
      <c r="E10" s="221" t="str">
        <f>IFERROR(VLOOKUP(H10,'[1]Consolidado MP Planta'!$A$2:$M$823,12,0),"")</f>
        <v/>
      </c>
      <c r="F10" s="221" t="str">
        <f t="shared" si="2"/>
        <v/>
      </c>
      <c r="G10" s="222" t="str">
        <f t="shared" si="0"/>
        <v/>
      </c>
      <c r="H10" s="223"/>
      <c r="I10" s="223"/>
      <c r="J10" s="224"/>
    </row>
    <row r="11" spans="1:10" ht="13.5" hidden="1" x14ac:dyDescent="0.25">
      <c r="A11" s="219"/>
      <c r="B11" s="207" t="str">
        <f>IFERROR(VLOOKUP(H11,'[1]Consolidado MP Planta'!$A$2:$M$823,3,0),"")</f>
        <v/>
      </c>
      <c r="C11" s="220">
        <f t="shared" si="1"/>
        <v>0</v>
      </c>
      <c r="D11" s="221" t="str">
        <f>IFERROR(VLOOKUP(H11,'[1]Consolidado MP Planta'!$A$2:$M$823,13,0),"")</f>
        <v/>
      </c>
      <c r="E11" s="221" t="str">
        <f>IFERROR(VLOOKUP(H11,'[1]Consolidado MP Planta'!$A$2:$M$823,12,0),"")</f>
        <v/>
      </c>
      <c r="F11" s="221" t="str">
        <f t="shared" si="2"/>
        <v/>
      </c>
      <c r="G11" s="222" t="str">
        <f t="shared" si="0"/>
        <v/>
      </c>
      <c r="H11" s="223"/>
      <c r="I11" s="223"/>
      <c r="J11" s="224"/>
    </row>
    <row r="12" spans="1:10" ht="13.5" hidden="1" x14ac:dyDescent="0.25">
      <c r="A12" s="219"/>
      <c r="B12" s="207" t="str">
        <f>IFERROR(VLOOKUP(H12,'[1]Consolidado MP Planta'!$A$2:$M$823,3,0),"")</f>
        <v/>
      </c>
      <c r="C12" s="220">
        <f t="shared" si="1"/>
        <v>0</v>
      </c>
      <c r="D12" s="221" t="str">
        <f>IFERROR(VLOOKUP(H12,'[1]Consolidado MP Planta'!$A$2:$M$823,13,0),"")</f>
        <v/>
      </c>
      <c r="E12" s="221" t="str">
        <f>IFERROR(VLOOKUP(H12,'[1]Consolidado MP Planta'!$A$2:$M$823,12,0),"")</f>
        <v/>
      </c>
      <c r="F12" s="221" t="str">
        <f t="shared" si="2"/>
        <v/>
      </c>
      <c r="G12" s="222" t="str">
        <f t="shared" si="0"/>
        <v/>
      </c>
      <c r="H12" s="223"/>
      <c r="I12" s="223"/>
      <c r="J12" s="224"/>
    </row>
    <row r="13" spans="1:10" ht="13.5" hidden="1" x14ac:dyDescent="0.25">
      <c r="A13" s="219"/>
      <c r="B13" s="207" t="str">
        <f>IFERROR(VLOOKUP(H13,'[1]Consolidado MP Planta'!$A$2:$M$823,3,0),"")</f>
        <v/>
      </c>
      <c r="C13" s="220">
        <f t="shared" si="1"/>
        <v>0</v>
      </c>
      <c r="D13" s="221" t="str">
        <f>IFERROR(VLOOKUP(H13,'[1]Consolidado MP Planta'!$A$2:$M$823,13,0),"")</f>
        <v/>
      </c>
      <c r="E13" s="221" t="str">
        <f>IFERROR(VLOOKUP(H13,'[1]Consolidado MP Planta'!$A$2:$M$823,12,0),"")</f>
        <v/>
      </c>
      <c r="F13" s="221" t="str">
        <f t="shared" si="2"/>
        <v/>
      </c>
      <c r="G13" s="222" t="str">
        <f t="shared" si="0"/>
        <v/>
      </c>
      <c r="H13" s="223"/>
      <c r="I13" s="223"/>
      <c r="J13" s="224"/>
    </row>
    <row r="14" spans="1:10" ht="13.5" hidden="1" x14ac:dyDescent="0.25">
      <c r="A14" s="219"/>
      <c r="B14" s="207" t="str">
        <f>IFERROR(VLOOKUP(H14,'[1]Consolidado MP Planta'!$A$2:$M$823,3,0),"")</f>
        <v/>
      </c>
      <c r="C14" s="220">
        <f t="shared" si="1"/>
        <v>0</v>
      </c>
      <c r="D14" s="221" t="str">
        <f>IFERROR(VLOOKUP(H14,'[1]Consolidado MP Planta'!$A$2:$M$823,13,0),"")</f>
        <v/>
      </c>
      <c r="E14" s="221" t="str">
        <f>IFERROR(VLOOKUP(H14,'[1]Consolidado MP Planta'!$A$2:$M$823,12,0),"")</f>
        <v/>
      </c>
      <c r="F14" s="221" t="str">
        <f t="shared" si="2"/>
        <v/>
      </c>
      <c r="G14" s="222" t="str">
        <f t="shared" si="0"/>
        <v/>
      </c>
      <c r="H14" s="223"/>
      <c r="I14" s="223"/>
      <c r="J14" s="224"/>
    </row>
    <row r="15" spans="1:10" ht="14.25" hidden="1" thickBot="1" x14ac:dyDescent="0.3">
      <c r="A15" s="219"/>
      <c r="B15" s="207" t="str">
        <f>IFERROR(VLOOKUP(H15,'[2]ARTICULOS MP PLANTA'!$A$2:$G$589,2,0),"")</f>
        <v/>
      </c>
      <c r="C15" s="220"/>
      <c r="D15" s="221"/>
      <c r="E15" s="221"/>
      <c r="F15" s="221"/>
      <c r="G15" s="222"/>
      <c r="H15" s="223"/>
      <c r="I15" s="223"/>
      <c r="J15" s="224"/>
    </row>
    <row r="16" spans="1:10" ht="26.25" thickBot="1" x14ac:dyDescent="0.3">
      <c r="A16" s="214" t="s">
        <v>163</v>
      </c>
      <c r="B16" s="215" t="s">
        <v>170</v>
      </c>
      <c r="C16" s="215" t="s">
        <v>163</v>
      </c>
      <c r="D16" s="216" t="s">
        <v>165</v>
      </c>
      <c r="E16" s="216" t="s">
        <v>166</v>
      </c>
      <c r="F16" s="216" t="s">
        <v>167</v>
      </c>
      <c r="G16" s="216" t="s">
        <v>168</v>
      </c>
      <c r="H16" s="217" t="s">
        <v>169</v>
      </c>
      <c r="I16" s="218"/>
      <c r="J16" s="224"/>
    </row>
    <row r="17" spans="1:12" ht="13.5" x14ac:dyDescent="0.25">
      <c r="A17" s="219">
        <v>8000</v>
      </c>
      <c r="B17" s="207" t="s">
        <v>120</v>
      </c>
      <c r="C17" s="220">
        <f>+A17</f>
        <v>8000</v>
      </c>
      <c r="D17" s="220" t="s">
        <v>213</v>
      </c>
      <c r="E17" s="221">
        <f>+'Costo Batido'!E69</f>
        <v>1.3039949999999998</v>
      </c>
      <c r="F17" s="221">
        <f>IFERROR(E17*C17,"")</f>
        <v>10431.959999999999</v>
      </c>
      <c r="G17" s="222">
        <f t="shared" ref="G17:G24" si="3">IFERROR(F17/$F$66,"")</f>
        <v>0.85374575480513093</v>
      </c>
      <c r="H17" s="223">
        <v>902000014</v>
      </c>
      <c r="I17" s="223"/>
      <c r="J17" s="224"/>
    </row>
    <row r="18" spans="1:12" ht="13.5" x14ac:dyDescent="0.25">
      <c r="A18" s="219">
        <v>300</v>
      </c>
      <c r="B18" s="207" t="s">
        <v>236</v>
      </c>
      <c r="C18" s="220">
        <f t="shared" ref="C18:C24" si="4">+A18</f>
        <v>300</v>
      </c>
      <c r="D18" s="220" t="s">
        <v>213</v>
      </c>
      <c r="E18" s="221">
        <v>2.04</v>
      </c>
      <c r="F18" s="221">
        <f t="shared" ref="F18:F24" si="5">IFERROR(E18*C18,"")</f>
        <v>612</v>
      </c>
      <c r="G18" s="222">
        <f t="shared" si="3"/>
        <v>5.0085736711101288E-2</v>
      </c>
      <c r="H18" s="223" t="s">
        <v>235</v>
      </c>
      <c r="I18" s="223"/>
      <c r="J18" s="224"/>
    </row>
    <row r="19" spans="1:12" ht="13.5" hidden="1" x14ac:dyDescent="0.25">
      <c r="A19" s="219"/>
      <c r="B19" s="207" t="str">
        <f>IFERROR(VLOOKUP(H19,[1]SEMIELABORADOS!$A$2:$M$6000,2,0),"")</f>
        <v/>
      </c>
      <c r="C19" s="220">
        <f>+A19</f>
        <v>0</v>
      </c>
      <c r="D19" s="220" t="str">
        <f>IFERROR(VLOOKUP(H19,[1]SEMIELABORADOS!$A$2:$M$6000,6,0),"")</f>
        <v/>
      </c>
      <c r="E19" s="221" t="str">
        <f>IFERROR(VLOOKUP(H19,[1]SEMIELABORADOS!$A$2:$H$65536,8,0),"")</f>
        <v/>
      </c>
      <c r="F19" s="221" t="str">
        <f>IFERROR(E19*C19,"")</f>
        <v/>
      </c>
      <c r="G19" s="222" t="str">
        <f t="shared" si="3"/>
        <v/>
      </c>
      <c r="H19" s="223"/>
      <c r="I19" s="223"/>
      <c r="J19" s="224"/>
    </row>
    <row r="20" spans="1:12" ht="13.5" hidden="1" x14ac:dyDescent="0.25">
      <c r="A20" s="219"/>
      <c r="B20" s="207" t="str">
        <f>IFERROR(VLOOKUP(H20,[1]SEMIELABORADOS!$A$2:$M$6000,2,0),"")</f>
        <v/>
      </c>
      <c r="C20" s="220">
        <f>+A20</f>
        <v>0</v>
      </c>
      <c r="D20" s="220" t="str">
        <f>IFERROR(VLOOKUP(H20,[1]SEMIELABORADOS!$A$2:$M$6000,6,0),"")</f>
        <v/>
      </c>
      <c r="E20" s="221" t="str">
        <f>IFERROR(VLOOKUP(H20,[1]SEMIELABORADOS!$A$2:$H$65536,8,0),"")</f>
        <v/>
      </c>
      <c r="F20" s="221" t="str">
        <f>IFERROR(E20*C20,"")</f>
        <v/>
      </c>
      <c r="G20" s="222" t="str">
        <f t="shared" si="3"/>
        <v/>
      </c>
      <c r="H20" s="223"/>
      <c r="I20" s="223"/>
      <c r="J20" s="224"/>
    </row>
    <row r="21" spans="1:12" ht="13.5" hidden="1" x14ac:dyDescent="0.25">
      <c r="A21" s="219"/>
      <c r="B21" s="207" t="str">
        <f>IFERROR(VLOOKUP(H21,[1]SEMIELABORADOS!$A$2:$M$6000,2,0),"")</f>
        <v/>
      </c>
      <c r="C21" s="220">
        <f>+A21</f>
        <v>0</v>
      </c>
      <c r="D21" s="220" t="str">
        <f>IFERROR(VLOOKUP(H21,[1]SEMIELABORADOS!$A$2:$M$6000,6,0),"")</f>
        <v/>
      </c>
      <c r="E21" s="221" t="str">
        <f>IFERROR(VLOOKUP(H21,[1]SEMIELABORADOS!$A$2:$H$65536,8,0),"")</f>
        <v/>
      </c>
      <c r="F21" s="221" t="str">
        <f>IFERROR(E21*C21,"")</f>
        <v/>
      </c>
      <c r="G21" s="222" t="str">
        <f t="shared" si="3"/>
        <v/>
      </c>
      <c r="H21" s="223"/>
      <c r="I21" s="223"/>
      <c r="J21" s="224"/>
    </row>
    <row r="22" spans="1:12" ht="13.5" hidden="1" x14ac:dyDescent="0.25">
      <c r="A22" s="219"/>
      <c r="B22" s="207" t="str">
        <f>IFERROR(VLOOKUP(H22,[1]SEMIELABORADOS!$A$2:$M$6000,2,0),"")</f>
        <v/>
      </c>
      <c r="C22" s="220">
        <f t="shared" si="4"/>
        <v>0</v>
      </c>
      <c r="D22" s="220" t="str">
        <f>IFERROR(VLOOKUP(H22,[1]SEMIELABORADOS!$A$2:$M$6000,6,0),"")</f>
        <v/>
      </c>
      <c r="E22" s="221" t="str">
        <f>IFERROR(VLOOKUP(H22,[1]SEMIELABORADOS!$A$2:$H$65536,8,0),"")</f>
        <v/>
      </c>
      <c r="F22" s="221" t="str">
        <f t="shared" si="5"/>
        <v/>
      </c>
      <c r="G22" s="222" t="str">
        <f t="shared" si="3"/>
        <v/>
      </c>
      <c r="H22" s="223"/>
      <c r="I22" s="223"/>
      <c r="J22" s="224"/>
    </row>
    <row r="23" spans="1:12" ht="13.5" hidden="1" x14ac:dyDescent="0.25">
      <c r="A23" s="219"/>
      <c r="B23" s="207" t="str">
        <f>IFERROR(VLOOKUP(H23,[1]SEMIELABORADOS!$A$2:$M$6000,2,0),"")</f>
        <v/>
      </c>
      <c r="C23" s="220">
        <f t="shared" si="4"/>
        <v>0</v>
      </c>
      <c r="D23" s="220" t="str">
        <f>IFERROR(VLOOKUP(H23,[1]SEMIELABORADOS!$A$2:$M$6000,6,0),"")</f>
        <v/>
      </c>
      <c r="E23" s="221" t="str">
        <f>IFERROR(VLOOKUP(H23,[1]SEMIELABORADOS!$A$2:$H$65536,8,0),"")</f>
        <v/>
      </c>
      <c r="F23" s="221" t="str">
        <f t="shared" si="5"/>
        <v/>
      </c>
      <c r="G23" s="222" t="str">
        <f t="shared" si="3"/>
        <v/>
      </c>
      <c r="H23" s="223"/>
      <c r="I23" s="223"/>
      <c r="J23" s="224"/>
    </row>
    <row r="24" spans="1:12" ht="13.5" hidden="1" x14ac:dyDescent="0.25">
      <c r="A24" s="219"/>
      <c r="B24" s="207" t="str">
        <f>IFERROR(VLOOKUP(H24,[1]SEMIELABORADOS!$A$2:$M$6000,2,0),"")</f>
        <v/>
      </c>
      <c r="C24" s="220">
        <f t="shared" si="4"/>
        <v>0</v>
      </c>
      <c r="D24" s="220" t="str">
        <f>IFERROR(VLOOKUP(H24,[1]SEMIELABORADOS!$A$2:$M$6000,6,0),"")</f>
        <v/>
      </c>
      <c r="E24" s="221" t="str">
        <f>IFERROR(VLOOKUP(H24,[1]SEMIELABORADOS!$A$2:$H$65536,8,0),"")</f>
        <v/>
      </c>
      <c r="F24" s="221" t="str">
        <f t="shared" si="5"/>
        <v/>
      </c>
      <c r="G24" s="222" t="str">
        <f t="shared" si="3"/>
        <v/>
      </c>
      <c r="H24" s="223"/>
      <c r="I24" s="223"/>
      <c r="J24" s="224"/>
    </row>
    <row r="25" spans="1:12" ht="14.25" thickBot="1" x14ac:dyDescent="0.3">
      <c r="A25" s="219"/>
      <c r="C25" s="220"/>
      <c r="D25" s="220"/>
      <c r="E25" s="221"/>
      <c r="F25" s="221"/>
      <c r="G25" s="222"/>
      <c r="H25" s="223"/>
      <c r="I25" s="223"/>
      <c r="J25" s="224"/>
    </row>
    <row r="26" spans="1:12" ht="26.25" thickBot="1" x14ac:dyDescent="0.3">
      <c r="A26" s="214" t="s">
        <v>163</v>
      </c>
      <c r="B26" s="215" t="s">
        <v>20</v>
      </c>
      <c r="C26" s="215" t="s">
        <v>163</v>
      </c>
      <c r="D26" s="216" t="s">
        <v>165</v>
      </c>
      <c r="E26" s="216" t="s">
        <v>166</v>
      </c>
      <c r="F26" s="216" t="s">
        <v>167</v>
      </c>
      <c r="G26" s="216" t="s">
        <v>168</v>
      </c>
      <c r="H26" s="217" t="s">
        <v>169</v>
      </c>
      <c r="I26" s="218"/>
    </row>
    <row r="27" spans="1:12" ht="13.5" x14ac:dyDescent="0.25">
      <c r="A27" s="219">
        <v>1</v>
      </c>
      <c r="B27" s="225" t="str">
        <f>IFERROR(VLOOKUP(H27,'[1]Consolidado MP Planta'!$A$2:$M$823,3,0),"")</f>
        <v>BOLSA TRANSPARENTE 56X96X1.80 KILO</v>
      </c>
      <c r="C27" s="220">
        <f t="shared" ref="C27:C32" si="6">+A27</f>
        <v>1</v>
      </c>
      <c r="D27" s="221" t="str">
        <f>IFERROR(VLOOKUP(H27,'[1]Consolidado MP Planta'!$A$2:$M$823,13,0),"")</f>
        <v>Und</v>
      </c>
      <c r="E27" s="221">
        <f>IFERROR(VLOOKUP(H27,'[1]Consolidado MP Planta'!$A$2:$M$823,12,0),"")</f>
        <v>50</v>
      </c>
      <c r="F27" s="221">
        <f t="shared" ref="F27:F32" si="7">IFERROR(C27*E27,"")</f>
        <v>50</v>
      </c>
      <c r="G27" s="222">
        <f t="shared" ref="G27:G32" si="8">IFERROR(F27/$F$66,"")</f>
        <v>4.0919719535213468E-3</v>
      </c>
      <c r="H27" s="226" t="s">
        <v>101</v>
      </c>
      <c r="I27" s="226"/>
      <c r="J27" s="224"/>
      <c r="K27" s="874"/>
      <c r="L27" s="874"/>
    </row>
    <row r="28" spans="1:12" ht="13.5" x14ac:dyDescent="0.25">
      <c r="A28" s="219">
        <v>1</v>
      </c>
      <c r="B28" s="225" t="str">
        <f>IFERROR(VLOOKUP(H28,'[1]Consolidado MP Planta'!$A$2:$M$823,3,0),"")</f>
        <v>ETIQUETA BLANCA 2 5/8X1 15/16 (UND)</v>
      </c>
      <c r="C28" s="220">
        <f t="shared" si="6"/>
        <v>1</v>
      </c>
      <c r="D28" s="221" t="str">
        <f>IFERROR(VLOOKUP(H28,'[1]Consolidado MP Planta'!$A$2:$M$823,13,0),"")</f>
        <v>Und</v>
      </c>
      <c r="E28" s="221">
        <f>IFERROR(VLOOKUP(H28,'[1]Consolidado MP Planta'!$A$2:$M$823,12,0),"")</f>
        <v>2.1280000000000001</v>
      </c>
      <c r="F28" s="221">
        <f t="shared" si="7"/>
        <v>2.1280000000000001</v>
      </c>
      <c r="G28" s="222">
        <f t="shared" si="8"/>
        <v>1.7415432634186855E-4</v>
      </c>
      <c r="H28" s="226" t="s">
        <v>58</v>
      </c>
      <c r="I28" s="226"/>
      <c r="J28" s="224"/>
      <c r="K28" s="874"/>
      <c r="L28" s="874"/>
    </row>
    <row r="29" spans="1:12" ht="13.5" hidden="1" x14ac:dyDescent="0.25">
      <c r="A29" s="219"/>
      <c r="B29" s="225" t="str">
        <f>IFERROR(VLOOKUP(H29,'[1]Consolidado MP Planta'!$A$2:$M$823,3,0),"")</f>
        <v/>
      </c>
      <c r="C29" s="220">
        <f t="shared" si="6"/>
        <v>0</v>
      </c>
      <c r="D29" s="221" t="str">
        <f>IFERROR(VLOOKUP(H29,'[1]Consolidado MP Planta'!$A$2:$M$823,13,0),"")</f>
        <v/>
      </c>
      <c r="E29" s="221" t="str">
        <f>IFERROR(VLOOKUP(H29,'[1]Consolidado MP Planta'!$A$2:$M$823,12,0),"")</f>
        <v/>
      </c>
      <c r="F29" s="221" t="str">
        <f t="shared" si="7"/>
        <v/>
      </c>
      <c r="G29" s="222" t="str">
        <f t="shared" si="8"/>
        <v/>
      </c>
      <c r="H29" s="226"/>
      <c r="I29" s="226"/>
      <c r="J29" s="224"/>
      <c r="K29" s="874"/>
      <c r="L29" s="874"/>
    </row>
    <row r="30" spans="1:12" ht="13.5" hidden="1" x14ac:dyDescent="0.25">
      <c r="A30" s="219"/>
      <c r="B30" s="225" t="str">
        <f>IFERROR(VLOOKUP(H30,'[1]Consolidado MP Planta'!$A$2:$M$823,3,0),"")</f>
        <v/>
      </c>
      <c r="C30" s="220">
        <f t="shared" si="6"/>
        <v>0</v>
      </c>
      <c r="D30" s="221" t="str">
        <f>IFERROR(VLOOKUP(H30,'[1]Consolidado MP Planta'!$A$2:$M$823,13,0),"")</f>
        <v/>
      </c>
      <c r="E30" s="221" t="str">
        <f>IFERROR(VLOOKUP(H30,'[1]Consolidado MP Planta'!$A$2:$M$823,12,0),"")</f>
        <v/>
      </c>
      <c r="F30" s="221" t="str">
        <f t="shared" si="7"/>
        <v/>
      </c>
      <c r="G30" s="222" t="str">
        <f t="shared" si="8"/>
        <v/>
      </c>
      <c r="H30" s="226"/>
      <c r="I30" s="226"/>
      <c r="J30" s="224"/>
      <c r="K30" s="874"/>
      <c r="L30" s="874"/>
    </row>
    <row r="31" spans="1:12" ht="13.5" hidden="1" x14ac:dyDescent="0.25">
      <c r="A31" s="219"/>
      <c r="B31" s="225" t="str">
        <f>IFERROR(VLOOKUP(H31,'[1]Consolidado MP Planta'!$A$2:$M$823,3,0),"")</f>
        <v/>
      </c>
      <c r="C31" s="220">
        <f t="shared" si="6"/>
        <v>0</v>
      </c>
      <c r="D31" s="221" t="str">
        <f>IFERROR(VLOOKUP(H31,'[1]Consolidado MP Planta'!$A$2:$M$823,13,0),"")</f>
        <v/>
      </c>
      <c r="E31" s="221" t="str">
        <f>IFERROR(VLOOKUP(H31,'[1]Consolidado MP Planta'!$A$2:$M$823,12,0),"")</f>
        <v/>
      </c>
      <c r="F31" s="221" t="str">
        <f t="shared" si="7"/>
        <v/>
      </c>
      <c r="G31" s="222" t="str">
        <f t="shared" si="8"/>
        <v/>
      </c>
      <c r="H31" s="226"/>
      <c r="I31" s="226"/>
      <c r="J31" s="224"/>
      <c r="K31" s="227"/>
      <c r="L31" s="228"/>
    </row>
    <row r="32" spans="1:12" ht="13.5" hidden="1" x14ac:dyDescent="0.25">
      <c r="A32" s="219"/>
      <c r="B32" s="225" t="str">
        <f>IFERROR(VLOOKUP(H32,'[1]Consolidado MP Planta'!$A$2:$M$823,3,0),"")</f>
        <v/>
      </c>
      <c r="C32" s="220">
        <f t="shared" si="6"/>
        <v>0</v>
      </c>
      <c r="D32" s="221" t="str">
        <f>IFERROR(VLOOKUP(H32,'[1]Consolidado MP Planta'!$A$2:$M$823,13,0),"")</f>
        <v/>
      </c>
      <c r="E32" s="221" t="str">
        <f>IFERROR(VLOOKUP(H32,'[1]Consolidado MP Planta'!$A$2:$M$823,12,0),"")</f>
        <v/>
      </c>
      <c r="F32" s="221" t="str">
        <f t="shared" si="7"/>
        <v/>
      </c>
      <c r="G32" s="222" t="str">
        <f t="shared" si="8"/>
        <v/>
      </c>
      <c r="H32" s="226"/>
      <c r="I32" s="226"/>
      <c r="J32" s="224"/>
    </row>
    <row r="33" spans="1:13" ht="14.25" thickBot="1" x14ac:dyDescent="0.3">
      <c r="A33" s="219"/>
      <c r="B33" s="225"/>
      <c r="C33" s="220"/>
      <c r="D33" s="221"/>
      <c r="E33" s="221"/>
      <c r="F33" s="221"/>
      <c r="G33" s="222"/>
      <c r="H33" s="226"/>
      <c r="I33" s="226"/>
      <c r="J33" s="224"/>
    </row>
    <row r="34" spans="1:13" ht="26.25" thickBot="1" x14ac:dyDescent="0.25">
      <c r="A34" s="214" t="s">
        <v>163</v>
      </c>
      <c r="B34" s="215" t="s">
        <v>171</v>
      </c>
      <c r="C34" s="215" t="s">
        <v>163</v>
      </c>
      <c r="D34" s="216" t="s">
        <v>165</v>
      </c>
      <c r="E34" s="216" t="s">
        <v>166</v>
      </c>
      <c r="F34" s="216" t="s">
        <v>167</v>
      </c>
      <c r="G34" s="216" t="s">
        <v>168</v>
      </c>
      <c r="H34" s="217" t="s">
        <v>169</v>
      </c>
      <c r="I34" s="226"/>
      <c r="J34" s="224"/>
    </row>
    <row r="35" spans="1:13" ht="13.5" x14ac:dyDescent="0.25">
      <c r="A35" s="219">
        <f>+A17</f>
        <v>8000</v>
      </c>
      <c r="B35" s="225" t="s">
        <v>120</v>
      </c>
      <c r="C35" s="220">
        <f>+A35</f>
        <v>8000</v>
      </c>
      <c r="D35" s="221" t="s">
        <v>214</v>
      </c>
      <c r="E35" s="221">
        <f>+'Costo Batido'!E76</f>
        <v>1.6510047619047622E-2</v>
      </c>
      <c r="F35" s="221">
        <f>IFERROR(E35*C35,"")</f>
        <v>132.08038095238098</v>
      </c>
      <c r="G35" s="222">
        <f t="shared" ref="G35:G41" si="9">IFERROR(F35/$F$66,"")</f>
        <v>1.0809384289351163E-2</v>
      </c>
      <c r="H35" s="226"/>
      <c r="I35" s="226"/>
      <c r="J35" s="224"/>
    </row>
    <row r="36" spans="1:13" ht="13.5" x14ac:dyDescent="0.25">
      <c r="A36" s="219">
        <f t="shared" ref="A36:A41" si="10">+A18</f>
        <v>300</v>
      </c>
      <c r="B36" s="225" t="s">
        <v>236</v>
      </c>
      <c r="C36" s="220">
        <f t="shared" ref="C36:C41" si="11">+A36</f>
        <v>300</v>
      </c>
      <c r="D36" s="221" t="s">
        <v>214</v>
      </c>
      <c r="E36" s="221">
        <v>0</v>
      </c>
      <c r="F36" s="221">
        <f t="shared" ref="F36:F41" si="12">IFERROR(E36*C36,"")</f>
        <v>0</v>
      </c>
      <c r="G36" s="222">
        <f t="shared" si="9"/>
        <v>0</v>
      </c>
      <c r="H36" s="226" t="s">
        <v>235</v>
      </c>
      <c r="I36" s="226"/>
      <c r="J36" s="224"/>
    </row>
    <row r="37" spans="1:13" ht="13.5" hidden="1" x14ac:dyDescent="0.25">
      <c r="A37" s="219">
        <f t="shared" si="10"/>
        <v>0</v>
      </c>
      <c r="B37" s="225" t="str">
        <f>IFERROR(VLOOKUP(H37,[1]SEMIELABORADOS!$A$2:$M$6000,2,0),"")</f>
        <v/>
      </c>
      <c r="C37" s="220">
        <f t="shared" si="11"/>
        <v>0</v>
      </c>
      <c r="D37" s="221" t="str">
        <f>IFERROR(VLOOKUP(H37,[1]SEMIELABORADOS!$A$2:$M$6000,6,0),"")</f>
        <v/>
      </c>
      <c r="E37" s="221" t="str">
        <f>IFERROR(VLOOKUP(H37,[1]SEMIELABORADOS!$A$2:$M$65536,10,0),"")</f>
        <v/>
      </c>
      <c r="F37" s="221" t="str">
        <f t="shared" si="12"/>
        <v/>
      </c>
      <c r="G37" s="222" t="str">
        <f t="shared" si="9"/>
        <v/>
      </c>
      <c r="H37" s="226"/>
      <c r="I37" s="226"/>
      <c r="J37" s="224"/>
    </row>
    <row r="38" spans="1:13" ht="13.5" hidden="1" x14ac:dyDescent="0.25">
      <c r="A38" s="219">
        <f t="shared" si="10"/>
        <v>0</v>
      </c>
      <c r="B38" s="225" t="str">
        <f>IFERROR(VLOOKUP(H38,[1]SEMIELABORADOS!$A$2:$M$6000,2,0),"")</f>
        <v/>
      </c>
      <c r="C38" s="220">
        <f>+A38</f>
        <v>0</v>
      </c>
      <c r="D38" s="221" t="str">
        <f>IFERROR(VLOOKUP(H38,[1]SEMIELABORADOS!$A$2:$M$6000,6,0),"")</f>
        <v/>
      </c>
      <c r="E38" s="221" t="str">
        <f>IFERROR(VLOOKUP(H38,[1]SEMIELABORADOS!$A$2:$M$65536,10,0),"")</f>
        <v/>
      </c>
      <c r="F38" s="221" t="str">
        <f>IFERROR(E38*C38,"")</f>
        <v/>
      </c>
      <c r="G38" s="222" t="str">
        <f t="shared" si="9"/>
        <v/>
      </c>
      <c r="H38" s="226"/>
      <c r="I38" s="226"/>
      <c r="J38" s="224"/>
    </row>
    <row r="39" spans="1:13" ht="13.5" hidden="1" x14ac:dyDescent="0.25">
      <c r="A39" s="219">
        <f t="shared" si="10"/>
        <v>0</v>
      </c>
      <c r="B39" s="225" t="str">
        <f>IFERROR(VLOOKUP(H39,[1]SEMIELABORADOS!$A$2:$M$6000,2,0),"")</f>
        <v/>
      </c>
      <c r="C39" s="220">
        <f>+A39</f>
        <v>0</v>
      </c>
      <c r="D39" s="221" t="str">
        <f>IFERROR(VLOOKUP(H39,[1]SEMIELABORADOS!$A$2:$M$6000,6,0),"")</f>
        <v/>
      </c>
      <c r="E39" s="221" t="str">
        <f>IFERROR(VLOOKUP(H39,[1]SEMIELABORADOS!$A$2:$M$65536,10,0),"")</f>
        <v/>
      </c>
      <c r="F39" s="221" t="str">
        <f>IFERROR(E39*C39,"")</f>
        <v/>
      </c>
      <c r="G39" s="222" t="str">
        <f t="shared" si="9"/>
        <v/>
      </c>
      <c r="H39" s="226"/>
      <c r="I39" s="226"/>
      <c r="J39" s="224"/>
    </row>
    <row r="40" spans="1:13" ht="13.5" hidden="1" x14ac:dyDescent="0.25">
      <c r="A40" s="219">
        <f t="shared" si="10"/>
        <v>0</v>
      </c>
      <c r="B40" s="225" t="str">
        <f>IFERROR(VLOOKUP(H40,[1]SEMIELABORADOS!$A$2:$M$6000,2,0),"")</f>
        <v/>
      </c>
      <c r="C40" s="220">
        <f t="shared" si="11"/>
        <v>0</v>
      </c>
      <c r="D40" s="221" t="str">
        <f>IFERROR(VLOOKUP(H40,[1]SEMIELABORADOS!$A$2:$M$6000,6,0),"")</f>
        <v/>
      </c>
      <c r="E40" s="221" t="str">
        <f>IFERROR(VLOOKUP(H40,[1]SEMIELABORADOS!$A$2:$M$65536,10,0),"")</f>
        <v/>
      </c>
      <c r="F40" s="221" t="str">
        <f t="shared" si="12"/>
        <v/>
      </c>
      <c r="G40" s="222" t="str">
        <f t="shared" si="9"/>
        <v/>
      </c>
      <c r="H40" s="226"/>
      <c r="I40" s="226"/>
      <c r="J40" s="224"/>
    </row>
    <row r="41" spans="1:13" ht="13.5" hidden="1" x14ac:dyDescent="0.25">
      <c r="A41" s="219">
        <f t="shared" si="10"/>
        <v>0</v>
      </c>
      <c r="B41" s="225" t="str">
        <f>IFERROR(VLOOKUP(H41,[1]SEMIELABORADOS!$A$2:$M$6000,2,0),"")</f>
        <v/>
      </c>
      <c r="C41" s="220">
        <f t="shared" si="11"/>
        <v>0</v>
      </c>
      <c r="D41" s="221" t="str">
        <f>IFERROR(VLOOKUP(H41,[1]SEMIELABORADOS!$A$2:$M$6000,6,0),"")</f>
        <v/>
      </c>
      <c r="E41" s="221" t="str">
        <f>IFERROR(VLOOKUP(H41,[1]SEMIELABORADOS!$A$2:$M$65536,10,0),"")</f>
        <v/>
      </c>
      <c r="F41" s="221" t="str">
        <f t="shared" si="12"/>
        <v/>
      </c>
      <c r="G41" s="222" t="str">
        <f t="shared" si="9"/>
        <v/>
      </c>
      <c r="H41" s="226"/>
      <c r="I41" s="226"/>
      <c r="J41" s="224"/>
    </row>
    <row r="42" spans="1:13" ht="14.25" thickBot="1" x14ac:dyDescent="0.3">
      <c r="A42" s="219"/>
      <c r="B42" s="225"/>
      <c r="C42" s="220"/>
      <c r="D42" s="221"/>
      <c r="E42" s="221"/>
      <c r="F42" s="221"/>
      <c r="G42" s="222"/>
      <c r="H42" s="226"/>
      <c r="I42" s="226"/>
      <c r="J42" s="224"/>
    </row>
    <row r="43" spans="1:13" ht="26.25" thickBot="1" x14ac:dyDescent="0.3">
      <c r="A43" s="214" t="s">
        <v>163</v>
      </c>
      <c r="B43" s="215" t="s">
        <v>172</v>
      </c>
      <c r="C43" s="215" t="s">
        <v>163</v>
      </c>
      <c r="D43" s="216" t="s">
        <v>165</v>
      </c>
      <c r="E43" s="216" t="s">
        <v>166</v>
      </c>
      <c r="F43" s="216" t="s">
        <v>167</v>
      </c>
      <c r="G43" s="216" t="s">
        <v>168</v>
      </c>
      <c r="H43" s="217" t="s">
        <v>169</v>
      </c>
      <c r="I43" s="218"/>
      <c r="J43" s="224"/>
    </row>
    <row r="44" spans="1:13" ht="13.5" x14ac:dyDescent="0.25">
      <c r="A44" s="219">
        <f>+A35</f>
        <v>8000</v>
      </c>
      <c r="B44" s="225" t="s">
        <v>120</v>
      </c>
      <c r="C44" s="220">
        <f>+A44</f>
        <v>8000</v>
      </c>
      <c r="D44" s="221" t="s">
        <v>214</v>
      </c>
      <c r="E44" s="221">
        <f>+'Costo Batido'!E74</f>
        <v>0.14109053982142858</v>
      </c>
      <c r="F44" s="221">
        <f>IFERROR(E44*C44,"")</f>
        <v>1128.7243185714287</v>
      </c>
      <c r="G44" s="222">
        <f>IFERROR(F44/$F$66,"")</f>
        <v>9.237416509703561E-2</v>
      </c>
      <c r="H44" s="226"/>
      <c r="I44" s="218"/>
      <c r="J44" s="224"/>
    </row>
    <row r="45" spans="1:13" ht="13.5" x14ac:dyDescent="0.25">
      <c r="A45" s="219">
        <f t="shared" ref="A45:A50" si="13">+A36</f>
        <v>300</v>
      </c>
      <c r="B45" s="225" t="s">
        <v>236</v>
      </c>
      <c r="C45" s="220">
        <f t="shared" ref="C45:C50" si="14">+A45</f>
        <v>300</v>
      </c>
      <c r="D45" s="221" t="s">
        <v>214</v>
      </c>
      <c r="E45" s="221">
        <v>0.15</v>
      </c>
      <c r="F45" s="221">
        <f t="shared" ref="F45:F50" si="15">IFERROR(E45*C45,"")</f>
        <v>45</v>
      </c>
      <c r="G45" s="222">
        <f t="shared" ref="G45:G50" si="16">IFERROR(F45/$F$66,"")</f>
        <v>3.6827747581692125E-3</v>
      </c>
      <c r="H45" s="226"/>
      <c r="I45" s="218"/>
      <c r="J45" s="224"/>
      <c r="M45" s="229"/>
    </row>
    <row r="46" spans="1:13" ht="13.5" hidden="1" x14ac:dyDescent="0.25">
      <c r="A46" s="219">
        <f t="shared" si="13"/>
        <v>0</v>
      </c>
      <c r="B46" s="225" t="str">
        <f>IFERROR(VLOOKUP(H46,[1]SEMIELABORADOS!$A$2:$M$6000,2,0),"")</f>
        <v/>
      </c>
      <c r="C46" s="220">
        <f t="shared" si="14"/>
        <v>0</v>
      </c>
      <c r="D46" s="221" t="str">
        <f>IFERROR(VLOOKUP(H46,[1]SEMIELABORADOS!$A$2:$M$6000,6,0),"")</f>
        <v/>
      </c>
      <c r="E46" s="221" t="str">
        <f>IFERROR(VLOOKUP(H46,[1]SEMIELABORADOS!$A$2:$M$65536,12,0),"")</f>
        <v/>
      </c>
      <c r="F46" s="221" t="str">
        <f t="shared" si="15"/>
        <v/>
      </c>
      <c r="G46" s="222" t="str">
        <f t="shared" si="16"/>
        <v/>
      </c>
      <c r="H46" s="226"/>
      <c r="I46" s="218"/>
      <c r="J46" s="224"/>
    </row>
    <row r="47" spans="1:13" ht="13.5" hidden="1" x14ac:dyDescent="0.25">
      <c r="A47" s="219">
        <f t="shared" si="13"/>
        <v>0</v>
      </c>
      <c r="B47" s="225" t="str">
        <f>IFERROR(VLOOKUP(H47,[1]SEMIELABORADOS!$A$2:$M$6000,2,0),"")</f>
        <v/>
      </c>
      <c r="C47" s="220">
        <f t="shared" si="14"/>
        <v>0</v>
      </c>
      <c r="D47" s="221" t="str">
        <f>IFERROR(VLOOKUP(H47,[1]SEMIELABORADOS!$A$2:$M$6000,6,0),"")</f>
        <v/>
      </c>
      <c r="E47" s="221" t="str">
        <f>IFERROR(VLOOKUP(H47,[1]SEMIELABORADOS!$A$2:$M$65536,12,0),"")</f>
        <v/>
      </c>
      <c r="F47" s="221" t="str">
        <f t="shared" si="15"/>
        <v/>
      </c>
      <c r="G47" s="222" t="str">
        <f t="shared" si="16"/>
        <v/>
      </c>
      <c r="H47" s="226"/>
      <c r="I47" s="218"/>
      <c r="J47" s="224"/>
    </row>
    <row r="48" spans="1:13" ht="13.5" hidden="1" x14ac:dyDescent="0.25">
      <c r="A48" s="219">
        <f t="shared" si="13"/>
        <v>0</v>
      </c>
      <c r="B48" s="225" t="str">
        <f>IFERROR(VLOOKUP(H48,[1]SEMIELABORADOS!$A$2:$M$6000,2,0),"")</f>
        <v/>
      </c>
      <c r="C48" s="220">
        <f t="shared" si="14"/>
        <v>0</v>
      </c>
      <c r="D48" s="221" t="str">
        <f>IFERROR(VLOOKUP(H48,[1]SEMIELABORADOS!$A$2:$M$6000,6,0),"")</f>
        <v/>
      </c>
      <c r="E48" s="221" t="str">
        <f>IFERROR(VLOOKUP(H48,[1]SEMIELABORADOS!$A$2:$M$65536,12,0),"")</f>
        <v/>
      </c>
      <c r="F48" s="221" t="str">
        <f t="shared" si="15"/>
        <v/>
      </c>
      <c r="G48" s="222" t="str">
        <f t="shared" si="16"/>
        <v/>
      </c>
      <c r="H48" s="226"/>
      <c r="I48" s="218"/>
      <c r="J48" s="224"/>
    </row>
    <row r="49" spans="1:17" ht="13.5" hidden="1" x14ac:dyDescent="0.25">
      <c r="A49" s="219">
        <f t="shared" si="13"/>
        <v>0</v>
      </c>
      <c r="B49" s="225" t="str">
        <f>IFERROR(VLOOKUP(H49,[1]SEMIELABORADOS!$A$2:$M$6000,2,0),"")</f>
        <v/>
      </c>
      <c r="C49" s="220">
        <f t="shared" si="14"/>
        <v>0</v>
      </c>
      <c r="D49" s="221" t="str">
        <f>IFERROR(VLOOKUP(H49,[1]SEMIELABORADOS!$A$2:$M$6000,6,0),"")</f>
        <v/>
      </c>
      <c r="E49" s="221" t="str">
        <f>IFERROR(VLOOKUP(H49,[1]SEMIELABORADOS!$A$2:$M$65536,12,0),"")</f>
        <v/>
      </c>
      <c r="F49" s="221" t="str">
        <f t="shared" si="15"/>
        <v/>
      </c>
      <c r="G49" s="222" t="str">
        <f t="shared" si="16"/>
        <v/>
      </c>
      <c r="H49" s="226"/>
      <c r="I49" s="218"/>
      <c r="J49" s="224"/>
    </row>
    <row r="50" spans="1:17" ht="13.5" hidden="1" x14ac:dyDescent="0.25">
      <c r="A50" s="219">
        <f t="shared" si="13"/>
        <v>0</v>
      </c>
      <c r="B50" s="225" t="str">
        <f>IFERROR(VLOOKUP(H50,[1]SEMIELABORADOS!$A$2:$M$6000,2,0),"")</f>
        <v/>
      </c>
      <c r="C50" s="220">
        <f t="shared" si="14"/>
        <v>0</v>
      </c>
      <c r="D50" s="221" t="str">
        <f>IFERROR(VLOOKUP(H50,[1]SEMIELABORADOS!$A$2:$M$6000,6,0),"")</f>
        <v/>
      </c>
      <c r="E50" s="221" t="str">
        <f>IFERROR(VLOOKUP(H50,[1]SEMIELABORADOS!$A$2:$M$65536,12,0),"")</f>
        <v/>
      </c>
      <c r="F50" s="221" t="str">
        <f t="shared" si="15"/>
        <v/>
      </c>
      <c r="G50" s="222" t="str">
        <f t="shared" si="16"/>
        <v/>
      </c>
      <c r="H50" s="225"/>
      <c r="I50" s="218"/>
      <c r="J50" s="224"/>
    </row>
    <row r="51" spans="1:17" ht="13.5" x14ac:dyDescent="0.25">
      <c r="A51" s="219">
        <v>1</v>
      </c>
      <c r="B51" s="225" t="s">
        <v>173</v>
      </c>
      <c r="C51" s="220">
        <f>+A51</f>
        <v>1</v>
      </c>
      <c r="D51" s="220" t="s">
        <v>174</v>
      </c>
      <c r="E51" s="221">
        <f>+F65</f>
        <v>770</v>
      </c>
      <c r="F51" s="221">
        <f>IFERROR(C51*E51,"")</f>
        <v>770</v>
      </c>
      <c r="G51" s="222">
        <f>IFERROR(F51/$F$66,"")</f>
        <v>6.3016368084228752E-2</v>
      </c>
      <c r="H51" s="230"/>
      <c r="I51" s="230"/>
      <c r="J51" s="224"/>
    </row>
    <row r="52" spans="1:17" ht="14.25" thickBot="1" x14ac:dyDescent="0.3">
      <c r="A52" s="219"/>
      <c r="B52" s="225"/>
      <c r="C52" s="220"/>
      <c r="D52" s="220"/>
      <c r="E52" s="221"/>
      <c r="F52" s="221"/>
      <c r="G52" s="222"/>
      <c r="H52" s="230"/>
      <c r="I52" s="230"/>
      <c r="J52" s="224"/>
    </row>
    <row r="53" spans="1:17" ht="13.5" thickBot="1" x14ac:dyDescent="0.3">
      <c r="A53" s="231"/>
      <c r="B53" s="875" t="s">
        <v>175</v>
      </c>
      <c r="C53" s="875"/>
      <c r="D53" s="875"/>
      <c r="E53" s="875"/>
      <c r="F53" s="233">
        <f>SUM(F8:F14,F17:F24)</f>
        <v>11043.96</v>
      </c>
      <c r="G53" s="222">
        <f>+F53/$F$66</f>
        <v>0.90383149151623232</v>
      </c>
      <c r="H53" s="234">
        <f>+F53/$D$60</f>
        <v>581.26105263157888</v>
      </c>
      <c r="I53" s="234">
        <v>649.64</v>
      </c>
      <c r="J53" s="235"/>
      <c r="K53" s="236"/>
      <c r="L53" s="236"/>
      <c r="M53" s="236"/>
      <c r="N53" s="236"/>
      <c r="O53" s="236"/>
      <c r="P53" s="236"/>
      <c r="Q53" s="237"/>
    </row>
    <row r="54" spans="1:17" x14ac:dyDescent="0.2">
      <c r="A54" s="231"/>
      <c r="B54" s="875" t="s">
        <v>176</v>
      </c>
      <c r="C54" s="875"/>
      <c r="D54" s="875"/>
      <c r="E54" s="875"/>
      <c r="F54" s="233">
        <f>SUM(F27:F32,F35:F41)</f>
        <v>184.20838095238099</v>
      </c>
      <c r="G54" s="222">
        <f>+F54/$F$66</f>
        <v>1.5075510569214379E-2</v>
      </c>
      <c r="H54" s="234">
        <f>+F54/$D$60</f>
        <v>9.6951779448621576</v>
      </c>
      <c r="I54" s="234"/>
      <c r="J54" s="238"/>
      <c r="K54" s="876" t="s">
        <v>177</v>
      </c>
      <c r="L54" s="877"/>
      <c r="M54" s="877"/>
      <c r="N54" s="877"/>
      <c r="O54" s="239">
        <f>+F55</f>
        <v>11228.16838095238</v>
      </c>
      <c r="P54" s="239"/>
      <c r="Q54" s="240"/>
    </row>
    <row r="55" spans="1:17" x14ac:dyDescent="0.2">
      <c r="A55" s="231"/>
      <c r="B55" s="875" t="s">
        <v>178</v>
      </c>
      <c r="C55" s="875"/>
      <c r="D55" s="875"/>
      <c r="E55" s="875"/>
      <c r="F55" s="233">
        <f>+F53+F54</f>
        <v>11228.16838095238</v>
      </c>
      <c r="G55" s="222">
        <f>+F55/$F$66</f>
        <v>0.91890700208544662</v>
      </c>
      <c r="H55" s="234">
        <f>+F55/$D$60</f>
        <v>590.95623057644104</v>
      </c>
      <c r="I55" s="234"/>
      <c r="J55" s="241"/>
      <c r="K55" s="242"/>
      <c r="M55" s="243" t="s">
        <v>179</v>
      </c>
      <c r="N55" s="244"/>
      <c r="O55" s="239">
        <f>+H56</f>
        <v>102.30127992481204</v>
      </c>
      <c r="P55" s="239"/>
      <c r="Q55" s="240"/>
    </row>
    <row r="56" spans="1:17" ht="13.5" thickBot="1" x14ac:dyDescent="0.25">
      <c r="A56" s="231"/>
      <c r="B56" s="232"/>
      <c r="C56" s="875" t="s">
        <v>180</v>
      </c>
      <c r="D56" s="875"/>
      <c r="E56" s="875"/>
      <c r="F56" s="233">
        <f>SUM(F44:F51)</f>
        <v>1943.7243185714287</v>
      </c>
      <c r="G56" s="222">
        <f>+F56/$F$66</f>
        <v>0.15907330793943358</v>
      </c>
      <c r="H56" s="234">
        <f>+F56/$D$60</f>
        <v>102.30127992481204</v>
      </c>
      <c r="I56" s="234"/>
      <c r="J56" s="241"/>
      <c r="K56" s="242"/>
      <c r="L56" s="242"/>
      <c r="M56" s="242" t="s">
        <v>181</v>
      </c>
      <c r="N56" s="245"/>
      <c r="O56" s="239">
        <f>O54*N56</f>
        <v>0</v>
      </c>
      <c r="P56" s="239"/>
      <c r="Q56" s="240"/>
    </row>
    <row r="57" spans="1:17" ht="13.5" thickBot="1" x14ac:dyDescent="0.25">
      <c r="A57" s="231"/>
      <c r="B57" s="246"/>
      <c r="C57" s="246"/>
      <c r="D57" s="246"/>
      <c r="E57" s="246"/>
      <c r="F57" s="247"/>
      <c r="G57" s="222"/>
      <c r="H57" s="248"/>
      <c r="I57" s="234"/>
      <c r="J57" s="241"/>
      <c r="K57" s="249"/>
      <c r="M57" s="250" t="s">
        <v>182</v>
      </c>
      <c r="N57" s="251"/>
      <c r="O57" s="252">
        <f>SUM(O54:O56)</f>
        <v>11330.469660877192</v>
      </c>
      <c r="P57" s="253"/>
      <c r="Q57" s="240"/>
    </row>
    <row r="58" spans="1:17" x14ac:dyDescent="0.2">
      <c r="B58" s="878" t="s">
        <v>183</v>
      </c>
      <c r="C58" s="878"/>
      <c r="D58" s="254">
        <v>7600</v>
      </c>
      <c r="E58" s="255"/>
      <c r="G58" s="222"/>
      <c r="H58" s="248">
        <f>+H56/77</f>
        <v>1.3285880509715848</v>
      </c>
      <c r="I58" s="256"/>
      <c r="J58" s="241"/>
      <c r="K58" s="249"/>
      <c r="L58" s="242"/>
      <c r="M58" s="242" t="s">
        <v>184</v>
      </c>
      <c r="N58" s="257"/>
      <c r="O58" s="239">
        <f>+H59</f>
        <v>85.029635262181429</v>
      </c>
      <c r="P58" s="239"/>
      <c r="Q58" s="240"/>
    </row>
    <row r="59" spans="1:17" x14ac:dyDescent="0.2">
      <c r="B59" s="878" t="s">
        <v>185</v>
      </c>
      <c r="C59" s="878"/>
      <c r="D59" s="258">
        <v>400</v>
      </c>
      <c r="E59" s="255"/>
      <c r="G59" s="222"/>
      <c r="H59" s="248">
        <f>+H58*64</f>
        <v>85.029635262181429</v>
      </c>
      <c r="I59" s="256"/>
      <c r="J59" s="241"/>
      <c r="K59" s="249"/>
      <c r="L59" s="242"/>
      <c r="M59" s="879" t="s">
        <v>182</v>
      </c>
      <c r="N59" s="879"/>
      <c r="O59" s="239">
        <f>SUM(O57:O58)</f>
        <v>11415.499296139373</v>
      </c>
      <c r="P59" s="239"/>
      <c r="Q59" s="240"/>
    </row>
    <row r="60" spans="1:17" ht="13.5" thickBot="1" x14ac:dyDescent="0.25">
      <c r="B60" s="870" t="s">
        <v>186</v>
      </c>
      <c r="C60" s="870"/>
      <c r="D60" s="254">
        <f>+D58/D59</f>
        <v>19</v>
      </c>
      <c r="E60" s="255"/>
      <c r="F60" s="259"/>
      <c r="G60" s="222"/>
      <c r="H60" s="248"/>
      <c r="I60" s="256"/>
      <c r="J60" s="241"/>
      <c r="K60" s="249"/>
      <c r="L60" s="879"/>
      <c r="M60" s="879"/>
      <c r="N60" s="257"/>
      <c r="O60" s="239">
        <f>+O59*N60</f>
        <v>0</v>
      </c>
      <c r="P60" s="239"/>
      <c r="Q60" s="240"/>
    </row>
    <row r="61" spans="1:17" ht="13.5" thickBot="1" x14ac:dyDescent="0.25">
      <c r="B61" s="870" t="s">
        <v>187</v>
      </c>
      <c r="C61" s="870"/>
      <c r="D61" s="260"/>
      <c r="E61" s="255"/>
      <c r="F61" s="259"/>
      <c r="G61" s="222"/>
      <c r="H61" s="248"/>
      <c r="I61" s="256"/>
      <c r="J61" s="241"/>
      <c r="K61" s="871" t="s">
        <v>188</v>
      </c>
      <c r="L61" s="872"/>
      <c r="M61" s="872"/>
      <c r="N61" s="873"/>
      <c r="O61" s="252">
        <f>SUM(O59:O60)</f>
        <v>11415.499296139373</v>
      </c>
      <c r="P61" s="261" t="s">
        <v>189</v>
      </c>
      <c r="Q61" s="240"/>
    </row>
    <row r="62" spans="1:17" ht="13.5" thickBot="1" x14ac:dyDescent="0.25">
      <c r="C62" s="231" t="s">
        <v>190</v>
      </c>
      <c r="D62" s="262"/>
      <c r="E62" s="205" t="s">
        <v>191</v>
      </c>
      <c r="F62" s="263" t="s">
        <v>192</v>
      </c>
      <c r="G62" s="222"/>
      <c r="H62" s="248"/>
      <c r="I62" s="256"/>
      <c r="J62" s="264"/>
      <c r="K62" s="265"/>
      <c r="L62" s="859" t="s">
        <v>193</v>
      </c>
      <c r="M62" s="859"/>
      <c r="N62" s="859"/>
      <c r="O62" s="266">
        <f>+O61/D60</f>
        <v>600.81575242838801</v>
      </c>
      <c r="P62" s="267">
        <f>+O62/D59</f>
        <v>1.50203938107097</v>
      </c>
      <c r="Q62" s="268"/>
    </row>
    <row r="63" spans="1:17" ht="13.5" thickBot="1" x14ac:dyDescent="0.25">
      <c r="B63" s="860" t="s">
        <v>178</v>
      </c>
      <c r="C63" s="860"/>
      <c r="D63" s="860"/>
      <c r="E63" s="269">
        <f>+F63/F63</f>
        <v>1</v>
      </c>
      <c r="F63" s="270">
        <f>SUM(F55)</f>
        <v>11228.16838095238</v>
      </c>
      <c r="G63" s="222">
        <f>+F63/$F$66</f>
        <v>0.91890700208544662</v>
      </c>
      <c r="H63" s="248"/>
      <c r="I63" s="256"/>
      <c r="K63" s="861"/>
      <c r="L63" s="862"/>
      <c r="M63" s="862"/>
      <c r="N63" s="862"/>
      <c r="O63" s="271"/>
      <c r="P63" s="272"/>
    </row>
    <row r="64" spans="1:17" ht="13.5" thickBot="1" x14ac:dyDescent="0.3">
      <c r="B64" s="863" t="s">
        <v>194</v>
      </c>
      <c r="C64" s="863"/>
      <c r="D64" s="863"/>
      <c r="E64" s="273">
        <v>0.02</v>
      </c>
      <c r="F64" s="270">
        <f>+F53*E64</f>
        <v>220.8792</v>
      </c>
      <c r="G64" s="222">
        <f>+F64/$F$66</f>
        <v>1.8076629830324646E-2</v>
      </c>
      <c r="H64" s="234"/>
      <c r="I64" s="256"/>
      <c r="J64" s="274"/>
      <c r="O64" s="275"/>
      <c r="P64" s="232"/>
    </row>
    <row r="65" spans="2:13" ht="13.5" thickBot="1" x14ac:dyDescent="0.3">
      <c r="B65" s="864" t="s">
        <v>195</v>
      </c>
      <c r="C65" s="865"/>
      <c r="D65" s="276">
        <v>10</v>
      </c>
      <c r="E65" s="277">
        <v>77</v>
      </c>
      <c r="F65" s="270">
        <f>+E65*D65</f>
        <v>770</v>
      </c>
      <c r="G65" s="222">
        <f>+F65/$F$66</f>
        <v>6.3016368084228752E-2</v>
      </c>
      <c r="H65" s="234"/>
      <c r="I65" s="234"/>
      <c r="J65" s="224"/>
    </row>
    <row r="66" spans="2:13" ht="13.5" thickBot="1" x14ac:dyDescent="0.3">
      <c r="B66" s="866" t="s">
        <v>196</v>
      </c>
      <c r="C66" s="867"/>
      <c r="D66" s="867"/>
      <c r="E66" s="868"/>
      <c r="F66" s="247">
        <f>SUM(F63:F65)</f>
        <v>12219.04758095238</v>
      </c>
      <c r="G66" s="222">
        <f>+F66/$F$66</f>
        <v>1</v>
      </c>
      <c r="H66" s="869"/>
      <c r="I66" s="234"/>
      <c r="J66" s="224"/>
      <c r="M66" s="207" t="s">
        <v>197</v>
      </c>
    </row>
    <row r="67" spans="2:13" x14ac:dyDescent="0.25">
      <c r="C67" s="229"/>
      <c r="D67" s="229"/>
      <c r="E67" s="279"/>
      <c r="F67" s="270"/>
      <c r="G67" s="222"/>
      <c r="H67" s="869"/>
      <c r="I67" s="278"/>
      <c r="J67" s="207"/>
      <c r="M67" s="207" t="s">
        <v>198</v>
      </c>
    </row>
    <row r="68" spans="2:13" ht="13.5" thickBot="1" x14ac:dyDescent="0.3">
      <c r="B68" s="854" t="s">
        <v>199</v>
      </c>
      <c r="C68" s="854"/>
      <c r="D68" s="854"/>
      <c r="E68" s="854"/>
      <c r="F68" s="854"/>
      <c r="G68" s="222"/>
      <c r="H68" s="281"/>
      <c r="I68" s="278"/>
      <c r="J68" s="207"/>
      <c r="M68" s="207" t="s">
        <v>200</v>
      </c>
    </row>
    <row r="69" spans="2:13" ht="13.5" thickBot="1" x14ac:dyDescent="0.3">
      <c r="B69" s="282" t="s">
        <v>201</v>
      </c>
      <c r="C69" s="283">
        <f>+F53</f>
        <v>11043.96</v>
      </c>
      <c r="D69" s="283">
        <f>+D58</f>
        <v>7600</v>
      </c>
      <c r="E69" s="284">
        <f>+C69/D69</f>
        <v>1.4531526315789474</v>
      </c>
      <c r="F69" s="222"/>
      <c r="G69" s="281"/>
      <c r="H69" s="224"/>
      <c r="I69" s="281"/>
      <c r="J69" s="207"/>
    </row>
    <row r="70" spans="2:13" x14ac:dyDescent="0.25">
      <c r="B70" s="285"/>
      <c r="C70" s="286"/>
      <c r="D70" s="287"/>
      <c r="E70" s="270"/>
      <c r="F70" s="222"/>
      <c r="G70" s="281"/>
      <c r="H70" s="224"/>
      <c r="I70" s="224"/>
      <c r="J70" s="207"/>
    </row>
    <row r="71" spans="2:13" x14ac:dyDescent="0.25">
      <c r="B71" s="282" t="s">
        <v>202</v>
      </c>
      <c r="C71" s="283">
        <f>SUM(F63:F64)</f>
        <v>11449.04758095238</v>
      </c>
      <c r="D71" s="283">
        <f>+D58</f>
        <v>7600</v>
      </c>
      <c r="E71" s="288">
        <f>+C71/D71</f>
        <v>1.5064536290726815</v>
      </c>
      <c r="F71" s="222"/>
      <c r="G71" s="281"/>
      <c r="H71" s="224"/>
      <c r="I71" s="224"/>
      <c r="J71" s="207"/>
    </row>
    <row r="72" spans="2:13" x14ac:dyDescent="0.25">
      <c r="B72" s="282"/>
      <c r="C72" s="283"/>
      <c r="D72" s="283"/>
      <c r="E72" s="288"/>
      <c r="F72" s="222"/>
      <c r="G72" s="281"/>
      <c r="H72" s="224"/>
      <c r="I72" s="224"/>
      <c r="J72" s="207"/>
    </row>
    <row r="73" spans="2:13" ht="13.5" thickBot="1" x14ac:dyDescent="0.3">
      <c r="B73" s="282" t="s">
        <v>203</v>
      </c>
      <c r="C73" s="283">
        <f>+F65</f>
        <v>770</v>
      </c>
      <c r="D73" s="283">
        <f>+D58</f>
        <v>7600</v>
      </c>
      <c r="E73" s="288">
        <f>+C73/D73</f>
        <v>0.10131578947368421</v>
      </c>
      <c r="F73" s="222"/>
      <c r="G73" s="281"/>
      <c r="H73" s="224"/>
      <c r="I73" s="224"/>
      <c r="J73" s="207"/>
    </row>
    <row r="74" spans="2:13" ht="13.5" thickBot="1" x14ac:dyDescent="0.3">
      <c r="B74" s="282" t="s">
        <v>204</v>
      </c>
      <c r="C74" s="283">
        <f>+F56</f>
        <v>1943.7243185714287</v>
      </c>
      <c r="D74" s="283">
        <f>+D73</f>
        <v>7600</v>
      </c>
      <c r="E74" s="284">
        <f>+C74/D74</f>
        <v>0.2557531998120301</v>
      </c>
      <c r="F74" s="222"/>
      <c r="G74" s="281"/>
      <c r="H74" s="224"/>
      <c r="I74" s="224"/>
      <c r="J74" s="207"/>
    </row>
    <row r="75" spans="2:13" ht="13.5" thickBot="1" x14ac:dyDescent="0.3">
      <c r="B75" s="246"/>
      <c r="C75" s="247"/>
      <c r="D75" s="247"/>
      <c r="E75" s="288"/>
      <c r="F75" s="222"/>
      <c r="G75" s="281"/>
      <c r="H75" s="224"/>
      <c r="I75" s="224"/>
      <c r="J75" s="207"/>
    </row>
    <row r="76" spans="2:13" ht="13.5" thickBot="1" x14ac:dyDescent="0.3">
      <c r="B76" s="282" t="s">
        <v>205</v>
      </c>
      <c r="C76" s="283">
        <f>+F54</f>
        <v>184.20838095238099</v>
      </c>
      <c r="D76" s="283">
        <f>+D74</f>
        <v>7600</v>
      </c>
      <c r="E76" s="284">
        <f>+C76/D76</f>
        <v>2.4237944862155393E-2</v>
      </c>
      <c r="F76" s="222"/>
      <c r="G76" s="281"/>
      <c r="H76" s="224"/>
      <c r="I76" s="224"/>
      <c r="J76" s="224"/>
    </row>
    <row r="77" spans="2:13" ht="13.5" thickBot="1" x14ac:dyDescent="0.3">
      <c r="B77" s="246"/>
      <c r="C77" s="247"/>
      <c r="D77" s="247"/>
      <c r="E77" s="288"/>
      <c r="F77" s="222"/>
      <c r="G77" s="281"/>
      <c r="H77" s="224"/>
      <c r="I77" s="224"/>
    </row>
    <row r="78" spans="2:13" ht="13.5" thickBot="1" x14ac:dyDescent="0.3">
      <c r="B78" s="855" t="s">
        <v>206</v>
      </c>
      <c r="C78" s="856"/>
      <c r="D78" s="857"/>
      <c r="E78" s="284">
        <f>+E69+E74</f>
        <v>1.7089058313909775</v>
      </c>
      <c r="G78" s="222"/>
      <c r="H78" s="281"/>
      <c r="I78" s="224"/>
      <c r="J78" s="288"/>
    </row>
    <row r="79" spans="2:13" x14ac:dyDescent="0.25">
      <c r="I79" s="281"/>
      <c r="J79" s="207"/>
    </row>
    <row r="80" spans="2:13" ht="13.5" thickBot="1" x14ac:dyDescent="0.3">
      <c r="B80" s="854" t="s">
        <v>207</v>
      </c>
      <c r="C80" s="854"/>
      <c r="D80" s="854"/>
      <c r="E80" s="854"/>
      <c r="F80" s="854"/>
      <c r="G80" s="222"/>
      <c r="H80" s="281"/>
      <c r="J80" s="207"/>
    </row>
    <row r="81" spans="1:10" ht="13.5" thickBot="1" x14ac:dyDescent="0.3">
      <c r="B81" s="282" t="s">
        <v>201</v>
      </c>
      <c r="C81" s="283">
        <f>+C69</f>
        <v>11043.96</v>
      </c>
      <c r="D81" s="283">
        <f>+D60</f>
        <v>19</v>
      </c>
      <c r="E81" s="284">
        <f>+C81/D81</f>
        <v>581.26105263157888</v>
      </c>
      <c r="F81" s="222"/>
      <c r="G81" s="281"/>
      <c r="H81" s="224"/>
      <c r="I81" s="281"/>
      <c r="J81" s="207"/>
    </row>
    <row r="82" spans="1:10" x14ac:dyDescent="0.25">
      <c r="B82" s="285"/>
      <c r="C82" s="286"/>
      <c r="D82" s="287"/>
      <c r="E82" s="270"/>
      <c r="F82" s="222"/>
      <c r="G82" s="281"/>
      <c r="H82" s="224"/>
      <c r="I82" s="224"/>
      <c r="J82" s="207"/>
    </row>
    <row r="83" spans="1:10" x14ac:dyDescent="0.25">
      <c r="B83" s="282" t="s">
        <v>202</v>
      </c>
      <c r="C83" s="283">
        <f>+C71</f>
        <v>11449.04758095238</v>
      </c>
      <c r="D83" s="283">
        <f>+D60</f>
        <v>19</v>
      </c>
      <c r="E83" s="288">
        <f>+C83/D83</f>
        <v>602.5814516290726</v>
      </c>
      <c r="F83" s="222"/>
      <c r="G83" s="281"/>
      <c r="H83" s="224"/>
      <c r="I83" s="224"/>
      <c r="J83" s="207"/>
    </row>
    <row r="84" spans="1:10" x14ac:dyDescent="0.25">
      <c r="B84" s="282"/>
      <c r="C84" s="283"/>
      <c r="D84" s="283"/>
      <c r="E84" s="288"/>
      <c r="F84" s="222"/>
      <c r="G84" s="281"/>
      <c r="H84" s="224"/>
      <c r="I84" s="224"/>
      <c r="J84" s="207"/>
    </row>
    <row r="85" spans="1:10" ht="13.5" thickBot="1" x14ac:dyDescent="0.3">
      <c r="B85" s="282" t="s">
        <v>204</v>
      </c>
      <c r="C85" s="283">
        <f>+C73</f>
        <v>770</v>
      </c>
      <c r="D85" s="283">
        <f>+D60</f>
        <v>19</v>
      </c>
      <c r="E85" s="288">
        <f>+C85/D85</f>
        <v>40.526315789473685</v>
      </c>
      <c r="F85" s="290"/>
      <c r="G85" s="280"/>
      <c r="H85" s="206"/>
      <c r="I85" s="224"/>
    </row>
    <row r="86" spans="1:10" ht="13.5" thickBot="1" x14ac:dyDescent="0.3">
      <c r="B86" s="282" t="s">
        <v>204</v>
      </c>
      <c r="C86" s="283">
        <f>+C74</f>
        <v>1943.7243185714287</v>
      </c>
      <c r="D86" s="283">
        <f>+D85</f>
        <v>19</v>
      </c>
      <c r="E86" s="284">
        <f>+C86/D86</f>
        <v>102.30127992481204</v>
      </c>
      <c r="F86" s="289"/>
      <c r="G86" s="280"/>
      <c r="H86" s="206"/>
      <c r="I86" s="206"/>
    </row>
    <row r="87" spans="1:10" x14ac:dyDescent="0.25">
      <c r="I87" s="206"/>
    </row>
    <row r="88" spans="1:10" x14ac:dyDescent="0.2">
      <c r="A88" s="858"/>
      <c r="B88" s="858"/>
      <c r="C88" s="291"/>
      <c r="D88" s="291"/>
      <c r="E88" s="292"/>
      <c r="G88" s="293"/>
    </row>
    <row r="89" spans="1:10" x14ac:dyDescent="0.2">
      <c r="A89" s="225"/>
      <c r="B89" s="294"/>
      <c r="C89" s="295"/>
      <c r="D89" s="295"/>
      <c r="E89" s="296"/>
      <c r="G89" s="293"/>
    </row>
    <row r="90" spans="1:10" x14ac:dyDescent="0.2">
      <c r="A90" s="225"/>
      <c r="B90" s="294"/>
      <c r="C90" s="297"/>
      <c r="D90" s="297"/>
      <c r="E90" s="225"/>
      <c r="G90" s="293"/>
    </row>
    <row r="91" spans="1:10" x14ac:dyDescent="0.2">
      <c r="A91" s="225"/>
      <c r="B91" s="294"/>
      <c r="C91" s="298"/>
      <c r="D91" s="298"/>
      <c r="E91" s="225"/>
      <c r="G91" s="2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9EB3-2EA7-41C6-918A-FCD415BFDA48}">
  <dimension ref="A1:M36"/>
  <sheetViews>
    <sheetView workbookViewId="0">
      <selection activeCell="C10" sqref="C10"/>
    </sheetView>
  </sheetViews>
  <sheetFormatPr baseColWidth="10" defaultColWidth="11.42578125" defaultRowHeight="13.5" x14ac:dyDescent="0.25"/>
  <cols>
    <col min="1" max="1" width="16.28515625" style="121" customWidth="1"/>
    <col min="2" max="2" width="13.42578125" style="121" customWidth="1"/>
    <col min="3" max="3" width="38.28515625" style="121" customWidth="1"/>
    <col min="4" max="4" width="14.28515625" style="121" customWidth="1"/>
    <col min="5" max="7" width="11.42578125" style="121"/>
    <col min="8" max="8" width="15" style="121" customWidth="1"/>
    <col min="9" max="9" width="16" style="121" customWidth="1"/>
    <col min="10" max="256" width="11.42578125" style="121"/>
    <col min="257" max="257" width="16.28515625" style="121" customWidth="1"/>
    <col min="258" max="258" width="13.42578125" style="121" customWidth="1"/>
    <col min="259" max="259" width="38.28515625" style="121" customWidth="1"/>
    <col min="260" max="260" width="14.28515625" style="121" customWidth="1"/>
    <col min="261" max="263" width="11.42578125" style="121"/>
    <col min="264" max="264" width="15" style="121" customWidth="1"/>
    <col min="265" max="265" width="16" style="121" customWidth="1"/>
    <col min="266" max="512" width="11.42578125" style="121"/>
    <col min="513" max="513" width="16.28515625" style="121" customWidth="1"/>
    <col min="514" max="514" width="13.42578125" style="121" customWidth="1"/>
    <col min="515" max="515" width="38.28515625" style="121" customWidth="1"/>
    <col min="516" max="516" width="14.28515625" style="121" customWidth="1"/>
    <col min="517" max="519" width="11.42578125" style="121"/>
    <col min="520" max="520" width="15" style="121" customWidth="1"/>
    <col min="521" max="521" width="16" style="121" customWidth="1"/>
    <col min="522" max="768" width="11.42578125" style="121"/>
    <col min="769" max="769" width="16.28515625" style="121" customWidth="1"/>
    <col min="770" max="770" width="13.42578125" style="121" customWidth="1"/>
    <col min="771" max="771" width="38.28515625" style="121" customWidth="1"/>
    <col min="772" max="772" width="14.28515625" style="121" customWidth="1"/>
    <col min="773" max="775" width="11.42578125" style="121"/>
    <col min="776" max="776" width="15" style="121" customWidth="1"/>
    <col min="777" max="777" width="16" style="121" customWidth="1"/>
    <col min="778" max="1024" width="11.42578125" style="121"/>
    <col min="1025" max="1025" width="16.28515625" style="121" customWidth="1"/>
    <col min="1026" max="1026" width="13.42578125" style="121" customWidth="1"/>
    <col min="1027" max="1027" width="38.28515625" style="121" customWidth="1"/>
    <col min="1028" max="1028" width="14.28515625" style="121" customWidth="1"/>
    <col min="1029" max="1031" width="11.42578125" style="121"/>
    <col min="1032" max="1032" width="15" style="121" customWidth="1"/>
    <col min="1033" max="1033" width="16" style="121" customWidth="1"/>
    <col min="1034" max="1280" width="11.42578125" style="121"/>
    <col min="1281" max="1281" width="16.28515625" style="121" customWidth="1"/>
    <col min="1282" max="1282" width="13.42578125" style="121" customWidth="1"/>
    <col min="1283" max="1283" width="38.28515625" style="121" customWidth="1"/>
    <col min="1284" max="1284" width="14.28515625" style="121" customWidth="1"/>
    <col min="1285" max="1287" width="11.42578125" style="121"/>
    <col min="1288" max="1288" width="15" style="121" customWidth="1"/>
    <col min="1289" max="1289" width="16" style="121" customWidth="1"/>
    <col min="1290" max="1536" width="11.42578125" style="121"/>
    <col min="1537" max="1537" width="16.28515625" style="121" customWidth="1"/>
    <col min="1538" max="1538" width="13.42578125" style="121" customWidth="1"/>
    <col min="1539" max="1539" width="38.28515625" style="121" customWidth="1"/>
    <col min="1540" max="1540" width="14.28515625" style="121" customWidth="1"/>
    <col min="1541" max="1543" width="11.42578125" style="121"/>
    <col min="1544" max="1544" width="15" style="121" customWidth="1"/>
    <col min="1545" max="1545" width="16" style="121" customWidth="1"/>
    <col min="1546" max="1792" width="11.42578125" style="121"/>
    <col min="1793" max="1793" width="16.28515625" style="121" customWidth="1"/>
    <col min="1794" max="1794" width="13.42578125" style="121" customWidth="1"/>
    <col min="1795" max="1795" width="38.28515625" style="121" customWidth="1"/>
    <col min="1796" max="1796" width="14.28515625" style="121" customWidth="1"/>
    <col min="1797" max="1799" width="11.42578125" style="121"/>
    <col min="1800" max="1800" width="15" style="121" customWidth="1"/>
    <col min="1801" max="1801" width="16" style="121" customWidth="1"/>
    <col min="1802" max="2048" width="11.42578125" style="121"/>
    <col min="2049" max="2049" width="16.28515625" style="121" customWidth="1"/>
    <col min="2050" max="2050" width="13.42578125" style="121" customWidth="1"/>
    <col min="2051" max="2051" width="38.28515625" style="121" customWidth="1"/>
    <col min="2052" max="2052" width="14.28515625" style="121" customWidth="1"/>
    <col min="2053" max="2055" width="11.42578125" style="121"/>
    <col min="2056" max="2056" width="15" style="121" customWidth="1"/>
    <col min="2057" max="2057" width="16" style="121" customWidth="1"/>
    <col min="2058" max="2304" width="11.42578125" style="121"/>
    <col min="2305" max="2305" width="16.28515625" style="121" customWidth="1"/>
    <col min="2306" max="2306" width="13.42578125" style="121" customWidth="1"/>
    <col min="2307" max="2307" width="38.28515625" style="121" customWidth="1"/>
    <col min="2308" max="2308" width="14.28515625" style="121" customWidth="1"/>
    <col min="2309" max="2311" width="11.42578125" style="121"/>
    <col min="2312" max="2312" width="15" style="121" customWidth="1"/>
    <col min="2313" max="2313" width="16" style="121" customWidth="1"/>
    <col min="2314" max="2560" width="11.42578125" style="121"/>
    <col min="2561" max="2561" width="16.28515625" style="121" customWidth="1"/>
    <col min="2562" max="2562" width="13.42578125" style="121" customWidth="1"/>
    <col min="2563" max="2563" width="38.28515625" style="121" customWidth="1"/>
    <col min="2564" max="2564" width="14.28515625" style="121" customWidth="1"/>
    <col min="2565" max="2567" width="11.42578125" style="121"/>
    <col min="2568" max="2568" width="15" style="121" customWidth="1"/>
    <col min="2569" max="2569" width="16" style="121" customWidth="1"/>
    <col min="2570" max="2816" width="11.42578125" style="121"/>
    <col min="2817" max="2817" width="16.28515625" style="121" customWidth="1"/>
    <col min="2818" max="2818" width="13.42578125" style="121" customWidth="1"/>
    <col min="2819" max="2819" width="38.28515625" style="121" customWidth="1"/>
    <col min="2820" max="2820" width="14.28515625" style="121" customWidth="1"/>
    <col min="2821" max="2823" width="11.42578125" style="121"/>
    <col min="2824" max="2824" width="15" style="121" customWidth="1"/>
    <col min="2825" max="2825" width="16" style="121" customWidth="1"/>
    <col min="2826" max="3072" width="11.42578125" style="121"/>
    <col min="3073" max="3073" width="16.28515625" style="121" customWidth="1"/>
    <col min="3074" max="3074" width="13.42578125" style="121" customWidth="1"/>
    <col min="3075" max="3075" width="38.28515625" style="121" customWidth="1"/>
    <col min="3076" max="3076" width="14.28515625" style="121" customWidth="1"/>
    <col min="3077" max="3079" width="11.42578125" style="121"/>
    <col min="3080" max="3080" width="15" style="121" customWidth="1"/>
    <col min="3081" max="3081" width="16" style="121" customWidth="1"/>
    <col min="3082" max="3328" width="11.42578125" style="121"/>
    <col min="3329" max="3329" width="16.28515625" style="121" customWidth="1"/>
    <col min="3330" max="3330" width="13.42578125" style="121" customWidth="1"/>
    <col min="3331" max="3331" width="38.28515625" style="121" customWidth="1"/>
    <col min="3332" max="3332" width="14.28515625" style="121" customWidth="1"/>
    <col min="3333" max="3335" width="11.42578125" style="121"/>
    <col min="3336" max="3336" width="15" style="121" customWidth="1"/>
    <col min="3337" max="3337" width="16" style="121" customWidth="1"/>
    <col min="3338" max="3584" width="11.42578125" style="121"/>
    <col min="3585" max="3585" width="16.28515625" style="121" customWidth="1"/>
    <col min="3586" max="3586" width="13.42578125" style="121" customWidth="1"/>
    <col min="3587" max="3587" width="38.28515625" style="121" customWidth="1"/>
    <col min="3588" max="3588" width="14.28515625" style="121" customWidth="1"/>
    <col min="3589" max="3591" width="11.42578125" style="121"/>
    <col min="3592" max="3592" width="15" style="121" customWidth="1"/>
    <col min="3593" max="3593" width="16" style="121" customWidth="1"/>
    <col min="3594" max="3840" width="11.42578125" style="121"/>
    <col min="3841" max="3841" width="16.28515625" style="121" customWidth="1"/>
    <col min="3842" max="3842" width="13.42578125" style="121" customWidth="1"/>
    <col min="3843" max="3843" width="38.28515625" style="121" customWidth="1"/>
    <col min="3844" max="3844" width="14.28515625" style="121" customWidth="1"/>
    <col min="3845" max="3847" width="11.42578125" style="121"/>
    <col min="3848" max="3848" width="15" style="121" customWidth="1"/>
    <col min="3849" max="3849" width="16" style="121" customWidth="1"/>
    <col min="3850" max="4096" width="11.42578125" style="121"/>
    <col min="4097" max="4097" width="16.28515625" style="121" customWidth="1"/>
    <col min="4098" max="4098" width="13.42578125" style="121" customWidth="1"/>
    <col min="4099" max="4099" width="38.28515625" style="121" customWidth="1"/>
    <col min="4100" max="4100" width="14.28515625" style="121" customWidth="1"/>
    <col min="4101" max="4103" width="11.42578125" style="121"/>
    <col min="4104" max="4104" width="15" style="121" customWidth="1"/>
    <col min="4105" max="4105" width="16" style="121" customWidth="1"/>
    <col min="4106" max="4352" width="11.42578125" style="121"/>
    <col min="4353" max="4353" width="16.28515625" style="121" customWidth="1"/>
    <col min="4354" max="4354" width="13.42578125" style="121" customWidth="1"/>
    <col min="4355" max="4355" width="38.28515625" style="121" customWidth="1"/>
    <col min="4356" max="4356" width="14.28515625" style="121" customWidth="1"/>
    <col min="4357" max="4359" width="11.42578125" style="121"/>
    <col min="4360" max="4360" width="15" style="121" customWidth="1"/>
    <col min="4361" max="4361" width="16" style="121" customWidth="1"/>
    <col min="4362" max="4608" width="11.42578125" style="121"/>
    <col min="4609" max="4609" width="16.28515625" style="121" customWidth="1"/>
    <col min="4610" max="4610" width="13.42578125" style="121" customWidth="1"/>
    <col min="4611" max="4611" width="38.28515625" style="121" customWidth="1"/>
    <col min="4612" max="4612" width="14.28515625" style="121" customWidth="1"/>
    <col min="4613" max="4615" width="11.42578125" style="121"/>
    <col min="4616" max="4616" width="15" style="121" customWidth="1"/>
    <col min="4617" max="4617" width="16" style="121" customWidth="1"/>
    <col min="4618" max="4864" width="11.42578125" style="121"/>
    <col min="4865" max="4865" width="16.28515625" style="121" customWidth="1"/>
    <col min="4866" max="4866" width="13.42578125" style="121" customWidth="1"/>
    <col min="4867" max="4867" width="38.28515625" style="121" customWidth="1"/>
    <col min="4868" max="4868" width="14.28515625" style="121" customWidth="1"/>
    <col min="4869" max="4871" width="11.42578125" style="121"/>
    <col min="4872" max="4872" width="15" style="121" customWidth="1"/>
    <col min="4873" max="4873" width="16" style="121" customWidth="1"/>
    <col min="4874" max="5120" width="11.42578125" style="121"/>
    <col min="5121" max="5121" width="16.28515625" style="121" customWidth="1"/>
    <col min="5122" max="5122" width="13.42578125" style="121" customWidth="1"/>
    <col min="5123" max="5123" width="38.28515625" style="121" customWidth="1"/>
    <col min="5124" max="5124" width="14.28515625" style="121" customWidth="1"/>
    <col min="5125" max="5127" width="11.42578125" style="121"/>
    <col min="5128" max="5128" width="15" style="121" customWidth="1"/>
    <col min="5129" max="5129" width="16" style="121" customWidth="1"/>
    <col min="5130" max="5376" width="11.42578125" style="121"/>
    <col min="5377" max="5377" width="16.28515625" style="121" customWidth="1"/>
    <col min="5378" max="5378" width="13.42578125" style="121" customWidth="1"/>
    <col min="5379" max="5379" width="38.28515625" style="121" customWidth="1"/>
    <col min="5380" max="5380" width="14.28515625" style="121" customWidth="1"/>
    <col min="5381" max="5383" width="11.42578125" style="121"/>
    <col min="5384" max="5384" width="15" style="121" customWidth="1"/>
    <col min="5385" max="5385" width="16" style="121" customWidth="1"/>
    <col min="5386" max="5632" width="11.42578125" style="121"/>
    <col min="5633" max="5633" width="16.28515625" style="121" customWidth="1"/>
    <col min="5634" max="5634" width="13.42578125" style="121" customWidth="1"/>
    <col min="5635" max="5635" width="38.28515625" style="121" customWidth="1"/>
    <col min="5636" max="5636" width="14.28515625" style="121" customWidth="1"/>
    <col min="5637" max="5639" width="11.42578125" style="121"/>
    <col min="5640" max="5640" width="15" style="121" customWidth="1"/>
    <col min="5641" max="5641" width="16" style="121" customWidth="1"/>
    <col min="5642" max="5888" width="11.42578125" style="121"/>
    <col min="5889" max="5889" width="16.28515625" style="121" customWidth="1"/>
    <col min="5890" max="5890" width="13.42578125" style="121" customWidth="1"/>
    <col min="5891" max="5891" width="38.28515625" style="121" customWidth="1"/>
    <col min="5892" max="5892" width="14.28515625" style="121" customWidth="1"/>
    <col min="5893" max="5895" width="11.42578125" style="121"/>
    <col min="5896" max="5896" width="15" style="121" customWidth="1"/>
    <col min="5897" max="5897" width="16" style="121" customWidth="1"/>
    <col min="5898" max="6144" width="11.42578125" style="121"/>
    <col min="6145" max="6145" width="16.28515625" style="121" customWidth="1"/>
    <col min="6146" max="6146" width="13.42578125" style="121" customWidth="1"/>
    <col min="6147" max="6147" width="38.28515625" style="121" customWidth="1"/>
    <col min="6148" max="6148" width="14.28515625" style="121" customWidth="1"/>
    <col min="6149" max="6151" width="11.42578125" style="121"/>
    <col min="6152" max="6152" width="15" style="121" customWidth="1"/>
    <col min="6153" max="6153" width="16" style="121" customWidth="1"/>
    <col min="6154" max="6400" width="11.42578125" style="121"/>
    <col min="6401" max="6401" width="16.28515625" style="121" customWidth="1"/>
    <col min="6402" max="6402" width="13.42578125" style="121" customWidth="1"/>
    <col min="6403" max="6403" width="38.28515625" style="121" customWidth="1"/>
    <col min="6404" max="6404" width="14.28515625" style="121" customWidth="1"/>
    <col min="6405" max="6407" width="11.42578125" style="121"/>
    <col min="6408" max="6408" width="15" style="121" customWidth="1"/>
    <col min="6409" max="6409" width="16" style="121" customWidth="1"/>
    <col min="6410" max="6656" width="11.42578125" style="121"/>
    <col min="6657" max="6657" width="16.28515625" style="121" customWidth="1"/>
    <col min="6658" max="6658" width="13.42578125" style="121" customWidth="1"/>
    <col min="6659" max="6659" width="38.28515625" style="121" customWidth="1"/>
    <col min="6660" max="6660" width="14.28515625" style="121" customWidth="1"/>
    <col min="6661" max="6663" width="11.42578125" style="121"/>
    <col min="6664" max="6664" width="15" style="121" customWidth="1"/>
    <col min="6665" max="6665" width="16" style="121" customWidth="1"/>
    <col min="6666" max="6912" width="11.42578125" style="121"/>
    <col min="6913" max="6913" width="16.28515625" style="121" customWidth="1"/>
    <col min="6914" max="6914" width="13.42578125" style="121" customWidth="1"/>
    <col min="6915" max="6915" width="38.28515625" style="121" customWidth="1"/>
    <col min="6916" max="6916" width="14.28515625" style="121" customWidth="1"/>
    <col min="6917" max="6919" width="11.42578125" style="121"/>
    <col min="6920" max="6920" width="15" style="121" customWidth="1"/>
    <col min="6921" max="6921" width="16" style="121" customWidth="1"/>
    <col min="6922" max="7168" width="11.42578125" style="121"/>
    <col min="7169" max="7169" width="16.28515625" style="121" customWidth="1"/>
    <col min="7170" max="7170" width="13.42578125" style="121" customWidth="1"/>
    <col min="7171" max="7171" width="38.28515625" style="121" customWidth="1"/>
    <col min="7172" max="7172" width="14.28515625" style="121" customWidth="1"/>
    <col min="7173" max="7175" width="11.42578125" style="121"/>
    <col min="7176" max="7176" width="15" style="121" customWidth="1"/>
    <col min="7177" max="7177" width="16" style="121" customWidth="1"/>
    <col min="7178" max="7424" width="11.42578125" style="121"/>
    <col min="7425" max="7425" width="16.28515625" style="121" customWidth="1"/>
    <col min="7426" max="7426" width="13.42578125" style="121" customWidth="1"/>
    <col min="7427" max="7427" width="38.28515625" style="121" customWidth="1"/>
    <col min="7428" max="7428" width="14.28515625" style="121" customWidth="1"/>
    <col min="7429" max="7431" width="11.42578125" style="121"/>
    <col min="7432" max="7432" width="15" style="121" customWidth="1"/>
    <col min="7433" max="7433" width="16" style="121" customWidth="1"/>
    <col min="7434" max="7680" width="11.42578125" style="121"/>
    <col min="7681" max="7681" width="16.28515625" style="121" customWidth="1"/>
    <col min="7682" max="7682" width="13.42578125" style="121" customWidth="1"/>
    <col min="7683" max="7683" width="38.28515625" style="121" customWidth="1"/>
    <col min="7684" max="7684" width="14.28515625" style="121" customWidth="1"/>
    <col min="7685" max="7687" width="11.42578125" style="121"/>
    <col min="7688" max="7688" width="15" style="121" customWidth="1"/>
    <col min="7689" max="7689" width="16" style="121" customWidth="1"/>
    <col min="7690" max="7936" width="11.42578125" style="121"/>
    <col min="7937" max="7937" width="16.28515625" style="121" customWidth="1"/>
    <col min="7938" max="7938" width="13.42578125" style="121" customWidth="1"/>
    <col min="7939" max="7939" width="38.28515625" style="121" customWidth="1"/>
    <col min="7940" max="7940" width="14.28515625" style="121" customWidth="1"/>
    <col min="7941" max="7943" width="11.42578125" style="121"/>
    <col min="7944" max="7944" width="15" style="121" customWidth="1"/>
    <col min="7945" max="7945" width="16" style="121" customWidth="1"/>
    <col min="7946" max="8192" width="11.42578125" style="121"/>
    <col min="8193" max="8193" width="16.28515625" style="121" customWidth="1"/>
    <col min="8194" max="8194" width="13.42578125" style="121" customWidth="1"/>
    <col min="8195" max="8195" width="38.28515625" style="121" customWidth="1"/>
    <col min="8196" max="8196" width="14.28515625" style="121" customWidth="1"/>
    <col min="8197" max="8199" width="11.42578125" style="121"/>
    <col min="8200" max="8200" width="15" style="121" customWidth="1"/>
    <col min="8201" max="8201" width="16" style="121" customWidth="1"/>
    <col min="8202" max="8448" width="11.42578125" style="121"/>
    <col min="8449" max="8449" width="16.28515625" style="121" customWidth="1"/>
    <col min="8450" max="8450" width="13.42578125" style="121" customWidth="1"/>
    <col min="8451" max="8451" width="38.28515625" style="121" customWidth="1"/>
    <col min="8452" max="8452" width="14.28515625" style="121" customWidth="1"/>
    <col min="8453" max="8455" width="11.42578125" style="121"/>
    <col min="8456" max="8456" width="15" style="121" customWidth="1"/>
    <col min="8457" max="8457" width="16" style="121" customWidth="1"/>
    <col min="8458" max="8704" width="11.42578125" style="121"/>
    <col min="8705" max="8705" width="16.28515625" style="121" customWidth="1"/>
    <col min="8706" max="8706" width="13.42578125" style="121" customWidth="1"/>
    <col min="8707" max="8707" width="38.28515625" style="121" customWidth="1"/>
    <col min="8708" max="8708" width="14.28515625" style="121" customWidth="1"/>
    <col min="8709" max="8711" width="11.42578125" style="121"/>
    <col min="8712" max="8712" width="15" style="121" customWidth="1"/>
    <col min="8713" max="8713" width="16" style="121" customWidth="1"/>
    <col min="8714" max="8960" width="11.42578125" style="121"/>
    <col min="8961" max="8961" width="16.28515625" style="121" customWidth="1"/>
    <col min="8962" max="8962" width="13.42578125" style="121" customWidth="1"/>
    <col min="8963" max="8963" width="38.28515625" style="121" customWidth="1"/>
    <col min="8964" max="8964" width="14.28515625" style="121" customWidth="1"/>
    <col min="8965" max="8967" width="11.42578125" style="121"/>
    <col min="8968" max="8968" width="15" style="121" customWidth="1"/>
    <col min="8969" max="8969" width="16" style="121" customWidth="1"/>
    <col min="8970" max="9216" width="11.42578125" style="121"/>
    <col min="9217" max="9217" width="16.28515625" style="121" customWidth="1"/>
    <col min="9218" max="9218" width="13.42578125" style="121" customWidth="1"/>
    <col min="9219" max="9219" width="38.28515625" style="121" customWidth="1"/>
    <col min="9220" max="9220" width="14.28515625" style="121" customWidth="1"/>
    <col min="9221" max="9223" width="11.42578125" style="121"/>
    <col min="9224" max="9224" width="15" style="121" customWidth="1"/>
    <col min="9225" max="9225" width="16" style="121" customWidth="1"/>
    <col min="9226" max="9472" width="11.42578125" style="121"/>
    <col min="9473" max="9473" width="16.28515625" style="121" customWidth="1"/>
    <col min="9474" max="9474" width="13.42578125" style="121" customWidth="1"/>
    <col min="9475" max="9475" width="38.28515625" style="121" customWidth="1"/>
    <col min="9476" max="9476" width="14.28515625" style="121" customWidth="1"/>
    <col min="9477" max="9479" width="11.42578125" style="121"/>
    <col min="9480" max="9480" width="15" style="121" customWidth="1"/>
    <col min="9481" max="9481" width="16" style="121" customWidth="1"/>
    <col min="9482" max="9728" width="11.42578125" style="121"/>
    <col min="9729" max="9729" width="16.28515625" style="121" customWidth="1"/>
    <col min="9730" max="9730" width="13.42578125" style="121" customWidth="1"/>
    <col min="9731" max="9731" width="38.28515625" style="121" customWidth="1"/>
    <col min="9732" max="9732" width="14.28515625" style="121" customWidth="1"/>
    <col min="9733" max="9735" width="11.42578125" style="121"/>
    <col min="9736" max="9736" width="15" style="121" customWidth="1"/>
    <col min="9737" max="9737" width="16" style="121" customWidth="1"/>
    <col min="9738" max="9984" width="11.42578125" style="121"/>
    <col min="9985" max="9985" width="16.28515625" style="121" customWidth="1"/>
    <col min="9986" max="9986" width="13.42578125" style="121" customWidth="1"/>
    <col min="9987" max="9987" width="38.28515625" style="121" customWidth="1"/>
    <col min="9988" max="9988" width="14.28515625" style="121" customWidth="1"/>
    <col min="9989" max="9991" width="11.42578125" style="121"/>
    <col min="9992" max="9992" width="15" style="121" customWidth="1"/>
    <col min="9993" max="9993" width="16" style="121" customWidth="1"/>
    <col min="9994" max="10240" width="11.42578125" style="121"/>
    <col min="10241" max="10241" width="16.28515625" style="121" customWidth="1"/>
    <col min="10242" max="10242" width="13.42578125" style="121" customWidth="1"/>
    <col min="10243" max="10243" width="38.28515625" style="121" customWidth="1"/>
    <col min="10244" max="10244" width="14.28515625" style="121" customWidth="1"/>
    <col min="10245" max="10247" width="11.42578125" style="121"/>
    <col min="10248" max="10248" width="15" style="121" customWidth="1"/>
    <col min="10249" max="10249" width="16" style="121" customWidth="1"/>
    <col min="10250" max="10496" width="11.42578125" style="121"/>
    <col min="10497" max="10497" width="16.28515625" style="121" customWidth="1"/>
    <col min="10498" max="10498" width="13.42578125" style="121" customWidth="1"/>
    <col min="10499" max="10499" width="38.28515625" style="121" customWidth="1"/>
    <col min="10500" max="10500" width="14.28515625" style="121" customWidth="1"/>
    <col min="10501" max="10503" width="11.42578125" style="121"/>
    <col min="10504" max="10504" width="15" style="121" customWidth="1"/>
    <col min="10505" max="10505" width="16" style="121" customWidth="1"/>
    <col min="10506" max="10752" width="11.42578125" style="121"/>
    <col min="10753" max="10753" width="16.28515625" style="121" customWidth="1"/>
    <col min="10754" max="10754" width="13.42578125" style="121" customWidth="1"/>
    <col min="10755" max="10755" width="38.28515625" style="121" customWidth="1"/>
    <col min="10756" max="10756" width="14.28515625" style="121" customWidth="1"/>
    <col min="10757" max="10759" width="11.42578125" style="121"/>
    <col min="10760" max="10760" width="15" style="121" customWidth="1"/>
    <col min="10761" max="10761" width="16" style="121" customWidth="1"/>
    <col min="10762" max="11008" width="11.42578125" style="121"/>
    <col min="11009" max="11009" width="16.28515625" style="121" customWidth="1"/>
    <col min="11010" max="11010" width="13.42578125" style="121" customWidth="1"/>
    <col min="11011" max="11011" width="38.28515625" style="121" customWidth="1"/>
    <col min="11012" max="11012" width="14.28515625" style="121" customWidth="1"/>
    <col min="11013" max="11015" width="11.42578125" style="121"/>
    <col min="11016" max="11016" width="15" style="121" customWidth="1"/>
    <col min="11017" max="11017" width="16" style="121" customWidth="1"/>
    <col min="11018" max="11264" width="11.42578125" style="121"/>
    <col min="11265" max="11265" width="16.28515625" style="121" customWidth="1"/>
    <col min="11266" max="11266" width="13.42578125" style="121" customWidth="1"/>
    <col min="11267" max="11267" width="38.28515625" style="121" customWidth="1"/>
    <col min="11268" max="11268" width="14.28515625" style="121" customWidth="1"/>
    <col min="11269" max="11271" width="11.42578125" style="121"/>
    <col min="11272" max="11272" width="15" style="121" customWidth="1"/>
    <col min="11273" max="11273" width="16" style="121" customWidth="1"/>
    <col min="11274" max="11520" width="11.42578125" style="121"/>
    <col min="11521" max="11521" width="16.28515625" style="121" customWidth="1"/>
    <col min="11522" max="11522" width="13.42578125" style="121" customWidth="1"/>
    <col min="11523" max="11523" width="38.28515625" style="121" customWidth="1"/>
    <col min="11524" max="11524" width="14.28515625" style="121" customWidth="1"/>
    <col min="11525" max="11527" width="11.42578125" style="121"/>
    <col min="11528" max="11528" width="15" style="121" customWidth="1"/>
    <col min="11529" max="11529" width="16" style="121" customWidth="1"/>
    <col min="11530" max="11776" width="11.42578125" style="121"/>
    <col min="11777" max="11777" width="16.28515625" style="121" customWidth="1"/>
    <col min="11778" max="11778" width="13.42578125" style="121" customWidth="1"/>
    <col min="11779" max="11779" width="38.28515625" style="121" customWidth="1"/>
    <col min="11780" max="11780" width="14.28515625" style="121" customWidth="1"/>
    <col min="11781" max="11783" width="11.42578125" style="121"/>
    <col min="11784" max="11784" width="15" style="121" customWidth="1"/>
    <col min="11785" max="11785" width="16" style="121" customWidth="1"/>
    <col min="11786" max="12032" width="11.42578125" style="121"/>
    <col min="12033" max="12033" width="16.28515625" style="121" customWidth="1"/>
    <col min="12034" max="12034" width="13.42578125" style="121" customWidth="1"/>
    <col min="12035" max="12035" width="38.28515625" style="121" customWidth="1"/>
    <col min="12036" max="12036" width="14.28515625" style="121" customWidth="1"/>
    <col min="12037" max="12039" width="11.42578125" style="121"/>
    <col min="12040" max="12040" width="15" style="121" customWidth="1"/>
    <col min="12041" max="12041" width="16" style="121" customWidth="1"/>
    <col min="12042" max="12288" width="11.42578125" style="121"/>
    <col min="12289" max="12289" width="16.28515625" style="121" customWidth="1"/>
    <col min="12290" max="12290" width="13.42578125" style="121" customWidth="1"/>
    <col min="12291" max="12291" width="38.28515625" style="121" customWidth="1"/>
    <col min="12292" max="12292" width="14.28515625" style="121" customWidth="1"/>
    <col min="12293" max="12295" width="11.42578125" style="121"/>
    <col min="12296" max="12296" width="15" style="121" customWidth="1"/>
    <col min="12297" max="12297" width="16" style="121" customWidth="1"/>
    <col min="12298" max="12544" width="11.42578125" style="121"/>
    <col min="12545" max="12545" width="16.28515625" style="121" customWidth="1"/>
    <col min="12546" max="12546" width="13.42578125" style="121" customWidth="1"/>
    <col min="12547" max="12547" width="38.28515625" style="121" customWidth="1"/>
    <col min="12548" max="12548" width="14.28515625" style="121" customWidth="1"/>
    <col min="12549" max="12551" width="11.42578125" style="121"/>
    <col min="12552" max="12552" width="15" style="121" customWidth="1"/>
    <col min="12553" max="12553" width="16" style="121" customWidth="1"/>
    <col min="12554" max="12800" width="11.42578125" style="121"/>
    <col min="12801" max="12801" width="16.28515625" style="121" customWidth="1"/>
    <col min="12802" max="12802" width="13.42578125" style="121" customWidth="1"/>
    <col min="12803" max="12803" width="38.28515625" style="121" customWidth="1"/>
    <col min="12804" max="12804" width="14.28515625" style="121" customWidth="1"/>
    <col min="12805" max="12807" width="11.42578125" style="121"/>
    <col min="12808" max="12808" width="15" style="121" customWidth="1"/>
    <col min="12809" max="12809" width="16" style="121" customWidth="1"/>
    <col min="12810" max="13056" width="11.42578125" style="121"/>
    <col min="13057" max="13057" width="16.28515625" style="121" customWidth="1"/>
    <col min="13058" max="13058" width="13.42578125" style="121" customWidth="1"/>
    <col min="13059" max="13059" width="38.28515625" style="121" customWidth="1"/>
    <col min="13060" max="13060" width="14.28515625" style="121" customWidth="1"/>
    <col min="13061" max="13063" width="11.42578125" style="121"/>
    <col min="13064" max="13064" width="15" style="121" customWidth="1"/>
    <col min="13065" max="13065" width="16" style="121" customWidth="1"/>
    <col min="13066" max="13312" width="11.42578125" style="121"/>
    <col min="13313" max="13313" width="16.28515625" style="121" customWidth="1"/>
    <col min="13314" max="13314" width="13.42578125" style="121" customWidth="1"/>
    <col min="13315" max="13315" width="38.28515625" style="121" customWidth="1"/>
    <col min="13316" max="13316" width="14.28515625" style="121" customWidth="1"/>
    <col min="13317" max="13319" width="11.42578125" style="121"/>
    <col min="13320" max="13320" width="15" style="121" customWidth="1"/>
    <col min="13321" max="13321" width="16" style="121" customWidth="1"/>
    <col min="13322" max="13568" width="11.42578125" style="121"/>
    <col min="13569" max="13569" width="16.28515625" style="121" customWidth="1"/>
    <col min="13570" max="13570" width="13.42578125" style="121" customWidth="1"/>
    <col min="13571" max="13571" width="38.28515625" style="121" customWidth="1"/>
    <col min="13572" max="13572" width="14.28515625" style="121" customWidth="1"/>
    <col min="13573" max="13575" width="11.42578125" style="121"/>
    <col min="13576" max="13576" width="15" style="121" customWidth="1"/>
    <col min="13577" max="13577" width="16" style="121" customWidth="1"/>
    <col min="13578" max="13824" width="11.42578125" style="121"/>
    <col min="13825" max="13825" width="16.28515625" style="121" customWidth="1"/>
    <col min="13826" max="13826" width="13.42578125" style="121" customWidth="1"/>
    <col min="13827" max="13827" width="38.28515625" style="121" customWidth="1"/>
    <col min="13828" max="13828" width="14.28515625" style="121" customWidth="1"/>
    <col min="13829" max="13831" width="11.42578125" style="121"/>
    <col min="13832" max="13832" width="15" style="121" customWidth="1"/>
    <col min="13833" max="13833" width="16" style="121" customWidth="1"/>
    <col min="13834" max="14080" width="11.42578125" style="121"/>
    <col min="14081" max="14081" width="16.28515625" style="121" customWidth="1"/>
    <col min="14082" max="14082" width="13.42578125" style="121" customWidth="1"/>
    <col min="14083" max="14083" width="38.28515625" style="121" customWidth="1"/>
    <col min="14084" max="14084" width="14.28515625" style="121" customWidth="1"/>
    <col min="14085" max="14087" width="11.42578125" style="121"/>
    <col min="14088" max="14088" width="15" style="121" customWidth="1"/>
    <col min="14089" max="14089" width="16" style="121" customWidth="1"/>
    <col min="14090" max="14336" width="11.42578125" style="121"/>
    <col min="14337" max="14337" width="16.28515625" style="121" customWidth="1"/>
    <col min="14338" max="14338" width="13.42578125" style="121" customWidth="1"/>
    <col min="14339" max="14339" width="38.28515625" style="121" customWidth="1"/>
    <col min="14340" max="14340" width="14.28515625" style="121" customWidth="1"/>
    <col min="14341" max="14343" width="11.42578125" style="121"/>
    <col min="14344" max="14344" width="15" style="121" customWidth="1"/>
    <col min="14345" max="14345" width="16" style="121" customWidth="1"/>
    <col min="14346" max="14592" width="11.42578125" style="121"/>
    <col min="14593" max="14593" width="16.28515625" style="121" customWidth="1"/>
    <col min="14594" max="14594" width="13.42578125" style="121" customWidth="1"/>
    <col min="14595" max="14595" width="38.28515625" style="121" customWidth="1"/>
    <col min="14596" max="14596" width="14.28515625" style="121" customWidth="1"/>
    <col min="14597" max="14599" width="11.42578125" style="121"/>
    <col min="14600" max="14600" width="15" style="121" customWidth="1"/>
    <col min="14601" max="14601" width="16" style="121" customWidth="1"/>
    <col min="14602" max="14848" width="11.42578125" style="121"/>
    <col min="14849" max="14849" width="16.28515625" style="121" customWidth="1"/>
    <col min="14850" max="14850" width="13.42578125" style="121" customWidth="1"/>
    <col min="14851" max="14851" width="38.28515625" style="121" customWidth="1"/>
    <col min="14852" max="14852" width="14.28515625" style="121" customWidth="1"/>
    <col min="14853" max="14855" width="11.42578125" style="121"/>
    <col min="14856" max="14856" width="15" style="121" customWidth="1"/>
    <col min="14857" max="14857" width="16" style="121" customWidth="1"/>
    <col min="14858" max="15104" width="11.42578125" style="121"/>
    <col min="15105" max="15105" width="16.28515625" style="121" customWidth="1"/>
    <col min="15106" max="15106" width="13.42578125" style="121" customWidth="1"/>
    <col min="15107" max="15107" width="38.28515625" style="121" customWidth="1"/>
    <col min="15108" max="15108" width="14.28515625" style="121" customWidth="1"/>
    <col min="15109" max="15111" width="11.42578125" style="121"/>
    <col min="15112" max="15112" width="15" style="121" customWidth="1"/>
    <col min="15113" max="15113" width="16" style="121" customWidth="1"/>
    <col min="15114" max="15360" width="11.42578125" style="121"/>
    <col min="15361" max="15361" width="16.28515625" style="121" customWidth="1"/>
    <col min="15362" max="15362" width="13.42578125" style="121" customWidth="1"/>
    <col min="15363" max="15363" width="38.28515625" style="121" customWidth="1"/>
    <col min="15364" max="15364" width="14.28515625" style="121" customWidth="1"/>
    <col min="15365" max="15367" width="11.42578125" style="121"/>
    <col min="15368" max="15368" width="15" style="121" customWidth="1"/>
    <col min="15369" max="15369" width="16" style="121" customWidth="1"/>
    <col min="15370" max="15616" width="11.42578125" style="121"/>
    <col min="15617" max="15617" width="16.28515625" style="121" customWidth="1"/>
    <col min="15618" max="15618" width="13.42578125" style="121" customWidth="1"/>
    <col min="15619" max="15619" width="38.28515625" style="121" customWidth="1"/>
    <col min="15620" max="15620" width="14.28515625" style="121" customWidth="1"/>
    <col min="15621" max="15623" width="11.42578125" style="121"/>
    <col min="15624" max="15624" width="15" style="121" customWidth="1"/>
    <col min="15625" max="15625" width="16" style="121" customWidth="1"/>
    <col min="15626" max="15872" width="11.42578125" style="121"/>
    <col min="15873" max="15873" width="16.28515625" style="121" customWidth="1"/>
    <col min="15874" max="15874" width="13.42578125" style="121" customWidth="1"/>
    <col min="15875" max="15875" width="38.28515625" style="121" customWidth="1"/>
    <col min="15876" max="15876" width="14.28515625" style="121" customWidth="1"/>
    <col min="15877" max="15879" width="11.42578125" style="121"/>
    <col min="15880" max="15880" width="15" style="121" customWidth="1"/>
    <col min="15881" max="15881" width="16" style="121" customWidth="1"/>
    <col min="15882" max="16128" width="11.42578125" style="121"/>
    <col min="16129" max="16129" width="16.28515625" style="121" customWidth="1"/>
    <col min="16130" max="16130" width="13.42578125" style="121" customWidth="1"/>
    <col min="16131" max="16131" width="38.28515625" style="121" customWidth="1"/>
    <col min="16132" max="16132" width="14.28515625" style="121" customWidth="1"/>
    <col min="16133" max="16135" width="11.42578125" style="121"/>
    <col min="16136" max="16136" width="15" style="121" customWidth="1"/>
    <col min="16137" max="16137" width="16" style="121" customWidth="1"/>
    <col min="16138" max="16384" width="11.42578125" style="121"/>
  </cols>
  <sheetData>
    <row r="1" spans="1:11" ht="15.75" x14ac:dyDescent="0.25">
      <c r="A1" s="629"/>
      <c r="B1" s="630"/>
      <c r="C1" s="611" t="s">
        <v>0</v>
      </c>
      <c r="D1" s="611"/>
      <c r="E1" s="611"/>
      <c r="F1" s="611"/>
      <c r="G1" s="611"/>
      <c r="H1" s="122" t="s">
        <v>1</v>
      </c>
      <c r="I1" s="123"/>
    </row>
    <row r="2" spans="1:11" ht="16.5" thickBot="1" x14ac:dyDescent="0.3">
      <c r="A2" s="631"/>
      <c r="B2" s="632"/>
      <c r="C2" s="612" t="s">
        <v>2</v>
      </c>
      <c r="D2" s="612"/>
      <c r="E2" s="612"/>
      <c r="F2" s="612"/>
      <c r="G2" s="612"/>
      <c r="H2" s="124" t="s">
        <v>3</v>
      </c>
      <c r="I2" s="125"/>
    </row>
    <row r="3" spans="1:11" ht="18.75" thickBot="1" x14ac:dyDescent="0.3">
      <c r="A3" s="631"/>
      <c r="B3" s="632"/>
      <c r="C3" s="666" t="s">
        <v>116</v>
      </c>
      <c r="D3" s="667"/>
      <c r="E3" s="667"/>
      <c r="F3" s="667"/>
      <c r="G3" s="668"/>
      <c r="H3" s="616" t="s">
        <v>4</v>
      </c>
      <c r="I3" s="606"/>
    </row>
    <row r="4" spans="1:11" x14ac:dyDescent="0.25">
      <c r="A4" s="631"/>
      <c r="B4" s="632"/>
      <c r="C4" s="126" t="s">
        <v>5</v>
      </c>
      <c r="D4" s="659" t="s">
        <v>114</v>
      </c>
      <c r="E4" s="660"/>
      <c r="F4" s="660"/>
      <c r="G4" s="661"/>
      <c r="H4" s="617"/>
      <c r="I4" s="607"/>
    </row>
    <row r="5" spans="1:11" x14ac:dyDescent="0.25">
      <c r="A5" s="631"/>
      <c r="B5" s="632"/>
      <c r="C5" s="176" t="s">
        <v>6</v>
      </c>
      <c r="D5" s="954" t="s">
        <v>115</v>
      </c>
      <c r="E5" s="955"/>
      <c r="F5" s="955"/>
      <c r="G5" s="956"/>
      <c r="H5" s="617"/>
      <c r="I5" s="607"/>
    </row>
    <row r="6" spans="1:11" customFormat="1" ht="18" x14ac:dyDescent="0.25">
      <c r="A6" s="958" t="s">
        <v>7</v>
      </c>
      <c r="B6" s="959"/>
      <c r="C6" s="959"/>
      <c r="D6" s="960" t="s">
        <v>122</v>
      </c>
      <c r="E6" s="960"/>
      <c r="F6" s="960"/>
      <c r="G6" s="961" t="s">
        <v>8</v>
      </c>
      <c r="H6" s="961"/>
      <c r="I6" s="178" t="s">
        <v>123</v>
      </c>
    </row>
    <row r="7" spans="1:11" ht="25.5" x14ac:dyDescent="0.25">
      <c r="A7" s="957" t="s">
        <v>9</v>
      </c>
      <c r="B7" s="833" t="s">
        <v>32</v>
      </c>
      <c r="C7" s="640" t="s">
        <v>10</v>
      </c>
      <c r="D7" s="640" t="s">
        <v>11</v>
      </c>
      <c r="E7" s="640" t="s">
        <v>12</v>
      </c>
      <c r="F7" s="640"/>
      <c r="G7" s="640" t="s">
        <v>13</v>
      </c>
      <c r="H7" s="640"/>
      <c r="I7" s="177" t="s">
        <v>14</v>
      </c>
    </row>
    <row r="8" spans="1:11" ht="27" thickBot="1" x14ac:dyDescent="0.3">
      <c r="A8" s="670"/>
      <c r="B8" s="672"/>
      <c r="C8" s="673"/>
      <c r="D8" s="673"/>
      <c r="E8" s="127" t="s">
        <v>15</v>
      </c>
      <c r="F8" s="128" t="s">
        <v>16</v>
      </c>
      <c r="G8" s="127" t="s">
        <v>15</v>
      </c>
      <c r="H8" s="128" t="s">
        <v>16</v>
      </c>
      <c r="I8" s="129" t="s">
        <v>17</v>
      </c>
    </row>
    <row r="9" spans="1:11" x14ac:dyDescent="0.25">
      <c r="A9" s="130"/>
      <c r="B9" s="131"/>
      <c r="C9" s="132"/>
      <c r="D9" s="133"/>
      <c r="E9" s="134"/>
      <c r="F9" s="135"/>
      <c r="G9" s="134"/>
      <c r="H9" s="135"/>
      <c r="I9" s="136"/>
    </row>
    <row r="10" spans="1:11" ht="15" x14ac:dyDescent="0.25">
      <c r="A10" s="137" t="s">
        <v>85</v>
      </c>
      <c r="B10" s="137" t="s">
        <v>86</v>
      </c>
      <c r="C10" s="56" t="s">
        <v>87</v>
      </c>
      <c r="D10" s="138" t="s">
        <v>88</v>
      </c>
      <c r="E10" s="139">
        <v>4763</v>
      </c>
      <c r="F10" s="140" t="s">
        <v>19</v>
      </c>
      <c r="G10" s="139"/>
      <c r="H10" s="18"/>
      <c r="I10" s="141"/>
    </row>
    <row r="11" spans="1:11" ht="15" x14ac:dyDescent="0.25">
      <c r="A11" s="22">
        <v>10100289</v>
      </c>
      <c r="B11" s="22" t="s">
        <v>89</v>
      </c>
      <c r="C11" s="1" t="s">
        <v>90</v>
      </c>
      <c r="D11" s="138" t="s">
        <v>91</v>
      </c>
      <c r="E11" s="142">
        <v>1725</v>
      </c>
      <c r="F11" s="62" t="s">
        <v>19</v>
      </c>
      <c r="G11" s="139"/>
      <c r="H11" s="18"/>
      <c r="I11" s="141"/>
    </row>
    <row r="12" spans="1:11" ht="15" x14ac:dyDescent="0.25">
      <c r="A12" s="143">
        <v>118000004</v>
      </c>
      <c r="B12" s="143" t="s">
        <v>92</v>
      </c>
      <c r="C12" s="144" t="s">
        <v>93</v>
      </c>
      <c r="D12" s="138" t="s">
        <v>94</v>
      </c>
      <c r="E12" s="19">
        <v>22</v>
      </c>
      <c r="F12" s="62" t="s">
        <v>19</v>
      </c>
      <c r="G12" s="139"/>
      <c r="H12" s="18"/>
      <c r="I12" s="141"/>
    </row>
    <row r="13" spans="1:11" ht="15" x14ac:dyDescent="0.25">
      <c r="A13" s="143">
        <v>1210482</v>
      </c>
      <c r="B13" s="143" t="s">
        <v>95</v>
      </c>
      <c r="C13" s="144" t="s">
        <v>96</v>
      </c>
      <c r="D13" s="145" t="s">
        <v>97</v>
      </c>
      <c r="E13" s="19">
        <v>1650</v>
      </c>
      <c r="F13" s="62" t="s">
        <v>19</v>
      </c>
      <c r="G13" s="139"/>
      <c r="H13" s="18"/>
      <c r="I13" s="141"/>
      <c r="K13" s="146"/>
    </row>
    <row r="14" spans="1:11" x14ac:dyDescent="0.25">
      <c r="A14" s="147"/>
      <c r="B14" s="147"/>
      <c r="C14" s="148" t="s">
        <v>98</v>
      </c>
      <c r="D14" s="138"/>
      <c r="E14" s="19"/>
      <c r="F14" s="142"/>
      <c r="G14" s="139"/>
      <c r="H14" s="139"/>
      <c r="I14" s="141"/>
    </row>
    <row r="15" spans="1:11" ht="15" x14ac:dyDescent="0.25">
      <c r="A15" s="22">
        <v>702123</v>
      </c>
      <c r="B15" s="22" t="s">
        <v>59</v>
      </c>
      <c r="C15" s="1" t="s">
        <v>99</v>
      </c>
      <c r="D15" s="138" t="s">
        <v>100</v>
      </c>
      <c r="E15" s="19">
        <v>1</v>
      </c>
      <c r="F15" s="142" t="s">
        <v>21</v>
      </c>
      <c r="G15" s="139"/>
      <c r="H15" s="139"/>
      <c r="I15" s="141"/>
    </row>
    <row r="16" spans="1:11" ht="15" x14ac:dyDescent="0.25">
      <c r="A16" s="22" t="s">
        <v>101</v>
      </c>
      <c r="B16" s="22" t="s">
        <v>102</v>
      </c>
      <c r="C16" s="1" t="s">
        <v>103</v>
      </c>
      <c r="D16" s="18" t="s">
        <v>104</v>
      </c>
      <c r="E16" s="140">
        <v>1</v>
      </c>
      <c r="F16" s="140" t="s">
        <v>21</v>
      </c>
      <c r="G16" s="140"/>
      <c r="H16" s="140"/>
      <c r="I16" s="141"/>
    </row>
    <row r="17" spans="1:13" ht="14.25" thickBot="1" x14ac:dyDescent="0.3">
      <c r="A17" s="149"/>
      <c r="B17" s="150"/>
      <c r="E17" s="151"/>
      <c r="F17" s="152"/>
      <c r="I17" s="153"/>
      <c r="L17" s="154"/>
    </row>
    <row r="18" spans="1:13" ht="14.25" thickBot="1" x14ac:dyDescent="0.3">
      <c r="A18" s="155"/>
      <c r="B18" s="156"/>
      <c r="C18" s="157"/>
      <c r="D18" s="158"/>
      <c r="E18" s="159"/>
      <c r="F18" s="160"/>
      <c r="G18" s="157"/>
      <c r="H18" s="157"/>
      <c r="I18" s="161"/>
      <c r="L18" s="154"/>
    </row>
    <row r="19" spans="1:13" x14ac:dyDescent="0.25">
      <c r="A19" s="623" t="s">
        <v>23</v>
      </c>
      <c r="B19" s="624"/>
      <c r="C19" s="625"/>
      <c r="D19" s="19">
        <v>8000</v>
      </c>
      <c r="E19" s="162" t="s">
        <v>19</v>
      </c>
      <c r="F19" s="677" t="s">
        <v>105</v>
      </c>
      <c r="G19" s="677"/>
      <c r="H19" s="678" t="s">
        <v>121</v>
      </c>
      <c r="I19" s="679"/>
      <c r="L19" s="154"/>
    </row>
    <row r="20" spans="1:13" x14ac:dyDescent="0.25">
      <c r="A20" s="578" t="s">
        <v>24</v>
      </c>
      <c r="B20" s="579"/>
      <c r="C20" s="580"/>
      <c r="D20" s="18">
        <v>10</v>
      </c>
      <c r="E20" s="18" t="s">
        <v>25</v>
      </c>
      <c r="F20" s="581" t="s">
        <v>34</v>
      </c>
      <c r="G20" s="581"/>
      <c r="H20" s="582" t="s">
        <v>106</v>
      </c>
      <c r="I20" s="583"/>
      <c r="L20" s="154"/>
    </row>
    <row r="21" spans="1:13" x14ac:dyDescent="0.25">
      <c r="A21" s="578" t="s">
        <v>26</v>
      </c>
      <c r="B21" s="579"/>
      <c r="C21" s="580"/>
      <c r="D21" s="18">
        <v>17</v>
      </c>
      <c r="E21" s="163" t="s">
        <v>107</v>
      </c>
      <c r="F21" s="581" t="s">
        <v>108</v>
      </c>
      <c r="G21" s="581"/>
      <c r="H21" s="582"/>
      <c r="I21" s="583"/>
      <c r="L21" s="154"/>
    </row>
    <row r="22" spans="1:13" x14ac:dyDescent="0.25">
      <c r="A22" s="578" t="s">
        <v>27</v>
      </c>
      <c r="B22" s="579"/>
      <c r="C22" s="580"/>
      <c r="D22" s="139">
        <v>450</v>
      </c>
      <c r="E22" s="18" t="s">
        <v>19</v>
      </c>
      <c r="F22" s="680" t="s">
        <v>109</v>
      </c>
      <c r="G22" s="681"/>
      <c r="H22" s="582"/>
      <c r="I22" s="583"/>
      <c r="L22" s="154"/>
      <c r="M22" s="164"/>
    </row>
    <row r="23" spans="1:13" ht="14.25" thickBot="1" x14ac:dyDescent="0.3">
      <c r="A23" s="642" t="s">
        <v>28</v>
      </c>
      <c r="B23" s="643"/>
      <c r="C23" s="644"/>
      <c r="D23" s="165">
        <v>80</v>
      </c>
      <c r="E23" s="166" t="s">
        <v>19</v>
      </c>
      <c r="F23" s="645"/>
      <c r="G23" s="645"/>
      <c r="H23" s="646"/>
      <c r="I23" s="647"/>
      <c r="L23" s="154"/>
    </row>
    <row r="24" spans="1:13" ht="14.25" thickBot="1" x14ac:dyDescent="0.3">
      <c r="A24" s="682"/>
      <c r="B24" s="683"/>
      <c r="C24" s="683"/>
      <c r="D24" s="683"/>
      <c r="E24" s="683"/>
      <c r="F24" s="683"/>
      <c r="G24" s="683"/>
      <c r="H24" s="683"/>
      <c r="I24" s="684"/>
    </row>
    <row r="25" spans="1:13" x14ac:dyDescent="0.25">
      <c r="A25" s="945" t="s">
        <v>110</v>
      </c>
      <c r="B25" s="946"/>
      <c r="C25" s="947"/>
      <c r="D25" s="947"/>
      <c r="E25" s="947"/>
      <c r="F25" s="947"/>
      <c r="G25" s="947"/>
      <c r="H25" s="947"/>
      <c r="I25" s="948"/>
    </row>
    <row r="26" spans="1:13" x14ac:dyDescent="0.25">
      <c r="A26" s="945" t="s">
        <v>111</v>
      </c>
      <c r="B26" s="946"/>
      <c r="C26" s="947"/>
      <c r="D26" s="947"/>
      <c r="E26" s="947"/>
      <c r="F26" s="947"/>
      <c r="G26" s="947"/>
      <c r="H26" s="947"/>
      <c r="I26" s="948"/>
    </row>
    <row r="27" spans="1:13" x14ac:dyDescent="0.25">
      <c r="A27" s="945" t="s">
        <v>112</v>
      </c>
      <c r="B27" s="946"/>
      <c r="C27" s="947"/>
      <c r="D27" s="947"/>
      <c r="E27" s="947"/>
      <c r="F27" s="947"/>
      <c r="G27" s="947"/>
      <c r="H27" s="947"/>
      <c r="I27" s="948"/>
    </row>
    <row r="28" spans="1:13" ht="14.25" thickBot="1" x14ac:dyDescent="0.3">
      <c r="A28" s="945" t="s">
        <v>117</v>
      </c>
      <c r="B28" s="946"/>
      <c r="C28" s="947"/>
      <c r="D28" s="947"/>
      <c r="E28" s="947"/>
      <c r="F28" s="947"/>
      <c r="G28" s="947"/>
      <c r="H28" s="947"/>
      <c r="I28" s="948"/>
    </row>
    <row r="29" spans="1:13" ht="15" x14ac:dyDescent="0.25">
      <c r="A29" s="901" t="s">
        <v>154</v>
      </c>
      <c r="B29" s="902"/>
      <c r="C29" s="902"/>
      <c r="D29" s="902"/>
      <c r="E29" s="902"/>
      <c r="F29" s="902"/>
      <c r="G29" s="902"/>
      <c r="H29" s="902"/>
      <c r="I29" s="902"/>
    </row>
    <row r="30" spans="1:13" ht="15.75" thickBot="1" x14ac:dyDescent="0.3">
      <c r="A30" s="885" t="s">
        <v>155</v>
      </c>
      <c r="B30" s="886"/>
      <c r="C30" s="886"/>
      <c r="D30" s="886"/>
      <c r="E30" s="886"/>
      <c r="F30" s="886"/>
      <c r="G30" s="886"/>
      <c r="H30" s="886"/>
      <c r="I30" s="886"/>
    </row>
    <row r="31" spans="1:13" x14ac:dyDescent="0.25">
      <c r="A31" s="836" t="s">
        <v>113</v>
      </c>
      <c r="B31" s="837"/>
      <c r="C31" s="837"/>
      <c r="D31" s="837"/>
      <c r="E31" s="837"/>
      <c r="F31" s="837"/>
      <c r="G31" s="837"/>
      <c r="H31" s="837"/>
      <c r="I31" s="838"/>
    </row>
    <row r="32" spans="1:13" x14ac:dyDescent="0.25">
      <c r="A32" s="167"/>
      <c r="B32" s="168"/>
      <c r="C32" s="168"/>
      <c r="D32" s="169"/>
      <c r="E32" s="169"/>
      <c r="F32" s="169"/>
      <c r="G32" s="169"/>
      <c r="H32" s="169"/>
      <c r="I32" s="170"/>
    </row>
    <row r="33" spans="1:9" x14ac:dyDescent="0.25">
      <c r="A33" s="167"/>
      <c r="B33" s="168"/>
      <c r="C33" s="169"/>
      <c r="D33" s="169"/>
      <c r="E33" s="169"/>
      <c r="F33" s="169"/>
      <c r="G33" s="169"/>
      <c r="H33" s="169"/>
      <c r="I33" s="170"/>
    </row>
    <row r="34" spans="1:9" x14ac:dyDescent="0.25">
      <c r="A34" s="171"/>
      <c r="B34" s="169"/>
      <c r="C34" s="169"/>
      <c r="D34" s="169"/>
      <c r="E34" s="169"/>
      <c r="F34" s="169"/>
      <c r="G34" s="169"/>
      <c r="H34" s="169"/>
      <c r="I34" s="170"/>
    </row>
    <row r="35" spans="1:9" x14ac:dyDescent="0.25">
      <c r="A35" s="171"/>
      <c r="B35" s="169"/>
      <c r="C35" s="169"/>
      <c r="D35" s="169"/>
      <c r="E35" s="169"/>
      <c r="F35" s="169"/>
      <c r="G35" s="169"/>
      <c r="H35" s="169"/>
      <c r="I35" s="170"/>
    </row>
    <row r="36" spans="1:9" x14ac:dyDescent="0.25">
      <c r="A36" s="171"/>
      <c r="B36" s="169"/>
      <c r="C36" s="169"/>
      <c r="D36" s="169"/>
      <c r="E36" s="169"/>
      <c r="F36" s="169"/>
      <c r="G36" s="169"/>
      <c r="H36" s="169"/>
      <c r="I36" s="170"/>
    </row>
  </sheetData>
  <mergeCells count="40">
    <mergeCell ref="A6:C6"/>
    <mergeCell ref="D6:F6"/>
    <mergeCell ref="G6:H6"/>
    <mergeCell ref="A27:I27"/>
    <mergeCell ref="A28:I28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A29:I29"/>
    <mergeCell ref="A30:I30"/>
    <mergeCell ref="A31:I31"/>
    <mergeCell ref="A23:C23"/>
    <mergeCell ref="F23:G23"/>
    <mergeCell ref="H23:I23"/>
    <mergeCell ref="A24:I24"/>
    <mergeCell ref="A25:I25"/>
    <mergeCell ref="A26:I26"/>
    <mergeCell ref="H20:I20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ABBA-DF8D-487C-9280-B604538BB8AD}">
  <dimension ref="A1:Q91"/>
  <sheetViews>
    <sheetView topLeftCell="A4" workbookViewId="0">
      <selection activeCell="L26" sqref="L26"/>
    </sheetView>
  </sheetViews>
  <sheetFormatPr baseColWidth="10" defaultColWidth="8.42578125" defaultRowHeight="12.75" x14ac:dyDescent="0.25"/>
  <cols>
    <col min="1" max="1" width="10" style="207" bestFit="1" customWidth="1"/>
    <col min="2" max="2" width="44.28515625" style="207" bestFit="1" customWidth="1"/>
    <col min="3" max="3" width="10.42578125" style="207" bestFit="1" customWidth="1"/>
    <col min="4" max="4" width="10.42578125" style="207" customWidth="1"/>
    <col min="5" max="5" width="9.7109375" style="207" bestFit="1" customWidth="1"/>
    <col min="6" max="6" width="9.5703125" style="207" bestFit="1" customWidth="1"/>
    <col min="7" max="7" width="9.5703125" style="289" bestFit="1" customWidth="1"/>
    <col min="8" max="8" width="10.42578125" style="280" bestFit="1" customWidth="1"/>
    <col min="9" max="9" width="4.5703125" style="280" customWidth="1"/>
    <col min="10" max="10" width="1.85546875" style="206" customWidth="1"/>
    <col min="11" max="11" width="7" style="207" bestFit="1" customWidth="1"/>
    <col min="12" max="12" width="6.28515625" style="207" customWidth="1"/>
    <col min="13" max="13" width="20.42578125" style="207" customWidth="1"/>
    <col min="14" max="14" width="6.42578125" style="207" bestFit="1" customWidth="1"/>
    <col min="15" max="16" width="8.42578125" style="207"/>
    <col min="17" max="17" width="3.28515625" style="207" customWidth="1"/>
    <col min="18" max="256" width="8.42578125" style="207"/>
    <col min="257" max="257" width="10" style="207" bestFit="1" customWidth="1"/>
    <col min="258" max="258" width="44.28515625" style="207" bestFit="1" customWidth="1"/>
    <col min="259" max="259" width="10.42578125" style="207" bestFit="1" customWidth="1"/>
    <col min="260" max="260" width="10.42578125" style="207" customWidth="1"/>
    <col min="261" max="261" width="9.7109375" style="207" bestFit="1" customWidth="1"/>
    <col min="262" max="263" width="9.5703125" style="207" bestFit="1" customWidth="1"/>
    <col min="264" max="264" width="10.42578125" style="207" bestFit="1" customWidth="1"/>
    <col min="265" max="265" width="4.5703125" style="207" customWidth="1"/>
    <col min="266" max="266" width="1.85546875" style="207" customWidth="1"/>
    <col min="267" max="267" width="7" style="207" bestFit="1" customWidth="1"/>
    <col min="268" max="268" width="6.28515625" style="207" customWidth="1"/>
    <col min="269" max="269" width="20.42578125" style="207" customWidth="1"/>
    <col min="270" max="270" width="6.42578125" style="207" bestFit="1" customWidth="1"/>
    <col min="271" max="272" width="8.42578125" style="207"/>
    <col min="273" max="273" width="3.28515625" style="207" customWidth="1"/>
    <col min="274" max="512" width="8.42578125" style="207"/>
    <col min="513" max="513" width="10" style="207" bestFit="1" customWidth="1"/>
    <col min="514" max="514" width="44.28515625" style="207" bestFit="1" customWidth="1"/>
    <col min="515" max="515" width="10.42578125" style="207" bestFit="1" customWidth="1"/>
    <col min="516" max="516" width="10.42578125" style="207" customWidth="1"/>
    <col min="517" max="517" width="9.7109375" style="207" bestFit="1" customWidth="1"/>
    <col min="518" max="519" width="9.5703125" style="207" bestFit="1" customWidth="1"/>
    <col min="520" max="520" width="10.42578125" style="207" bestFit="1" customWidth="1"/>
    <col min="521" max="521" width="4.5703125" style="207" customWidth="1"/>
    <col min="522" max="522" width="1.85546875" style="207" customWidth="1"/>
    <col min="523" max="523" width="7" style="207" bestFit="1" customWidth="1"/>
    <col min="524" max="524" width="6.28515625" style="207" customWidth="1"/>
    <col min="525" max="525" width="20.42578125" style="207" customWidth="1"/>
    <col min="526" max="526" width="6.42578125" style="207" bestFit="1" customWidth="1"/>
    <col min="527" max="528" width="8.42578125" style="207"/>
    <col min="529" max="529" width="3.28515625" style="207" customWidth="1"/>
    <col min="530" max="768" width="8.42578125" style="207"/>
    <col min="769" max="769" width="10" style="207" bestFit="1" customWidth="1"/>
    <col min="770" max="770" width="44.28515625" style="207" bestFit="1" customWidth="1"/>
    <col min="771" max="771" width="10.42578125" style="207" bestFit="1" customWidth="1"/>
    <col min="772" max="772" width="10.42578125" style="207" customWidth="1"/>
    <col min="773" max="773" width="9.7109375" style="207" bestFit="1" customWidth="1"/>
    <col min="774" max="775" width="9.5703125" style="207" bestFit="1" customWidth="1"/>
    <col min="776" max="776" width="10.42578125" style="207" bestFit="1" customWidth="1"/>
    <col min="777" max="777" width="4.5703125" style="207" customWidth="1"/>
    <col min="778" max="778" width="1.85546875" style="207" customWidth="1"/>
    <col min="779" max="779" width="7" style="207" bestFit="1" customWidth="1"/>
    <col min="780" max="780" width="6.28515625" style="207" customWidth="1"/>
    <col min="781" max="781" width="20.42578125" style="207" customWidth="1"/>
    <col min="782" max="782" width="6.42578125" style="207" bestFit="1" customWidth="1"/>
    <col min="783" max="784" width="8.42578125" style="207"/>
    <col min="785" max="785" width="3.28515625" style="207" customWidth="1"/>
    <col min="786" max="1024" width="8.42578125" style="207"/>
    <col min="1025" max="1025" width="10" style="207" bestFit="1" customWidth="1"/>
    <col min="1026" max="1026" width="44.28515625" style="207" bestFit="1" customWidth="1"/>
    <col min="1027" max="1027" width="10.42578125" style="207" bestFit="1" customWidth="1"/>
    <col min="1028" max="1028" width="10.42578125" style="207" customWidth="1"/>
    <col min="1029" max="1029" width="9.7109375" style="207" bestFit="1" customWidth="1"/>
    <col min="1030" max="1031" width="9.5703125" style="207" bestFit="1" customWidth="1"/>
    <col min="1032" max="1032" width="10.42578125" style="207" bestFit="1" customWidth="1"/>
    <col min="1033" max="1033" width="4.5703125" style="207" customWidth="1"/>
    <col min="1034" max="1034" width="1.85546875" style="207" customWidth="1"/>
    <col min="1035" max="1035" width="7" style="207" bestFit="1" customWidth="1"/>
    <col min="1036" max="1036" width="6.28515625" style="207" customWidth="1"/>
    <col min="1037" max="1037" width="20.42578125" style="207" customWidth="1"/>
    <col min="1038" max="1038" width="6.42578125" style="207" bestFit="1" customWidth="1"/>
    <col min="1039" max="1040" width="8.42578125" style="207"/>
    <col min="1041" max="1041" width="3.28515625" style="207" customWidth="1"/>
    <col min="1042" max="1280" width="8.42578125" style="207"/>
    <col min="1281" max="1281" width="10" style="207" bestFit="1" customWidth="1"/>
    <col min="1282" max="1282" width="44.28515625" style="207" bestFit="1" customWidth="1"/>
    <col min="1283" max="1283" width="10.42578125" style="207" bestFit="1" customWidth="1"/>
    <col min="1284" max="1284" width="10.42578125" style="207" customWidth="1"/>
    <col min="1285" max="1285" width="9.7109375" style="207" bestFit="1" customWidth="1"/>
    <col min="1286" max="1287" width="9.5703125" style="207" bestFit="1" customWidth="1"/>
    <col min="1288" max="1288" width="10.42578125" style="207" bestFit="1" customWidth="1"/>
    <col min="1289" max="1289" width="4.5703125" style="207" customWidth="1"/>
    <col min="1290" max="1290" width="1.85546875" style="207" customWidth="1"/>
    <col min="1291" max="1291" width="7" style="207" bestFit="1" customWidth="1"/>
    <col min="1292" max="1292" width="6.28515625" style="207" customWidth="1"/>
    <col min="1293" max="1293" width="20.42578125" style="207" customWidth="1"/>
    <col min="1294" max="1294" width="6.42578125" style="207" bestFit="1" customWidth="1"/>
    <col min="1295" max="1296" width="8.42578125" style="207"/>
    <col min="1297" max="1297" width="3.28515625" style="207" customWidth="1"/>
    <col min="1298" max="1536" width="8.42578125" style="207"/>
    <col min="1537" max="1537" width="10" style="207" bestFit="1" customWidth="1"/>
    <col min="1538" max="1538" width="44.28515625" style="207" bestFit="1" customWidth="1"/>
    <col min="1539" max="1539" width="10.42578125" style="207" bestFit="1" customWidth="1"/>
    <col min="1540" max="1540" width="10.42578125" style="207" customWidth="1"/>
    <col min="1541" max="1541" width="9.7109375" style="207" bestFit="1" customWidth="1"/>
    <col min="1542" max="1543" width="9.5703125" style="207" bestFit="1" customWidth="1"/>
    <col min="1544" max="1544" width="10.42578125" style="207" bestFit="1" customWidth="1"/>
    <col min="1545" max="1545" width="4.5703125" style="207" customWidth="1"/>
    <col min="1546" max="1546" width="1.85546875" style="207" customWidth="1"/>
    <col min="1547" max="1547" width="7" style="207" bestFit="1" customWidth="1"/>
    <col min="1548" max="1548" width="6.28515625" style="207" customWidth="1"/>
    <col min="1549" max="1549" width="20.42578125" style="207" customWidth="1"/>
    <col min="1550" max="1550" width="6.42578125" style="207" bestFit="1" customWidth="1"/>
    <col min="1551" max="1552" width="8.42578125" style="207"/>
    <col min="1553" max="1553" width="3.28515625" style="207" customWidth="1"/>
    <col min="1554" max="1792" width="8.42578125" style="207"/>
    <col min="1793" max="1793" width="10" style="207" bestFit="1" customWidth="1"/>
    <col min="1794" max="1794" width="44.28515625" style="207" bestFit="1" customWidth="1"/>
    <col min="1795" max="1795" width="10.42578125" style="207" bestFit="1" customWidth="1"/>
    <col min="1796" max="1796" width="10.42578125" style="207" customWidth="1"/>
    <col min="1797" max="1797" width="9.7109375" style="207" bestFit="1" customWidth="1"/>
    <col min="1798" max="1799" width="9.5703125" style="207" bestFit="1" customWidth="1"/>
    <col min="1800" max="1800" width="10.42578125" style="207" bestFit="1" customWidth="1"/>
    <col min="1801" max="1801" width="4.5703125" style="207" customWidth="1"/>
    <col min="1802" max="1802" width="1.85546875" style="207" customWidth="1"/>
    <col min="1803" max="1803" width="7" style="207" bestFit="1" customWidth="1"/>
    <col min="1804" max="1804" width="6.28515625" style="207" customWidth="1"/>
    <col min="1805" max="1805" width="20.42578125" style="207" customWidth="1"/>
    <col min="1806" max="1806" width="6.42578125" style="207" bestFit="1" customWidth="1"/>
    <col min="1807" max="1808" width="8.42578125" style="207"/>
    <col min="1809" max="1809" width="3.28515625" style="207" customWidth="1"/>
    <col min="1810" max="2048" width="8.42578125" style="207"/>
    <col min="2049" max="2049" width="10" style="207" bestFit="1" customWidth="1"/>
    <col min="2050" max="2050" width="44.28515625" style="207" bestFit="1" customWidth="1"/>
    <col min="2051" max="2051" width="10.42578125" style="207" bestFit="1" customWidth="1"/>
    <col min="2052" max="2052" width="10.42578125" style="207" customWidth="1"/>
    <col min="2053" max="2053" width="9.7109375" style="207" bestFit="1" customWidth="1"/>
    <col min="2054" max="2055" width="9.5703125" style="207" bestFit="1" customWidth="1"/>
    <col min="2056" max="2056" width="10.42578125" style="207" bestFit="1" customWidth="1"/>
    <col min="2057" max="2057" width="4.5703125" style="207" customWidth="1"/>
    <col min="2058" max="2058" width="1.85546875" style="207" customWidth="1"/>
    <col min="2059" max="2059" width="7" style="207" bestFit="1" customWidth="1"/>
    <col min="2060" max="2060" width="6.28515625" style="207" customWidth="1"/>
    <col min="2061" max="2061" width="20.42578125" style="207" customWidth="1"/>
    <col min="2062" max="2062" width="6.42578125" style="207" bestFit="1" customWidth="1"/>
    <col min="2063" max="2064" width="8.42578125" style="207"/>
    <col min="2065" max="2065" width="3.28515625" style="207" customWidth="1"/>
    <col min="2066" max="2304" width="8.42578125" style="207"/>
    <col min="2305" max="2305" width="10" style="207" bestFit="1" customWidth="1"/>
    <col min="2306" max="2306" width="44.28515625" style="207" bestFit="1" customWidth="1"/>
    <col min="2307" max="2307" width="10.42578125" style="207" bestFit="1" customWidth="1"/>
    <col min="2308" max="2308" width="10.42578125" style="207" customWidth="1"/>
    <col min="2309" max="2309" width="9.7109375" style="207" bestFit="1" customWidth="1"/>
    <col min="2310" max="2311" width="9.5703125" style="207" bestFit="1" customWidth="1"/>
    <col min="2312" max="2312" width="10.42578125" style="207" bestFit="1" customWidth="1"/>
    <col min="2313" max="2313" width="4.5703125" style="207" customWidth="1"/>
    <col min="2314" max="2314" width="1.85546875" style="207" customWidth="1"/>
    <col min="2315" max="2315" width="7" style="207" bestFit="1" customWidth="1"/>
    <col min="2316" max="2316" width="6.28515625" style="207" customWidth="1"/>
    <col min="2317" max="2317" width="20.42578125" style="207" customWidth="1"/>
    <col min="2318" max="2318" width="6.42578125" style="207" bestFit="1" customWidth="1"/>
    <col min="2319" max="2320" width="8.42578125" style="207"/>
    <col min="2321" max="2321" width="3.28515625" style="207" customWidth="1"/>
    <col min="2322" max="2560" width="8.42578125" style="207"/>
    <col min="2561" max="2561" width="10" style="207" bestFit="1" customWidth="1"/>
    <col min="2562" max="2562" width="44.28515625" style="207" bestFit="1" customWidth="1"/>
    <col min="2563" max="2563" width="10.42578125" style="207" bestFit="1" customWidth="1"/>
    <col min="2564" max="2564" width="10.42578125" style="207" customWidth="1"/>
    <col min="2565" max="2565" width="9.7109375" style="207" bestFit="1" customWidth="1"/>
    <col min="2566" max="2567" width="9.5703125" style="207" bestFit="1" customWidth="1"/>
    <col min="2568" max="2568" width="10.42578125" style="207" bestFit="1" customWidth="1"/>
    <col min="2569" max="2569" width="4.5703125" style="207" customWidth="1"/>
    <col min="2570" max="2570" width="1.85546875" style="207" customWidth="1"/>
    <col min="2571" max="2571" width="7" style="207" bestFit="1" customWidth="1"/>
    <col min="2572" max="2572" width="6.28515625" style="207" customWidth="1"/>
    <col min="2573" max="2573" width="20.42578125" style="207" customWidth="1"/>
    <col min="2574" max="2574" width="6.42578125" style="207" bestFit="1" customWidth="1"/>
    <col min="2575" max="2576" width="8.42578125" style="207"/>
    <col min="2577" max="2577" width="3.28515625" style="207" customWidth="1"/>
    <col min="2578" max="2816" width="8.42578125" style="207"/>
    <col min="2817" max="2817" width="10" style="207" bestFit="1" customWidth="1"/>
    <col min="2818" max="2818" width="44.28515625" style="207" bestFit="1" customWidth="1"/>
    <col min="2819" max="2819" width="10.42578125" style="207" bestFit="1" customWidth="1"/>
    <col min="2820" max="2820" width="10.42578125" style="207" customWidth="1"/>
    <col min="2821" max="2821" width="9.7109375" style="207" bestFit="1" customWidth="1"/>
    <col min="2822" max="2823" width="9.5703125" style="207" bestFit="1" customWidth="1"/>
    <col min="2824" max="2824" width="10.42578125" style="207" bestFit="1" customWidth="1"/>
    <col min="2825" max="2825" width="4.5703125" style="207" customWidth="1"/>
    <col min="2826" max="2826" width="1.85546875" style="207" customWidth="1"/>
    <col min="2827" max="2827" width="7" style="207" bestFit="1" customWidth="1"/>
    <col min="2828" max="2828" width="6.28515625" style="207" customWidth="1"/>
    <col min="2829" max="2829" width="20.42578125" style="207" customWidth="1"/>
    <col min="2830" max="2830" width="6.42578125" style="207" bestFit="1" customWidth="1"/>
    <col min="2831" max="2832" width="8.42578125" style="207"/>
    <col min="2833" max="2833" width="3.28515625" style="207" customWidth="1"/>
    <col min="2834" max="3072" width="8.42578125" style="207"/>
    <col min="3073" max="3073" width="10" style="207" bestFit="1" customWidth="1"/>
    <col min="3074" max="3074" width="44.28515625" style="207" bestFit="1" customWidth="1"/>
    <col min="3075" max="3075" width="10.42578125" style="207" bestFit="1" customWidth="1"/>
    <col min="3076" max="3076" width="10.42578125" style="207" customWidth="1"/>
    <col min="3077" max="3077" width="9.7109375" style="207" bestFit="1" customWidth="1"/>
    <col min="3078" max="3079" width="9.5703125" style="207" bestFit="1" customWidth="1"/>
    <col min="3080" max="3080" width="10.42578125" style="207" bestFit="1" customWidth="1"/>
    <col min="3081" max="3081" width="4.5703125" style="207" customWidth="1"/>
    <col min="3082" max="3082" width="1.85546875" style="207" customWidth="1"/>
    <col min="3083" max="3083" width="7" style="207" bestFit="1" customWidth="1"/>
    <col min="3084" max="3084" width="6.28515625" style="207" customWidth="1"/>
    <col min="3085" max="3085" width="20.42578125" style="207" customWidth="1"/>
    <col min="3086" max="3086" width="6.42578125" style="207" bestFit="1" customWidth="1"/>
    <col min="3087" max="3088" width="8.42578125" style="207"/>
    <col min="3089" max="3089" width="3.28515625" style="207" customWidth="1"/>
    <col min="3090" max="3328" width="8.42578125" style="207"/>
    <col min="3329" max="3329" width="10" style="207" bestFit="1" customWidth="1"/>
    <col min="3330" max="3330" width="44.28515625" style="207" bestFit="1" customWidth="1"/>
    <col min="3331" max="3331" width="10.42578125" style="207" bestFit="1" customWidth="1"/>
    <col min="3332" max="3332" width="10.42578125" style="207" customWidth="1"/>
    <col min="3333" max="3333" width="9.7109375" style="207" bestFit="1" customWidth="1"/>
    <col min="3334" max="3335" width="9.5703125" style="207" bestFit="1" customWidth="1"/>
    <col min="3336" max="3336" width="10.42578125" style="207" bestFit="1" customWidth="1"/>
    <col min="3337" max="3337" width="4.5703125" style="207" customWidth="1"/>
    <col min="3338" max="3338" width="1.85546875" style="207" customWidth="1"/>
    <col min="3339" max="3339" width="7" style="207" bestFit="1" customWidth="1"/>
    <col min="3340" max="3340" width="6.28515625" style="207" customWidth="1"/>
    <col min="3341" max="3341" width="20.42578125" style="207" customWidth="1"/>
    <col min="3342" max="3342" width="6.42578125" style="207" bestFit="1" customWidth="1"/>
    <col min="3343" max="3344" width="8.42578125" style="207"/>
    <col min="3345" max="3345" width="3.28515625" style="207" customWidth="1"/>
    <col min="3346" max="3584" width="8.42578125" style="207"/>
    <col min="3585" max="3585" width="10" style="207" bestFit="1" customWidth="1"/>
    <col min="3586" max="3586" width="44.28515625" style="207" bestFit="1" customWidth="1"/>
    <col min="3587" max="3587" width="10.42578125" style="207" bestFit="1" customWidth="1"/>
    <col min="3588" max="3588" width="10.42578125" style="207" customWidth="1"/>
    <col min="3589" max="3589" width="9.7109375" style="207" bestFit="1" customWidth="1"/>
    <col min="3590" max="3591" width="9.5703125" style="207" bestFit="1" customWidth="1"/>
    <col min="3592" max="3592" width="10.42578125" style="207" bestFit="1" customWidth="1"/>
    <col min="3593" max="3593" width="4.5703125" style="207" customWidth="1"/>
    <col min="3594" max="3594" width="1.85546875" style="207" customWidth="1"/>
    <col min="3595" max="3595" width="7" style="207" bestFit="1" customWidth="1"/>
    <col min="3596" max="3596" width="6.28515625" style="207" customWidth="1"/>
    <col min="3597" max="3597" width="20.42578125" style="207" customWidth="1"/>
    <col min="3598" max="3598" width="6.42578125" style="207" bestFit="1" customWidth="1"/>
    <col min="3599" max="3600" width="8.42578125" style="207"/>
    <col min="3601" max="3601" width="3.28515625" style="207" customWidth="1"/>
    <col min="3602" max="3840" width="8.42578125" style="207"/>
    <col min="3841" max="3841" width="10" style="207" bestFit="1" customWidth="1"/>
    <col min="3842" max="3842" width="44.28515625" style="207" bestFit="1" customWidth="1"/>
    <col min="3843" max="3843" width="10.42578125" style="207" bestFit="1" customWidth="1"/>
    <col min="3844" max="3844" width="10.42578125" style="207" customWidth="1"/>
    <col min="3845" max="3845" width="9.7109375" style="207" bestFit="1" customWidth="1"/>
    <col min="3846" max="3847" width="9.5703125" style="207" bestFit="1" customWidth="1"/>
    <col min="3848" max="3848" width="10.42578125" style="207" bestFit="1" customWidth="1"/>
    <col min="3849" max="3849" width="4.5703125" style="207" customWidth="1"/>
    <col min="3850" max="3850" width="1.85546875" style="207" customWidth="1"/>
    <col min="3851" max="3851" width="7" style="207" bestFit="1" customWidth="1"/>
    <col min="3852" max="3852" width="6.28515625" style="207" customWidth="1"/>
    <col min="3853" max="3853" width="20.42578125" style="207" customWidth="1"/>
    <col min="3854" max="3854" width="6.42578125" style="207" bestFit="1" customWidth="1"/>
    <col min="3855" max="3856" width="8.42578125" style="207"/>
    <col min="3857" max="3857" width="3.28515625" style="207" customWidth="1"/>
    <col min="3858" max="4096" width="8.42578125" style="207"/>
    <col min="4097" max="4097" width="10" style="207" bestFit="1" customWidth="1"/>
    <col min="4098" max="4098" width="44.28515625" style="207" bestFit="1" customWidth="1"/>
    <col min="4099" max="4099" width="10.42578125" style="207" bestFit="1" customWidth="1"/>
    <col min="4100" max="4100" width="10.42578125" style="207" customWidth="1"/>
    <col min="4101" max="4101" width="9.7109375" style="207" bestFit="1" customWidth="1"/>
    <col min="4102" max="4103" width="9.5703125" style="207" bestFit="1" customWidth="1"/>
    <col min="4104" max="4104" width="10.42578125" style="207" bestFit="1" customWidth="1"/>
    <col min="4105" max="4105" width="4.5703125" style="207" customWidth="1"/>
    <col min="4106" max="4106" width="1.85546875" style="207" customWidth="1"/>
    <col min="4107" max="4107" width="7" style="207" bestFit="1" customWidth="1"/>
    <col min="4108" max="4108" width="6.28515625" style="207" customWidth="1"/>
    <col min="4109" max="4109" width="20.42578125" style="207" customWidth="1"/>
    <col min="4110" max="4110" width="6.42578125" style="207" bestFit="1" customWidth="1"/>
    <col min="4111" max="4112" width="8.42578125" style="207"/>
    <col min="4113" max="4113" width="3.28515625" style="207" customWidth="1"/>
    <col min="4114" max="4352" width="8.42578125" style="207"/>
    <col min="4353" max="4353" width="10" style="207" bestFit="1" customWidth="1"/>
    <col min="4354" max="4354" width="44.28515625" style="207" bestFit="1" customWidth="1"/>
    <col min="4355" max="4355" width="10.42578125" style="207" bestFit="1" customWidth="1"/>
    <col min="4356" max="4356" width="10.42578125" style="207" customWidth="1"/>
    <col min="4357" max="4357" width="9.7109375" style="207" bestFit="1" customWidth="1"/>
    <col min="4358" max="4359" width="9.5703125" style="207" bestFit="1" customWidth="1"/>
    <col min="4360" max="4360" width="10.42578125" style="207" bestFit="1" customWidth="1"/>
    <col min="4361" max="4361" width="4.5703125" style="207" customWidth="1"/>
    <col min="4362" max="4362" width="1.85546875" style="207" customWidth="1"/>
    <col min="4363" max="4363" width="7" style="207" bestFit="1" customWidth="1"/>
    <col min="4364" max="4364" width="6.28515625" style="207" customWidth="1"/>
    <col min="4365" max="4365" width="20.42578125" style="207" customWidth="1"/>
    <col min="4366" max="4366" width="6.42578125" style="207" bestFit="1" customWidth="1"/>
    <col min="4367" max="4368" width="8.42578125" style="207"/>
    <col min="4369" max="4369" width="3.28515625" style="207" customWidth="1"/>
    <col min="4370" max="4608" width="8.42578125" style="207"/>
    <col min="4609" max="4609" width="10" style="207" bestFit="1" customWidth="1"/>
    <col min="4610" max="4610" width="44.28515625" style="207" bestFit="1" customWidth="1"/>
    <col min="4611" max="4611" width="10.42578125" style="207" bestFit="1" customWidth="1"/>
    <col min="4612" max="4612" width="10.42578125" style="207" customWidth="1"/>
    <col min="4613" max="4613" width="9.7109375" style="207" bestFit="1" customWidth="1"/>
    <col min="4614" max="4615" width="9.5703125" style="207" bestFit="1" customWidth="1"/>
    <col min="4616" max="4616" width="10.42578125" style="207" bestFit="1" customWidth="1"/>
    <col min="4617" max="4617" width="4.5703125" style="207" customWidth="1"/>
    <col min="4618" max="4618" width="1.85546875" style="207" customWidth="1"/>
    <col min="4619" max="4619" width="7" style="207" bestFit="1" customWidth="1"/>
    <col min="4620" max="4620" width="6.28515625" style="207" customWidth="1"/>
    <col min="4621" max="4621" width="20.42578125" style="207" customWidth="1"/>
    <col min="4622" max="4622" width="6.42578125" style="207" bestFit="1" customWidth="1"/>
    <col min="4623" max="4624" width="8.42578125" style="207"/>
    <col min="4625" max="4625" width="3.28515625" style="207" customWidth="1"/>
    <col min="4626" max="4864" width="8.42578125" style="207"/>
    <col min="4865" max="4865" width="10" style="207" bestFit="1" customWidth="1"/>
    <col min="4866" max="4866" width="44.28515625" style="207" bestFit="1" customWidth="1"/>
    <col min="4867" max="4867" width="10.42578125" style="207" bestFit="1" customWidth="1"/>
    <col min="4868" max="4868" width="10.42578125" style="207" customWidth="1"/>
    <col min="4869" max="4869" width="9.7109375" style="207" bestFit="1" customWidth="1"/>
    <col min="4870" max="4871" width="9.5703125" style="207" bestFit="1" customWidth="1"/>
    <col min="4872" max="4872" width="10.42578125" style="207" bestFit="1" customWidth="1"/>
    <col min="4873" max="4873" width="4.5703125" style="207" customWidth="1"/>
    <col min="4874" max="4874" width="1.85546875" style="207" customWidth="1"/>
    <col min="4875" max="4875" width="7" style="207" bestFit="1" customWidth="1"/>
    <col min="4876" max="4876" width="6.28515625" style="207" customWidth="1"/>
    <col min="4877" max="4877" width="20.42578125" style="207" customWidth="1"/>
    <col min="4878" max="4878" width="6.42578125" style="207" bestFit="1" customWidth="1"/>
    <col min="4879" max="4880" width="8.42578125" style="207"/>
    <col min="4881" max="4881" width="3.28515625" style="207" customWidth="1"/>
    <col min="4882" max="5120" width="8.42578125" style="207"/>
    <col min="5121" max="5121" width="10" style="207" bestFit="1" customWidth="1"/>
    <col min="5122" max="5122" width="44.28515625" style="207" bestFit="1" customWidth="1"/>
    <col min="5123" max="5123" width="10.42578125" style="207" bestFit="1" customWidth="1"/>
    <col min="5124" max="5124" width="10.42578125" style="207" customWidth="1"/>
    <col min="5125" max="5125" width="9.7109375" style="207" bestFit="1" customWidth="1"/>
    <col min="5126" max="5127" width="9.5703125" style="207" bestFit="1" customWidth="1"/>
    <col min="5128" max="5128" width="10.42578125" style="207" bestFit="1" customWidth="1"/>
    <col min="5129" max="5129" width="4.5703125" style="207" customWidth="1"/>
    <col min="5130" max="5130" width="1.85546875" style="207" customWidth="1"/>
    <col min="5131" max="5131" width="7" style="207" bestFit="1" customWidth="1"/>
    <col min="5132" max="5132" width="6.28515625" style="207" customWidth="1"/>
    <col min="5133" max="5133" width="20.42578125" style="207" customWidth="1"/>
    <col min="5134" max="5134" width="6.42578125" style="207" bestFit="1" customWidth="1"/>
    <col min="5135" max="5136" width="8.42578125" style="207"/>
    <col min="5137" max="5137" width="3.28515625" style="207" customWidth="1"/>
    <col min="5138" max="5376" width="8.42578125" style="207"/>
    <col min="5377" max="5377" width="10" style="207" bestFit="1" customWidth="1"/>
    <col min="5378" max="5378" width="44.28515625" style="207" bestFit="1" customWidth="1"/>
    <col min="5379" max="5379" width="10.42578125" style="207" bestFit="1" customWidth="1"/>
    <col min="5380" max="5380" width="10.42578125" style="207" customWidth="1"/>
    <col min="5381" max="5381" width="9.7109375" style="207" bestFit="1" customWidth="1"/>
    <col min="5382" max="5383" width="9.5703125" style="207" bestFit="1" customWidth="1"/>
    <col min="5384" max="5384" width="10.42578125" style="207" bestFit="1" customWidth="1"/>
    <col min="5385" max="5385" width="4.5703125" style="207" customWidth="1"/>
    <col min="5386" max="5386" width="1.85546875" style="207" customWidth="1"/>
    <col min="5387" max="5387" width="7" style="207" bestFit="1" customWidth="1"/>
    <col min="5388" max="5388" width="6.28515625" style="207" customWidth="1"/>
    <col min="5389" max="5389" width="20.42578125" style="207" customWidth="1"/>
    <col min="5390" max="5390" width="6.42578125" style="207" bestFit="1" customWidth="1"/>
    <col min="5391" max="5392" width="8.42578125" style="207"/>
    <col min="5393" max="5393" width="3.28515625" style="207" customWidth="1"/>
    <col min="5394" max="5632" width="8.42578125" style="207"/>
    <col min="5633" max="5633" width="10" style="207" bestFit="1" customWidth="1"/>
    <col min="5634" max="5634" width="44.28515625" style="207" bestFit="1" customWidth="1"/>
    <col min="5635" max="5635" width="10.42578125" style="207" bestFit="1" customWidth="1"/>
    <col min="5636" max="5636" width="10.42578125" style="207" customWidth="1"/>
    <col min="5637" max="5637" width="9.7109375" style="207" bestFit="1" customWidth="1"/>
    <col min="5638" max="5639" width="9.5703125" style="207" bestFit="1" customWidth="1"/>
    <col min="5640" max="5640" width="10.42578125" style="207" bestFit="1" customWidth="1"/>
    <col min="5641" max="5641" width="4.5703125" style="207" customWidth="1"/>
    <col min="5642" max="5642" width="1.85546875" style="207" customWidth="1"/>
    <col min="5643" max="5643" width="7" style="207" bestFit="1" customWidth="1"/>
    <col min="5644" max="5644" width="6.28515625" style="207" customWidth="1"/>
    <col min="5645" max="5645" width="20.42578125" style="207" customWidth="1"/>
    <col min="5646" max="5646" width="6.42578125" style="207" bestFit="1" customWidth="1"/>
    <col min="5647" max="5648" width="8.42578125" style="207"/>
    <col min="5649" max="5649" width="3.28515625" style="207" customWidth="1"/>
    <col min="5650" max="5888" width="8.42578125" style="207"/>
    <col min="5889" max="5889" width="10" style="207" bestFit="1" customWidth="1"/>
    <col min="5890" max="5890" width="44.28515625" style="207" bestFit="1" customWidth="1"/>
    <col min="5891" max="5891" width="10.42578125" style="207" bestFit="1" customWidth="1"/>
    <col min="5892" max="5892" width="10.42578125" style="207" customWidth="1"/>
    <col min="5893" max="5893" width="9.7109375" style="207" bestFit="1" customWidth="1"/>
    <col min="5894" max="5895" width="9.5703125" style="207" bestFit="1" customWidth="1"/>
    <col min="5896" max="5896" width="10.42578125" style="207" bestFit="1" customWidth="1"/>
    <col min="5897" max="5897" width="4.5703125" style="207" customWidth="1"/>
    <col min="5898" max="5898" width="1.85546875" style="207" customWidth="1"/>
    <col min="5899" max="5899" width="7" style="207" bestFit="1" customWidth="1"/>
    <col min="5900" max="5900" width="6.28515625" style="207" customWidth="1"/>
    <col min="5901" max="5901" width="20.42578125" style="207" customWidth="1"/>
    <col min="5902" max="5902" width="6.42578125" style="207" bestFit="1" customWidth="1"/>
    <col min="5903" max="5904" width="8.42578125" style="207"/>
    <col min="5905" max="5905" width="3.28515625" style="207" customWidth="1"/>
    <col min="5906" max="6144" width="8.42578125" style="207"/>
    <col min="6145" max="6145" width="10" style="207" bestFit="1" customWidth="1"/>
    <col min="6146" max="6146" width="44.28515625" style="207" bestFit="1" customWidth="1"/>
    <col min="6147" max="6147" width="10.42578125" style="207" bestFit="1" customWidth="1"/>
    <col min="6148" max="6148" width="10.42578125" style="207" customWidth="1"/>
    <col min="6149" max="6149" width="9.7109375" style="207" bestFit="1" customWidth="1"/>
    <col min="6150" max="6151" width="9.5703125" style="207" bestFit="1" customWidth="1"/>
    <col min="6152" max="6152" width="10.42578125" style="207" bestFit="1" customWidth="1"/>
    <col min="6153" max="6153" width="4.5703125" style="207" customWidth="1"/>
    <col min="6154" max="6154" width="1.85546875" style="207" customWidth="1"/>
    <col min="6155" max="6155" width="7" style="207" bestFit="1" customWidth="1"/>
    <col min="6156" max="6156" width="6.28515625" style="207" customWidth="1"/>
    <col min="6157" max="6157" width="20.42578125" style="207" customWidth="1"/>
    <col min="6158" max="6158" width="6.42578125" style="207" bestFit="1" customWidth="1"/>
    <col min="6159" max="6160" width="8.42578125" style="207"/>
    <col min="6161" max="6161" width="3.28515625" style="207" customWidth="1"/>
    <col min="6162" max="6400" width="8.42578125" style="207"/>
    <col min="6401" max="6401" width="10" style="207" bestFit="1" customWidth="1"/>
    <col min="6402" max="6402" width="44.28515625" style="207" bestFit="1" customWidth="1"/>
    <col min="6403" max="6403" width="10.42578125" style="207" bestFit="1" customWidth="1"/>
    <col min="6404" max="6404" width="10.42578125" style="207" customWidth="1"/>
    <col min="6405" max="6405" width="9.7109375" style="207" bestFit="1" customWidth="1"/>
    <col min="6406" max="6407" width="9.5703125" style="207" bestFit="1" customWidth="1"/>
    <col min="6408" max="6408" width="10.42578125" style="207" bestFit="1" customWidth="1"/>
    <col min="6409" max="6409" width="4.5703125" style="207" customWidth="1"/>
    <col min="6410" max="6410" width="1.85546875" style="207" customWidth="1"/>
    <col min="6411" max="6411" width="7" style="207" bestFit="1" customWidth="1"/>
    <col min="6412" max="6412" width="6.28515625" style="207" customWidth="1"/>
    <col min="6413" max="6413" width="20.42578125" style="207" customWidth="1"/>
    <col min="6414" max="6414" width="6.42578125" style="207" bestFit="1" customWidth="1"/>
    <col min="6415" max="6416" width="8.42578125" style="207"/>
    <col min="6417" max="6417" width="3.28515625" style="207" customWidth="1"/>
    <col min="6418" max="6656" width="8.42578125" style="207"/>
    <col min="6657" max="6657" width="10" style="207" bestFit="1" customWidth="1"/>
    <col min="6658" max="6658" width="44.28515625" style="207" bestFit="1" customWidth="1"/>
    <col min="6659" max="6659" width="10.42578125" style="207" bestFit="1" customWidth="1"/>
    <col min="6660" max="6660" width="10.42578125" style="207" customWidth="1"/>
    <col min="6661" max="6661" width="9.7109375" style="207" bestFit="1" customWidth="1"/>
    <col min="6662" max="6663" width="9.5703125" style="207" bestFit="1" customWidth="1"/>
    <col min="6664" max="6664" width="10.42578125" style="207" bestFit="1" customWidth="1"/>
    <col min="6665" max="6665" width="4.5703125" style="207" customWidth="1"/>
    <col min="6666" max="6666" width="1.85546875" style="207" customWidth="1"/>
    <col min="6667" max="6667" width="7" style="207" bestFit="1" customWidth="1"/>
    <col min="6668" max="6668" width="6.28515625" style="207" customWidth="1"/>
    <col min="6669" max="6669" width="20.42578125" style="207" customWidth="1"/>
    <col min="6670" max="6670" width="6.42578125" style="207" bestFit="1" customWidth="1"/>
    <col min="6671" max="6672" width="8.42578125" style="207"/>
    <col min="6673" max="6673" width="3.28515625" style="207" customWidth="1"/>
    <col min="6674" max="6912" width="8.42578125" style="207"/>
    <col min="6913" max="6913" width="10" style="207" bestFit="1" customWidth="1"/>
    <col min="6914" max="6914" width="44.28515625" style="207" bestFit="1" customWidth="1"/>
    <col min="6915" max="6915" width="10.42578125" style="207" bestFit="1" customWidth="1"/>
    <col min="6916" max="6916" width="10.42578125" style="207" customWidth="1"/>
    <col min="6917" max="6917" width="9.7109375" style="207" bestFit="1" customWidth="1"/>
    <col min="6918" max="6919" width="9.5703125" style="207" bestFit="1" customWidth="1"/>
    <col min="6920" max="6920" width="10.42578125" style="207" bestFit="1" customWidth="1"/>
    <col min="6921" max="6921" width="4.5703125" style="207" customWidth="1"/>
    <col min="6922" max="6922" width="1.85546875" style="207" customWidth="1"/>
    <col min="6923" max="6923" width="7" style="207" bestFit="1" customWidth="1"/>
    <col min="6924" max="6924" width="6.28515625" style="207" customWidth="1"/>
    <col min="6925" max="6925" width="20.42578125" style="207" customWidth="1"/>
    <col min="6926" max="6926" width="6.42578125" style="207" bestFit="1" customWidth="1"/>
    <col min="6927" max="6928" width="8.42578125" style="207"/>
    <col min="6929" max="6929" width="3.28515625" style="207" customWidth="1"/>
    <col min="6930" max="7168" width="8.42578125" style="207"/>
    <col min="7169" max="7169" width="10" style="207" bestFit="1" customWidth="1"/>
    <col min="7170" max="7170" width="44.28515625" style="207" bestFit="1" customWidth="1"/>
    <col min="7171" max="7171" width="10.42578125" style="207" bestFit="1" customWidth="1"/>
    <col min="7172" max="7172" width="10.42578125" style="207" customWidth="1"/>
    <col min="7173" max="7173" width="9.7109375" style="207" bestFit="1" customWidth="1"/>
    <col min="7174" max="7175" width="9.5703125" style="207" bestFit="1" customWidth="1"/>
    <col min="7176" max="7176" width="10.42578125" style="207" bestFit="1" customWidth="1"/>
    <col min="7177" max="7177" width="4.5703125" style="207" customWidth="1"/>
    <col min="7178" max="7178" width="1.85546875" style="207" customWidth="1"/>
    <col min="7179" max="7179" width="7" style="207" bestFit="1" customWidth="1"/>
    <col min="7180" max="7180" width="6.28515625" style="207" customWidth="1"/>
    <col min="7181" max="7181" width="20.42578125" style="207" customWidth="1"/>
    <col min="7182" max="7182" width="6.42578125" style="207" bestFit="1" customWidth="1"/>
    <col min="7183" max="7184" width="8.42578125" style="207"/>
    <col min="7185" max="7185" width="3.28515625" style="207" customWidth="1"/>
    <col min="7186" max="7424" width="8.42578125" style="207"/>
    <col min="7425" max="7425" width="10" style="207" bestFit="1" customWidth="1"/>
    <col min="7426" max="7426" width="44.28515625" style="207" bestFit="1" customWidth="1"/>
    <col min="7427" max="7427" width="10.42578125" style="207" bestFit="1" customWidth="1"/>
    <col min="7428" max="7428" width="10.42578125" style="207" customWidth="1"/>
    <col min="7429" max="7429" width="9.7109375" style="207" bestFit="1" customWidth="1"/>
    <col min="7430" max="7431" width="9.5703125" style="207" bestFit="1" customWidth="1"/>
    <col min="7432" max="7432" width="10.42578125" style="207" bestFit="1" customWidth="1"/>
    <col min="7433" max="7433" width="4.5703125" style="207" customWidth="1"/>
    <col min="7434" max="7434" width="1.85546875" style="207" customWidth="1"/>
    <col min="7435" max="7435" width="7" style="207" bestFit="1" customWidth="1"/>
    <col min="7436" max="7436" width="6.28515625" style="207" customWidth="1"/>
    <col min="7437" max="7437" width="20.42578125" style="207" customWidth="1"/>
    <col min="7438" max="7438" width="6.42578125" style="207" bestFit="1" customWidth="1"/>
    <col min="7439" max="7440" width="8.42578125" style="207"/>
    <col min="7441" max="7441" width="3.28515625" style="207" customWidth="1"/>
    <col min="7442" max="7680" width="8.42578125" style="207"/>
    <col min="7681" max="7681" width="10" style="207" bestFit="1" customWidth="1"/>
    <col min="7682" max="7682" width="44.28515625" style="207" bestFit="1" customWidth="1"/>
    <col min="7683" max="7683" width="10.42578125" style="207" bestFit="1" customWidth="1"/>
    <col min="7684" max="7684" width="10.42578125" style="207" customWidth="1"/>
    <col min="7685" max="7685" width="9.7109375" style="207" bestFit="1" customWidth="1"/>
    <col min="7686" max="7687" width="9.5703125" style="207" bestFit="1" customWidth="1"/>
    <col min="7688" max="7688" width="10.42578125" style="207" bestFit="1" customWidth="1"/>
    <col min="7689" max="7689" width="4.5703125" style="207" customWidth="1"/>
    <col min="7690" max="7690" width="1.85546875" style="207" customWidth="1"/>
    <col min="7691" max="7691" width="7" style="207" bestFit="1" customWidth="1"/>
    <col min="7692" max="7692" width="6.28515625" style="207" customWidth="1"/>
    <col min="7693" max="7693" width="20.42578125" style="207" customWidth="1"/>
    <col min="7694" max="7694" width="6.42578125" style="207" bestFit="1" customWidth="1"/>
    <col min="7695" max="7696" width="8.42578125" style="207"/>
    <col min="7697" max="7697" width="3.28515625" style="207" customWidth="1"/>
    <col min="7698" max="7936" width="8.42578125" style="207"/>
    <col min="7937" max="7937" width="10" style="207" bestFit="1" customWidth="1"/>
    <col min="7938" max="7938" width="44.28515625" style="207" bestFit="1" customWidth="1"/>
    <col min="7939" max="7939" width="10.42578125" style="207" bestFit="1" customWidth="1"/>
    <col min="7940" max="7940" width="10.42578125" style="207" customWidth="1"/>
    <col min="7941" max="7941" width="9.7109375" style="207" bestFit="1" customWidth="1"/>
    <col min="7942" max="7943" width="9.5703125" style="207" bestFit="1" customWidth="1"/>
    <col min="7944" max="7944" width="10.42578125" style="207" bestFit="1" customWidth="1"/>
    <col min="7945" max="7945" width="4.5703125" style="207" customWidth="1"/>
    <col min="7946" max="7946" width="1.85546875" style="207" customWidth="1"/>
    <col min="7947" max="7947" width="7" style="207" bestFit="1" customWidth="1"/>
    <col min="7948" max="7948" width="6.28515625" style="207" customWidth="1"/>
    <col min="7949" max="7949" width="20.42578125" style="207" customWidth="1"/>
    <col min="7950" max="7950" width="6.42578125" style="207" bestFit="1" customWidth="1"/>
    <col min="7951" max="7952" width="8.42578125" style="207"/>
    <col min="7953" max="7953" width="3.28515625" style="207" customWidth="1"/>
    <col min="7954" max="8192" width="8.42578125" style="207"/>
    <col min="8193" max="8193" width="10" style="207" bestFit="1" customWidth="1"/>
    <col min="8194" max="8194" width="44.28515625" style="207" bestFit="1" customWidth="1"/>
    <col min="8195" max="8195" width="10.42578125" style="207" bestFit="1" customWidth="1"/>
    <col min="8196" max="8196" width="10.42578125" style="207" customWidth="1"/>
    <col min="8197" max="8197" width="9.7109375" style="207" bestFit="1" customWidth="1"/>
    <col min="8198" max="8199" width="9.5703125" style="207" bestFit="1" customWidth="1"/>
    <col min="8200" max="8200" width="10.42578125" style="207" bestFit="1" customWidth="1"/>
    <col min="8201" max="8201" width="4.5703125" style="207" customWidth="1"/>
    <col min="8202" max="8202" width="1.85546875" style="207" customWidth="1"/>
    <col min="8203" max="8203" width="7" style="207" bestFit="1" customWidth="1"/>
    <col min="8204" max="8204" width="6.28515625" style="207" customWidth="1"/>
    <col min="8205" max="8205" width="20.42578125" style="207" customWidth="1"/>
    <col min="8206" max="8206" width="6.42578125" style="207" bestFit="1" customWidth="1"/>
    <col min="8207" max="8208" width="8.42578125" style="207"/>
    <col min="8209" max="8209" width="3.28515625" style="207" customWidth="1"/>
    <col min="8210" max="8448" width="8.42578125" style="207"/>
    <col min="8449" max="8449" width="10" style="207" bestFit="1" customWidth="1"/>
    <col min="8450" max="8450" width="44.28515625" style="207" bestFit="1" customWidth="1"/>
    <col min="8451" max="8451" width="10.42578125" style="207" bestFit="1" customWidth="1"/>
    <col min="8452" max="8452" width="10.42578125" style="207" customWidth="1"/>
    <col min="8453" max="8453" width="9.7109375" style="207" bestFit="1" customWidth="1"/>
    <col min="8454" max="8455" width="9.5703125" style="207" bestFit="1" customWidth="1"/>
    <col min="8456" max="8456" width="10.42578125" style="207" bestFit="1" customWidth="1"/>
    <col min="8457" max="8457" width="4.5703125" style="207" customWidth="1"/>
    <col min="8458" max="8458" width="1.85546875" style="207" customWidth="1"/>
    <col min="8459" max="8459" width="7" style="207" bestFit="1" customWidth="1"/>
    <col min="8460" max="8460" width="6.28515625" style="207" customWidth="1"/>
    <col min="8461" max="8461" width="20.42578125" style="207" customWidth="1"/>
    <col min="8462" max="8462" width="6.42578125" style="207" bestFit="1" customWidth="1"/>
    <col min="8463" max="8464" width="8.42578125" style="207"/>
    <col min="8465" max="8465" width="3.28515625" style="207" customWidth="1"/>
    <col min="8466" max="8704" width="8.42578125" style="207"/>
    <col min="8705" max="8705" width="10" style="207" bestFit="1" customWidth="1"/>
    <col min="8706" max="8706" width="44.28515625" style="207" bestFit="1" customWidth="1"/>
    <col min="8707" max="8707" width="10.42578125" style="207" bestFit="1" customWidth="1"/>
    <col min="8708" max="8708" width="10.42578125" style="207" customWidth="1"/>
    <col min="8709" max="8709" width="9.7109375" style="207" bestFit="1" customWidth="1"/>
    <col min="8710" max="8711" width="9.5703125" style="207" bestFit="1" customWidth="1"/>
    <col min="8712" max="8712" width="10.42578125" style="207" bestFit="1" customWidth="1"/>
    <col min="8713" max="8713" width="4.5703125" style="207" customWidth="1"/>
    <col min="8714" max="8714" width="1.85546875" style="207" customWidth="1"/>
    <col min="8715" max="8715" width="7" style="207" bestFit="1" customWidth="1"/>
    <col min="8716" max="8716" width="6.28515625" style="207" customWidth="1"/>
    <col min="8717" max="8717" width="20.42578125" style="207" customWidth="1"/>
    <col min="8718" max="8718" width="6.42578125" style="207" bestFit="1" customWidth="1"/>
    <col min="8719" max="8720" width="8.42578125" style="207"/>
    <col min="8721" max="8721" width="3.28515625" style="207" customWidth="1"/>
    <col min="8722" max="8960" width="8.42578125" style="207"/>
    <col min="8961" max="8961" width="10" style="207" bestFit="1" customWidth="1"/>
    <col min="8962" max="8962" width="44.28515625" style="207" bestFit="1" customWidth="1"/>
    <col min="8963" max="8963" width="10.42578125" style="207" bestFit="1" customWidth="1"/>
    <col min="8964" max="8964" width="10.42578125" style="207" customWidth="1"/>
    <col min="8965" max="8965" width="9.7109375" style="207" bestFit="1" customWidth="1"/>
    <col min="8966" max="8967" width="9.5703125" style="207" bestFit="1" customWidth="1"/>
    <col min="8968" max="8968" width="10.42578125" style="207" bestFit="1" customWidth="1"/>
    <col min="8969" max="8969" width="4.5703125" style="207" customWidth="1"/>
    <col min="8970" max="8970" width="1.85546875" style="207" customWidth="1"/>
    <col min="8971" max="8971" width="7" style="207" bestFit="1" customWidth="1"/>
    <col min="8972" max="8972" width="6.28515625" style="207" customWidth="1"/>
    <col min="8973" max="8973" width="20.42578125" style="207" customWidth="1"/>
    <col min="8974" max="8974" width="6.42578125" style="207" bestFit="1" customWidth="1"/>
    <col min="8975" max="8976" width="8.42578125" style="207"/>
    <col min="8977" max="8977" width="3.28515625" style="207" customWidth="1"/>
    <col min="8978" max="9216" width="8.42578125" style="207"/>
    <col min="9217" max="9217" width="10" style="207" bestFit="1" customWidth="1"/>
    <col min="9218" max="9218" width="44.28515625" style="207" bestFit="1" customWidth="1"/>
    <col min="9219" max="9219" width="10.42578125" style="207" bestFit="1" customWidth="1"/>
    <col min="9220" max="9220" width="10.42578125" style="207" customWidth="1"/>
    <col min="9221" max="9221" width="9.7109375" style="207" bestFit="1" customWidth="1"/>
    <col min="9222" max="9223" width="9.5703125" style="207" bestFit="1" customWidth="1"/>
    <col min="9224" max="9224" width="10.42578125" style="207" bestFit="1" customWidth="1"/>
    <col min="9225" max="9225" width="4.5703125" style="207" customWidth="1"/>
    <col min="9226" max="9226" width="1.85546875" style="207" customWidth="1"/>
    <col min="9227" max="9227" width="7" style="207" bestFit="1" customWidth="1"/>
    <col min="9228" max="9228" width="6.28515625" style="207" customWidth="1"/>
    <col min="9229" max="9229" width="20.42578125" style="207" customWidth="1"/>
    <col min="9230" max="9230" width="6.42578125" style="207" bestFit="1" customWidth="1"/>
    <col min="9231" max="9232" width="8.42578125" style="207"/>
    <col min="9233" max="9233" width="3.28515625" style="207" customWidth="1"/>
    <col min="9234" max="9472" width="8.42578125" style="207"/>
    <col min="9473" max="9473" width="10" style="207" bestFit="1" customWidth="1"/>
    <col min="9474" max="9474" width="44.28515625" style="207" bestFit="1" customWidth="1"/>
    <col min="9475" max="9475" width="10.42578125" style="207" bestFit="1" customWidth="1"/>
    <col min="9476" max="9476" width="10.42578125" style="207" customWidth="1"/>
    <col min="9477" max="9477" width="9.7109375" style="207" bestFit="1" customWidth="1"/>
    <col min="9478" max="9479" width="9.5703125" style="207" bestFit="1" customWidth="1"/>
    <col min="9480" max="9480" width="10.42578125" style="207" bestFit="1" customWidth="1"/>
    <col min="9481" max="9481" width="4.5703125" style="207" customWidth="1"/>
    <col min="9482" max="9482" width="1.85546875" style="207" customWidth="1"/>
    <col min="9483" max="9483" width="7" style="207" bestFit="1" customWidth="1"/>
    <col min="9484" max="9484" width="6.28515625" style="207" customWidth="1"/>
    <col min="9485" max="9485" width="20.42578125" style="207" customWidth="1"/>
    <col min="9486" max="9486" width="6.42578125" style="207" bestFit="1" customWidth="1"/>
    <col min="9487" max="9488" width="8.42578125" style="207"/>
    <col min="9489" max="9489" width="3.28515625" style="207" customWidth="1"/>
    <col min="9490" max="9728" width="8.42578125" style="207"/>
    <col min="9729" max="9729" width="10" style="207" bestFit="1" customWidth="1"/>
    <col min="9730" max="9730" width="44.28515625" style="207" bestFit="1" customWidth="1"/>
    <col min="9731" max="9731" width="10.42578125" style="207" bestFit="1" customWidth="1"/>
    <col min="9732" max="9732" width="10.42578125" style="207" customWidth="1"/>
    <col min="9733" max="9733" width="9.7109375" style="207" bestFit="1" customWidth="1"/>
    <col min="9734" max="9735" width="9.5703125" style="207" bestFit="1" customWidth="1"/>
    <col min="9736" max="9736" width="10.42578125" style="207" bestFit="1" customWidth="1"/>
    <col min="9737" max="9737" width="4.5703125" style="207" customWidth="1"/>
    <col min="9738" max="9738" width="1.85546875" style="207" customWidth="1"/>
    <col min="9739" max="9739" width="7" style="207" bestFit="1" customWidth="1"/>
    <col min="9740" max="9740" width="6.28515625" style="207" customWidth="1"/>
    <col min="9741" max="9741" width="20.42578125" style="207" customWidth="1"/>
    <col min="9742" max="9742" width="6.42578125" style="207" bestFit="1" customWidth="1"/>
    <col min="9743" max="9744" width="8.42578125" style="207"/>
    <col min="9745" max="9745" width="3.28515625" style="207" customWidth="1"/>
    <col min="9746" max="9984" width="8.42578125" style="207"/>
    <col min="9985" max="9985" width="10" style="207" bestFit="1" customWidth="1"/>
    <col min="9986" max="9986" width="44.28515625" style="207" bestFit="1" customWidth="1"/>
    <col min="9987" max="9987" width="10.42578125" style="207" bestFit="1" customWidth="1"/>
    <col min="9988" max="9988" width="10.42578125" style="207" customWidth="1"/>
    <col min="9989" max="9989" width="9.7109375" style="207" bestFit="1" customWidth="1"/>
    <col min="9990" max="9991" width="9.5703125" style="207" bestFit="1" customWidth="1"/>
    <col min="9992" max="9992" width="10.42578125" style="207" bestFit="1" customWidth="1"/>
    <col min="9993" max="9993" width="4.5703125" style="207" customWidth="1"/>
    <col min="9994" max="9994" width="1.85546875" style="207" customWidth="1"/>
    <col min="9995" max="9995" width="7" style="207" bestFit="1" customWidth="1"/>
    <col min="9996" max="9996" width="6.28515625" style="207" customWidth="1"/>
    <col min="9997" max="9997" width="20.42578125" style="207" customWidth="1"/>
    <col min="9998" max="9998" width="6.42578125" style="207" bestFit="1" customWidth="1"/>
    <col min="9999" max="10000" width="8.42578125" style="207"/>
    <col min="10001" max="10001" width="3.28515625" style="207" customWidth="1"/>
    <col min="10002" max="10240" width="8.42578125" style="207"/>
    <col min="10241" max="10241" width="10" style="207" bestFit="1" customWidth="1"/>
    <col min="10242" max="10242" width="44.28515625" style="207" bestFit="1" customWidth="1"/>
    <col min="10243" max="10243" width="10.42578125" style="207" bestFit="1" customWidth="1"/>
    <col min="10244" max="10244" width="10.42578125" style="207" customWidth="1"/>
    <col min="10245" max="10245" width="9.7109375" style="207" bestFit="1" customWidth="1"/>
    <col min="10246" max="10247" width="9.5703125" style="207" bestFit="1" customWidth="1"/>
    <col min="10248" max="10248" width="10.42578125" style="207" bestFit="1" customWidth="1"/>
    <col min="10249" max="10249" width="4.5703125" style="207" customWidth="1"/>
    <col min="10250" max="10250" width="1.85546875" style="207" customWidth="1"/>
    <col min="10251" max="10251" width="7" style="207" bestFit="1" customWidth="1"/>
    <col min="10252" max="10252" width="6.28515625" style="207" customWidth="1"/>
    <col min="10253" max="10253" width="20.42578125" style="207" customWidth="1"/>
    <col min="10254" max="10254" width="6.42578125" style="207" bestFit="1" customWidth="1"/>
    <col min="10255" max="10256" width="8.42578125" style="207"/>
    <col min="10257" max="10257" width="3.28515625" style="207" customWidth="1"/>
    <col min="10258" max="10496" width="8.42578125" style="207"/>
    <col min="10497" max="10497" width="10" style="207" bestFit="1" customWidth="1"/>
    <col min="10498" max="10498" width="44.28515625" style="207" bestFit="1" customWidth="1"/>
    <col min="10499" max="10499" width="10.42578125" style="207" bestFit="1" customWidth="1"/>
    <col min="10500" max="10500" width="10.42578125" style="207" customWidth="1"/>
    <col min="10501" max="10501" width="9.7109375" style="207" bestFit="1" customWidth="1"/>
    <col min="10502" max="10503" width="9.5703125" style="207" bestFit="1" customWidth="1"/>
    <col min="10504" max="10504" width="10.42578125" style="207" bestFit="1" customWidth="1"/>
    <col min="10505" max="10505" width="4.5703125" style="207" customWidth="1"/>
    <col min="10506" max="10506" width="1.85546875" style="207" customWidth="1"/>
    <col min="10507" max="10507" width="7" style="207" bestFit="1" customWidth="1"/>
    <col min="10508" max="10508" width="6.28515625" style="207" customWidth="1"/>
    <col min="10509" max="10509" width="20.42578125" style="207" customWidth="1"/>
    <col min="10510" max="10510" width="6.42578125" style="207" bestFit="1" customWidth="1"/>
    <col min="10511" max="10512" width="8.42578125" style="207"/>
    <col min="10513" max="10513" width="3.28515625" style="207" customWidth="1"/>
    <col min="10514" max="10752" width="8.42578125" style="207"/>
    <col min="10753" max="10753" width="10" style="207" bestFit="1" customWidth="1"/>
    <col min="10754" max="10754" width="44.28515625" style="207" bestFit="1" customWidth="1"/>
    <col min="10755" max="10755" width="10.42578125" style="207" bestFit="1" customWidth="1"/>
    <col min="10756" max="10756" width="10.42578125" style="207" customWidth="1"/>
    <col min="10757" max="10757" width="9.7109375" style="207" bestFit="1" customWidth="1"/>
    <col min="10758" max="10759" width="9.5703125" style="207" bestFit="1" customWidth="1"/>
    <col min="10760" max="10760" width="10.42578125" style="207" bestFit="1" customWidth="1"/>
    <col min="10761" max="10761" width="4.5703125" style="207" customWidth="1"/>
    <col min="10762" max="10762" width="1.85546875" style="207" customWidth="1"/>
    <col min="10763" max="10763" width="7" style="207" bestFit="1" customWidth="1"/>
    <col min="10764" max="10764" width="6.28515625" style="207" customWidth="1"/>
    <col min="10765" max="10765" width="20.42578125" style="207" customWidth="1"/>
    <col min="10766" max="10766" width="6.42578125" style="207" bestFit="1" customWidth="1"/>
    <col min="10767" max="10768" width="8.42578125" style="207"/>
    <col min="10769" max="10769" width="3.28515625" style="207" customWidth="1"/>
    <col min="10770" max="11008" width="8.42578125" style="207"/>
    <col min="11009" max="11009" width="10" style="207" bestFit="1" customWidth="1"/>
    <col min="11010" max="11010" width="44.28515625" style="207" bestFit="1" customWidth="1"/>
    <col min="11011" max="11011" width="10.42578125" style="207" bestFit="1" customWidth="1"/>
    <col min="11012" max="11012" width="10.42578125" style="207" customWidth="1"/>
    <col min="11013" max="11013" width="9.7109375" style="207" bestFit="1" customWidth="1"/>
    <col min="11014" max="11015" width="9.5703125" style="207" bestFit="1" customWidth="1"/>
    <col min="11016" max="11016" width="10.42578125" style="207" bestFit="1" customWidth="1"/>
    <col min="11017" max="11017" width="4.5703125" style="207" customWidth="1"/>
    <col min="11018" max="11018" width="1.85546875" style="207" customWidth="1"/>
    <col min="11019" max="11019" width="7" style="207" bestFit="1" customWidth="1"/>
    <col min="11020" max="11020" width="6.28515625" style="207" customWidth="1"/>
    <col min="11021" max="11021" width="20.42578125" style="207" customWidth="1"/>
    <col min="11022" max="11022" width="6.42578125" style="207" bestFit="1" customWidth="1"/>
    <col min="11023" max="11024" width="8.42578125" style="207"/>
    <col min="11025" max="11025" width="3.28515625" style="207" customWidth="1"/>
    <col min="11026" max="11264" width="8.42578125" style="207"/>
    <col min="11265" max="11265" width="10" style="207" bestFit="1" customWidth="1"/>
    <col min="11266" max="11266" width="44.28515625" style="207" bestFit="1" customWidth="1"/>
    <col min="11267" max="11267" width="10.42578125" style="207" bestFit="1" customWidth="1"/>
    <col min="11268" max="11268" width="10.42578125" style="207" customWidth="1"/>
    <col min="11269" max="11269" width="9.7109375" style="207" bestFit="1" customWidth="1"/>
    <col min="11270" max="11271" width="9.5703125" style="207" bestFit="1" customWidth="1"/>
    <col min="11272" max="11272" width="10.42578125" style="207" bestFit="1" customWidth="1"/>
    <col min="11273" max="11273" width="4.5703125" style="207" customWidth="1"/>
    <col min="11274" max="11274" width="1.85546875" style="207" customWidth="1"/>
    <col min="11275" max="11275" width="7" style="207" bestFit="1" customWidth="1"/>
    <col min="11276" max="11276" width="6.28515625" style="207" customWidth="1"/>
    <col min="11277" max="11277" width="20.42578125" style="207" customWidth="1"/>
    <col min="11278" max="11278" width="6.42578125" style="207" bestFit="1" customWidth="1"/>
    <col min="11279" max="11280" width="8.42578125" style="207"/>
    <col min="11281" max="11281" width="3.28515625" style="207" customWidth="1"/>
    <col min="11282" max="11520" width="8.42578125" style="207"/>
    <col min="11521" max="11521" width="10" style="207" bestFit="1" customWidth="1"/>
    <col min="11522" max="11522" width="44.28515625" style="207" bestFit="1" customWidth="1"/>
    <col min="11523" max="11523" width="10.42578125" style="207" bestFit="1" customWidth="1"/>
    <col min="11524" max="11524" width="10.42578125" style="207" customWidth="1"/>
    <col min="11525" max="11525" width="9.7109375" style="207" bestFit="1" customWidth="1"/>
    <col min="11526" max="11527" width="9.5703125" style="207" bestFit="1" customWidth="1"/>
    <col min="11528" max="11528" width="10.42578125" style="207" bestFit="1" customWidth="1"/>
    <col min="11529" max="11529" width="4.5703125" style="207" customWidth="1"/>
    <col min="11530" max="11530" width="1.85546875" style="207" customWidth="1"/>
    <col min="11531" max="11531" width="7" style="207" bestFit="1" customWidth="1"/>
    <col min="11532" max="11532" width="6.28515625" style="207" customWidth="1"/>
    <col min="11533" max="11533" width="20.42578125" style="207" customWidth="1"/>
    <col min="11534" max="11534" width="6.42578125" style="207" bestFit="1" customWidth="1"/>
    <col min="11535" max="11536" width="8.42578125" style="207"/>
    <col min="11537" max="11537" width="3.28515625" style="207" customWidth="1"/>
    <col min="11538" max="11776" width="8.42578125" style="207"/>
    <col min="11777" max="11777" width="10" style="207" bestFit="1" customWidth="1"/>
    <col min="11778" max="11778" width="44.28515625" style="207" bestFit="1" customWidth="1"/>
    <col min="11779" max="11779" width="10.42578125" style="207" bestFit="1" customWidth="1"/>
    <col min="11780" max="11780" width="10.42578125" style="207" customWidth="1"/>
    <col min="11781" max="11781" width="9.7109375" style="207" bestFit="1" customWidth="1"/>
    <col min="11782" max="11783" width="9.5703125" style="207" bestFit="1" customWidth="1"/>
    <col min="11784" max="11784" width="10.42578125" style="207" bestFit="1" customWidth="1"/>
    <col min="11785" max="11785" width="4.5703125" style="207" customWidth="1"/>
    <col min="11786" max="11786" width="1.85546875" style="207" customWidth="1"/>
    <col min="11787" max="11787" width="7" style="207" bestFit="1" customWidth="1"/>
    <col min="11788" max="11788" width="6.28515625" style="207" customWidth="1"/>
    <col min="11789" max="11789" width="20.42578125" style="207" customWidth="1"/>
    <col min="11790" max="11790" width="6.42578125" style="207" bestFit="1" customWidth="1"/>
    <col min="11791" max="11792" width="8.42578125" style="207"/>
    <col min="11793" max="11793" width="3.28515625" style="207" customWidth="1"/>
    <col min="11794" max="12032" width="8.42578125" style="207"/>
    <col min="12033" max="12033" width="10" style="207" bestFit="1" customWidth="1"/>
    <col min="12034" max="12034" width="44.28515625" style="207" bestFit="1" customWidth="1"/>
    <col min="12035" max="12035" width="10.42578125" style="207" bestFit="1" customWidth="1"/>
    <col min="12036" max="12036" width="10.42578125" style="207" customWidth="1"/>
    <col min="12037" max="12037" width="9.7109375" style="207" bestFit="1" customWidth="1"/>
    <col min="12038" max="12039" width="9.5703125" style="207" bestFit="1" customWidth="1"/>
    <col min="12040" max="12040" width="10.42578125" style="207" bestFit="1" customWidth="1"/>
    <col min="12041" max="12041" width="4.5703125" style="207" customWidth="1"/>
    <col min="12042" max="12042" width="1.85546875" style="207" customWidth="1"/>
    <col min="12043" max="12043" width="7" style="207" bestFit="1" customWidth="1"/>
    <col min="12044" max="12044" width="6.28515625" style="207" customWidth="1"/>
    <col min="12045" max="12045" width="20.42578125" style="207" customWidth="1"/>
    <col min="12046" max="12046" width="6.42578125" style="207" bestFit="1" customWidth="1"/>
    <col min="12047" max="12048" width="8.42578125" style="207"/>
    <col min="12049" max="12049" width="3.28515625" style="207" customWidth="1"/>
    <col min="12050" max="12288" width="8.42578125" style="207"/>
    <col min="12289" max="12289" width="10" style="207" bestFit="1" customWidth="1"/>
    <col min="12290" max="12290" width="44.28515625" style="207" bestFit="1" customWidth="1"/>
    <col min="12291" max="12291" width="10.42578125" style="207" bestFit="1" customWidth="1"/>
    <col min="12292" max="12292" width="10.42578125" style="207" customWidth="1"/>
    <col min="12293" max="12293" width="9.7109375" style="207" bestFit="1" customWidth="1"/>
    <col min="12294" max="12295" width="9.5703125" style="207" bestFit="1" customWidth="1"/>
    <col min="12296" max="12296" width="10.42578125" style="207" bestFit="1" customWidth="1"/>
    <col min="12297" max="12297" width="4.5703125" style="207" customWidth="1"/>
    <col min="12298" max="12298" width="1.85546875" style="207" customWidth="1"/>
    <col min="12299" max="12299" width="7" style="207" bestFit="1" customWidth="1"/>
    <col min="12300" max="12300" width="6.28515625" style="207" customWidth="1"/>
    <col min="12301" max="12301" width="20.42578125" style="207" customWidth="1"/>
    <col min="12302" max="12302" width="6.42578125" style="207" bestFit="1" customWidth="1"/>
    <col min="12303" max="12304" width="8.42578125" style="207"/>
    <col min="12305" max="12305" width="3.28515625" style="207" customWidth="1"/>
    <col min="12306" max="12544" width="8.42578125" style="207"/>
    <col min="12545" max="12545" width="10" style="207" bestFit="1" customWidth="1"/>
    <col min="12546" max="12546" width="44.28515625" style="207" bestFit="1" customWidth="1"/>
    <col min="12547" max="12547" width="10.42578125" style="207" bestFit="1" customWidth="1"/>
    <col min="12548" max="12548" width="10.42578125" style="207" customWidth="1"/>
    <col min="12549" max="12549" width="9.7109375" style="207" bestFit="1" customWidth="1"/>
    <col min="12550" max="12551" width="9.5703125" style="207" bestFit="1" customWidth="1"/>
    <col min="12552" max="12552" width="10.42578125" style="207" bestFit="1" customWidth="1"/>
    <col min="12553" max="12553" width="4.5703125" style="207" customWidth="1"/>
    <col min="12554" max="12554" width="1.85546875" style="207" customWidth="1"/>
    <col min="12555" max="12555" width="7" style="207" bestFit="1" customWidth="1"/>
    <col min="12556" max="12556" width="6.28515625" style="207" customWidth="1"/>
    <col min="12557" max="12557" width="20.42578125" style="207" customWidth="1"/>
    <col min="12558" max="12558" width="6.42578125" style="207" bestFit="1" customWidth="1"/>
    <col min="12559" max="12560" width="8.42578125" style="207"/>
    <col min="12561" max="12561" width="3.28515625" style="207" customWidth="1"/>
    <col min="12562" max="12800" width="8.42578125" style="207"/>
    <col min="12801" max="12801" width="10" style="207" bestFit="1" customWidth="1"/>
    <col min="12802" max="12802" width="44.28515625" style="207" bestFit="1" customWidth="1"/>
    <col min="12803" max="12803" width="10.42578125" style="207" bestFit="1" customWidth="1"/>
    <col min="12804" max="12804" width="10.42578125" style="207" customWidth="1"/>
    <col min="12805" max="12805" width="9.7109375" style="207" bestFit="1" customWidth="1"/>
    <col min="12806" max="12807" width="9.5703125" style="207" bestFit="1" customWidth="1"/>
    <col min="12808" max="12808" width="10.42578125" style="207" bestFit="1" customWidth="1"/>
    <col min="12809" max="12809" width="4.5703125" style="207" customWidth="1"/>
    <col min="12810" max="12810" width="1.85546875" style="207" customWidth="1"/>
    <col min="12811" max="12811" width="7" style="207" bestFit="1" customWidth="1"/>
    <col min="12812" max="12812" width="6.28515625" style="207" customWidth="1"/>
    <col min="12813" max="12813" width="20.42578125" style="207" customWidth="1"/>
    <col min="12814" max="12814" width="6.42578125" style="207" bestFit="1" customWidth="1"/>
    <col min="12815" max="12816" width="8.42578125" style="207"/>
    <col min="12817" max="12817" width="3.28515625" style="207" customWidth="1"/>
    <col min="12818" max="13056" width="8.42578125" style="207"/>
    <col min="13057" max="13057" width="10" style="207" bestFit="1" customWidth="1"/>
    <col min="13058" max="13058" width="44.28515625" style="207" bestFit="1" customWidth="1"/>
    <col min="13059" max="13059" width="10.42578125" style="207" bestFit="1" customWidth="1"/>
    <col min="13060" max="13060" width="10.42578125" style="207" customWidth="1"/>
    <col min="13061" max="13061" width="9.7109375" style="207" bestFit="1" customWidth="1"/>
    <col min="13062" max="13063" width="9.5703125" style="207" bestFit="1" customWidth="1"/>
    <col min="13064" max="13064" width="10.42578125" style="207" bestFit="1" customWidth="1"/>
    <col min="13065" max="13065" width="4.5703125" style="207" customWidth="1"/>
    <col min="13066" max="13066" width="1.85546875" style="207" customWidth="1"/>
    <col min="13067" max="13067" width="7" style="207" bestFit="1" customWidth="1"/>
    <col min="13068" max="13068" width="6.28515625" style="207" customWidth="1"/>
    <col min="13069" max="13069" width="20.42578125" style="207" customWidth="1"/>
    <col min="13070" max="13070" width="6.42578125" style="207" bestFit="1" customWidth="1"/>
    <col min="13071" max="13072" width="8.42578125" style="207"/>
    <col min="13073" max="13073" width="3.28515625" style="207" customWidth="1"/>
    <col min="13074" max="13312" width="8.42578125" style="207"/>
    <col min="13313" max="13313" width="10" style="207" bestFit="1" customWidth="1"/>
    <col min="13314" max="13314" width="44.28515625" style="207" bestFit="1" customWidth="1"/>
    <col min="13315" max="13315" width="10.42578125" style="207" bestFit="1" customWidth="1"/>
    <col min="13316" max="13316" width="10.42578125" style="207" customWidth="1"/>
    <col min="13317" max="13317" width="9.7109375" style="207" bestFit="1" customWidth="1"/>
    <col min="13318" max="13319" width="9.5703125" style="207" bestFit="1" customWidth="1"/>
    <col min="13320" max="13320" width="10.42578125" style="207" bestFit="1" customWidth="1"/>
    <col min="13321" max="13321" width="4.5703125" style="207" customWidth="1"/>
    <col min="13322" max="13322" width="1.85546875" style="207" customWidth="1"/>
    <col min="13323" max="13323" width="7" style="207" bestFit="1" customWidth="1"/>
    <col min="13324" max="13324" width="6.28515625" style="207" customWidth="1"/>
    <col min="13325" max="13325" width="20.42578125" style="207" customWidth="1"/>
    <col min="13326" max="13326" width="6.42578125" style="207" bestFit="1" customWidth="1"/>
    <col min="13327" max="13328" width="8.42578125" style="207"/>
    <col min="13329" max="13329" width="3.28515625" style="207" customWidth="1"/>
    <col min="13330" max="13568" width="8.42578125" style="207"/>
    <col min="13569" max="13569" width="10" style="207" bestFit="1" customWidth="1"/>
    <col min="13570" max="13570" width="44.28515625" style="207" bestFit="1" customWidth="1"/>
    <col min="13571" max="13571" width="10.42578125" style="207" bestFit="1" customWidth="1"/>
    <col min="13572" max="13572" width="10.42578125" style="207" customWidth="1"/>
    <col min="13573" max="13573" width="9.7109375" style="207" bestFit="1" customWidth="1"/>
    <col min="13574" max="13575" width="9.5703125" style="207" bestFit="1" customWidth="1"/>
    <col min="13576" max="13576" width="10.42578125" style="207" bestFit="1" customWidth="1"/>
    <col min="13577" max="13577" width="4.5703125" style="207" customWidth="1"/>
    <col min="13578" max="13578" width="1.85546875" style="207" customWidth="1"/>
    <col min="13579" max="13579" width="7" style="207" bestFit="1" customWidth="1"/>
    <col min="13580" max="13580" width="6.28515625" style="207" customWidth="1"/>
    <col min="13581" max="13581" width="20.42578125" style="207" customWidth="1"/>
    <col min="13582" max="13582" width="6.42578125" style="207" bestFit="1" customWidth="1"/>
    <col min="13583" max="13584" width="8.42578125" style="207"/>
    <col min="13585" max="13585" width="3.28515625" style="207" customWidth="1"/>
    <col min="13586" max="13824" width="8.42578125" style="207"/>
    <col min="13825" max="13825" width="10" style="207" bestFit="1" customWidth="1"/>
    <col min="13826" max="13826" width="44.28515625" style="207" bestFit="1" customWidth="1"/>
    <col min="13827" max="13827" width="10.42578125" style="207" bestFit="1" customWidth="1"/>
    <col min="13828" max="13828" width="10.42578125" style="207" customWidth="1"/>
    <col min="13829" max="13829" width="9.7109375" style="207" bestFit="1" customWidth="1"/>
    <col min="13830" max="13831" width="9.5703125" style="207" bestFit="1" customWidth="1"/>
    <col min="13832" max="13832" width="10.42578125" style="207" bestFit="1" customWidth="1"/>
    <col min="13833" max="13833" width="4.5703125" style="207" customWidth="1"/>
    <col min="13834" max="13834" width="1.85546875" style="207" customWidth="1"/>
    <col min="13835" max="13835" width="7" style="207" bestFit="1" customWidth="1"/>
    <col min="13836" max="13836" width="6.28515625" style="207" customWidth="1"/>
    <col min="13837" max="13837" width="20.42578125" style="207" customWidth="1"/>
    <col min="13838" max="13838" width="6.42578125" style="207" bestFit="1" customWidth="1"/>
    <col min="13839" max="13840" width="8.42578125" style="207"/>
    <col min="13841" max="13841" width="3.28515625" style="207" customWidth="1"/>
    <col min="13842" max="14080" width="8.42578125" style="207"/>
    <col min="14081" max="14081" width="10" style="207" bestFit="1" customWidth="1"/>
    <col min="14082" max="14082" width="44.28515625" style="207" bestFit="1" customWidth="1"/>
    <col min="14083" max="14083" width="10.42578125" style="207" bestFit="1" customWidth="1"/>
    <col min="14084" max="14084" width="10.42578125" style="207" customWidth="1"/>
    <col min="14085" max="14085" width="9.7109375" style="207" bestFit="1" customWidth="1"/>
    <col min="14086" max="14087" width="9.5703125" style="207" bestFit="1" customWidth="1"/>
    <col min="14088" max="14088" width="10.42578125" style="207" bestFit="1" customWidth="1"/>
    <col min="14089" max="14089" width="4.5703125" style="207" customWidth="1"/>
    <col min="14090" max="14090" width="1.85546875" style="207" customWidth="1"/>
    <col min="14091" max="14091" width="7" style="207" bestFit="1" customWidth="1"/>
    <col min="14092" max="14092" width="6.28515625" style="207" customWidth="1"/>
    <col min="14093" max="14093" width="20.42578125" style="207" customWidth="1"/>
    <col min="14094" max="14094" width="6.42578125" style="207" bestFit="1" customWidth="1"/>
    <col min="14095" max="14096" width="8.42578125" style="207"/>
    <col min="14097" max="14097" width="3.28515625" style="207" customWidth="1"/>
    <col min="14098" max="14336" width="8.42578125" style="207"/>
    <col min="14337" max="14337" width="10" style="207" bestFit="1" customWidth="1"/>
    <col min="14338" max="14338" width="44.28515625" style="207" bestFit="1" customWidth="1"/>
    <col min="14339" max="14339" width="10.42578125" style="207" bestFit="1" customWidth="1"/>
    <col min="14340" max="14340" width="10.42578125" style="207" customWidth="1"/>
    <col min="14341" max="14341" width="9.7109375" style="207" bestFit="1" customWidth="1"/>
    <col min="14342" max="14343" width="9.5703125" style="207" bestFit="1" customWidth="1"/>
    <col min="14344" max="14344" width="10.42578125" style="207" bestFit="1" customWidth="1"/>
    <col min="14345" max="14345" width="4.5703125" style="207" customWidth="1"/>
    <col min="14346" max="14346" width="1.85546875" style="207" customWidth="1"/>
    <col min="14347" max="14347" width="7" style="207" bestFit="1" customWidth="1"/>
    <col min="14348" max="14348" width="6.28515625" style="207" customWidth="1"/>
    <col min="14349" max="14349" width="20.42578125" style="207" customWidth="1"/>
    <col min="14350" max="14350" width="6.42578125" style="207" bestFit="1" customWidth="1"/>
    <col min="14351" max="14352" width="8.42578125" style="207"/>
    <col min="14353" max="14353" width="3.28515625" style="207" customWidth="1"/>
    <col min="14354" max="14592" width="8.42578125" style="207"/>
    <col min="14593" max="14593" width="10" style="207" bestFit="1" customWidth="1"/>
    <col min="14594" max="14594" width="44.28515625" style="207" bestFit="1" customWidth="1"/>
    <col min="14595" max="14595" width="10.42578125" style="207" bestFit="1" customWidth="1"/>
    <col min="14596" max="14596" width="10.42578125" style="207" customWidth="1"/>
    <col min="14597" max="14597" width="9.7109375" style="207" bestFit="1" customWidth="1"/>
    <col min="14598" max="14599" width="9.5703125" style="207" bestFit="1" customWidth="1"/>
    <col min="14600" max="14600" width="10.42578125" style="207" bestFit="1" customWidth="1"/>
    <col min="14601" max="14601" width="4.5703125" style="207" customWidth="1"/>
    <col min="14602" max="14602" width="1.85546875" style="207" customWidth="1"/>
    <col min="14603" max="14603" width="7" style="207" bestFit="1" customWidth="1"/>
    <col min="14604" max="14604" width="6.28515625" style="207" customWidth="1"/>
    <col min="14605" max="14605" width="20.42578125" style="207" customWidth="1"/>
    <col min="14606" max="14606" width="6.42578125" style="207" bestFit="1" customWidth="1"/>
    <col min="14607" max="14608" width="8.42578125" style="207"/>
    <col min="14609" max="14609" width="3.28515625" style="207" customWidth="1"/>
    <col min="14610" max="14848" width="8.42578125" style="207"/>
    <col min="14849" max="14849" width="10" style="207" bestFit="1" customWidth="1"/>
    <col min="14850" max="14850" width="44.28515625" style="207" bestFit="1" customWidth="1"/>
    <col min="14851" max="14851" width="10.42578125" style="207" bestFit="1" customWidth="1"/>
    <col min="14852" max="14852" width="10.42578125" style="207" customWidth="1"/>
    <col min="14853" max="14853" width="9.7109375" style="207" bestFit="1" customWidth="1"/>
    <col min="14854" max="14855" width="9.5703125" style="207" bestFit="1" customWidth="1"/>
    <col min="14856" max="14856" width="10.42578125" style="207" bestFit="1" customWidth="1"/>
    <col min="14857" max="14857" width="4.5703125" style="207" customWidth="1"/>
    <col min="14858" max="14858" width="1.85546875" style="207" customWidth="1"/>
    <col min="14859" max="14859" width="7" style="207" bestFit="1" customWidth="1"/>
    <col min="14860" max="14860" width="6.28515625" style="207" customWidth="1"/>
    <col min="14861" max="14861" width="20.42578125" style="207" customWidth="1"/>
    <col min="14862" max="14862" width="6.42578125" style="207" bestFit="1" customWidth="1"/>
    <col min="14863" max="14864" width="8.42578125" style="207"/>
    <col min="14865" max="14865" width="3.28515625" style="207" customWidth="1"/>
    <col min="14866" max="15104" width="8.42578125" style="207"/>
    <col min="15105" max="15105" width="10" style="207" bestFit="1" customWidth="1"/>
    <col min="15106" max="15106" width="44.28515625" style="207" bestFit="1" customWidth="1"/>
    <col min="15107" max="15107" width="10.42578125" style="207" bestFit="1" customWidth="1"/>
    <col min="15108" max="15108" width="10.42578125" style="207" customWidth="1"/>
    <col min="15109" max="15109" width="9.7109375" style="207" bestFit="1" customWidth="1"/>
    <col min="15110" max="15111" width="9.5703125" style="207" bestFit="1" customWidth="1"/>
    <col min="15112" max="15112" width="10.42578125" style="207" bestFit="1" customWidth="1"/>
    <col min="15113" max="15113" width="4.5703125" style="207" customWidth="1"/>
    <col min="15114" max="15114" width="1.85546875" style="207" customWidth="1"/>
    <col min="15115" max="15115" width="7" style="207" bestFit="1" customWidth="1"/>
    <col min="15116" max="15116" width="6.28515625" style="207" customWidth="1"/>
    <col min="15117" max="15117" width="20.42578125" style="207" customWidth="1"/>
    <col min="15118" max="15118" width="6.42578125" style="207" bestFit="1" customWidth="1"/>
    <col min="15119" max="15120" width="8.42578125" style="207"/>
    <col min="15121" max="15121" width="3.28515625" style="207" customWidth="1"/>
    <col min="15122" max="15360" width="8.42578125" style="207"/>
    <col min="15361" max="15361" width="10" style="207" bestFit="1" customWidth="1"/>
    <col min="15362" max="15362" width="44.28515625" style="207" bestFit="1" customWidth="1"/>
    <col min="15363" max="15363" width="10.42578125" style="207" bestFit="1" customWidth="1"/>
    <col min="15364" max="15364" width="10.42578125" style="207" customWidth="1"/>
    <col min="15365" max="15365" width="9.7109375" style="207" bestFit="1" customWidth="1"/>
    <col min="15366" max="15367" width="9.5703125" style="207" bestFit="1" customWidth="1"/>
    <col min="15368" max="15368" width="10.42578125" style="207" bestFit="1" customWidth="1"/>
    <col min="15369" max="15369" width="4.5703125" style="207" customWidth="1"/>
    <col min="15370" max="15370" width="1.85546875" style="207" customWidth="1"/>
    <col min="15371" max="15371" width="7" style="207" bestFit="1" customWidth="1"/>
    <col min="15372" max="15372" width="6.28515625" style="207" customWidth="1"/>
    <col min="15373" max="15373" width="20.42578125" style="207" customWidth="1"/>
    <col min="15374" max="15374" width="6.42578125" style="207" bestFit="1" customWidth="1"/>
    <col min="15375" max="15376" width="8.42578125" style="207"/>
    <col min="15377" max="15377" width="3.28515625" style="207" customWidth="1"/>
    <col min="15378" max="15616" width="8.42578125" style="207"/>
    <col min="15617" max="15617" width="10" style="207" bestFit="1" customWidth="1"/>
    <col min="15618" max="15618" width="44.28515625" style="207" bestFit="1" customWidth="1"/>
    <col min="15619" max="15619" width="10.42578125" style="207" bestFit="1" customWidth="1"/>
    <col min="15620" max="15620" width="10.42578125" style="207" customWidth="1"/>
    <col min="15621" max="15621" width="9.7109375" style="207" bestFit="1" customWidth="1"/>
    <col min="15622" max="15623" width="9.5703125" style="207" bestFit="1" customWidth="1"/>
    <col min="15624" max="15624" width="10.42578125" style="207" bestFit="1" customWidth="1"/>
    <col min="15625" max="15625" width="4.5703125" style="207" customWidth="1"/>
    <col min="15626" max="15626" width="1.85546875" style="207" customWidth="1"/>
    <col min="15627" max="15627" width="7" style="207" bestFit="1" customWidth="1"/>
    <col min="15628" max="15628" width="6.28515625" style="207" customWidth="1"/>
    <col min="15629" max="15629" width="20.42578125" style="207" customWidth="1"/>
    <col min="15630" max="15630" width="6.42578125" style="207" bestFit="1" customWidth="1"/>
    <col min="15631" max="15632" width="8.42578125" style="207"/>
    <col min="15633" max="15633" width="3.28515625" style="207" customWidth="1"/>
    <col min="15634" max="15872" width="8.42578125" style="207"/>
    <col min="15873" max="15873" width="10" style="207" bestFit="1" customWidth="1"/>
    <col min="15874" max="15874" width="44.28515625" style="207" bestFit="1" customWidth="1"/>
    <col min="15875" max="15875" width="10.42578125" style="207" bestFit="1" customWidth="1"/>
    <col min="15876" max="15876" width="10.42578125" style="207" customWidth="1"/>
    <col min="15877" max="15877" width="9.7109375" style="207" bestFit="1" customWidth="1"/>
    <col min="15878" max="15879" width="9.5703125" style="207" bestFit="1" customWidth="1"/>
    <col min="15880" max="15880" width="10.42578125" style="207" bestFit="1" customWidth="1"/>
    <col min="15881" max="15881" width="4.5703125" style="207" customWidth="1"/>
    <col min="15882" max="15882" width="1.85546875" style="207" customWidth="1"/>
    <col min="15883" max="15883" width="7" style="207" bestFit="1" customWidth="1"/>
    <col min="15884" max="15884" width="6.28515625" style="207" customWidth="1"/>
    <col min="15885" max="15885" width="20.42578125" style="207" customWidth="1"/>
    <col min="15886" max="15886" width="6.42578125" style="207" bestFit="1" customWidth="1"/>
    <col min="15887" max="15888" width="8.42578125" style="207"/>
    <col min="15889" max="15889" width="3.28515625" style="207" customWidth="1"/>
    <col min="15890" max="16128" width="8.42578125" style="207"/>
    <col min="16129" max="16129" width="10" style="207" bestFit="1" customWidth="1"/>
    <col min="16130" max="16130" width="44.28515625" style="207" bestFit="1" customWidth="1"/>
    <col min="16131" max="16131" width="10.42578125" style="207" bestFit="1" customWidth="1"/>
    <col min="16132" max="16132" width="10.42578125" style="207" customWidth="1"/>
    <col min="16133" max="16133" width="9.7109375" style="207" bestFit="1" customWidth="1"/>
    <col min="16134" max="16135" width="9.5703125" style="207" bestFit="1" customWidth="1"/>
    <col min="16136" max="16136" width="10.42578125" style="207" bestFit="1" customWidth="1"/>
    <col min="16137" max="16137" width="4.5703125" style="207" customWidth="1"/>
    <col min="16138" max="16138" width="1.85546875" style="207" customWidth="1"/>
    <col min="16139" max="16139" width="7" style="207" bestFit="1" customWidth="1"/>
    <col min="16140" max="16140" width="6.28515625" style="207" customWidth="1"/>
    <col min="16141" max="16141" width="20.42578125" style="207" customWidth="1"/>
    <col min="16142" max="16142" width="6.42578125" style="207" bestFit="1" customWidth="1"/>
    <col min="16143" max="16144" width="8.42578125" style="207"/>
    <col min="16145" max="16145" width="3.28515625" style="207" customWidth="1"/>
    <col min="16146" max="16384" width="8.42578125" style="207"/>
  </cols>
  <sheetData>
    <row r="1" spans="1:10" ht="27.75" customHeight="1" x14ac:dyDescent="0.25">
      <c r="A1" s="202"/>
      <c r="B1" s="202"/>
      <c r="C1" s="202"/>
      <c r="D1" s="202"/>
      <c r="E1" s="203" t="s">
        <v>157</v>
      </c>
      <c r="F1" s="204" t="s">
        <v>158</v>
      </c>
      <c r="G1" s="204" t="s">
        <v>159</v>
      </c>
      <c r="H1" s="204" t="s">
        <v>160</v>
      </c>
      <c r="I1" s="205"/>
    </row>
    <row r="2" spans="1:10" ht="30.75" customHeight="1" x14ac:dyDescent="0.25">
      <c r="A2" s="202"/>
      <c r="B2" s="202"/>
      <c r="C2" s="202"/>
      <c r="D2" s="202"/>
      <c r="E2" s="208">
        <f>IFERROR(O62,"")</f>
        <v>12630.925172102658</v>
      </c>
      <c r="F2" s="208">
        <f>IFERROR(H53,"")</f>
        <v>10431.959999999999</v>
      </c>
      <c r="G2" s="208">
        <f>IFERROR(H54,"")</f>
        <v>132.08038095238098</v>
      </c>
      <c r="H2" s="208">
        <f>IFERROR(H56,"")</f>
        <v>1128.7243185714287</v>
      </c>
      <c r="I2" s="209"/>
    </row>
    <row r="3" spans="1:10" ht="15" customHeight="1" x14ac:dyDescent="0.25">
      <c r="A3" s="202"/>
      <c r="B3" s="202"/>
      <c r="C3" s="202"/>
      <c r="D3" s="202"/>
      <c r="E3" s="202"/>
      <c r="F3" s="210"/>
      <c r="G3" s="210"/>
      <c r="H3" s="210"/>
      <c r="I3" s="210"/>
    </row>
    <row r="4" spans="1:10" ht="24.75" customHeight="1" thickBot="1" x14ac:dyDescent="0.3">
      <c r="A4" s="880"/>
      <c r="B4" s="880"/>
      <c r="C4" s="880"/>
      <c r="D4" s="880"/>
      <c r="E4" s="880"/>
      <c r="F4" s="880"/>
      <c r="G4" s="880"/>
      <c r="H4" s="880"/>
      <c r="I4" s="211"/>
    </row>
    <row r="5" spans="1:10" ht="19.5" customHeight="1" thickBot="1" x14ac:dyDescent="0.3">
      <c r="A5" s="881" t="s">
        <v>161</v>
      </c>
      <c r="B5" s="882"/>
      <c r="C5" s="882"/>
      <c r="D5" s="882"/>
      <c r="E5" s="882"/>
      <c r="F5" s="882"/>
      <c r="G5" s="882"/>
      <c r="H5" s="883"/>
      <c r="I5" s="212"/>
    </row>
    <row r="6" spans="1:10" ht="19.5" thickBot="1" x14ac:dyDescent="0.3">
      <c r="A6" s="212"/>
      <c r="B6" s="212"/>
      <c r="C6" s="212"/>
      <c r="D6" s="212"/>
      <c r="E6" s="212"/>
      <c r="F6" s="884" t="s">
        <v>162</v>
      </c>
      <c r="G6" s="884"/>
      <c r="H6" s="213">
        <f ca="1">TODAY()</f>
        <v>46055</v>
      </c>
      <c r="I6" s="213"/>
    </row>
    <row r="7" spans="1:10" ht="26.25" thickBot="1" x14ac:dyDescent="0.3">
      <c r="A7" s="214" t="s">
        <v>163</v>
      </c>
      <c r="B7" s="215" t="s">
        <v>164</v>
      </c>
      <c r="C7" s="215" t="s">
        <v>163</v>
      </c>
      <c r="D7" s="216" t="s">
        <v>165</v>
      </c>
      <c r="E7" s="216" t="s">
        <v>166</v>
      </c>
      <c r="F7" s="216" t="s">
        <v>167</v>
      </c>
      <c r="G7" s="216" t="s">
        <v>168</v>
      </c>
      <c r="H7" s="217" t="s">
        <v>169</v>
      </c>
      <c r="I7" s="218"/>
    </row>
    <row r="8" spans="1:10" ht="13.5" x14ac:dyDescent="0.25">
      <c r="A8" s="219">
        <v>1725</v>
      </c>
      <c r="B8" s="207" t="str">
        <f>IFERROR(VLOOKUP(H8,'[1]Consolidado MP Planta'!$A$2:$M$823,3,0),"")</f>
        <v>MARGARINA BAKER TABLETA (CAJA: 25 K)</v>
      </c>
      <c r="C8" s="220">
        <f>+A8</f>
        <v>1725</v>
      </c>
      <c r="D8" s="221" t="str">
        <f>IFERROR(VLOOKUP(H8,'[1]Consolidado MP Planta'!$A$2:$M$823,13,0),"")</f>
        <v>Gramos</v>
      </c>
      <c r="E8" s="221">
        <v>1.32</v>
      </c>
      <c r="F8" s="221">
        <f>IFERROR(C8*E8,"")</f>
        <v>2277</v>
      </c>
      <c r="G8" s="222">
        <f t="shared" ref="G8:G14" si="0">IFERROR(F8/$F$66,"")</f>
        <v>0.19726788602513787</v>
      </c>
      <c r="H8" s="223" t="s">
        <v>210</v>
      </c>
      <c r="I8" s="223"/>
      <c r="J8" s="224"/>
    </row>
    <row r="9" spans="1:10" ht="13.5" x14ac:dyDescent="0.25">
      <c r="A9" s="219">
        <v>22</v>
      </c>
      <c r="B9" s="207" t="str">
        <f>IFERROR(VLOOKUP(H9,'[1]Consolidado MP Planta'!$A$2:$M$823,3,0),"")</f>
        <v>VAINILLA OSCURA (UND: 3.78 L)</v>
      </c>
      <c r="C9" s="220">
        <f t="shared" ref="C9:C14" si="1">+A9</f>
        <v>22</v>
      </c>
      <c r="D9" s="221" t="str">
        <f>IFERROR(VLOOKUP(H9,'[1]Consolidado MP Planta'!$A$2:$M$823,13,0),"")</f>
        <v>Mililitros</v>
      </c>
      <c r="E9" s="221">
        <v>1.25</v>
      </c>
      <c r="F9" s="221">
        <f t="shared" ref="F9:F14" si="2">IFERROR(C9*E9,"")</f>
        <v>27.5</v>
      </c>
      <c r="G9" s="222">
        <f t="shared" si="0"/>
        <v>2.3824623916079454E-3</v>
      </c>
      <c r="H9" s="223" t="s">
        <v>211</v>
      </c>
      <c r="I9" s="223"/>
      <c r="J9" s="224"/>
    </row>
    <row r="10" spans="1:10" ht="13.5" x14ac:dyDescent="0.25">
      <c r="A10" s="219">
        <v>1650</v>
      </c>
      <c r="B10" s="207" t="s">
        <v>96</v>
      </c>
      <c r="C10" s="220">
        <f t="shared" si="1"/>
        <v>1650</v>
      </c>
      <c r="D10" s="221" t="str">
        <f>IFERROR(VLOOKUP(H10,'[1]Consolidado MP Planta'!$A$2:$M$823,13,0),"")</f>
        <v>Gramos</v>
      </c>
      <c r="E10" s="221">
        <v>2.27</v>
      </c>
      <c r="F10" s="221">
        <f t="shared" si="2"/>
        <v>3745.5</v>
      </c>
      <c r="G10" s="222">
        <f t="shared" si="0"/>
        <v>0.32449137773700215</v>
      </c>
      <c r="H10" s="223" t="s">
        <v>212</v>
      </c>
      <c r="I10" s="223"/>
      <c r="J10" s="224"/>
    </row>
    <row r="11" spans="1:10" ht="13.5" hidden="1" x14ac:dyDescent="0.25">
      <c r="A11" s="219"/>
      <c r="B11" s="207" t="str">
        <f>IFERROR(VLOOKUP(H11,'[1]Consolidado MP Planta'!$A$2:$M$823,3,0),"")</f>
        <v/>
      </c>
      <c r="C11" s="220">
        <f t="shared" si="1"/>
        <v>0</v>
      </c>
      <c r="D11" s="221" t="str">
        <f>IFERROR(VLOOKUP(H11,'[1]Consolidado MP Planta'!$A$2:$M$823,13,0),"")</f>
        <v/>
      </c>
      <c r="E11" s="221" t="str">
        <f>IFERROR(VLOOKUP(H11,'[1]Consolidado MP Planta'!$A$2:$M$823,12,0),"")</f>
        <v/>
      </c>
      <c r="F11" s="221" t="str">
        <f t="shared" si="2"/>
        <v/>
      </c>
      <c r="G11" s="222" t="str">
        <f t="shared" si="0"/>
        <v/>
      </c>
      <c r="H11" s="223"/>
      <c r="I11" s="223"/>
      <c r="J11" s="224"/>
    </row>
    <row r="12" spans="1:10" ht="13.5" hidden="1" x14ac:dyDescent="0.25">
      <c r="A12" s="219"/>
      <c r="B12" s="207" t="str">
        <f>IFERROR(VLOOKUP(H12,'[1]Consolidado MP Planta'!$A$2:$M$823,3,0),"")</f>
        <v/>
      </c>
      <c r="C12" s="220">
        <f t="shared" si="1"/>
        <v>0</v>
      </c>
      <c r="D12" s="221" t="str">
        <f>IFERROR(VLOOKUP(H12,'[1]Consolidado MP Planta'!$A$2:$M$823,13,0),"")</f>
        <v/>
      </c>
      <c r="E12" s="221" t="str">
        <f>IFERROR(VLOOKUP(H12,'[1]Consolidado MP Planta'!$A$2:$M$823,12,0),"")</f>
        <v/>
      </c>
      <c r="F12" s="221" t="str">
        <f t="shared" si="2"/>
        <v/>
      </c>
      <c r="G12" s="222" t="str">
        <f t="shared" si="0"/>
        <v/>
      </c>
      <c r="H12" s="223"/>
      <c r="I12" s="223"/>
      <c r="J12" s="224"/>
    </row>
    <row r="13" spans="1:10" ht="13.5" hidden="1" x14ac:dyDescent="0.25">
      <c r="A13" s="219"/>
      <c r="B13" s="207" t="str">
        <f>IFERROR(VLOOKUP(H13,'[1]Consolidado MP Planta'!$A$2:$M$823,3,0),"")</f>
        <v/>
      </c>
      <c r="C13" s="220">
        <f t="shared" si="1"/>
        <v>0</v>
      </c>
      <c r="D13" s="221" t="str">
        <f>IFERROR(VLOOKUP(H13,'[1]Consolidado MP Planta'!$A$2:$M$823,13,0),"")</f>
        <v/>
      </c>
      <c r="E13" s="221" t="str">
        <f>IFERROR(VLOOKUP(H13,'[1]Consolidado MP Planta'!$A$2:$M$823,12,0),"")</f>
        <v/>
      </c>
      <c r="F13" s="221" t="str">
        <f t="shared" si="2"/>
        <v/>
      </c>
      <c r="G13" s="222" t="str">
        <f t="shared" si="0"/>
        <v/>
      </c>
      <c r="H13" s="223"/>
      <c r="I13" s="223"/>
      <c r="J13" s="224"/>
    </row>
    <row r="14" spans="1:10" ht="13.5" hidden="1" x14ac:dyDescent="0.25">
      <c r="A14" s="219"/>
      <c r="B14" s="207" t="str">
        <f>IFERROR(VLOOKUP(H14,'[1]Consolidado MP Planta'!$A$2:$M$823,3,0),"")</f>
        <v/>
      </c>
      <c r="C14" s="220">
        <f t="shared" si="1"/>
        <v>0</v>
      </c>
      <c r="D14" s="221" t="str">
        <f>IFERROR(VLOOKUP(H14,'[1]Consolidado MP Planta'!$A$2:$M$823,13,0),"")</f>
        <v/>
      </c>
      <c r="E14" s="221" t="str">
        <f>IFERROR(VLOOKUP(H14,'[1]Consolidado MP Planta'!$A$2:$M$823,12,0),"")</f>
        <v/>
      </c>
      <c r="F14" s="221" t="str">
        <f t="shared" si="2"/>
        <v/>
      </c>
      <c r="G14" s="222" t="str">
        <f t="shared" si="0"/>
        <v/>
      </c>
      <c r="H14" s="223"/>
      <c r="I14" s="223"/>
      <c r="J14" s="224"/>
    </row>
    <row r="15" spans="1:10" ht="14.25" thickBot="1" x14ac:dyDescent="0.3">
      <c r="A15" s="219"/>
      <c r="B15" s="207" t="str">
        <f>IFERROR(VLOOKUP(H15,'[2]ARTICULOS MP PLANTA'!$A$2:$G$589,2,0),"")</f>
        <v/>
      </c>
      <c r="C15" s="220"/>
      <c r="D15" s="221"/>
      <c r="E15" s="221"/>
      <c r="F15" s="221"/>
      <c r="G15" s="222"/>
      <c r="H15" s="223"/>
      <c r="I15" s="223"/>
      <c r="J15" s="224"/>
    </row>
    <row r="16" spans="1:10" ht="26.25" thickBot="1" x14ac:dyDescent="0.3">
      <c r="A16" s="214" t="s">
        <v>163</v>
      </c>
      <c r="B16" s="215" t="s">
        <v>170</v>
      </c>
      <c r="C16" s="215" t="s">
        <v>163</v>
      </c>
      <c r="D16" s="216" t="s">
        <v>165</v>
      </c>
      <c r="E16" s="216" t="s">
        <v>166</v>
      </c>
      <c r="F16" s="216" t="s">
        <v>167</v>
      </c>
      <c r="G16" s="216" t="s">
        <v>168</v>
      </c>
      <c r="H16" s="217" t="s">
        <v>169</v>
      </c>
      <c r="I16" s="218"/>
      <c r="J16" s="224"/>
    </row>
    <row r="17" spans="1:13" ht="13.5" x14ac:dyDescent="0.25">
      <c r="A17" s="219">
        <v>4763</v>
      </c>
      <c r="B17" s="207" t="str">
        <f>IFERROR(VLOOKUP(H17,[1]SEMIELABORADOS!$A$2:$M$6000,2,0),"")</f>
        <v>BASE PREMEZCLA P/BROWNIE CASERO KILO</v>
      </c>
      <c r="C17" s="220">
        <f>+A17</f>
        <v>4763</v>
      </c>
      <c r="D17" s="220" t="str">
        <f>IFERROR(VLOOKUP(H17,[1]SEMIELABORADOS!$A$2:$M$6000,6,0),"")</f>
        <v>Gramo</v>
      </c>
      <c r="E17" s="221">
        <v>0.92</v>
      </c>
      <c r="F17" s="221">
        <f>IFERROR(E17*C17,"")</f>
        <v>4381.96</v>
      </c>
      <c r="G17" s="222">
        <f t="shared" ref="G17:G24" si="3">IFERROR(F17/$F$66,"")</f>
        <v>0.37963108732837642</v>
      </c>
      <c r="H17" s="223" t="s">
        <v>85</v>
      </c>
      <c r="I17" s="223"/>
      <c r="J17" s="224"/>
      <c r="M17" s="207">
        <f>920.52/1000</f>
        <v>0.92052</v>
      </c>
    </row>
    <row r="18" spans="1:13" ht="13.5" hidden="1" x14ac:dyDescent="0.25">
      <c r="A18" s="219"/>
      <c r="B18" s="207" t="str">
        <f>IFERROR(VLOOKUP(H18,[1]SEMIELABORADOS!$A$2:$M$6000,2,0),"")</f>
        <v/>
      </c>
      <c r="C18" s="220">
        <f t="shared" ref="C18:C24" si="4">+A18</f>
        <v>0</v>
      </c>
      <c r="D18" s="220" t="str">
        <f>IFERROR(VLOOKUP(H18,[1]SEMIELABORADOS!$A$2:$M$6000,6,0),"")</f>
        <v/>
      </c>
      <c r="E18" s="221" t="str">
        <f>IFERROR(VLOOKUP(H18,[1]SEMIELABORADOS!$A$2:$H$65536,8,0),"")</f>
        <v/>
      </c>
      <c r="F18" s="221" t="str">
        <f t="shared" ref="F18:F24" si="5">IFERROR(E18*C18,"")</f>
        <v/>
      </c>
      <c r="G18" s="222" t="str">
        <f t="shared" si="3"/>
        <v/>
      </c>
      <c r="H18" s="223"/>
      <c r="I18" s="223"/>
      <c r="J18" s="224"/>
    </row>
    <row r="19" spans="1:13" ht="13.5" hidden="1" x14ac:dyDescent="0.25">
      <c r="A19" s="219"/>
      <c r="B19" s="207" t="str">
        <f>IFERROR(VLOOKUP(H19,[1]SEMIELABORADOS!$A$2:$M$6000,2,0),"")</f>
        <v/>
      </c>
      <c r="C19" s="220">
        <f>+A19</f>
        <v>0</v>
      </c>
      <c r="D19" s="220" t="str">
        <f>IFERROR(VLOOKUP(H19,[1]SEMIELABORADOS!$A$2:$M$6000,6,0),"")</f>
        <v/>
      </c>
      <c r="E19" s="221" t="str">
        <f>IFERROR(VLOOKUP(H19,[1]SEMIELABORADOS!$A$2:$H$65536,8,0),"")</f>
        <v/>
      </c>
      <c r="F19" s="221" t="str">
        <f>IFERROR(E19*C19,"")</f>
        <v/>
      </c>
      <c r="G19" s="222" t="str">
        <f t="shared" si="3"/>
        <v/>
      </c>
      <c r="H19" s="223"/>
      <c r="I19" s="223"/>
      <c r="J19" s="224"/>
    </row>
    <row r="20" spans="1:13" ht="13.5" hidden="1" x14ac:dyDescent="0.25">
      <c r="A20" s="219"/>
      <c r="B20" s="207" t="str">
        <f>IFERROR(VLOOKUP(H20,[1]SEMIELABORADOS!$A$2:$M$6000,2,0),"")</f>
        <v/>
      </c>
      <c r="C20" s="220">
        <f>+A20</f>
        <v>0</v>
      </c>
      <c r="D20" s="220" t="str">
        <f>IFERROR(VLOOKUP(H20,[1]SEMIELABORADOS!$A$2:$M$6000,6,0),"")</f>
        <v/>
      </c>
      <c r="E20" s="221" t="str">
        <f>IFERROR(VLOOKUP(H20,[1]SEMIELABORADOS!$A$2:$H$65536,8,0),"")</f>
        <v/>
      </c>
      <c r="F20" s="221" t="str">
        <f>IFERROR(E20*C20,"")</f>
        <v/>
      </c>
      <c r="G20" s="222" t="str">
        <f t="shared" si="3"/>
        <v/>
      </c>
      <c r="H20" s="223"/>
      <c r="I20" s="223"/>
      <c r="J20" s="224"/>
    </row>
    <row r="21" spans="1:13" ht="13.5" hidden="1" x14ac:dyDescent="0.25">
      <c r="A21" s="219"/>
      <c r="B21" s="207" t="str">
        <f>IFERROR(VLOOKUP(H21,[1]SEMIELABORADOS!$A$2:$M$6000,2,0),"")</f>
        <v/>
      </c>
      <c r="C21" s="220">
        <f>+A21</f>
        <v>0</v>
      </c>
      <c r="D21" s="220" t="str">
        <f>IFERROR(VLOOKUP(H21,[1]SEMIELABORADOS!$A$2:$M$6000,6,0),"")</f>
        <v/>
      </c>
      <c r="E21" s="221" t="str">
        <f>IFERROR(VLOOKUP(H21,[1]SEMIELABORADOS!$A$2:$H$65536,8,0),"")</f>
        <v/>
      </c>
      <c r="F21" s="221" t="str">
        <f>IFERROR(E21*C21,"")</f>
        <v/>
      </c>
      <c r="G21" s="222" t="str">
        <f t="shared" si="3"/>
        <v/>
      </c>
      <c r="H21" s="223"/>
      <c r="I21" s="223"/>
      <c r="J21" s="224"/>
    </row>
    <row r="22" spans="1:13" ht="13.5" hidden="1" x14ac:dyDescent="0.25">
      <c r="A22" s="219"/>
      <c r="B22" s="207" t="str">
        <f>IFERROR(VLOOKUP(H22,[1]SEMIELABORADOS!$A$2:$M$6000,2,0),"")</f>
        <v/>
      </c>
      <c r="C22" s="220">
        <f t="shared" si="4"/>
        <v>0</v>
      </c>
      <c r="D22" s="220" t="str">
        <f>IFERROR(VLOOKUP(H22,[1]SEMIELABORADOS!$A$2:$M$6000,6,0),"")</f>
        <v/>
      </c>
      <c r="E22" s="221" t="str">
        <f>IFERROR(VLOOKUP(H22,[1]SEMIELABORADOS!$A$2:$H$65536,8,0),"")</f>
        <v/>
      </c>
      <c r="F22" s="221" t="str">
        <f t="shared" si="5"/>
        <v/>
      </c>
      <c r="G22" s="222" t="str">
        <f t="shared" si="3"/>
        <v/>
      </c>
      <c r="H22" s="223"/>
      <c r="I22" s="223"/>
      <c r="J22" s="224"/>
    </row>
    <row r="23" spans="1:13" ht="13.5" hidden="1" x14ac:dyDescent="0.25">
      <c r="A23" s="219"/>
      <c r="B23" s="207" t="str">
        <f>IFERROR(VLOOKUP(H23,[1]SEMIELABORADOS!$A$2:$M$6000,2,0),"")</f>
        <v/>
      </c>
      <c r="C23" s="220">
        <f t="shared" si="4"/>
        <v>0</v>
      </c>
      <c r="D23" s="220" t="str">
        <f>IFERROR(VLOOKUP(H23,[1]SEMIELABORADOS!$A$2:$M$6000,6,0),"")</f>
        <v/>
      </c>
      <c r="E23" s="221" t="str">
        <f>IFERROR(VLOOKUP(H23,[1]SEMIELABORADOS!$A$2:$H$65536,8,0),"")</f>
        <v/>
      </c>
      <c r="F23" s="221" t="str">
        <f t="shared" si="5"/>
        <v/>
      </c>
      <c r="G23" s="222" t="str">
        <f t="shared" si="3"/>
        <v/>
      </c>
      <c r="H23" s="223"/>
      <c r="I23" s="223"/>
      <c r="J23" s="224"/>
    </row>
    <row r="24" spans="1:13" ht="13.5" hidden="1" x14ac:dyDescent="0.25">
      <c r="A24" s="219"/>
      <c r="B24" s="207" t="str">
        <f>IFERROR(VLOOKUP(H24,[1]SEMIELABORADOS!$A$2:$M$6000,2,0),"")</f>
        <v/>
      </c>
      <c r="C24" s="220">
        <f t="shared" si="4"/>
        <v>0</v>
      </c>
      <c r="D24" s="220" t="str">
        <f>IFERROR(VLOOKUP(H24,[1]SEMIELABORADOS!$A$2:$M$6000,6,0),"")</f>
        <v/>
      </c>
      <c r="E24" s="221" t="str">
        <f>IFERROR(VLOOKUP(H24,[1]SEMIELABORADOS!$A$2:$H$65536,8,0),"")</f>
        <v/>
      </c>
      <c r="F24" s="221" t="str">
        <f t="shared" si="5"/>
        <v/>
      </c>
      <c r="G24" s="222" t="str">
        <f t="shared" si="3"/>
        <v/>
      </c>
      <c r="H24" s="223"/>
      <c r="I24" s="223"/>
      <c r="J24" s="224"/>
    </row>
    <row r="25" spans="1:13" ht="14.25" thickBot="1" x14ac:dyDescent="0.3">
      <c r="A25" s="219"/>
      <c r="C25" s="220"/>
      <c r="D25" s="220"/>
      <c r="E25" s="221"/>
      <c r="F25" s="221"/>
      <c r="G25" s="222"/>
      <c r="H25" s="223"/>
      <c r="I25" s="223"/>
      <c r="J25" s="224"/>
    </row>
    <row r="26" spans="1:13" ht="26.25" thickBot="1" x14ac:dyDescent="0.3">
      <c r="A26" s="214" t="s">
        <v>163</v>
      </c>
      <c r="B26" s="215" t="s">
        <v>20</v>
      </c>
      <c r="C26" s="215" t="s">
        <v>163</v>
      </c>
      <c r="D26" s="216" t="s">
        <v>165</v>
      </c>
      <c r="E26" s="216" t="s">
        <v>166</v>
      </c>
      <c r="F26" s="216" t="s">
        <v>167</v>
      </c>
      <c r="G26" s="216" t="s">
        <v>168</v>
      </c>
      <c r="H26" s="217" t="s">
        <v>169</v>
      </c>
      <c r="I26" s="218"/>
    </row>
    <row r="27" spans="1:13" ht="13.5" x14ac:dyDescent="0.25">
      <c r="A27" s="219">
        <v>1</v>
      </c>
      <c r="B27" s="225" t="str">
        <f>IFERROR(VLOOKUP(H27,'[1]Consolidado MP Planta'!$A$2:$M$823,3,0),"")</f>
        <v>ETIQUETA BLANCA 2 5/8X1 15/16 (UND)</v>
      </c>
      <c r="C27" s="220">
        <f t="shared" ref="C27:C32" si="6">+A27</f>
        <v>1</v>
      </c>
      <c r="D27" s="221" t="str">
        <f>IFERROR(VLOOKUP(H27,'[1]Consolidado MP Planta'!$A$2:$M$823,13,0),"")</f>
        <v>Und</v>
      </c>
      <c r="E27" s="221">
        <f>IFERROR(VLOOKUP(H27,'[1]Consolidado MP Planta'!$A$2:$M$823,12,0),"")</f>
        <v>2.1280000000000001</v>
      </c>
      <c r="F27" s="221">
        <f t="shared" ref="F27:F32" si="7">IFERROR(C27*E27,"")</f>
        <v>2.1280000000000001</v>
      </c>
      <c r="G27" s="222">
        <f t="shared" ref="G27:G32" si="8">IFERROR(F27/$F$66,"")</f>
        <v>1.8435927161242574E-4</v>
      </c>
      <c r="H27" s="226" t="s">
        <v>58</v>
      </c>
      <c r="I27" s="226"/>
      <c r="J27" s="224"/>
      <c r="K27" s="874"/>
      <c r="L27" s="874"/>
    </row>
    <row r="28" spans="1:13" ht="13.5" x14ac:dyDescent="0.25">
      <c r="A28" s="219">
        <v>1</v>
      </c>
      <c r="B28" s="225" t="str">
        <f>IFERROR(VLOOKUP(H28,'[1]Consolidado MP Planta'!$A$2:$M$823,3,0),"")</f>
        <v>BOLSA TRANSPARENTE 56X96X1.80 KILO</v>
      </c>
      <c r="C28" s="220">
        <f t="shared" si="6"/>
        <v>1</v>
      </c>
      <c r="D28" s="221" t="str">
        <f>IFERROR(VLOOKUP(H28,'[1]Consolidado MP Planta'!$A$2:$M$823,13,0),"")</f>
        <v>Und</v>
      </c>
      <c r="E28" s="221">
        <f>IFERROR(VLOOKUP(H28,'[1]Consolidado MP Planta'!$A$2:$M$823,12,0),"")</f>
        <v>50</v>
      </c>
      <c r="F28" s="221">
        <f t="shared" si="7"/>
        <v>50</v>
      </c>
      <c r="G28" s="222">
        <f t="shared" si="8"/>
        <v>4.3317498029235369E-3</v>
      </c>
      <c r="H28" s="226" t="s">
        <v>101</v>
      </c>
      <c r="I28" s="226"/>
      <c r="J28" s="224"/>
      <c r="K28" s="874"/>
      <c r="L28" s="874"/>
    </row>
    <row r="29" spans="1:13" ht="13.5" hidden="1" x14ac:dyDescent="0.25">
      <c r="A29" s="219"/>
      <c r="B29" s="225" t="str">
        <f>IFERROR(VLOOKUP(H29,'[1]Consolidado MP Planta'!$A$2:$M$823,3,0),"")</f>
        <v/>
      </c>
      <c r="C29" s="220">
        <f t="shared" si="6"/>
        <v>0</v>
      </c>
      <c r="D29" s="221" t="str">
        <f>IFERROR(VLOOKUP(H29,'[1]Consolidado MP Planta'!$A$2:$M$823,13,0),"")</f>
        <v/>
      </c>
      <c r="E29" s="221" t="str">
        <f>IFERROR(VLOOKUP(H29,'[1]Consolidado MP Planta'!$A$2:$M$823,12,0),"")</f>
        <v/>
      </c>
      <c r="F29" s="221" t="str">
        <f t="shared" si="7"/>
        <v/>
      </c>
      <c r="G29" s="222" t="str">
        <f t="shared" si="8"/>
        <v/>
      </c>
      <c r="H29" s="226"/>
      <c r="I29" s="226"/>
      <c r="J29" s="224"/>
      <c r="K29" s="874"/>
      <c r="L29" s="874"/>
    </row>
    <row r="30" spans="1:13" ht="13.5" hidden="1" x14ac:dyDescent="0.25">
      <c r="A30" s="219"/>
      <c r="B30" s="225" t="str">
        <f>IFERROR(VLOOKUP(H30,'[1]Consolidado MP Planta'!$A$2:$M$823,3,0),"")</f>
        <v/>
      </c>
      <c r="C30" s="220">
        <f t="shared" si="6"/>
        <v>0</v>
      </c>
      <c r="D30" s="221" t="str">
        <f>IFERROR(VLOOKUP(H30,'[1]Consolidado MP Planta'!$A$2:$M$823,13,0),"")</f>
        <v/>
      </c>
      <c r="E30" s="221" t="str">
        <f>IFERROR(VLOOKUP(H30,'[1]Consolidado MP Planta'!$A$2:$M$823,12,0),"")</f>
        <v/>
      </c>
      <c r="F30" s="221" t="str">
        <f t="shared" si="7"/>
        <v/>
      </c>
      <c r="G30" s="222" t="str">
        <f t="shared" si="8"/>
        <v/>
      </c>
      <c r="H30" s="226"/>
      <c r="I30" s="226"/>
      <c r="J30" s="224"/>
      <c r="K30" s="874"/>
      <c r="L30" s="874"/>
    </row>
    <row r="31" spans="1:13" ht="13.5" hidden="1" x14ac:dyDescent="0.25">
      <c r="A31" s="219"/>
      <c r="B31" s="225" t="str">
        <f>IFERROR(VLOOKUP(H31,'[1]Consolidado MP Planta'!$A$2:$M$823,3,0),"")</f>
        <v/>
      </c>
      <c r="C31" s="220">
        <f t="shared" si="6"/>
        <v>0</v>
      </c>
      <c r="D31" s="221" t="str">
        <f>IFERROR(VLOOKUP(H31,'[1]Consolidado MP Planta'!$A$2:$M$823,13,0),"")</f>
        <v/>
      </c>
      <c r="E31" s="221" t="str">
        <f>IFERROR(VLOOKUP(H31,'[1]Consolidado MP Planta'!$A$2:$M$823,12,0),"")</f>
        <v/>
      </c>
      <c r="F31" s="221" t="str">
        <f t="shared" si="7"/>
        <v/>
      </c>
      <c r="G31" s="222" t="str">
        <f t="shared" si="8"/>
        <v/>
      </c>
      <c r="H31" s="226"/>
      <c r="I31" s="226"/>
      <c r="J31" s="224"/>
      <c r="K31" s="227"/>
      <c r="L31" s="228"/>
    </row>
    <row r="32" spans="1:13" ht="13.5" hidden="1" x14ac:dyDescent="0.25">
      <c r="A32" s="219"/>
      <c r="B32" s="225" t="str">
        <f>IFERROR(VLOOKUP(H32,'[1]Consolidado MP Planta'!$A$2:$M$823,3,0),"")</f>
        <v/>
      </c>
      <c r="C32" s="220">
        <f t="shared" si="6"/>
        <v>0</v>
      </c>
      <c r="D32" s="221" t="str">
        <f>IFERROR(VLOOKUP(H32,'[1]Consolidado MP Planta'!$A$2:$M$823,13,0),"")</f>
        <v/>
      </c>
      <c r="E32" s="221" t="str">
        <f>IFERROR(VLOOKUP(H32,'[1]Consolidado MP Planta'!$A$2:$M$823,12,0),"")</f>
        <v/>
      </c>
      <c r="F32" s="221" t="str">
        <f t="shared" si="7"/>
        <v/>
      </c>
      <c r="G32" s="222" t="str">
        <f t="shared" si="8"/>
        <v/>
      </c>
      <c r="H32" s="226"/>
      <c r="I32" s="226"/>
      <c r="J32" s="224"/>
    </row>
    <row r="33" spans="1:13" ht="14.25" thickBot="1" x14ac:dyDescent="0.3">
      <c r="A33" s="219"/>
      <c r="B33" s="225"/>
      <c r="C33" s="220"/>
      <c r="D33" s="221"/>
      <c r="E33" s="221"/>
      <c r="F33" s="221"/>
      <c r="G33" s="222"/>
      <c r="H33" s="226"/>
      <c r="I33" s="226"/>
      <c r="J33" s="224"/>
    </row>
    <row r="34" spans="1:13" ht="26.25" thickBot="1" x14ac:dyDescent="0.25">
      <c r="A34" s="214" t="s">
        <v>163</v>
      </c>
      <c r="B34" s="215" t="s">
        <v>171</v>
      </c>
      <c r="C34" s="215" t="s">
        <v>163</v>
      </c>
      <c r="D34" s="216" t="s">
        <v>165</v>
      </c>
      <c r="E34" s="216" t="s">
        <v>166</v>
      </c>
      <c r="F34" s="216" t="s">
        <v>167</v>
      </c>
      <c r="G34" s="216" t="s">
        <v>168</v>
      </c>
      <c r="H34" s="217" t="s">
        <v>169</v>
      </c>
      <c r="I34" s="226"/>
      <c r="J34" s="224"/>
    </row>
    <row r="35" spans="1:13" ht="13.5" x14ac:dyDescent="0.25">
      <c r="A35" s="219">
        <f>+A17</f>
        <v>4763</v>
      </c>
      <c r="B35" s="225" t="str">
        <f>IFERROR(VLOOKUP(H35,[1]SEMIELABORADOS!$A$2:$M$6000,2,0),"")</f>
        <v>BASE PREMEZCLA P/BROWNIE CASERO KILO</v>
      </c>
      <c r="C35" s="220">
        <f>+A35</f>
        <v>4763</v>
      </c>
      <c r="D35" s="221" t="str">
        <f>IFERROR(VLOOKUP(H35,[1]SEMIELABORADOS!$A$2:$M$6000,6,0),"")</f>
        <v>Gramo</v>
      </c>
      <c r="E35" s="221">
        <f>IFERROR(VLOOKUP(H35,[1]SEMIELABORADOS!$A$2:$M$65536,10,0),"")</f>
        <v>1.6786139187986767E-2</v>
      </c>
      <c r="F35" s="221">
        <f>IFERROR(E35*C35,"")</f>
        <v>79.952380952380977</v>
      </c>
      <c r="G35" s="222">
        <f t="shared" ref="G35:G41" si="9">IFERROR(F35/$F$66,"")</f>
        <v>6.9266742086748767E-3</v>
      </c>
      <c r="H35" s="226" t="s">
        <v>85</v>
      </c>
      <c r="I35" s="226"/>
      <c r="J35" s="224"/>
    </row>
    <row r="36" spans="1:13" ht="13.5" hidden="1" x14ac:dyDescent="0.25">
      <c r="A36" s="219">
        <f t="shared" ref="A36:A41" si="10">+A18</f>
        <v>0</v>
      </c>
      <c r="B36" s="225" t="str">
        <f>IFERROR(VLOOKUP(H36,[1]SEMIELABORADOS!$A$2:$M$6000,2,0),"")</f>
        <v/>
      </c>
      <c r="C36" s="220">
        <f t="shared" ref="C36:C41" si="11">+A36</f>
        <v>0</v>
      </c>
      <c r="D36" s="221" t="str">
        <f>IFERROR(VLOOKUP(H36,[1]SEMIELABORADOS!$A$2:$M$6000,6,0),"")</f>
        <v/>
      </c>
      <c r="E36" s="221" t="str">
        <f>IFERROR(VLOOKUP(H36,[1]SEMIELABORADOS!$A$2:$M$65536,10,0),"")</f>
        <v/>
      </c>
      <c r="F36" s="221" t="str">
        <f t="shared" ref="F36:F41" si="12">IFERROR(E36*C36,"")</f>
        <v/>
      </c>
      <c r="G36" s="222" t="str">
        <f t="shared" si="9"/>
        <v/>
      </c>
      <c r="H36" s="226"/>
      <c r="I36" s="226"/>
      <c r="J36" s="224"/>
    </row>
    <row r="37" spans="1:13" ht="13.5" hidden="1" x14ac:dyDescent="0.25">
      <c r="A37" s="219">
        <f t="shared" si="10"/>
        <v>0</v>
      </c>
      <c r="B37" s="225" t="str">
        <f>IFERROR(VLOOKUP(H37,[1]SEMIELABORADOS!$A$2:$M$6000,2,0),"")</f>
        <v/>
      </c>
      <c r="C37" s="220">
        <f t="shared" si="11"/>
        <v>0</v>
      </c>
      <c r="D37" s="221" t="str">
        <f>IFERROR(VLOOKUP(H37,[1]SEMIELABORADOS!$A$2:$M$6000,6,0),"")</f>
        <v/>
      </c>
      <c r="E37" s="221" t="str">
        <f>IFERROR(VLOOKUP(H37,[1]SEMIELABORADOS!$A$2:$M$65536,10,0),"")</f>
        <v/>
      </c>
      <c r="F37" s="221" t="str">
        <f t="shared" si="12"/>
        <v/>
      </c>
      <c r="G37" s="222" t="str">
        <f t="shared" si="9"/>
        <v/>
      </c>
      <c r="H37" s="226"/>
      <c r="I37" s="226"/>
      <c r="J37" s="224"/>
    </row>
    <row r="38" spans="1:13" ht="13.5" hidden="1" x14ac:dyDescent="0.25">
      <c r="A38" s="219">
        <f t="shared" si="10"/>
        <v>0</v>
      </c>
      <c r="B38" s="225" t="str">
        <f>IFERROR(VLOOKUP(H38,[1]SEMIELABORADOS!$A$2:$M$6000,2,0),"")</f>
        <v/>
      </c>
      <c r="C38" s="220">
        <f>+A38</f>
        <v>0</v>
      </c>
      <c r="D38" s="221" t="str">
        <f>IFERROR(VLOOKUP(H38,[1]SEMIELABORADOS!$A$2:$M$6000,6,0),"")</f>
        <v/>
      </c>
      <c r="E38" s="221" t="str">
        <f>IFERROR(VLOOKUP(H38,[1]SEMIELABORADOS!$A$2:$M$65536,10,0),"")</f>
        <v/>
      </c>
      <c r="F38" s="221" t="str">
        <f>IFERROR(E38*C38,"")</f>
        <v/>
      </c>
      <c r="G38" s="222" t="str">
        <f t="shared" si="9"/>
        <v/>
      </c>
      <c r="H38" s="226"/>
      <c r="I38" s="226"/>
      <c r="J38" s="224"/>
    </row>
    <row r="39" spans="1:13" ht="13.5" hidden="1" x14ac:dyDescent="0.25">
      <c r="A39" s="219">
        <f t="shared" si="10"/>
        <v>0</v>
      </c>
      <c r="B39" s="225" t="str">
        <f>IFERROR(VLOOKUP(H39,[1]SEMIELABORADOS!$A$2:$M$6000,2,0),"")</f>
        <v/>
      </c>
      <c r="C39" s="220">
        <f>+A39</f>
        <v>0</v>
      </c>
      <c r="D39" s="221" t="str">
        <f>IFERROR(VLOOKUP(H39,[1]SEMIELABORADOS!$A$2:$M$6000,6,0),"")</f>
        <v/>
      </c>
      <c r="E39" s="221" t="str">
        <f>IFERROR(VLOOKUP(H39,[1]SEMIELABORADOS!$A$2:$M$65536,10,0),"")</f>
        <v/>
      </c>
      <c r="F39" s="221" t="str">
        <f>IFERROR(E39*C39,"")</f>
        <v/>
      </c>
      <c r="G39" s="222" t="str">
        <f t="shared" si="9"/>
        <v/>
      </c>
      <c r="H39" s="226"/>
      <c r="I39" s="226"/>
      <c r="J39" s="224"/>
    </row>
    <row r="40" spans="1:13" ht="13.5" hidden="1" x14ac:dyDescent="0.25">
      <c r="A40" s="219">
        <f t="shared" si="10"/>
        <v>0</v>
      </c>
      <c r="B40" s="225" t="str">
        <f>IFERROR(VLOOKUP(H40,[1]SEMIELABORADOS!$A$2:$M$6000,2,0),"")</f>
        <v/>
      </c>
      <c r="C40" s="220">
        <f t="shared" si="11"/>
        <v>0</v>
      </c>
      <c r="D40" s="221" t="str">
        <f>IFERROR(VLOOKUP(H40,[1]SEMIELABORADOS!$A$2:$M$6000,6,0),"")</f>
        <v/>
      </c>
      <c r="E40" s="221" t="str">
        <f>IFERROR(VLOOKUP(H40,[1]SEMIELABORADOS!$A$2:$M$65536,10,0),"")</f>
        <v/>
      </c>
      <c r="F40" s="221" t="str">
        <f t="shared" si="12"/>
        <v/>
      </c>
      <c r="G40" s="222" t="str">
        <f t="shared" si="9"/>
        <v/>
      </c>
      <c r="H40" s="226"/>
      <c r="I40" s="226"/>
      <c r="J40" s="224"/>
    </row>
    <row r="41" spans="1:13" ht="13.5" hidden="1" x14ac:dyDescent="0.25">
      <c r="A41" s="219">
        <f t="shared" si="10"/>
        <v>0</v>
      </c>
      <c r="B41" s="225" t="str">
        <f>IFERROR(VLOOKUP(H41,[1]SEMIELABORADOS!$A$2:$M$6000,2,0),"")</f>
        <v/>
      </c>
      <c r="C41" s="220">
        <f t="shared" si="11"/>
        <v>0</v>
      </c>
      <c r="D41" s="221" t="str">
        <f>IFERROR(VLOOKUP(H41,[1]SEMIELABORADOS!$A$2:$M$6000,6,0),"")</f>
        <v/>
      </c>
      <c r="E41" s="221" t="str">
        <f>IFERROR(VLOOKUP(H41,[1]SEMIELABORADOS!$A$2:$M$65536,10,0),"")</f>
        <v/>
      </c>
      <c r="F41" s="221" t="str">
        <f t="shared" si="12"/>
        <v/>
      </c>
      <c r="G41" s="222" t="str">
        <f t="shared" si="9"/>
        <v/>
      </c>
      <c r="H41" s="226"/>
      <c r="I41" s="226"/>
      <c r="J41" s="224"/>
    </row>
    <row r="42" spans="1:13" ht="14.25" thickBot="1" x14ac:dyDescent="0.3">
      <c r="A42" s="219"/>
      <c r="B42" s="225"/>
      <c r="C42" s="220"/>
      <c r="D42" s="221"/>
      <c r="E42" s="221"/>
      <c r="F42" s="221"/>
      <c r="G42" s="222"/>
      <c r="H42" s="226"/>
      <c r="I42" s="226"/>
      <c r="J42" s="224"/>
    </row>
    <row r="43" spans="1:13" ht="26.25" thickBot="1" x14ac:dyDescent="0.3">
      <c r="A43" s="214" t="s">
        <v>163</v>
      </c>
      <c r="B43" s="215" t="s">
        <v>172</v>
      </c>
      <c r="C43" s="215" t="s">
        <v>163</v>
      </c>
      <c r="D43" s="216" t="s">
        <v>165</v>
      </c>
      <c r="E43" s="216" t="s">
        <v>166</v>
      </c>
      <c r="F43" s="216" t="s">
        <v>167</v>
      </c>
      <c r="G43" s="216" t="s">
        <v>168</v>
      </c>
      <c r="H43" s="217" t="s">
        <v>169</v>
      </c>
      <c r="I43" s="218"/>
      <c r="J43" s="224"/>
    </row>
    <row r="44" spans="1:13" ht="13.5" x14ac:dyDescent="0.25">
      <c r="A44" s="219">
        <f>+A35</f>
        <v>4763</v>
      </c>
      <c r="B44" s="225" t="str">
        <f>IFERROR(VLOOKUP(H44,[1]SEMIELABORADOS!$A$2:$M$6000,2,0),"")</f>
        <v>BASE PREMEZCLA P/BROWNIE CASERO KILO</v>
      </c>
      <c r="C44" s="220">
        <f>+A44</f>
        <v>4763</v>
      </c>
      <c r="D44" s="221" t="str">
        <f>IFERROR(VLOOKUP(H44,[1]SEMIELABORADOS!$A$2:$M$6000,6,0),"")</f>
        <v>Gramo</v>
      </c>
      <c r="E44" s="221">
        <f>IFERROR(VLOOKUP(H44,[1]SEMIELABORADOS!$A$2:$M$65536,12,0),"")</f>
        <v>7.5314784499565107E-2</v>
      </c>
      <c r="F44" s="221">
        <f>IFERROR(E44*C44,"")</f>
        <v>358.72431857142863</v>
      </c>
      <c r="G44" s="222">
        <f>IFERROR(F44/$F$66,"")</f>
        <v>3.107807992551332E-2</v>
      </c>
      <c r="H44" s="226" t="s">
        <v>85</v>
      </c>
      <c r="I44" s="218"/>
      <c r="J44" s="224"/>
    </row>
    <row r="45" spans="1:13" ht="13.5" hidden="1" x14ac:dyDescent="0.25">
      <c r="A45" s="219">
        <f t="shared" ref="A45:A50" si="13">+A36</f>
        <v>0</v>
      </c>
      <c r="B45" s="225" t="str">
        <f>IFERROR(VLOOKUP(H45,[1]SEMIELABORADOS!$A$2:$M$6000,2,0),"")</f>
        <v/>
      </c>
      <c r="C45" s="220">
        <f t="shared" ref="C45:C50" si="14">+A45</f>
        <v>0</v>
      </c>
      <c r="D45" s="221" t="str">
        <f>IFERROR(VLOOKUP(H45,[1]SEMIELABORADOS!$A$2:$M$6000,6,0),"")</f>
        <v/>
      </c>
      <c r="E45" s="221" t="str">
        <f>IFERROR(VLOOKUP(H45,[1]SEMIELABORADOS!$A$2:$M$65536,12,0),"")</f>
        <v/>
      </c>
      <c r="F45" s="221" t="str">
        <f t="shared" ref="F45:F50" si="15">IFERROR(E45*C45,"")</f>
        <v/>
      </c>
      <c r="G45" s="222" t="str">
        <f t="shared" ref="G45:G50" si="16">IFERROR(F45/$F$66,"")</f>
        <v/>
      </c>
      <c r="H45" s="226"/>
      <c r="I45" s="218"/>
      <c r="J45" s="224"/>
      <c r="M45" s="229"/>
    </row>
    <row r="46" spans="1:13" ht="13.5" hidden="1" x14ac:dyDescent="0.25">
      <c r="A46" s="219">
        <f t="shared" si="13"/>
        <v>0</v>
      </c>
      <c r="B46" s="225" t="str">
        <f>IFERROR(VLOOKUP(H46,[1]SEMIELABORADOS!$A$2:$M$6000,2,0),"")</f>
        <v/>
      </c>
      <c r="C46" s="220">
        <f t="shared" si="14"/>
        <v>0</v>
      </c>
      <c r="D46" s="221" t="str">
        <f>IFERROR(VLOOKUP(H46,[1]SEMIELABORADOS!$A$2:$M$6000,6,0),"")</f>
        <v/>
      </c>
      <c r="E46" s="221" t="str">
        <f>IFERROR(VLOOKUP(H46,[1]SEMIELABORADOS!$A$2:$M$65536,12,0),"")</f>
        <v/>
      </c>
      <c r="F46" s="221" t="str">
        <f t="shared" si="15"/>
        <v/>
      </c>
      <c r="G46" s="222" t="str">
        <f t="shared" si="16"/>
        <v/>
      </c>
      <c r="H46" s="226"/>
      <c r="I46" s="218"/>
      <c r="J46" s="224"/>
    </row>
    <row r="47" spans="1:13" ht="13.5" hidden="1" x14ac:dyDescent="0.25">
      <c r="A47" s="219">
        <f t="shared" si="13"/>
        <v>0</v>
      </c>
      <c r="B47" s="225" t="str">
        <f>IFERROR(VLOOKUP(H47,[1]SEMIELABORADOS!$A$2:$M$6000,2,0),"")</f>
        <v/>
      </c>
      <c r="C47" s="220">
        <f t="shared" si="14"/>
        <v>0</v>
      </c>
      <c r="D47" s="221" t="str">
        <f>IFERROR(VLOOKUP(H47,[1]SEMIELABORADOS!$A$2:$M$6000,6,0),"")</f>
        <v/>
      </c>
      <c r="E47" s="221" t="str">
        <f>IFERROR(VLOOKUP(H47,[1]SEMIELABORADOS!$A$2:$M$65536,12,0),"")</f>
        <v/>
      </c>
      <c r="F47" s="221" t="str">
        <f t="shared" si="15"/>
        <v/>
      </c>
      <c r="G47" s="222" t="str">
        <f t="shared" si="16"/>
        <v/>
      </c>
      <c r="H47" s="226"/>
      <c r="I47" s="218"/>
      <c r="J47" s="224"/>
    </row>
    <row r="48" spans="1:13" ht="13.5" hidden="1" x14ac:dyDescent="0.25">
      <c r="A48" s="219">
        <f t="shared" si="13"/>
        <v>0</v>
      </c>
      <c r="B48" s="225" t="str">
        <f>IFERROR(VLOOKUP(H48,[1]SEMIELABORADOS!$A$2:$M$6000,2,0),"")</f>
        <v/>
      </c>
      <c r="C48" s="220">
        <f t="shared" si="14"/>
        <v>0</v>
      </c>
      <c r="D48" s="221" t="str">
        <f>IFERROR(VLOOKUP(H48,[1]SEMIELABORADOS!$A$2:$M$6000,6,0),"")</f>
        <v/>
      </c>
      <c r="E48" s="221" t="str">
        <f>IFERROR(VLOOKUP(H48,[1]SEMIELABORADOS!$A$2:$M$65536,12,0),"")</f>
        <v/>
      </c>
      <c r="F48" s="221" t="str">
        <f t="shared" si="15"/>
        <v/>
      </c>
      <c r="G48" s="222" t="str">
        <f t="shared" si="16"/>
        <v/>
      </c>
      <c r="H48" s="226"/>
      <c r="I48" s="218"/>
      <c r="J48" s="224"/>
    </row>
    <row r="49" spans="1:17" ht="13.5" hidden="1" x14ac:dyDescent="0.25">
      <c r="A49" s="219">
        <f t="shared" si="13"/>
        <v>0</v>
      </c>
      <c r="B49" s="225" t="str">
        <f>IFERROR(VLOOKUP(H49,[1]SEMIELABORADOS!$A$2:$M$6000,2,0),"")</f>
        <v/>
      </c>
      <c r="C49" s="220">
        <f t="shared" si="14"/>
        <v>0</v>
      </c>
      <c r="D49" s="221" t="str">
        <f>IFERROR(VLOOKUP(H49,[1]SEMIELABORADOS!$A$2:$M$6000,6,0),"")</f>
        <v/>
      </c>
      <c r="E49" s="221" t="str">
        <f>IFERROR(VLOOKUP(H49,[1]SEMIELABORADOS!$A$2:$M$65536,12,0),"")</f>
        <v/>
      </c>
      <c r="F49" s="221" t="str">
        <f t="shared" si="15"/>
        <v/>
      </c>
      <c r="G49" s="222" t="str">
        <f t="shared" si="16"/>
        <v/>
      </c>
      <c r="H49" s="226"/>
      <c r="I49" s="218"/>
      <c r="J49" s="224"/>
    </row>
    <row r="50" spans="1:17" ht="13.5" hidden="1" x14ac:dyDescent="0.25">
      <c r="A50" s="219">
        <f t="shared" si="13"/>
        <v>0</v>
      </c>
      <c r="B50" s="225" t="str">
        <f>IFERROR(VLOOKUP(H50,[1]SEMIELABORADOS!$A$2:$M$6000,2,0),"")</f>
        <v/>
      </c>
      <c r="C50" s="220">
        <f t="shared" si="14"/>
        <v>0</v>
      </c>
      <c r="D50" s="221" t="str">
        <f>IFERROR(VLOOKUP(H50,[1]SEMIELABORADOS!$A$2:$M$6000,6,0),"")</f>
        <v/>
      </c>
      <c r="E50" s="221" t="str">
        <f>IFERROR(VLOOKUP(H50,[1]SEMIELABORADOS!$A$2:$M$65536,12,0),"")</f>
        <v/>
      </c>
      <c r="F50" s="221" t="str">
        <f t="shared" si="15"/>
        <v/>
      </c>
      <c r="G50" s="222" t="str">
        <f t="shared" si="16"/>
        <v/>
      </c>
      <c r="H50" s="225"/>
      <c r="I50" s="218"/>
      <c r="J50" s="224"/>
    </row>
    <row r="51" spans="1:17" ht="13.5" x14ac:dyDescent="0.25">
      <c r="A51" s="219">
        <v>1</v>
      </c>
      <c r="B51" s="225" t="s">
        <v>173</v>
      </c>
      <c r="C51" s="220">
        <f>+A51</f>
        <v>1</v>
      </c>
      <c r="D51" s="220" t="s">
        <v>174</v>
      </c>
      <c r="E51" s="221">
        <f>+F65</f>
        <v>770</v>
      </c>
      <c r="F51" s="221">
        <f>IFERROR(C51*E51,"")</f>
        <v>770</v>
      </c>
      <c r="G51" s="222">
        <f>IFERROR(F51/$F$66,"")</f>
        <v>6.670894696502247E-2</v>
      </c>
      <c r="H51" s="230"/>
      <c r="I51" s="230"/>
      <c r="J51" s="224"/>
    </row>
    <row r="52" spans="1:17" ht="14.25" thickBot="1" x14ac:dyDescent="0.3">
      <c r="A52" s="219"/>
      <c r="B52" s="225"/>
      <c r="C52" s="220"/>
      <c r="D52" s="220"/>
      <c r="E52" s="221"/>
      <c r="F52" s="221"/>
      <c r="G52" s="222"/>
      <c r="H52" s="230"/>
      <c r="I52" s="230"/>
      <c r="J52" s="224"/>
    </row>
    <row r="53" spans="1:17" ht="13.5" thickBot="1" x14ac:dyDescent="0.3">
      <c r="A53" s="231"/>
      <c r="B53" s="875" t="s">
        <v>175</v>
      </c>
      <c r="C53" s="875"/>
      <c r="D53" s="875"/>
      <c r="E53" s="875"/>
      <c r="F53" s="233">
        <f>SUM(F8:F14,F17:F24)</f>
        <v>10431.959999999999</v>
      </c>
      <c r="G53" s="222">
        <f>+F53/$F$66</f>
        <v>0.90377281348212424</v>
      </c>
      <c r="H53" s="234">
        <f>+F53/$D$60</f>
        <v>10431.959999999999</v>
      </c>
      <c r="I53" s="234"/>
      <c r="J53" s="235"/>
      <c r="K53" s="236"/>
      <c r="L53" s="236"/>
      <c r="M53" s="236"/>
      <c r="N53" s="236"/>
      <c r="O53" s="236"/>
      <c r="P53" s="236"/>
      <c r="Q53" s="237"/>
    </row>
    <row r="54" spans="1:17" x14ac:dyDescent="0.2">
      <c r="A54" s="231"/>
      <c r="B54" s="875" t="s">
        <v>176</v>
      </c>
      <c r="C54" s="875"/>
      <c r="D54" s="875"/>
      <c r="E54" s="875"/>
      <c r="F54" s="233">
        <f>SUM(F27:F32,F35:F41)</f>
        <v>132.08038095238098</v>
      </c>
      <c r="G54" s="222">
        <f>+F54/$F$66</f>
        <v>1.1442783283210838E-2</v>
      </c>
      <c r="H54" s="234">
        <f>+F54/$D$60</f>
        <v>132.08038095238098</v>
      </c>
      <c r="I54" s="234"/>
      <c r="J54" s="238"/>
      <c r="K54" s="876" t="s">
        <v>177</v>
      </c>
      <c r="L54" s="877"/>
      <c r="M54" s="877"/>
      <c r="N54" s="877"/>
      <c r="O54" s="239">
        <f>+F55</f>
        <v>10564.04038095238</v>
      </c>
      <c r="P54" s="239"/>
      <c r="Q54" s="240"/>
    </row>
    <row r="55" spans="1:17" x14ac:dyDescent="0.2">
      <c r="A55" s="231"/>
      <c r="B55" s="875" t="s">
        <v>178</v>
      </c>
      <c r="C55" s="875"/>
      <c r="D55" s="875"/>
      <c r="E55" s="875"/>
      <c r="F55" s="233">
        <f>+F53+F54</f>
        <v>10564.04038095238</v>
      </c>
      <c r="G55" s="222">
        <f>+F55/$F$66</f>
        <v>0.91521559676533504</v>
      </c>
      <c r="H55" s="234">
        <f>+F55/$D$60</f>
        <v>10564.04038095238</v>
      </c>
      <c r="I55" s="234"/>
      <c r="J55" s="241"/>
      <c r="K55" s="242"/>
      <c r="M55" s="243" t="s">
        <v>179</v>
      </c>
      <c r="N55" s="244"/>
      <c r="O55" s="239">
        <f>+H56</f>
        <v>1128.7243185714287</v>
      </c>
      <c r="P55" s="239"/>
      <c r="Q55" s="240"/>
    </row>
    <row r="56" spans="1:17" ht="13.5" thickBot="1" x14ac:dyDescent="0.25">
      <c r="A56" s="231"/>
      <c r="B56" s="232"/>
      <c r="C56" s="875" t="s">
        <v>180</v>
      </c>
      <c r="D56" s="875"/>
      <c r="E56" s="875"/>
      <c r="F56" s="233">
        <f>SUM(F44:F51)</f>
        <v>1128.7243185714287</v>
      </c>
      <c r="G56" s="222">
        <f>+F56/$F$66</f>
        <v>9.7787026890535797E-2</v>
      </c>
      <c r="H56" s="234">
        <f>+F56/$D$60</f>
        <v>1128.7243185714287</v>
      </c>
      <c r="I56" s="234"/>
      <c r="J56" s="241"/>
      <c r="K56" s="242"/>
      <c r="L56" s="242"/>
      <c r="M56" s="242" t="s">
        <v>181</v>
      </c>
      <c r="N56" s="245"/>
      <c r="O56" s="239">
        <f>O54*N56</f>
        <v>0</v>
      </c>
      <c r="P56" s="239"/>
      <c r="Q56" s="240"/>
    </row>
    <row r="57" spans="1:17" ht="13.5" thickBot="1" x14ac:dyDescent="0.25">
      <c r="A57" s="231"/>
      <c r="B57" s="246"/>
      <c r="C57" s="246"/>
      <c r="D57" s="246"/>
      <c r="E57" s="246"/>
      <c r="F57" s="247"/>
      <c r="G57" s="222"/>
      <c r="H57" s="248"/>
      <c r="I57" s="234"/>
      <c r="J57" s="241"/>
      <c r="K57" s="249"/>
      <c r="M57" s="250" t="s">
        <v>182</v>
      </c>
      <c r="N57" s="251"/>
      <c r="O57" s="252">
        <f>SUM(O54:O56)</f>
        <v>11692.764699523808</v>
      </c>
      <c r="P57" s="253"/>
      <c r="Q57" s="240"/>
    </row>
    <row r="58" spans="1:17" x14ac:dyDescent="0.2">
      <c r="B58" s="878" t="s">
        <v>183</v>
      </c>
      <c r="C58" s="878"/>
      <c r="D58" s="254">
        <v>8000</v>
      </c>
      <c r="E58" s="255"/>
      <c r="G58" s="222"/>
      <c r="H58" s="248">
        <f>+H56/77</f>
        <v>14.658757384044529</v>
      </c>
      <c r="I58" s="256"/>
      <c r="J58" s="241"/>
      <c r="K58" s="249"/>
      <c r="L58" s="242"/>
      <c r="M58" s="242" t="s">
        <v>184</v>
      </c>
      <c r="N58" s="257"/>
      <c r="O58" s="239">
        <f>+H59</f>
        <v>938.16047257884986</v>
      </c>
      <c r="P58" s="239"/>
      <c r="Q58" s="240"/>
    </row>
    <row r="59" spans="1:17" x14ac:dyDescent="0.2">
      <c r="B59" s="878" t="s">
        <v>185</v>
      </c>
      <c r="C59" s="878"/>
      <c r="D59" s="258">
        <v>8000</v>
      </c>
      <c r="E59" s="255"/>
      <c r="G59" s="222"/>
      <c r="H59" s="248">
        <f>+H58*64</f>
        <v>938.16047257884986</v>
      </c>
      <c r="I59" s="256"/>
      <c r="J59" s="241"/>
      <c r="K59" s="249"/>
      <c r="L59" s="242"/>
      <c r="M59" s="879" t="s">
        <v>182</v>
      </c>
      <c r="N59" s="879"/>
      <c r="O59" s="239">
        <f>SUM(O57:O58)</f>
        <v>12630.925172102658</v>
      </c>
      <c r="P59" s="239"/>
      <c r="Q59" s="240"/>
    </row>
    <row r="60" spans="1:17" ht="13.5" thickBot="1" x14ac:dyDescent="0.25">
      <c r="B60" s="870" t="s">
        <v>186</v>
      </c>
      <c r="C60" s="870"/>
      <c r="D60" s="254">
        <f>+D58/D59</f>
        <v>1</v>
      </c>
      <c r="E60" s="255"/>
      <c r="F60" s="259"/>
      <c r="G60" s="222"/>
      <c r="H60" s="248"/>
      <c r="I60" s="256"/>
      <c r="J60" s="241"/>
      <c r="K60" s="249"/>
      <c r="L60" s="879"/>
      <c r="M60" s="879"/>
      <c r="N60" s="257"/>
      <c r="O60" s="239">
        <f>+O59*N60</f>
        <v>0</v>
      </c>
      <c r="P60" s="239"/>
      <c r="Q60" s="240"/>
    </row>
    <row r="61" spans="1:17" ht="13.5" thickBot="1" x14ac:dyDescent="0.25">
      <c r="B61" s="870" t="s">
        <v>187</v>
      </c>
      <c r="C61" s="870"/>
      <c r="D61" s="260"/>
      <c r="E61" s="255"/>
      <c r="F61" s="259"/>
      <c r="G61" s="222"/>
      <c r="H61" s="248"/>
      <c r="I61" s="256"/>
      <c r="J61" s="241"/>
      <c r="K61" s="871" t="s">
        <v>188</v>
      </c>
      <c r="L61" s="872"/>
      <c r="M61" s="872"/>
      <c r="N61" s="873"/>
      <c r="O61" s="252">
        <f>SUM(O59:O60)</f>
        <v>12630.925172102658</v>
      </c>
      <c r="P61" s="261" t="s">
        <v>189</v>
      </c>
      <c r="Q61" s="240"/>
    </row>
    <row r="62" spans="1:17" ht="13.5" thickBot="1" x14ac:dyDescent="0.25">
      <c r="C62" s="231" t="s">
        <v>190</v>
      </c>
      <c r="D62" s="262"/>
      <c r="E62" s="205" t="s">
        <v>191</v>
      </c>
      <c r="F62" s="263" t="s">
        <v>192</v>
      </c>
      <c r="G62" s="222"/>
      <c r="H62" s="248"/>
      <c r="I62" s="256"/>
      <c r="J62" s="264"/>
      <c r="K62" s="265"/>
      <c r="L62" s="859" t="s">
        <v>193</v>
      </c>
      <c r="M62" s="859"/>
      <c r="N62" s="859"/>
      <c r="O62" s="266">
        <f>+O61/D60</f>
        <v>12630.925172102658</v>
      </c>
      <c r="P62" s="267">
        <f>+O62/D59</f>
        <v>1.5788656465128321</v>
      </c>
      <c r="Q62" s="268"/>
    </row>
    <row r="63" spans="1:17" ht="13.5" thickBot="1" x14ac:dyDescent="0.25">
      <c r="B63" s="860" t="s">
        <v>178</v>
      </c>
      <c r="C63" s="860"/>
      <c r="D63" s="860"/>
      <c r="E63" s="269">
        <f>+F63/F63</f>
        <v>1</v>
      </c>
      <c r="F63" s="270">
        <f>SUM(F55)</f>
        <v>10564.04038095238</v>
      </c>
      <c r="G63" s="222">
        <f>+F63/$F$66</f>
        <v>0.91521559676533504</v>
      </c>
      <c r="H63" s="248"/>
      <c r="I63" s="256"/>
      <c r="K63" s="861"/>
      <c r="L63" s="862"/>
      <c r="M63" s="862"/>
      <c r="N63" s="862"/>
      <c r="O63" s="271"/>
      <c r="P63" s="272"/>
    </row>
    <row r="64" spans="1:17" ht="13.5" thickBot="1" x14ac:dyDescent="0.3">
      <c r="B64" s="863" t="s">
        <v>194</v>
      </c>
      <c r="C64" s="863"/>
      <c r="D64" s="863"/>
      <c r="E64" s="273">
        <v>0.02</v>
      </c>
      <c r="F64" s="270">
        <f>+F53*E64</f>
        <v>208.63919999999999</v>
      </c>
      <c r="G64" s="222">
        <f>+F64/$F$66</f>
        <v>1.8075456269642486E-2</v>
      </c>
      <c r="H64" s="234"/>
      <c r="I64" s="256"/>
      <c r="J64" s="274"/>
      <c r="O64" s="275"/>
      <c r="P64" s="232"/>
    </row>
    <row r="65" spans="2:13" ht="13.5" thickBot="1" x14ac:dyDescent="0.3">
      <c r="B65" s="864" t="s">
        <v>195</v>
      </c>
      <c r="C65" s="865"/>
      <c r="D65" s="276">
        <v>10</v>
      </c>
      <c r="E65" s="277">
        <v>77</v>
      </c>
      <c r="F65" s="270">
        <f>+E65*D65</f>
        <v>770</v>
      </c>
      <c r="G65" s="222">
        <f>+F65/$F$66</f>
        <v>6.670894696502247E-2</v>
      </c>
      <c r="H65" s="234"/>
      <c r="I65" s="234"/>
      <c r="J65" s="224"/>
    </row>
    <row r="66" spans="2:13" ht="13.5" thickBot="1" x14ac:dyDescent="0.3">
      <c r="B66" s="866" t="s">
        <v>196</v>
      </c>
      <c r="C66" s="867"/>
      <c r="D66" s="867"/>
      <c r="E66" s="868"/>
      <c r="F66" s="247">
        <f>SUM(F63:F65)</f>
        <v>11542.679580952379</v>
      </c>
      <c r="G66" s="222">
        <f>+F66/$F$66</f>
        <v>1</v>
      </c>
      <c r="H66" s="869"/>
      <c r="I66" s="234"/>
      <c r="J66" s="224"/>
      <c r="M66" s="207" t="s">
        <v>208</v>
      </c>
    </row>
    <row r="67" spans="2:13" x14ac:dyDescent="0.25">
      <c r="C67" s="229"/>
      <c r="D67" s="229"/>
      <c r="E67" s="279"/>
      <c r="F67" s="270"/>
      <c r="G67" s="222"/>
      <c r="H67" s="869"/>
      <c r="I67" s="278"/>
      <c r="J67" s="207"/>
      <c r="M67" s="207" t="s">
        <v>209</v>
      </c>
    </row>
    <row r="68" spans="2:13" ht="13.5" thickBot="1" x14ac:dyDescent="0.3">
      <c r="B68" s="854" t="s">
        <v>199</v>
      </c>
      <c r="C68" s="854"/>
      <c r="D68" s="854"/>
      <c r="E68" s="854"/>
      <c r="F68" s="854"/>
      <c r="G68" s="222"/>
      <c r="H68" s="281"/>
      <c r="I68" s="278"/>
      <c r="J68" s="207"/>
      <c r="M68" s="207" t="s">
        <v>200</v>
      </c>
    </row>
    <row r="69" spans="2:13" ht="13.5" thickBot="1" x14ac:dyDescent="0.3">
      <c r="B69" s="282" t="s">
        <v>201</v>
      </c>
      <c r="C69" s="283">
        <f>+F53</f>
        <v>10431.959999999999</v>
      </c>
      <c r="D69" s="283">
        <f>+D58</f>
        <v>8000</v>
      </c>
      <c r="E69" s="284">
        <f>+C69/D69</f>
        <v>1.3039949999999998</v>
      </c>
      <c r="F69" s="222"/>
      <c r="G69" s="281"/>
      <c r="H69" s="224"/>
      <c r="I69" s="281"/>
      <c r="J69" s="207"/>
    </row>
    <row r="70" spans="2:13" x14ac:dyDescent="0.25">
      <c r="B70" s="285"/>
      <c r="C70" s="286"/>
      <c r="D70" s="287"/>
      <c r="E70" s="270"/>
      <c r="F70" s="222"/>
      <c r="G70" s="281"/>
      <c r="H70" s="224"/>
      <c r="I70" s="224"/>
      <c r="J70" s="207"/>
    </row>
    <row r="71" spans="2:13" x14ac:dyDescent="0.25">
      <c r="B71" s="282" t="s">
        <v>202</v>
      </c>
      <c r="C71" s="283">
        <f>SUM(F63:F64)</f>
        <v>10772.679580952379</v>
      </c>
      <c r="D71" s="283">
        <f>+D58</f>
        <v>8000</v>
      </c>
      <c r="E71" s="288">
        <f>+C71/D71</f>
        <v>1.3465849476190475</v>
      </c>
      <c r="F71" s="222"/>
      <c r="G71" s="281"/>
      <c r="H71" s="224"/>
      <c r="I71" s="224"/>
      <c r="J71" s="207"/>
    </row>
    <row r="72" spans="2:13" x14ac:dyDescent="0.25">
      <c r="B72" s="282"/>
      <c r="C72" s="283"/>
      <c r="D72" s="283"/>
      <c r="E72" s="288"/>
      <c r="F72" s="222"/>
      <c r="G72" s="281"/>
      <c r="H72" s="224"/>
      <c r="I72" s="224"/>
      <c r="J72" s="207"/>
    </row>
    <row r="73" spans="2:13" ht="13.5" thickBot="1" x14ac:dyDescent="0.3">
      <c r="B73" s="282" t="s">
        <v>203</v>
      </c>
      <c r="C73" s="283">
        <f>+F65</f>
        <v>770</v>
      </c>
      <c r="D73" s="283">
        <f>+D58</f>
        <v>8000</v>
      </c>
      <c r="E73" s="288">
        <f>+C73/D73</f>
        <v>9.6250000000000002E-2</v>
      </c>
      <c r="F73" s="222"/>
      <c r="G73" s="281"/>
      <c r="H73" s="224"/>
      <c r="I73" s="224"/>
      <c r="J73" s="207"/>
    </row>
    <row r="74" spans="2:13" ht="13.5" thickBot="1" x14ac:dyDescent="0.3">
      <c r="B74" s="282" t="s">
        <v>204</v>
      </c>
      <c r="C74" s="283">
        <f>+F56</f>
        <v>1128.7243185714287</v>
      </c>
      <c r="D74" s="283">
        <f>+D73</f>
        <v>8000</v>
      </c>
      <c r="E74" s="284">
        <f>+C74/D74</f>
        <v>0.14109053982142858</v>
      </c>
      <c r="F74" s="222"/>
      <c r="G74" s="281"/>
      <c r="H74" s="224"/>
      <c r="I74" s="224"/>
      <c r="J74" s="207"/>
    </row>
    <row r="75" spans="2:13" ht="13.5" thickBot="1" x14ac:dyDescent="0.3">
      <c r="B75" s="246"/>
      <c r="C75" s="247"/>
      <c r="D75" s="247"/>
      <c r="E75" s="288"/>
      <c r="F75" s="222"/>
      <c r="G75" s="281"/>
      <c r="H75" s="224"/>
      <c r="I75" s="224"/>
      <c r="J75" s="207"/>
    </row>
    <row r="76" spans="2:13" ht="13.5" thickBot="1" x14ac:dyDescent="0.3">
      <c r="B76" s="282" t="s">
        <v>205</v>
      </c>
      <c r="C76" s="283">
        <f>+F54</f>
        <v>132.08038095238098</v>
      </c>
      <c r="D76" s="283">
        <f>+D74</f>
        <v>8000</v>
      </c>
      <c r="E76" s="284">
        <f>+C76/D76</f>
        <v>1.6510047619047622E-2</v>
      </c>
      <c r="F76" s="222"/>
      <c r="G76" s="281"/>
      <c r="H76" s="224"/>
      <c r="I76" s="224"/>
      <c r="J76" s="224"/>
    </row>
    <row r="77" spans="2:13" ht="13.5" thickBot="1" x14ac:dyDescent="0.3">
      <c r="B77" s="246"/>
      <c r="C77" s="247"/>
      <c r="D77" s="247"/>
      <c r="E77" s="288"/>
      <c r="F77" s="222"/>
      <c r="G77" s="281"/>
      <c r="H77" s="224"/>
      <c r="I77" s="224"/>
    </row>
    <row r="78" spans="2:13" ht="13.5" thickBot="1" x14ac:dyDescent="0.3">
      <c r="B78" s="855" t="s">
        <v>206</v>
      </c>
      <c r="C78" s="856"/>
      <c r="D78" s="857"/>
      <c r="E78" s="284">
        <f>+E69+E74</f>
        <v>1.4450855398214284</v>
      </c>
      <c r="G78" s="222"/>
      <c r="H78" s="281"/>
      <c r="I78" s="224"/>
      <c r="J78" s="288"/>
    </row>
    <row r="79" spans="2:13" x14ac:dyDescent="0.25">
      <c r="I79" s="281"/>
      <c r="J79" s="207"/>
    </row>
    <row r="80" spans="2:13" ht="13.5" thickBot="1" x14ac:dyDescent="0.3">
      <c r="B80" s="854" t="s">
        <v>207</v>
      </c>
      <c r="C80" s="854"/>
      <c r="D80" s="854"/>
      <c r="E80" s="854"/>
      <c r="F80" s="854"/>
      <c r="G80" s="222"/>
      <c r="H80" s="281"/>
      <c r="J80" s="207"/>
    </row>
    <row r="81" spans="1:10" ht="13.5" thickBot="1" x14ac:dyDescent="0.3">
      <c r="B81" s="282" t="s">
        <v>201</v>
      </c>
      <c r="C81" s="283">
        <f>+C69</f>
        <v>10431.959999999999</v>
      </c>
      <c r="D81" s="283">
        <f>+D60</f>
        <v>1</v>
      </c>
      <c r="E81" s="284">
        <f>+C81/D81</f>
        <v>10431.959999999999</v>
      </c>
      <c r="F81" s="222"/>
      <c r="G81" s="281"/>
      <c r="H81" s="224"/>
      <c r="I81" s="281"/>
      <c r="J81" s="207"/>
    </row>
    <row r="82" spans="1:10" x14ac:dyDescent="0.25">
      <c r="B82" s="285"/>
      <c r="C82" s="286"/>
      <c r="D82" s="287"/>
      <c r="E82" s="270"/>
      <c r="F82" s="222"/>
      <c r="G82" s="281"/>
      <c r="H82" s="224"/>
      <c r="I82" s="224"/>
      <c r="J82" s="207"/>
    </row>
    <row r="83" spans="1:10" x14ac:dyDescent="0.25">
      <c r="B83" s="282" t="s">
        <v>202</v>
      </c>
      <c r="C83" s="283">
        <f>+C71</f>
        <v>10772.679580952379</v>
      </c>
      <c r="D83" s="283">
        <f>+D60</f>
        <v>1</v>
      </c>
      <c r="E83" s="288">
        <f>+C83/D83</f>
        <v>10772.679580952379</v>
      </c>
      <c r="F83" s="222"/>
      <c r="G83" s="281"/>
      <c r="H83" s="224"/>
      <c r="I83" s="224"/>
      <c r="J83" s="207"/>
    </row>
    <row r="84" spans="1:10" x14ac:dyDescent="0.25">
      <c r="B84" s="282"/>
      <c r="C84" s="283"/>
      <c r="D84" s="283"/>
      <c r="E84" s="288"/>
      <c r="F84" s="222"/>
      <c r="G84" s="281"/>
      <c r="H84" s="224"/>
      <c r="I84" s="224"/>
      <c r="J84" s="207"/>
    </row>
    <row r="85" spans="1:10" ht="13.5" thickBot="1" x14ac:dyDescent="0.3">
      <c r="B85" s="282" t="s">
        <v>204</v>
      </c>
      <c r="C85" s="283">
        <f>+C73</f>
        <v>770</v>
      </c>
      <c r="D85" s="283">
        <f>+D60</f>
        <v>1</v>
      </c>
      <c r="E85" s="288">
        <f>+C85/D85</f>
        <v>770</v>
      </c>
      <c r="F85" s="290"/>
      <c r="G85" s="280"/>
      <c r="H85" s="206"/>
      <c r="I85" s="224"/>
    </row>
    <row r="86" spans="1:10" ht="13.5" thickBot="1" x14ac:dyDescent="0.3">
      <c r="B86" s="282" t="s">
        <v>204</v>
      </c>
      <c r="C86" s="283">
        <f>+C74</f>
        <v>1128.7243185714287</v>
      </c>
      <c r="D86" s="283">
        <f>+D85</f>
        <v>1</v>
      </c>
      <c r="E86" s="284">
        <f>+C86/D86</f>
        <v>1128.7243185714287</v>
      </c>
      <c r="F86" s="289"/>
      <c r="G86" s="280"/>
      <c r="H86" s="206"/>
      <c r="I86" s="206"/>
    </row>
    <row r="87" spans="1:10" x14ac:dyDescent="0.25">
      <c r="I87" s="206"/>
    </row>
    <row r="88" spans="1:10" x14ac:dyDescent="0.2">
      <c r="A88" s="858"/>
      <c r="B88" s="858"/>
      <c r="C88" s="291"/>
      <c r="D88" s="291"/>
      <c r="E88" s="292"/>
      <c r="G88" s="293"/>
    </row>
    <row r="89" spans="1:10" x14ac:dyDescent="0.2">
      <c r="A89" s="225"/>
      <c r="B89" s="294"/>
      <c r="C89" s="295"/>
      <c r="D89" s="295"/>
      <c r="E89" s="296"/>
      <c r="G89" s="293"/>
    </row>
    <row r="90" spans="1:10" x14ac:dyDescent="0.2">
      <c r="A90" s="225"/>
      <c r="B90" s="294"/>
      <c r="C90" s="297"/>
      <c r="D90" s="297"/>
      <c r="E90" s="225"/>
      <c r="G90" s="293"/>
    </row>
    <row r="91" spans="1:10" x14ac:dyDescent="0.2">
      <c r="A91" s="225"/>
      <c r="B91" s="294"/>
      <c r="C91" s="298"/>
      <c r="D91" s="298"/>
      <c r="E91" s="225"/>
      <c r="G91" s="293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9526-6971-4B52-A715-A3E754B657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4F646-2B0F-4088-9710-FBC66178E0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7D9615-994A-4642-8FD2-7FE04F5ACC8E}"/>
</file>

<file path=customXml/itemProps2.xml><?xml version="1.0" encoding="utf-8"?>
<ds:datastoreItem xmlns:ds="http://schemas.openxmlformats.org/officeDocument/2006/customXml" ds:itemID="{ABFA3C92-EA4A-4C24-9B6D-6A33D0594AC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A4E5339-ACF7-4BE8-92E8-B16C82592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2</vt:i4>
      </vt:variant>
    </vt:vector>
  </HeadingPairs>
  <TitlesOfParts>
    <vt:vector size="26" baseType="lpstr">
      <vt:lpstr>Emsamble Industria</vt:lpstr>
      <vt:lpstr>Ensamble Industria 2</vt:lpstr>
      <vt:lpstr>Rosquete Choco Dawn</vt:lpstr>
      <vt:lpstr>Batido Nucleo chocolate Dawn</vt:lpstr>
      <vt:lpstr>Premezcla Batido Choco Dawn</vt:lpstr>
      <vt:lpstr>Leches Pasteurizada c Agua</vt:lpstr>
      <vt:lpstr>Mezcla leche Pasteuriza </vt:lpstr>
      <vt:lpstr>Mousse Chocolate Leche </vt:lpstr>
      <vt:lpstr>Ganache Chocolate Oscuro</vt:lpstr>
      <vt:lpstr>Crema Beidge</vt:lpstr>
      <vt:lpstr>Crema Chantilly blanca </vt:lpstr>
      <vt:lpstr>Emsamble Locales</vt:lpstr>
      <vt:lpstr>costo ensamble</vt:lpstr>
      <vt:lpstr>Pelado de chocolate</vt:lpstr>
      <vt:lpstr>Costo pelado de chocolate</vt:lpstr>
      <vt:lpstr>Rosquete Brownie 2</vt:lpstr>
      <vt:lpstr>Batido Brownie Casero</vt:lpstr>
      <vt:lpstr>Premezcla Brownie Casero</vt:lpstr>
      <vt:lpstr>Rosquete</vt:lpstr>
      <vt:lpstr>costo Rosquete</vt:lpstr>
      <vt:lpstr>Batido</vt:lpstr>
      <vt:lpstr>Costo Batido</vt:lpstr>
      <vt:lpstr>Hoja4</vt:lpstr>
      <vt:lpstr>Hoja5</vt:lpstr>
      <vt:lpstr>'Emsamble Industria'!Área_de_impresión</vt:lpstr>
      <vt:lpstr>'Pelado de chocolate'!Área_de_impresión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</cp:lastModifiedBy>
  <cp:lastPrinted>2025-03-25T22:56:57Z</cp:lastPrinted>
  <dcterms:created xsi:type="dcterms:W3CDTF">2023-12-15T05:05:18Z</dcterms:created>
  <dcterms:modified xsi:type="dcterms:W3CDTF">2026-02-02T17:36:35Z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
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A65B704C-8CAE-46DB-8271-699CF5B019B6}" xr6:coauthVersionLast="47" xr6:coauthVersionMax="47" xr10:uidLastSave="{B5B84D88-E3D9-4E76-9BD5-A7AA4BF63B28}"/>
  <bookViews>
    <workbookView xWindow="-120" yWindow="-120" windowWidth="20730" windowHeight="11040" tabRatio="844" firstSheet="6" activeTab="6" xr2:uid="{86A95AF8-34C1-4DB7-AE30-E3F9DEB6557E}"/>
  </bookViews>
  <sheets>
    <sheet name="Cuchareable Choco Mani " sheetId="7" state="hidden" r:id="rId1"/>
    <sheet name="Costo Cuchareable Choco Mani" sheetId="18" state="hidden" r:id="rId2"/>
    <sheet name="Costo Ganache Oscuro suave" sheetId="17" state="hidden" r:id="rId3"/>
    <sheet name="costo chocolate con mani" sheetId="16" state="hidden" r:id="rId4"/>
    <sheet name="Costo Procesado chocol con mani" sheetId="15" state="hidden" r:id="rId5"/>
    <sheet name="Costo Relleno Mantequilla Mani" sheetId="14" state="hidden" r:id="rId6"/>
    <sheet name="Mani Tostado" sheetId="12" r:id="rId7"/>
    <sheet name="Costo Mani Tostado" sheetId="13" state="hidden" r:id="rId8"/>
  </sheets>
  <externalReferences>
    <externalReference r:id="rId9"/>
    <externalReference r:id="rId10"/>
  </externalReferences>
  <definedNames>
    <definedName name="_xlnm.Print_Area" localSheetId="6">'Mani Tostado'!$A$1:$I$30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8" l="1"/>
  <c r="M27" i="18"/>
  <c r="M8" i="14"/>
  <c r="E30" i="18"/>
  <c r="C30" i="18"/>
  <c r="B30" i="18"/>
  <c r="E29" i="18"/>
  <c r="F29" i="18" s="1"/>
  <c r="D29" i="18"/>
  <c r="C29" i="18"/>
  <c r="B29" i="18"/>
  <c r="E28" i="18"/>
  <c r="D28" i="18"/>
  <c r="C28" i="18"/>
  <c r="B28" i="18"/>
  <c r="C27" i="18"/>
  <c r="F27" i="18" s="1"/>
  <c r="F28" i="18" l="1"/>
  <c r="F30" i="18"/>
  <c r="B8" i="15" l="1"/>
  <c r="D8" i="15"/>
  <c r="M9" i="13"/>
  <c r="D73" i="18"/>
  <c r="D74" i="18" s="1"/>
  <c r="D76" i="18" s="1"/>
  <c r="D71" i="18"/>
  <c r="D69" i="18"/>
  <c r="F65" i="18"/>
  <c r="C73" i="18" s="1"/>
  <c r="D60" i="18"/>
  <c r="D83" i="18" s="1"/>
  <c r="E51" i="18"/>
  <c r="C51" i="18"/>
  <c r="A45" i="18"/>
  <c r="C45" i="18" s="1"/>
  <c r="A41" i="18"/>
  <c r="A50" i="18" s="1"/>
  <c r="C50" i="18" s="1"/>
  <c r="A40" i="18"/>
  <c r="C40" i="18" s="1"/>
  <c r="A39" i="18"/>
  <c r="C39" i="18" s="1"/>
  <c r="A38" i="18"/>
  <c r="A47" i="18" s="1"/>
  <c r="C47" i="18" s="1"/>
  <c r="A37" i="18"/>
  <c r="A46" i="18" s="1"/>
  <c r="C46" i="18" s="1"/>
  <c r="A36" i="18"/>
  <c r="C36" i="18" s="1"/>
  <c r="A35" i="18"/>
  <c r="C35" i="18" s="1"/>
  <c r="E32" i="18"/>
  <c r="F32" i="18" s="1"/>
  <c r="D32" i="18"/>
  <c r="C32" i="18"/>
  <c r="B32" i="18"/>
  <c r="F31" i="18"/>
  <c r="C31" i="18"/>
  <c r="E24" i="18"/>
  <c r="F24" i="18" s="1"/>
  <c r="D24" i="18"/>
  <c r="C24" i="18"/>
  <c r="B24" i="18"/>
  <c r="C23" i="18"/>
  <c r="C22" i="18"/>
  <c r="C21" i="18"/>
  <c r="C20" i="18"/>
  <c r="C19" i="18"/>
  <c r="C18" i="18"/>
  <c r="C17" i="18"/>
  <c r="B15" i="18"/>
  <c r="E14" i="18"/>
  <c r="F14" i="18" s="1"/>
  <c r="D14" i="18"/>
  <c r="C14" i="18"/>
  <c r="B14" i="18"/>
  <c r="E13" i="18"/>
  <c r="F13" i="18" s="1"/>
  <c r="D13" i="18"/>
  <c r="C13" i="18"/>
  <c r="B13" i="18"/>
  <c r="E12" i="18"/>
  <c r="F12" i="18" s="1"/>
  <c r="D12" i="18"/>
  <c r="C12" i="18"/>
  <c r="B12" i="18"/>
  <c r="E11" i="18"/>
  <c r="D11" i="18"/>
  <c r="C11" i="18"/>
  <c r="B11" i="18"/>
  <c r="E10" i="18"/>
  <c r="F10" i="18" s="1"/>
  <c r="D10" i="18"/>
  <c r="C10" i="18"/>
  <c r="B10" i="18"/>
  <c r="E9" i="18"/>
  <c r="F9" i="18" s="1"/>
  <c r="D9" i="18"/>
  <c r="C9" i="18"/>
  <c r="B9" i="18"/>
  <c r="E8" i="18"/>
  <c r="F8" i="18" s="1"/>
  <c r="D8" i="18"/>
  <c r="C8" i="18"/>
  <c r="B8" i="18"/>
  <c r="H6" i="18"/>
  <c r="D73" i="17"/>
  <c r="D74" i="17" s="1"/>
  <c r="D76" i="17" s="1"/>
  <c r="D71" i="17"/>
  <c r="D69" i="17"/>
  <c r="F65" i="17"/>
  <c r="D60" i="17"/>
  <c r="D81" i="17" s="1"/>
  <c r="E51" i="17"/>
  <c r="F51" i="17" s="1"/>
  <c r="C51" i="17"/>
  <c r="E50" i="17"/>
  <c r="D50" i="17"/>
  <c r="B50" i="17"/>
  <c r="E49" i="17"/>
  <c r="D49" i="17"/>
  <c r="B49" i="17"/>
  <c r="E48" i="17"/>
  <c r="D48" i="17"/>
  <c r="B48" i="17"/>
  <c r="E47" i="17"/>
  <c r="D47" i="17"/>
  <c r="B47" i="17"/>
  <c r="E46" i="17"/>
  <c r="D46" i="17"/>
  <c r="B46" i="17"/>
  <c r="E45" i="17"/>
  <c r="D45" i="17"/>
  <c r="B45" i="17"/>
  <c r="E44" i="17"/>
  <c r="D44" i="17"/>
  <c r="B44" i="17"/>
  <c r="E41" i="17"/>
  <c r="D41" i="17"/>
  <c r="B41" i="17"/>
  <c r="A41" i="17"/>
  <c r="A50" i="17" s="1"/>
  <c r="C50" i="17" s="1"/>
  <c r="E40" i="17"/>
  <c r="D40" i="17"/>
  <c r="B40" i="17"/>
  <c r="A40" i="17"/>
  <c r="C40" i="17" s="1"/>
  <c r="E39" i="17"/>
  <c r="D39" i="17"/>
  <c r="B39" i="17"/>
  <c r="A39" i="17"/>
  <c r="C39" i="17" s="1"/>
  <c r="E38" i="17"/>
  <c r="D38" i="17"/>
  <c r="B38" i="17"/>
  <c r="A38" i="17"/>
  <c r="C38" i="17" s="1"/>
  <c r="E37" i="17"/>
  <c r="D37" i="17"/>
  <c r="B37" i="17"/>
  <c r="A37" i="17"/>
  <c r="C37" i="17" s="1"/>
  <c r="E36" i="17"/>
  <c r="D36" i="17"/>
  <c r="B36" i="17"/>
  <c r="A36" i="17"/>
  <c r="A45" i="17" s="1"/>
  <c r="C45" i="17" s="1"/>
  <c r="E35" i="17"/>
  <c r="F35" i="17" s="1"/>
  <c r="D35" i="17"/>
  <c r="C35" i="17"/>
  <c r="B35" i="17"/>
  <c r="A35" i="17"/>
  <c r="A44" i="17" s="1"/>
  <c r="C44" i="17" s="1"/>
  <c r="E32" i="17"/>
  <c r="D32" i="17"/>
  <c r="C32" i="17"/>
  <c r="B32" i="17"/>
  <c r="E31" i="17"/>
  <c r="D31" i="17"/>
  <c r="C31" i="17"/>
  <c r="B31" i="17"/>
  <c r="E30" i="17"/>
  <c r="F30" i="17" s="1"/>
  <c r="D30" i="17"/>
  <c r="C30" i="17"/>
  <c r="B30" i="17"/>
  <c r="E29" i="17"/>
  <c r="D29" i="17"/>
  <c r="C29" i="17"/>
  <c r="B29" i="17"/>
  <c r="E28" i="17"/>
  <c r="F28" i="17" s="1"/>
  <c r="D28" i="17"/>
  <c r="C28" i="17"/>
  <c r="B28" i="17"/>
  <c r="E27" i="17"/>
  <c r="F27" i="17" s="1"/>
  <c r="D27" i="17"/>
  <c r="C27" i="17"/>
  <c r="B27" i="17"/>
  <c r="E24" i="17"/>
  <c r="F24" i="17" s="1"/>
  <c r="D24" i="17"/>
  <c r="C24" i="17"/>
  <c r="B24" i="17"/>
  <c r="E23" i="17"/>
  <c r="F23" i="17" s="1"/>
  <c r="D23" i="17"/>
  <c r="C23" i="17"/>
  <c r="B23" i="17"/>
  <c r="E22" i="17"/>
  <c r="F22" i="17" s="1"/>
  <c r="D22" i="17"/>
  <c r="C22" i="17"/>
  <c r="B22" i="17"/>
  <c r="E21" i="17"/>
  <c r="F21" i="17" s="1"/>
  <c r="D21" i="17"/>
  <c r="C21" i="17"/>
  <c r="B21" i="17"/>
  <c r="E20" i="17"/>
  <c r="F20" i="17" s="1"/>
  <c r="D20" i="17"/>
  <c r="C20" i="17"/>
  <c r="B20" i="17"/>
  <c r="E19" i="17"/>
  <c r="F19" i="17" s="1"/>
  <c r="D19" i="17"/>
  <c r="C19" i="17"/>
  <c r="B19" i="17"/>
  <c r="E18" i="17"/>
  <c r="F18" i="17" s="1"/>
  <c r="D18" i="17"/>
  <c r="C18" i="17"/>
  <c r="B18" i="17"/>
  <c r="E17" i="17"/>
  <c r="F17" i="17" s="1"/>
  <c r="D17" i="17"/>
  <c r="C17" i="17"/>
  <c r="B17" i="17"/>
  <c r="B15" i="17"/>
  <c r="E14" i="17"/>
  <c r="F14" i="17" s="1"/>
  <c r="D14" i="17"/>
  <c r="C14" i="17"/>
  <c r="B14" i="17"/>
  <c r="E13" i="17"/>
  <c r="F13" i="17" s="1"/>
  <c r="D13" i="17"/>
  <c r="C13" i="17"/>
  <c r="B13" i="17"/>
  <c r="E12" i="17"/>
  <c r="F12" i="17" s="1"/>
  <c r="D12" i="17"/>
  <c r="C12" i="17"/>
  <c r="B12" i="17"/>
  <c r="E11" i="17"/>
  <c r="F11" i="17" s="1"/>
  <c r="D11" i="17"/>
  <c r="C11" i="17"/>
  <c r="B11" i="17"/>
  <c r="E10" i="17"/>
  <c r="F10" i="17" s="1"/>
  <c r="D10" i="17"/>
  <c r="C10" i="17"/>
  <c r="B10" i="17"/>
  <c r="C9" i="17"/>
  <c r="F8" i="17"/>
  <c r="D8" i="17"/>
  <c r="C8" i="17"/>
  <c r="B8" i="17"/>
  <c r="H6" i="17"/>
  <c r="D83" i="16"/>
  <c r="D81" i="16"/>
  <c r="D73" i="16"/>
  <c r="D74" i="16" s="1"/>
  <c r="D76" i="16" s="1"/>
  <c r="D71" i="16"/>
  <c r="D69" i="16"/>
  <c r="F65" i="16"/>
  <c r="E51" i="16" s="1"/>
  <c r="D60" i="16"/>
  <c r="D85" i="16" s="1"/>
  <c r="D86" i="16" s="1"/>
  <c r="C51" i="16"/>
  <c r="F51" i="16" s="1"/>
  <c r="E50" i="16"/>
  <c r="D50" i="16"/>
  <c r="B50" i="16"/>
  <c r="E49" i="16"/>
  <c r="D49" i="16"/>
  <c r="B49" i="16"/>
  <c r="E48" i="16"/>
  <c r="D48" i="16"/>
  <c r="B48" i="16"/>
  <c r="E47" i="16"/>
  <c r="D47" i="16"/>
  <c r="B47" i="16"/>
  <c r="E46" i="16"/>
  <c r="D46" i="16"/>
  <c r="B46" i="16"/>
  <c r="E45" i="16"/>
  <c r="D45" i="16"/>
  <c r="B45" i="16"/>
  <c r="E41" i="16"/>
  <c r="D41" i="16"/>
  <c r="B41" i="16"/>
  <c r="A41" i="16"/>
  <c r="A50" i="16" s="1"/>
  <c r="C50" i="16" s="1"/>
  <c r="E40" i="16"/>
  <c r="D40" i="16"/>
  <c r="B40" i="16"/>
  <c r="A40" i="16"/>
  <c r="C40" i="16" s="1"/>
  <c r="E39" i="16"/>
  <c r="D39" i="16"/>
  <c r="B39" i="16"/>
  <c r="A39" i="16"/>
  <c r="C39" i="16" s="1"/>
  <c r="E38" i="16"/>
  <c r="D38" i="16"/>
  <c r="B38" i="16"/>
  <c r="A38" i="16"/>
  <c r="C38" i="16" s="1"/>
  <c r="E37" i="16"/>
  <c r="D37" i="16"/>
  <c r="B37" i="16"/>
  <c r="A37" i="16"/>
  <c r="A46" i="16" s="1"/>
  <c r="C46" i="16" s="1"/>
  <c r="E36" i="16"/>
  <c r="D36" i="16"/>
  <c r="B36" i="16"/>
  <c r="A36" i="16"/>
  <c r="A45" i="16" s="1"/>
  <c r="C45" i="16" s="1"/>
  <c r="A35" i="16"/>
  <c r="C35" i="16" s="1"/>
  <c r="E32" i="16"/>
  <c r="F32" i="16" s="1"/>
  <c r="D32" i="16"/>
  <c r="C32" i="16"/>
  <c r="B32" i="16"/>
  <c r="E31" i="16"/>
  <c r="D31" i="16"/>
  <c r="C31" i="16"/>
  <c r="B31" i="16"/>
  <c r="E30" i="16"/>
  <c r="F30" i="16" s="1"/>
  <c r="D30" i="16"/>
  <c r="C30" i="16"/>
  <c r="B30" i="16"/>
  <c r="E29" i="16"/>
  <c r="D29" i="16"/>
  <c r="C29" i="16"/>
  <c r="B29" i="16"/>
  <c r="E28" i="16"/>
  <c r="F28" i="16" s="1"/>
  <c r="D28" i="16"/>
  <c r="C28" i="16"/>
  <c r="B28" i="16"/>
  <c r="E27" i="16"/>
  <c r="D27" i="16"/>
  <c r="C27" i="16"/>
  <c r="B27" i="16"/>
  <c r="E24" i="16"/>
  <c r="F24" i="16" s="1"/>
  <c r="D24" i="16"/>
  <c r="C24" i="16"/>
  <c r="B24" i="16"/>
  <c r="E23" i="16"/>
  <c r="F23" i="16" s="1"/>
  <c r="D23" i="16"/>
  <c r="C23" i="16"/>
  <c r="B23" i="16"/>
  <c r="E22" i="16"/>
  <c r="F22" i="16" s="1"/>
  <c r="D22" i="16"/>
  <c r="C22" i="16"/>
  <c r="B22" i="16"/>
  <c r="E21" i="16"/>
  <c r="F21" i="16" s="1"/>
  <c r="D21" i="16"/>
  <c r="C21" i="16"/>
  <c r="B21" i="16"/>
  <c r="E20" i="16"/>
  <c r="F20" i="16" s="1"/>
  <c r="D20" i="16"/>
  <c r="C20" i="16"/>
  <c r="B20" i="16"/>
  <c r="E19" i="16"/>
  <c r="F19" i="16" s="1"/>
  <c r="D19" i="16"/>
  <c r="C19" i="16"/>
  <c r="B19" i="16"/>
  <c r="E18" i="16"/>
  <c r="F18" i="16" s="1"/>
  <c r="D18" i="16"/>
  <c r="C18" i="16"/>
  <c r="B18" i="16"/>
  <c r="C17" i="16"/>
  <c r="B15" i="16"/>
  <c r="E14" i="16"/>
  <c r="F14" i="16" s="1"/>
  <c r="D14" i="16"/>
  <c r="C14" i="16"/>
  <c r="B14" i="16"/>
  <c r="E13" i="16"/>
  <c r="F13" i="16" s="1"/>
  <c r="D13" i="16"/>
  <c r="C13" i="16"/>
  <c r="B13" i="16"/>
  <c r="E12" i="16"/>
  <c r="F12" i="16" s="1"/>
  <c r="D12" i="16"/>
  <c r="C12" i="16"/>
  <c r="B12" i="16"/>
  <c r="E11" i="16"/>
  <c r="D11" i="16"/>
  <c r="C11" i="16"/>
  <c r="B11" i="16"/>
  <c r="E10" i="16"/>
  <c r="F10" i="16" s="1"/>
  <c r="D10" i="16"/>
  <c r="C10" i="16"/>
  <c r="B10" i="16"/>
  <c r="E9" i="16"/>
  <c r="F9" i="16" s="1"/>
  <c r="D9" i="16"/>
  <c r="C9" i="16"/>
  <c r="B9" i="16"/>
  <c r="C8" i="16"/>
  <c r="H6" i="16"/>
  <c r="D73" i="15"/>
  <c r="D74" i="15" s="1"/>
  <c r="D76" i="15" s="1"/>
  <c r="D71" i="15"/>
  <c r="D69" i="15"/>
  <c r="F65" i="15"/>
  <c r="C73" i="15" s="1"/>
  <c r="D60" i="15"/>
  <c r="D85" i="15" s="1"/>
  <c r="D86" i="15" s="1"/>
  <c r="E51" i="15"/>
  <c r="C51" i="15"/>
  <c r="F51" i="15" s="1"/>
  <c r="E50" i="15"/>
  <c r="D50" i="15"/>
  <c r="B50" i="15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A45" i="15"/>
  <c r="C45" i="15" s="1"/>
  <c r="E41" i="15"/>
  <c r="D41" i="15"/>
  <c r="B41" i="15"/>
  <c r="A41" i="15"/>
  <c r="A50" i="15" s="1"/>
  <c r="C50" i="15" s="1"/>
  <c r="E40" i="15"/>
  <c r="D40" i="15"/>
  <c r="B40" i="15"/>
  <c r="A40" i="15"/>
  <c r="C40" i="15" s="1"/>
  <c r="E39" i="15"/>
  <c r="D39" i="15"/>
  <c r="B39" i="15"/>
  <c r="A39" i="15"/>
  <c r="C39" i="15" s="1"/>
  <c r="E38" i="15"/>
  <c r="D38" i="15"/>
  <c r="B38" i="15"/>
  <c r="A38" i="15"/>
  <c r="A47" i="15" s="1"/>
  <c r="C47" i="15" s="1"/>
  <c r="E37" i="15"/>
  <c r="D37" i="15"/>
  <c r="B37" i="15"/>
  <c r="A37" i="15"/>
  <c r="C37" i="15" s="1"/>
  <c r="E36" i="15"/>
  <c r="D36" i="15"/>
  <c r="C36" i="15"/>
  <c r="B36" i="15"/>
  <c r="A36" i="15"/>
  <c r="C35" i="15"/>
  <c r="A35" i="15"/>
  <c r="A44" i="15" s="1"/>
  <c r="C44" i="15" s="1"/>
  <c r="E32" i="15"/>
  <c r="F32" i="15" s="1"/>
  <c r="D32" i="15"/>
  <c r="C32" i="15"/>
  <c r="B32" i="15"/>
  <c r="E31" i="15"/>
  <c r="F31" i="15" s="1"/>
  <c r="D31" i="15"/>
  <c r="C31" i="15"/>
  <c r="B31" i="15"/>
  <c r="E30" i="15"/>
  <c r="F30" i="15" s="1"/>
  <c r="D30" i="15"/>
  <c r="C30" i="15"/>
  <c r="B30" i="15"/>
  <c r="E29" i="15"/>
  <c r="F29" i="15" s="1"/>
  <c r="D29" i="15"/>
  <c r="C29" i="15"/>
  <c r="B29" i="15"/>
  <c r="C28" i="15"/>
  <c r="C27" i="15"/>
  <c r="E24" i="15"/>
  <c r="F24" i="15" s="1"/>
  <c r="D24" i="15"/>
  <c r="C24" i="15"/>
  <c r="B24" i="15"/>
  <c r="E23" i="15"/>
  <c r="F23" i="15" s="1"/>
  <c r="D23" i="15"/>
  <c r="C23" i="15"/>
  <c r="B23" i="15"/>
  <c r="E22" i="15"/>
  <c r="F22" i="15" s="1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F18" i="15" s="1"/>
  <c r="D18" i="15"/>
  <c r="C18" i="15"/>
  <c r="B18" i="15"/>
  <c r="C17" i="15"/>
  <c r="B15" i="15"/>
  <c r="E14" i="15"/>
  <c r="F14" i="15" s="1"/>
  <c r="D14" i="15"/>
  <c r="C14" i="15"/>
  <c r="B14" i="15"/>
  <c r="E13" i="15"/>
  <c r="D13" i="15"/>
  <c r="C13" i="15"/>
  <c r="B13" i="15"/>
  <c r="E12" i="15"/>
  <c r="F12" i="15" s="1"/>
  <c r="D12" i="15"/>
  <c r="C12" i="15"/>
  <c r="B12" i="15"/>
  <c r="E11" i="15"/>
  <c r="F11" i="15" s="1"/>
  <c r="D11" i="15"/>
  <c r="C11" i="15"/>
  <c r="B11" i="15"/>
  <c r="E10" i="15"/>
  <c r="F10" i="15" s="1"/>
  <c r="D10" i="15"/>
  <c r="C10" i="15"/>
  <c r="B10" i="15"/>
  <c r="E9" i="15"/>
  <c r="F9" i="15" s="1"/>
  <c r="D9" i="15"/>
  <c r="C9" i="15"/>
  <c r="B9" i="15"/>
  <c r="E8" i="15"/>
  <c r="C8" i="15"/>
  <c r="H6" i="15"/>
  <c r="D73" i="14"/>
  <c r="D74" i="14" s="1"/>
  <c r="D76" i="14" s="1"/>
  <c r="C73" i="14"/>
  <c r="C85" i="14" s="1"/>
  <c r="D71" i="14"/>
  <c r="D69" i="14"/>
  <c r="F65" i="14"/>
  <c r="E51" i="14" s="1"/>
  <c r="F51" i="14" s="1"/>
  <c r="D60" i="14"/>
  <c r="D85" i="14" s="1"/>
  <c r="D86" i="14" s="1"/>
  <c r="C51" i="14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A45" i="14"/>
  <c r="C45" i="14" s="1"/>
  <c r="E44" i="14"/>
  <c r="D44" i="14"/>
  <c r="B44" i="14"/>
  <c r="E41" i="14"/>
  <c r="D41" i="14"/>
  <c r="B41" i="14"/>
  <c r="A41" i="14"/>
  <c r="A50" i="14" s="1"/>
  <c r="C50" i="14" s="1"/>
  <c r="E40" i="14"/>
  <c r="D40" i="14"/>
  <c r="B40" i="14"/>
  <c r="A40" i="14"/>
  <c r="C40" i="14" s="1"/>
  <c r="E39" i="14"/>
  <c r="F39" i="14" s="1"/>
  <c r="D39" i="14"/>
  <c r="B39" i="14"/>
  <c r="A39" i="14"/>
  <c r="C39" i="14" s="1"/>
  <c r="E38" i="14"/>
  <c r="D38" i="14"/>
  <c r="B38" i="14"/>
  <c r="A38" i="14"/>
  <c r="C38" i="14" s="1"/>
  <c r="E37" i="14"/>
  <c r="D37" i="14"/>
  <c r="B37" i="14"/>
  <c r="A37" i="14"/>
  <c r="A46" i="14" s="1"/>
  <c r="C46" i="14" s="1"/>
  <c r="E36" i="14"/>
  <c r="F36" i="14" s="1"/>
  <c r="D36" i="14"/>
  <c r="C36" i="14"/>
  <c r="B36" i="14"/>
  <c r="A36" i="14"/>
  <c r="E35" i="14"/>
  <c r="F35" i="14" s="1"/>
  <c r="D35" i="14"/>
  <c r="B35" i="14"/>
  <c r="A35" i="14"/>
  <c r="C35" i="14" s="1"/>
  <c r="E32" i="14"/>
  <c r="D32" i="14"/>
  <c r="C32" i="14"/>
  <c r="B32" i="14"/>
  <c r="E31" i="14"/>
  <c r="D31" i="14"/>
  <c r="C31" i="14"/>
  <c r="B31" i="14"/>
  <c r="E30" i="14"/>
  <c r="D30" i="14"/>
  <c r="C30" i="14"/>
  <c r="B30" i="14"/>
  <c r="E29" i="14"/>
  <c r="D29" i="14"/>
  <c r="C29" i="14"/>
  <c r="B29" i="14"/>
  <c r="E28" i="14"/>
  <c r="F28" i="14" s="1"/>
  <c r="D28" i="14"/>
  <c r="C28" i="14"/>
  <c r="B28" i="14"/>
  <c r="E27" i="14"/>
  <c r="D27" i="14"/>
  <c r="C27" i="14"/>
  <c r="B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E18" i="14"/>
  <c r="F18" i="14" s="1"/>
  <c r="D18" i="14"/>
  <c r="C18" i="14"/>
  <c r="B18" i="14"/>
  <c r="E17" i="14"/>
  <c r="F17" i="14" s="1"/>
  <c r="D17" i="14"/>
  <c r="C17" i="14"/>
  <c r="B17" i="14"/>
  <c r="B15" i="14"/>
  <c r="E14" i="14"/>
  <c r="F14" i="14" s="1"/>
  <c r="D14" i="14"/>
  <c r="C14" i="14"/>
  <c r="B14" i="14"/>
  <c r="E13" i="14"/>
  <c r="D13" i="14"/>
  <c r="C13" i="14"/>
  <c r="B13" i="14"/>
  <c r="E12" i="14"/>
  <c r="D12" i="14"/>
  <c r="C12" i="14"/>
  <c r="B12" i="14"/>
  <c r="E11" i="14"/>
  <c r="F11" i="14" s="1"/>
  <c r="D11" i="14"/>
  <c r="C11" i="14"/>
  <c r="B11" i="14"/>
  <c r="C10" i="14"/>
  <c r="C9" i="14"/>
  <c r="F8" i="14"/>
  <c r="C8" i="14"/>
  <c r="H6" i="14"/>
  <c r="D73" i="13"/>
  <c r="D74" i="13" s="1"/>
  <c r="D76" i="13" s="1"/>
  <c r="D71" i="13"/>
  <c r="D69" i="13"/>
  <c r="F65" i="13"/>
  <c r="E51" i="13" s="1"/>
  <c r="D60" i="13"/>
  <c r="D85" i="13" s="1"/>
  <c r="D86" i="13" s="1"/>
  <c r="C51" i="13"/>
  <c r="F51" i="13" s="1"/>
  <c r="E50" i="13"/>
  <c r="D50" i="13"/>
  <c r="B50" i="13"/>
  <c r="E49" i="13"/>
  <c r="D49" i="13"/>
  <c r="B49" i="13"/>
  <c r="E48" i="13"/>
  <c r="D48" i="13"/>
  <c r="B48" i="13"/>
  <c r="E47" i="13"/>
  <c r="D47" i="13"/>
  <c r="B47" i="13"/>
  <c r="E46" i="13"/>
  <c r="D46" i="13"/>
  <c r="B46" i="13"/>
  <c r="E45" i="13"/>
  <c r="D45" i="13"/>
  <c r="B45" i="13"/>
  <c r="E44" i="13"/>
  <c r="D44" i="13"/>
  <c r="B44" i="13"/>
  <c r="E41" i="13"/>
  <c r="D41" i="13"/>
  <c r="B41" i="13"/>
  <c r="A41" i="13"/>
  <c r="A50" i="13" s="1"/>
  <c r="C50" i="13" s="1"/>
  <c r="E40" i="13"/>
  <c r="D40" i="13"/>
  <c r="B40" i="13"/>
  <c r="A40" i="13"/>
  <c r="C40" i="13" s="1"/>
  <c r="E39" i="13"/>
  <c r="D39" i="13"/>
  <c r="B39" i="13"/>
  <c r="A39" i="13"/>
  <c r="C39" i="13" s="1"/>
  <c r="E38" i="13"/>
  <c r="D38" i="13"/>
  <c r="B38" i="13"/>
  <c r="A38" i="13"/>
  <c r="C38" i="13" s="1"/>
  <c r="E37" i="13"/>
  <c r="D37" i="13"/>
  <c r="B37" i="13"/>
  <c r="A37" i="13"/>
  <c r="C37" i="13" s="1"/>
  <c r="E36" i="13"/>
  <c r="F36" i="13" s="1"/>
  <c r="D36" i="13"/>
  <c r="C36" i="13"/>
  <c r="B36" i="13"/>
  <c r="A36" i="13"/>
  <c r="A45" i="13" s="1"/>
  <c r="C45" i="13" s="1"/>
  <c r="E35" i="13"/>
  <c r="D35" i="13"/>
  <c r="C35" i="13"/>
  <c r="B35" i="13"/>
  <c r="A35" i="13"/>
  <c r="A44" i="13" s="1"/>
  <c r="C44" i="13" s="1"/>
  <c r="E32" i="13"/>
  <c r="D32" i="13"/>
  <c r="C32" i="13"/>
  <c r="B32" i="13"/>
  <c r="E31" i="13"/>
  <c r="F31" i="13" s="1"/>
  <c r="D31" i="13"/>
  <c r="C31" i="13"/>
  <c r="B31" i="13"/>
  <c r="E30" i="13"/>
  <c r="F30" i="13" s="1"/>
  <c r="D30" i="13"/>
  <c r="C30" i="13"/>
  <c r="B30" i="13"/>
  <c r="E29" i="13"/>
  <c r="D29" i="13"/>
  <c r="C29" i="13"/>
  <c r="B29" i="13"/>
  <c r="E28" i="13"/>
  <c r="F28" i="13" s="1"/>
  <c r="D28" i="13"/>
  <c r="C28" i="13"/>
  <c r="B28" i="13"/>
  <c r="F27" i="13"/>
  <c r="C27" i="13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 s="1"/>
  <c r="D19" i="13"/>
  <c r="C19" i="13"/>
  <c r="B19" i="13"/>
  <c r="E18" i="13"/>
  <c r="F18" i="13" s="1"/>
  <c r="D18" i="13"/>
  <c r="C18" i="13"/>
  <c r="B18" i="13"/>
  <c r="E17" i="13"/>
  <c r="F17" i="13" s="1"/>
  <c r="D17" i="13"/>
  <c r="C17" i="13"/>
  <c r="B17" i="13"/>
  <c r="B15" i="13"/>
  <c r="E14" i="13"/>
  <c r="D14" i="13"/>
  <c r="C14" i="13"/>
  <c r="B14" i="13"/>
  <c r="E13" i="13"/>
  <c r="D13" i="13"/>
  <c r="C13" i="13"/>
  <c r="B13" i="13"/>
  <c r="E12" i="13"/>
  <c r="D12" i="13"/>
  <c r="C12" i="13"/>
  <c r="B12" i="13"/>
  <c r="E11" i="13"/>
  <c r="D11" i="13"/>
  <c r="C11" i="13"/>
  <c r="B11" i="13"/>
  <c r="E10" i="13"/>
  <c r="D10" i="13"/>
  <c r="C10" i="13"/>
  <c r="B10" i="13"/>
  <c r="E9" i="13"/>
  <c r="F9" i="13" s="1"/>
  <c r="D9" i="13"/>
  <c r="C9" i="13"/>
  <c r="B9" i="13"/>
  <c r="C8" i="13"/>
  <c r="F8" i="13" s="1"/>
  <c r="H6" i="13"/>
  <c r="J15" i="7"/>
  <c r="J19" i="12"/>
  <c r="D23" i="12"/>
  <c r="F13" i="14" l="1"/>
  <c r="F27" i="14"/>
  <c r="F12" i="13"/>
  <c r="F11" i="18"/>
  <c r="F51" i="18"/>
  <c r="D81" i="18"/>
  <c r="D85" i="18"/>
  <c r="D86" i="18" s="1"/>
  <c r="F11" i="16"/>
  <c r="C41" i="18"/>
  <c r="C37" i="18"/>
  <c r="F17" i="18"/>
  <c r="F37" i="18"/>
  <c r="F45" i="18"/>
  <c r="F18" i="18"/>
  <c r="F35" i="18"/>
  <c r="C38" i="18"/>
  <c r="F19" i="18"/>
  <c r="F29" i="17"/>
  <c r="F13" i="15"/>
  <c r="F29" i="14"/>
  <c r="F11" i="13"/>
  <c r="F46" i="18"/>
  <c r="F31" i="17"/>
  <c r="F10" i="13"/>
  <c r="F13" i="13"/>
  <c r="D85" i="17"/>
  <c r="D86" i="17" s="1"/>
  <c r="D83" i="17"/>
  <c r="F38" i="17"/>
  <c r="C41" i="17"/>
  <c r="F41" i="17" s="1"/>
  <c r="F50" i="17"/>
  <c r="C36" i="17"/>
  <c r="F40" i="17"/>
  <c r="F36" i="17"/>
  <c r="F32" i="17"/>
  <c r="F9" i="17"/>
  <c r="F53" i="17" s="1"/>
  <c r="F40" i="15"/>
  <c r="F36" i="15"/>
  <c r="F45" i="15"/>
  <c r="F50" i="15"/>
  <c r="C38" i="15"/>
  <c r="F38" i="15" s="1"/>
  <c r="C41" i="15"/>
  <c r="F41" i="15" s="1"/>
  <c r="F47" i="15"/>
  <c r="F28" i="15"/>
  <c r="F27" i="15"/>
  <c r="F8" i="15"/>
  <c r="C73" i="16"/>
  <c r="C85" i="16" s="1"/>
  <c r="E85" i="16" s="1"/>
  <c r="F46" i="16"/>
  <c r="F29" i="16"/>
  <c r="F27" i="16"/>
  <c r="F31" i="16"/>
  <c r="C41" i="16"/>
  <c r="F41" i="16" s="1"/>
  <c r="C36" i="16"/>
  <c r="F36" i="16" s="1"/>
  <c r="C37" i="16"/>
  <c r="F37" i="16"/>
  <c r="F8" i="16"/>
  <c r="E85" i="14"/>
  <c r="D81" i="14"/>
  <c r="F46" i="14"/>
  <c r="F40" i="14"/>
  <c r="F32" i="14"/>
  <c r="C37" i="14"/>
  <c r="F37" i="14" s="1"/>
  <c r="F45" i="14"/>
  <c r="F30" i="14"/>
  <c r="C41" i="14"/>
  <c r="F41" i="14" s="1"/>
  <c r="F12" i="14"/>
  <c r="F31" i="14"/>
  <c r="F10" i="14"/>
  <c r="F9" i="14"/>
  <c r="F37" i="13"/>
  <c r="F40" i="13"/>
  <c r="F45" i="13"/>
  <c r="F38" i="13"/>
  <c r="F39" i="13"/>
  <c r="F32" i="13"/>
  <c r="F29" i="13"/>
  <c r="F14" i="13"/>
  <c r="F35" i="13"/>
  <c r="F36" i="18"/>
  <c r="C85" i="18"/>
  <c r="E85" i="18" s="1"/>
  <c r="E73" i="18"/>
  <c r="A49" i="18"/>
  <c r="C49" i="18" s="1"/>
  <c r="A44" i="18"/>
  <c r="C44" i="18" s="1"/>
  <c r="F44" i="18" s="1"/>
  <c r="A48" i="18"/>
  <c r="C48" i="18" s="1"/>
  <c r="F39" i="17"/>
  <c r="F44" i="17"/>
  <c r="F37" i="17"/>
  <c r="F45" i="17"/>
  <c r="A47" i="17"/>
  <c r="C47" i="17" s="1"/>
  <c r="F47" i="17" s="1"/>
  <c r="C73" i="17"/>
  <c r="A49" i="17"/>
  <c r="C49" i="17" s="1"/>
  <c r="F49" i="17" s="1"/>
  <c r="A46" i="17"/>
  <c r="C46" i="17" s="1"/>
  <c r="F46" i="17" s="1"/>
  <c r="A48" i="17"/>
  <c r="C48" i="17" s="1"/>
  <c r="F48" i="17" s="1"/>
  <c r="F38" i="16"/>
  <c r="F50" i="16"/>
  <c r="F39" i="16"/>
  <c r="F40" i="16"/>
  <c r="F45" i="16"/>
  <c r="A47" i="16"/>
  <c r="C47" i="16" s="1"/>
  <c r="F47" i="16" s="1"/>
  <c r="A49" i="16"/>
  <c r="C49" i="16" s="1"/>
  <c r="F49" i="16" s="1"/>
  <c r="E73" i="16"/>
  <c r="A44" i="16"/>
  <c r="C44" i="16" s="1"/>
  <c r="A48" i="16"/>
  <c r="C48" i="16" s="1"/>
  <c r="F48" i="16" s="1"/>
  <c r="F39" i="15"/>
  <c r="C85" i="15"/>
  <c r="E85" i="15" s="1"/>
  <c r="E73" i="15"/>
  <c r="F37" i="15"/>
  <c r="D81" i="15"/>
  <c r="A49" i="15"/>
  <c r="C49" i="15" s="1"/>
  <c r="F49" i="15" s="1"/>
  <c r="D83" i="15"/>
  <c r="A46" i="15"/>
  <c r="C46" i="15" s="1"/>
  <c r="F46" i="15" s="1"/>
  <c r="A48" i="15"/>
  <c r="C48" i="15" s="1"/>
  <c r="F48" i="15" s="1"/>
  <c r="F50" i="14"/>
  <c r="F38" i="14"/>
  <c r="F47" i="14"/>
  <c r="A47" i="14"/>
  <c r="C47" i="14" s="1"/>
  <c r="A49" i="14"/>
  <c r="C49" i="14" s="1"/>
  <c r="F49" i="14" s="1"/>
  <c r="E73" i="14"/>
  <c r="D83" i="14"/>
  <c r="A44" i="14"/>
  <c r="C44" i="14" s="1"/>
  <c r="F44" i="14" s="1"/>
  <c r="A48" i="14"/>
  <c r="C48" i="14" s="1"/>
  <c r="F48" i="14" s="1"/>
  <c r="F49" i="13"/>
  <c r="F50" i="13"/>
  <c r="F47" i="13"/>
  <c r="F44" i="13"/>
  <c r="C41" i="13"/>
  <c r="F41" i="13" s="1"/>
  <c r="D81" i="13"/>
  <c r="A47" i="13"/>
  <c r="C47" i="13" s="1"/>
  <c r="C73" i="13"/>
  <c r="A49" i="13"/>
  <c r="C49" i="13" s="1"/>
  <c r="D83" i="13"/>
  <c r="A46" i="13"/>
  <c r="C46" i="13" s="1"/>
  <c r="F46" i="13" s="1"/>
  <c r="A48" i="13"/>
  <c r="C48" i="13" s="1"/>
  <c r="F48" i="13" s="1"/>
  <c r="F53" i="13" l="1"/>
  <c r="C69" i="13" s="1"/>
  <c r="F54" i="14"/>
  <c r="C76" i="14" s="1"/>
  <c r="E76" i="14" s="1"/>
  <c r="F53" i="14"/>
  <c r="H53" i="14" s="1"/>
  <c r="F2" i="14" s="1"/>
  <c r="F54" i="13"/>
  <c r="F56" i="17"/>
  <c r="F54" i="17"/>
  <c r="C85" i="17"/>
  <c r="E85" i="17" s="1"/>
  <c r="E73" i="17"/>
  <c r="C69" i="17"/>
  <c r="F64" i="17"/>
  <c r="H53" i="17"/>
  <c r="F2" i="17" s="1"/>
  <c r="F56" i="14"/>
  <c r="F56" i="13"/>
  <c r="C85" i="13"/>
  <c r="E85" i="13" s="1"/>
  <c r="E73" i="13"/>
  <c r="H53" i="13" l="1"/>
  <c r="F2" i="13" s="1"/>
  <c r="F64" i="13"/>
  <c r="F55" i="13"/>
  <c r="H55" i="13" s="1"/>
  <c r="E39" i="18"/>
  <c r="F39" i="18" s="1"/>
  <c r="F64" i="14"/>
  <c r="F55" i="14"/>
  <c r="F63" i="14" s="1"/>
  <c r="C69" i="14"/>
  <c r="C81" i="14" s="1"/>
  <c r="E81" i="14" s="1"/>
  <c r="H54" i="14"/>
  <c r="G2" i="14" s="1"/>
  <c r="H54" i="13"/>
  <c r="G2" i="13" s="1"/>
  <c r="C76" i="13"/>
  <c r="E76" i="13" s="1"/>
  <c r="H56" i="17"/>
  <c r="C74" i="17"/>
  <c r="E69" i="17"/>
  <c r="C81" i="17"/>
  <c r="E81" i="17" s="1"/>
  <c r="C76" i="17"/>
  <c r="E76" i="17" s="1"/>
  <c r="H54" i="17"/>
  <c r="G2" i="17" s="1"/>
  <c r="F55" i="17"/>
  <c r="H56" i="14"/>
  <c r="C74" i="14"/>
  <c r="H56" i="13"/>
  <c r="C74" i="13"/>
  <c r="E69" i="13"/>
  <c r="C81" i="13"/>
  <c r="E81" i="13" s="1"/>
  <c r="J49" i="7"/>
  <c r="H55" i="14" l="1"/>
  <c r="E69" i="14"/>
  <c r="O54" i="13"/>
  <c r="O56" i="13" s="1"/>
  <c r="F63" i="13"/>
  <c r="C71" i="13" s="1"/>
  <c r="E22" i="18"/>
  <c r="F22" i="18" s="1"/>
  <c r="O54" i="14"/>
  <c r="O56" i="14" s="1"/>
  <c r="E40" i="18"/>
  <c r="F40" i="18" s="1"/>
  <c r="E35" i="16"/>
  <c r="F35" i="16" s="1"/>
  <c r="F54" i="16" s="1"/>
  <c r="E41" i="18"/>
  <c r="F41" i="18" s="1"/>
  <c r="E17" i="16"/>
  <c r="F17" i="16" s="1"/>
  <c r="F53" i="16" s="1"/>
  <c r="F64" i="16" s="1"/>
  <c r="E23" i="18"/>
  <c r="F23" i="18" s="1"/>
  <c r="H55" i="17"/>
  <c r="O54" i="17"/>
  <c r="F63" i="17"/>
  <c r="C86" i="17"/>
  <c r="E86" i="17" s="1"/>
  <c r="E74" i="17"/>
  <c r="O55" i="17"/>
  <c r="H2" i="17"/>
  <c r="H58" i="17"/>
  <c r="H59" i="17" s="1"/>
  <c r="O58" i="17" s="1"/>
  <c r="C86" i="14"/>
  <c r="E86" i="14" s="1"/>
  <c r="E74" i="14"/>
  <c r="O55" i="14"/>
  <c r="H2" i="14"/>
  <c r="H58" i="14"/>
  <c r="H59" i="14" s="1"/>
  <c r="O58" i="14" s="1"/>
  <c r="C71" i="14"/>
  <c r="E63" i="14"/>
  <c r="F66" i="14"/>
  <c r="G63" i="14" s="1"/>
  <c r="H2" i="13"/>
  <c r="O55" i="13"/>
  <c r="H58" i="13"/>
  <c r="H59" i="13" s="1"/>
  <c r="O58" i="13" s="1"/>
  <c r="C86" i="13"/>
  <c r="E86" i="13" s="1"/>
  <c r="E74" i="13"/>
  <c r="E21" i="18" l="1"/>
  <c r="F21" i="18" s="1"/>
  <c r="H53" i="16"/>
  <c r="F2" i="16" s="1"/>
  <c r="E63" i="13"/>
  <c r="F66" i="13"/>
  <c r="G23" i="13" s="1"/>
  <c r="F55" i="16"/>
  <c r="H55" i="16" s="1"/>
  <c r="H54" i="16"/>
  <c r="G2" i="16" s="1"/>
  <c r="C69" i="16"/>
  <c r="C81" i="16" s="1"/>
  <c r="E81" i="16" s="1"/>
  <c r="C76" i="16"/>
  <c r="E76" i="16" s="1"/>
  <c r="E35" i="15" s="1"/>
  <c r="F35" i="15" s="1"/>
  <c r="F54" i="15" s="1"/>
  <c r="C76" i="15" s="1"/>
  <c r="E76" i="15" s="1"/>
  <c r="E50" i="18"/>
  <c r="F50" i="18" s="1"/>
  <c r="E78" i="14"/>
  <c r="E48" i="18"/>
  <c r="F48" i="18" s="1"/>
  <c r="O57" i="13"/>
  <c r="O59" i="13" s="1"/>
  <c r="O60" i="13" s="1"/>
  <c r="O61" i="13" s="1"/>
  <c r="O62" i="13" s="1"/>
  <c r="E78" i="17"/>
  <c r="E49" i="18"/>
  <c r="F49" i="18" s="1"/>
  <c r="O57" i="14"/>
  <c r="O59" i="14" s="1"/>
  <c r="O60" i="14" s="1"/>
  <c r="O61" i="14" s="1"/>
  <c r="O62" i="14" s="1"/>
  <c r="E78" i="13"/>
  <c r="E44" i="16"/>
  <c r="C71" i="17"/>
  <c r="E63" i="17"/>
  <c r="F66" i="17"/>
  <c r="G63" i="17" s="1"/>
  <c r="O56" i="17"/>
  <c r="O57" i="17" s="1"/>
  <c r="O59" i="17" s="1"/>
  <c r="G66" i="14"/>
  <c r="G14" i="14"/>
  <c r="G30" i="14"/>
  <c r="G24" i="14"/>
  <c r="G19" i="14"/>
  <c r="G12" i="14"/>
  <c r="G39" i="14"/>
  <c r="G32" i="14"/>
  <c r="G11" i="14"/>
  <c r="G37" i="14"/>
  <c r="G45" i="14"/>
  <c r="G22" i="14"/>
  <c r="G29" i="14"/>
  <c r="G35" i="14"/>
  <c r="G17" i="14"/>
  <c r="G46" i="14"/>
  <c r="G9" i="14"/>
  <c r="G20" i="14"/>
  <c r="G41" i="14"/>
  <c r="G23" i="14"/>
  <c r="G13" i="14"/>
  <c r="G28" i="14"/>
  <c r="G40" i="14"/>
  <c r="G65" i="14"/>
  <c r="G31" i="14"/>
  <c r="G51" i="14"/>
  <c r="G8" i="14"/>
  <c r="G27" i="14"/>
  <c r="G18" i="14"/>
  <c r="G36" i="14"/>
  <c r="G21" i="14"/>
  <c r="G10" i="14"/>
  <c r="G48" i="14"/>
  <c r="G44" i="14"/>
  <c r="G47" i="14"/>
  <c r="G54" i="14"/>
  <c r="G49" i="14"/>
  <c r="G38" i="14"/>
  <c r="G53" i="14"/>
  <c r="G50" i="14"/>
  <c r="G55" i="14"/>
  <c r="G56" i="14"/>
  <c r="G64" i="14"/>
  <c r="C83" i="14"/>
  <c r="E83" i="14" s="1"/>
  <c r="E71" i="14"/>
  <c r="C83" i="13"/>
  <c r="E83" i="13" s="1"/>
  <c r="E71" i="13"/>
  <c r="G30" i="13" l="1"/>
  <c r="G14" i="13"/>
  <c r="G20" i="13"/>
  <c r="G66" i="13"/>
  <c r="G48" i="13"/>
  <c r="G53" i="13"/>
  <c r="G9" i="13"/>
  <c r="G36" i="13"/>
  <c r="G11" i="13"/>
  <c r="G56" i="13"/>
  <c r="G65" i="13"/>
  <c r="G17" i="13"/>
  <c r="G47" i="13"/>
  <c r="G21" i="13"/>
  <c r="G49" i="13"/>
  <c r="G39" i="13"/>
  <c r="G38" i="13"/>
  <c r="G50" i="13"/>
  <c r="G29" i="13"/>
  <c r="G40" i="13"/>
  <c r="G41" i="13"/>
  <c r="G46" i="13"/>
  <c r="G13" i="13"/>
  <c r="G18" i="13"/>
  <c r="G8" i="13"/>
  <c r="G28" i="13"/>
  <c r="G19" i="13"/>
  <c r="G63" i="13"/>
  <c r="G12" i="13"/>
  <c r="G45" i="13"/>
  <c r="G44" i="13"/>
  <c r="G51" i="13"/>
  <c r="G10" i="13"/>
  <c r="G54" i="13"/>
  <c r="G24" i="13"/>
  <c r="G35" i="13"/>
  <c r="G37" i="13"/>
  <c r="G64" i="13"/>
  <c r="G31" i="13"/>
  <c r="G27" i="13"/>
  <c r="G55" i="13"/>
  <c r="G32" i="13"/>
  <c r="G22" i="13"/>
  <c r="F63" i="16"/>
  <c r="C71" i="16" s="1"/>
  <c r="O54" i="16"/>
  <c r="O56" i="16" s="1"/>
  <c r="H54" i="15"/>
  <c r="G2" i="15" s="1"/>
  <c r="E69" i="16"/>
  <c r="E17" i="15" s="1"/>
  <c r="F17" i="15" s="1"/>
  <c r="F53" i="15" s="1"/>
  <c r="F64" i="15" s="1"/>
  <c r="E38" i="18"/>
  <c r="F38" i="18" s="1"/>
  <c r="F54" i="18" s="1"/>
  <c r="H54" i="18" s="1"/>
  <c r="G2" i="18" s="1"/>
  <c r="E44" i="15"/>
  <c r="F44" i="15" s="1"/>
  <c r="F56" i="15" s="1"/>
  <c r="F44" i="16"/>
  <c r="C83" i="17"/>
  <c r="E83" i="17" s="1"/>
  <c r="E71" i="17"/>
  <c r="G66" i="17"/>
  <c r="G41" i="17"/>
  <c r="G28" i="17"/>
  <c r="G32" i="17"/>
  <c r="G30" i="17"/>
  <c r="G20" i="17"/>
  <c r="G38" i="17"/>
  <c r="G10" i="17"/>
  <c r="G8" i="17"/>
  <c r="G22" i="17"/>
  <c r="G31" i="17"/>
  <c r="G18" i="17"/>
  <c r="G21" i="17"/>
  <c r="G29" i="17"/>
  <c r="G51" i="17"/>
  <c r="G24" i="17"/>
  <c r="G14" i="17"/>
  <c r="G19" i="17"/>
  <c r="G23" i="17"/>
  <c r="G50" i="17"/>
  <c r="G40" i="17"/>
  <c r="G17" i="17"/>
  <c r="G36" i="17"/>
  <c r="G12" i="17"/>
  <c r="G13" i="17"/>
  <c r="G35" i="17"/>
  <c r="G65" i="17"/>
  <c r="G9" i="17"/>
  <c r="G27" i="17"/>
  <c r="G11" i="17"/>
  <c r="G37" i="17"/>
  <c r="G45" i="17"/>
  <c r="G48" i="17"/>
  <c r="G44" i="17"/>
  <c r="G53" i="17"/>
  <c r="G49" i="17"/>
  <c r="G39" i="17"/>
  <c r="G46" i="17"/>
  <c r="G47" i="17"/>
  <c r="G56" i="17"/>
  <c r="G64" i="17"/>
  <c r="G54" i="17"/>
  <c r="G55" i="17"/>
  <c r="O60" i="17"/>
  <c r="O61" i="17" s="1"/>
  <c r="O62" i="17" s="1"/>
  <c r="P62" i="14"/>
  <c r="E2" i="14"/>
  <c r="P62" i="13"/>
  <c r="E2" i="13"/>
  <c r="F66" i="16" l="1"/>
  <c r="G55" i="16" s="1"/>
  <c r="E63" i="16"/>
  <c r="H53" i="15"/>
  <c r="F2" i="15" s="1"/>
  <c r="F55" i="15"/>
  <c r="H55" i="15" s="1"/>
  <c r="C69" i="15"/>
  <c r="E69" i="15" s="1"/>
  <c r="C76" i="18"/>
  <c r="E76" i="18" s="1"/>
  <c r="F56" i="16"/>
  <c r="H56" i="15"/>
  <c r="C74" i="15"/>
  <c r="C83" i="16"/>
  <c r="E83" i="16" s="1"/>
  <c r="E71" i="16"/>
  <c r="P62" i="17"/>
  <c r="E2" i="17"/>
  <c r="F63" i="15" l="1"/>
  <c r="F66" i="15" s="1"/>
  <c r="G63" i="15" s="1"/>
  <c r="C81" i="15"/>
  <c r="E81" i="15" s="1"/>
  <c r="G49" i="16"/>
  <c r="G30" i="16"/>
  <c r="O54" i="15"/>
  <c r="O56" i="15" s="1"/>
  <c r="G8" i="16"/>
  <c r="G50" i="16"/>
  <c r="G14" i="16"/>
  <c r="G35" i="16"/>
  <c r="G66" i="16"/>
  <c r="G23" i="16"/>
  <c r="G10" i="16"/>
  <c r="G44" i="16"/>
  <c r="G31" i="16"/>
  <c r="G32" i="16"/>
  <c r="G40" i="16"/>
  <c r="G24" i="16"/>
  <c r="G45" i="16"/>
  <c r="G17" i="16"/>
  <c r="G36" i="16"/>
  <c r="G9" i="16"/>
  <c r="G63" i="16"/>
  <c r="G37" i="16"/>
  <c r="G28" i="16"/>
  <c r="G47" i="16"/>
  <c r="G46" i="16"/>
  <c r="G18" i="16"/>
  <c r="G54" i="16"/>
  <c r="G12" i="16"/>
  <c r="G22" i="16"/>
  <c r="G48" i="16"/>
  <c r="G38" i="16"/>
  <c r="G11" i="16"/>
  <c r="G64" i="16"/>
  <c r="G19" i="16"/>
  <c r="G39" i="16"/>
  <c r="G21" i="16"/>
  <c r="G65" i="16"/>
  <c r="G13" i="16"/>
  <c r="G53" i="16"/>
  <c r="G29" i="16"/>
  <c r="G20" i="16"/>
  <c r="G41" i="16"/>
  <c r="G27" i="16"/>
  <c r="G51" i="16"/>
  <c r="E20" i="18"/>
  <c r="F20" i="18" s="1"/>
  <c r="F53" i="18" s="1"/>
  <c r="E74" i="15"/>
  <c r="C86" i="15"/>
  <c r="E86" i="15" s="1"/>
  <c r="O55" i="15"/>
  <c r="H2" i="15"/>
  <c r="H58" i="15"/>
  <c r="H59" i="15" s="1"/>
  <c r="O58" i="15" s="1"/>
  <c r="H56" i="16"/>
  <c r="C74" i="16"/>
  <c r="G56" i="16"/>
  <c r="E63" i="15" l="1"/>
  <c r="C71" i="15"/>
  <c r="C83" i="15" s="1"/>
  <c r="E83" i="15" s="1"/>
  <c r="O57" i="15"/>
  <c r="O59" i="15" s="1"/>
  <c r="O60" i="15" s="1"/>
  <c r="O61" i="15" s="1"/>
  <c r="O62" i="15" s="1"/>
  <c r="E2" i="15" s="1"/>
  <c r="E78" i="15"/>
  <c r="E47" i="18"/>
  <c r="F47" i="18" s="1"/>
  <c r="F64" i="18"/>
  <c r="H53" i="18"/>
  <c r="F2" i="18" s="1"/>
  <c r="F55" i="18"/>
  <c r="C69" i="18"/>
  <c r="O55" i="16"/>
  <c r="O57" i="16" s="1"/>
  <c r="H2" i="16"/>
  <c r="H58" i="16"/>
  <c r="H59" i="16" s="1"/>
  <c r="O58" i="16" s="1"/>
  <c r="G65" i="15"/>
  <c r="G41" i="15"/>
  <c r="G24" i="15"/>
  <c r="G27" i="15"/>
  <c r="G40" i="15"/>
  <c r="G12" i="15"/>
  <c r="G18" i="15"/>
  <c r="G44" i="15"/>
  <c r="G37" i="15"/>
  <c r="G17" i="15"/>
  <c r="G53" i="15"/>
  <c r="G8" i="15"/>
  <c r="G19" i="15"/>
  <c r="G38" i="15"/>
  <c r="G36" i="15"/>
  <c r="G10" i="15"/>
  <c r="G46" i="15"/>
  <c r="G30" i="15"/>
  <c r="G47" i="15"/>
  <c r="G22" i="15"/>
  <c r="G32" i="15"/>
  <c r="G20" i="15"/>
  <c r="G48" i="15"/>
  <c r="G11" i="15"/>
  <c r="G13" i="15"/>
  <c r="G23" i="15"/>
  <c r="G49" i="15"/>
  <c r="G35" i="15"/>
  <c r="G64" i="15"/>
  <c r="G39" i="15"/>
  <c r="G29" i="15"/>
  <c r="G14" i="15"/>
  <c r="G31" i="15"/>
  <c r="G45" i="15"/>
  <c r="G51" i="15"/>
  <c r="G50" i="15"/>
  <c r="G66" i="15"/>
  <c r="G9" i="15"/>
  <c r="G28" i="15"/>
  <c r="G54" i="15"/>
  <c r="G21" i="15"/>
  <c r="G56" i="15"/>
  <c r="G55" i="15"/>
  <c r="C86" i="16"/>
  <c r="E86" i="16" s="1"/>
  <c r="E74" i="16"/>
  <c r="E78" i="16" s="1"/>
  <c r="E71" i="15" l="1"/>
  <c r="O59" i="16"/>
  <c r="O60" i="16" s="1"/>
  <c r="O61" i="16" s="1"/>
  <c r="O62" i="16" s="1"/>
  <c r="P62" i="16" s="1"/>
  <c r="P62" i="15"/>
  <c r="E69" i="18"/>
  <c r="C81" i="18"/>
  <c r="E81" i="18" s="1"/>
  <c r="F63" i="18"/>
  <c r="O54" i="18"/>
  <c r="H55" i="18"/>
  <c r="F56" i="18"/>
  <c r="E2" i="16" l="1"/>
  <c r="O56" i="18"/>
  <c r="C74" i="18"/>
  <c r="H56" i="18"/>
  <c r="F66" i="18"/>
  <c r="C71" i="18"/>
  <c r="E63" i="18"/>
  <c r="G66" i="18" l="1"/>
  <c r="G46" i="18"/>
  <c r="G41" i="18"/>
  <c r="G45" i="18"/>
  <c r="G65" i="18"/>
  <c r="G17" i="18"/>
  <c r="G22" i="18"/>
  <c r="G28" i="18"/>
  <c r="G32" i="18"/>
  <c r="G19" i="18"/>
  <c r="G9" i="18"/>
  <c r="G36" i="18"/>
  <c r="G39" i="18"/>
  <c r="G44" i="18"/>
  <c r="G24" i="18"/>
  <c r="G8" i="18"/>
  <c r="G35" i="18"/>
  <c r="G49" i="18"/>
  <c r="G13" i="18"/>
  <c r="G23" i="18"/>
  <c r="G50" i="18"/>
  <c r="G11" i="18"/>
  <c r="G27" i="18"/>
  <c r="G18" i="18"/>
  <c r="G31" i="18"/>
  <c r="G54" i="18"/>
  <c r="G30" i="18"/>
  <c r="G14" i="18"/>
  <c r="G10" i="18"/>
  <c r="G48" i="18"/>
  <c r="G21" i="18"/>
  <c r="G40" i="18"/>
  <c r="G29" i="18"/>
  <c r="G12" i="18"/>
  <c r="G38" i="18"/>
  <c r="G51" i="18"/>
  <c r="G37" i="18"/>
  <c r="G20" i="18"/>
  <c r="G53" i="18"/>
  <c r="G55" i="18"/>
  <c r="G64" i="18"/>
  <c r="G47" i="18"/>
  <c r="G63" i="18"/>
  <c r="C83" i="18"/>
  <c r="E83" i="18" s="1"/>
  <c r="E71" i="18"/>
  <c r="O55" i="18"/>
  <c r="O57" i="18" s="1"/>
  <c r="H2" i="18"/>
  <c r="H58" i="18"/>
  <c r="H59" i="18" s="1"/>
  <c r="O58" i="18" s="1"/>
  <c r="C86" i="18"/>
  <c r="E86" i="18" s="1"/>
  <c r="E74" i="18"/>
  <c r="E78" i="18" s="1"/>
  <c r="G56" i="18"/>
  <c r="O59" i="18" l="1"/>
  <c r="O60" i="18" s="1"/>
  <c r="O61" i="18" l="1"/>
  <c r="O62" i="18" s="1"/>
  <c r="O64" i="18" s="1"/>
  <c r="P62" i="18" l="1"/>
  <c r="E2" i="18"/>
</calcChain>
</file>

<file path=xl/sharedStrings.xml><?xml version="1.0" encoding="utf-8"?>
<sst xmlns="http://schemas.openxmlformats.org/spreadsheetml/2006/main" count="796" uniqueCount="165">
  <si>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</si>
  <si>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</si>
  <si>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</si>
  <si>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</si>
  <si>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</si>
  <si>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</si>
  <si>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</si>
  <si>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</si>
  <si>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</si>
  <si>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</si>
  <si>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</si>
  <si>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</si>
  <si>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</si>
  <si>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</si>
  <si>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</si>
  <si>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</si>
  <si>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</si>
  <si>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</si>
  <si>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</si>
  <si>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</si>
  <si>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</si>
  <si>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</si>
  <si>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</si>
  <si>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</si>
  <si>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</si>
  <si>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</si>
  <si>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</si>
  <si>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</si>
  <si>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</si>
  <si>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</si>
  <si>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</si>
  <si>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</si>
  <si>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</si>
  <si>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</si>
  <si>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</si>
  <si>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</si>
  <si>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FAS</t>
  </si>
  <si>
    <t>Sebastian Díaz, Gte Manufactura</t>
  </si>
  <si>
    <t xml:space="preserve">Postres </t>
  </si>
  <si>
    <t>907000042</t>
  </si>
  <si>
    <t>SE00196</t>
  </si>
  <si>
    <t>ROSQUETE ARROLLADO 1000g</t>
  </si>
  <si>
    <t>0.2</t>
  </si>
  <si>
    <t>ud</t>
  </si>
  <si>
    <t>240g (15g x ud)</t>
  </si>
  <si>
    <t>2 Unidades por postre</t>
  </si>
  <si>
    <t>DECORACION</t>
  </si>
  <si>
    <t xml:space="preserve">Nuevo </t>
  </si>
  <si>
    <t>EM10011</t>
  </si>
  <si>
    <t>ETIQUETA BLANCA 2 5/8X1 15/16</t>
  </si>
  <si>
    <t>CEMUSA</t>
  </si>
  <si>
    <t>EM10124</t>
  </si>
  <si>
    <t>ETIQUETA BLANCA R-153</t>
  </si>
  <si>
    <t>ETIPLAST</t>
  </si>
  <si>
    <t>EM10004</t>
  </si>
  <si>
    <t>ETIQ.FECHA VENCIMIENTO BLANCO</t>
  </si>
  <si>
    <t xml:space="preserve">5, Tapar y etiquetar. </t>
  </si>
  <si>
    <t xml:space="preserve">1, Cortar el rosquete arrollado. </t>
  </si>
  <si>
    <t>SE00254</t>
  </si>
  <si>
    <t>Leches Pasteurizada Con Agua</t>
  </si>
  <si>
    <t>SE00340</t>
  </si>
  <si>
    <t>EMPAQUE RELLENO CARAMELO SPOON</t>
  </si>
  <si>
    <t>NUEVO</t>
  </si>
  <si>
    <t xml:space="preserve">Relleno Mantequilla de Mani </t>
  </si>
  <si>
    <t xml:space="preserve">Ganache oscuro suave </t>
  </si>
  <si>
    <t xml:space="preserve">Cuchareable de Chocomani </t>
  </si>
  <si>
    <t>MP10048</t>
  </si>
  <si>
    <t>CHOCOLATE SEMI AMARGO 54% (PAQ 5 k)</t>
  </si>
  <si>
    <t>tanda</t>
  </si>
  <si>
    <t>11400027</t>
  </si>
  <si>
    <t xml:space="preserve">Nueces Industriales </t>
  </si>
  <si>
    <t>ETIQUETA BLANCA 2 5/8X1 15/16 (UND)</t>
  </si>
  <si>
    <t>EM10013</t>
  </si>
  <si>
    <t>BOLSA 17x25 TRANSP KILO</t>
  </si>
  <si>
    <t>Chocolate con Mani</t>
  </si>
  <si>
    <t xml:space="preserve">Procesado Chocolate con Mani </t>
  </si>
  <si>
    <t>MP10470</t>
  </si>
  <si>
    <t>Queso Crema</t>
  </si>
  <si>
    <t>CREMA PRESTIGE GRAND</t>
  </si>
  <si>
    <t xml:space="preserve">Mantequilla de mani </t>
  </si>
  <si>
    <t>AS00028</t>
  </si>
  <si>
    <t>Bolsa Transparente 56X96X1.80</t>
  </si>
  <si>
    <t>2, Endriar y empacar.</t>
  </si>
  <si>
    <t>1,Colocar en un sarten el mani, hasta que comience a tostarse. (No dejar que se queme)</t>
  </si>
  <si>
    <t xml:space="preserve">10g x capa </t>
  </si>
  <si>
    <t xml:space="preserve">35g x capa </t>
  </si>
  <si>
    <t>1 sola capa</t>
  </si>
  <si>
    <t xml:space="preserve">25g x capa </t>
  </si>
  <si>
    <t xml:space="preserve">30g x capa </t>
  </si>
  <si>
    <t xml:space="preserve">2g x capa </t>
  </si>
  <si>
    <t>3g x capa</t>
  </si>
  <si>
    <t xml:space="preserve">3g x capa </t>
  </si>
  <si>
    <t>2, En cada empaque colocar un cuadrado de rosquete, humedecer con la leche , colocar el caramelo, el relleno de mantequilla de mani, el ganache suave y el chocolate con mani.</t>
  </si>
  <si>
    <t>3. Colocar otro rosquete, humedecer con la leche, colocar el caramelo</t>
  </si>
  <si>
    <t xml:space="preserve">4, Decorar con hilos de relleno el relleno de mantequilla de mani, hilos de ganache y colocar el mani tostado de esquina a esquina </t>
  </si>
  <si>
    <t xml:space="preserve">Mani Tostado </t>
  </si>
  <si>
    <t>Mani tostado</t>
  </si>
  <si>
    <t>Mani picado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</si>
  <si>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</si>
  <si>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</si>
  <si>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</si>
  <si>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</si>
  <si>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</si>
  <si>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</si>
  <si>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</si>
  <si>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</si>
  <si>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</si>
  <si>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</si>
  <si>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</si>
  <si>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</si>
  <si>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</si>
  <si>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</si>
  <si>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</si>
  <si>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</si>
  <si>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</si>
  <si>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</si>
  <si>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</si>
  <si>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</si>
  <si>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</si>
  <si>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</si>
  <si>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</si>
  <si>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</si>
  <si>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</si>
  <si>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</si>
  <si>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</si>
  <si>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</si>
  <si>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</si>
  <si>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</si>
  <si>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</si>
  <si>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</si>
  <si>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</si>
  <si>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</si>
  <si>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</si>
  <si>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</si>
  <si>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</si>
  <si>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</si>
  <si>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</si>
  <si>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</si>
  <si>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</si>
  <si>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</si>
  <si>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</si>
  <si>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</si>
  <si>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</si>
  <si>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</si>
  <si>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</si>
  <si>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</si>
  <si>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</si>
  <si>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</si>
  <si>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</si>
  <si>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</si>
  <si>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</si>
  <si>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>10100331</t>
  </si>
  <si>
    <t>UND</t>
  </si>
  <si>
    <t xml:space="preserve">UND </t>
  </si>
  <si>
    <t>Cake Box Rectangular</t>
  </si>
  <si>
    <t>Und</t>
  </si>
  <si>
    <t>0702123</t>
  </si>
  <si>
    <t>701096</t>
  </si>
  <si>
    <t>0702007</t>
  </si>
  <si>
    <t>ETIQUETA NUEVA CUCHAREABLE</t>
  </si>
  <si>
    <t>SE00820 Mani Tostado</t>
  </si>
  <si>
    <t>MP10602</t>
  </si>
  <si>
    <t>01</t>
  </si>
  <si>
    <t>Decoración</t>
  </si>
  <si>
    <t>ESP-RE-DES-096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</si>
</sst>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6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b/>
      <sz val="14"/>
      <name val="Century Gothic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4"/>
      <name val="Century Gothic"/>
      <family val="2"/>
    </font>
    <font>
      <sz val="14"/>
      <color theme="1"/>
      <name val="Century Gothic"/>
      <family val="2"/>
    </font>
    <font>
      <sz val="14"/>
      <color rgb="FF000000"/>
      <name val="Times New Roman"/>
      <family val="1"/>
    </font>
    <font>
      <sz val="14"/>
      <color rgb="FF0070C0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6"/>
      <name val="Times New Roman"/>
      <family val="1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34">
    <xf numFmtId="0" fontId="0" fillId="0" borderId="0" xfId="0"/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7" fillId="3" borderId="18" xfId="2" applyFont="1" applyFill="1" applyBorder="1" applyAlignment="1">
      <alignment horizontal="right"/>
    </xf>
    <xf numFmtId="0" fontId="10" fillId="3" borderId="17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right"/>
    </xf>
    <xf numFmtId="49" fontId="10" fillId="3" borderId="14" xfId="2" applyNumberFormat="1" applyFont="1" applyFill="1" applyBorder="1" applyAlignment="1">
      <alignment horizontal="center"/>
    </xf>
    <xf numFmtId="0" fontId="10" fillId="3" borderId="11" xfId="2" applyFont="1" applyFill="1" applyBorder="1" applyAlignment="1">
      <alignment horizontal="right"/>
    </xf>
    <xf numFmtId="0" fontId="10" fillId="3" borderId="15" xfId="2" applyFont="1" applyFill="1" applyBorder="1" applyAlignment="1">
      <alignment horizontal="right"/>
    </xf>
    <xf numFmtId="14" fontId="11" fillId="3" borderId="0" xfId="2" applyNumberFormat="1" applyFont="1" applyFill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/>
    </xf>
    <xf numFmtId="1" fontId="7" fillId="2" borderId="2" xfId="1" applyNumberFormat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0" fontId="10" fillId="0" borderId="15" xfId="0" quotePrefix="1" applyFont="1" applyBorder="1" applyAlignment="1">
      <alignment horizontal="right"/>
    </xf>
    <xf numFmtId="0" fontId="12" fillId="0" borderId="15" xfId="0" applyFont="1" applyBorder="1" applyAlignment="1">
      <alignment horizontal="center"/>
    </xf>
    <xf numFmtId="0" fontId="10" fillId="0" borderId="15" xfId="0" quotePrefix="1" applyFont="1" applyBorder="1"/>
    <xf numFmtId="0" fontId="6" fillId="0" borderId="15" xfId="0" applyFont="1" applyBorder="1"/>
    <xf numFmtId="1" fontId="10" fillId="0" borderId="15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15" xfId="0" applyFont="1" applyBorder="1"/>
    <xf numFmtId="1" fontId="6" fillId="0" borderId="15" xfId="0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1" fontId="6" fillId="0" borderId="15" xfId="1" applyNumberFormat="1" applyFont="1" applyBorder="1" applyAlignment="1">
      <alignment horizontal="center" wrapText="1"/>
    </xf>
    <xf numFmtId="49" fontId="13" fillId="3" borderId="21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0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/>
    </xf>
    <xf numFmtId="0" fontId="10" fillId="2" borderId="37" xfId="1" applyFont="1" applyFill="1" applyBorder="1" applyAlignment="1">
      <alignment horizontal="center"/>
    </xf>
    <xf numFmtId="0" fontId="10" fillId="2" borderId="37" xfId="1" applyFont="1" applyFill="1" applyBorder="1"/>
    <xf numFmtId="0" fontId="7" fillId="2" borderId="37" xfId="1" applyFont="1" applyFill="1" applyBorder="1" applyAlignment="1">
      <alignment horizontal="center"/>
    </xf>
    <xf numFmtId="1" fontId="7" fillId="2" borderId="37" xfId="1" applyNumberFormat="1" applyFont="1" applyFill="1" applyBorder="1" applyAlignment="1">
      <alignment horizontal="center"/>
    </xf>
    <xf numFmtId="164" fontId="10" fillId="2" borderId="37" xfId="1" applyNumberFormat="1" applyFont="1" applyFill="1" applyBorder="1" applyAlignment="1">
      <alignment horizontal="center" wrapText="1"/>
    </xf>
    <xf numFmtId="0" fontId="10" fillId="2" borderId="38" xfId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0" fontId="14" fillId="0" borderId="15" xfId="1" applyFont="1" applyBorder="1" applyAlignment="1">
      <alignment horizontal="center"/>
    </xf>
    <xf numFmtId="0" fontId="12" fillId="0" borderId="0" xfId="0" applyFont="1"/>
    <xf numFmtId="1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" fontId="17" fillId="0" borderId="15" xfId="1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7" fillId="0" borderId="8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1" fontId="18" fillId="0" borderId="15" xfId="1" applyNumberFormat="1" applyFont="1" applyBorder="1" applyAlignment="1">
      <alignment horizontal="center"/>
    </xf>
    <xf numFmtId="0" fontId="20" fillId="0" borderId="15" xfId="1" applyFont="1" applyBorder="1" applyAlignment="1">
      <alignment vertical="center"/>
    </xf>
    <xf numFmtId="0" fontId="19" fillId="0" borderId="15" xfId="0" applyFont="1" applyBorder="1"/>
    <xf numFmtId="16" fontId="17" fillId="4" borderId="15" xfId="0" applyNumberFormat="1" applyFont="1" applyFill="1" applyBorder="1" applyAlignment="1">
      <alignment horizontal="center"/>
    </xf>
    <xf numFmtId="1" fontId="17" fillId="0" borderId="15" xfId="0" applyNumberFormat="1" applyFont="1" applyBorder="1" applyAlignment="1">
      <alignment horizontal="center" vertical="center" wrapText="1"/>
    </xf>
    <xf numFmtId="1" fontId="17" fillId="0" borderId="9" xfId="1" applyNumberFormat="1" applyFont="1" applyBorder="1" applyAlignment="1">
      <alignment horizontal="center"/>
    </xf>
    <xf numFmtId="1" fontId="19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0" fontId="17" fillId="0" borderId="15" xfId="0" applyFont="1" applyBorder="1"/>
    <xf numFmtId="0" fontId="17" fillId="0" borderId="15" xfId="1" applyFont="1" applyBorder="1"/>
    <xf numFmtId="0" fontId="19" fillId="0" borderId="8" xfId="0" applyFont="1" applyBorder="1" applyAlignment="1">
      <alignment horizontal="center"/>
    </xf>
    <xf numFmtId="0" fontId="17" fillId="4" borderId="15" xfId="0" applyFont="1" applyFill="1" applyBorder="1" applyAlignment="1">
      <alignment horizontal="center" vertical="center"/>
    </xf>
    <xf numFmtId="1" fontId="17" fillId="4" borderId="15" xfId="0" applyNumberFormat="1" applyFont="1" applyFill="1" applyBorder="1" applyAlignment="1">
      <alignment horizontal="center"/>
    </xf>
    <xf numFmtId="0" fontId="18" fillId="0" borderId="16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1" fontId="18" fillId="0" borderId="15" xfId="1" applyNumberFormat="1" applyFont="1" applyBorder="1" applyAlignment="1">
      <alignment horizontal="center" wrapText="1"/>
    </xf>
    <xf numFmtId="0" fontId="18" fillId="0" borderId="15" xfId="1" applyFont="1" applyBorder="1"/>
    <xf numFmtId="0" fontId="17" fillId="4" borderId="15" xfId="0" applyFont="1" applyFill="1" applyBorder="1"/>
    <xf numFmtId="1" fontId="17" fillId="4" borderId="15" xfId="0" applyNumberFormat="1" applyFont="1" applyFill="1" applyBorder="1" applyAlignment="1">
      <alignment horizontal="center" wrapText="1"/>
    </xf>
    <xf numFmtId="166" fontId="18" fillId="4" borderId="15" xfId="9" applyNumberFormat="1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 wrapText="1"/>
    </xf>
    <xf numFmtId="12" fontId="24" fillId="0" borderId="15" xfId="1" applyNumberFormat="1" applyFont="1" applyBorder="1" applyAlignment="1">
      <alignment horizontal="left"/>
    </xf>
    <xf numFmtId="49" fontId="17" fillId="0" borderId="16" xfId="1" applyNumberFormat="1" applyFont="1" applyBorder="1" applyAlignment="1">
      <alignment horizontal="center"/>
    </xf>
    <xf numFmtId="49" fontId="17" fillId="0" borderId="8" xfId="1" applyNumberFormat="1" applyFont="1" applyBorder="1" applyAlignment="1">
      <alignment horizontal="center"/>
    </xf>
    <xf numFmtId="49" fontId="17" fillId="0" borderId="15" xfId="1" applyNumberFormat="1" applyFont="1" applyBorder="1"/>
    <xf numFmtId="1" fontId="17" fillId="0" borderId="15" xfId="1" applyNumberFormat="1" applyFont="1" applyBorder="1" applyAlignment="1">
      <alignment horizontal="center" wrapText="1"/>
    </xf>
    <xf numFmtId="0" fontId="25" fillId="0" borderId="15" xfId="0" applyFont="1" applyBorder="1" applyAlignment="1">
      <alignment horizontal="center"/>
    </xf>
    <xf numFmtId="1" fontId="0" fillId="0" borderId="0" xfId="0" applyNumberFormat="1"/>
    <xf numFmtId="0" fontId="0" fillId="0" borderId="15" xfId="0" applyBorder="1"/>
    <xf numFmtId="16" fontId="21" fillId="0" borderId="8" xfId="0" applyNumberFormat="1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5" xfId="0" applyFont="1" applyBorder="1"/>
    <xf numFmtId="0" fontId="28" fillId="0" borderId="15" xfId="1" applyFont="1" applyBorder="1" applyAlignment="1">
      <alignment horizontal="center"/>
    </xf>
    <xf numFmtId="16" fontId="21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left" vertical="center"/>
    </xf>
    <xf numFmtId="1" fontId="17" fillId="0" borderId="15" xfId="0" applyNumberFormat="1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49" fontId="29" fillId="4" borderId="15" xfId="1" applyNumberFormat="1" applyFont="1" applyFill="1" applyBorder="1" applyAlignment="1">
      <alignment horizontal="center"/>
    </xf>
    <xf numFmtId="0" fontId="29" fillId="0" borderId="15" xfId="1" applyFont="1" applyBorder="1" applyAlignment="1">
      <alignment horizontal="left" wrapText="1"/>
    </xf>
    <xf numFmtId="16" fontId="30" fillId="0" borderId="15" xfId="1" applyNumberFormat="1" applyFont="1" applyBorder="1" applyAlignment="1">
      <alignment horizontal="center"/>
    </xf>
    <xf numFmtId="1" fontId="30" fillId="0" borderId="15" xfId="0" applyNumberFormat="1" applyFont="1" applyBorder="1" applyAlignment="1">
      <alignment horizontal="center"/>
    </xf>
    <xf numFmtId="1" fontId="30" fillId="0" borderId="15" xfId="0" applyNumberFormat="1" applyFont="1" applyBorder="1" applyAlignment="1">
      <alignment horizontal="center" vertical="center" wrapText="1"/>
    </xf>
    <xf numFmtId="1" fontId="30" fillId="0" borderId="27" xfId="1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1" fontId="31" fillId="0" borderId="15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left" vertical="center"/>
    </xf>
    <xf numFmtId="0" fontId="30" fillId="0" borderId="15" xfId="1" applyFont="1" applyBorder="1" applyAlignment="1">
      <alignment horizontal="center" vertical="center"/>
    </xf>
    <xf numFmtId="0" fontId="31" fillId="0" borderId="15" xfId="0" applyFont="1" applyBorder="1" applyAlignment="1">
      <alignment horizontal="center"/>
    </xf>
    <xf numFmtId="0" fontId="31" fillId="0" borderId="15" xfId="0" applyFont="1" applyBorder="1"/>
    <xf numFmtId="0" fontId="30" fillId="0" borderId="15" xfId="1" applyFont="1" applyBorder="1" applyAlignment="1">
      <alignment horizontal="center"/>
    </xf>
    <xf numFmtId="1" fontId="31" fillId="0" borderId="15" xfId="0" applyNumberFormat="1" applyFont="1" applyBorder="1" applyAlignment="1">
      <alignment horizontal="center"/>
    </xf>
    <xf numFmtId="0" fontId="32" fillId="7" borderId="16" xfId="0" applyFont="1" applyFill="1" applyBorder="1" applyAlignment="1">
      <alignment horizontal="center"/>
    </xf>
    <xf numFmtId="0" fontId="32" fillId="7" borderId="8" xfId="0" applyFont="1" applyFill="1" applyBorder="1" applyAlignment="1">
      <alignment horizontal="center"/>
    </xf>
    <xf numFmtId="0" fontId="32" fillId="7" borderId="15" xfId="0" applyFont="1" applyFill="1" applyBorder="1"/>
    <xf numFmtId="0" fontId="30" fillId="4" borderId="15" xfId="1" applyFont="1" applyFill="1" applyBorder="1" applyAlignment="1">
      <alignment horizontal="center"/>
    </xf>
    <xf numFmtId="1" fontId="30" fillId="0" borderId="15" xfId="1" applyNumberFormat="1" applyFont="1" applyBorder="1" applyAlignment="1">
      <alignment horizontal="center"/>
    </xf>
    <xf numFmtId="0" fontId="33" fillId="4" borderId="0" xfId="0" applyFont="1" applyFill="1" applyAlignment="1">
      <alignment vertical="center"/>
    </xf>
    <xf numFmtId="0" fontId="34" fillId="8" borderId="15" xfId="0" applyFont="1" applyFill="1" applyBorder="1" applyAlignment="1">
      <alignment horizontal="center" vertical="center" wrapText="1"/>
    </xf>
    <xf numFmtId="0" fontId="34" fillId="8" borderId="15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43" fontId="34" fillId="0" borderId="15" xfId="9" applyFont="1" applyFill="1" applyBorder="1" applyAlignment="1">
      <alignment horizontal="center" vertical="center"/>
    </xf>
    <xf numFmtId="43" fontId="34" fillId="0" borderId="0" xfId="9" applyFont="1" applyFill="1" applyBorder="1" applyAlignment="1">
      <alignment horizontal="center" vertical="center"/>
    </xf>
    <xf numFmtId="43" fontId="36" fillId="0" borderId="0" xfId="9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168" fontId="39" fillId="0" borderId="0" xfId="0" applyNumberFormat="1" applyFont="1" applyAlignment="1">
      <alignment horizontal="center" vertical="center" wrapText="1"/>
    </xf>
    <xf numFmtId="0" fontId="34" fillId="9" borderId="48" xfId="0" applyFont="1" applyFill="1" applyBorder="1" applyAlignment="1">
      <alignment horizontal="center" vertical="center"/>
    </xf>
    <xf numFmtId="0" fontId="34" fillId="9" borderId="49" xfId="0" applyFont="1" applyFill="1" applyBorder="1" applyAlignment="1">
      <alignment horizontal="center" vertical="center"/>
    </xf>
    <xf numFmtId="0" fontId="34" fillId="9" borderId="49" xfId="0" applyFont="1" applyFill="1" applyBorder="1" applyAlignment="1">
      <alignment horizontal="center" vertical="center" wrapText="1"/>
    </xf>
    <xf numFmtId="0" fontId="34" fillId="9" borderId="50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2" fontId="40" fillId="0" borderId="0" xfId="0" applyNumberFormat="1" applyFont="1" applyAlignment="1">
      <alignment horizontal="center"/>
    </xf>
    <xf numFmtId="4" fontId="40" fillId="0" borderId="0" xfId="10" applyNumberFormat="1" applyFont="1" applyFill="1" applyAlignment="1">
      <alignment horizontal="center" vertical="center"/>
    </xf>
    <xf numFmtId="4" fontId="34" fillId="0" borderId="0" xfId="10" applyNumberFormat="1" applyFont="1" applyFill="1" applyAlignment="1">
      <alignment horizontal="center" vertical="center"/>
    </xf>
    <xf numFmtId="10" fontId="34" fillId="0" borderId="0" xfId="7" applyNumberFormat="1" applyFont="1" applyFill="1" applyAlignment="1">
      <alignment vertical="center"/>
    </xf>
    <xf numFmtId="49" fontId="34" fillId="0" borderId="0" xfId="0" applyNumberFormat="1" applyFont="1" applyAlignment="1">
      <alignment horizontal="center" vertical="center"/>
    </xf>
    <xf numFmtId="10" fontId="35" fillId="0" borderId="0" xfId="7" applyNumberFormat="1" applyFont="1" applyFill="1" applyAlignment="1">
      <alignment vertical="center"/>
    </xf>
    <xf numFmtId="0" fontId="33" fillId="0" borderId="0" xfId="0" applyFont="1"/>
    <xf numFmtId="49" fontId="34" fillId="0" borderId="0" xfId="0" applyNumberFormat="1" applyFont="1" applyAlignment="1">
      <alignment horizontal="center"/>
    </xf>
    <xf numFmtId="169" fontId="33" fillId="0" borderId="0" xfId="0" applyNumberFormat="1" applyFont="1" applyAlignment="1">
      <alignment vertical="center"/>
    </xf>
    <xf numFmtId="0" fontId="33" fillId="0" borderId="0" xfId="0" applyFont="1" applyAlignment="1">
      <alignment horizontal="left" vertical="center"/>
    </xf>
    <xf numFmtId="43" fontId="33" fillId="0" borderId="0" xfId="9" applyFont="1" applyFill="1" applyAlignment="1">
      <alignment vertical="center"/>
    </xf>
    <xf numFmtId="49" fontId="41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4" fontId="34" fillId="0" borderId="0" xfId="9" applyNumberFormat="1" applyFont="1" applyFill="1" applyAlignment="1">
      <alignment vertical="center"/>
    </xf>
    <xf numFmtId="43" fontId="42" fillId="0" borderId="0" xfId="9" applyFont="1" applyFill="1" applyAlignment="1">
      <alignment horizontal="center" vertical="center"/>
    </xf>
    <xf numFmtId="10" fontId="35" fillId="9" borderId="51" xfId="7" applyNumberFormat="1" applyFont="1" applyFill="1" applyBorder="1" applyAlignment="1">
      <alignment vertical="center"/>
    </xf>
    <xf numFmtId="0" fontId="33" fillId="9" borderId="37" xfId="0" applyFont="1" applyFill="1" applyBorder="1" applyAlignment="1">
      <alignment vertical="center"/>
    </xf>
    <xf numFmtId="0" fontId="33" fillId="9" borderId="51" xfId="0" applyFont="1" applyFill="1" applyBorder="1" applyAlignment="1">
      <alignment vertical="center"/>
    </xf>
    <xf numFmtId="43" fontId="42" fillId="9" borderId="52" xfId="9" applyFont="1" applyFill="1" applyBorder="1" applyAlignment="1">
      <alignment horizontal="center" vertical="center"/>
    </xf>
    <xf numFmtId="43" fontId="44" fillId="0" borderId="0" xfId="9" applyFont="1" applyFill="1" applyBorder="1" applyAlignment="1">
      <alignment horizontal="right"/>
    </xf>
    <xf numFmtId="0" fontId="33" fillId="9" borderId="52" xfId="0" applyFont="1" applyFill="1" applyBorder="1" applyAlignment="1">
      <alignment vertical="center"/>
    </xf>
    <xf numFmtId="10" fontId="35" fillId="9" borderId="52" xfId="7" applyNumberFormat="1" applyFont="1" applyFill="1" applyBorder="1" applyAlignment="1">
      <alignment vertical="center"/>
    </xf>
    <xf numFmtId="0" fontId="43" fillId="0" borderId="0" xfId="0" applyFont="1" applyAlignment="1">
      <alignment horizontal="right"/>
    </xf>
    <xf numFmtId="0" fontId="43" fillId="0" borderId="0" xfId="0" applyFont="1"/>
    <xf numFmtId="9" fontId="43" fillId="0" borderId="0" xfId="0" applyNumberFormat="1" applyFont="1"/>
    <xf numFmtId="9" fontId="45" fillId="0" borderId="0" xfId="7" applyFont="1" applyFill="1" applyAlignment="1">
      <alignment horizontal="center"/>
    </xf>
    <xf numFmtId="0" fontId="42" fillId="0" borderId="0" xfId="0" applyFont="1" applyAlignment="1">
      <alignment horizontal="right" vertical="center"/>
    </xf>
    <xf numFmtId="4" fontId="42" fillId="0" borderId="0" xfId="9" applyNumberFormat="1" applyFont="1" applyFill="1" applyAlignment="1">
      <alignment vertical="center"/>
    </xf>
    <xf numFmtId="4" fontId="42" fillId="0" borderId="0" xfId="10" applyNumberFormat="1" applyFont="1" applyAlignment="1">
      <alignment horizontal="center" vertical="center"/>
    </xf>
    <xf numFmtId="0" fontId="46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47" fillId="0" borderId="20" xfId="0" applyFont="1" applyBorder="1" applyAlignment="1">
      <alignment horizontal="right"/>
    </xf>
    <xf numFmtId="43" fontId="48" fillId="5" borderId="53" xfId="9" applyFont="1" applyFill="1" applyBorder="1" applyAlignment="1">
      <alignment horizontal="right"/>
    </xf>
    <xf numFmtId="43" fontId="48" fillId="0" borderId="0" xfId="9" applyFont="1" applyFill="1" applyBorder="1" applyAlignment="1">
      <alignment horizontal="right"/>
    </xf>
    <xf numFmtId="43" fontId="34" fillId="0" borderId="15" xfId="9" applyFont="1" applyFill="1" applyBorder="1" applyAlignment="1">
      <alignment vertical="center"/>
    </xf>
    <xf numFmtId="0" fontId="49" fillId="0" borderId="0" xfId="0" applyFont="1" applyAlignment="1">
      <alignment horizontal="left" vertical="center"/>
    </xf>
    <xf numFmtId="4" fontId="42" fillId="0" borderId="0" xfId="10" applyNumberFormat="1" applyFont="1" applyFill="1" applyAlignment="1">
      <alignment horizontal="center" vertical="center"/>
    </xf>
    <xf numFmtId="10" fontId="50" fillId="0" borderId="0" xfId="7" applyNumberFormat="1" applyFont="1" applyFill="1" applyAlignment="1">
      <alignment horizontal="right"/>
    </xf>
    <xf numFmtId="170" fontId="34" fillId="9" borderId="15" xfId="9" applyNumberFormat="1" applyFont="1" applyFill="1" applyBorder="1" applyAlignment="1">
      <alignment vertical="center"/>
    </xf>
    <xf numFmtId="4" fontId="33" fillId="0" borderId="0" xfId="0" applyNumberFormat="1" applyFont="1" applyAlignment="1">
      <alignment horizontal="center" vertical="center"/>
    </xf>
    <xf numFmtId="43" fontId="34" fillId="10" borderId="15" xfId="9" applyFont="1" applyFill="1" applyBorder="1" applyAlignment="1">
      <alignment vertical="center"/>
    </xf>
    <xf numFmtId="167" fontId="51" fillId="0" borderId="0" xfId="0" applyNumberFormat="1" applyFont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0" fontId="35" fillId="9" borderId="54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2" fontId="50" fillId="0" borderId="0" xfId="9" applyNumberFormat="1" applyFont="1" applyFill="1" applyBorder="1" applyAlignment="1">
      <alignment horizontal="center"/>
    </xf>
    <xf numFmtId="2" fontId="47" fillId="0" borderId="0" xfId="9" applyNumberFormat="1" applyFont="1" applyFill="1" applyBorder="1" applyAlignment="1">
      <alignment horizontal="center"/>
    </xf>
    <xf numFmtId="0" fontId="33" fillId="9" borderId="54" xfId="0" applyFont="1" applyFill="1" applyBorder="1" applyAlignment="1">
      <alignment vertical="center"/>
    </xf>
    <xf numFmtId="10" fontId="33" fillId="0" borderId="0" xfId="7" applyNumberFormat="1" applyFont="1" applyFill="1" applyAlignment="1">
      <alignment vertical="center"/>
    </xf>
    <xf numFmtId="4" fontId="33" fillId="0" borderId="0" xfId="9" applyNumberFormat="1" applyFont="1" applyFill="1" applyAlignment="1">
      <alignment vertical="center"/>
    </xf>
    <xf numFmtId="43" fontId="48" fillId="9" borderId="37" xfId="9" applyFont="1" applyFill="1" applyBorder="1" applyAlignment="1">
      <alignment horizontal="right"/>
    </xf>
    <xf numFmtId="0" fontId="34" fillId="9" borderId="38" xfId="0" applyFont="1" applyFill="1" applyBorder="1" applyAlignment="1">
      <alignment horizontal="right" vertical="center"/>
    </xf>
    <xf numFmtId="10" fontId="54" fillId="0" borderId="0" xfId="9" applyNumberFormat="1" applyFont="1" applyFill="1" applyAlignment="1">
      <alignment vertical="center"/>
    </xf>
    <xf numFmtId="10" fontId="35" fillId="0" borderId="0" xfId="7" applyNumberFormat="1" applyFont="1" applyFill="1" applyBorder="1" applyAlignment="1">
      <alignment vertical="center"/>
    </xf>
    <xf numFmtId="167" fontId="55" fillId="0" borderId="0" xfId="0" applyNumberFormat="1" applyFont="1" applyAlignment="1">
      <alignment horizontal="center" vertical="center"/>
    </xf>
    <xf numFmtId="0" fontId="33" fillId="4" borderId="53" xfId="0" applyFont="1" applyFill="1" applyBorder="1" applyAlignment="1">
      <alignment horizontal="center" vertical="center"/>
    </xf>
    <xf numFmtId="43" fontId="56" fillId="0" borderId="0" xfId="9" applyFont="1" applyFill="1" applyAlignment="1">
      <alignment vertical="center"/>
    </xf>
    <xf numFmtId="4" fontId="57" fillId="0" borderId="0" xfId="10" applyNumberFormat="1" applyFont="1" applyFill="1" applyAlignment="1">
      <alignment horizontal="center" vertical="center" wrapText="1"/>
    </xf>
    <xf numFmtId="9" fontId="33" fillId="0" borderId="0" xfId="9" applyNumberFormat="1" applyFont="1" applyFill="1" applyAlignment="1">
      <alignment vertical="center"/>
    </xf>
    <xf numFmtId="0" fontId="4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41" fillId="0" borderId="0" xfId="0" applyFont="1" applyAlignment="1">
      <alignment horizontal="right" vertical="center"/>
    </xf>
    <xf numFmtId="4" fontId="41" fillId="0" borderId="0" xfId="9" applyNumberFormat="1" applyFont="1" applyFill="1" applyAlignment="1">
      <alignment vertical="center"/>
    </xf>
    <xf numFmtId="4" fontId="34" fillId="12" borderId="53" xfId="9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43" fontId="58" fillId="0" borderId="0" xfId="9" applyFont="1" applyFill="1" applyAlignment="1">
      <alignment vertical="center"/>
    </xf>
    <xf numFmtId="9" fontId="58" fillId="0" borderId="0" xfId="9" applyNumberFormat="1" applyFont="1" applyFill="1" applyAlignment="1">
      <alignment vertical="center"/>
    </xf>
    <xf numFmtId="4" fontId="34" fillId="0" borderId="0" xfId="9" applyNumberFormat="1" applyFont="1" applyFill="1" applyAlignment="1">
      <alignment horizontal="center" vertical="center"/>
    </xf>
    <xf numFmtId="10" fontId="51" fillId="0" borderId="0" xfId="7" applyNumberFormat="1" applyFont="1" applyFill="1" applyAlignment="1">
      <alignment vertical="center"/>
    </xf>
    <xf numFmtId="43" fontId="51" fillId="0" borderId="0" xfId="9" applyFont="1" applyFill="1" applyBorder="1" applyAlignment="1">
      <alignment vertical="center"/>
    </xf>
    <xf numFmtId="4" fontId="33" fillId="0" borderId="0" xfId="0" applyNumberFormat="1" applyFont="1" applyAlignment="1">
      <alignment horizontal="center"/>
    </xf>
    <xf numFmtId="43" fontId="33" fillId="0" borderId="0" xfId="9" applyFont="1" applyFill="1" applyBorder="1"/>
    <xf numFmtId="10" fontId="51" fillId="0" borderId="0" xfId="7" applyNumberFormat="1" applyFont="1" applyFill="1" applyBorder="1" applyAlignment="1">
      <alignment vertical="center"/>
    </xf>
    <xf numFmtId="0" fontId="51" fillId="0" borderId="0" xfId="0" applyFont="1" applyAlignment="1">
      <alignment horizontal="right"/>
    </xf>
    <xf numFmtId="43" fontId="33" fillId="0" borderId="0" xfId="9" applyFont="1" applyFill="1" applyBorder="1" applyAlignment="1">
      <alignment horizontal="center"/>
    </xf>
    <xf numFmtId="9" fontId="61" fillId="0" borderId="0" xfId="0" applyNumberFormat="1" applyFont="1" applyAlignment="1">
      <alignment horizontal="left"/>
    </xf>
    <xf numFmtId="4" fontId="34" fillId="0" borderId="0" xfId="0" applyNumberFormat="1" applyFont="1" applyAlignment="1">
      <alignment horizontal="center"/>
    </xf>
    <xf numFmtId="167" fontId="34" fillId="0" borderId="0" xfId="0" applyNumberFormat="1" applyFont="1"/>
    <xf numFmtId="0" fontId="30" fillId="13" borderId="15" xfId="1" applyFont="1" applyFill="1" applyBorder="1" applyAlignment="1">
      <alignment horizontal="center"/>
    </xf>
    <xf numFmtId="0" fontId="30" fillId="13" borderId="15" xfId="1" applyFont="1" applyFill="1" applyBorder="1"/>
    <xf numFmtId="0" fontId="30" fillId="13" borderId="15" xfId="1" applyFont="1" applyFill="1" applyBorder="1" applyAlignment="1">
      <alignment horizontal="center" vertical="center"/>
    </xf>
    <xf numFmtId="1" fontId="30" fillId="13" borderId="15" xfId="0" applyNumberFormat="1" applyFont="1" applyFill="1" applyBorder="1" applyAlignment="1">
      <alignment horizontal="center"/>
    </xf>
    <xf numFmtId="0" fontId="30" fillId="14" borderId="15" xfId="1" applyFont="1" applyFill="1" applyBorder="1" applyAlignment="1">
      <alignment horizontal="center"/>
    </xf>
    <xf numFmtId="0" fontId="30" fillId="14" borderId="0" xfId="1" applyFont="1" applyFill="1"/>
    <xf numFmtId="0" fontId="30" fillId="14" borderId="15" xfId="1" applyFont="1" applyFill="1" applyBorder="1" applyAlignment="1">
      <alignment horizontal="center" vertical="center"/>
    </xf>
    <xf numFmtId="1" fontId="30" fillId="14" borderId="15" xfId="0" applyNumberFormat="1" applyFont="1" applyFill="1" applyBorder="1" applyAlignment="1">
      <alignment horizontal="center"/>
    </xf>
    <xf numFmtId="0" fontId="63" fillId="0" borderId="15" xfId="0" applyFont="1" applyBorder="1" applyAlignment="1">
      <alignment horizontal="center"/>
    </xf>
    <xf numFmtId="0" fontId="64" fillId="0" borderId="15" xfId="1" applyFont="1" applyBorder="1" applyAlignment="1">
      <alignment horizontal="center"/>
    </xf>
    <xf numFmtId="0" fontId="65" fillId="0" borderId="16" xfId="1" applyFont="1" applyBorder="1" applyAlignment="1">
      <alignment horizontal="center" vertical="center"/>
    </xf>
    <xf numFmtId="0" fontId="65" fillId="0" borderId="15" xfId="1" applyFont="1" applyBorder="1" applyAlignment="1">
      <alignment horizontal="center" vertical="center"/>
    </xf>
    <xf numFmtId="0" fontId="66" fillId="0" borderId="15" xfId="1" applyFont="1" applyBorder="1" applyAlignment="1">
      <alignment vertical="center"/>
    </xf>
    <xf numFmtId="1" fontId="65" fillId="0" borderId="15" xfId="1" applyNumberFormat="1" applyFont="1" applyBorder="1" applyAlignment="1">
      <alignment horizontal="center"/>
    </xf>
    <xf numFmtId="1" fontId="65" fillId="0" borderId="15" xfId="1" applyNumberFormat="1" applyFont="1" applyBorder="1" applyAlignment="1">
      <alignment horizontal="center" wrapText="1"/>
    </xf>
    <xf numFmtId="0" fontId="64" fillId="0" borderId="14" xfId="1" applyFont="1" applyBorder="1" applyAlignment="1">
      <alignment horizontal="center"/>
    </xf>
    <xf numFmtId="0" fontId="64" fillId="0" borderId="15" xfId="0" applyFont="1" applyBorder="1" applyAlignment="1">
      <alignment horizontal="center" vertical="center"/>
    </xf>
    <xf numFmtId="0" fontId="63" fillId="0" borderId="15" xfId="0" applyFont="1" applyBorder="1"/>
    <xf numFmtId="16" fontId="64" fillId="4" borderId="15" xfId="0" applyNumberFormat="1" applyFont="1" applyFill="1" applyBorder="1" applyAlignment="1">
      <alignment horizontal="center"/>
    </xf>
    <xf numFmtId="1" fontId="64" fillId="0" borderId="15" xfId="0" applyNumberFormat="1" applyFont="1" applyBorder="1" applyAlignment="1">
      <alignment horizontal="center"/>
    </xf>
    <xf numFmtId="1" fontId="64" fillId="0" borderId="15" xfId="0" applyNumberFormat="1" applyFont="1" applyBorder="1" applyAlignment="1">
      <alignment horizontal="center" vertical="center" wrapText="1"/>
    </xf>
    <xf numFmtId="1" fontId="64" fillId="0" borderId="27" xfId="1" applyNumberFormat="1" applyFont="1" applyBorder="1" applyAlignment="1">
      <alignment horizontal="center"/>
    </xf>
    <xf numFmtId="0" fontId="63" fillId="0" borderId="11" xfId="0" applyFont="1" applyBorder="1" applyAlignment="1">
      <alignment horizontal="center"/>
    </xf>
    <xf numFmtId="0" fontId="64" fillId="0" borderId="15" xfId="0" applyFont="1" applyBorder="1" applyAlignment="1">
      <alignment horizontal="center"/>
    </xf>
    <xf numFmtId="0" fontId="64" fillId="3" borderId="0" xfId="1" applyFont="1" applyFill="1"/>
    <xf numFmtId="1" fontId="64" fillId="0" borderId="9" xfId="1" applyNumberFormat="1" applyFont="1" applyBorder="1" applyAlignment="1">
      <alignment horizontal="center"/>
    </xf>
    <xf numFmtId="0" fontId="64" fillId="0" borderId="8" xfId="1" applyFont="1" applyBorder="1" applyAlignment="1">
      <alignment horizontal="center"/>
    </xf>
    <xf numFmtId="0" fontId="64" fillId="0" borderId="15" xfId="1" applyFont="1" applyBorder="1"/>
    <xf numFmtId="0" fontId="63" fillId="0" borderId="8" xfId="0" applyFont="1" applyBorder="1" applyAlignment="1">
      <alignment horizontal="center"/>
    </xf>
    <xf numFmtId="0" fontId="65" fillId="0" borderId="15" xfId="1" applyFont="1" applyBorder="1"/>
    <xf numFmtId="1" fontId="64" fillId="0" borderId="15" xfId="1" applyNumberFormat="1" applyFont="1" applyBorder="1" applyAlignment="1">
      <alignment horizontal="center"/>
    </xf>
    <xf numFmtId="0" fontId="64" fillId="4" borderId="15" xfId="0" applyFont="1" applyFill="1" applyBorder="1" applyAlignment="1">
      <alignment horizontal="center"/>
    </xf>
    <xf numFmtId="0" fontId="64" fillId="4" borderId="15" xfId="0" applyFont="1" applyFill="1" applyBorder="1"/>
    <xf numFmtId="1" fontId="64" fillId="4" borderId="15" xfId="0" applyNumberFormat="1" applyFont="1" applyFill="1" applyBorder="1" applyAlignment="1">
      <alignment horizontal="center" wrapText="1"/>
    </xf>
    <xf numFmtId="0" fontId="64" fillId="4" borderId="15" xfId="0" applyFont="1" applyFill="1" applyBorder="1" applyAlignment="1">
      <alignment horizontal="center" vertical="center"/>
    </xf>
    <xf numFmtId="1" fontId="64" fillId="4" borderId="15" xfId="0" applyNumberFormat="1" applyFont="1" applyFill="1" applyBorder="1" applyAlignment="1">
      <alignment horizontal="center"/>
    </xf>
    <xf numFmtId="49" fontId="64" fillId="0" borderId="16" xfId="1" applyNumberFormat="1" applyFont="1" applyBorder="1" applyAlignment="1">
      <alignment horizontal="center"/>
    </xf>
    <xf numFmtId="49" fontId="64" fillId="0" borderId="8" xfId="1" applyNumberFormat="1" applyFont="1" applyBorder="1" applyAlignment="1">
      <alignment horizontal="center"/>
    </xf>
    <xf numFmtId="49" fontId="64" fillId="0" borderId="15" xfId="1" applyNumberFormat="1" applyFont="1" applyBorder="1"/>
    <xf numFmtId="1" fontId="64" fillId="0" borderId="15" xfId="1" applyNumberFormat="1" applyFont="1" applyBorder="1" applyAlignment="1">
      <alignment horizontal="center" wrapText="1"/>
    </xf>
    <xf numFmtId="49" fontId="67" fillId="3" borderId="21" xfId="1" applyNumberFormat="1" applyFont="1" applyFill="1" applyBorder="1" applyAlignment="1">
      <alignment horizontal="center" vertical="center"/>
    </xf>
    <xf numFmtId="49" fontId="67" fillId="3" borderId="0" xfId="1" applyNumberFormat="1" applyFont="1" applyFill="1" applyAlignment="1">
      <alignment horizontal="center" vertical="center"/>
    </xf>
    <xf numFmtId="1" fontId="64" fillId="3" borderId="0" xfId="1" applyNumberFormat="1" applyFont="1" applyFill="1" applyAlignment="1">
      <alignment horizontal="center"/>
    </xf>
    <xf numFmtId="164" fontId="64" fillId="3" borderId="0" xfId="1" applyNumberFormat="1" applyFont="1" applyFill="1" applyAlignment="1">
      <alignment horizontal="center" wrapText="1"/>
    </xf>
    <xf numFmtId="0" fontId="64" fillId="3" borderId="20" xfId="1" applyFont="1" applyFill="1" applyBorder="1" applyAlignment="1">
      <alignment horizontal="center"/>
    </xf>
    <xf numFmtId="0" fontId="64" fillId="2" borderId="42" xfId="1" applyFont="1" applyFill="1" applyBorder="1" applyAlignment="1">
      <alignment horizontal="center"/>
    </xf>
    <xf numFmtId="0" fontId="64" fillId="2" borderId="37" xfId="1" applyFont="1" applyFill="1" applyBorder="1" applyAlignment="1">
      <alignment horizontal="center"/>
    </xf>
    <xf numFmtId="0" fontId="64" fillId="2" borderId="37" xfId="1" applyFont="1" applyFill="1" applyBorder="1"/>
    <xf numFmtId="0" fontId="65" fillId="2" borderId="37" xfId="1" applyFont="1" applyFill="1" applyBorder="1" applyAlignment="1">
      <alignment horizontal="center"/>
    </xf>
    <xf numFmtId="1" fontId="65" fillId="2" borderId="37" xfId="1" applyNumberFormat="1" applyFont="1" applyFill="1" applyBorder="1" applyAlignment="1">
      <alignment horizontal="center"/>
    </xf>
    <xf numFmtId="164" fontId="64" fillId="2" borderId="37" xfId="1" applyNumberFormat="1" applyFont="1" applyFill="1" applyBorder="1" applyAlignment="1">
      <alignment horizontal="center" wrapText="1"/>
    </xf>
    <xf numFmtId="0" fontId="64" fillId="2" borderId="38" xfId="1" applyFont="1" applyFill="1" applyBorder="1" applyAlignment="1">
      <alignment horizontal="center"/>
    </xf>
    <xf numFmtId="1" fontId="64" fillId="0" borderId="11" xfId="0" applyNumberFormat="1" applyFont="1" applyBorder="1" applyAlignment="1">
      <alignment horizontal="center"/>
    </xf>
    <xf numFmtId="0" fontId="64" fillId="0" borderId="27" xfId="0" applyFont="1" applyBorder="1" applyAlignment="1">
      <alignment horizontal="center"/>
    </xf>
    <xf numFmtId="1" fontId="64" fillId="0" borderId="2" xfId="0" applyNumberFormat="1" applyFont="1" applyBorder="1" applyAlignment="1">
      <alignment horizontal="center"/>
    </xf>
    <xf numFmtId="0" fontId="64" fillId="0" borderId="2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6" xfId="1" applyFont="1" applyBorder="1" applyAlignment="1">
      <alignment horizontal="left"/>
    </xf>
    <xf numFmtId="0" fontId="10" fillId="0" borderId="24" xfId="1" applyFont="1" applyBorder="1" applyAlignment="1">
      <alignment horizontal="left"/>
    </xf>
    <xf numFmtId="0" fontId="10" fillId="0" borderId="22" xfId="1" applyFont="1" applyBorder="1" applyAlignment="1">
      <alignment horizontal="left"/>
    </xf>
    <xf numFmtId="0" fontId="9" fillId="6" borderId="44" xfId="2" applyFont="1" applyFill="1" applyBorder="1" applyAlignment="1">
      <alignment horizontal="center"/>
    </xf>
    <xf numFmtId="0" fontId="9" fillId="6" borderId="35" xfId="2" applyFont="1" applyFill="1" applyBorder="1" applyAlignment="1">
      <alignment horizontal="center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64" fontId="10" fillId="0" borderId="23" xfId="1" applyNumberFormat="1" applyFont="1" applyBorder="1" applyAlignment="1">
      <alignment horizontal="center"/>
    </xf>
    <xf numFmtId="164" fontId="10" fillId="0" borderId="22" xfId="1" applyNumberFormat="1" applyFont="1" applyBorder="1" applyAlignment="1">
      <alignment horizontal="center"/>
    </xf>
    <xf numFmtId="0" fontId="21" fillId="0" borderId="15" xfId="1" applyFont="1" applyBorder="1" applyAlignment="1">
      <alignment horizontal="left" wrapText="1"/>
    </xf>
    <xf numFmtId="0" fontId="21" fillId="0" borderId="13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7" fillId="2" borderId="42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1" fillId="0" borderId="7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7" xfId="1" applyFont="1" applyBorder="1" applyAlignment="1">
      <alignment horizontal="left"/>
    </xf>
    <xf numFmtId="0" fontId="21" fillId="0" borderId="6" xfId="1" applyFont="1" applyBorder="1" applyAlignment="1">
      <alignment horizontal="left"/>
    </xf>
    <xf numFmtId="0" fontId="21" fillId="0" borderId="5" xfId="1" applyFont="1" applyBorder="1" applyAlignment="1">
      <alignment horizontal="left"/>
    </xf>
    <xf numFmtId="0" fontId="22" fillId="0" borderId="15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164" fontId="10" fillId="0" borderId="9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0" fontId="7" fillId="0" borderId="39" xfId="1" applyFont="1" applyBorder="1" applyAlignment="1">
      <alignment horizontal="right"/>
    </xf>
    <xf numFmtId="0" fontId="7" fillId="0" borderId="40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right"/>
    </xf>
    <xf numFmtId="0" fontId="10" fillId="3" borderId="27" xfId="1" applyFont="1" applyFill="1" applyBorder="1" applyAlignment="1">
      <alignment horizontal="center"/>
    </xf>
    <xf numFmtId="0" fontId="10" fillId="3" borderId="43" xfId="1" applyFont="1" applyFill="1" applyBorder="1" applyAlignment="1">
      <alignment horizontal="center"/>
    </xf>
    <xf numFmtId="0" fontId="8" fillId="3" borderId="0" xfId="2" applyFont="1" applyFill="1"/>
    <xf numFmtId="0" fontId="7" fillId="2" borderId="4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8" fillId="3" borderId="0" xfId="2" applyFont="1" applyFill="1" applyAlignment="1">
      <alignment horizontal="right"/>
    </xf>
    <xf numFmtId="0" fontId="11" fillId="3" borderId="30" xfId="2" applyFont="1" applyFill="1" applyBorder="1" applyAlignment="1">
      <alignment horizontal="center"/>
    </xf>
    <xf numFmtId="14" fontId="10" fillId="3" borderId="33" xfId="2" applyNumberFormat="1" applyFont="1" applyFill="1" applyBorder="1" applyAlignment="1">
      <alignment horizontal="center" vertical="center" wrapText="1"/>
    </xf>
    <xf numFmtId="14" fontId="10" fillId="3" borderId="31" xfId="2" applyNumberFormat="1" applyFont="1" applyFill="1" applyBorder="1" applyAlignment="1">
      <alignment horizontal="center" vertical="center" wrapText="1"/>
    </xf>
    <xf numFmtId="14" fontId="10" fillId="3" borderId="10" xfId="2" applyNumberFormat="1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left"/>
    </xf>
    <xf numFmtId="0" fontId="10" fillId="3" borderId="26" xfId="2" applyFont="1" applyFill="1" applyBorder="1" applyAlignment="1">
      <alignment horizontal="left"/>
    </xf>
    <xf numFmtId="0" fontId="10" fillId="3" borderId="19" xfId="2" applyFont="1" applyFill="1" applyBorder="1" applyAlignment="1">
      <alignment horizontal="left"/>
    </xf>
    <xf numFmtId="0" fontId="10" fillId="3" borderId="9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8" xfId="2" applyFont="1" applyFill="1" applyBorder="1" applyAlignment="1">
      <alignment horizontal="left"/>
    </xf>
    <xf numFmtId="0" fontId="10" fillId="3" borderId="36" xfId="2" applyFont="1" applyFill="1" applyBorder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9" xfId="2" applyFont="1" applyFill="1" applyBorder="1" applyAlignment="1">
      <alignment horizontal="center"/>
    </xf>
    <xf numFmtId="0" fontId="10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16" fillId="5" borderId="42" xfId="2" applyFont="1" applyFill="1" applyBorder="1" applyAlignment="1">
      <alignment horizontal="center" vertical="center" wrapText="1"/>
    </xf>
    <xf numFmtId="0" fontId="16" fillId="5" borderId="37" xfId="2" applyFont="1" applyFill="1" applyBorder="1" applyAlignment="1">
      <alignment horizontal="center" vertical="center" wrapText="1"/>
    </xf>
    <xf numFmtId="0" fontId="16" fillId="5" borderId="38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29" xfId="2" applyFont="1" applyFill="1" applyBorder="1" applyAlignment="1">
      <alignment horizontal="right" vertical="top" wrapText="1"/>
    </xf>
    <xf numFmtId="0" fontId="34" fillId="0" borderId="0" xfId="0" applyFont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9" fillId="0" borderId="37" xfId="0" applyFont="1" applyBorder="1" applyAlignment="1">
      <alignment horizontal="right" vertical="center" wrapText="1"/>
    </xf>
    <xf numFmtId="0" fontId="51" fillId="0" borderId="15" xfId="0" applyFont="1" applyBorder="1" applyAlignment="1">
      <alignment horizontal="right" vertical="center"/>
    </xf>
    <xf numFmtId="0" fontId="52" fillId="0" borderId="21" xfId="0" applyFont="1" applyBorder="1" applyAlignment="1">
      <alignment horizontal="right"/>
    </xf>
    <xf numFmtId="0" fontId="52" fillId="0" borderId="0" xfId="0" applyFont="1" applyAlignment="1">
      <alignment horizontal="right"/>
    </xf>
    <xf numFmtId="0" fontId="52" fillId="0" borderId="20" xfId="0" applyFont="1" applyBorder="1" applyAlignment="1">
      <alignment horizontal="right"/>
    </xf>
    <xf numFmtId="0" fontId="34" fillId="0" borderId="0" xfId="0" applyFont="1" applyAlignment="1">
      <alignment horizontal="right" vertical="center"/>
    </xf>
    <xf numFmtId="0" fontId="43" fillId="0" borderId="36" xfId="0" applyFont="1" applyBorder="1" applyAlignment="1">
      <alignment horizontal="right"/>
    </xf>
    <xf numFmtId="0" fontId="43" fillId="0" borderId="35" xfId="0" applyFont="1" applyBorder="1" applyAlignment="1">
      <alignment horizontal="right"/>
    </xf>
    <xf numFmtId="0" fontId="33" fillId="0" borderId="15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42" fillId="0" borderId="0" xfId="0" applyFont="1" applyAlignment="1">
      <alignment horizontal="center" vertical="center"/>
    </xf>
    <xf numFmtId="0" fontId="59" fillId="0" borderId="42" xfId="0" applyFont="1" applyBorder="1" applyAlignment="1">
      <alignment horizontal="right" vertical="center"/>
    </xf>
    <xf numFmtId="0" fontId="59" fillId="0" borderId="37" xfId="0" applyFont="1" applyBorder="1" applyAlignment="1">
      <alignment horizontal="right" vertical="center"/>
    </xf>
    <xf numFmtId="0" fontId="59" fillId="0" borderId="38" xfId="0" applyFont="1" applyBorder="1" applyAlignment="1">
      <alignment horizontal="right" vertical="center"/>
    </xf>
    <xf numFmtId="0" fontId="60" fillId="0" borderId="0" xfId="0" applyFont="1" applyAlignment="1">
      <alignment horizontal="right"/>
    </xf>
    <xf numFmtId="0" fontId="50" fillId="0" borderId="30" xfId="0" applyFont="1" applyBorder="1" applyAlignment="1">
      <alignment horizontal="right"/>
    </xf>
    <xf numFmtId="0" fontId="42" fillId="0" borderId="0" xfId="0" applyFont="1" applyAlignment="1">
      <alignment horizontal="right" vertical="center"/>
    </xf>
    <xf numFmtId="0" fontId="48" fillId="9" borderId="42" xfId="0" applyFont="1" applyFill="1" applyBorder="1" applyAlignment="1">
      <alignment horizontal="right"/>
    </xf>
    <xf numFmtId="0" fontId="48" fillId="9" borderId="37" xfId="0" applyFont="1" applyFill="1" applyBorder="1" applyAlignment="1">
      <alignment horizontal="right"/>
    </xf>
    <xf numFmtId="0" fontId="33" fillId="0" borderId="0" xfId="0" applyFont="1" applyAlignment="1">
      <alignment horizontal="right" vertical="center"/>
    </xf>
    <xf numFmtId="0" fontId="34" fillId="0" borderId="30" xfId="0" applyFont="1" applyBorder="1" applyAlignment="1">
      <alignment horizontal="right" vertical="center"/>
    </xf>
    <xf numFmtId="0" fontId="34" fillId="0" borderId="55" xfId="0" applyFont="1" applyBorder="1" applyAlignment="1">
      <alignment horizontal="right" vertical="center"/>
    </xf>
    <xf numFmtId="0" fontId="34" fillId="11" borderId="42" xfId="0" applyFont="1" applyFill="1" applyBorder="1" applyAlignment="1">
      <alignment horizontal="right" vertical="center"/>
    </xf>
    <xf numFmtId="0" fontId="34" fillId="11" borderId="37" xfId="0" applyFont="1" applyFill="1" applyBorder="1" applyAlignment="1">
      <alignment horizontal="right" vertical="center"/>
    </xf>
    <xf numFmtId="0" fontId="34" fillId="11" borderId="38" xfId="0" applyFont="1" applyFill="1" applyBorder="1" applyAlignment="1">
      <alignment horizontal="right" vertical="center"/>
    </xf>
    <xf numFmtId="4" fontId="57" fillId="0" borderId="0" xfId="10" applyNumberFormat="1" applyFont="1" applyFill="1" applyAlignment="1">
      <alignment horizontal="center" vertical="center" wrapText="1"/>
    </xf>
    <xf numFmtId="0" fontId="64" fillId="3" borderId="15" xfId="2" applyFont="1" applyFill="1" applyBorder="1" applyAlignment="1">
      <alignment horizontal="left"/>
    </xf>
    <xf numFmtId="0" fontId="64" fillId="0" borderId="56" xfId="1" applyFont="1" applyBorder="1" applyAlignment="1">
      <alignment horizontal="left"/>
    </xf>
    <xf numFmtId="0" fontId="64" fillId="0" borderId="57" xfId="1" applyFont="1" applyBorder="1" applyAlignment="1">
      <alignment horizontal="left"/>
    </xf>
    <xf numFmtId="0" fontId="64" fillId="0" borderId="58" xfId="1" applyFont="1" applyBorder="1" applyAlignment="1">
      <alignment horizontal="left"/>
    </xf>
    <xf numFmtId="0" fontId="65" fillId="6" borderId="15" xfId="2" applyFont="1" applyFill="1" applyBorder="1" applyAlignment="1">
      <alignment horizontal="center"/>
    </xf>
    <xf numFmtId="0" fontId="64" fillId="0" borderId="7" xfId="0" applyFont="1" applyBorder="1" applyAlignment="1">
      <alignment horizontal="left"/>
    </xf>
    <xf numFmtId="0" fontId="64" fillId="0" borderId="6" xfId="0" applyFont="1" applyBorder="1" applyAlignment="1">
      <alignment horizontal="left"/>
    </xf>
    <xf numFmtId="0" fontId="64" fillId="0" borderId="5" xfId="0" applyFont="1" applyBorder="1" applyAlignment="1">
      <alignment horizontal="left"/>
    </xf>
    <xf numFmtId="0" fontId="65" fillId="0" borderId="7" xfId="1" applyFont="1" applyBorder="1" applyAlignment="1">
      <alignment horizontal="right"/>
    </xf>
    <xf numFmtId="0" fontId="65" fillId="0" borderId="6" xfId="1" applyFont="1" applyBorder="1" applyAlignment="1">
      <alignment horizontal="right"/>
    </xf>
    <xf numFmtId="0" fontId="65" fillId="0" borderId="8" xfId="1" applyFont="1" applyBorder="1" applyAlignment="1">
      <alignment horizontal="right"/>
    </xf>
    <xf numFmtId="0" fontId="64" fillId="0" borderId="15" xfId="1" applyFont="1" applyBorder="1" applyAlignment="1">
      <alignment horizontal="right"/>
    </xf>
    <xf numFmtId="164" fontId="64" fillId="0" borderId="9" xfId="1" applyNumberFormat="1" applyFont="1" applyBorder="1" applyAlignment="1">
      <alignment horizontal="center"/>
    </xf>
    <xf numFmtId="164" fontId="64" fillId="0" borderId="5" xfId="1" applyNumberFormat="1" applyFont="1" applyBorder="1" applyAlignment="1">
      <alignment horizontal="center"/>
    </xf>
    <xf numFmtId="164" fontId="64" fillId="0" borderId="9" xfId="1" applyNumberFormat="1" applyFont="1" applyBorder="1" applyAlignment="1">
      <alignment horizontal="right" wrapText="1"/>
    </xf>
    <xf numFmtId="164" fontId="64" fillId="0" borderId="8" xfId="1" applyNumberFormat="1" applyFont="1" applyBorder="1" applyAlignment="1">
      <alignment horizontal="right" wrapText="1"/>
    </xf>
    <xf numFmtId="0" fontId="65" fillId="0" borderId="4" xfId="1" applyFont="1" applyBorder="1" applyAlignment="1">
      <alignment horizontal="right"/>
    </xf>
    <xf numFmtId="0" fontId="65" fillId="0" borderId="3" xfId="1" applyFont="1" applyBorder="1" applyAlignment="1">
      <alignment horizontal="right"/>
    </xf>
    <xf numFmtId="0" fontId="65" fillId="0" borderId="2" xfId="1" applyFont="1" applyBorder="1" applyAlignment="1">
      <alignment horizontal="right"/>
    </xf>
    <xf numFmtId="0" fontId="64" fillId="0" borderId="2" xfId="1" applyFont="1" applyBorder="1" applyAlignment="1">
      <alignment horizontal="right"/>
    </xf>
    <xf numFmtId="164" fontId="64" fillId="0" borderId="23" xfId="1" applyNumberFormat="1" applyFont="1" applyBorder="1" applyAlignment="1">
      <alignment horizontal="center"/>
    </xf>
    <xf numFmtId="164" fontId="64" fillId="0" borderId="22" xfId="1" applyNumberFormat="1" applyFont="1" applyBorder="1" applyAlignment="1">
      <alignment horizontal="center"/>
    </xf>
    <xf numFmtId="0" fontId="65" fillId="2" borderId="42" xfId="1" applyFont="1" applyFill="1" applyBorder="1" applyAlignment="1">
      <alignment horizontal="center"/>
    </xf>
    <xf numFmtId="0" fontId="65" fillId="2" borderId="37" xfId="1" applyFont="1" applyFill="1" applyBorder="1" applyAlignment="1">
      <alignment horizontal="center"/>
    </xf>
    <xf numFmtId="0" fontId="65" fillId="2" borderId="38" xfId="1" applyFont="1" applyFill="1" applyBorder="1" applyAlignment="1">
      <alignment horizontal="center"/>
    </xf>
    <xf numFmtId="0" fontId="64" fillId="0" borderId="7" xfId="0" applyFont="1" applyBorder="1" applyAlignment="1">
      <alignment horizontal="left" wrapText="1"/>
    </xf>
    <xf numFmtId="0" fontId="64" fillId="0" borderId="6" xfId="0" applyFont="1" applyBorder="1" applyAlignment="1">
      <alignment horizontal="left" wrapText="1"/>
    </xf>
    <xf numFmtId="0" fontId="64" fillId="0" borderId="5" xfId="0" applyFont="1" applyBorder="1" applyAlignment="1">
      <alignment horizontal="left" wrapText="1"/>
    </xf>
    <xf numFmtId="0" fontId="65" fillId="0" borderId="39" xfId="1" applyFont="1" applyBorder="1" applyAlignment="1">
      <alignment horizontal="right"/>
    </xf>
    <xf numFmtId="0" fontId="65" fillId="0" borderId="40" xfId="1" applyFont="1" applyBorder="1" applyAlignment="1">
      <alignment horizontal="right"/>
    </xf>
    <xf numFmtId="0" fontId="65" fillId="0" borderId="12" xfId="1" applyFont="1" applyBorder="1" applyAlignment="1">
      <alignment horizontal="right"/>
    </xf>
    <xf numFmtId="164" fontId="64" fillId="0" borderId="11" xfId="1" applyNumberFormat="1" applyFont="1" applyBorder="1" applyAlignment="1">
      <alignment horizontal="right"/>
    </xf>
    <xf numFmtId="0" fontId="64" fillId="3" borderId="27" xfId="1" applyFont="1" applyFill="1" applyBorder="1" applyAlignment="1">
      <alignment horizontal="center"/>
    </xf>
    <xf numFmtId="0" fontId="64" fillId="3" borderId="43" xfId="1" applyFont="1" applyFill="1" applyBorder="1" applyAlignment="1">
      <alignment horizontal="center"/>
    </xf>
    <xf numFmtId="0" fontId="62" fillId="5" borderId="42" xfId="2" applyFont="1" applyFill="1" applyBorder="1" applyAlignment="1">
      <alignment horizontal="center" vertical="center" wrapText="1"/>
    </xf>
    <xf numFmtId="0" fontId="62" fillId="5" borderId="37" xfId="2" applyFont="1" applyFill="1" applyBorder="1" applyAlignment="1">
      <alignment horizontal="center" vertical="center" wrapText="1"/>
    </xf>
    <xf numFmtId="0" fontId="62" fillId="5" borderId="38" xfId="2" applyFont="1" applyFill="1" applyBorder="1" applyAlignment="1">
      <alignment horizontal="center" vertical="center" wrapText="1"/>
    </xf>
  </cellXfs>
  <cellStyles count="12">
    <cellStyle name="Millares" xfId="9" builtinId="3"/>
    <cellStyle name="Millares [0]" xfId="10" builtinId="6"/>
    <cellStyle name="Millares 2" xfId="11" xr:uid="{B394F7C5-0523-46E4-967C-406C7ED9C540}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EBFF37AA-A9E6-4923-827A-696DBB98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40081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3" name="Imagen 2">
          <a:extLst>
            <a:ext uri="{FF2B5EF4-FFF2-40B4-BE49-F238E27FC236}">
              <a16:creationId xmlns:a16="http://schemas.microsoft.com/office/drawing/2014/main" id="{7478E26A-1EA4-4D3F-BFFB-EFDABEA5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4" name="Imagen 3">
          <a:extLst>
            <a:ext uri="{FF2B5EF4-FFF2-40B4-BE49-F238E27FC236}">
              <a16:creationId xmlns:a16="http://schemas.microsoft.com/office/drawing/2014/main" id="{745DC134-FC46-41E6-8409-0475564DD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5" name="Imagen 4">
          <a:extLst>
            <a:ext uri="{FF2B5EF4-FFF2-40B4-BE49-F238E27FC236}">
              <a16:creationId xmlns:a16="http://schemas.microsoft.com/office/drawing/2014/main" id="{2873B5A0-9247-4BC8-9E96-032303F9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6" name="Imagen 5">
          <a:extLst>
            <a:ext uri="{FF2B5EF4-FFF2-40B4-BE49-F238E27FC236}">
              <a16:creationId xmlns:a16="http://schemas.microsoft.com/office/drawing/2014/main" id="{EE601AB2-1DE0-4F05-B826-0B94B790E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83506</xdr:colOff>
      <xdr:row>0</xdr:row>
      <xdr:rowOff>213890</xdr:rowOff>
    </xdr:from>
    <xdr:ext cx="2039535" cy="940398"/>
    <xdr:pic>
      <xdr:nvPicPr>
        <xdr:cNvPr id="2" name="Imagen 1">
          <a:extLst>
            <a:ext uri="{FF2B5EF4-FFF2-40B4-BE49-F238E27FC236}">
              <a16:creationId xmlns:a16="http://schemas.microsoft.com/office/drawing/2014/main" id="{8A376A55-59C4-49FC-8A7B-87FA6A44D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6" y="213890"/>
          <a:ext cx="2039535" cy="940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19</xdr:col>
      <xdr:colOff>411896</xdr:colOff>
      <xdr:row>5</xdr:row>
      <xdr:rowOff>175374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BF7675-F159-8B13-510E-D2D286379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7840" y="350520"/>
          <a:ext cx="4801016" cy="13107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54DB-43C2-4B2F-B097-D17933D1576D}">
  <dimension ref="A1:K69"/>
  <sheetViews>
    <sheetView zoomScale="81" workbookViewId="0">
      <selection activeCell="D16" sqref="D16"/>
    </sheetView>
  </sheetViews>
  <sheetFormatPr baseColWidth="10" defaultRowHeight="15" x14ac:dyDescent="0.25"/>
  <cols>
    <col min="1" max="1" width="17.140625" customWidth="1"/>
    <col min="2" max="2" width="12.7109375" customWidth="1"/>
    <col min="3" max="3" width="60.7109375" customWidth="1"/>
    <col min="4" max="4" width="42.85546875" customWidth="1"/>
    <col min="5" max="6" width="15.7109375" customWidth="1"/>
    <col min="7" max="7" width="35.5703125" customWidth="1"/>
    <col min="8" max="8" width="39.140625" customWidth="1"/>
    <col min="9" max="9" width="23.42578125" bestFit="1" customWidth="1"/>
  </cols>
  <sheetData>
    <row r="1" spans="1:10" ht="17.25" x14ac:dyDescent="0.3">
      <c r="A1" s="352"/>
      <c r="B1" s="353"/>
      <c r="C1" s="358" t="s">
        <v>30</v>
      </c>
      <c r="D1" s="358"/>
      <c r="E1" s="358"/>
      <c r="F1" s="358"/>
      <c r="G1" s="358"/>
      <c r="H1" s="5" t="s">
        <v>29</v>
      </c>
      <c r="I1" s="6"/>
    </row>
    <row r="2" spans="1:10" ht="18" thickBot="1" x14ac:dyDescent="0.35">
      <c r="A2" s="354"/>
      <c r="B2" s="355"/>
      <c r="C2" s="359" t="s">
        <v>28</v>
      </c>
      <c r="D2" s="359"/>
      <c r="E2" s="359"/>
      <c r="F2" s="359"/>
      <c r="G2" s="359"/>
      <c r="H2" s="7" t="s">
        <v>27</v>
      </c>
      <c r="I2" s="8"/>
    </row>
    <row r="3" spans="1:10" ht="22.9" customHeight="1" thickBot="1" x14ac:dyDescent="0.3">
      <c r="A3" s="354"/>
      <c r="B3" s="355"/>
      <c r="C3" s="360" t="s">
        <v>65</v>
      </c>
      <c r="D3" s="361"/>
      <c r="E3" s="361"/>
      <c r="F3" s="361"/>
      <c r="G3" s="362"/>
      <c r="H3" s="363" t="s">
        <v>26</v>
      </c>
      <c r="I3" s="343"/>
    </row>
    <row r="4" spans="1:10" ht="17.25" x14ac:dyDescent="0.3">
      <c r="A4" s="354"/>
      <c r="B4" s="355"/>
      <c r="C4" s="9" t="s">
        <v>25</v>
      </c>
      <c r="D4" s="346" t="s">
        <v>35</v>
      </c>
      <c r="E4" s="347"/>
      <c r="F4" s="347"/>
      <c r="G4" s="348"/>
      <c r="H4" s="364"/>
      <c r="I4" s="344"/>
    </row>
    <row r="5" spans="1:10" ht="18" thickBot="1" x14ac:dyDescent="0.35">
      <c r="A5" s="356"/>
      <c r="B5" s="357"/>
      <c r="C5" s="10" t="s">
        <v>24</v>
      </c>
      <c r="D5" s="349" t="s">
        <v>37</v>
      </c>
      <c r="E5" s="350"/>
      <c r="F5" s="350"/>
      <c r="G5" s="351"/>
      <c r="H5" s="365"/>
      <c r="I5" s="345"/>
    </row>
    <row r="6" spans="1:10" ht="16.5" thickBot="1" x14ac:dyDescent="0.3">
      <c r="A6" s="341" t="s">
        <v>23</v>
      </c>
      <c r="B6" s="341"/>
      <c r="C6" s="341"/>
      <c r="D6" s="342" t="s">
        <v>38</v>
      </c>
      <c r="E6" s="342"/>
      <c r="F6" s="342"/>
      <c r="G6" s="333" t="s">
        <v>22</v>
      </c>
      <c r="H6" s="333"/>
      <c r="I6" s="11" t="s">
        <v>38</v>
      </c>
    </row>
    <row r="7" spans="1:10" x14ac:dyDescent="0.25">
      <c r="A7" s="334" t="s">
        <v>21</v>
      </c>
      <c r="B7" s="336" t="s">
        <v>31</v>
      </c>
      <c r="C7" s="338" t="s">
        <v>20</v>
      </c>
      <c r="D7" s="338" t="s">
        <v>19</v>
      </c>
      <c r="E7" s="338" t="s">
        <v>18</v>
      </c>
      <c r="F7" s="338"/>
      <c r="G7" s="338" t="s">
        <v>17</v>
      </c>
      <c r="H7" s="338"/>
      <c r="I7" s="12" t="s">
        <v>16</v>
      </c>
    </row>
    <row r="8" spans="1:10" ht="31.5" thickBot="1" x14ac:dyDescent="0.3">
      <c r="A8" s="335"/>
      <c r="B8" s="337"/>
      <c r="C8" s="339"/>
      <c r="D8" s="340"/>
      <c r="E8" s="13" t="s">
        <v>13</v>
      </c>
      <c r="F8" s="14" t="s">
        <v>15</v>
      </c>
      <c r="G8" s="13" t="s">
        <v>13</v>
      </c>
      <c r="H8" s="14" t="s">
        <v>15</v>
      </c>
      <c r="I8" s="15" t="s">
        <v>14</v>
      </c>
    </row>
    <row r="9" spans="1:10" ht="19.899999999999999" customHeight="1" x14ac:dyDescent="0.3">
      <c r="A9" s="83"/>
      <c r="B9" s="84"/>
      <c r="C9" s="70" t="s">
        <v>32</v>
      </c>
      <c r="D9" s="84"/>
      <c r="E9" s="69"/>
      <c r="F9" s="85"/>
      <c r="G9" s="69"/>
      <c r="H9" s="85"/>
      <c r="I9" s="16"/>
    </row>
    <row r="10" spans="1:10" ht="17.45" customHeight="1" x14ac:dyDescent="0.25">
      <c r="A10" s="109" t="s">
        <v>39</v>
      </c>
      <c r="B10" s="109" t="s">
        <v>40</v>
      </c>
      <c r="C10" s="110" t="s">
        <v>41</v>
      </c>
      <c r="D10" s="111" t="s">
        <v>36</v>
      </c>
      <c r="E10" s="112" t="s">
        <v>42</v>
      </c>
      <c r="F10" s="113" t="s">
        <v>43</v>
      </c>
      <c r="G10" s="114" t="s">
        <v>44</v>
      </c>
      <c r="H10" s="115" t="s">
        <v>45</v>
      </c>
      <c r="I10" s="3"/>
    </row>
    <row r="11" spans="1:10" ht="17.45" customHeight="1" x14ac:dyDescent="0.25">
      <c r="A11" s="117">
        <v>910000003</v>
      </c>
      <c r="B11" s="118" t="s">
        <v>58</v>
      </c>
      <c r="C11" s="119" t="s">
        <v>59</v>
      </c>
      <c r="D11" s="120" t="s">
        <v>36</v>
      </c>
      <c r="E11" s="112">
        <v>160</v>
      </c>
      <c r="F11" s="113" t="s">
        <v>1</v>
      </c>
      <c r="G11" s="114" t="s">
        <v>84</v>
      </c>
      <c r="H11" s="116"/>
      <c r="I11" s="3"/>
    </row>
    <row r="12" spans="1:10" ht="17.45" customHeight="1" x14ac:dyDescent="0.25">
      <c r="A12" s="125">
        <v>20100162</v>
      </c>
      <c r="B12" s="126" t="s">
        <v>60</v>
      </c>
      <c r="C12" s="127" t="s">
        <v>61</v>
      </c>
      <c r="D12" s="120" t="s">
        <v>36</v>
      </c>
      <c r="E12" s="112">
        <v>560</v>
      </c>
      <c r="F12" s="113" t="s">
        <v>1</v>
      </c>
      <c r="G12" s="114" t="s">
        <v>85</v>
      </c>
      <c r="H12" s="116"/>
      <c r="I12" s="3"/>
    </row>
    <row r="13" spans="1:10" ht="17.45" customHeight="1" x14ac:dyDescent="0.25">
      <c r="A13" s="121"/>
      <c r="B13" s="121" t="s">
        <v>62</v>
      </c>
      <c r="C13" s="122" t="s">
        <v>75</v>
      </c>
      <c r="D13" s="120" t="s">
        <v>36</v>
      </c>
      <c r="E13" s="112">
        <v>80</v>
      </c>
      <c r="F13" s="113" t="s">
        <v>1</v>
      </c>
      <c r="G13" s="114" t="s">
        <v>84</v>
      </c>
      <c r="H13" s="116" t="s">
        <v>86</v>
      </c>
      <c r="I13" s="3"/>
    </row>
    <row r="14" spans="1:10" ht="17.45" customHeight="1" x14ac:dyDescent="0.25">
      <c r="A14" s="121"/>
      <c r="B14" s="231" t="s">
        <v>62</v>
      </c>
      <c r="C14" s="232" t="s">
        <v>63</v>
      </c>
      <c r="D14" s="233" t="s">
        <v>36</v>
      </c>
      <c r="E14" s="234">
        <v>200</v>
      </c>
      <c r="F14" s="113" t="s">
        <v>1</v>
      </c>
      <c r="G14" s="114" t="s">
        <v>87</v>
      </c>
      <c r="H14" s="116" t="s">
        <v>86</v>
      </c>
      <c r="I14" s="3"/>
    </row>
    <row r="15" spans="1:10" ht="17.45" customHeight="1" x14ac:dyDescent="0.25">
      <c r="A15" s="121"/>
      <c r="B15" s="227" t="s">
        <v>47</v>
      </c>
      <c r="C15" s="228" t="s">
        <v>64</v>
      </c>
      <c r="D15" s="229" t="s">
        <v>36</v>
      </c>
      <c r="E15" s="230">
        <v>240</v>
      </c>
      <c r="F15" s="113" t="s">
        <v>1</v>
      </c>
      <c r="G15" s="114" t="s">
        <v>88</v>
      </c>
      <c r="H15" s="116" t="s">
        <v>86</v>
      </c>
      <c r="I15" s="3"/>
      <c r="J15" s="98">
        <f>SUM(E2:E16)-D49</f>
        <v>24</v>
      </c>
    </row>
    <row r="16" spans="1:10" ht="18" x14ac:dyDescent="0.25">
      <c r="A16" s="123"/>
      <c r="B16" s="121"/>
      <c r="C16" s="122"/>
      <c r="D16" s="111"/>
      <c r="E16" s="112">
        <v>240</v>
      </c>
      <c r="F16" s="113"/>
      <c r="G16" s="114"/>
      <c r="H16" s="116"/>
      <c r="I16" s="3"/>
      <c r="J16" s="98"/>
    </row>
    <row r="17" spans="1:10" ht="18" x14ac:dyDescent="0.25">
      <c r="A17" s="123"/>
      <c r="B17" s="121"/>
      <c r="C17" s="122"/>
      <c r="D17" s="111"/>
      <c r="E17" s="124"/>
      <c r="F17" s="113"/>
      <c r="G17" s="114"/>
      <c r="H17" s="121"/>
      <c r="I17" s="3"/>
    </row>
    <row r="18" spans="1:10" ht="18.75" x14ac:dyDescent="0.3">
      <c r="A18" s="66"/>
      <c r="B18" s="71"/>
      <c r="C18" s="71"/>
      <c r="D18" s="76"/>
      <c r="E18" s="77"/>
      <c r="F18" s="73"/>
      <c r="G18" s="74"/>
      <c r="H18" s="64"/>
      <c r="I18" s="3"/>
    </row>
    <row r="19" spans="1:10" ht="18.75" x14ac:dyDescent="0.3">
      <c r="A19" s="65"/>
      <c r="B19" s="66"/>
      <c r="C19" s="79"/>
      <c r="D19" s="62"/>
      <c r="E19" s="64"/>
      <c r="F19" s="80"/>
      <c r="G19" s="74"/>
      <c r="H19" s="64"/>
      <c r="I19" s="3"/>
    </row>
    <row r="20" spans="1:10" ht="18.75" x14ac:dyDescent="0.3">
      <c r="A20" s="65"/>
      <c r="B20" s="66"/>
      <c r="C20" s="79"/>
      <c r="D20" s="62"/>
      <c r="E20" s="64"/>
      <c r="F20" s="80"/>
      <c r="G20" s="74"/>
      <c r="H20" s="64"/>
      <c r="I20" s="3"/>
    </row>
    <row r="21" spans="1:10" ht="18.75" x14ac:dyDescent="0.3">
      <c r="A21" s="66"/>
      <c r="B21" s="66"/>
      <c r="C21" s="86" t="s">
        <v>46</v>
      </c>
      <c r="D21" s="64"/>
      <c r="E21" s="71"/>
      <c r="F21" s="64"/>
      <c r="G21" s="63"/>
      <c r="H21" s="64"/>
      <c r="I21" s="3"/>
    </row>
    <row r="22" spans="1:10" ht="18.75" x14ac:dyDescent="0.3">
      <c r="A22" s="66"/>
      <c r="B22" s="227" t="s">
        <v>47</v>
      </c>
      <c r="C22" s="228" t="s">
        <v>64</v>
      </c>
      <c r="D22" s="229" t="s">
        <v>36</v>
      </c>
      <c r="E22" s="230">
        <v>24</v>
      </c>
      <c r="F22" s="113" t="s">
        <v>1</v>
      </c>
      <c r="G22" s="129" t="s">
        <v>90</v>
      </c>
      <c r="H22" s="97"/>
      <c r="I22" s="3"/>
      <c r="J22" s="61"/>
    </row>
    <row r="23" spans="1:10" ht="18.75" x14ac:dyDescent="0.3">
      <c r="A23" s="66"/>
      <c r="B23" s="231" t="s">
        <v>47</v>
      </c>
      <c r="C23" s="232" t="s">
        <v>63</v>
      </c>
      <c r="D23" s="233" t="s">
        <v>36</v>
      </c>
      <c r="E23" s="234">
        <v>24</v>
      </c>
      <c r="F23" s="113" t="s">
        <v>1</v>
      </c>
      <c r="G23" s="114" t="s">
        <v>91</v>
      </c>
      <c r="H23" s="97"/>
      <c r="I23" s="3"/>
      <c r="J23" s="61"/>
    </row>
    <row r="24" spans="1:10" ht="18.75" x14ac:dyDescent="0.3">
      <c r="A24" s="66"/>
      <c r="B24" s="128" t="s">
        <v>47</v>
      </c>
      <c r="C24" s="122" t="s">
        <v>95</v>
      </c>
      <c r="D24" s="120" t="s">
        <v>36</v>
      </c>
      <c r="E24" s="112">
        <v>12</v>
      </c>
      <c r="F24" s="113" t="s">
        <v>1</v>
      </c>
      <c r="G24" s="114" t="s">
        <v>89</v>
      </c>
      <c r="H24" s="97"/>
      <c r="I24" s="3"/>
      <c r="J24" s="61"/>
    </row>
    <row r="25" spans="1:10" ht="22.9" customHeight="1" x14ac:dyDescent="0.3">
      <c r="A25" s="101"/>
      <c r="B25" s="102"/>
      <c r="C25" s="103"/>
      <c r="D25" s="100"/>
      <c r="E25" s="68"/>
      <c r="F25" s="68"/>
      <c r="G25" s="69"/>
      <c r="H25" s="85"/>
      <c r="I25" s="3"/>
      <c r="J25" s="75"/>
    </row>
    <row r="26" spans="1:10" ht="21.6" customHeight="1" x14ac:dyDescent="0.3">
      <c r="A26" s="104"/>
      <c r="B26" s="102"/>
      <c r="C26" s="103"/>
      <c r="D26" s="100"/>
      <c r="E26" s="68"/>
      <c r="F26" s="68"/>
      <c r="G26" s="99"/>
      <c r="H26" s="97"/>
      <c r="I26" s="99"/>
      <c r="J26" s="98"/>
    </row>
    <row r="27" spans="1:10" ht="18" customHeight="1" x14ac:dyDescent="0.3">
      <c r="A27" s="104"/>
      <c r="B27" s="102"/>
      <c r="C27" s="103"/>
      <c r="D27" s="105"/>
      <c r="E27" s="68"/>
      <c r="F27" s="68"/>
      <c r="G27" s="69"/>
      <c r="H27" s="85"/>
      <c r="I27" s="99"/>
    </row>
    <row r="28" spans="1:10" ht="18.75" x14ac:dyDescent="0.3">
      <c r="A28" s="66"/>
      <c r="B28" s="64"/>
      <c r="C28" s="71"/>
      <c r="D28" s="68"/>
      <c r="E28" s="68"/>
      <c r="F28" s="68"/>
      <c r="G28" s="69"/>
      <c r="H28" s="85"/>
      <c r="I28" s="3"/>
    </row>
    <row r="29" spans="1:10" ht="18.75" x14ac:dyDescent="0.3">
      <c r="A29" s="66"/>
      <c r="B29" s="64"/>
      <c r="C29" s="106"/>
      <c r="D29" s="76"/>
      <c r="E29" s="68"/>
      <c r="F29" s="68"/>
      <c r="G29" s="69"/>
      <c r="H29" s="85"/>
      <c r="I29" s="3"/>
    </row>
    <row r="30" spans="1:10" ht="18.75" x14ac:dyDescent="0.3">
      <c r="A30" s="66"/>
      <c r="B30" s="64"/>
      <c r="C30" s="106"/>
      <c r="D30" s="76"/>
      <c r="E30" s="68"/>
      <c r="F30" s="68"/>
      <c r="G30" s="69"/>
      <c r="H30" s="85"/>
      <c r="I30" s="3"/>
    </row>
    <row r="31" spans="1:10" ht="18.75" x14ac:dyDescent="0.3">
      <c r="A31" s="66"/>
      <c r="B31" s="64"/>
      <c r="C31" s="106"/>
      <c r="D31" s="76"/>
      <c r="E31" s="68"/>
      <c r="F31" s="68"/>
      <c r="G31" s="69"/>
      <c r="H31" s="85"/>
      <c r="I31" s="3"/>
    </row>
    <row r="32" spans="1:10" ht="18.75" x14ac:dyDescent="0.3">
      <c r="A32" s="66"/>
      <c r="B32" s="64"/>
      <c r="C32" s="106"/>
      <c r="D32" s="76"/>
      <c r="E32" s="68"/>
      <c r="F32" s="68"/>
      <c r="G32" s="69"/>
      <c r="H32" s="85"/>
      <c r="I32" s="3"/>
    </row>
    <row r="33" spans="1:11" ht="18.75" x14ac:dyDescent="0.3">
      <c r="A33" s="71"/>
      <c r="B33" s="67"/>
      <c r="C33" s="87"/>
      <c r="D33" s="72"/>
      <c r="E33" s="67"/>
      <c r="F33" s="88"/>
      <c r="G33" s="69"/>
      <c r="H33" s="85"/>
      <c r="I33" s="16"/>
    </row>
    <row r="34" spans="1:11" ht="18.75" x14ac:dyDescent="0.3">
      <c r="A34" s="66"/>
      <c r="B34" s="66"/>
      <c r="C34" s="86" t="s">
        <v>34</v>
      </c>
      <c r="D34" s="71"/>
      <c r="E34" s="71"/>
      <c r="F34" s="64"/>
      <c r="G34" s="63"/>
      <c r="H34" s="64"/>
      <c r="I34" s="16"/>
    </row>
    <row r="35" spans="1:11" ht="18.75" x14ac:dyDescent="0.3">
      <c r="A35" s="61"/>
      <c r="B35" s="62"/>
      <c r="C35" s="78"/>
      <c r="D35" s="81"/>
      <c r="E35" s="82"/>
      <c r="F35" s="82"/>
      <c r="G35" s="63"/>
      <c r="H35" s="64"/>
      <c r="I35" s="16"/>
    </row>
    <row r="36" spans="1:11" ht="18.75" x14ac:dyDescent="0.3">
      <c r="A36" s="61"/>
      <c r="B36" s="62" t="s">
        <v>47</v>
      </c>
      <c r="C36" s="78" t="s">
        <v>154</v>
      </c>
      <c r="D36" s="81"/>
      <c r="E36" s="82">
        <v>8</v>
      </c>
      <c r="F36" s="82" t="s">
        <v>43</v>
      </c>
      <c r="G36" s="89"/>
      <c r="H36" s="64"/>
      <c r="I36" s="16"/>
    </row>
    <row r="37" spans="1:11" s="60" customFormat="1" ht="18.75" x14ac:dyDescent="0.3">
      <c r="A37" s="61">
        <v>702123</v>
      </c>
      <c r="B37" s="62" t="s">
        <v>48</v>
      </c>
      <c r="C37" s="78" t="s">
        <v>49</v>
      </c>
      <c r="D37" s="81" t="s">
        <v>50</v>
      </c>
      <c r="E37" s="82">
        <v>8</v>
      </c>
      <c r="F37" s="82" t="s">
        <v>43</v>
      </c>
      <c r="G37" s="107"/>
      <c r="H37" s="64"/>
      <c r="I37" s="16"/>
    </row>
    <row r="38" spans="1:11" ht="18.75" x14ac:dyDescent="0.3">
      <c r="A38" s="61">
        <v>701096</v>
      </c>
      <c r="B38" s="108" t="s">
        <v>51</v>
      </c>
      <c r="C38" s="78" t="s">
        <v>52</v>
      </c>
      <c r="D38" s="81" t="s">
        <v>53</v>
      </c>
      <c r="E38" s="82">
        <v>8</v>
      </c>
      <c r="F38" s="82" t="s">
        <v>43</v>
      </c>
      <c r="G38" s="89"/>
      <c r="H38" s="66"/>
      <c r="I38" s="16"/>
    </row>
    <row r="39" spans="1:11" ht="18.75" x14ac:dyDescent="0.3">
      <c r="A39" s="61">
        <v>702007</v>
      </c>
      <c r="B39" s="62" t="s">
        <v>54</v>
      </c>
      <c r="C39" s="78" t="s">
        <v>55</v>
      </c>
      <c r="D39" s="81" t="s">
        <v>53</v>
      </c>
      <c r="E39" s="82">
        <v>8</v>
      </c>
      <c r="F39" s="82" t="s">
        <v>43</v>
      </c>
      <c r="G39" s="69"/>
      <c r="H39" s="66"/>
      <c r="I39" s="16"/>
    </row>
    <row r="40" spans="1:11" ht="18.75" x14ac:dyDescent="0.3">
      <c r="A40" s="67"/>
      <c r="B40" s="90"/>
      <c r="C40" s="87" t="s">
        <v>159</v>
      </c>
      <c r="D40" s="67"/>
      <c r="E40" s="82">
        <v>8</v>
      </c>
      <c r="F40" s="91" t="s">
        <v>43</v>
      </c>
      <c r="G40" s="63"/>
      <c r="H40" s="92"/>
      <c r="I40" s="16"/>
    </row>
    <row r="41" spans="1:11" ht="18.75" x14ac:dyDescent="0.3">
      <c r="A41" s="93"/>
      <c r="B41" s="94"/>
      <c r="C41" s="95"/>
      <c r="D41" s="62"/>
      <c r="E41" s="63"/>
      <c r="F41" s="96"/>
      <c r="G41" s="63"/>
      <c r="H41" s="92"/>
      <c r="I41" s="16"/>
    </row>
    <row r="42" spans="1:11" ht="16.149999999999999" customHeight="1" x14ac:dyDescent="0.25">
      <c r="A42" s="52"/>
      <c r="B42" s="52"/>
      <c r="C42" s="53"/>
      <c r="D42" s="54"/>
      <c r="E42" s="52"/>
      <c r="F42" s="55"/>
      <c r="G42" s="56"/>
      <c r="H42" s="50"/>
      <c r="I42" s="16"/>
    </row>
    <row r="43" spans="1:11" ht="15.75" x14ac:dyDescent="0.25">
      <c r="A43" s="57"/>
      <c r="B43" s="57"/>
      <c r="C43" s="58"/>
      <c r="D43" s="17"/>
      <c r="E43" s="57"/>
      <c r="F43" s="4"/>
      <c r="G43" s="51"/>
      <c r="H43" s="59"/>
      <c r="I43" s="16"/>
    </row>
    <row r="44" spans="1:11" ht="17.25" x14ac:dyDescent="0.3">
      <c r="A44" s="20"/>
      <c r="B44" s="21"/>
      <c r="C44" s="22"/>
      <c r="D44" s="23"/>
      <c r="E44" s="24"/>
      <c r="F44" s="24"/>
      <c r="G44" s="19"/>
      <c r="H44" s="2"/>
      <c r="I44" s="16"/>
    </row>
    <row r="45" spans="1:11" ht="15.75" x14ac:dyDescent="0.25">
      <c r="A45" s="21"/>
      <c r="B45" s="25"/>
      <c r="C45" s="26"/>
      <c r="D45" s="1"/>
      <c r="E45" s="27"/>
      <c r="F45" s="18"/>
      <c r="G45" s="19"/>
      <c r="H45" s="3"/>
      <c r="I45" s="16"/>
    </row>
    <row r="46" spans="1:11" ht="15.75" x14ac:dyDescent="0.25">
      <c r="A46" s="28"/>
      <c r="B46" s="29"/>
      <c r="C46" s="30"/>
      <c r="D46" s="3"/>
      <c r="E46" s="3"/>
      <c r="F46" s="31"/>
      <c r="G46" s="3"/>
      <c r="H46" s="3"/>
      <c r="I46" s="16"/>
      <c r="J46" s="98"/>
    </row>
    <row r="47" spans="1:11" ht="18" thickBot="1" x14ac:dyDescent="0.35">
      <c r="A47" s="32"/>
      <c r="B47" s="33"/>
      <c r="C47" s="34"/>
      <c r="D47" s="34"/>
      <c r="E47" s="35"/>
      <c r="F47" s="36"/>
      <c r="G47" s="34"/>
      <c r="H47" s="34"/>
      <c r="I47" s="37"/>
      <c r="K47" s="98"/>
    </row>
    <row r="48" spans="1:11" ht="18" thickBot="1" x14ac:dyDescent="0.35">
      <c r="A48" s="38"/>
      <c r="B48" s="39"/>
      <c r="C48" s="40"/>
      <c r="D48" s="41" t="s">
        <v>13</v>
      </c>
      <c r="E48" s="42" t="s">
        <v>12</v>
      </c>
      <c r="F48" s="43"/>
      <c r="G48" s="40"/>
      <c r="H48" s="40"/>
      <c r="I48" s="44"/>
    </row>
    <row r="49" spans="1:10" ht="17.25" x14ac:dyDescent="0.3">
      <c r="A49" s="327" t="s">
        <v>11</v>
      </c>
      <c r="B49" s="328"/>
      <c r="C49" s="329"/>
      <c r="D49" s="45">
        <v>1456</v>
      </c>
      <c r="E49" s="46" t="s">
        <v>1</v>
      </c>
      <c r="F49" s="330" t="s">
        <v>10</v>
      </c>
      <c r="G49" s="330"/>
      <c r="H49" s="331"/>
      <c r="I49" s="332"/>
      <c r="J49">
        <f>135*8</f>
        <v>1080</v>
      </c>
    </row>
    <row r="50" spans="1:10" ht="17.25" x14ac:dyDescent="0.3">
      <c r="A50" s="319" t="s">
        <v>9</v>
      </c>
      <c r="B50" s="320"/>
      <c r="C50" s="321"/>
      <c r="D50" s="47">
        <v>4</v>
      </c>
      <c r="E50" s="47" t="s">
        <v>8</v>
      </c>
      <c r="F50" s="322" t="s">
        <v>7</v>
      </c>
      <c r="G50" s="322"/>
      <c r="H50" s="323"/>
      <c r="I50" s="324"/>
    </row>
    <row r="51" spans="1:10" ht="17.25" x14ac:dyDescent="0.3">
      <c r="A51" s="319" t="s">
        <v>6</v>
      </c>
      <c r="B51" s="320"/>
      <c r="C51" s="321"/>
      <c r="D51" s="47">
        <v>1</v>
      </c>
      <c r="E51" s="47" t="s">
        <v>12</v>
      </c>
      <c r="F51" s="322" t="s">
        <v>5</v>
      </c>
      <c r="G51" s="322"/>
      <c r="H51" s="323"/>
      <c r="I51" s="324"/>
    </row>
    <row r="52" spans="1:10" ht="17.25" x14ac:dyDescent="0.3">
      <c r="A52" s="319" t="s">
        <v>4</v>
      </c>
      <c r="B52" s="320"/>
      <c r="C52" s="321"/>
      <c r="D52" s="47">
        <v>182</v>
      </c>
      <c r="E52" s="47" t="s">
        <v>1</v>
      </c>
      <c r="F52" s="325" t="s">
        <v>3</v>
      </c>
      <c r="G52" s="326"/>
      <c r="H52" s="323"/>
      <c r="I52" s="324"/>
    </row>
    <row r="53" spans="1:10" ht="18" thickBot="1" x14ac:dyDescent="0.35">
      <c r="A53" s="293" t="s">
        <v>2</v>
      </c>
      <c r="B53" s="294"/>
      <c r="C53" s="295"/>
      <c r="D53" s="48">
        <v>24</v>
      </c>
      <c r="E53" s="49" t="s">
        <v>1</v>
      </c>
      <c r="F53" s="296"/>
      <c r="G53" s="296"/>
      <c r="H53" s="297"/>
      <c r="I53" s="298"/>
    </row>
    <row r="54" spans="1:10" ht="16.5" thickBot="1" x14ac:dyDescent="0.3">
      <c r="A54" s="304" t="s">
        <v>0</v>
      </c>
      <c r="B54" s="305"/>
      <c r="C54" s="305"/>
      <c r="D54" s="305"/>
      <c r="E54" s="305"/>
      <c r="F54" s="305"/>
      <c r="G54" s="305"/>
      <c r="H54" s="305"/>
      <c r="I54" s="306"/>
    </row>
    <row r="55" spans="1:10" ht="20.45" customHeight="1" x14ac:dyDescent="0.25">
      <c r="A55" s="314" t="s">
        <v>57</v>
      </c>
      <c r="B55" s="315"/>
      <c r="C55" s="315"/>
      <c r="D55" s="315"/>
      <c r="E55" s="315"/>
      <c r="F55" s="315"/>
      <c r="G55" s="315"/>
      <c r="H55" s="315"/>
      <c r="I55" s="316"/>
    </row>
    <row r="56" spans="1:10" ht="22.9" customHeight="1" x14ac:dyDescent="0.25">
      <c r="A56" s="299" t="s">
        <v>92</v>
      </c>
      <c r="B56" s="299"/>
      <c r="C56" s="299"/>
      <c r="D56" s="299"/>
      <c r="E56" s="299"/>
      <c r="F56" s="299"/>
      <c r="G56" s="299"/>
      <c r="H56" s="299"/>
      <c r="I56" s="299"/>
    </row>
    <row r="57" spans="1:10" ht="19.899999999999999" customHeight="1" x14ac:dyDescent="0.25">
      <c r="A57" s="317" t="s">
        <v>93</v>
      </c>
      <c r="B57" s="317"/>
      <c r="C57" s="317"/>
      <c r="D57" s="317"/>
      <c r="E57" s="317"/>
      <c r="F57" s="317"/>
      <c r="G57" s="317"/>
      <c r="H57" s="317"/>
      <c r="I57" s="317"/>
    </row>
    <row r="58" spans="1:10" ht="20.45" customHeight="1" x14ac:dyDescent="0.25">
      <c r="A58" s="317" t="s">
        <v>94</v>
      </c>
      <c r="B58" s="317"/>
      <c r="C58" s="317"/>
      <c r="D58" s="317"/>
      <c r="E58" s="317"/>
      <c r="F58" s="317"/>
      <c r="G58" s="317"/>
      <c r="H58" s="317"/>
      <c r="I58" s="317"/>
    </row>
    <row r="59" spans="1:10" ht="20.45" customHeight="1" x14ac:dyDescent="0.25">
      <c r="A59" s="318" t="s">
        <v>56</v>
      </c>
      <c r="B59" s="318"/>
      <c r="C59" s="318"/>
      <c r="D59" s="318"/>
      <c r="E59" s="318"/>
      <c r="F59" s="318"/>
      <c r="G59" s="318"/>
      <c r="H59" s="318"/>
      <c r="I59" s="318"/>
    </row>
    <row r="60" spans="1:10" ht="20.45" customHeight="1" x14ac:dyDescent="0.25">
      <c r="A60" s="318"/>
      <c r="B60" s="318"/>
      <c r="C60" s="318"/>
      <c r="D60" s="318"/>
      <c r="E60" s="318"/>
      <c r="F60" s="318"/>
      <c r="G60" s="318"/>
      <c r="H60" s="318"/>
      <c r="I60" s="318"/>
    </row>
    <row r="61" spans="1:10" ht="19.899999999999999" customHeight="1" x14ac:dyDescent="0.25">
      <c r="A61" s="307"/>
      <c r="B61" s="308"/>
      <c r="C61" s="309"/>
      <c r="D61" s="309"/>
      <c r="E61" s="309"/>
      <c r="F61" s="309"/>
      <c r="G61" s="309"/>
      <c r="H61" s="309"/>
      <c r="I61" s="310"/>
    </row>
    <row r="62" spans="1:10" ht="18" x14ac:dyDescent="0.25">
      <c r="A62" s="311"/>
      <c r="B62" s="312"/>
      <c r="C62" s="312"/>
      <c r="D62" s="312"/>
      <c r="E62" s="312"/>
      <c r="F62" s="312"/>
      <c r="G62" s="312"/>
      <c r="H62" s="312"/>
      <c r="I62" s="313"/>
    </row>
    <row r="64" spans="1:10" ht="18" customHeight="1" x14ac:dyDescent="0.25">
      <c r="A64" s="300"/>
      <c r="B64" s="301"/>
      <c r="C64" s="302"/>
      <c r="D64" s="302"/>
      <c r="E64" s="302"/>
      <c r="F64" s="302"/>
      <c r="G64" s="302"/>
      <c r="H64" s="302"/>
      <c r="I64" s="303"/>
    </row>
    <row r="65" spans="1:9" ht="17.25" x14ac:dyDescent="0.3">
      <c r="A65" s="283"/>
      <c r="B65" s="284"/>
      <c r="C65" s="284"/>
      <c r="D65" s="284"/>
      <c r="E65" s="284"/>
      <c r="F65" s="284"/>
      <c r="G65" s="284"/>
      <c r="H65" s="284"/>
      <c r="I65" s="285"/>
    </row>
    <row r="66" spans="1:9" ht="18" thickBot="1" x14ac:dyDescent="0.35">
      <c r="A66" s="286"/>
      <c r="B66" s="287"/>
      <c r="C66" s="287"/>
      <c r="D66" s="287"/>
      <c r="E66" s="287"/>
      <c r="F66" s="287"/>
      <c r="G66" s="287"/>
      <c r="H66" s="287"/>
      <c r="I66" s="288"/>
    </row>
    <row r="67" spans="1:9" x14ac:dyDescent="0.25">
      <c r="A67" s="289" t="s">
        <v>33</v>
      </c>
      <c r="B67" s="290"/>
      <c r="C67" s="290"/>
      <c r="D67" s="290"/>
      <c r="E67" s="290"/>
      <c r="F67" s="290"/>
      <c r="G67" s="290"/>
      <c r="H67" s="290"/>
      <c r="I67" s="290"/>
    </row>
    <row r="68" spans="1:9" x14ac:dyDescent="0.25">
      <c r="A68" s="291"/>
      <c r="B68" s="292"/>
      <c r="C68" s="292"/>
      <c r="D68" s="292"/>
      <c r="E68" s="292"/>
      <c r="F68" s="292"/>
      <c r="G68" s="292"/>
      <c r="H68" s="292"/>
      <c r="I68" s="292"/>
    </row>
    <row r="69" spans="1:9" x14ac:dyDescent="0.25">
      <c r="A69" s="291"/>
      <c r="B69" s="292"/>
      <c r="C69" s="292"/>
      <c r="D69" s="292"/>
      <c r="E69" s="292"/>
      <c r="F69" s="292"/>
      <c r="G69" s="292"/>
      <c r="H69" s="292"/>
      <c r="I69" s="292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G6:H6"/>
    <mergeCell ref="A7:A8"/>
    <mergeCell ref="B7:B8"/>
    <mergeCell ref="C7:C8"/>
    <mergeCell ref="D7:D8"/>
    <mergeCell ref="E7:F7"/>
    <mergeCell ref="G7:H7"/>
    <mergeCell ref="A6:C6"/>
    <mergeCell ref="D6:F6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C52"/>
    <mergeCell ref="F52:G52"/>
    <mergeCell ref="H52:I52"/>
    <mergeCell ref="A53:C53"/>
    <mergeCell ref="F53:G53"/>
    <mergeCell ref="H53:I53"/>
    <mergeCell ref="A56:I56"/>
    <mergeCell ref="A64:I64"/>
    <mergeCell ref="A54:I54"/>
    <mergeCell ref="A61:I61"/>
    <mergeCell ref="A62:I62"/>
    <mergeCell ref="A55:I55"/>
    <mergeCell ref="A57:I57"/>
    <mergeCell ref="A58:I58"/>
    <mergeCell ref="A59:I59"/>
    <mergeCell ref="A60:I60"/>
    <mergeCell ref="A65:I65"/>
    <mergeCell ref="A66:I66"/>
    <mergeCell ref="A67:I67"/>
    <mergeCell ref="A68:I68"/>
    <mergeCell ref="A69:I69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1BEC-7425-446F-A2F7-2B8B06FA2B00}">
  <dimension ref="A1:Q91"/>
  <sheetViews>
    <sheetView topLeftCell="A43" workbookViewId="0">
      <selection activeCell="H58" sqref="H58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0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0" ht="30.75" customHeight="1" x14ac:dyDescent="0.25">
      <c r="A2" s="130"/>
      <c r="B2" s="130"/>
      <c r="C2" s="130"/>
      <c r="D2" s="130"/>
      <c r="E2" s="136">
        <f>IFERROR(O62,"")</f>
        <v>6694.3479534973803</v>
      </c>
      <c r="F2" s="136">
        <f>IFERROR(H53,"")</f>
        <v>3913.1794947368426</v>
      </c>
      <c r="G2" s="136">
        <f>IFERROR(H54,"")</f>
        <v>1680.0500263157892</v>
      </c>
      <c r="H2" s="136">
        <f>IFERROR(H56,"")</f>
        <v>529.91324561403508</v>
      </c>
      <c r="I2" s="137"/>
    </row>
    <row r="3" spans="1:10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0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0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0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0" ht="26.25" hidden="1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0" ht="13.5" hidden="1" x14ac:dyDescent="0.25">
      <c r="A8" s="147"/>
      <c r="B8" s="135" t="str">
        <f>IFERROR(VLOOKUP(H8,'[1]Consolidado MP Planta'!$A$2:$M$823,3,0),"")</f>
        <v/>
      </c>
      <c r="C8" s="148">
        <f>+A8</f>
        <v>0</v>
      </c>
      <c r="D8" s="149" t="str">
        <f>IFERROR(VLOOKUP(H8,'[1]Consolidado MP Planta'!$A$2:$M$823,13,0),"")</f>
        <v/>
      </c>
      <c r="E8" s="149" t="str">
        <f>IFERROR(VLOOKUP(H8,'[1]Consolidado MP Planta'!$A$2:$M$823,12,0),"")</f>
        <v/>
      </c>
      <c r="F8" s="149" t="str">
        <f>IFERROR(C8*E8,"")</f>
        <v/>
      </c>
      <c r="G8" s="150" t="str">
        <f t="shared" ref="G8:G14" si="0">IFERROR(F8/$F$66,"")</f>
        <v/>
      </c>
      <c r="H8" s="151"/>
      <c r="I8" s="151"/>
      <c r="J8" s="152"/>
    </row>
    <row r="9" spans="1:10" ht="13.5" hidden="1" x14ac:dyDescent="0.25">
      <c r="A9" s="147"/>
      <c r="B9" s="135" t="str">
        <f>IFERROR(VLOOKUP(H9,'[1]Consolidado MP Planta'!$A$2:$M$823,3,0),"")</f>
        <v/>
      </c>
      <c r="C9" s="148">
        <f t="shared" ref="C9:C14" si="1">+A9</f>
        <v>0</v>
      </c>
      <c r="D9" s="149" t="str">
        <f>IFERROR(VLOOKUP(H9,'[1]Consolidado MP Planta'!$A$2:$M$823,13,0),"")</f>
        <v/>
      </c>
      <c r="E9" s="149" t="str">
        <f>IFERROR(VLOOKUP(H9,'[1]Consolidado MP Planta'!$A$2:$M$823,12,0),"")</f>
        <v/>
      </c>
      <c r="F9" s="149" t="str">
        <f t="shared" ref="F9:F14" si="2">IFERROR(C9*E9,"")</f>
        <v/>
      </c>
      <c r="G9" s="150" t="str">
        <f t="shared" si="0"/>
        <v/>
      </c>
      <c r="H9" s="151"/>
      <c r="I9" s="151"/>
      <c r="J9" s="152"/>
    </row>
    <row r="10" spans="1:10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0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0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0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0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0" ht="14.25" hidden="1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0" ht="26.25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3" ht="13.5" x14ac:dyDescent="0.25">
      <c r="A17" s="147">
        <v>0.2</v>
      </c>
      <c r="B17" s="135" t="s">
        <v>41</v>
      </c>
      <c r="C17" s="148">
        <f>+A17</f>
        <v>0.2</v>
      </c>
      <c r="D17" s="148" t="s">
        <v>153</v>
      </c>
      <c r="E17" s="149">
        <v>1800</v>
      </c>
      <c r="F17" s="149">
        <f>IFERROR(E17*C17,"")</f>
        <v>360</v>
      </c>
      <c r="G17" s="150">
        <f t="shared" ref="G17:G24" si="3">IFERROR(F17/$F$66,"")</f>
        <v>6.0205772181743174E-2</v>
      </c>
      <c r="H17" s="151" t="s">
        <v>40</v>
      </c>
      <c r="I17" s="151"/>
      <c r="J17" s="152"/>
    </row>
    <row r="18" spans="1:13" ht="13.5" x14ac:dyDescent="0.25">
      <c r="A18" s="147">
        <v>160</v>
      </c>
      <c r="B18" s="135" t="s">
        <v>59</v>
      </c>
      <c r="C18" s="148">
        <f t="shared" ref="C18:C24" si="4">+A18</f>
        <v>160</v>
      </c>
      <c r="D18" s="148" t="s">
        <v>149</v>
      </c>
      <c r="E18" s="149">
        <v>1.0900000000000001</v>
      </c>
      <c r="F18" s="149">
        <f t="shared" ref="F18:F24" si="5">IFERROR(E18*C18,"")</f>
        <v>174.4</v>
      </c>
      <c r="G18" s="150">
        <f t="shared" si="3"/>
        <v>2.9166351856933361E-2</v>
      </c>
      <c r="H18" s="151" t="s">
        <v>58</v>
      </c>
      <c r="I18" s="151"/>
      <c r="J18" s="152"/>
    </row>
    <row r="19" spans="1:13" ht="13.5" x14ac:dyDescent="0.25">
      <c r="A19" s="147">
        <v>560</v>
      </c>
      <c r="B19" s="135" t="s">
        <v>61</v>
      </c>
      <c r="C19" s="148">
        <f>+A19</f>
        <v>560</v>
      </c>
      <c r="D19" s="148" t="s">
        <v>149</v>
      </c>
      <c r="E19" s="149">
        <v>2.2200000000000002</v>
      </c>
      <c r="F19" s="149">
        <f>IFERROR(E19*C19,"")</f>
        <v>1243.2</v>
      </c>
      <c r="G19" s="150">
        <f t="shared" si="3"/>
        <v>0.20791059993428643</v>
      </c>
      <c r="H19" s="151" t="s">
        <v>60</v>
      </c>
      <c r="I19" s="151"/>
      <c r="J19" s="152"/>
    </row>
    <row r="20" spans="1:13" ht="13.5" x14ac:dyDescent="0.25">
      <c r="A20" s="147">
        <v>80</v>
      </c>
      <c r="B20" s="135" t="s">
        <v>75</v>
      </c>
      <c r="C20" s="148">
        <f>+A20</f>
        <v>80</v>
      </c>
      <c r="D20" s="148" t="s">
        <v>149</v>
      </c>
      <c r="E20" s="149">
        <f>+'Costo Procesado chocol con mani'!E69</f>
        <v>5.1851736842105263</v>
      </c>
      <c r="F20" s="149">
        <f>IFERROR(E20*C20,"")</f>
        <v>414.81389473684209</v>
      </c>
      <c r="G20" s="150">
        <f t="shared" si="3"/>
        <v>6.9372752345410849E-2</v>
      </c>
      <c r="H20" s="151" t="s">
        <v>62</v>
      </c>
      <c r="I20" s="151"/>
      <c r="J20" s="152"/>
    </row>
    <row r="21" spans="1:13" ht="13.5" x14ac:dyDescent="0.25">
      <c r="A21" s="147">
        <v>224</v>
      </c>
      <c r="B21" s="135" t="s">
        <v>63</v>
      </c>
      <c r="C21" s="148">
        <f>+A21</f>
        <v>224</v>
      </c>
      <c r="D21" s="148" t="s">
        <v>149</v>
      </c>
      <c r="E21" s="149">
        <f>+'Costo Relleno Mantequilla Mani'!E69</f>
        <v>3.7135340000000006</v>
      </c>
      <c r="F21" s="149">
        <f>IFERROR(E21*C21,"")</f>
        <v>831.83161600000017</v>
      </c>
      <c r="G21" s="150">
        <f t="shared" si="3"/>
        <v>0.13911406879574245</v>
      </c>
      <c r="H21" s="151" t="s">
        <v>62</v>
      </c>
      <c r="I21" s="151"/>
      <c r="J21" s="152"/>
    </row>
    <row r="22" spans="1:13" ht="13.5" x14ac:dyDescent="0.25">
      <c r="A22" s="147">
        <v>264</v>
      </c>
      <c r="B22" s="135" t="s">
        <v>64</v>
      </c>
      <c r="C22" s="148">
        <f t="shared" si="4"/>
        <v>264</v>
      </c>
      <c r="D22" s="148" t="s">
        <v>149</v>
      </c>
      <c r="E22" s="149">
        <f>+'Costo Ganache Oscuro suave'!E69</f>
        <v>3.2478560000000001</v>
      </c>
      <c r="F22" s="149">
        <f t="shared" si="5"/>
        <v>857.43398400000001</v>
      </c>
      <c r="G22" s="150">
        <f t="shared" si="3"/>
        <v>0.14339576417107894</v>
      </c>
      <c r="H22" s="151" t="s">
        <v>47</v>
      </c>
      <c r="I22" s="151"/>
      <c r="J22" s="152"/>
    </row>
    <row r="23" spans="1:13" ht="13.5" x14ac:dyDescent="0.25">
      <c r="A23" s="147">
        <v>12</v>
      </c>
      <c r="B23" s="135" t="s">
        <v>95</v>
      </c>
      <c r="C23" s="148">
        <f t="shared" si="4"/>
        <v>12</v>
      </c>
      <c r="D23" s="148" t="s">
        <v>149</v>
      </c>
      <c r="E23" s="149">
        <f>+'Costo Mani Tostado'!E69</f>
        <v>2.625</v>
      </c>
      <c r="F23" s="149">
        <f t="shared" si="5"/>
        <v>31.5</v>
      </c>
      <c r="G23" s="150">
        <f t="shared" si="3"/>
        <v>5.2680050659025274E-3</v>
      </c>
      <c r="H23" s="151" t="s">
        <v>47</v>
      </c>
      <c r="I23" s="151"/>
      <c r="J23" s="152"/>
    </row>
    <row r="24" spans="1:13" ht="13.5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3" ht="14.25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3" ht="26.25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3" ht="13.5" x14ac:dyDescent="0.25">
      <c r="A27" s="147">
        <v>8</v>
      </c>
      <c r="B27" s="153" t="s">
        <v>154</v>
      </c>
      <c r="C27" s="148">
        <f t="shared" ref="C27:C30" si="6">+A27</f>
        <v>8</v>
      </c>
      <c r="D27" s="149" t="s">
        <v>155</v>
      </c>
      <c r="E27" s="149">
        <v>144</v>
      </c>
      <c r="F27" s="149">
        <f t="shared" ref="F27:F30" si="7">IFERROR(C27*E27,"")</f>
        <v>1152</v>
      </c>
      <c r="G27" s="150">
        <f t="shared" ref="G27:G30" si="8">IFERROR(F27/$F$66,"")</f>
        <v>0.19265847098157815</v>
      </c>
      <c r="H27" s="154" t="s">
        <v>47</v>
      </c>
      <c r="I27" s="154"/>
      <c r="J27" s="152"/>
      <c r="K27" s="366"/>
      <c r="L27" s="366"/>
      <c r="M27" s="135">
        <f>144*224</f>
        <v>32256</v>
      </c>
    </row>
    <row r="28" spans="1:13" ht="13.5" x14ac:dyDescent="0.25">
      <c r="A28" s="147">
        <v>8</v>
      </c>
      <c r="B28" s="153" t="str">
        <f>IFERROR(VLOOKUP(H28,'[1]Consolidado MP Planta'!$A$2:$M$823,3,0),"")</f>
        <v>ETIQUETA BLANCA 2 5/8X1 15/16 (UND)</v>
      </c>
      <c r="C28" s="148">
        <f t="shared" si="6"/>
        <v>8</v>
      </c>
      <c r="D28" s="149" t="str">
        <f>IFERROR(VLOOKUP(H28,'[1]Consolidado MP Planta'!$A$2:$M$823,13,0),"")</f>
        <v>Und</v>
      </c>
      <c r="E28" s="149">
        <f>IFERROR(VLOOKUP(H28,'[1]Consolidado MP Planta'!$A$2:$M$823,12,0),"")</f>
        <v>2.1280000000000001</v>
      </c>
      <c r="F28" s="149">
        <f t="shared" si="7"/>
        <v>17.024000000000001</v>
      </c>
      <c r="G28" s="150">
        <f t="shared" si="8"/>
        <v>2.8470640711722108E-3</v>
      </c>
      <c r="H28" s="154" t="s">
        <v>156</v>
      </c>
      <c r="I28" s="154"/>
      <c r="J28" s="152"/>
      <c r="K28" s="366"/>
      <c r="L28" s="366"/>
    </row>
    <row r="29" spans="1:13" ht="13.5" x14ac:dyDescent="0.25">
      <c r="A29" s="147">
        <v>8</v>
      </c>
      <c r="B29" s="153" t="str">
        <f>IFERROR(VLOOKUP(H29,'[1]Consolidado MP Planta'!$A$2:$M$823,3,0),"")</f>
        <v>ETIQUETA BLANCA R-153 (UND)</v>
      </c>
      <c r="C29" s="148">
        <f t="shared" si="6"/>
        <v>8</v>
      </c>
      <c r="D29" s="149" t="str">
        <f>IFERROR(VLOOKUP(H29,'[1]Consolidado MP Planta'!$A$2:$M$823,13,0),"")</f>
        <v>Und</v>
      </c>
      <c r="E29" s="149">
        <f>IFERROR(VLOOKUP(H29,'[1]Consolidado MP Planta'!$A$2:$M$823,12,0),"")</f>
        <v>0.39</v>
      </c>
      <c r="F29" s="149">
        <f t="shared" si="7"/>
        <v>3.12</v>
      </c>
      <c r="G29" s="150">
        <f t="shared" si="8"/>
        <v>5.2178335890844089E-4</v>
      </c>
      <c r="H29" s="154" t="s">
        <v>157</v>
      </c>
      <c r="I29" s="154"/>
      <c r="J29" s="152"/>
      <c r="K29" s="366"/>
      <c r="L29" s="366"/>
      <c r="M29" s="135">
        <f>+M27/500</f>
        <v>64.512</v>
      </c>
    </row>
    <row r="30" spans="1:13" ht="13.5" x14ac:dyDescent="0.25">
      <c r="A30" s="147">
        <v>8</v>
      </c>
      <c r="B30" s="153" t="str">
        <f>IFERROR(VLOOKUP(H30,'[1]Consolidado MP Planta'!$A$2:$M$823,3,0),"")</f>
        <v>ETIQ.FECHA VENCIMIENTO BLANCO (ROLLO)</v>
      </c>
      <c r="C30" s="148">
        <f t="shared" si="6"/>
        <v>8</v>
      </c>
      <c r="D30" s="149" t="s">
        <v>155</v>
      </c>
      <c r="E30" s="149">
        <f>IFERROR(VLOOKUP(H30,'[1]Consolidado MP Planta'!$A$2:$M$823,12,0),"")</f>
        <v>0.33333333333333331</v>
      </c>
      <c r="F30" s="149">
        <f t="shared" si="7"/>
        <v>2.6666666666666665</v>
      </c>
      <c r="G30" s="150">
        <f t="shared" si="8"/>
        <v>4.4596868282772718E-4</v>
      </c>
      <c r="H30" s="154" t="s">
        <v>158</v>
      </c>
      <c r="I30" s="154"/>
      <c r="J30" s="152"/>
      <c r="K30" s="366"/>
      <c r="L30" s="366"/>
    </row>
    <row r="31" spans="1:13" ht="13.5" x14ac:dyDescent="0.25">
      <c r="A31" s="147">
        <v>8</v>
      </c>
      <c r="B31" s="153" t="s">
        <v>159</v>
      </c>
      <c r="C31" s="148">
        <f t="shared" ref="C31:C32" si="9">+A31</f>
        <v>8</v>
      </c>
      <c r="D31" s="149" t="s">
        <v>155</v>
      </c>
      <c r="E31" s="149">
        <v>60</v>
      </c>
      <c r="F31" s="149">
        <f t="shared" ref="F31:F32" si="10">IFERROR(C31*E31,"")</f>
        <v>480</v>
      </c>
      <c r="G31" s="150">
        <f t="shared" ref="G31:G32" si="11">IFERROR(F31/$F$66,"")</f>
        <v>8.0274362908990898E-2</v>
      </c>
      <c r="H31" s="154"/>
      <c r="I31" s="154"/>
      <c r="J31" s="152"/>
      <c r="K31" s="155"/>
      <c r="L31" s="156"/>
    </row>
    <row r="32" spans="1:13" ht="13.5" x14ac:dyDescent="0.25">
      <c r="A32" s="147"/>
      <c r="B32" s="153" t="str">
        <f>IFERROR(VLOOKUP(H32,'[1]Consolidado MP Planta'!$A$2:$M$823,3,0),"")</f>
        <v/>
      </c>
      <c r="C32" s="148">
        <f t="shared" si="9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10"/>
        <v/>
      </c>
      <c r="G32" s="150" t="str">
        <f t="shared" si="11"/>
        <v/>
      </c>
      <c r="H32" s="154"/>
      <c r="I32" s="154"/>
      <c r="J32" s="152"/>
    </row>
    <row r="33" spans="1:13" ht="14.25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x14ac:dyDescent="0.25">
      <c r="A35" s="147">
        <f>+A17</f>
        <v>0.2</v>
      </c>
      <c r="B35" s="153" t="s">
        <v>41</v>
      </c>
      <c r="C35" s="148">
        <f>+A35</f>
        <v>0.2</v>
      </c>
      <c r="D35" s="149" t="s">
        <v>153</v>
      </c>
      <c r="E35" s="149">
        <v>49.63</v>
      </c>
      <c r="F35" s="149">
        <f>IFERROR(E35*C35,"")</f>
        <v>9.9260000000000019</v>
      </c>
      <c r="G35" s="150">
        <f t="shared" ref="G35:G41" si="12">IFERROR(F35/$F$66,"")</f>
        <v>1.6600069296555079E-3</v>
      </c>
      <c r="H35" s="154"/>
      <c r="I35" s="154"/>
      <c r="J35" s="152"/>
    </row>
    <row r="36" spans="1:13" ht="13.5" x14ac:dyDescent="0.25">
      <c r="A36" s="147">
        <f t="shared" ref="A36:A41" si="13">+A18</f>
        <v>160</v>
      </c>
      <c r="B36" s="153" t="s">
        <v>59</v>
      </c>
      <c r="C36" s="148">
        <f t="shared" ref="C36:C41" si="14">+A36</f>
        <v>160</v>
      </c>
      <c r="D36" s="149" t="s">
        <v>149</v>
      </c>
      <c r="E36" s="149">
        <v>0.01</v>
      </c>
      <c r="F36" s="149">
        <f t="shared" ref="F36:F41" si="15">IFERROR(E36*C36,"")</f>
        <v>1.6</v>
      </c>
      <c r="G36" s="150">
        <f t="shared" si="12"/>
        <v>2.6758120969663633E-4</v>
      </c>
      <c r="H36" s="154"/>
      <c r="I36" s="154"/>
      <c r="J36" s="152"/>
    </row>
    <row r="37" spans="1:13" ht="13.5" x14ac:dyDescent="0.25">
      <c r="A37" s="147">
        <f t="shared" si="13"/>
        <v>560</v>
      </c>
      <c r="B37" s="153" t="s">
        <v>61</v>
      </c>
      <c r="C37" s="148">
        <f t="shared" si="14"/>
        <v>560</v>
      </c>
      <c r="D37" s="149" t="s">
        <v>149</v>
      </c>
      <c r="E37" s="149">
        <v>0.02</v>
      </c>
      <c r="F37" s="149">
        <f t="shared" si="15"/>
        <v>11.200000000000001</v>
      </c>
      <c r="G37" s="150">
        <f t="shared" si="12"/>
        <v>1.8730684678764545E-3</v>
      </c>
      <c r="H37" s="154"/>
      <c r="I37" s="154"/>
      <c r="J37" s="152"/>
    </row>
    <row r="38" spans="1:13" ht="13.5" x14ac:dyDescent="0.25">
      <c r="A38" s="147">
        <f t="shared" si="13"/>
        <v>80</v>
      </c>
      <c r="B38" s="153" t="s">
        <v>75</v>
      </c>
      <c r="C38" s="148">
        <f>+A38</f>
        <v>80</v>
      </c>
      <c r="D38" s="149" t="s">
        <v>149</v>
      </c>
      <c r="E38" s="149">
        <f>+'Costo Procesado chocol con mani'!E76</f>
        <v>3.0635745614035086E-2</v>
      </c>
      <c r="F38" s="149">
        <f>IFERROR(E38*C38,"")</f>
        <v>2.450859649122807</v>
      </c>
      <c r="G38" s="150">
        <f t="shared" si="12"/>
        <v>4.0987749356809645E-4</v>
      </c>
      <c r="H38" s="154"/>
      <c r="I38" s="154"/>
      <c r="J38" s="152"/>
    </row>
    <row r="39" spans="1:13" ht="13.5" x14ac:dyDescent="0.25">
      <c r="A39" s="147">
        <f t="shared" si="13"/>
        <v>224</v>
      </c>
      <c r="B39" s="153" t="s">
        <v>63</v>
      </c>
      <c r="C39" s="148">
        <f>+A39</f>
        <v>224</v>
      </c>
      <c r="D39" s="149" t="s">
        <v>149</v>
      </c>
      <c r="E39" s="149">
        <f>+'Costo Relleno Mantequilla Mani'!E76</f>
        <v>0</v>
      </c>
      <c r="F39" s="149">
        <f>IFERROR(E39*C39,"")</f>
        <v>0</v>
      </c>
      <c r="G39" s="150">
        <f t="shared" si="12"/>
        <v>0</v>
      </c>
      <c r="H39" s="154"/>
      <c r="I39" s="154"/>
      <c r="J39" s="152"/>
    </row>
    <row r="40" spans="1:13" ht="13.5" x14ac:dyDescent="0.25">
      <c r="A40" s="147">
        <f t="shared" si="13"/>
        <v>264</v>
      </c>
      <c r="B40" s="153" t="s">
        <v>64</v>
      </c>
      <c r="C40" s="148">
        <f t="shared" si="14"/>
        <v>264</v>
      </c>
      <c r="D40" s="149" t="s">
        <v>149</v>
      </c>
      <c r="E40" s="149">
        <f>+'Costo Ganache Oscuro suave'!E76</f>
        <v>0</v>
      </c>
      <c r="F40" s="149">
        <f t="shared" si="15"/>
        <v>0</v>
      </c>
      <c r="G40" s="150">
        <f t="shared" si="12"/>
        <v>0</v>
      </c>
      <c r="H40" s="154"/>
      <c r="I40" s="154"/>
      <c r="J40" s="152"/>
    </row>
    <row r="41" spans="1:13" ht="13.5" x14ac:dyDescent="0.25">
      <c r="A41" s="147">
        <f t="shared" si="13"/>
        <v>12</v>
      </c>
      <c r="B41" s="153" t="s">
        <v>95</v>
      </c>
      <c r="C41" s="148">
        <f t="shared" si="14"/>
        <v>12</v>
      </c>
      <c r="D41" s="149" t="s">
        <v>149</v>
      </c>
      <c r="E41" s="149">
        <f>+'Costo Mani Tostado'!E76</f>
        <v>5.208333333333333E-3</v>
      </c>
      <c r="F41" s="149">
        <f t="shared" si="15"/>
        <v>6.25E-2</v>
      </c>
      <c r="G41" s="150">
        <f t="shared" si="12"/>
        <v>1.0452391003774857E-5</v>
      </c>
      <c r="H41" s="154"/>
      <c r="I41" s="154"/>
      <c r="J41" s="152"/>
    </row>
    <row r="42" spans="1:13" ht="14.25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x14ac:dyDescent="0.25">
      <c r="A44" s="147">
        <f>+A35</f>
        <v>0.2</v>
      </c>
      <c r="B44" s="153" t="s">
        <v>41</v>
      </c>
      <c r="C44" s="148">
        <f>+A44</f>
        <v>0.2</v>
      </c>
      <c r="D44" s="149" t="s">
        <v>153</v>
      </c>
      <c r="E44" s="149">
        <v>121.57</v>
      </c>
      <c r="F44" s="149">
        <f>IFERROR(E44*C44,"")</f>
        <v>24.314</v>
      </c>
      <c r="G44" s="150">
        <f>IFERROR(F44/$F$66,"")</f>
        <v>4.0662309578525097E-3</v>
      </c>
      <c r="H44" s="154"/>
      <c r="I44" s="146"/>
      <c r="J44" s="152"/>
    </row>
    <row r="45" spans="1:13" ht="13.5" x14ac:dyDescent="0.25">
      <c r="A45" s="147">
        <f t="shared" ref="A45:A50" si="16">+A36</f>
        <v>160</v>
      </c>
      <c r="B45" s="153" t="s">
        <v>59</v>
      </c>
      <c r="C45" s="148">
        <f t="shared" ref="C45:C50" si="17">+A45</f>
        <v>160</v>
      </c>
      <c r="D45" s="149" t="s">
        <v>149</v>
      </c>
      <c r="E45" s="149">
        <v>0.13</v>
      </c>
      <c r="F45" s="149">
        <f t="shared" ref="F45:F50" si="18">IFERROR(E45*C45,"")</f>
        <v>20.8</v>
      </c>
      <c r="G45" s="150">
        <f t="shared" ref="G45:G50" si="19">IFERROR(F45/$F$66,"")</f>
        <v>3.4785557260562723E-3</v>
      </c>
      <c r="H45" s="154"/>
      <c r="I45" s="146"/>
      <c r="J45" s="152"/>
      <c r="M45" s="157"/>
    </row>
    <row r="46" spans="1:13" ht="13.5" x14ac:dyDescent="0.25">
      <c r="A46" s="147">
        <f t="shared" si="16"/>
        <v>560</v>
      </c>
      <c r="B46" s="153" t="s">
        <v>61</v>
      </c>
      <c r="C46" s="148">
        <f t="shared" si="17"/>
        <v>560</v>
      </c>
      <c r="D46" s="149" t="s">
        <v>149</v>
      </c>
      <c r="E46" s="149">
        <v>0.14000000000000001</v>
      </c>
      <c r="F46" s="149">
        <f t="shared" si="18"/>
        <v>78.400000000000006</v>
      </c>
      <c r="G46" s="150">
        <f t="shared" si="19"/>
        <v>1.3111479275135181E-2</v>
      </c>
      <c r="H46" s="154"/>
      <c r="I46" s="146"/>
      <c r="J46" s="152"/>
    </row>
    <row r="47" spans="1:13" ht="13.5" x14ac:dyDescent="0.25">
      <c r="A47" s="147">
        <f t="shared" si="16"/>
        <v>80</v>
      </c>
      <c r="B47" s="153" t="s">
        <v>75</v>
      </c>
      <c r="C47" s="148">
        <f t="shared" si="17"/>
        <v>80</v>
      </c>
      <c r="D47" s="149" t="s">
        <v>149</v>
      </c>
      <c r="E47" s="149">
        <f>+'Costo Procesado chocol con mani'!E74</f>
        <v>0.73622807017543868</v>
      </c>
      <c r="F47" s="149">
        <f t="shared" si="18"/>
        <v>58.898245614035091</v>
      </c>
      <c r="G47" s="150">
        <f t="shared" si="19"/>
        <v>9.850039881508196E-3</v>
      </c>
      <c r="H47" s="154"/>
      <c r="I47" s="146"/>
      <c r="J47" s="152"/>
    </row>
    <row r="48" spans="1:13" ht="13.5" x14ac:dyDescent="0.25">
      <c r="A48" s="147">
        <f t="shared" si="16"/>
        <v>224</v>
      </c>
      <c r="B48" s="153" t="s">
        <v>63</v>
      </c>
      <c r="C48" s="148">
        <f t="shared" si="17"/>
        <v>224</v>
      </c>
      <c r="D48" s="149" t="s">
        <v>149</v>
      </c>
      <c r="E48" s="149">
        <f>+'Costo Relleno Mantequilla Mani'!E74</f>
        <v>7.6999999999999999E-2</v>
      </c>
      <c r="F48" s="149">
        <f t="shared" si="18"/>
        <v>17.248000000000001</v>
      </c>
      <c r="G48" s="150">
        <f t="shared" si="19"/>
        <v>2.8845254405297396E-3</v>
      </c>
      <c r="H48" s="154"/>
      <c r="I48" s="146"/>
      <c r="J48" s="152"/>
    </row>
    <row r="49" spans="1:17" ht="13.5" x14ac:dyDescent="0.25">
      <c r="A49" s="147">
        <f t="shared" si="16"/>
        <v>264</v>
      </c>
      <c r="B49" s="153" t="s">
        <v>64</v>
      </c>
      <c r="C49" s="148">
        <f t="shared" si="17"/>
        <v>264</v>
      </c>
      <c r="D49" s="149" t="s">
        <v>149</v>
      </c>
      <c r="E49" s="149">
        <f>+'Costo Ganache Oscuro suave'!E74</f>
        <v>7.6999999999999999E-2</v>
      </c>
      <c r="F49" s="149">
        <f t="shared" si="18"/>
        <v>20.327999999999999</v>
      </c>
      <c r="G49" s="150">
        <f t="shared" si="19"/>
        <v>3.3996192691957642E-3</v>
      </c>
      <c r="H49" s="154"/>
      <c r="I49" s="146"/>
      <c r="J49" s="152"/>
    </row>
    <row r="50" spans="1:17" ht="13.5" x14ac:dyDescent="0.25">
      <c r="A50" s="147">
        <f t="shared" si="16"/>
        <v>12</v>
      </c>
      <c r="B50" s="153" t="s">
        <v>95</v>
      </c>
      <c r="C50" s="148">
        <f t="shared" si="17"/>
        <v>12</v>
      </c>
      <c r="D50" s="149" t="s">
        <v>149</v>
      </c>
      <c r="E50" s="149">
        <f>+'Costo Mani Tostado'!E74</f>
        <v>0.16041666666666668</v>
      </c>
      <c r="F50" s="149">
        <f t="shared" si="18"/>
        <v>1.9250000000000003</v>
      </c>
      <c r="G50" s="150">
        <f t="shared" si="19"/>
        <v>3.2193364291626563E-4</v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308</v>
      </c>
      <c r="F51" s="149">
        <f>IFERROR(C51*E51,"")</f>
        <v>308</v>
      </c>
      <c r="G51" s="150">
        <f>IFERROR(F51/$F$66,"")</f>
        <v>5.1509382866602491E-2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3913.1794947368426</v>
      </c>
      <c r="G53" s="150">
        <f>+F53/$F$66</f>
        <v>0.65443331435109775</v>
      </c>
      <c r="H53" s="162">
        <f>+F53/$D$60</f>
        <v>3913.1794947368426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1680.0500263157892</v>
      </c>
      <c r="G54" s="150">
        <f>+F54/$F$66</f>
        <v>0.28096863649527787</v>
      </c>
      <c r="H54" s="162">
        <f>+F54/$D$60</f>
        <v>1680.0500263157892</v>
      </c>
      <c r="I54" s="162"/>
      <c r="J54" s="166"/>
      <c r="K54" s="377" t="s">
        <v>118</v>
      </c>
      <c r="L54" s="378"/>
      <c r="M54" s="378"/>
      <c r="N54" s="378"/>
      <c r="O54" s="167">
        <f>+F55</f>
        <v>5593.2295210526318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5593.2295210526318</v>
      </c>
      <c r="G55" s="150">
        <f>+F55/$F$66</f>
        <v>0.93540195084637556</v>
      </c>
      <c r="H55" s="162">
        <f>+F55/$D$60</f>
        <v>5593.2295210526318</v>
      </c>
      <c r="I55" s="162"/>
      <c r="J55" s="169"/>
      <c r="K55" s="170"/>
      <c r="M55" s="171" t="s">
        <v>120</v>
      </c>
      <c r="N55" s="172"/>
      <c r="O55" s="167">
        <f>+H56</f>
        <v>529.91324561403508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529.91324561403508</v>
      </c>
      <c r="G56" s="150">
        <f>+F56/$F$66</f>
        <v>8.8621767059796422E-2</v>
      </c>
      <c r="H56" s="162">
        <f>+F56/$D$60</f>
        <v>529.91324561403508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6123.1427666666668</v>
      </c>
      <c r="P57" s="181"/>
      <c r="Q57" s="168"/>
    </row>
    <row r="58" spans="1:17" x14ac:dyDescent="0.2">
      <c r="B58" s="379" t="s">
        <v>124</v>
      </c>
      <c r="C58" s="379"/>
      <c r="D58" s="182">
        <v>1456</v>
      </c>
      <c r="E58" s="183"/>
      <c r="G58" s="150"/>
      <c r="H58" s="176">
        <f>+H56/77</f>
        <v>6.8819902027796767</v>
      </c>
      <c r="I58" s="184"/>
      <c r="J58" s="169"/>
      <c r="K58" s="177"/>
      <c r="L58" s="170"/>
      <c r="M58" s="170" t="s">
        <v>125</v>
      </c>
      <c r="N58" s="185"/>
      <c r="O58" s="167">
        <f>+H59</f>
        <v>571.20518683071316</v>
      </c>
      <c r="P58" s="167"/>
      <c r="Q58" s="168"/>
    </row>
    <row r="59" spans="1:17" x14ac:dyDescent="0.2">
      <c r="B59" s="379" t="s">
        <v>126</v>
      </c>
      <c r="C59" s="379"/>
      <c r="D59" s="186">
        <v>1456</v>
      </c>
      <c r="E59" s="183"/>
      <c r="G59" s="150"/>
      <c r="H59" s="176">
        <f>+H58*83</f>
        <v>571.20518683071316</v>
      </c>
      <c r="I59" s="184"/>
      <c r="J59" s="169"/>
      <c r="K59" s="177"/>
      <c r="L59" s="170"/>
      <c r="M59" s="380" t="s">
        <v>123</v>
      </c>
      <c r="N59" s="380"/>
      <c r="O59" s="167">
        <f>SUM(O57:O58)</f>
        <v>6694.3479534973803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6694.3479534973803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6694.3479534973803</v>
      </c>
      <c r="P62" s="195">
        <f>+O62/D59</f>
        <v>4.5977664515778711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5593.2295210526318</v>
      </c>
      <c r="G63" s="150">
        <f>+F63/$F$66</f>
        <v>0.93540195084637556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78.263589894736853</v>
      </c>
      <c r="G64" s="150">
        <f>+F64/$F$66</f>
        <v>1.3088666287021955E-2</v>
      </c>
      <c r="H64" s="162"/>
      <c r="I64" s="184"/>
      <c r="J64" s="202"/>
      <c r="O64" s="203">
        <f>+O62/8</f>
        <v>836.79349418717254</v>
      </c>
      <c r="P64" s="160"/>
    </row>
    <row r="65" spans="2:13" ht="13.5" thickBot="1" x14ac:dyDescent="0.3">
      <c r="B65" s="391" t="s">
        <v>136</v>
      </c>
      <c r="C65" s="392"/>
      <c r="D65" s="204">
        <v>4</v>
      </c>
      <c r="E65" s="205">
        <v>77</v>
      </c>
      <c r="F65" s="198">
        <f>+E65*D65</f>
        <v>308</v>
      </c>
      <c r="G65" s="150">
        <f>+F65/$F$66</f>
        <v>5.1509382866602491E-2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5979.4931109473682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3913.1794947368426</v>
      </c>
      <c r="D69" s="211">
        <f>+D58</f>
        <v>1456</v>
      </c>
      <c r="E69" s="212">
        <f>+C69/D69</f>
        <v>2.687623279352227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5671.4931109473682</v>
      </c>
      <c r="D71" s="211">
        <f>+D58</f>
        <v>1456</v>
      </c>
      <c r="E71" s="216">
        <f>+C71/D71</f>
        <v>3.8952562575187968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308</v>
      </c>
      <c r="D73" s="211">
        <f>+D58</f>
        <v>1456</v>
      </c>
      <c r="E73" s="216">
        <f>+C73/D73</f>
        <v>0.21153846153846154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529.91324561403508</v>
      </c>
      <c r="D74" s="211">
        <f>+D73</f>
        <v>1456</v>
      </c>
      <c r="E74" s="212">
        <f>+C74/D74</f>
        <v>0.36395140495469441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1680.0500263157892</v>
      </c>
      <c r="D76" s="211">
        <f>+D74</f>
        <v>1456</v>
      </c>
      <c r="E76" s="212">
        <f>+C76/D76</f>
        <v>1.1538805125795255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3.0515746843069214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3913.1794947368426</v>
      </c>
      <c r="D81" s="211">
        <f>+D60</f>
        <v>1</v>
      </c>
      <c r="E81" s="212">
        <f>+C81/D81</f>
        <v>3913.1794947368426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5671.4931109473682</v>
      </c>
      <c r="D83" s="211">
        <f>+D60</f>
        <v>1</v>
      </c>
      <c r="E83" s="216">
        <f>+C83/D83</f>
        <v>5671.4931109473682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308</v>
      </c>
      <c r="D85" s="211">
        <f>+D60</f>
        <v>1</v>
      </c>
      <c r="E85" s="216">
        <f>+C85/D85</f>
        <v>308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529.91324561403508</v>
      </c>
      <c r="D86" s="211">
        <f>+D85</f>
        <v>1</v>
      </c>
      <c r="E86" s="212">
        <f>+C86/D86</f>
        <v>529.91324561403508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CDEF-6C0A-4F47-96C0-41CAA2FEA2A4}">
  <dimension ref="A1:Q91"/>
  <sheetViews>
    <sheetView topLeftCell="A57" workbookViewId="0">
      <selection activeCell="B66" sqref="B66:E66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0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0" ht="30.75" customHeight="1" x14ac:dyDescent="0.25">
      <c r="A2" s="130"/>
      <c r="B2" s="130"/>
      <c r="C2" s="130"/>
      <c r="D2" s="130"/>
      <c r="E2" s="136">
        <f>IFERROR(O62,"")</f>
        <v>17039.28</v>
      </c>
      <c r="F2" s="136">
        <f>IFERROR(H53,"")</f>
        <v>16239.28</v>
      </c>
      <c r="G2" s="136">
        <f>IFERROR(H54,"")</f>
        <v>0</v>
      </c>
      <c r="H2" s="136">
        <f>IFERROR(H56,"")</f>
        <v>385</v>
      </c>
      <c r="I2" s="137"/>
    </row>
    <row r="3" spans="1:10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0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0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0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0" ht="26.25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0" ht="13.5" x14ac:dyDescent="0.25">
      <c r="A8" s="147">
        <v>3222</v>
      </c>
      <c r="B8" s="135" t="str">
        <f>IFERROR(VLOOKUP(H8,'[1]Consolidado MP Planta'!$A$2:$M$823,3,0),"")</f>
        <v>CREMA BETTERCREAM DOBLE CHOCO (UND:4 K)</v>
      </c>
      <c r="C8" s="148">
        <f>+A8</f>
        <v>3222</v>
      </c>
      <c r="D8" s="149" t="str">
        <f>IFERROR(VLOOKUP(H8,'[1]Consolidado MP Planta'!$A$2:$M$823,13,0),"")</f>
        <v>Gramos</v>
      </c>
      <c r="E8" s="149">
        <v>2.6</v>
      </c>
      <c r="F8" s="149">
        <f>IFERROR(C8*E8,"")</f>
        <v>8377.2000000000007</v>
      </c>
      <c r="G8" s="150">
        <f t="shared" ref="G8:G14" si="0">IFERROR(F8/$F$66,"")</f>
        <v>0.49425733534242738</v>
      </c>
      <c r="H8" s="151" t="s">
        <v>69</v>
      </c>
      <c r="I8" s="151"/>
      <c r="J8" s="152"/>
    </row>
    <row r="9" spans="1:10" ht="13.5" x14ac:dyDescent="0.25">
      <c r="A9" s="147">
        <v>1264</v>
      </c>
      <c r="B9" s="135" t="s">
        <v>67</v>
      </c>
      <c r="C9" s="148">
        <f t="shared" ref="C9:C14" si="1">+A9</f>
        <v>1264</v>
      </c>
      <c r="D9" s="149" t="s">
        <v>149</v>
      </c>
      <c r="E9" s="149">
        <v>6.22</v>
      </c>
      <c r="F9" s="149">
        <f t="shared" ref="F9:F14" si="2">IFERROR(C9*E9,"")</f>
        <v>7862.08</v>
      </c>
      <c r="G9" s="150">
        <f t="shared" si="0"/>
        <v>0.46386509944241405</v>
      </c>
      <c r="H9" s="151" t="s">
        <v>151</v>
      </c>
      <c r="I9" s="151"/>
      <c r="J9" s="152"/>
    </row>
    <row r="10" spans="1:10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0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0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0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0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0" ht="14.25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0" ht="26.25" hidden="1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hidden="1" x14ac:dyDescent="0.25">
      <c r="A17" s="147"/>
      <c r="B17" s="135" t="str">
        <f>IFERROR(VLOOKUP(H17,[1]SEMIELABORADOS!$A$2:$M$6000,2,0),"")</f>
        <v/>
      </c>
      <c r="C17" s="148">
        <f>+A17</f>
        <v>0</v>
      </c>
      <c r="D17" s="148" t="str">
        <f>IFERROR(VLOOKUP(H17,[1]SEMIELABORADOS!$A$2:$M$6000,6,0),"")</f>
        <v/>
      </c>
      <c r="E17" s="149" t="str">
        <f>IFERROR(VLOOKUP(H17,[1]SEMIELABORADOS!$A$2:$H$65536,8,0),"")</f>
        <v/>
      </c>
      <c r="F17" s="149" t="str">
        <f>IFERROR(E17*C17,"")</f>
        <v/>
      </c>
      <c r="G17" s="150" t="str">
        <f t="shared" ref="G17:G24" si="3">IFERROR(F17/$F$66,"")</f>
        <v/>
      </c>
      <c r="H17" s="151"/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hidden="1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hidden="1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hidden="1" x14ac:dyDescent="0.25">
      <c r="A27" s="147">
        <v>0</v>
      </c>
      <c r="B27" s="153" t="str">
        <f>IFERROR(VLOOKUP(H27,'[1]Consolidado MP Planta'!$A$2:$M$823,3,0),"")</f>
        <v/>
      </c>
      <c r="C27" s="148">
        <f t="shared" ref="C27:C32" si="6">+A27</f>
        <v>0</v>
      </c>
      <c r="D27" s="149" t="str">
        <f>IFERROR(VLOOKUP(H27,'[1]Consolidado MP Planta'!$A$2:$M$823,13,0),"")</f>
        <v/>
      </c>
      <c r="E27" s="149" t="str">
        <f>IFERROR(VLOOKUP(H27,'[1]Consolidado MP Planta'!$A$2:$M$823,12,0),"")</f>
        <v/>
      </c>
      <c r="F27" s="149" t="str">
        <f t="shared" ref="F27:F32" si="7">IFERROR(C27*E27,"")</f>
        <v/>
      </c>
      <c r="G27" s="150" t="str">
        <f t="shared" ref="G27:G32" si="8">IFERROR(F27/$F$66,"")</f>
        <v/>
      </c>
      <c r="H27" s="154"/>
      <c r="I27" s="154"/>
      <c r="J27" s="152"/>
      <c r="K27" s="366"/>
      <c r="L27" s="366"/>
    </row>
    <row r="28" spans="1:12" ht="13.5" hidden="1" x14ac:dyDescent="0.25">
      <c r="A28" s="147"/>
      <c r="B28" s="153" t="str">
        <f>IFERROR(VLOOKUP(H28,'[1]Consolidado MP Planta'!$A$2:$M$823,3,0),"")</f>
        <v/>
      </c>
      <c r="C28" s="148">
        <f t="shared" si="6"/>
        <v>0</v>
      </c>
      <c r="D28" s="149" t="str">
        <f>IFERROR(VLOOKUP(H28,'[1]Consolidado MP Planta'!$A$2:$M$823,13,0),"")</f>
        <v/>
      </c>
      <c r="E28" s="149" t="str">
        <f>IFERROR(VLOOKUP(H28,'[1]Consolidado MP Planta'!$A$2:$M$823,12,0),"")</f>
        <v/>
      </c>
      <c r="F28" s="149" t="str">
        <f t="shared" si="7"/>
        <v/>
      </c>
      <c r="G28" s="150" t="str">
        <f t="shared" si="8"/>
        <v/>
      </c>
      <c r="H28" s="154"/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hidden="1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hidden="1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hidden="1" x14ac:dyDescent="0.25">
      <c r="A35" s="147">
        <f>+A17</f>
        <v>0</v>
      </c>
      <c r="B35" s="153" t="str">
        <f>IFERROR(VLOOKUP(H35,[1]SEMIELABORADOS!$A$2:$M$6000,2,0),"")</f>
        <v/>
      </c>
      <c r="C35" s="148">
        <f>+A35</f>
        <v>0</v>
      </c>
      <c r="D35" s="149" t="str">
        <f>IFERROR(VLOOKUP(H35,[1]SEMIELABORADOS!$A$2:$M$6000,6,0),"")</f>
        <v/>
      </c>
      <c r="E35" s="149" t="str">
        <f>IFERROR(VLOOKUP(H35,[1]SEMIELABORADOS!$A$2:$M$65536,10,0),"")</f>
        <v/>
      </c>
      <c r="F35" s="149" t="str">
        <f>IFERROR(E35*C35,"")</f>
        <v/>
      </c>
      <c r="G35" s="150" t="str">
        <f t="shared" ref="G35:G41" si="9">IFERROR(F35/$F$66,"")</f>
        <v/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hidden="1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hidden="1" x14ac:dyDescent="0.25">
      <c r="A44" s="147">
        <f>+A35</f>
        <v>0</v>
      </c>
      <c r="B44" s="153" t="str">
        <f>IFERROR(VLOOKUP(H44,[1]SEMIELABORADOS!$A$2:$M$6000,2,0),"")</f>
        <v/>
      </c>
      <c r="C44" s="148">
        <f>+A44</f>
        <v>0</v>
      </c>
      <c r="D44" s="149" t="str">
        <f>IFERROR(VLOOKUP(H44,[1]SEMIELABORADOS!$A$2:$M$6000,6,0),"")</f>
        <v/>
      </c>
      <c r="E44" s="149" t="str">
        <f>IFERROR(VLOOKUP(H44,[1]SEMIELABORADOS!$A$2:$M$65536,12,0),"")</f>
        <v/>
      </c>
      <c r="F44" s="149" t="str">
        <f>IFERROR(E44*C44,"")</f>
        <v/>
      </c>
      <c r="G44" s="150" t="str">
        <f>IFERROR(F44/$F$66,"")</f>
        <v/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385</v>
      </c>
      <c r="F51" s="149">
        <f>IFERROR(C51*E51,"")</f>
        <v>385</v>
      </c>
      <c r="G51" s="150">
        <f>IFERROR(F51/$F$66,"")</f>
        <v>2.2715116519461696E-2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16239.28</v>
      </c>
      <c r="G53" s="150">
        <f>+F53/$F$66</f>
        <v>0.95812243478484138</v>
      </c>
      <c r="H53" s="162">
        <f>+F53/$D$60</f>
        <v>16239.28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0</v>
      </c>
      <c r="G54" s="150">
        <f>+F54/$F$66</f>
        <v>0</v>
      </c>
      <c r="H54" s="162">
        <f>+F54/$D$60</f>
        <v>0</v>
      </c>
      <c r="I54" s="162"/>
      <c r="J54" s="166"/>
      <c r="K54" s="377" t="s">
        <v>118</v>
      </c>
      <c r="L54" s="378"/>
      <c r="M54" s="378"/>
      <c r="N54" s="378"/>
      <c r="O54" s="167">
        <f>+F55</f>
        <v>16239.28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16239.28</v>
      </c>
      <c r="G55" s="150">
        <f>+F55/$F$66</f>
        <v>0.95812243478484138</v>
      </c>
      <c r="H55" s="162">
        <f>+F55/$D$60</f>
        <v>16239.28</v>
      </c>
      <c r="I55" s="162"/>
      <c r="J55" s="169"/>
      <c r="K55" s="170"/>
      <c r="M55" s="171" t="s">
        <v>120</v>
      </c>
      <c r="N55" s="172"/>
      <c r="O55" s="167">
        <f>+H56</f>
        <v>385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385</v>
      </c>
      <c r="G56" s="150">
        <f>+F56/$F$66</f>
        <v>2.2715116519461696E-2</v>
      </c>
      <c r="H56" s="162">
        <f>+F56/$D$60</f>
        <v>385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16624.28</v>
      </c>
      <c r="P57" s="181"/>
      <c r="Q57" s="168"/>
    </row>
    <row r="58" spans="1:17" x14ac:dyDescent="0.2">
      <c r="B58" s="379" t="s">
        <v>124</v>
      </c>
      <c r="C58" s="379"/>
      <c r="D58" s="182">
        <v>5000</v>
      </c>
      <c r="E58" s="183"/>
      <c r="G58" s="150"/>
      <c r="H58" s="176">
        <f>+H56/77</f>
        <v>5</v>
      </c>
      <c r="I58" s="184"/>
      <c r="J58" s="169"/>
      <c r="K58" s="177"/>
      <c r="L58" s="170"/>
      <c r="M58" s="170" t="s">
        <v>125</v>
      </c>
      <c r="N58" s="185"/>
      <c r="O58" s="167">
        <f>+H59</f>
        <v>415</v>
      </c>
      <c r="P58" s="167"/>
      <c r="Q58" s="168"/>
    </row>
    <row r="59" spans="1:17" x14ac:dyDescent="0.2">
      <c r="B59" s="379" t="s">
        <v>126</v>
      </c>
      <c r="C59" s="379"/>
      <c r="D59" s="186">
        <v>5000</v>
      </c>
      <c r="E59" s="183"/>
      <c r="G59" s="150"/>
      <c r="H59" s="176">
        <f>+H58*83</f>
        <v>415</v>
      </c>
      <c r="I59" s="184"/>
      <c r="J59" s="169"/>
      <c r="K59" s="177"/>
      <c r="L59" s="170"/>
      <c r="M59" s="380" t="s">
        <v>123</v>
      </c>
      <c r="N59" s="380"/>
      <c r="O59" s="167">
        <f>SUM(O57:O58)</f>
        <v>17039.28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17039.28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17039.28</v>
      </c>
      <c r="P62" s="195">
        <f>+O62/D59</f>
        <v>3.4078559999999998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16239.28</v>
      </c>
      <c r="G63" s="150">
        <f>+F63/$F$66</f>
        <v>0.95812243478484138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324.78560000000004</v>
      </c>
      <c r="G64" s="150">
        <f>+F64/$F$66</f>
        <v>1.9162448695696829E-2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5</v>
      </c>
      <c r="E65" s="205">
        <v>77</v>
      </c>
      <c r="F65" s="198">
        <f>+E65*D65</f>
        <v>385</v>
      </c>
      <c r="G65" s="150">
        <f>+F65/$F$66</f>
        <v>2.2715116519461696E-2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16949.065600000002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16239.28</v>
      </c>
      <c r="D69" s="211">
        <f>+D58</f>
        <v>5000</v>
      </c>
      <c r="E69" s="212">
        <f>+C69/D69</f>
        <v>3.2478560000000001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16564.065600000002</v>
      </c>
      <c r="D71" s="211">
        <f>+D58</f>
        <v>5000</v>
      </c>
      <c r="E71" s="216">
        <f>+C71/D71</f>
        <v>3.3128131200000004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385</v>
      </c>
      <c r="D73" s="211">
        <f>+D58</f>
        <v>5000</v>
      </c>
      <c r="E73" s="216">
        <f>+C73/D73</f>
        <v>7.6999999999999999E-2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385</v>
      </c>
      <c r="D74" s="211">
        <f>+D73</f>
        <v>5000</v>
      </c>
      <c r="E74" s="212">
        <f>+C74/D74</f>
        <v>7.6999999999999999E-2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0</v>
      </c>
      <c r="D76" s="211">
        <f>+D74</f>
        <v>5000</v>
      </c>
      <c r="E76" s="212">
        <f>+C76/D76</f>
        <v>0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3.324856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16239.28</v>
      </c>
      <c r="D81" s="211">
        <f>+D60</f>
        <v>1</v>
      </c>
      <c r="E81" s="212">
        <f>+C81/D81</f>
        <v>16239.28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16564.065600000002</v>
      </c>
      <c r="D83" s="211">
        <f>+D60</f>
        <v>1</v>
      </c>
      <c r="E83" s="216">
        <f>+C83/D83</f>
        <v>16564.065600000002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385</v>
      </c>
      <c r="D85" s="211">
        <f>+D60</f>
        <v>1</v>
      </c>
      <c r="E85" s="216">
        <f>+C85/D85</f>
        <v>385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385</v>
      </c>
      <c r="D86" s="211">
        <f>+D85</f>
        <v>1</v>
      </c>
      <c r="E86" s="212">
        <f>+C86/D86</f>
        <v>385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CD2-B5C3-4F35-8CC0-85FA15A7EFBB}">
  <dimension ref="A1:Q91"/>
  <sheetViews>
    <sheetView workbookViewId="0">
      <selection activeCell="M25" sqref="M25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0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0" ht="30.75" customHeight="1" x14ac:dyDescent="0.25">
      <c r="A2" s="130"/>
      <c r="B2" s="130"/>
      <c r="C2" s="130"/>
      <c r="D2" s="130"/>
      <c r="E2" s="136">
        <f>IFERROR(O62,"")</f>
        <v>5854.222291666666</v>
      </c>
      <c r="F2" s="136">
        <f>IFERROR(H53,"")</f>
        <v>4925.915</v>
      </c>
      <c r="G2" s="136">
        <f>IFERROR(H54,"")</f>
        <v>1.9739583333333333</v>
      </c>
      <c r="H2" s="136">
        <f>IFERROR(H56,"")</f>
        <v>445.79791666666665</v>
      </c>
      <c r="I2" s="137"/>
    </row>
    <row r="3" spans="1:10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0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0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0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0" ht="26.25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0" ht="13.5" x14ac:dyDescent="0.25">
      <c r="A8" s="147">
        <v>632</v>
      </c>
      <c r="B8" s="135" t="s">
        <v>67</v>
      </c>
      <c r="C8" s="148">
        <f>+A8</f>
        <v>632</v>
      </c>
      <c r="D8" s="149" t="s">
        <v>149</v>
      </c>
      <c r="E8" s="149">
        <v>6.22</v>
      </c>
      <c r="F8" s="149">
        <f>IFERROR(C8*E8,"")</f>
        <v>3931.04</v>
      </c>
      <c r="G8" s="150">
        <f t="shared" ref="G8:G14" si="0">IFERROR(F8/$F$66,"")</f>
        <v>0.72643580723782497</v>
      </c>
      <c r="H8" s="151" t="s">
        <v>151</v>
      </c>
      <c r="I8" s="151"/>
      <c r="J8" s="152"/>
    </row>
    <row r="9" spans="1:10" ht="13.5" hidden="1" x14ac:dyDescent="0.25">
      <c r="A9" s="147"/>
      <c r="B9" s="135" t="str">
        <f>IFERROR(VLOOKUP(H9,'[1]Consolidado MP Planta'!$A$2:$M$823,3,0),"")</f>
        <v/>
      </c>
      <c r="C9" s="148">
        <f t="shared" ref="C9:C14" si="1">+A9</f>
        <v>0</v>
      </c>
      <c r="D9" s="149" t="str">
        <f>IFERROR(VLOOKUP(H9,'[1]Consolidado MP Planta'!$A$2:$M$823,13,0),"")</f>
        <v/>
      </c>
      <c r="E9" s="149" t="str">
        <f>IFERROR(VLOOKUP(H9,'[1]Consolidado MP Planta'!$A$2:$M$823,12,0),"")</f>
        <v/>
      </c>
      <c r="F9" s="149" t="str">
        <f t="shared" ref="F9:F14" si="2">IFERROR(C9*E9,"")</f>
        <v/>
      </c>
      <c r="G9" s="150" t="str">
        <f t="shared" si="0"/>
        <v/>
      </c>
      <c r="H9" s="151"/>
      <c r="I9" s="151"/>
      <c r="J9" s="152"/>
    </row>
    <row r="10" spans="1:10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0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0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0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0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0" ht="14.25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0" ht="26.25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x14ac:dyDescent="0.25">
      <c r="A17" s="147">
        <v>379</v>
      </c>
      <c r="B17" s="135" t="s">
        <v>96</v>
      </c>
      <c r="C17" s="148">
        <f>+A17</f>
        <v>379</v>
      </c>
      <c r="D17" s="148" t="s">
        <v>149</v>
      </c>
      <c r="E17" s="149">
        <f>+'Costo Mani Tostado'!E69</f>
        <v>2.625</v>
      </c>
      <c r="F17" s="149">
        <f>IFERROR(E17*C17,"")</f>
        <v>994.875</v>
      </c>
      <c r="G17" s="150">
        <f t="shared" ref="G17:G24" si="3">IFERROR(F17/$F$66,"")</f>
        <v>0.18384774098603199</v>
      </c>
      <c r="H17" s="151" t="s">
        <v>62</v>
      </c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hidden="1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hidden="1" x14ac:dyDescent="0.25">
      <c r="A27" s="147">
        <v>0</v>
      </c>
      <c r="B27" s="153" t="str">
        <f>IFERROR(VLOOKUP(H27,'[1]Consolidado MP Planta'!$A$2:$M$823,3,0),"")</f>
        <v/>
      </c>
      <c r="C27" s="148">
        <f t="shared" ref="C27:C32" si="6">+A27</f>
        <v>0</v>
      </c>
      <c r="D27" s="149" t="str">
        <f>IFERROR(VLOOKUP(H27,'[1]Consolidado MP Planta'!$A$2:$M$823,13,0),"")</f>
        <v/>
      </c>
      <c r="E27" s="149" t="str">
        <f>IFERROR(VLOOKUP(H27,'[1]Consolidado MP Planta'!$A$2:$M$823,12,0),"")</f>
        <v/>
      </c>
      <c r="F27" s="149" t="str">
        <f t="shared" ref="F27:F32" si="7">IFERROR(C27*E27,"")</f>
        <v/>
      </c>
      <c r="G27" s="150" t="str">
        <f t="shared" ref="G27:G32" si="8">IFERROR(F27/$F$66,"")</f>
        <v/>
      </c>
      <c r="H27" s="154"/>
      <c r="I27" s="154"/>
      <c r="J27" s="152"/>
      <c r="K27" s="366"/>
      <c r="L27" s="366"/>
    </row>
    <row r="28" spans="1:12" ht="13.5" hidden="1" x14ac:dyDescent="0.25">
      <c r="A28" s="147"/>
      <c r="B28" s="153" t="str">
        <f>IFERROR(VLOOKUP(H28,'[1]Consolidado MP Planta'!$A$2:$M$823,3,0),"")</f>
        <v/>
      </c>
      <c r="C28" s="148">
        <f t="shared" si="6"/>
        <v>0</v>
      </c>
      <c r="D28" s="149" t="str">
        <f>IFERROR(VLOOKUP(H28,'[1]Consolidado MP Planta'!$A$2:$M$823,13,0),"")</f>
        <v/>
      </c>
      <c r="E28" s="149" t="str">
        <f>IFERROR(VLOOKUP(H28,'[1]Consolidado MP Planta'!$A$2:$M$823,12,0),"")</f>
        <v/>
      </c>
      <c r="F28" s="149" t="str">
        <f t="shared" si="7"/>
        <v/>
      </c>
      <c r="G28" s="150" t="str">
        <f t="shared" si="8"/>
        <v/>
      </c>
      <c r="H28" s="154"/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hidden="1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x14ac:dyDescent="0.25">
      <c r="A35" s="147">
        <f>+A17</f>
        <v>379</v>
      </c>
      <c r="B35" s="153" t="s">
        <v>96</v>
      </c>
      <c r="C35" s="148">
        <f>+A35</f>
        <v>379</v>
      </c>
      <c r="D35" s="149" t="s">
        <v>149</v>
      </c>
      <c r="E35" s="149">
        <f>+'Costo Mani Tostado'!E76</f>
        <v>5.208333333333333E-3</v>
      </c>
      <c r="F35" s="149">
        <f>IFERROR(E35*C35,"")</f>
        <v>1.9739583333333333</v>
      </c>
      <c r="G35" s="150">
        <f t="shared" ref="G35:G41" si="9">IFERROR(F35/$F$66,"")</f>
        <v>3.6477726386117455E-4</v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x14ac:dyDescent="0.25">
      <c r="A44" s="147">
        <f>+A35</f>
        <v>379</v>
      </c>
      <c r="B44" s="153" t="s">
        <v>96</v>
      </c>
      <c r="C44" s="148">
        <f>+A44</f>
        <v>379</v>
      </c>
      <c r="D44" s="149" t="s">
        <v>149</v>
      </c>
      <c r="E44" s="149">
        <f>+'Costo Mani Tostado'!E74</f>
        <v>0.16041666666666668</v>
      </c>
      <c r="F44" s="149">
        <f>IFERROR(E44*C44,"")</f>
        <v>60.797916666666673</v>
      </c>
      <c r="G44" s="150">
        <f>IFERROR(F44/$F$66,"")</f>
        <v>1.1235139726924177E-2</v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385</v>
      </c>
      <c r="F51" s="149">
        <f>IFERROR(C51*E51,"")</f>
        <v>385</v>
      </c>
      <c r="G51" s="150">
        <f>IFERROR(F51/$F$66,"")</f>
        <v>7.1146003547804815E-2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4925.915</v>
      </c>
      <c r="G53" s="150">
        <f>+F53/$F$66</f>
        <v>0.91028354822385693</v>
      </c>
      <c r="H53" s="162">
        <f>+F53/$D$60</f>
        <v>4925.915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1.9739583333333333</v>
      </c>
      <c r="G54" s="150">
        <f>+F54/$F$66</f>
        <v>3.6477726386117455E-4</v>
      </c>
      <c r="H54" s="162">
        <f>+F54/$D$60</f>
        <v>1.9739583333333333</v>
      </c>
      <c r="I54" s="162"/>
      <c r="J54" s="166"/>
      <c r="K54" s="377" t="s">
        <v>118</v>
      </c>
      <c r="L54" s="378"/>
      <c r="M54" s="378"/>
      <c r="N54" s="378"/>
      <c r="O54" s="167">
        <f>+F55</f>
        <v>4927.888958333333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4927.888958333333</v>
      </c>
      <c r="G55" s="150">
        <f>+F55/$F$66</f>
        <v>0.91064832548771812</v>
      </c>
      <c r="H55" s="162">
        <f>+F55/$D$60</f>
        <v>4927.888958333333</v>
      </c>
      <c r="I55" s="162"/>
      <c r="J55" s="169"/>
      <c r="K55" s="170"/>
      <c r="M55" s="171" t="s">
        <v>120</v>
      </c>
      <c r="N55" s="172"/>
      <c r="O55" s="167">
        <f>+H56</f>
        <v>445.79791666666665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445.79791666666665</v>
      </c>
      <c r="G56" s="150">
        <f>+F56/$F$66</f>
        <v>8.238114327472898E-2</v>
      </c>
      <c r="H56" s="162">
        <f>+F56/$D$60</f>
        <v>445.79791666666665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5373.6868749999994</v>
      </c>
      <c r="P57" s="181"/>
      <c r="Q57" s="168"/>
    </row>
    <row r="58" spans="1:17" x14ac:dyDescent="0.2">
      <c r="B58" s="379" t="s">
        <v>124</v>
      </c>
      <c r="C58" s="379"/>
      <c r="D58" s="182">
        <v>1000</v>
      </c>
      <c r="E58" s="183"/>
      <c r="G58" s="150"/>
      <c r="H58" s="176">
        <f>+H56/77</f>
        <v>5.7895833333333329</v>
      </c>
      <c r="I58" s="184"/>
      <c r="J58" s="169"/>
      <c r="K58" s="177"/>
      <c r="L58" s="170"/>
      <c r="M58" s="170" t="s">
        <v>125</v>
      </c>
      <c r="N58" s="185"/>
      <c r="O58" s="167">
        <f>+H59</f>
        <v>480.53541666666661</v>
      </c>
      <c r="P58" s="167"/>
      <c r="Q58" s="168"/>
    </row>
    <row r="59" spans="1:17" x14ac:dyDescent="0.2">
      <c r="B59" s="379" t="s">
        <v>126</v>
      </c>
      <c r="C59" s="379"/>
      <c r="D59" s="186">
        <v>1000</v>
      </c>
      <c r="E59" s="183"/>
      <c r="G59" s="150"/>
      <c r="H59" s="176">
        <f>+H58*83</f>
        <v>480.53541666666661</v>
      </c>
      <c r="I59" s="184"/>
      <c r="J59" s="169"/>
      <c r="K59" s="177"/>
      <c r="L59" s="170"/>
      <c r="M59" s="380" t="s">
        <v>123</v>
      </c>
      <c r="N59" s="380"/>
      <c r="O59" s="167">
        <f>SUM(O57:O58)</f>
        <v>5854.222291666666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5854.222291666666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5854.222291666666</v>
      </c>
      <c r="P62" s="195">
        <f>+O62/D59</f>
        <v>5.854222291666666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4927.888958333333</v>
      </c>
      <c r="G63" s="150">
        <f>+F63/$F$66</f>
        <v>0.91064832548771812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98.518299999999996</v>
      </c>
      <c r="G64" s="150">
        <f>+F64/$F$66</f>
        <v>1.8205670964477141E-2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5</v>
      </c>
      <c r="E65" s="205">
        <v>77</v>
      </c>
      <c r="F65" s="198">
        <f>+E65*D65</f>
        <v>385</v>
      </c>
      <c r="G65" s="150">
        <f>+F65/$F$66</f>
        <v>7.1146003547804815E-2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5411.4072583333327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4925.915</v>
      </c>
      <c r="D69" s="211">
        <f>+D58</f>
        <v>1000</v>
      </c>
      <c r="E69" s="212">
        <f>+C69/D69</f>
        <v>4.9259149999999998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5026.4072583333327</v>
      </c>
      <c r="D71" s="211">
        <f>+D58</f>
        <v>1000</v>
      </c>
      <c r="E71" s="216">
        <f>+C71/D71</f>
        <v>5.0264072583333324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385</v>
      </c>
      <c r="D73" s="211">
        <f>+D58</f>
        <v>1000</v>
      </c>
      <c r="E73" s="216">
        <f>+C73/D73</f>
        <v>0.38500000000000001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445.79791666666665</v>
      </c>
      <c r="D74" s="211">
        <f>+D73</f>
        <v>1000</v>
      </c>
      <c r="E74" s="212">
        <f>+C74/D74</f>
        <v>0.44579791666666663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1.9739583333333333</v>
      </c>
      <c r="D76" s="211">
        <f>+D74</f>
        <v>1000</v>
      </c>
      <c r="E76" s="212">
        <f>+C76/D76</f>
        <v>1.9739583333333332E-3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5.3717129166666666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4925.915</v>
      </c>
      <c r="D81" s="211">
        <f>+D60</f>
        <v>1</v>
      </c>
      <c r="E81" s="212">
        <f>+C81/D81</f>
        <v>4925.915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5026.4072583333327</v>
      </c>
      <c r="D83" s="211">
        <f>+D60</f>
        <v>1</v>
      </c>
      <c r="E83" s="216">
        <f>+C83/D83</f>
        <v>5026.4072583333327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385</v>
      </c>
      <c r="D85" s="211">
        <f>+D60</f>
        <v>1</v>
      </c>
      <c r="E85" s="216">
        <f>+C85/D85</f>
        <v>385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445.79791666666665</v>
      </c>
      <c r="D86" s="211">
        <f>+D85</f>
        <v>1</v>
      </c>
      <c r="E86" s="212">
        <f>+C86/D86</f>
        <v>445.79791666666665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72FB-7441-4898-A823-E856F174E7BB}">
  <dimension ref="A1:Q91"/>
  <sheetViews>
    <sheetView topLeftCell="A2" workbookViewId="0">
      <selection activeCell="A45" sqref="A45:XFD50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0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0" ht="30.75" customHeight="1" x14ac:dyDescent="0.25">
      <c r="A2" s="130"/>
      <c r="B2" s="130"/>
      <c r="C2" s="130"/>
      <c r="D2" s="130"/>
      <c r="E2" s="136">
        <f>IFERROR(O62,"")</f>
        <v>6408.352291666667</v>
      </c>
      <c r="F2" s="136">
        <f>IFERROR(H53,"")</f>
        <v>4925.915</v>
      </c>
      <c r="G2" s="136">
        <f>IFERROR(H54,"")</f>
        <v>29.103958333333331</v>
      </c>
      <c r="H2" s="136">
        <f>IFERROR(H56,"")</f>
        <v>699.41666666666674</v>
      </c>
      <c r="I2" s="137"/>
    </row>
    <row r="3" spans="1:10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0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0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0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0" ht="26.25" hidden="1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0" ht="13.5" hidden="1" x14ac:dyDescent="0.25">
      <c r="A8" s="147"/>
      <c r="B8" s="135" t="str">
        <f>IFERROR(VLOOKUP(H8,'[1]Consolidado MP Planta'!$A$2:$M$823,3,0),"")</f>
        <v/>
      </c>
      <c r="C8" s="148">
        <f>+A8</f>
        <v>0</v>
      </c>
      <c r="D8" s="149" t="str">
        <f>IFERROR(VLOOKUP(H8,'[1]Consolidado MP Planta'!$A$2:$M$823,13,0),"")</f>
        <v/>
      </c>
      <c r="E8" s="149" t="str">
        <f>IFERROR(VLOOKUP(H8,'[1]Consolidado MP Planta'!$A$2:$M$823,12,0),"")</f>
        <v/>
      </c>
      <c r="F8" s="149" t="str">
        <f>IFERROR(C8*E8,"")</f>
        <v/>
      </c>
      <c r="G8" s="150" t="str">
        <f t="shared" ref="G8:G14" si="0">IFERROR(F8/$F$66,"")</f>
        <v/>
      </c>
      <c r="H8" s="151"/>
      <c r="I8" s="151"/>
      <c r="J8" s="152"/>
    </row>
    <row r="9" spans="1:10" ht="13.5" hidden="1" x14ac:dyDescent="0.25">
      <c r="A9" s="147"/>
      <c r="B9" s="135" t="str">
        <f>IFERROR(VLOOKUP(H9,'[1]Consolidado MP Planta'!$A$2:$M$823,3,0),"")</f>
        <v/>
      </c>
      <c r="C9" s="148">
        <f t="shared" ref="C9:C14" si="1">+A9</f>
        <v>0</v>
      </c>
      <c r="D9" s="149" t="str">
        <f>IFERROR(VLOOKUP(H9,'[1]Consolidado MP Planta'!$A$2:$M$823,13,0),"")</f>
        <v/>
      </c>
      <c r="E9" s="149" t="str">
        <f>IFERROR(VLOOKUP(H9,'[1]Consolidado MP Planta'!$A$2:$M$823,12,0),"")</f>
        <v/>
      </c>
      <c r="F9" s="149" t="str">
        <f t="shared" ref="F9:F14" si="2">IFERROR(C9*E9,"")</f>
        <v/>
      </c>
      <c r="G9" s="150" t="str">
        <f t="shared" si="0"/>
        <v/>
      </c>
      <c r="H9" s="151"/>
      <c r="I9" s="151"/>
      <c r="J9" s="152"/>
    </row>
    <row r="10" spans="1:10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0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0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0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0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0" ht="14.25" hidden="1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0" ht="26.25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x14ac:dyDescent="0.25">
      <c r="A17" s="147">
        <v>1000</v>
      </c>
      <c r="B17" s="135" t="s">
        <v>74</v>
      </c>
      <c r="C17" s="148">
        <f>+A17</f>
        <v>1000</v>
      </c>
      <c r="D17" s="148" t="s">
        <v>149</v>
      </c>
      <c r="E17" s="149">
        <f>+'costo chocolate con mani'!E69</f>
        <v>4.9259149999999998</v>
      </c>
      <c r="F17" s="149">
        <f>IFERROR(E17*C17,"")</f>
        <v>4925.915</v>
      </c>
      <c r="G17" s="150">
        <f t="shared" ref="G17:G24" si="3">IFERROR(F17/$F$66,"")</f>
        <v>0.8808014631748744</v>
      </c>
      <c r="H17" s="151"/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x14ac:dyDescent="0.25">
      <c r="A27" s="147">
        <v>1</v>
      </c>
      <c r="B27" s="153" t="s">
        <v>71</v>
      </c>
      <c r="C27" s="148">
        <f t="shared" ref="C27:C32" si="6">+A27</f>
        <v>1</v>
      </c>
      <c r="D27" s="149" t="s">
        <v>152</v>
      </c>
      <c r="E27" s="149">
        <v>2.13</v>
      </c>
      <c r="F27" s="149">
        <f t="shared" ref="F27:F32" si="7">IFERROR(C27*E27,"")</f>
        <v>2.13</v>
      </c>
      <c r="G27" s="150">
        <f t="shared" ref="G27:G32" si="8">IFERROR(F27/$F$66,"")</f>
        <v>3.8086469550580601E-4</v>
      </c>
      <c r="H27" s="154" t="s">
        <v>48</v>
      </c>
      <c r="I27" s="154"/>
      <c r="J27" s="152"/>
      <c r="K27" s="366"/>
      <c r="L27" s="366"/>
    </row>
    <row r="28" spans="1:12" ht="13.5" x14ac:dyDescent="0.25">
      <c r="A28" s="147">
        <v>1</v>
      </c>
      <c r="B28" s="153" t="s">
        <v>73</v>
      </c>
      <c r="C28" s="148">
        <f t="shared" si="6"/>
        <v>1</v>
      </c>
      <c r="D28" s="149" t="s">
        <v>152</v>
      </c>
      <c r="E28" s="149">
        <v>25</v>
      </c>
      <c r="F28" s="149">
        <f t="shared" si="7"/>
        <v>25</v>
      </c>
      <c r="G28" s="150">
        <f t="shared" si="8"/>
        <v>4.4702429049977236E-3</v>
      </c>
      <c r="H28" s="154" t="s">
        <v>72</v>
      </c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x14ac:dyDescent="0.25">
      <c r="A35" s="147">
        <f>+A17</f>
        <v>1000</v>
      </c>
      <c r="B35" s="153" t="s">
        <v>74</v>
      </c>
      <c r="C35" s="148">
        <f>+A35</f>
        <v>1000</v>
      </c>
      <c r="D35" s="149" t="s">
        <v>149</v>
      </c>
      <c r="E35" s="149">
        <f>+'costo chocolate con mani'!E76</f>
        <v>1.9739583333333332E-3</v>
      </c>
      <c r="F35" s="149">
        <f>IFERROR(E35*C35,"")</f>
        <v>1.9739583333333333</v>
      </c>
      <c r="G35" s="150">
        <f t="shared" ref="G35:G41" si="9">IFERROR(F35/$F$66,"")</f>
        <v>3.5296292937377852E-4</v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x14ac:dyDescent="0.25">
      <c r="A44" s="147">
        <f>+A35</f>
        <v>1000</v>
      </c>
      <c r="B44" s="153" t="s">
        <v>74</v>
      </c>
      <c r="C44" s="148">
        <f>+A44</f>
        <v>1000</v>
      </c>
      <c r="D44" s="149" t="s">
        <v>149</v>
      </c>
      <c r="E44" s="149">
        <f>+'costo chocolate con mani'!E44</f>
        <v>0.16041666666666668</v>
      </c>
      <c r="F44" s="149">
        <f>IFERROR(E44*C44,"")</f>
        <v>160.41666666666669</v>
      </c>
      <c r="G44" s="150">
        <f>IFERROR(F44/$F$66,"")</f>
        <v>2.868405864040206E-2</v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539</v>
      </c>
      <c r="F51" s="149">
        <f>IFERROR(C51*E51,"")</f>
        <v>539</v>
      </c>
      <c r="G51" s="150">
        <f>IFERROR(F51/$F$66,"")</f>
        <v>9.6378437031750905E-2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4925.915</v>
      </c>
      <c r="G53" s="150">
        <f>+F53/$F$66</f>
        <v>0.8808014631748744</v>
      </c>
      <c r="H53" s="162">
        <f>+F53/$D$60</f>
        <v>4925.915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29.103958333333331</v>
      </c>
      <c r="G54" s="150">
        <f>+F54/$F$66</f>
        <v>5.2040705298773077E-3</v>
      </c>
      <c r="H54" s="162">
        <f>+F54/$D$60</f>
        <v>29.103958333333331</v>
      </c>
      <c r="I54" s="162"/>
      <c r="J54" s="166"/>
      <c r="K54" s="377" t="s">
        <v>118</v>
      </c>
      <c r="L54" s="378"/>
      <c r="M54" s="378"/>
      <c r="N54" s="378"/>
      <c r="O54" s="167">
        <f>+F55</f>
        <v>4955.0189583333331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4955.0189583333331</v>
      </c>
      <c r="G55" s="150">
        <f>+F55/$F$66</f>
        <v>0.88600553370475166</v>
      </c>
      <c r="H55" s="162">
        <f>+F55/$D$60</f>
        <v>4955.0189583333331</v>
      </c>
      <c r="I55" s="162"/>
      <c r="J55" s="169"/>
      <c r="K55" s="170"/>
      <c r="M55" s="171" t="s">
        <v>120</v>
      </c>
      <c r="N55" s="172"/>
      <c r="O55" s="167">
        <f>+H56</f>
        <v>699.41666666666674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699.41666666666674</v>
      </c>
      <c r="G56" s="150">
        <f>+F56/$F$66</f>
        <v>0.125062495672153</v>
      </c>
      <c r="H56" s="162">
        <f>+F56/$D$60</f>
        <v>699.41666666666674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5654.4356250000001</v>
      </c>
      <c r="P57" s="181"/>
      <c r="Q57" s="168"/>
    </row>
    <row r="58" spans="1:17" x14ac:dyDescent="0.2">
      <c r="B58" s="379" t="s">
        <v>124</v>
      </c>
      <c r="C58" s="379"/>
      <c r="D58" s="182">
        <v>950</v>
      </c>
      <c r="E58" s="183"/>
      <c r="G58" s="150"/>
      <c r="H58" s="176">
        <f>+H56/77</f>
        <v>9.0833333333333339</v>
      </c>
      <c r="I58" s="184"/>
      <c r="J58" s="169"/>
      <c r="K58" s="177"/>
      <c r="L58" s="170"/>
      <c r="M58" s="170" t="s">
        <v>125</v>
      </c>
      <c r="N58" s="185"/>
      <c r="O58" s="167">
        <f>+H59</f>
        <v>753.91666666666674</v>
      </c>
      <c r="P58" s="167"/>
      <c r="Q58" s="168"/>
    </row>
    <row r="59" spans="1:17" x14ac:dyDescent="0.2">
      <c r="B59" s="379" t="s">
        <v>126</v>
      </c>
      <c r="C59" s="379"/>
      <c r="D59" s="186">
        <v>950</v>
      </c>
      <c r="E59" s="183"/>
      <c r="G59" s="150"/>
      <c r="H59" s="176">
        <f>+H58*83</f>
        <v>753.91666666666674</v>
      </c>
      <c r="I59" s="184"/>
      <c r="J59" s="169"/>
      <c r="K59" s="177"/>
      <c r="L59" s="170"/>
      <c r="M59" s="380" t="s">
        <v>123</v>
      </c>
      <c r="N59" s="380"/>
      <c r="O59" s="167">
        <f>SUM(O57:O58)</f>
        <v>6408.352291666667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6408.352291666667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6408.352291666667</v>
      </c>
      <c r="P62" s="195">
        <f>+O62/D59</f>
        <v>6.7456339912280709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4955.0189583333331</v>
      </c>
      <c r="G63" s="150">
        <f>+F63/$F$66</f>
        <v>0.88600553370475166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98.518299999999996</v>
      </c>
      <c r="G64" s="150">
        <f>+F64/$F$66</f>
        <v>1.7616029263497486E-2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7</v>
      </c>
      <c r="E65" s="205">
        <v>77</v>
      </c>
      <c r="F65" s="198">
        <f>+E65*D65</f>
        <v>539</v>
      </c>
      <c r="G65" s="150">
        <f>+F65/$F$66</f>
        <v>9.6378437031750905E-2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5592.5372583333328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4925.915</v>
      </c>
      <c r="D69" s="211">
        <f>+D58</f>
        <v>950</v>
      </c>
      <c r="E69" s="212">
        <f>+C69/D69</f>
        <v>5.1851736842105263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5053.5372583333328</v>
      </c>
      <c r="D71" s="211">
        <f>+D58</f>
        <v>950</v>
      </c>
      <c r="E71" s="216">
        <f>+C71/D71</f>
        <v>5.3195129035087714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539</v>
      </c>
      <c r="D73" s="211">
        <f>+D58</f>
        <v>950</v>
      </c>
      <c r="E73" s="216">
        <f>+C73/D73</f>
        <v>0.56736842105263163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699.41666666666674</v>
      </c>
      <c r="D74" s="211">
        <f>+D73</f>
        <v>950</v>
      </c>
      <c r="E74" s="212">
        <f>+C74/D74</f>
        <v>0.73622807017543868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29.103958333333331</v>
      </c>
      <c r="D76" s="211">
        <f>+D74</f>
        <v>950</v>
      </c>
      <c r="E76" s="212">
        <f>+C76/D76</f>
        <v>3.0635745614035086E-2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5.9214017543859647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4925.915</v>
      </c>
      <c r="D81" s="211">
        <f>+D60</f>
        <v>1</v>
      </c>
      <c r="E81" s="212">
        <f>+C81/D81</f>
        <v>4925.915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5053.5372583333328</v>
      </c>
      <c r="D83" s="211">
        <f>+D60</f>
        <v>1</v>
      </c>
      <c r="E83" s="216">
        <f>+C83/D83</f>
        <v>5053.5372583333328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539</v>
      </c>
      <c r="D85" s="211">
        <f>+D60</f>
        <v>1</v>
      </c>
      <c r="E85" s="216">
        <f>+C85/D85</f>
        <v>539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699.41666666666674</v>
      </c>
      <c r="D86" s="211">
        <f>+D85</f>
        <v>1</v>
      </c>
      <c r="E86" s="212">
        <f>+C86/D86</f>
        <v>699.41666666666674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2A5E-0DF2-4610-BBD7-678BEECD42EE}">
  <dimension ref="A1:Q91"/>
  <sheetViews>
    <sheetView workbookViewId="0">
      <selection activeCell="N7" sqref="N7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3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3" ht="30.75" customHeight="1" x14ac:dyDescent="0.25">
      <c r="A2" s="130"/>
      <c r="B2" s="130"/>
      <c r="C2" s="130"/>
      <c r="D2" s="130"/>
      <c r="E2" s="136">
        <f>IFERROR(O62,"")</f>
        <v>19367.670000000002</v>
      </c>
      <c r="F2" s="136">
        <f>IFERROR(H53,"")</f>
        <v>18567.670000000002</v>
      </c>
      <c r="G2" s="136">
        <f>IFERROR(H54,"")</f>
        <v>0</v>
      </c>
      <c r="H2" s="136">
        <f>IFERROR(H56,"")</f>
        <v>385</v>
      </c>
      <c r="I2" s="137"/>
    </row>
    <row r="3" spans="1:13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3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3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3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  <c r="M6" s="135">
        <v>2578</v>
      </c>
    </row>
    <row r="7" spans="1:13" ht="26.25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  <c r="M7" s="135">
        <v>455</v>
      </c>
    </row>
    <row r="8" spans="1:13" ht="13.5" x14ac:dyDescent="0.25">
      <c r="A8" s="147">
        <v>1414.5</v>
      </c>
      <c r="B8" s="135" t="s">
        <v>77</v>
      </c>
      <c r="C8" s="148">
        <f>+A8</f>
        <v>1414.5</v>
      </c>
      <c r="D8" s="149" t="s">
        <v>149</v>
      </c>
      <c r="E8" s="149">
        <v>4</v>
      </c>
      <c r="F8" s="149">
        <f>IFERROR(C8*E8,"")</f>
        <v>5658</v>
      </c>
      <c r="G8" s="150">
        <f t="shared" ref="G8:G14" si="0">IFERROR(F8/$F$66,"")</f>
        <v>0.29279616790362611</v>
      </c>
      <c r="H8" s="151" t="s">
        <v>76</v>
      </c>
      <c r="I8" s="151"/>
      <c r="J8" s="152"/>
      <c r="M8" s="135">
        <f>+M6/M7</f>
        <v>5.6659340659340662</v>
      </c>
    </row>
    <row r="9" spans="1:13" ht="13.5" x14ac:dyDescent="0.25">
      <c r="A9" s="147">
        <v>2357.5</v>
      </c>
      <c r="B9" s="135" t="s">
        <v>78</v>
      </c>
      <c r="C9" s="148">
        <f t="shared" ref="C9:C14" si="1">+A9</f>
        <v>2357.5</v>
      </c>
      <c r="D9" s="149" t="s">
        <v>149</v>
      </c>
      <c r="E9" s="149">
        <v>2.08</v>
      </c>
      <c r="F9" s="149">
        <f t="shared" ref="F9:F14" si="2">IFERROR(C9*E9,"")</f>
        <v>4903.6000000000004</v>
      </c>
      <c r="G9" s="150">
        <f t="shared" si="0"/>
        <v>0.25375667884980929</v>
      </c>
      <c r="H9" s="151" t="s">
        <v>66</v>
      </c>
      <c r="I9" s="151"/>
      <c r="J9" s="152"/>
    </row>
    <row r="10" spans="1:13" ht="14.25" thickBot="1" x14ac:dyDescent="0.3">
      <c r="A10" s="147">
        <v>1414.5</v>
      </c>
      <c r="B10" s="135" t="s">
        <v>79</v>
      </c>
      <c r="C10" s="148">
        <f t="shared" si="1"/>
        <v>1414.5</v>
      </c>
      <c r="D10" s="149" t="s">
        <v>149</v>
      </c>
      <c r="E10" s="149">
        <v>5.66</v>
      </c>
      <c r="F10" s="149">
        <f t="shared" si="2"/>
        <v>8006.0700000000006</v>
      </c>
      <c r="G10" s="150">
        <f t="shared" si="0"/>
        <v>0.41430657758363093</v>
      </c>
      <c r="H10" s="151" t="s">
        <v>47</v>
      </c>
      <c r="I10" s="151"/>
      <c r="J10" s="152"/>
    </row>
    <row r="11" spans="1:13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3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3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3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3" ht="14.25" hidden="1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3" ht="26.25" hidden="1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hidden="1" x14ac:dyDescent="0.25">
      <c r="A17" s="147"/>
      <c r="B17" s="135" t="str">
        <f>IFERROR(VLOOKUP(H17,[1]SEMIELABORADOS!$A$2:$M$6000,2,0),"")</f>
        <v/>
      </c>
      <c r="C17" s="148">
        <f>+A17</f>
        <v>0</v>
      </c>
      <c r="D17" s="148" t="str">
        <f>IFERROR(VLOOKUP(H17,[1]SEMIELABORADOS!$A$2:$M$6000,6,0),"")</f>
        <v/>
      </c>
      <c r="E17" s="149" t="str">
        <f>IFERROR(VLOOKUP(H17,[1]SEMIELABORADOS!$A$2:$H$65536,8,0),"")</f>
        <v/>
      </c>
      <c r="F17" s="149" t="str">
        <f>IFERROR(E17*C17,"")</f>
        <v/>
      </c>
      <c r="G17" s="150" t="str">
        <f t="shared" ref="G17:G24" si="3">IFERROR(F17/$F$66,"")</f>
        <v/>
      </c>
      <c r="H17" s="151"/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hidden="1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hidden="1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hidden="1" x14ac:dyDescent="0.25">
      <c r="A27" s="147">
        <v>0</v>
      </c>
      <c r="B27" s="153" t="str">
        <f>IFERROR(VLOOKUP(H27,'[1]Consolidado MP Planta'!$A$2:$M$823,3,0),"")</f>
        <v/>
      </c>
      <c r="C27" s="148">
        <f t="shared" ref="C27:C32" si="6">+A27</f>
        <v>0</v>
      </c>
      <c r="D27" s="149" t="str">
        <f>IFERROR(VLOOKUP(H27,'[1]Consolidado MP Planta'!$A$2:$M$823,13,0),"")</f>
        <v/>
      </c>
      <c r="E27" s="149" t="str">
        <f>IFERROR(VLOOKUP(H27,'[1]Consolidado MP Planta'!$A$2:$M$823,12,0),"")</f>
        <v/>
      </c>
      <c r="F27" s="149" t="str">
        <f t="shared" ref="F27:F32" si="7">IFERROR(C27*E27,"")</f>
        <v/>
      </c>
      <c r="G27" s="150" t="str">
        <f t="shared" ref="G27:G32" si="8">IFERROR(F27/$F$66,"")</f>
        <v/>
      </c>
      <c r="H27" s="154"/>
      <c r="I27" s="154"/>
      <c r="J27" s="152"/>
      <c r="K27" s="366"/>
      <c r="L27" s="366"/>
    </row>
    <row r="28" spans="1:12" ht="13.5" hidden="1" x14ac:dyDescent="0.25">
      <c r="A28" s="147"/>
      <c r="B28" s="153" t="str">
        <f>IFERROR(VLOOKUP(H28,'[1]Consolidado MP Planta'!$A$2:$M$823,3,0),"")</f>
        <v/>
      </c>
      <c r="C28" s="148">
        <f t="shared" si="6"/>
        <v>0</v>
      </c>
      <c r="D28" s="149" t="str">
        <f>IFERROR(VLOOKUP(H28,'[1]Consolidado MP Planta'!$A$2:$M$823,13,0),"")</f>
        <v/>
      </c>
      <c r="E28" s="149" t="str">
        <f>IFERROR(VLOOKUP(H28,'[1]Consolidado MP Planta'!$A$2:$M$823,12,0),"")</f>
        <v/>
      </c>
      <c r="F28" s="149" t="str">
        <f t="shared" si="7"/>
        <v/>
      </c>
      <c r="G28" s="150" t="str">
        <f t="shared" si="8"/>
        <v/>
      </c>
      <c r="H28" s="154"/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hidden="1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hidden="1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hidden="1" x14ac:dyDescent="0.25">
      <c r="A35" s="147">
        <f>+A17</f>
        <v>0</v>
      </c>
      <c r="B35" s="153" t="str">
        <f>IFERROR(VLOOKUP(H35,[1]SEMIELABORADOS!$A$2:$M$6000,2,0),"")</f>
        <v/>
      </c>
      <c r="C35" s="148">
        <f>+A35</f>
        <v>0</v>
      </c>
      <c r="D35" s="149" t="str">
        <f>IFERROR(VLOOKUP(H35,[1]SEMIELABORADOS!$A$2:$M$6000,6,0),"")</f>
        <v/>
      </c>
      <c r="E35" s="149" t="str">
        <f>IFERROR(VLOOKUP(H35,[1]SEMIELABORADOS!$A$2:$M$65536,10,0),"")</f>
        <v/>
      </c>
      <c r="F35" s="149" t="str">
        <f>IFERROR(E35*C35,"")</f>
        <v/>
      </c>
      <c r="G35" s="150" t="str">
        <f t="shared" ref="G35:G41" si="9">IFERROR(F35/$F$66,"")</f>
        <v/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hidden="1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hidden="1" x14ac:dyDescent="0.25">
      <c r="A44" s="147">
        <f>+A35</f>
        <v>0</v>
      </c>
      <c r="B44" s="153" t="str">
        <f>IFERROR(VLOOKUP(H44,[1]SEMIELABORADOS!$A$2:$M$6000,2,0),"")</f>
        <v/>
      </c>
      <c r="C44" s="148">
        <f>+A44</f>
        <v>0</v>
      </c>
      <c r="D44" s="149" t="str">
        <f>IFERROR(VLOOKUP(H44,[1]SEMIELABORADOS!$A$2:$M$6000,6,0),"")</f>
        <v/>
      </c>
      <c r="E44" s="149" t="str">
        <f>IFERROR(VLOOKUP(H44,[1]SEMIELABORADOS!$A$2:$M$65536,12,0),"")</f>
        <v/>
      </c>
      <c r="F44" s="149" t="str">
        <f>IFERROR(E44*C44,"")</f>
        <v/>
      </c>
      <c r="G44" s="150" t="str">
        <f>IFERROR(F44/$F$66,"")</f>
        <v/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385</v>
      </c>
      <c r="F51" s="149">
        <f>IFERROR(C51*E51,"")</f>
        <v>385</v>
      </c>
      <c r="G51" s="150">
        <f>IFERROR(F51/$F$66,"")</f>
        <v>1.9923387176192301E-2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18567.670000000002</v>
      </c>
      <c r="G53" s="150">
        <f>+F53/$F$66</f>
        <v>0.96085942433706639</v>
      </c>
      <c r="H53" s="162">
        <f>+F53/$D$60</f>
        <v>18567.670000000002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0</v>
      </c>
      <c r="G54" s="150">
        <f>+F54/$F$66</f>
        <v>0</v>
      </c>
      <c r="H54" s="162">
        <f>+F54/$D$60</f>
        <v>0</v>
      </c>
      <c r="I54" s="162"/>
      <c r="J54" s="166"/>
      <c r="K54" s="377" t="s">
        <v>118</v>
      </c>
      <c r="L54" s="378"/>
      <c r="M54" s="378"/>
      <c r="N54" s="378"/>
      <c r="O54" s="167">
        <f>+F55</f>
        <v>18567.670000000002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18567.670000000002</v>
      </c>
      <c r="G55" s="150">
        <f>+F55/$F$66</f>
        <v>0.96085942433706639</v>
      </c>
      <c r="H55" s="162">
        <f>+F55/$D$60</f>
        <v>18567.670000000002</v>
      </c>
      <c r="I55" s="162"/>
      <c r="J55" s="169"/>
      <c r="K55" s="170"/>
      <c r="M55" s="171" t="s">
        <v>120</v>
      </c>
      <c r="N55" s="172"/>
      <c r="O55" s="167">
        <f>+H56</f>
        <v>385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385</v>
      </c>
      <c r="G56" s="150">
        <f>+F56/$F$66</f>
        <v>1.9923387176192301E-2</v>
      </c>
      <c r="H56" s="162">
        <f>+F56/$D$60</f>
        <v>385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18952.670000000002</v>
      </c>
      <c r="P57" s="181"/>
      <c r="Q57" s="168"/>
    </row>
    <row r="58" spans="1:17" x14ac:dyDescent="0.2">
      <c r="B58" s="379" t="s">
        <v>124</v>
      </c>
      <c r="C58" s="379"/>
      <c r="D58" s="182">
        <v>5000</v>
      </c>
      <c r="E58" s="183"/>
      <c r="G58" s="150"/>
      <c r="H58" s="176">
        <f>+H56/77</f>
        <v>5</v>
      </c>
      <c r="I58" s="184"/>
      <c r="J58" s="169"/>
      <c r="K58" s="177"/>
      <c r="L58" s="170"/>
      <c r="M58" s="170" t="s">
        <v>125</v>
      </c>
      <c r="N58" s="185"/>
      <c r="O58" s="167">
        <f>+H59</f>
        <v>415</v>
      </c>
      <c r="P58" s="167"/>
      <c r="Q58" s="168"/>
    </row>
    <row r="59" spans="1:17" x14ac:dyDescent="0.2">
      <c r="B59" s="379" t="s">
        <v>126</v>
      </c>
      <c r="C59" s="379"/>
      <c r="D59" s="186">
        <v>5000</v>
      </c>
      <c r="E59" s="183"/>
      <c r="G59" s="150"/>
      <c r="H59" s="176">
        <f>+H58*83</f>
        <v>415</v>
      </c>
      <c r="I59" s="184"/>
      <c r="J59" s="169"/>
      <c r="K59" s="177"/>
      <c r="L59" s="170"/>
      <c r="M59" s="380" t="s">
        <v>123</v>
      </c>
      <c r="N59" s="380"/>
      <c r="O59" s="167">
        <f>SUM(O57:O58)</f>
        <v>19367.670000000002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19367.670000000002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19367.670000000002</v>
      </c>
      <c r="P62" s="195">
        <f>+O62/D59</f>
        <v>3.8735340000000003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18567.670000000002</v>
      </c>
      <c r="G63" s="150">
        <f>+F63/$F$66</f>
        <v>0.96085942433706639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371.35340000000002</v>
      </c>
      <c r="G64" s="150">
        <f>+F64/$F$66</f>
        <v>1.9217188486741327E-2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5</v>
      </c>
      <c r="E65" s="205">
        <v>77</v>
      </c>
      <c r="F65" s="198">
        <f>+E65*D65</f>
        <v>385</v>
      </c>
      <c r="G65" s="150">
        <f>+F65/$F$66</f>
        <v>1.9923387176192301E-2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19324.023400000002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18567.670000000002</v>
      </c>
      <c r="D69" s="211">
        <f>+D58</f>
        <v>5000</v>
      </c>
      <c r="E69" s="212">
        <f>+C69/D69</f>
        <v>3.7135340000000006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18939.023400000002</v>
      </c>
      <c r="D71" s="211">
        <f>+D58</f>
        <v>5000</v>
      </c>
      <c r="E71" s="216">
        <f>+C71/D71</f>
        <v>3.7878046800000003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385</v>
      </c>
      <c r="D73" s="211">
        <f>+D58</f>
        <v>5000</v>
      </c>
      <c r="E73" s="216">
        <f>+C73/D73</f>
        <v>7.6999999999999999E-2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385</v>
      </c>
      <c r="D74" s="211">
        <f>+D73</f>
        <v>5000</v>
      </c>
      <c r="E74" s="212">
        <f>+C74/D74</f>
        <v>7.6999999999999999E-2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0</v>
      </c>
      <c r="D76" s="211">
        <f>+D74</f>
        <v>5000</v>
      </c>
      <c r="E76" s="212">
        <f>+C76/D76</f>
        <v>0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3.7905340000000005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18567.670000000002</v>
      </c>
      <c r="D81" s="211">
        <f>+D60</f>
        <v>1</v>
      </c>
      <c r="E81" s="212">
        <f>+C81/D81</f>
        <v>18567.670000000002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18939.023400000002</v>
      </c>
      <c r="D83" s="211">
        <f>+D60</f>
        <v>1</v>
      </c>
      <c r="E83" s="216">
        <f>+C83/D83</f>
        <v>18939.023400000002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385</v>
      </c>
      <c r="D85" s="211">
        <f>+D60</f>
        <v>1</v>
      </c>
      <c r="E85" s="216">
        <f>+C85/D85</f>
        <v>385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385</v>
      </c>
      <c r="D86" s="211">
        <f>+D85</f>
        <v>1</v>
      </c>
      <c r="E86" s="212">
        <f>+C86/D86</f>
        <v>385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A1D4-2567-41BD-82E9-EB8147F3A491}">
  <sheetPr>
    <pageSetUpPr fitToPage="1"/>
  </sheetPr>
  <dimension ref="A1:K30"/>
  <sheetViews>
    <sheetView tabSelected="1" zoomScale="83" zoomScaleNormal="83" workbookViewId="0">
      <selection activeCell="C1" sqref="C1:G1"/>
    </sheetView>
  </sheetViews>
  <sheetFormatPr baseColWidth="10" defaultRowHeight="15" x14ac:dyDescent="0.25"/>
  <cols>
    <col min="1" max="1" width="17.140625" customWidth="1"/>
    <col min="2" max="2" width="15.85546875" customWidth="1"/>
    <col min="3" max="3" width="46.28515625" customWidth="1"/>
    <col min="4" max="4" width="29.85546875" bestFit="1" customWidth="1"/>
    <col min="5" max="5" width="15.7109375" customWidth="1"/>
    <col min="6" max="6" width="17.28515625" customWidth="1"/>
    <col min="7" max="7" width="17.7109375" customWidth="1"/>
    <col min="8" max="8" width="18" customWidth="1"/>
    <col min="9" max="9" width="20.140625" customWidth="1"/>
  </cols>
  <sheetData>
    <row r="1" spans="1:10" ht="17.25" x14ac:dyDescent="0.3">
      <c r="A1" s="352"/>
      <c r="B1" s="353"/>
      <c r="C1" s="358" t="s">
        <v>30</v>
      </c>
      <c r="D1" s="358"/>
      <c r="E1" s="358"/>
      <c r="F1" s="358"/>
      <c r="G1" s="358"/>
      <c r="H1" s="5" t="s">
        <v>29</v>
      </c>
      <c r="I1" s="6" t="s">
        <v>164</v>
      </c>
    </row>
    <row r="2" spans="1:10" ht="18" thickBot="1" x14ac:dyDescent="0.35">
      <c r="A2" s="354"/>
      <c r="B2" s="355"/>
      <c r="C2" s="359" t="s">
        <v>28</v>
      </c>
      <c r="D2" s="359"/>
      <c r="E2" s="359"/>
      <c r="F2" s="359"/>
      <c r="G2" s="359"/>
      <c r="H2" s="7" t="s">
        <v>27</v>
      </c>
      <c r="I2" s="8" t="s">
        <v>162</v>
      </c>
    </row>
    <row r="3" spans="1:10" ht="28.5" customHeight="1" thickBot="1" x14ac:dyDescent="0.3">
      <c r="A3" s="354"/>
      <c r="B3" s="355"/>
      <c r="C3" s="431" t="s">
        <v>160</v>
      </c>
      <c r="D3" s="432"/>
      <c r="E3" s="432"/>
      <c r="F3" s="432"/>
      <c r="G3" s="433"/>
      <c r="H3" s="363" t="s">
        <v>26</v>
      </c>
      <c r="I3" s="343">
        <v>46066</v>
      </c>
    </row>
    <row r="4" spans="1:10" ht="17.25" x14ac:dyDescent="0.3">
      <c r="A4" s="354"/>
      <c r="B4" s="355"/>
      <c r="C4" s="9" t="s">
        <v>25</v>
      </c>
      <c r="D4" s="346" t="s">
        <v>35</v>
      </c>
      <c r="E4" s="347"/>
      <c r="F4" s="347"/>
      <c r="G4" s="348"/>
      <c r="H4" s="364"/>
      <c r="I4" s="344"/>
    </row>
    <row r="5" spans="1:10" ht="18" thickBot="1" x14ac:dyDescent="0.35">
      <c r="A5" s="356"/>
      <c r="B5" s="357"/>
      <c r="C5" s="10" t="s">
        <v>24</v>
      </c>
      <c r="D5" s="349" t="s">
        <v>37</v>
      </c>
      <c r="E5" s="350"/>
      <c r="F5" s="350"/>
      <c r="G5" s="351"/>
      <c r="H5" s="365"/>
      <c r="I5" s="345"/>
    </row>
    <row r="6" spans="1:10" ht="16.5" thickBot="1" x14ac:dyDescent="0.3">
      <c r="A6" s="341" t="s">
        <v>23</v>
      </c>
      <c r="B6" s="341"/>
      <c r="C6" s="341"/>
      <c r="D6" s="342" t="s">
        <v>163</v>
      </c>
      <c r="E6" s="342"/>
      <c r="F6" s="342"/>
      <c r="G6" s="333" t="s">
        <v>22</v>
      </c>
      <c r="H6" s="333"/>
      <c r="I6" s="11" t="s">
        <v>163</v>
      </c>
    </row>
    <row r="7" spans="1:10" ht="33" customHeight="1" x14ac:dyDescent="0.25">
      <c r="A7" s="334" t="s">
        <v>21</v>
      </c>
      <c r="B7" s="336" t="s">
        <v>31</v>
      </c>
      <c r="C7" s="338" t="s">
        <v>20</v>
      </c>
      <c r="D7" s="338" t="s">
        <v>19</v>
      </c>
      <c r="E7" s="338" t="s">
        <v>18</v>
      </c>
      <c r="F7" s="338"/>
      <c r="G7" s="338" t="s">
        <v>17</v>
      </c>
      <c r="H7" s="338"/>
      <c r="I7" s="12" t="s">
        <v>16</v>
      </c>
    </row>
    <row r="8" spans="1:10" ht="31.5" thickBot="1" x14ac:dyDescent="0.3">
      <c r="A8" s="335"/>
      <c r="B8" s="337"/>
      <c r="C8" s="339"/>
      <c r="D8" s="340"/>
      <c r="E8" s="13" t="s">
        <v>13</v>
      </c>
      <c r="F8" s="14" t="s">
        <v>15</v>
      </c>
      <c r="G8" s="13" t="s">
        <v>13</v>
      </c>
      <c r="H8" s="14" t="s">
        <v>15</v>
      </c>
      <c r="I8" s="15" t="s">
        <v>14</v>
      </c>
    </row>
    <row r="9" spans="1:10" ht="20.25" x14ac:dyDescent="0.3">
      <c r="A9" s="237"/>
      <c r="B9" s="238"/>
      <c r="C9" s="239" t="s">
        <v>32</v>
      </c>
      <c r="D9" s="238"/>
      <c r="E9" s="240"/>
      <c r="F9" s="241"/>
      <c r="G9" s="240"/>
      <c r="H9" s="241"/>
      <c r="I9" s="242"/>
    </row>
    <row r="10" spans="1:10" ht="20.25" x14ac:dyDescent="0.3">
      <c r="A10" s="243"/>
      <c r="B10" s="235" t="s">
        <v>161</v>
      </c>
      <c r="C10" s="244" t="s">
        <v>97</v>
      </c>
      <c r="D10" s="245" t="s">
        <v>70</v>
      </c>
      <c r="E10" s="246">
        <v>5000</v>
      </c>
      <c r="F10" s="247"/>
      <c r="G10" s="248"/>
      <c r="H10" s="249"/>
      <c r="I10" s="236"/>
    </row>
    <row r="11" spans="1:10" ht="20.25" x14ac:dyDescent="0.3">
      <c r="A11" s="253"/>
      <c r="B11" s="236"/>
      <c r="C11" s="254"/>
      <c r="D11" s="250"/>
      <c r="E11" s="235"/>
      <c r="F11" s="255"/>
      <c r="G11" s="252"/>
      <c r="H11" s="235"/>
      <c r="I11" s="236"/>
    </row>
    <row r="12" spans="1:10" ht="20.25" x14ac:dyDescent="0.3">
      <c r="A12" s="236"/>
      <c r="B12" s="236"/>
      <c r="C12" s="256" t="s">
        <v>46</v>
      </c>
      <c r="D12" s="235"/>
      <c r="E12" s="244"/>
      <c r="F12" s="235"/>
      <c r="G12" s="257"/>
      <c r="H12" s="235"/>
      <c r="I12" s="236"/>
    </row>
    <row r="13" spans="1:10" ht="20.25" x14ac:dyDescent="0.3">
      <c r="A13" s="244"/>
      <c r="B13" s="258"/>
      <c r="C13" s="259"/>
      <c r="D13" s="245"/>
      <c r="E13" s="258"/>
      <c r="F13" s="260"/>
      <c r="G13" s="240"/>
      <c r="H13" s="241"/>
      <c r="I13" s="242"/>
    </row>
    <row r="14" spans="1:10" ht="20.25" x14ac:dyDescent="0.3">
      <c r="A14" s="236"/>
      <c r="B14" s="236"/>
      <c r="C14" s="256" t="s">
        <v>34</v>
      </c>
      <c r="D14" s="244"/>
      <c r="E14" s="244"/>
      <c r="F14" s="235"/>
      <c r="G14" s="257"/>
      <c r="H14" s="235"/>
      <c r="I14" s="242"/>
    </row>
    <row r="15" spans="1:10" ht="20.25" x14ac:dyDescent="0.3">
      <c r="A15" s="246"/>
      <c r="B15" s="235" t="s">
        <v>80</v>
      </c>
      <c r="C15" s="244" t="s">
        <v>81</v>
      </c>
      <c r="D15" s="261"/>
      <c r="E15" s="262"/>
      <c r="F15" s="262"/>
      <c r="G15" s="257"/>
      <c r="H15" s="235"/>
      <c r="I15" s="242"/>
    </row>
    <row r="16" spans="1:10" ht="20.25" x14ac:dyDescent="0.3">
      <c r="A16" s="263"/>
      <c r="B16" s="264"/>
      <c r="C16" s="265"/>
      <c r="D16" s="236"/>
      <c r="E16" s="236"/>
      <c r="F16" s="266"/>
      <c r="G16" s="236"/>
      <c r="H16" s="236"/>
      <c r="I16" s="242"/>
      <c r="J16" s="98"/>
    </row>
    <row r="17" spans="1:11" ht="21" thickBot="1" x14ac:dyDescent="0.35">
      <c r="A17" s="267"/>
      <c r="B17" s="268"/>
      <c r="C17" s="251"/>
      <c r="D17" s="251"/>
      <c r="E17" s="269"/>
      <c r="F17" s="270"/>
      <c r="G17" s="251"/>
      <c r="H17" s="251"/>
      <c r="I17" s="271"/>
      <c r="K17" s="98"/>
    </row>
    <row r="18" spans="1:11" ht="21" thickBot="1" x14ac:dyDescent="0.35">
      <c r="A18" s="272"/>
      <c r="B18" s="273"/>
      <c r="C18" s="274"/>
      <c r="D18" s="275" t="s">
        <v>13</v>
      </c>
      <c r="E18" s="276" t="s">
        <v>12</v>
      </c>
      <c r="F18" s="277"/>
      <c r="G18" s="274"/>
      <c r="H18" s="274"/>
      <c r="I18" s="278"/>
    </row>
    <row r="19" spans="1:11" ht="20.25" x14ac:dyDescent="0.3">
      <c r="A19" s="425" t="s">
        <v>11</v>
      </c>
      <c r="B19" s="426"/>
      <c r="C19" s="427"/>
      <c r="D19" s="279">
        <v>4800</v>
      </c>
      <c r="E19" s="280" t="s">
        <v>1</v>
      </c>
      <c r="F19" s="428" t="s">
        <v>10</v>
      </c>
      <c r="G19" s="428"/>
      <c r="H19" s="429"/>
      <c r="I19" s="430"/>
      <c r="J19">
        <f>5000/530</f>
        <v>9.433962264150944</v>
      </c>
    </row>
    <row r="20" spans="1:11" ht="20.25" x14ac:dyDescent="0.3">
      <c r="A20" s="405" t="s">
        <v>9</v>
      </c>
      <c r="B20" s="406"/>
      <c r="C20" s="407"/>
      <c r="D20" s="250">
        <v>10</v>
      </c>
      <c r="E20" s="250" t="s">
        <v>8</v>
      </c>
      <c r="F20" s="408" t="s">
        <v>7</v>
      </c>
      <c r="G20" s="408"/>
      <c r="H20" s="409"/>
      <c r="I20" s="410"/>
    </row>
    <row r="21" spans="1:11" ht="20.25" x14ac:dyDescent="0.3">
      <c r="A21" s="405" t="s">
        <v>6</v>
      </c>
      <c r="B21" s="406"/>
      <c r="C21" s="407"/>
      <c r="D21" s="250">
        <v>1</v>
      </c>
      <c r="E21" s="250" t="s">
        <v>68</v>
      </c>
      <c r="F21" s="408" t="s">
        <v>5</v>
      </c>
      <c r="G21" s="408"/>
      <c r="H21" s="409"/>
      <c r="I21" s="410"/>
    </row>
    <row r="22" spans="1:11" ht="20.25" x14ac:dyDescent="0.3">
      <c r="A22" s="405" t="s">
        <v>4</v>
      </c>
      <c r="B22" s="406"/>
      <c r="C22" s="407"/>
      <c r="D22" s="250">
        <v>4800</v>
      </c>
      <c r="E22" s="250" t="s">
        <v>1</v>
      </c>
      <c r="F22" s="411" t="s">
        <v>3</v>
      </c>
      <c r="G22" s="412"/>
      <c r="H22" s="409"/>
      <c r="I22" s="410"/>
    </row>
    <row r="23" spans="1:11" ht="21" thickBot="1" x14ac:dyDescent="0.35">
      <c r="A23" s="413" t="s">
        <v>2</v>
      </c>
      <c r="B23" s="414"/>
      <c r="C23" s="415"/>
      <c r="D23" s="281">
        <f>SUM(E10:E10)-D19</f>
        <v>200</v>
      </c>
      <c r="E23" s="282" t="s">
        <v>1</v>
      </c>
      <c r="F23" s="416"/>
      <c r="G23" s="416"/>
      <c r="H23" s="417"/>
      <c r="I23" s="418"/>
    </row>
    <row r="24" spans="1:11" ht="21" thickBot="1" x14ac:dyDescent="0.35">
      <c r="A24" s="419" t="s">
        <v>0</v>
      </c>
      <c r="B24" s="420"/>
      <c r="C24" s="420"/>
      <c r="D24" s="420"/>
      <c r="E24" s="420"/>
      <c r="F24" s="420"/>
      <c r="G24" s="420"/>
      <c r="H24" s="420"/>
      <c r="I24" s="421"/>
    </row>
    <row r="25" spans="1:11" ht="20.25" x14ac:dyDescent="0.3">
      <c r="A25" s="422" t="s">
        <v>83</v>
      </c>
      <c r="B25" s="423"/>
      <c r="C25" s="423"/>
      <c r="D25" s="423"/>
      <c r="E25" s="423"/>
      <c r="F25" s="423"/>
      <c r="G25" s="423"/>
      <c r="H25" s="423"/>
      <c r="I25" s="424"/>
    </row>
    <row r="26" spans="1:11" ht="20.25" x14ac:dyDescent="0.3">
      <c r="A26" s="402" t="s">
        <v>82</v>
      </c>
      <c r="B26" s="403"/>
      <c r="C26" s="403"/>
      <c r="D26" s="403"/>
      <c r="E26" s="403"/>
      <c r="F26" s="403"/>
      <c r="G26" s="403"/>
      <c r="H26" s="403"/>
      <c r="I26" s="404"/>
    </row>
    <row r="27" spans="1:11" ht="20.25" x14ac:dyDescent="0.3">
      <c r="A27" s="398"/>
      <c r="B27" s="399"/>
      <c r="C27" s="399"/>
      <c r="D27" s="399"/>
      <c r="E27" s="399"/>
      <c r="F27" s="399"/>
      <c r="G27" s="399"/>
      <c r="H27" s="399"/>
      <c r="I27" s="400"/>
    </row>
    <row r="28" spans="1:11" ht="20.25" x14ac:dyDescent="0.3">
      <c r="A28" s="401" t="s">
        <v>33</v>
      </c>
      <c r="B28" s="401"/>
      <c r="C28" s="401"/>
      <c r="D28" s="401"/>
      <c r="E28" s="401"/>
      <c r="F28" s="401"/>
      <c r="G28" s="401"/>
      <c r="H28" s="401"/>
      <c r="I28" s="401"/>
    </row>
    <row r="29" spans="1:11" ht="20.25" x14ac:dyDescent="0.3">
      <c r="A29" s="397"/>
      <c r="B29" s="397"/>
      <c r="C29" s="397"/>
      <c r="D29" s="397"/>
      <c r="E29" s="397"/>
      <c r="F29" s="397"/>
      <c r="G29" s="397"/>
      <c r="H29" s="397"/>
      <c r="I29" s="397"/>
    </row>
    <row r="30" spans="1:11" ht="20.25" x14ac:dyDescent="0.3">
      <c r="A30" s="397"/>
      <c r="B30" s="397"/>
      <c r="C30" s="397"/>
      <c r="D30" s="397"/>
      <c r="E30" s="397"/>
      <c r="F30" s="397"/>
      <c r="G30" s="397"/>
      <c r="H30" s="397"/>
      <c r="I30" s="397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20:C20"/>
    <mergeCell ref="F20:G20"/>
    <mergeCell ref="H20:I20"/>
    <mergeCell ref="A23:C23"/>
    <mergeCell ref="F23:G23"/>
    <mergeCell ref="H23:I23"/>
    <mergeCell ref="A24:I24"/>
    <mergeCell ref="A25:I25"/>
    <mergeCell ref="A21:C21"/>
    <mergeCell ref="F21:G21"/>
    <mergeCell ref="H21:I21"/>
    <mergeCell ref="A22:C22"/>
    <mergeCell ref="F22:G22"/>
    <mergeCell ref="H22:I22"/>
    <mergeCell ref="A30:I30"/>
    <mergeCell ref="A27:I27"/>
    <mergeCell ref="A28:I28"/>
    <mergeCell ref="A29:I29"/>
    <mergeCell ref="A26:I26"/>
  </mergeCells>
  <pageMargins left="0.25" right="0.25" top="0.75" bottom="0.75" header="0.3" footer="0.3"/>
  <pageSetup scale="5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1E09-110F-41FD-96B4-DE97BBD866EE}">
  <dimension ref="A1:Q91"/>
  <sheetViews>
    <sheetView topLeftCell="A68" workbookViewId="0">
      <selection activeCell="B66" sqref="B66:E66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3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3" ht="30.75" customHeight="1" x14ac:dyDescent="0.25">
      <c r="A2" s="130"/>
      <c r="B2" s="130"/>
      <c r="C2" s="130"/>
      <c r="D2" s="130"/>
      <c r="E2" s="136">
        <f>IFERROR(O62,"")</f>
        <v>14225</v>
      </c>
      <c r="F2" s="136">
        <f>IFERROR(H53,"")</f>
        <v>12600</v>
      </c>
      <c r="G2" s="136">
        <f>IFERROR(H54,"")</f>
        <v>25</v>
      </c>
      <c r="H2" s="136">
        <f>IFERROR(H56,"")</f>
        <v>770</v>
      </c>
      <c r="I2" s="137"/>
    </row>
    <row r="3" spans="1:13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3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3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3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3" ht="26.25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3" ht="13.5" x14ac:dyDescent="0.25">
      <c r="A8" s="147">
        <v>5000</v>
      </c>
      <c r="B8" s="135" t="s">
        <v>97</v>
      </c>
      <c r="C8" s="148">
        <f>+A8</f>
        <v>5000</v>
      </c>
      <c r="D8" s="149" t="s">
        <v>149</v>
      </c>
      <c r="E8" s="149">
        <v>2.52</v>
      </c>
      <c r="F8" s="149">
        <f>IFERROR(C8*E8,"")</f>
        <v>12600</v>
      </c>
      <c r="G8" s="150">
        <f t="shared" ref="G8:G14" si="0">IFERROR(F8/$F$66,"")</f>
        <v>0.92327984172345567</v>
      </c>
      <c r="H8" s="151"/>
      <c r="I8" s="151"/>
      <c r="J8" s="152"/>
    </row>
    <row r="9" spans="1:13" ht="14.25" thickBot="1" x14ac:dyDescent="0.3">
      <c r="A9" s="147"/>
      <c r="B9" s="135" t="str">
        <f>IFERROR(VLOOKUP(H9,'[1]Consolidado MP Planta'!$A$2:$M$823,3,0),"")</f>
        <v/>
      </c>
      <c r="C9" s="148">
        <f t="shared" ref="C9:C14" si="1">+A9</f>
        <v>0</v>
      </c>
      <c r="D9" s="149" t="str">
        <f>IFERROR(VLOOKUP(H9,'[1]Consolidado MP Planta'!$A$2:$M$823,13,0),"")</f>
        <v/>
      </c>
      <c r="E9" s="149" t="str">
        <f>IFERROR(VLOOKUP(H9,'[1]Consolidado MP Planta'!$A$2:$M$823,12,0),"")</f>
        <v/>
      </c>
      <c r="F9" s="149" t="str">
        <f t="shared" ref="F9:F14" si="2">IFERROR(C9*E9,"")</f>
        <v/>
      </c>
      <c r="G9" s="150" t="str">
        <f t="shared" si="0"/>
        <v/>
      </c>
      <c r="H9" s="151"/>
      <c r="I9" s="151"/>
      <c r="J9" s="152"/>
      <c r="M9" s="135">
        <f>503*5</f>
        <v>2515</v>
      </c>
    </row>
    <row r="10" spans="1:13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3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3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3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3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3" ht="14.25" hidden="1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3" ht="26.25" hidden="1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hidden="1" x14ac:dyDescent="0.25">
      <c r="A17" s="147"/>
      <c r="B17" s="135" t="str">
        <f>IFERROR(VLOOKUP(H17,[1]SEMIELABORADOS!$A$2:$M$6000,2,0),"")</f>
        <v/>
      </c>
      <c r="C17" s="148">
        <f>+A17</f>
        <v>0</v>
      </c>
      <c r="D17" s="148" t="str">
        <f>IFERROR(VLOOKUP(H17,[1]SEMIELABORADOS!$A$2:$M$6000,6,0),"")</f>
        <v/>
      </c>
      <c r="E17" s="149" t="str">
        <f>IFERROR(VLOOKUP(H17,[1]SEMIELABORADOS!$A$2:$H$65536,8,0),"")</f>
        <v/>
      </c>
      <c r="F17" s="149" t="str">
        <f>IFERROR(E17*C17,"")</f>
        <v/>
      </c>
      <c r="G17" s="150" t="str">
        <f t="shared" ref="G17:G24" si="3">IFERROR(F17/$F$66,"")</f>
        <v/>
      </c>
      <c r="H17" s="151"/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hidden="1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x14ac:dyDescent="0.25">
      <c r="A27" s="147">
        <v>1</v>
      </c>
      <c r="B27" s="153" t="s">
        <v>81</v>
      </c>
      <c r="C27" s="148">
        <f t="shared" ref="C27:C32" si="6">+A27</f>
        <v>1</v>
      </c>
      <c r="D27" s="149" t="s">
        <v>150</v>
      </c>
      <c r="E27" s="149">
        <v>25</v>
      </c>
      <c r="F27" s="149">
        <f t="shared" ref="F27:F32" si="7">IFERROR(C27*E27,"")</f>
        <v>25</v>
      </c>
      <c r="G27" s="150">
        <f t="shared" ref="G27:G32" si="8">IFERROR(F27/$F$66,"")</f>
        <v>1.8319044478639994E-3</v>
      </c>
      <c r="H27" s="154" t="s">
        <v>80</v>
      </c>
      <c r="I27" s="154"/>
      <c r="J27" s="152"/>
      <c r="K27" s="366"/>
      <c r="L27" s="366"/>
    </row>
    <row r="28" spans="1:12" ht="13.5" hidden="1" x14ac:dyDescent="0.25">
      <c r="A28" s="147"/>
      <c r="B28" s="153" t="str">
        <f>IFERROR(VLOOKUP(H28,'[1]Consolidado MP Planta'!$A$2:$M$823,3,0),"")</f>
        <v/>
      </c>
      <c r="C28" s="148">
        <f t="shared" si="6"/>
        <v>0</v>
      </c>
      <c r="D28" s="149" t="str">
        <f>IFERROR(VLOOKUP(H28,'[1]Consolidado MP Planta'!$A$2:$M$823,13,0),"")</f>
        <v/>
      </c>
      <c r="E28" s="149" t="str">
        <f>IFERROR(VLOOKUP(H28,'[1]Consolidado MP Planta'!$A$2:$M$823,12,0),"")</f>
        <v/>
      </c>
      <c r="F28" s="149" t="str">
        <f t="shared" si="7"/>
        <v/>
      </c>
      <c r="G28" s="150" t="str">
        <f t="shared" si="8"/>
        <v/>
      </c>
      <c r="H28" s="154"/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hidden="1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hidden="1" x14ac:dyDescent="0.25">
      <c r="A35" s="147">
        <f>+A17</f>
        <v>0</v>
      </c>
      <c r="B35" s="153" t="str">
        <f>IFERROR(VLOOKUP(H35,[1]SEMIELABORADOS!$A$2:$M$6000,2,0),"")</f>
        <v/>
      </c>
      <c r="C35" s="148">
        <f>+A35</f>
        <v>0</v>
      </c>
      <c r="D35" s="149" t="str">
        <f>IFERROR(VLOOKUP(H35,[1]SEMIELABORADOS!$A$2:$M$6000,6,0),"")</f>
        <v/>
      </c>
      <c r="E35" s="149" t="str">
        <f>IFERROR(VLOOKUP(H35,[1]SEMIELABORADOS!$A$2:$M$65536,10,0),"")</f>
        <v/>
      </c>
      <c r="F35" s="149" t="str">
        <f>IFERROR(E35*C35,"")</f>
        <v/>
      </c>
      <c r="G35" s="150" t="str">
        <f t="shared" ref="G35:G41" si="9">IFERROR(F35/$F$66,"")</f>
        <v/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hidden="1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hidden="1" x14ac:dyDescent="0.25">
      <c r="A44" s="147">
        <f>+A35</f>
        <v>0</v>
      </c>
      <c r="B44" s="153" t="str">
        <f>IFERROR(VLOOKUP(H44,[1]SEMIELABORADOS!$A$2:$M$6000,2,0),"")</f>
        <v/>
      </c>
      <c r="C44" s="148">
        <f>+A44</f>
        <v>0</v>
      </c>
      <c r="D44" s="149" t="str">
        <f>IFERROR(VLOOKUP(H44,[1]SEMIELABORADOS!$A$2:$M$6000,6,0),"")</f>
        <v/>
      </c>
      <c r="E44" s="149" t="str">
        <f>IFERROR(VLOOKUP(H44,[1]SEMIELABORADOS!$A$2:$M$65536,12,0),"")</f>
        <v/>
      </c>
      <c r="F44" s="149" t="str">
        <f>IFERROR(E44*C44,"")</f>
        <v/>
      </c>
      <c r="G44" s="150" t="str">
        <f>IFERROR(F44/$F$66,"")</f>
        <v/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770</v>
      </c>
      <c r="F51" s="149">
        <f>IFERROR(C51*E51,"")</f>
        <v>770</v>
      </c>
      <c r="G51" s="150">
        <f>IFERROR(F51/$F$66,"")</f>
        <v>5.642265699421118E-2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12600</v>
      </c>
      <c r="G53" s="150">
        <f>+F53/$F$66</f>
        <v>0.92327984172345567</v>
      </c>
      <c r="H53" s="162">
        <f>+F53/$D$60</f>
        <v>12600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25</v>
      </c>
      <c r="G54" s="150">
        <f>+F54/$F$66</f>
        <v>1.8319044478639994E-3</v>
      </c>
      <c r="H54" s="162">
        <f>+F54/$D$60</f>
        <v>25</v>
      </c>
      <c r="I54" s="162"/>
      <c r="J54" s="166"/>
      <c r="K54" s="377" t="s">
        <v>118</v>
      </c>
      <c r="L54" s="378"/>
      <c r="M54" s="378"/>
      <c r="N54" s="378"/>
      <c r="O54" s="167">
        <f>+F55</f>
        <v>12625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12625</v>
      </c>
      <c r="G55" s="150">
        <f>+F55/$F$66</f>
        <v>0.92511174617131975</v>
      </c>
      <c r="H55" s="162">
        <f>+F55/$D$60</f>
        <v>12625</v>
      </c>
      <c r="I55" s="162"/>
      <c r="J55" s="169"/>
      <c r="K55" s="170"/>
      <c r="M55" s="171" t="s">
        <v>120</v>
      </c>
      <c r="N55" s="172"/>
      <c r="O55" s="167">
        <f>+H56</f>
        <v>770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770</v>
      </c>
      <c r="G56" s="150">
        <f>+F56/$F$66</f>
        <v>5.642265699421118E-2</v>
      </c>
      <c r="H56" s="162">
        <f>+F56/$D$60</f>
        <v>770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13395</v>
      </c>
      <c r="P57" s="181"/>
      <c r="Q57" s="168"/>
    </row>
    <row r="58" spans="1:17" x14ac:dyDescent="0.2">
      <c r="B58" s="379" t="s">
        <v>124</v>
      </c>
      <c r="C58" s="379"/>
      <c r="D58" s="182">
        <v>4800</v>
      </c>
      <c r="E58" s="183"/>
      <c r="G58" s="150"/>
      <c r="H58" s="176">
        <f>+H56/77</f>
        <v>10</v>
      </c>
      <c r="I58" s="184"/>
      <c r="J58" s="169"/>
      <c r="K58" s="177"/>
      <c r="L58" s="170"/>
      <c r="M58" s="170" t="s">
        <v>125</v>
      </c>
      <c r="N58" s="185"/>
      <c r="O58" s="167">
        <f>+H59</f>
        <v>830</v>
      </c>
      <c r="P58" s="167"/>
      <c r="Q58" s="168"/>
    </row>
    <row r="59" spans="1:17" x14ac:dyDescent="0.2">
      <c r="B59" s="379" t="s">
        <v>126</v>
      </c>
      <c r="C59" s="379"/>
      <c r="D59" s="186">
        <v>4800</v>
      </c>
      <c r="E59" s="183"/>
      <c r="G59" s="150"/>
      <c r="H59" s="176">
        <f>+H58*83</f>
        <v>830</v>
      </c>
      <c r="I59" s="184"/>
      <c r="J59" s="169"/>
      <c r="K59" s="177"/>
      <c r="L59" s="170"/>
      <c r="M59" s="380" t="s">
        <v>123</v>
      </c>
      <c r="N59" s="380"/>
      <c r="O59" s="167">
        <f>SUM(O57:O58)</f>
        <v>14225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14225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14225</v>
      </c>
      <c r="P62" s="195">
        <f>+O62/D59</f>
        <v>2.9635416666666665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12625</v>
      </c>
      <c r="G63" s="150">
        <f>+F63/$F$66</f>
        <v>0.92511174617131975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252</v>
      </c>
      <c r="G64" s="150">
        <f>+F64/$F$66</f>
        <v>1.8465596834469113E-2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10</v>
      </c>
      <c r="E65" s="205">
        <v>77</v>
      </c>
      <c r="F65" s="198">
        <f>+E65*D65</f>
        <v>770</v>
      </c>
      <c r="G65" s="150">
        <f>+F65/$F$66</f>
        <v>5.642265699421118E-2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13647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12600</v>
      </c>
      <c r="D69" s="211">
        <f>+D58</f>
        <v>4800</v>
      </c>
      <c r="E69" s="212">
        <f>+C69/D69</f>
        <v>2.625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12877</v>
      </c>
      <c r="D71" s="211">
        <f>+D58</f>
        <v>4800</v>
      </c>
      <c r="E71" s="216">
        <f>+C71/D71</f>
        <v>2.6827083333333333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770</v>
      </c>
      <c r="D73" s="211">
        <f>+D58</f>
        <v>4800</v>
      </c>
      <c r="E73" s="216">
        <f>+C73/D73</f>
        <v>0.16041666666666668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770</v>
      </c>
      <c r="D74" s="211">
        <f>+D73</f>
        <v>4800</v>
      </c>
      <c r="E74" s="212">
        <f>+C74/D74</f>
        <v>0.16041666666666668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25</v>
      </c>
      <c r="D76" s="211">
        <f>+D74</f>
        <v>4800</v>
      </c>
      <c r="E76" s="212">
        <f>+C76/D76</f>
        <v>5.208333333333333E-3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2.7854166666666669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12600</v>
      </c>
      <c r="D81" s="211">
        <f>+D60</f>
        <v>1</v>
      </c>
      <c r="E81" s="212">
        <f>+C81/D81</f>
        <v>12600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12877</v>
      </c>
      <c r="D83" s="211">
        <f>+D60</f>
        <v>1</v>
      </c>
      <c r="E83" s="216">
        <f>+C83/D83</f>
        <v>12877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770</v>
      </c>
      <c r="D85" s="211">
        <f>+D60</f>
        <v>1</v>
      </c>
      <c r="E85" s="216">
        <f>+C85/D85</f>
        <v>770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770</v>
      </c>
      <c r="D86" s="211">
        <f>+D85</f>
        <v>1</v>
      </c>
      <c r="E86" s="212">
        <f>+C86/D86</f>
        <v>770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6C7DEB3-03AA-4E17-9942-D3F5E4C31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Cuchareable Choco Mani </vt:lpstr>
      <vt:lpstr>Costo Cuchareable Choco Mani</vt:lpstr>
      <vt:lpstr>Costo Ganache Oscuro suave</vt:lpstr>
      <vt:lpstr>costo chocolate con mani</vt:lpstr>
      <vt:lpstr>Costo Procesado chocol con mani</vt:lpstr>
      <vt:lpstr>Costo Relleno Mantequilla Mani</vt:lpstr>
      <vt:lpstr>Mani Tostado</vt:lpstr>
      <vt:lpstr>Costo Mani Tostado</vt:lpstr>
      <vt:lpstr>'Mani Tostado'!Área_de_impresión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2026-02-19T21:52:04Z</cp:lastPrinted>
  <dcterms:created xsi:type="dcterms:W3CDTF">2025-01-06T20:55:42Z</dcterms:created>
  <dcterms:modified xsi:type="dcterms:W3CDTF">2026-02-19T21:52:50Z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
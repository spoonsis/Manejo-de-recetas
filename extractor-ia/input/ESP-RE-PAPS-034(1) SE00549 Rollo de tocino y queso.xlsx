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09373E36-E666-4AFB-BF6C-983AD2EE482A}" xr6:coauthVersionLast="47" xr6:coauthVersionMax="47" xr10:uidLastSave="{98D77CE3-00EF-4959-BE3F-5DF38837C259}"/>
  <bookViews>
    <workbookView xWindow="-120" yWindow="-120" windowWidth="29040" windowHeight="15840" tabRatio="876" xr2:uid="{B3F79490-7564-46A3-A0F8-5193AA29311B}"/>
  </bookViews>
  <sheets>
    <sheet name="Hoja1" sheetId="9" r:id="rId1"/>
    <sheet name="COSTO ROLLO" sheetId="7" state="hidden" r:id="rId2"/>
    <sheet name="COSTO EMPAQUE " sheetId="8" state="hidden" r:id="rId3"/>
  </sheets>
  <externalReferences>
    <externalReference r:id="rId4"/>
    <externalReference r:id="rId5"/>
    <externalReference r:id="rId6"/>
    <externalReference r:id="rId7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8" l="1"/>
  <c r="D72" i="8"/>
  <c r="D73" i="8"/>
  <c r="D75" i="8"/>
  <c r="D70" i="8"/>
  <c r="D68" i="8"/>
  <c r="F64" i="8"/>
  <c r="C72" i="8"/>
  <c r="D59" i="8"/>
  <c r="D84" i="8"/>
  <c r="D85" i="8"/>
  <c r="C50" i="8"/>
  <c r="E49" i="8"/>
  <c r="F49" i="8"/>
  <c r="D49" i="8"/>
  <c r="B49" i="8"/>
  <c r="E48" i="8"/>
  <c r="F48" i="8"/>
  <c r="D48" i="8"/>
  <c r="B48" i="8"/>
  <c r="E47" i="8"/>
  <c r="F47" i="8"/>
  <c r="D47" i="8"/>
  <c r="B47" i="8"/>
  <c r="A47" i="8"/>
  <c r="C47" i="8"/>
  <c r="E46" i="8"/>
  <c r="F46" i="8"/>
  <c r="D46" i="8"/>
  <c r="B46" i="8"/>
  <c r="A46" i="8"/>
  <c r="C46" i="8"/>
  <c r="E45" i="8"/>
  <c r="F45" i="8"/>
  <c r="D45" i="8"/>
  <c r="B45" i="8"/>
  <c r="E44" i="8"/>
  <c r="F44" i="8"/>
  <c r="D44" i="8"/>
  <c r="B44" i="8"/>
  <c r="E40" i="8"/>
  <c r="F40" i="8"/>
  <c r="D40" i="8"/>
  <c r="C40" i="8"/>
  <c r="B40" i="8"/>
  <c r="A40" i="8"/>
  <c r="A49" i="8"/>
  <c r="C49" i="8"/>
  <c r="E39" i="8"/>
  <c r="D39" i="8"/>
  <c r="B39" i="8"/>
  <c r="A39" i="8"/>
  <c r="A48" i="8"/>
  <c r="C48" i="8"/>
  <c r="E38" i="8"/>
  <c r="F38" i="8"/>
  <c r="D38" i="8"/>
  <c r="B38" i="8"/>
  <c r="A38" i="8"/>
  <c r="C38" i="8"/>
  <c r="E37" i="8"/>
  <c r="D37" i="8"/>
  <c r="C37" i="8"/>
  <c r="B37" i="8"/>
  <c r="A37" i="8"/>
  <c r="E36" i="8"/>
  <c r="F36" i="8"/>
  <c r="D36" i="8"/>
  <c r="C36" i="8"/>
  <c r="B36" i="8"/>
  <c r="A36" i="8"/>
  <c r="A45" i="8"/>
  <c r="C45" i="8"/>
  <c r="E35" i="8"/>
  <c r="D35" i="8"/>
  <c r="B35" i="8"/>
  <c r="A35" i="8"/>
  <c r="A44" i="8"/>
  <c r="C44" i="8"/>
  <c r="C34" i="8"/>
  <c r="A34" i="8"/>
  <c r="A43" i="8"/>
  <c r="C43" i="8"/>
  <c r="E31" i="8"/>
  <c r="F31" i="8"/>
  <c r="D31" i="8"/>
  <c r="C31" i="8"/>
  <c r="B31" i="8"/>
  <c r="E30" i="8"/>
  <c r="F30" i="8"/>
  <c r="D30" i="8"/>
  <c r="C30" i="8"/>
  <c r="B30" i="8"/>
  <c r="E29" i="8"/>
  <c r="F29" i="8"/>
  <c r="D29" i="8"/>
  <c r="C29" i="8"/>
  <c r="B29" i="8"/>
  <c r="E28" i="8"/>
  <c r="F28" i="8"/>
  <c r="D28" i="8"/>
  <c r="C28" i="8"/>
  <c r="B28" i="8"/>
  <c r="F27" i="8"/>
  <c r="D27" i="8"/>
  <c r="C27" i="8"/>
  <c r="B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83" i="7"/>
  <c r="D81" i="7"/>
  <c r="D73" i="7"/>
  <c r="D74" i="7"/>
  <c r="D76" i="7"/>
  <c r="D71" i="7"/>
  <c r="D69" i="7"/>
  <c r="F65" i="7"/>
  <c r="E51" i="7"/>
  <c r="F51" i="7"/>
  <c r="D60" i="7"/>
  <c r="D85" i="7"/>
  <c r="D86" i="7"/>
  <c r="C51" i="7"/>
  <c r="E50" i="7"/>
  <c r="F50" i="7"/>
  <c r="D50" i="7"/>
  <c r="B50" i="7"/>
  <c r="E49" i="7"/>
  <c r="F49" i="7"/>
  <c r="D49" i="7"/>
  <c r="B49" i="7"/>
  <c r="A49" i="7"/>
  <c r="C49" i="7"/>
  <c r="E48" i="7"/>
  <c r="F48" i="7"/>
  <c r="D48" i="7"/>
  <c r="B48" i="7"/>
  <c r="E47" i="7"/>
  <c r="F47" i="7"/>
  <c r="D47" i="7"/>
  <c r="B47" i="7"/>
  <c r="E46" i="7"/>
  <c r="F46" i="7"/>
  <c r="D46" i="7"/>
  <c r="B46" i="7"/>
  <c r="D44" i="7"/>
  <c r="B44" i="7"/>
  <c r="A44" i="7"/>
  <c r="C44" i="7"/>
  <c r="F44" i="7"/>
  <c r="E41" i="7"/>
  <c r="F41" i="7"/>
  <c r="D41" i="7"/>
  <c r="B41" i="7"/>
  <c r="A41" i="7"/>
  <c r="A50" i="7"/>
  <c r="C50" i="7"/>
  <c r="E40" i="7"/>
  <c r="F40" i="7"/>
  <c r="D40" i="7"/>
  <c r="C40" i="7"/>
  <c r="B40" i="7"/>
  <c r="A40" i="7"/>
  <c r="E39" i="7"/>
  <c r="F39" i="7"/>
  <c r="D39" i="7"/>
  <c r="C39" i="7"/>
  <c r="B39" i="7"/>
  <c r="A39" i="7"/>
  <c r="A48" i="7"/>
  <c r="C48" i="7"/>
  <c r="E38" i="7"/>
  <c r="F38" i="7"/>
  <c r="D38" i="7"/>
  <c r="B38" i="7"/>
  <c r="A38" i="7"/>
  <c r="A47" i="7"/>
  <c r="C47" i="7"/>
  <c r="E37" i="7"/>
  <c r="F37" i="7"/>
  <c r="D37" i="7"/>
  <c r="B37" i="7"/>
  <c r="A37" i="7"/>
  <c r="A46" i="7"/>
  <c r="C46" i="7"/>
  <c r="A36" i="7"/>
  <c r="A45" i="7"/>
  <c r="C45" i="7"/>
  <c r="D35" i="7"/>
  <c r="C35" i="7"/>
  <c r="F35" i="7"/>
  <c r="B35" i="7"/>
  <c r="A35" i="7"/>
  <c r="E32" i="7"/>
  <c r="F32" i="7"/>
  <c r="D32" i="7"/>
  <c r="C32" i="7"/>
  <c r="B32" i="7"/>
  <c r="E31" i="7"/>
  <c r="F31" i="7"/>
  <c r="D31" i="7"/>
  <c r="C31" i="7"/>
  <c r="B31" i="7"/>
  <c r="E30" i="7"/>
  <c r="F30" i="7"/>
  <c r="D30" i="7"/>
  <c r="C30" i="7"/>
  <c r="B30" i="7"/>
  <c r="E29" i="7"/>
  <c r="F29" i="7"/>
  <c r="D29" i="7"/>
  <c r="C29" i="7"/>
  <c r="B29" i="7"/>
  <c r="E28" i="7"/>
  <c r="F28" i="7"/>
  <c r="D28" i="7"/>
  <c r="C28" i="7"/>
  <c r="B28" i="7"/>
  <c r="E27" i="7"/>
  <c r="F27" i="7"/>
  <c r="D27" i="7"/>
  <c r="C27" i="7"/>
  <c r="B27" i="7"/>
  <c r="E24" i="7"/>
  <c r="F24" i="7"/>
  <c r="D24" i="7"/>
  <c r="C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D19" i="7"/>
  <c r="C19" i="7"/>
  <c r="F19" i="7"/>
  <c r="B19" i="7"/>
  <c r="C18" i="7"/>
  <c r="D17" i="7"/>
  <c r="C17" i="7"/>
  <c r="F17" i="7"/>
  <c r="B17" i="7"/>
  <c r="B15" i="7"/>
  <c r="E14" i="7"/>
  <c r="F14" i="7"/>
  <c r="D14" i="7"/>
  <c r="C14" i="7"/>
  <c r="B14" i="7"/>
  <c r="E13" i="7"/>
  <c r="F13" i="7"/>
  <c r="D13" i="7"/>
  <c r="C13" i="7"/>
  <c r="B13" i="7"/>
  <c r="E12" i="7"/>
  <c r="F12" i="7"/>
  <c r="D12" i="7"/>
  <c r="C12" i="7"/>
  <c r="B12" i="7"/>
  <c r="E11" i="7"/>
  <c r="F11" i="7"/>
  <c r="D11" i="7"/>
  <c r="C11" i="7"/>
  <c r="B11" i="7"/>
  <c r="E10" i="7"/>
  <c r="F10" i="7"/>
  <c r="D10" i="7"/>
  <c r="C10" i="7"/>
  <c r="B10" i="7"/>
  <c r="E9" i="7"/>
  <c r="F9" i="7"/>
  <c r="D9" i="7"/>
  <c r="C9" i="7"/>
  <c r="B9" i="7"/>
  <c r="E8" i="7"/>
  <c r="F8" i="7"/>
  <c r="D8" i="7"/>
  <c r="C8" i="7"/>
  <c r="B8" i="7"/>
  <c r="H6" i="7"/>
  <c r="F37" i="8"/>
  <c r="F35" i="8"/>
  <c r="C84" i="8"/>
  <c r="E84" i="8"/>
  <c r="E72" i="8"/>
  <c r="D80" i="8"/>
  <c r="C35" i="8"/>
  <c r="C39" i="8"/>
  <c r="F39" i="8"/>
  <c r="C36" i="7"/>
  <c r="C38" i="7"/>
  <c r="C73" i="7"/>
  <c r="C37" i="7"/>
  <c r="C41" i="7"/>
  <c r="C85" i="7"/>
  <c r="E85" i="7"/>
  <c r="E73" i="7"/>
  <c r="E36" i="7"/>
  <c r="F36" i="7"/>
  <c r="E18" i="7"/>
  <c r="F18" i="7"/>
  <c r="E45" i="7"/>
  <c r="F45" i="7"/>
  <c r="E43" i="8"/>
  <c r="F43" i="8"/>
  <c r="F54" i="7"/>
  <c r="F56" i="7"/>
  <c r="F53" i="7"/>
  <c r="H54" i="7"/>
  <c r="C76" i="7"/>
  <c r="E76" i="7"/>
  <c r="H56" i="7"/>
  <c r="C74" i="7"/>
  <c r="F55" i="7"/>
  <c r="H53" i="7"/>
  <c r="C69" i="7"/>
  <c r="F64" i="7"/>
  <c r="H55" i="7"/>
  <c r="F63" i="7"/>
  <c r="O54" i="7"/>
  <c r="C86" i="7"/>
  <c r="E86" i="7"/>
  <c r="E74" i="7"/>
  <c r="E50" i="8"/>
  <c r="F50" i="8"/>
  <c r="H58" i="7"/>
  <c r="H59" i="7"/>
  <c r="O58" i="7"/>
  <c r="H2" i="7"/>
  <c r="O55" i="7"/>
  <c r="E34" i="8"/>
  <c r="F34" i="8"/>
  <c r="G2" i="7"/>
  <c r="C81" i="7"/>
  <c r="E81" i="7"/>
  <c r="E69" i="7"/>
  <c r="E78" i="7"/>
  <c r="F2" i="7"/>
  <c r="E17" i="8"/>
  <c r="F17" i="8"/>
  <c r="F55" i="8"/>
  <c r="O56" i="7"/>
  <c r="O57" i="7"/>
  <c r="O59" i="7"/>
  <c r="E63" i="7"/>
  <c r="C71" i="7"/>
  <c r="F66" i="7"/>
  <c r="G63" i="7"/>
  <c r="F53" i="8"/>
  <c r="F52" i="8"/>
  <c r="C83" i="7"/>
  <c r="E83" i="7"/>
  <c r="E71" i="7"/>
  <c r="O60" i="7"/>
  <c r="O61" i="7"/>
  <c r="O62" i="7"/>
  <c r="H55" i="8"/>
  <c r="C73" i="8"/>
  <c r="G66" i="7"/>
  <c r="G37" i="7"/>
  <c r="G17" i="7"/>
  <c r="G50" i="7"/>
  <c r="G35" i="7"/>
  <c r="G22" i="7"/>
  <c r="G36" i="7"/>
  <c r="G18" i="7"/>
  <c r="G11" i="7"/>
  <c r="G27" i="7"/>
  <c r="G19" i="7"/>
  <c r="G45" i="7"/>
  <c r="G51" i="7"/>
  <c r="G28" i="7"/>
  <c r="G44" i="7"/>
  <c r="G65" i="7"/>
  <c r="G14" i="7"/>
  <c r="G13" i="7"/>
  <c r="G40" i="7"/>
  <c r="G12" i="7"/>
  <c r="G20" i="7"/>
  <c r="G32" i="7"/>
  <c r="G29" i="7"/>
  <c r="G48" i="7"/>
  <c r="G10" i="7"/>
  <c r="G30" i="7"/>
  <c r="G9" i="7"/>
  <c r="G8" i="7"/>
  <c r="G41" i="7"/>
  <c r="G24" i="7"/>
  <c r="G31" i="7"/>
  <c r="G46" i="7"/>
  <c r="G39" i="7"/>
  <c r="G21" i="7"/>
  <c r="G47" i="7"/>
  <c r="G49" i="7"/>
  <c r="G23" i="7"/>
  <c r="G38" i="7"/>
  <c r="G54" i="7"/>
  <c r="G53" i="7"/>
  <c r="G56" i="7"/>
  <c r="G55" i="7"/>
  <c r="G64" i="7"/>
  <c r="F54" i="8"/>
  <c r="H52" i="8"/>
  <c r="F2" i="8"/>
  <c r="F63" i="8"/>
  <c r="C68" i="8"/>
  <c r="H53" i="8"/>
  <c r="G2" i="8"/>
  <c r="C75" i="8"/>
  <c r="E75" i="8"/>
  <c r="C80" i="8"/>
  <c r="E80" i="8"/>
  <c r="E68" i="8"/>
  <c r="E73" i="8"/>
  <c r="E77" i="8"/>
  <c r="H57" i="8"/>
  <c r="H58" i="8"/>
  <c r="O57" i="8"/>
  <c r="O54" i="8"/>
  <c r="H2" i="8"/>
  <c r="E2" i="7"/>
  <c r="P62" i="7"/>
  <c r="C85" i="8"/>
  <c r="E85" i="8"/>
  <c r="H54" i="8"/>
  <c r="F62" i="8"/>
  <c r="O53" i="8"/>
  <c r="O55" i="8"/>
  <c r="O56" i="8"/>
  <c r="O58" i="8"/>
  <c r="F65" i="8"/>
  <c r="G62" i="8"/>
  <c r="C70" i="8"/>
  <c r="E62" i="8"/>
  <c r="O59" i="8"/>
  <c r="O60" i="8"/>
  <c r="O61" i="8"/>
  <c r="E70" i="8"/>
  <c r="C82" i="8"/>
  <c r="E82" i="8"/>
  <c r="G64" i="8"/>
  <c r="G65" i="8"/>
  <c r="G43" i="8"/>
  <c r="G8" i="8"/>
  <c r="G24" i="8"/>
  <c r="G20" i="8"/>
  <c r="G31" i="8"/>
  <c r="G27" i="8"/>
  <c r="G35" i="8"/>
  <c r="G29" i="8"/>
  <c r="G12" i="8"/>
  <c r="G19" i="8"/>
  <c r="G9" i="8"/>
  <c r="G38" i="8"/>
  <c r="G23" i="8"/>
  <c r="G37" i="8"/>
  <c r="G40" i="8"/>
  <c r="G14" i="8"/>
  <c r="G21" i="8"/>
  <c r="G13" i="8"/>
  <c r="G48" i="8"/>
  <c r="G11" i="8"/>
  <c r="G46" i="8"/>
  <c r="G30" i="8"/>
  <c r="G18" i="8"/>
  <c r="G28" i="8"/>
  <c r="G49" i="8"/>
  <c r="G47" i="8"/>
  <c r="G10" i="8"/>
  <c r="G44" i="8"/>
  <c r="G39" i="8"/>
  <c r="G45" i="8"/>
  <c r="G36" i="8"/>
  <c r="G22" i="8"/>
  <c r="G50" i="8"/>
  <c r="G34" i="8"/>
  <c r="G17" i="8"/>
  <c r="G53" i="8"/>
  <c r="G52" i="8"/>
  <c r="G55" i="8"/>
  <c r="G63" i="8"/>
  <c r="G54" i="8"/>
  <c r="E2" i="8"/>
  <c r="O63" i="8"/>
  <c r="P61" i="8"/>
</calcChain>
</file>

<file path=xl/sharedStrings.xml><?xml version="1.0" encoding="utf-8"?>
<sst xmlns="http://schemas.openxmlformats.org/spreadsheetml/2006/main" count="264" uniqueCount="119">
  <si>
    <t>ESPECIFICACION DE RECETA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</si>
  <si>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</si>
  <si>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</si>
  <si>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</si>
  <si>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</si>
  <si>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</si>
  <si>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</si>
  <si>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</si>
  <si>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</si>
  <si>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</si>
  <si>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</si>
  <si>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</si>
  <si>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</si>
  <si>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</si>
  <si>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</si>
  <si>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</si>
  <si>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</si>
  <si>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</si>
  <si>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</si>
  <si>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</si>
  <si>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</si>
  <si>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</si>
  <si>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</si>
  <si>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</si>
  <si>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</si>
  <si>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ud</t>
  </si>
  <si>
    <t>min</t>
  </si>
  <si>
    <t>FAS</t>
  </si>
  <si>
    <t>Pastas</t>
  </si>
  <si>
    <t>906000014</t>
  </si>
  <si>
    <t>LAMINADO PASTA HOJALDRE (KILO)</t>
  </si>
  <si>
    <t>902000019</t>
  </si>
  <si>
    <t>1.- Extender la masa en un cuadro de 55cms de largo y 28cms de ancho.</t>
  </si>
  <si>
    <t>2.- Distribuir los 500g del relleno por el cuadro dejando un espacio pequeño al final del cuadro para enrrollar.</t>
  </si>
  <si>
    <t>3.- Enrrollar y cortar rollitos de 5,5cms.</t>
  </si>
  <si>
    <t>5.- Llevar al horno a 180ºC por 35min</t>
  </si>
  <si>
    <t>EMPAQUE</t>
  </si>
  <si>
    <t>RELLENO TOCINO Y QUESO</t>
  </si>
  <si>
    <t>ROLLO DE TOCINO Y QUESO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</si>
  <si>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</si>
  <si>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</si>
  <si>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</si>
  <si>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</si>
  <si>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</si>
  <si>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</si>
  <si>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</si>
  <si>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</si>
  <si>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</si>
  <si>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</si>
  <si>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</si>
  <si>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</si>
  <si>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</si>
  <si>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</si>
  <si>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Gramos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</si>
  <si>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</si>
  <si>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</si>
  <si>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</si>
  <si>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</si>
  <si>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</si>
  <si>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</si>
  <si>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</si>
  <si>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</si>
  <si>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</si>
  <si>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</si>
  <si>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</si>
  <si>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</si>
  <si>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</si>
  <si>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</si>
  <si>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</si>
  <si>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</si>
  <si>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</si>
  <si>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</si>
  <si>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</si>
  <si>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</si>
  <si>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</si>
  <si>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</si>
  <si>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</si>
  <si>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</si>
  <si>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</si>
  <si>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</si>
  <si>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</si>
  <si>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</si>
  <si>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</si>
  <si>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</si>
  <si>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</si>
  <si>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</si>
  <si>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</si>
  <si>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</si>
  <si>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</si>
  <si>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</si>
  <si>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</si>
  <si>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1950729</t>
  </si>
  <si>
    <t>0702069</t>
  </si>
  <si>
    <t>0702007</t>
  </si>
  <si>
    <t>und</t>
  </si>
  <si>
    <t># Código Netsuite</t>
  </si>
  <si>
    <t>SE00548</t>
  </si>
  <si>
    <t>SE00213</t>
  </si>
  <si>
    <t>SE00183</t>
  </si>
  <si>
    <t>EMPAQUE HARINA ESTANDAR (KILO)</t>
  </si>
  <si>
    <t>CONTROL DE CAMBIOS</t>
  </si>
  <si>
    <t xml:space="preserve"> Rollo de tocino y queso SE00549</t>
  </si>
  <si>
    <t>1950733</t>
  </si>
  <si>
    <t>EM10067</t>
  </si>
  <si>
    <t>4.- Colocar en el molde de minicake con capsula</t>
  </si>
  <si>
    <t>01</t>
  </si>
  <si>
    <t>Javier Tong, Chef</t>
  </si>
  <si>
    <t>Esteban Cartin, Gte Manufactura</t>
  </si>
  <si>
    <t xml:space="preserve"># Código </t>
  </si>
  <si>
    <t>Ensamble</t>
  </si>
  <si>
    <t>Decoración</t>
  </si>
  <si>
    <t>Empaque</t>
  </si>
  <si>
    <t>CAPSULA # 10 BLANCA</t>
  </si>
  <si>
    <t>Tiempo de Horneo:</t>
  </si>
  <si>
    <t>Horno:</t>
  </si>
  <si>
    <t>Temperatura de Horneo:</t>
  </si>
  <si>
    <t>Otros</t>
  </si>
  <si>
    <t>95 Gramos cocido</t>
  </si>
  <si>
    <t>ESP-RE-PAPS-034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</si>
</sst>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(* #,##0.00_);_(* \(#,##0.00\);_(* &quot;-&quot;??_);_(@_)"/>
    <numFmt numFmtId="170" formatCode="_(* #,##0.000_);_(* \(#,##0.000\);_(* &quot;-&quot;??_);_(@_)"/>
  </numFmts>
  <fonts count="4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rgb="FF00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0" fontId="1" fillId="2" borderId="2" xfId="4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37" fillId="2" borderId="0" xfId="4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8" fillId="9" borderId="0" xfId="0" applyFont="1" applyFill="1" applyAlignment="1">
      <alignment vertical="center"/>
    </xf>
    <xf numFmtId="0" fontId="9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9" fillId="0" borderId="3" xfId="1" applyFont="1" applyFill="1" applyBorder="1" applyAlignment="1">
      <alignment horizontal="center" vertical="center"/>
    </xf>
    <xf numFmtId="43" fontId="9" fillId="0" borderId="0" xfId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2" applyNumberFormat="1" applyFont="1" applyFill="1" applyAlignment="1">
      <alignment horizontal="center" vertical="center"/>
    </xf>
    <xf numFmtId="4" fontId="9" fillId="0" borderId="0" xfId="2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0" fillId="0" borderId="0" xfId="5" applyNumberFormat="1" applyFont="1" applyFill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1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" applyNumberFormat="1" applyFont="1" applyFill="1" applyAlignment="1">
      <alignment vertical="center"/>
    </xf>
    <xf numFmtId="43" fontId="17" fillId="0" borderId="0" xfId="1" applyFont="1" applyFill="1" applyAlignment="1">
      <alignment horizontal="center" vertical="center"/>
    </xf>
    <xf numFmtId="10" fontId="10" fillId="4" borderId="19" xfId="5" applyNumberFormat="1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43" fontId="17" fillId="4" borderId="20" xfId="1" applyFont="1" applyFill="1" applyBorder="1" applyAlignment="1">
      <alignment horizontal="center" vertical="center"/>
    </xf>
    <xf numFmtId="43" fontId="19" fillId="0" borderId="0" xfId="1" applyFont="1" applyFill="1" applyBorder="1" applyAlignment="1">
      <alignment horizontal="right"/>
    </xf>
    <xf numFmtId="0" fontId="8" fillId="4" borderId="20" xfId="0" applyFont="1" applyFill="1" applyBorder="1" applyAlignment="1">
      <alignment vertical="center"/>
    </xf>
    <xf numFmtId="10" fontId="10" fillId="4" borderId="20" xfId="5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8" fillId="0" borderId="0" xfId="0" applyFont="1"/>
    <xf numFmtId="9" fontId="18" fillId="0" borderId="0" xfId="0" applyNumberFormat="1" applyFont="1"/>
    <xf numFmtId="9" fontId="38" fillId="0" borderId="0" xfId="5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17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7" xfId="0" applyFont="1" applyBorder="1" applyAlignment="1">
      <alignment horizontal="right"/>
    </xf>
    <xf numFmtId="43" fontId="22" fillId="5" borderId="21" xfId="1" applyFont="1" applyFill="1" applyBorder="1" applyAlignment="1">
      <alignment horizontal="right"/>
    </xf>
    <xf numFmtId="43" fontId="22" fillId="0" borderId="0" xfId="1" applyFont="1" applyFill="1" applyBorder="1" applyAlignment="1">
      <alignment horizontal="right"/>
    </xf>
    <xf numFmtId="43" fontId="9" fillId="0" borderId="3" xfId="1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7" fillId="0" borderId="0" xfId="2" applyNumberFormat="1" applyFont="1" applyFill="1" applyAlignment="1">
      <alignment horizontal="center" vertical="center"/>
    </xf>
    <xf numFmtId="10" fontId="24" fillId="0" borderId="0" xfId="5" applyNumberFormat="1" applyFont="1" applyFill="1" applyAlignment="1">
      <alignment horizontal="right"/>
    </xf>
    <xf numFmtId="168" fontId="9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9" fillId="6" borderId="3" xfId="1" applyFont="1" applyFill="1" applyBorder="1" applyAlignment="1">
      <alignment vertical="center"/>
    </xf>
    <xf numFmtId="169" fontId="25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4" borderId="22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1" applyNumberFormat="1" applyFont="1" applyFill="1" applyBorder="1" applyAlignment="1">
      <alignment horizontal="center"/>
    </xf>
    <xf numFmtId="2" fontId="21" fillId="0" borderId="0" xfId="1" applyNumberFormat="1" applyFont="1" applyFill="1" applyBorder="1" applyAlignment="1">
      <alignment horizontal="center"/>
    </xf>
    <xf numFmtId="0" fontId="8" fillId="4" borderId="22" xfId="0" applyFont="1" applyFill="1" applyBorder="1" applyAlignment="1">
      <alignment vertical="center"/>
    </xf>
    <xf numFmtId="10" fontId="8" fillId="0" borderId="0" xfId="5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43" fontId="22" fillId="4" borderId="9" xfId="1" applyFont="1" applyFill="1" applyBorder="1" applyAlignment="1">
      <alignment horizontal="right"/>
    </xf>
    <xf numFmtId="0" fontId="9" fillId="4" borderId="10" xfId="0" applyFont="1" applyFill="1" applyBorder="1" applyAlignment="1">
      <alignment horizontal="right" vertical="center"/>
    </xf>
    <xf numFmtId="10" fontId="28" fillId="0" borderId="0" xfId="1" applyNumberFormat="1" applyFont="1" applyFill="1" applyAlignment="1">
      <alignment vertical="center"/>
    </xf>
    <xf numFmtId="10" fontId="10" fillId="0" borderId="0" xfId="5" applyNumberFormat="1" applyFont="1" applyFill="1" applyBorder="1" applyAlignment="1">
      <alignment vertical="center"/>
    </xf>
    <xf numFmtId="169" fontId="29" fillId="0" borderId="0" xfId="0" applyNumberFormat="1" applyFont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43" fontId="30" fillId="0" borderId="0" xfId="1" applyFont="1" applyFill="1" applyAlignment="1">
      <alignment vertical="center"/>
    </xf>
    <xf numFmtId="4" fontId="31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Fill="1" applyAlignment="1">
      <alignment vertical="center"/>
    </xf>
    <xf numFmtId="4" fontId="9" fillId="7" borderId="21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1" applyFont="1" applyFill="1" applyAlignment="1">
      <alignment vertical="center"/>
    </xf>
    <xf numFmtId="9" fontId="32" fillId="0" borderId="0" xfId="1" applyNumberFormat="1" applyFont="1" applyFill="1" applyAlignment="1">
      <alignment vertical="center"/>
    </xf>
    <xf numFmtId="4" fontId="9" fillId="0" borderId="0" xfId="1" applyNumberFormat="1" applyFont="1" applyFill="1" applyAlignment="1">
      <alignment horizontal="center" vertical="center"/>
    </xf>
    <xf numFmtId="10" fontId="25" fillId="0" borderId="0" xfId="5" applyNumberFormat="1" applyFont="1" applyFill="1" applyAlignment="1">
      <alignment vertical="center"/>
    </xf>
    <xf numFmtId="43" fontId="25" fillId="0" borderId="0" xfId="1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1" applyFont="1" applyFill="1" applyBorder="1"/>
    <xf numFmtId="10" fontId="25" fillId="0" borderId="0" xfId="5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8" fillId="0" borderId="0" xfId="1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9" fontId="9" fillId="0" borderId="0" xfId="0" applyNumberFormat="1" applyFont="1"/>
    <xf numFmtId="0" fontId="36" fillId="0" borderId="23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8" fillId="0" borderId="3" xfId="0" applyFont="1" applyBorder="1"/>
    <xf numFmtId="0" fontId="1" fillId="9" borderId="3" xfId="0" applyFont="1" applyFill="1" applyBorder="1" applyAlignment="1">
      <alignment horizontal="center"/>
    </xf>
    <xf numFmtId="0" fontId="1" fillId="9" borderId="3" xfId="0" applyFont="1" applyFill="1" applyBorder="1"/>
    <xf numFmtId="0" fontId="41" fillId="2" borderId="1" xfId="4" applyFont="1" applyFill="1" applyBorder="1" applyAlignment="1">
      <alignment horizontal="right"/>
    </xf>
    <xf numFmtId="0" fontId="41" fillId="2" borderId="3" xfId="4" applyFont="1" applyFill="1" applyBorder="1" applyAlignment="1">
      <alignment horizontal="right"/>
    </xf>
    <xf numFmtId="49" fontId="39" fillId="2" borderId="4" xfId="4" applyNumberFormat="1" applyFont="1" applyFill="1" applyBorder="1" applyAlignment="1">
      <alignment horizontal="center"/>
    </xf>
    <xf numFmtId="0" fontId="39" fillId="2" borderId="11" xfId="4" applyFont="1" applyFill="1" applyBorder="1" applyAlignment="1">
      <alignment horizontal="right"/>
    </xf>
    <xf numFmtId="0" fontId="39" fillId="2" borderId="3" xfId="4" applyFont="1" applyFill="1" applyBorder="1" applyAlignment="1">
      <alignment horizontal="right"/>
    </xf>
    <xf numFmtId="0" fontId="41" fillId="3" borderId="2" xfId="3" applyFont="1" applyFill="1" applyBorder="1" applyAlignment="1">
      <alignment horizontal="center" vertical="center" wrapText="1"/>
    </xf>
    <xf numFmtId="1" fontId="41" fillId="3" borderId="5" xfId="3" applyNumberFormat="1" applyFont="1" applyFill="1" applyBorder="1" applyAlignment="1">
      <alignment horizontal="center"/>
    </xf>
    <xf numFmtId="1" fontId="41" fillId="3" borderId="5" xfId="3" applyNumberFormat="1" applyFont="1" applyFill="1" applyBorder="1" applyAlignment="1">
      <alignment horizontal="center" wrapText="1"/>
    </xf>
    <xf numFmtId="0" fontId="41" fillId="3" borderId="14" xfId="3" applyFont="1" applyFill="1" applyBorder="1" applyAlignment="1">
      <alignment horizontal="center"/>
    </xf>
    <xf numFmtId="0" fontId="42" fillId="0" borderId="23" xfId="3" applyFont="1" applyBorder="1" applyAlignment="1">
      <alignment horizontal="center" vertical="center"/>
    </xf>
    <xf numFmtId="0" fontId="42" fillId="0" borderId="24" xfId="3" applyFont="1" applyBorder="1" applyAlignment="1">
      <alignment horizontal="center" vertical="center"/>
    </xf>
    <xf numFmtId="0" fontId="43" fillId="0" borderId="3" xfId="3" applyFont="1" applyBorder="1" applyAlignment="1">
      <alignment vertical="center"/>
    </xf>
    <xf numFmtId="0" fontId="42" fillId="0" borderId="3" xfId="3" applyFont="1" applyBorder="1" applyAlignment="1">
      <alignment horizontal="center" vertical="center"/>
    </xf>
    <xf numFmtId="1" fontId="42" fillId="0" borderId="3" xfId="3" applyNumberFormat="1" applyFont="1" applyBorder="1" applyAlignment="1">
      <alignment horizontal="center"/>
    </xf>
    <xf numFmtId="1" fontId="42" fillId="0" borderId="3" xfId="3" applyNumberFormat="1" applyFont="1" applyBorder="1" applyAlignment="1">
      <alignment horizontal="center" wrapText="1"/>
    </xf>
    <xf numFmtId="0" fontId="36" fillId="0" borderId="4" xfId="3" applyFont="1" applyBorder="1" applyAlignment="1">
      <alignment horizontal="center"/>
    </xf>
    <xf numFmtId="1" fontId="36" fillId="0" borderId="11" xfId="3" applyNumberFormat="1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165" fontId="36" fillId="0" borderId="3" xfId="3" applyNumberFormat="1" applyFont="1" applyBorder="1" applyAlignment="1">
      <alignment horizontal="center"/>
    </xf>
    <xf numFmtId="0" fontId="44" fillId="0" borderId="49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1" fillId="0" borderId="11" xfId="0" applyFont="1" applyBorder="1"/>
    <xf numFmtId="0" fontId="36" fillId="0" borderId="3" xfId="0" applyFont="1" applyBorder="1" applyAlignment="1">
      <alignment horizontal="center"/>
    </xf>
    <xf numFmtId="2" fontId="42" fillId="0" borderId="3" xfId="3" applyNumberFormat="1" applyFont="1" applyBorder="1" applyAlignment="1">
      <alignment horizontal="center"/>
    </xf>
    <xf numFmtId="0" fontId="0" fillId="9" borderId="3" xfId="0" applyFill="1" applyBorder="1"/>
    <xf numFmtId="1" fontId="36" fillId="0" borderId="3" xfId="3" applyNumberFormat="1" applyFont="1" applyBorder="1" applyAlignment="1">
      <alignment horizontal="center"/>
    </xf>
    <xf numFmtId="1" fontId="36" fillId="0" borderId="3" xfId="3" applyNumberFormat="1" applyFont="1" applyBorder="1" applyAlignment="1">
      <alignment horizontal="center" wrapText="1"/>
    </xf>
    <xf numFmtId="49" fontId="36" fillId="0" borderId="23" xfId="3" applyNumberFormat="1" applyFont="1" applyBorder="1" applyAlignment="1">
      <alignment horizontal="center"/>
    </xf>
    <xf numFmtId="49" fontId="36" fillId="0" borderId="24" xfId="3" applyNumberFormat="1" applyFont="1" applyBorder="1" applyAlignment="1">
      <alignment horizontal="center"/>
    </xf>
    <xf numFmtId="0" fontId="45" fillId="9" borderId="3" xfId="3" applyFont="1" applyFill="1" applyBorder="1" applyAlignment="1">
      <alignment horizontal="left"/>
    </xf>
    <xf numFmtId="0" fontId="36" fillId="0" borderId="3" xfId="3" applyFont="1" applyBorder="1" applyAlignment="1">
      <alignment horizontal="center"/>
    </xf>
    <xf numFmtId="0" fontId="1" fillId="0" borderId="23" xfId="6" applyBorder="1" applyAlignment="1">
      <alignment horizontal="center"/>
    </xf>
    <xf numFmtId="0" fontId="1" fillId="0" borderId="3" xfId="3" applyBorder="1" applyAlignment="1">
      <alignment horizontal="center"/>
    </xf>
    <xf numFmtId="0" fontId="1" fillId="9" borderId="3" xfId="6" applyFill="1" applyBorder="1"/>
    <xf numFmtId="16" fontId="36" fillId="0" borderId="3" xfId="6" applyNumberFormat="1" applyFont="1" applyBorder="1" applyAlignment="1">
      <alignment horizontal="center"/>
    </xf>
    <xf numFmtId="0" fontId="1" fillId="0" borderId="3" xfId="6" applyBorder="1" applyAlignment="1">
      <alignment horizontal="center"/>
    </xf>
    <xf numFmtId="16" fontId="36" fillId="0" borderId="3" xfId="0" applyNumberFormat="1" applyFont="1" applyBorder="1" applyAlignment="1">
      <alignment horizontal="center"/>
    </xf>
    <xf numFmtId="1" fontId="36" fillId="0" borderId="3" xfId="6" applyNumberFormat="1" applyFont="1" applyBorder="1" applyAlignment="1">
      <alignment horizontal="center"/>
    </xf>
    <xf numFmtId="1" fontId="36" fillId="0" borderId="3" xfId="6" applyNumberFormat="1" applyFont="1" applyBorder="1" applyAlignment="1">
      <alignment horizontal="center" wrapText="1"/>
    </xf>
    <xf numFmtId="49" fontId="42" fillId="0" borderId="35" xfId="3" applyNumberFormat="1" applyFont="1" applyBorder="1" applyAlignment="1">
      <alignment horizontal="center"/>
    </xf>
    <xf numFmtId="49" fontId="42" fillId="0" borderId="36" xfId="3" applyNumberFormat="1" applyFont="1" applyBorder="1" applyAlignment="1">
      <alignment horizontal="center"/>
    </xf>
    <xf numFmtId="0" fontId="46" fillId="9" borderId="3" xfId="3" applyFont="1" applyFill="1" applyBorder="1" applyAlignment="1">
      <alignment vertical="center"/>
    </xf>
    <xf numFmtId="0" fontId="42" fillId="0" borderId="24" xfId="3" applyFont="1" applyBorder="1" applyAlignment="1">
      <alignment horizontal="center"/>
    </xf>
    <xf numFmtId="165" fontId="42" fillId="0" borderId="3" xfId="3" applyNumberFormat="1" applyFont="1" applyBorder="1" applyAlignment="1">
      <alignment horizontal="center"/>
    </xf>
    <xf numFmtId="170" fontId="41" fillId="9" borderId="3" xfId="1" applyNumberFormat="1" applyFont="1" applyFill="1" applyBorder="1" applyAlignment="1">
      <alignment horizontal="center"/>
    </xf>
    <xf numFmtId="16" fontId="1" fillId="0" borderId="3" xfId="3" applyNumberFormat="1" applyBorder="1" applyAlignment="1">
      <alignment horizontal="center"/>
    </xf>
    <xf numFmtId="1" fontId="1" fillId="0" borderId="3" xfId="3" applyNumberFormat="1" applyBorder="1" applyAlignment="1">
      <alignment horizontal="center"/>
    </xf>
    <xf numFmtId="1" fontId="1" fillId="0" borderId="3" xfId="3" applyNumberFormat="1" applyBorder="1" applyAlignment="1">
      <alignment horizontal="center" wrapText="1"/>
    </xf>
    <xf numFmtId="1" fontId="39" fillId="0" borderId="3" xfId="3" applyNumberFormat="1" applyFont="1" applyBorder="1" applyAlignment="1">
      <alignment horizontal="center" wrapText="1"/>
    </xf>
    <xf numFmtId="49" fontId="36" fillId="9" borderId="23" xfId="3" applyNumberFormat="1" applyFont="1" applyFill="1" applyBorder="1" applyAlignment="1">
      <alignment horizontal="center"/>
    </xf>
    <xf numFmtId="49" fontId="36" fillId="9" borderId="24" xfId="3" applyNumberFormat="1" applyFont="1" applyFill="1" applyBorder="1" applyAlignment="1">
      <alignment horizontal="center"/>
    </xf>
    <xf numFmtId="49" fontId="8" fillId="9" borderId="3" xfId="3" applyNumberFormat="1" applyFont="1" applyFill="1" applyBorder="1"/>
    <xf numFmtId="12" fontId="36" fillId="0" borderId="3" xfId="3" applyNumberFormat="1" applyFont="1" applyBorder="1" applyAlignment="1">
      <alignment horizontal="center"/>
    </xf>
    <xf numFmtId="49" fontId="8" fillId="0" borderId="3" xfId="3" applyNumberFormat="1" applyFont="1" applyBorder="1"/>
    <xf numFmtId="1" fontId="47" fillId="0" borderId="3" xfId="3" applyNumberFormat="1" applyFont="1" applyBorder="1" applyAlignment="1">
      <alignment horizontal="center"/>
    </xf>
    <xf numFmtId="0" fontId="47" fillId="0" borderId="3" xfId="3" applyFont="1" applyBorder="1" applyAlignment="1">
      <alignment horizontal="center"/>
    </xf>
    <xf numFmtId="49" fontId="48" fillId="2" borderId="6" xfId="3" applyNumberFormat="1" applyFont="1" applyFill="1" applyBorder="1" applyAlignment="1">
      <alignment horizontal="center" vertical="center"/>
    </xf>
    <xf numFmtId="49" fontId="48" fillId="2" borderId="0" xfId="3" applyNumberFormat="1" applyFont="1" applyFill="1" applyAlignment="1">
      <alignment horizontal="center" vertical="center"/>
    </xf>
    <xf numFmtId="0" fontId="39" fillId="2" borderId="0" xfId="3" applyFont="1" applyFill="1"/>
    <xf numFmtId="1" fontId="39" fillId="2" borderId="0" xfId="3" applyNumberFormat="1" applyFont="1" applyFill="1" applyAlignment="1">
      <alignment horizontal="center"/>
    </xf>
    <xf numFmtId="164" fontId="39" fillId="2" borderId="0" xfId="3" applyNumberFormat="1" applyFont="1" applyFill="1" applyAlignment="1">
      <alignment horizontal="center" wrapText="1"/>
    </xf>
    <xf numFmtId="0" fontId="39" fillId="2" borderId="7" xfId="3" applyFont="1" applyFill="1" applyBorder="1" applyAlignment="1">
      <alignment horizontal="center"/>
    </xf>
    <xf numFmtId="0" fontId="39" fillId="3" borderId="8" xfId="3" applyFont="1" applyFill="1" applyBorder="1" applyAlignment="1">
      <alignment horizontal="center"/>
    </xf>
    <xf numFmtId="0" fontId="39" fillId="3" borderId="9" xfId="3" applyFont="1" applyFill="1" applyBorder="1" applyAlignment="1">
      <alignment horizontal="center"/>
    </xf>
    <xf numFmtId="0" fontId="39" fillId="3" borderId="9" xfId="3" applyFont="1" applyFill="1" applyBorder="1"/>
    <xf numFmtId="0" fontId="41" fillId="3" borderId="9" xfId="3" applyFont="1" applyFill="1" applyBorder="1" applyAlignment="1">
      <alignment horizontal="center"/>
    </xf>
    <xf numFmtId="1" fontId="41" fillId="3" borderId="9" xfId="3" applyNumberFormat="1" applyFont="1" applyFill="1" applyBorder="1" applyAlignment="1">
      <alignment horizontal="center"/>
    </xf>
    <xf numFmtId="164" fontId="39" fillId="3" borderId="9" xfId="3" applyNumberFormat="1" applyFont="1" applyFill="1" applyBorder="1" applyAlignment="1">
      <alignment horizontal="center" wrapText="1"/>
    </xf>
    <xf numFmtId="0" fontId="39" fillId="3" borderId="10" xfId="3" applyFont="1" applyFill="1" applyBorder="1" applyAlignment="1">
      <alignment horizontal="center"/>
    </xf>
    <xf numFmtId="1" fontId="39" fillId="0" borderId="11" xfId="0" applyNumberFormat="1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1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42" fillId="0" borderId="35" xfId="0" applyFont="1" applyBorder="1" applyAlignment="1">
      <alignment horizontal="left"/>
    </xf>
    <xf numFmtId="0" fontId="42" fillId="0" borderId="36" xfId="0" applyFont="1" applyBorder="1" applyAlignment="1">
      <alignment horizontal="left"/>
    </xf>
    <xf numFmtId="0" fontId="42" fillId="0" borderId="34" xfId="0" applyFont="1" applyBorder="1" applyAlignment="1">
      <alignment horizontal="left"/>
    </xf>
    <xf numFmtId="0" fontId="41" fillId="11" borderId="50" xfId="4" applyFont="1" applyFill="1" applyBorder="1" applyAlignment="1">
      <alignment horizontal="center"/>
    </xf>
    <xf numFmtId="0" fontId="41" fillId="11" borderId="41" xfId="4" applyFont="1" applyFill="1" applyBorder="1" applyAlignment="1">
      <alignment horizontal="center"/>
    </xf>
    <xf numFmtId="0" fontId="39" fillId="2" borderId="51" xfId="4" applyFont="1" applyFill="1" applyBorder="1" applyAlignment="1">
      <alignment horizontal="left"/>
    </xf>
    <xf numFmtId="0" fontId="39" fillId="2" borderId="0" xfId="4" applyFont="1" applyFill="1" applyAlignment="1">
      <alignment horizontal="left"/>
    </xf>
    <xf numFmtId="0" fontId="5" fillId="0" borderId="30" xfId="3" applyFont="1" applyBorder="1" applyAlignment="1">
      <alignment horizontal="left" wrapText="1"/>
    </xf>
    <xf numFmtId="0" fontId="5" fillId="0" borderId="31" xfId="3" applyFont="1" applyBorder="1" applyAlignment="1">
      <alignment horizontal="left" wrapText="1"/>
    </xf>
    <xf numFmtId="0" fontId="5" fillId="0" borderId="32" xfId="3" applyFont="1" applyBorder="1" applyAlignment="1">
      <alignment horizontal="left" wrapText="1"/>
    </xf>
    <xf numFmtId="0" fontId="4" fillId="0" borderId="30" xfId="3" applyFont="1" applyBorder="1" applyAlignment="1">
      <alignment horizontal="left"/>
    </xf>
    <xf numFmtId="0" fontId="4" fillId="0" borderId="31" xfId="3" applyFont="1" applyBorder="1" applyAlignment="1">
      <alignment horizontal="left"/>
    </xf>
    <xf numFmtId="0" fontId="4" fillId="0" borderId="32" xfId="3" applyFont="1" applyBorder="1" applyAlignment="1">
      <alignment horizontal="left"/>
    </xf>
    <xf numFmtId="0" fontId="41" fillId="0" borderId="35" xfId="3" applyFont="1" applyBorder="1" applyAlignment="1">
      <alignment horizontal="right"/>
    </xf>
    <xf numFmtId="0" fontId="41" fillId="0" borderId="36" xfId="3" applyFont="1" applyBorder="1" applyAlignment="1">
      <alignment horizontal="right"/>
    </xf>
    <xf numFmtId="0" fontId="41" fillId="0" borderId="24" xfId="3" applyFont="1" applyBorder="1" applyAlignment="1">
      <alignment horizontal="right"/>
    </xf>
    <xf numFmtId="0" fontId="39" fillId="0" borderId="3" xfId="3" applyFont="1" applyBorder="1" applyAlignment="1">
      <alignment horizontal="right"/>
    </xf>
    <xf numFmtId="164" fontId="39" fillId="0" borderId="33" xfId="3" applyNumberFormat="1" applyFont="1" applyBorder="1" applyAlignment="1">
      <alignment horizontal="center"/>
    </xf>
    <xf numFmtId="164" fontId="39" fillId="0" borderId="34" xfId="3" applyNumberFormat="1" applyFont="1" applyBorder="1" applyAlignment="1">
      <alignment horizontal="center"/>
    </xf>
    <xf numFmtId="164" fontId="39" fillId="0" borderId="33" xfId="3" applyNumberFormat="1" applyFont="1" applyBorder="1" applyAlignment="1">
      <alignment horizontal="right" wrapText="1"/>
    </xf>
    <xf numFmtId="164" fontId="39" fillId="0" borderId="24" xfId="3" applyNumberFormat="1" applyFont="1" applyBorder="1" applyAlignment="1">
      <alignment horizontal="right" wrapText="1"/>
    </xf>
    <xf numFmtId="164" fontId="39" fillId="0" borderId="33" xfId="0" applyNumberFormat="1" applyFont="1" applyBorder="1" applyAlignment="1">
      <alignment horizontal="center" wrapText="1"/>
    </xf>
    <xf numFmtId="164" fontId="39" fillId="0" borderId="34" xfId="0" applyNumberFormat="1" applyFont="1" applyBorder="1" applyAlignment="1">
      <alignment horizontal="center" wrapText="1"/>
    </xf>
    <xf numFmtId="0" fontId="41" fillId="0" borderId="27" xfId="3" applyFont="1" applyBorder="1" applyAlignment="1">
      <alignment horizontal="right"/>
    </xf>
    <xf numFmtId="0" fontId="41" fillId="0" borderId="28" xfId="3" applyFont="1" applyBorder="1" applyAlignment="1">
      <alignment horizontal="right"/>
    </xf>
    <xf numFmtId="0" fontId="41" fillId="0" borderId="5" xfId="3" applyFont="1" applyBorder="1" applyAlignment="1">
      <alignment horizontal="right"/>
    </xf>
    <xf numFmtId="0" fontId="39" fillId="0" borderId="5" xfId="3" applyFont="1" applyBorder="1" applyAlignment="1">
      <alignment horizontal="right"/>
    </xf>
    <xf numFmtId="0" fontId="41" fillId="3" borderId="8" xfId="3" applyFont="1" applyFill="1" applyBorder="1" applyAlignment="1">
      <alignment horizontal="left"/>
    </xf>
    <xf numFmtId="0" fontId="41" fillId="3" borderId="9" xfId="3" applyFont="1" applyFill="1" applyBorder="1" applyAlignment="1">
      <alignment horizontal="left"/>
    </xf>
    <xf numFmtId="0" fontId="41" fillId="3" borderId="10" xfId="3" applyFont="1" applyFill="1" applyBorder="1" applyAlignment="1">
      <alignment horizontal="left"/>
    </xf>
    <xf numFmtId="0" fontId="41" fillId="0" borderId="30" xfId="3" applyFont="1" applyBorder="1" applyAlignment="1">
      <alignment horizontal="right"/>
    </xf>
    <xf numFmtId="0" fontId="41" fillId="0" borderId="31" xfId="3" applyFont="1" applyBorder="1" applyAlignment="1">
      <alignment horizontal="right"/>
    </xf>
    <xf numFmtId="0" fontId="41" fillId="0" borderId="15" xfId="3" applyFont="1" applyBorder="1" applyAlignment="1">
      <alignment horizontal="right"/>
    </xf>
    <xf numFmtId="164" fontId="39" fillId="0" borderId="11" xfId="3" applyNumberFormat="1" applyFont="1" applyBorder="1" applyAlignment="1">
      <alignment horizontal="right"/>
    </xf>
    <xf numFmtId="0" fontId="39" fillId="2" borderId="12" xfId="3" applyFont="1" applyFill="1" applyBorder="1" applyAlignment="1">
      <alignment horizontal="center"/>
    </xf>
    <xf numFmtId="0" fontId="39" fillId="2" borderId="32" xfId="3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37" fillId="2" borderId="25" xfId="4" applyFont="1" applyFill="1" applyBorder="1" applyAlignment="1">
      <alignment horizontal="center"/>
    </xf>
    <xf numFmtId="0" fontId="3" fillId="2" borderId="0" xfId="4" applyFont="1" applyFill="1"/>
    <xf numFmtId="0" fontId="41" fillId="3" borderId="37" xfId="3" applyFont="1" applyFill="1" applyBorder="1" applyAlignment="1">
      <alignment horizontal="center" vertical="center"/>
    </xf>
    <xf numFmtId="0" fontId="41" fillId="3" borderId="27" xfId="3" applyFont="1" applyFill="1" applyBorder="1" applyAlignment="1">
      <alignment horizontal="center" vertical="center"/>
    </xf>
    <xf numFmtId="0" fontId="41" fillId="3" borderId="37" xfId="3" applyFont="1" applyFill="1" applyBorder="1" applyAlignment="1">
      <alignment horizontal="center" vertical="center" wrapText="1"/>
    </xf>
    <xf numFmtId="0" fontId="41" fillId="3" borderId="27" xfId="3" applyFont="1" applyFill="1" applyBorder="1" applyAlignment="1">
      <alignment horizontal="center" vertical="center" wrapText="1"/>
    </xf>
    <xf numFmtId="0" fontId="41" fillId="3" borderId="1" xfId="3" applyFont="1" applyFill="1" applyBorder="1" applyAlignment="1">
      <alignment horizontal="center" vertical="center"/>
    </xf>
    <xf numFmtId="0" fontId="41" fillId="3" borderId="5" xfId="3" applyFont="1" applyFill="1" applyBorder="1" applyAlignment="1">
      <alignment horizontal="center" vertical="center"/>
    </xf>
    <xf numFmtId="14" fontId="39" fillId="2" borderId="44" xfId="4" applyNumberFormat="1" applyFont="1" applyFill="1" applyBorder="1" applyAlignment="1">
      <alignment horizontal="center" vertical="center" wrapText="1"/>
    </xf>
    <xf numFmtId="14" fontId="39" fillId="2" borderId="48" xfId="4" applyNumberFormat="1" applyFont="1" applyFill="1" applyBorder="1" applyAlignment="1">
      <alignment horizontal="center" vertical="center" wrapText="1"/>
    </xf>
    <xf numFmtId="14" fontId="39" fillId="2" borderId="13" xfId="4" applyNumberFormat="1" applyFont="1" applyFill="1" applyBorder="1" applyAlignment="1">
      <alignment horizontal="center" vertical="center" wrapText="1"/>
    </xf>
    <xf numFmtId="0" fontId="39" fillId="2" borderId="45" xfId="4" applyFont="1" applyFill="1" applyBorder="1" applyAlignment="1">
      <alignment horizontal="left"/>
    </xf>
    <xf numFmtId="0" fontId="39" fillId="2" borderId="46" xfId="4" applyFont="1" applyFill="1" applyBorder="1" applyAlignment="1">
      <alignment horizontal="left"/>
    </xf>
    <xf numFmtId="0" fontId="39" fillId="2" borderId="47" xfId="4" applyFont="1" applyFill="1" applyBorder="1" applyAlignment="1">
      <alignment horizontal="left"/>
    </xf>
    <xf numFmtId="0" fontId="39" fillId="2" borderId="33" xfId="4" applyFont="1" applyFill="1" applyBorder="1" applyAlignment="1">
      <alignment horizontal="left"/>
    </xf>
    <xf numFmtId="0" fontId="39" fillId="2" borderId="36" xfId="4" applyFont="1" applyFill="1" applyBorder="1" applyAlignment="1">
      <alignment horizontal="left"/>
    </xf>
    <xf numFmtId="0" fontId="39" fillId="2" borderId="24" xfId="4" applyFont="1" applyFill="1" applyBorder="1" applyAlignment="1">
      <alignment horizontal="left"/>
    </xf>
    <xf numFmtId="0" fontId="39" fillId="2" borderId="38" xfId="4" applyFont="1" applyFill="1" applyBorder="1" applyAlignment="1">
      <alignment horizontal="center"/>
    </xf>
    <xf numFmtId="0" fontId="39" fillId="2" borderId="41" xfId="4" applyFont="1" applyFill="1" applyBorder="1" applyAlignment="1">
      <alignment horizontal="center"/>
    </xf>
    <xf numFmtId="0" fontId="39" fillId="2" borderId="6" xfId="4" applyFont="1" applyFill="1" applyBorder="1" applyAlignment="1">
      <alignment horizontal="center"/>
    </xf>
    <xf numFmtId="0" fontId="39" fillId="2" borderId="0" xfId="4" applyFont="1" applyFill="1" applyAlignment="1">
      <alignment horizontal="center"/>
    </xf>
    <xf numFmtId="0" fontId="39" fillId="2" borderId="30" xfId="4" applyFont="1" applyFill="1" applyBorder="1" applyAlignment="1">
      <alignment horizontal="center"/>
    </xf>
    <xf numFmtId="0" fontId="39" fillId="2" borderId="31" xfId="4" applyFont="1" applyFill="1" applyBorder="1" applyAlignment="1">
      <alignment horizontal="center"/>
    </xf>
    <xf numFmtId="0" fontId="40" fillId="2" borderId="1" xfId="4" applyFont="1" applyFill="1" applyBorder="1" applyAlignment="1">
      <alignment horizontal="center"/>
    </xf>
    <xf numFmtId="0" fontId="40" fillId="2" borderId="29" xfId="4" applyFont="1" applyFill="1" applyBorder="1" applyAlignment="1">
      <alignment horizontal="center"/>
    </xf>
    <xf numFmtId="0" fontId="40" fillId="2" borderId="42" xfId="4" applyFont="1" applyFill="1" applyBorder="1" applyAlignment="1">
      <alignment horizontal="center"/>
    </xf>
    <xf numFmtId="0" fontId="40" fillId="2" borderId="28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 vertical="center" wrapText="1"/>
    </xf>
    <xf numFmtId="0" fontId="41" fillId="2" borderId="43" xfId="4" applyFont="1" applyFill="1" applyBorder="1" applyAlignment="1">
      <alignment horizontal="right" vertical="top" wrapText="1"/>
    </xf>
    <xf numFmtId="0" fontId="41" fillId="2" borderId="39" xfId="4" applyFont="1" applyFill="1" applyBorder="1" applyAlignment="1">
      <alignment horizontal="right" vertical="top" wrapText="1"/>
    </xf>
    <xf numFmtId="0" fontId="41" fillId="2" borderId="40" xfId="4" applyFont="1" applyFill="1" applyBorder="1" applyAlignment="1">
      <alignment horizontal="right" vertical="top" wrapText="1"/>
    </xf>
    <xf numFmtId="0" fontId="17" fillId="0" borderId="0" xfId="0" applyFont="1" applyAlignment="1">
      <alignment horizontal="center" vertical="center"/>
    </xf>
    <xf numFmtId="0" fontId="33" fillId="0" borderId="8" xfId="0" applyFont="1" applyBorder="1" applyAlignment="1">
      <alignment horizontal="right" vertical="center"/>
    </xf>
    <xf numFmtId="0" fontId="33" fillId="0" borderId="9" xfId="0" applyFont="1" applyBorder="1" applyAlignment="1">
      <alignment horizontal="right" vertical="center"/>
    </xf>
    <xf numFmtId="0" fontId="33" fillId="0" borderId="10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5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2" fillId="4" borderId="8" xfId="0" applyFont="1" applyFill="1" applyBorder="1" applyAlignment="1">
      <alignment horizontal="right"/>
    </xf>
    <xf numFmtId="0" fontId="22" fillId="4" borderId="9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9" fillId="8" borderId="8" xfId="0" applyFont="1" applyFill="1" applyBorder="1" applyAlignment="1">
      <alignment horizontal="right" vertical="center"/>
    </xf>
    <xf numFmtId="0" fontId="9" fillId="8" borderId="9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horizontal="right" vertical="center"/>
    </xf>
    <xf numFmtId="4" fontId="31" fillId="0" borderId="0" xfId="2" applyNumberFormat="1" applyFont="1" applyFill="1" applyAlignment="1">
      <alignment horizontal="center" vertical="center" wrapText="1"/>
    </xf>
    <xf numFmtId="0" fontId="25" fillId="0" borderId="3" xfId="0" applyFont="1" applyBorder="1" applyAlignment="1">
      <alignment horizontal="right" vertical="center"/>
    </xf>
    <xf numFmtId="0" fontId="26" fillId="0" borderId="6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7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8" fillId="0" borderId="38" xfId="0" applyFont="1" applyBorder="1" applyAlignment="1">
      <alignment horizontal="right"/>
    </xf>
    <xf numFmtId="0" fontId="18" fillId="0" borderId="41" xfId="0" applyFont="1" applyBorder="1" applyAlignment="1">
      <alignment horizontal="right"/>
    </xf>
    <xf numFmtId="0" fontId="8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12" fillId="0" borderId="2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right" vertical="center" wrapText="1"/>
    </xf>
  </cellXfs>
  <cellStyles count="7">
    <cellStyle name="Millares" xfId="1" builtinId="3"/>
    <cellStyle name="Millares [0]" xfId="2" builtinId="6"/>
    <cellStyle name="Normal" xfId="0" builtinId="0"/>
    <cellStyle name="Normal 2" xfId="3" xr:uid="{753A90F1-FA05-4766-9FBC-790B7FDD9E3A}"/>
    <cellStyle name="Normal 3 2" xfId="6" xr:uid="{2D8D21CA-D2A4-46DF-BA35-442524281812}"/>
    <cellStyle name="Normal_CRITERIOS DE EVALUACION PT DE GB 2" xfId="4" xr:uid="{B569B5DC-9A35-4D96-AD91-ECE05B0BF71C}"/>
    <cellStyle name="Porcentaje 2" xfId="5" xr:uid="{77A85A9F-E7EF-429D-B406-70C539D3EF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tong\AppData\Local\Microsoft\Windows\INetCache\Content.Outlook\SNF1NLOV\Relleno%20de%20tocino%20y%20ques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tong\AppData\Local\Microsoft\Windows\INetCache\Content.Outlook\SNF1NLOV\Rollo%20espinaca%20y%20que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ineta"/>
      <sheetName val="Costo Tocineta "/>
      <sheetName val="Relleno"/>
      <sheetName val="Costo Relleno"/>
    </sheetNames>
    <sheetDataSet>
      <sheetData sheetId="0"/>
      <sheetData sheetId="1"/>
      <sheetData sheetId="2"/>
      <sheetData sheetId="3">
        <row r="69">
          <cell r="E69">
            <v>6.9371547999999992</v>
          </cell>
        </row>
        <row r="74">
          <cell r="E74">
            <v>0.23941400000000004</v>
          </cell>
        </row>
        <row r="76">
          <cell r="E76">
            <v>1.0751923349534655E-2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 espinaca"/>
      <sheetName val="Costo Rollo"/>
      <sheetName val="Empaque"/>
      <sheetName val="costo empaque "/>
    </sheetNames>
    <sheetDataSet>
      <sheetData sheetId="0"/>
      <sheetData sheetId="1">
        <row r="56">
          <cell r="H56">
            <v>58.723747804845502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4D42-3A78-4A0D-AB33-38CC8587BB47}">
  <dimension ref="A1:I52"/>
  <sheetViews>
    <sheetView tabSelected="1" view="pageBreakPreview" zoomScale="60" zoomScaleNormal="70" workbookViewId="0">
      <selection activeCell="R11" sqref="R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241"/>
      <c r="B1" s="242"/>
      <c r="C1" s="247" t="s">
        <v>21</v>
      </c>
      <c r="D1" s="247"/>
      <c r="E1" s="247"/>
      <c r="F1" s="247"/>
      <c r="G1" s="247"/>
      <c r="H1" s="111" t="s">
        <v>20</v>
      </c>
      <c r="I1" s="1" t="s">
        <v>118</v>
      </c>
    </row>
    <row r="2" spans="1:9" ht="16.5" thickBot="1" x14ac:dyDescent="0.3">
      <c r="A2" s="243"/>
      <c r="B2" s="244"/>
      <c r="C2" s="248" t="s">
        <v>0</v>
      </c>
      <c r="D2" s="249"/>
      <c r="E2" s="249"/>
      <c r="F2" s="249"/>
      <c r="G2" s="250"/>
      <c r="H2" s="112" t="s">
        <v>19</v>
      </c>
      <c r="I2" s="113" t="s">
        <v>105</v>
      </c>
    </row>
    <row r="3" spans="1:9" ht="15.75" thickBot="1" x14ac:dyDescent="0.25">
      <c r="A3" s="243"/>
      <c r="B3" s="244"/>
      <c r="C3" s="251" t="s">
        <v>101</v>
      </c>
      <c r="D3" s="251"/>
      <c r="E3" s="251"/>
      <c r="F3" s="251"/>
      <c r="G3" s="251"/>
      <c r="H3" s="252" t="s">
        <v>18</v>
      </c>
      <c r="I3" s="232">
        <v>45611</v>
      </c>
    </row>
    <row r="4" spans="1:9" ht="13.5" x14ac:dyDescent="0.25">
      <c r="A4" s="243"/>
      <c r="B4" s="244"/>
      <c r="C4" s="114" t="s">
        <v>17</v>
      </c>
      <c r="D4" s="235" t="s">
        <v>106</v>
      </c>
      <c r="E4" s="236"/>
      <c r="F4" s="236"/>
      <c r="G4" s="237"/>
      <c r="H4" s="253"/>
      <c r="I4" s="233"/>
    </row>
    <row r="5" spans="1:9" ht="14.25" thickBot="1" x14ac:dyDescent="0.3">
      <c r="A5" s="245"/>
      <c r="B5" s="246"/>
      <c r="C5" s="115" t="s">
        <v>16</v>
      </c>
      <c r="D5" s="238" t="s">
        <v>107</v>
      </c>
      <c r="E5" s="239"/>
      <c r="F5" s="239"/>
      <c r="G5" s="240"/>
      <c r="H5" s="254"/>
      <c r="I5" s="234"/>
    </row>
    <row r="6" spans="1:9" ht="18.75" thickBot="1" x14ac:dyDescent="0.3">
      <c r="A6" s="223" t="s">
        <v>22</v>
      </c>
      <c r="B6" s="223"/>
      <c r="C6" s="223"/>
      <c r="D6" s="224" t="s">
        <v>28</v>
      </c>
      <c r="E6" s="224"/>
      <c r="F6" s="224"/>
      <c r="G6" s="225" t="s">
        <v>23</v>
      </c>
      <c r="H6" s="225"/>
      <c r="I6" s="4" t="s">
        <v>28</v>
      </c>
    </row>
    <row r="7" spans="1:9" ht="25.5" x14ac:dyDescent="0.2">
      <c r="A7" s="226" t="s">
        <v>108</v>
      </c>
      <c r="B7" s="228" t="s">
        <v>95</v>
      </c>
      <c r="C7" s="230" t="s">
        <v>1</v>
      </c>
      <c r="D7" s="230" t="s">
        <v>2</v>
      </c>
      <c r="E7" s="230" t="s">
        <v>3</v>
      </c>
      <c r="F7" s="230"/>
      <c r="G7" s="230" t="s">
        <v>15</v>
      </c>
      <c r="H7" s="230"/>
      <c r="I7" s="116" t="s">
        <v>4</v>
      </c>
    </row>
    <row r="8" spans="1:9" ht="26.25" thickBot="1" x14ac:dyDescent="0.25">
      <c r="A8" s="227"/>
      <c r="B8" s="229"/>
      <c r="C8" s="231"/>
      <c r="D8" s="231"/>
      <c r="E8" s="117" t="s">
        <v>5</v>
      </c>
      <c r="F8" s="118" t="s">
        <v>6</v>
      </c>
      <c r="G8" s="117" t="s">
        <v>5</v>
      </c>
      <c r="H8" s="118" t="s">
        <v>6</v>
      </c>
      <c r="I8" s="119" t="s">
        <v>7</v>
      </c>
    </row>
    <row r="9" spans="1:9" ht="15" x14ac:dyDescent="0.25">
      <c r="A9" s="120"/>
      <c r="B9" s="121"/>
      <c r="C9" s="122" t="s">
        <v>109</v>
      </c>
      <c r="D9" s="123"/>
      <c r="E9" s="124"/>
      <c r="F9" s="125"/>
      <c r="G9" s="124"/>
      <c r="H9" s="125"/>
      <c r="I9" s="126"/>
    </row>
    <row r="10" spans="1:9" ht="15" x14ac:dyDescent="0.25">
      <c r="A10" s="5">
        <v>906000014</v>
      </c>
      <c r="B10" s="5" t="s">
        <v>97</v>
      </c>
      <c r="C10" t="s">
        <v>30</v>
      </c>
      <c r="D10" s="6" t="s">
        <v>27</v>
      </c>
      <c r="E10" s="3">
        <v>600</v>
      </c>
      <c r="F10" s="3" t="s">
        <v>24</v>
      </c>
      <c r="G10" s="127"/>
      <c r="H10" s="128"/>
      <c r="I10" s="126"/>
    </row>
    <row r="11" spans="1:9" ht="15" x14ac:dyDescent="0.25">
      <c r="A11" s="109">
        <v>90100408</v>
      </c>
      <c r="B11" s="109" t="s">
        <v>96</v>
      </c>
      <c r="C11" s="110" t="s">
        <v>37</v>
      </c>
      <c r="D11" s="6" t="s">
        <v>27</v>
      </c>
      <c r="E11" s="3">
        <v>500</v>
      </c>
      <c r="F11" s="3" t="s">
        <v>24</v>
      </c>
      <c r="G11" s="129"/>
      <c r="H11" s="128"/>
      <c r="I11" s="126"/>
    </row>
    <row r="12" spans="1:9" ht="15" x14ac:dyDescent="0.25">
      <c r="A12" s="130"/>
      <c r="B12" s="131"/>
      <c r="C12" s="132"/>
      <c r="D12" s="3"/>
      <c r="E12" s="3"/>
      <c r="F12" s="3"/>
      <c r="G12" s="2"/>
      <c r="H12" s="128"/>
      <c r="I12" s="126"/>
    </row>
    <row r="13" spans="1:9" ht="15" x14ac:dyDescent="0.25">
      <c r="A13" s="133"/>
      <c r="B13" s="133"/>
      <c r="C13" s="108"/>
      <c r="D13" s="107"/>
      <c r="E13" s="3"/>
      <c r="F13" s="3"/>
      <c r="G13" s="134"/>
      <c r="H13" s="128"/>
      <c r="I13" s="126"/>
    </row>
    <row r="14" spans="1:9" ht="15" x14ac:dyDescent="0.25">
      <c r="A14" s="133"/>
      <c r="B14" s="133"/>
      <c r="C14" s="108"/>
      <c r="D14" s="107"/>
      <c r="E14" s="3"/>
      <c r="F14" s="3"/>
      <c r="G14" s="134"/>
      <c r="H14" s="128"/>
      <c r="I14" s="126"/>
    </row>
    <row r="15" spans="1:9" ht="15" x14ac:dyDescent="0.25">
      <c r="A15" s="130"/>
      <c r="B15" s="131"/>
      <c r="C15" s="132"/>
      <c r="D15" s="3"/>
      <c r="E15" s="3"/>
      <c r="F15" s="3"/>
      <c r="G15" s="134"/>
      <c r="H15" s="128"/>
      <c r="I15" s="126"/>
    </row>
    <row r="16" spans="1:9" ht="15" x14ac:dyDescent="0.25">
      <c r="A16" s="7"/>
      <c r="B16" s="7"/>
      <c r="C16" s="135"/>
      <c r="D16" s="136"/>
      <c r="E16" s="136"/>
      <c r="F16" s="137"/>
      <c r="G16" s="124"/>
      <c r="H16" s="128"/>
      <c r="I16" s="126"/>
    </row>
    <row r="17" spans="1:9" ht="15.75" x14ac:dyDescent="0.25">
      <c r="A17" s="138"/>
      <c r="B17" s="139"/>
      <c r="C17" s="140" t="s">
        <v>110</v>
      </c>
      <c r="D17" s="141"/>
      <c r="E17" s="129"/>
      <c r="F17" s="137"/>
      <c r="G17" s="124"/>
      <c r="H17" s="125"/>
      <c r="I17" s="126"/>
    </row>
    <row r="18" spans="1:9" ht="15" x14ac:dyDescent="0.25">
      <c r="A18" s="142"/>
      <c r="B18" s="143"/>
      <c r="C18" s="144"/>
      <c r="D18" s="145"/>
      <c r="E18" s="136"/>
      <c r="F18" s="137"/>
      <c r="G18" s="124"/>
      <c r="H18" s="125"/>
      <c r="I18" s="126"/>
    </row>
    <row r="19" spans="1:9" ht="15" x14ac:dyDescent="0.25">
      <c r="A19" s="7"/>
      <c r="B19" s="7"/>
      <c r="C19" s="135"/>
      <c r="D19" s="145"/>
      <c r="E19" s="136"/>
      <c r="F19" s="137"/>
      <c r="G19" s="124"/>
      <c r="H19" s="125"/>
      <c r="I19" s="126"/>
    </row>
    <row r="20" spans="1:9" ht="15" x14ac:dyDescent="0.25">
      <c r="A20" s="146"/>
      <c r="B20" s="146"/>
      <c r="C20" s="144"/>
      <c r="D20" s="145"/>
      <c r="E20" s="136"/>
      <c r="F20" s="137"/>
      <c r="G20" s="124"/>
      <c r="H20" s="125"/>
      <c r="I20" s="126"/>
    </row>
    <row r="21" spans="1:9" ht="15" x14ac:dyDescent="0.25">
      <c r="A21" s="7"/>
      <c r="B21" s="7"/>
      <c r="C21" s="135"/>
      <c r="D21" s="136"/>
      <c r="E21" s="141"/>
      <c r="F21" s="137"/>
      <c r="G21" s="124"/>
      <c r="H21" s="125"/>
      <c r="I21" s="126"/>
    </row>
    <row r="22" spans="1:9" ht="15" x14ac:dyDescent="0.25">
      <c r="A22" s="7"/>
      <c r="B22" s="7"/>
      <c r="C22" s="135"/>
      <c r="D22" s="147"/>
      <c r="E22" s="148"/>
      <c r="F22" s="149"/>
      <c r="G22" s="124"/>
      <c r="H22" s="125"/>
      <c r="I22" s="126"/>
    </row>
    <row r="23" spans="1:9" ht="15.75" x14ac:dyDescent="0.25">
      <c r="A23" s="150"/>
      <c r="B23" s="151"/>
      <c r="C23" s="152" t="s">
        <v>111</v>
      </c>
      <c r="D23" s="153"/>
      <c r="E23" s="154"/>
      <c r="F23" s="125"/>
      <c r="G23" s="124"/>
      <c r="I23" s="126"/>
    </row>
    <row r="24" spans="1:9" ht="15" x14ac:dyDescent="0.25">
      <c r="A24" s="106">
        <v>90100137</v>
      </c>
      <c r="B24" s="107" t="s">
        <v>98</v>
      </c>
      <c r="C24" s="108" t="s">
        <v>99</v>
      </c>
      <c r="D24" s="6" t="s">
        <v>27</v>
      </c>
      <c r="E24" s="3">
        <v>50</v>
      </c>
      <c r="F24" s="3" t="s">
        <v>24</v>
      </c>
      <c r="G24" s="155"/>
      <c r="H24" s="125"/>
      <c r="I24" s="126"/>
    </row>
    <row r="25" spans="1:9" ht="15" x14ac:dyDescent="0.25">
      <c r="A25" s="5" t="s">
        <v>102</v>
      </c>
      <c r="B25" s="5" t="s">
        <v>103</v>
      </c>
      <c r="C25" t="s">
        <v>112</v>
      </c>
      <c r="D25" s="156"/>
      <c r="E25" s="157">
        <v>10</v>
      </c>
      <c r="F25" s="158" t="s">
        <v>25</v>
      </c>
      <c r="G25" s="155"/>
      <c r="H25" s="125"/>
      <c r="I25" s="126"/>
    </row>
    <row r="26" spans="1:9" ht="15" x14ac:dyDescent="0.25">
      <c r="A26" s="133"/>
      <c r="B26" s="133"/>
      <c r="C26" s="108"/>
      <c r="D26" s="107"/>
      <c r="E26" s="3"/>
      <c r="F26" s="3"/>
      <c r="G26" s="155"/>
      <c r="H26" s="125"/>
      <c r="I26" s="126"/>
    </row>
    <row r="27" spans="1:9" ht="15" x14ac:dyDescent="0.25">
      <c r="A27" s="130"/>
      <c r="B27" s="131"/>
      <c r="C27" s="132"/>
      <c r="D27" s="3"/>
      <c r="E27" s="3"/>
      <c r="F27" s="3"/>
      <c r="G27" s="124"/>
      <c r="H27" s="125"/>
      <c r="I27" s="126"/>
    </row>
    <row r="28" spans="1:9" ht="15" x14ac:dyDescent="0.25">
      <c r="B28" s="8"/>
      <c r="D28" s="141"/>
      <c r="E28" s="159"/>
      <c r="F28" s="159"/>
      <c r="G28" s="124"/>
      <c r="H28" s="125"/>
      <c r="I28" s="126"/>
    </row>
    <row r="29" spans="1:9" ht="15" x14ac:dyDescent="0.25">
      <c r="A29" s="160"/>
      <c r="B29" s="161"/>
      <c r="C29" s="162"/>
      <c r="D29" s="133"/>
      <c r="E29" s="136"/>
      <c r="F29" s="137"/>
      <c r="G29" s="163"/>
      <c r="H29" s="141"/>
      <c r="I29" s="126"/>
    </row>
    <row r="30" spans="1:9" ht="15" x14ac:dyDescent="0.25">
      <c r="A30" s="138"/>
      <c r="B30" s="139"/>
      <c r="C30" s="164"/>
      <c r="D30" s="133"/>
      <c r="E30" s="136"/>
      <c r="F30" s="137"/>
      <c r="G30" s="136"/>
      <c r="H30" s="141"/>
      <c r="I30" s="126"/>
    </row>
    <row r="31" spans="1:9" ht="15.75" x14ac:dyDescent="0.25">
      <c r="A31" s="138"/>
      <c r="B31" s="139"/>
      <c r="C31" s="164"/>
      <c r="D31" s="133"/>
      <c r="E31" s="136"/>
      <c r="F31" s="137"/>
      <c r="G31" s="165"/>
      <c r="H31" s="137"/>
      <c r="I31" s="126"/>
    </row>
    <row r="32" spans="1:9" ht="15.75" x14ac:dyDescent="0.25">
      <c r="A32" s="138"/>
      <c r="B32" s="139"/>
      <c r="C32" s="164"/>
      <c r="D32" s="141"/>
      <c r="E32" s="141"/>
      <c r="F32" s="137"/>
      <c r="G32" s="166"/>
      <c r="H32" s="166"/>
      <c r="I32" s="126"/>
    </row>
    <row r="33" spans="1:9" ht="14.25" thickBot="1" x14ac:dyDescent="0.3">
      <c r="A33" s="167"/>
      <c r="B33" s="168"/>
      <c r="C33" s="169"/>
      <c r="D33" s="169"/>
      <c r="E33" s="170"/>
      <c r="F33" s="171"/>
      <c r="G33" s="169"/>
      <c r="H33" s="169"/>
      <c r="I33" s="172"/>
    </row>
    <row r="34" spans="1:9" ht="14.25" thickBot="1" x14ac:dyDescent="0.3">
      <c r="A34" s="173"/>
      <c r="B34" s="174"/>
      <c r="C34" s="175"/>
      <c r="D34" s="176" t="s">
        <v>5</v>
      </c>
      <c r="E34" s="177" t="s">
        <v>14</v>
      </c>
      <c r="F34" s="178"/>
      <c r="G34" s="175"/>
      <c r="H34" s="175"/>
      <c r="I34" s="179"/>
    </row>
    <row r="35" spans="1:9" ht="13.5" x14ac:dyDescent="0.25">
      <c r="A35" s="217" t="s">
        <v>9</v>
      </c>
      <c r="B35" s="218"/>
      <c r="C35" s="219"/>
      <c r="D35" s="180">
        <v>1100</v>
      </c>
      <c r="E35" s="181" t="s">
        <v>24</v>
      </c>
      <c r="F35" s="220" t="s">
        <v>113</v>
      </c>
      <c r="G35" s="220"/>
      <c r="H35" s="221"/>
      <c r="I35" s="222"/>
    </row>
    <row r="36" spans="1:9" ht="13.5" x14ac:dyDescent="0.25">
      <c r="A36" s="200" t="s">
        <v>8</v>
      </c>
      <c r="B36" s="201"/>
      <c r="C36" s="202"/>
      <c r="D36" s="182">
        <v>6</v>
      </c>
      <c r="E36" s="183" t="s">
        <v>26</v>
      </c>
      <c r="F36" s="203" t="s">
        <v>114</v>
      </c>
      <c r="G36" s="203"/>
      <c r="H36" s="204"/>
      <c r="I36" s="205"/>
    </row>
    <row r="37" spans="1:9" ht="13.5" x14ac:dyDescent="0.25">
      <c r="A37" s="200" t="s">
        <v>13</v>
      </c>
      <c r="B37" s="201"/>
      <c r="C37" s="202"/>
      <c r="D37" s="183">
        <v>10</v>
      </c>
      <c r="E37" s="183" t="s">
        <v>25</v>
      </c>
      <c r="F37" s="203" t="s">
        <v>115</v>
      </c>
      <c r="G37" s="203"/>
      <c r="H37" s="204"/>
      <c r="I37" s="205"/>
    </row>
    <row r="38" spans="1:9" ht="13.5" x14ac:dyDescent="0.25">
      <c r="A38" s="200" t="s">
        <v>12</v>
      </c>
      <c r="B38" s="201"/>
      <c r="C38" s="202"/>
      <c r="D38" s="184">
        <v>110</v>
      </c>
      <c r="E38" s="183" t="s">
        <v>24</v>
      </c>
      <c r="F38" s="206" t="s">
        <v>116</v>
      </c>
      <c r="G38" s="207"/>
      <c r="H38" s="208" t="s">
        <v>117</v>
      </c>
      <c r="I38" s="209"/>
    </row>
    <row r="39" spans="1:9" ht="14.25" thickBot="1" x14ac:dyDescent="0.3">
      <c r="A39" s="210" t="s">
        <v>11</v>
      </c>
      <c r="B39" s="211"/>
      <c r="C39" s="212"/>
      <c r="D39" s="185">
        <v>60</v>
      </c>
      <c r="E39" s="186" t="s">
        <v>24</v>
      </c>
      <c r="F39" s="213"/>
      <c r="G39" s="213"/>
      <c r="H39" s="204"/>
      <c r="I39" s="205"/>
    </row>
    <row r="40" spans="1:9" ht="13.5" thickBot="1" x14ac:dyDescent="0.25">
      <c r="A40" s="214" t="s">
        <v>10</v>
      </c>
      <c r="B40" s="215"/>
      <c r="C40" s="215"/>
      <c r="D40" s="215"/>
      <c r="E40" s="215"/>
      <c r="F40" s="215"/>
      <c r="G40" s="215"/>
      <c r="H40" s="215"/>
      <c r="I40" s="216"/>
    </row>
    <row r="41" spans="1:9" ht="15" x14ac:dyDescent="0.25">
      <c r="A41" s="194" t="s">
        <v>32</v>
      </c>
      <c r="B41" s="195"/>
      <c r="C41" s="195"/>
      <c r="D41" s="195"/>
      <c r="E41" s="195"/>
      <c r="F41" s="195"/>
      <c r="G41" s="195"/>
      <c r="H41" s="195"/>
      <c r="I41" s="196"/>
    </row>
    <row r="42" spans="1:9" ht="15" x14ac:dyDescent="0.25">
      <c r="A42" s="194" t="s">
        <v>33</v>
      </c>
      <c r="B42" s="195"/>
      <c r="C42" s="195"/>
      <c r="D42" s="195"/>
      <c r="E42" s="195"/>
      <c r="F42" s="195"/>
      <c r="G42" s="195"/>
      <c r="H42" s="195"/>
      <c r="I42" s="196"/>
    </row>
    <row r="43" spans="1:9" ht="15" x14ac:dyDescent="0.25">
      <c r="A43" s="194" t="s">
        <v>34</v>
      </c>
      <c r="B43" s="195"/>
      <c r="C43" s="195"/>
      <c r="D43" s="195"/>
      <c r="E43" s="195"/>
      <c r="F43" s="195"/>
      <c r="G43" s="195"/>
      <c r="H43" s="195"/>
      <c r="I43" s="196"/>
    </row>
    <row r="44" spans="1:9" ht="15" x14ac:dyDescent="0.25">
      <c r="A44" s="194" t="s">
        <v>104</v>
      </c>
      <c r="B44" s="195"/>
      <c r="C44" s="195"/>
      <c r="D44" s="195"/>
      <c r="E44" s="195"/>
      <c r="F44" s="195"/>
      <c r="G44" s="195"/>
      <c r="H44" s="195"/>
      <c r="I44" s="196"/>
    </row>
    <row r="45" spans="1:9" ht="15" x14ac:dyDescent="0.25">
      <c r="A45" s="194" t="s">
        <v>35</v>
      </c>
      <c r="B45" s="195"/>
      <c r="C45" s="195"/>
      <c r="D45" s="195"/>
      <c r="E45" s="195"/>
      <c r="F45" s="195"/>
      <c r="G45" s="195"/>
      <c r="H45" s="195"/>
      <c r="I45" s="196"/>
    </row>
    <row r="46" spans="1:9" ht="15" x14ac:dyDescent="0.25">
      <c r="A46" s="194"/>
      <c r="B46" s="195"/>
      <c r="C46" s="195"/>
      <c r="D46" s="195"/>
      <c r="E46" s="195"/>
      <c r="F46" s="195"/>
      <c r="G46" s="195"/>
      <c r="H46" s="195"/>
      <c r="I46" s="196"/>
    </row>
    <row r="47" spans="1:9" ht="14.25" x14ac:dyDescent="0.2">
      <c r="A47" s="197"/>
      <c r="B47" s="198"/>
      <c r="C47" s="198"/>
      <c r="D47" s="198"/>
      <c r="E47" s="198"/>
      <c r="F47" s="198"/>
      <c r="G47" s="198"/>
      <c r="H47" s="198"/>
      <c r="I47" s="199"/>
    </row>
    <row r="48" spans="1:9" ht="14.25" x14ac:dyDescent="0.2">
      <c r="A48" s="197"/>
      <c r="B48" s="198"/>
      <c r="C48" s="198"/>
      <c r="D48" s="198"/>
      <c r="E48" s="198"/>
      <c r="F48" s="198"/>
      <c r="G48" s="198"/>
      <c r="H48" s="198"/>
      <c r="I48" s="199"/>
    </row>
    <row r="49" spans="1:9" ht="15" thickBot="1" x14ac:dyDescent="0.25">
      <c r="A49" s="187"/>
      <c r="B49" s="188"/>
      <c r="C49" s="188"/>
      <c r="D49" s="188"/>
      <c r="E49" s="188"/>
      <c r="F49" s="188"/>
      <c r="G49" s="188"/>
      <c r="H49" s="188"/>
      <c r="I49" s="189"/>
    </row>
    <row r="50" spans="1:9" x14ac:dyDescent="0.2">
      <c r="A50" s="190" t="s">
        <v>100</v>
      </c>
      <c r="B50" s="191"/>
      <c r="C50" s="191"/>
      <c r="D50" s="191"/>
      <c r="E50" s="191"/>
      <c r="F50" s="191"/>
      <c r="G50" s="191"/>
      <c r="H50" s="191"/>
      <c r="I50" s="191"/>
    </row>
    <row r="51" spans="1:9" ht="13.5" x14ac:dyDescent="0.25">
      <c r="A51" s="192"/>
      <c r="B51" s="193"/>
      <c r="C51" s="193"/>
      <c r="D51" s="193"/>
      <c r="E51" s="193"/>
      <c r="F51" s="193"/>
      <c r="G51" s="193"/>
      <c r="H51" s="193"/>
      <c r="I51" s="193"/>
    </row>
    <row r="52" spans="1:9" ht="13.5" x14ac:dyDescent="0.25">
      <c r="A52" s="192"/>
      <c r="B52" s="193"/>
      <c r="C52" s="193"/>
      <c r="D52" s="193"/>
      <c r="E52" s="193"/>
      <c r="F52" s="193"/>
      <c r="G52" s="193"/>
      <c r="H52" s="193"/>
      <c r="I52" s="19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FAF6-281D-4C2E-8736-58DAA3CCB4DC}">
  <dimension ref="A1:Q91"/>
  <sheetViews>
    <sheetView topLeftCell="A42" workbookViewId="0">
      <selection activeCell="E46" sqref="E46"/>
    </sheetView>
  </sheetViews>
  <sheetFormatPr baseColWidth="10" defaultColWidth="8.42578125" defaultRowHeight="12.75" x14ac:dyDescent="0.2"/>
  <cols>
    <col min="1" max="1" width="10" style="14" bestFit="1" customWidth="1"/>
    <col min="2" max="2" width="44.28515625" style="14" bestFit="1" customWidth="1"/>
    <col min="3" max="3" width="10.42578125" style="14" bestFit="1" customWidth="1"/>
    <col min="4" max="4" width="10.42578125" style="14" customWidth="1"/>
    <col min="5" max="5" width="9.7109375" style="14" bestFit="1" customWidth="1"/>
    <col min="6" max="6" width="9.5703125" style="14" bestFit="1" customWidth="1"/>
    <col min="7" max="7" width="9.5703125" style="96" bestFit="1" customWidth="1"/>
    <col min="8" max="8" width="10.42578125" style="87" bestFit="1" customWidth="1"/>
    <col min="9" max="9" width="4.5703125" style="87" customWidth="1"/>
    <col min="10" max="10" width="1.7109375" style="13" customWidth="1"/>
    <col min="11" max="11" width="7" style="14" bestFit="1" customWidth="1"/>
    <col min="12" max="12" width="6.28515625" style="14" customWidth="1"/>
    <col min="13" max="13" width="20.42578125" style="14" customWidth="1"/>
    <col min="14" max="14" width="6.42578125" style="14" bestFit="1" customWidth="1"/>
    <col min="15" max="16" width="8.42578125" style="14"/>
    <col min="17" max="17" width="3.28515625" style="14" customWidth="1"/>
    <col min="18" max="16384" width="8.42578125" style="14"/>
  </cols>
  <sheetData>
    <row r="1" spans="1:10" ht="27.75" customHeight="1" x14ac:dyDescent="0.2">
      <c r="A1" s="9"/>
      <c r="B1" s="9"/>
      <c r="C1" s="9"/>
      <c r="D1" s="9"/>
      <c r="E1" s="10" t="s">
        <v>39</v>
      </c>
      <c r="F1" s="11" t="s">
        <v>40</v>
      </c>
      <c r="G1" s="11" t="s">
        <v>41</v>
      </c>
      <c r="H1" s="11" t="s">
        <v>42</v>
      </c>
      <c r="I1" s="12"/>
    </row>
    <row r="2" spans="1:10" ht="30.75" customHeight="1" x14ac:dyDescent="0.2">
      <c r="A2" s="9"/>
      <c r="B2" s="9"/>
      <c r="C2" s="9"/>
      <c r="D2" s="9"/>
      <c r="E2" s="15">
        <f>IFERROR(O62,"")</f>
        <v>439.48467801166652</v>
      </c>
      <c r="F2" s="15">
        <f>IFERROR(H53,"")</f>
        <v>421.85774000000004</v>
      </c>
      <c r="G2" s="15">
        <f>IFERROR(H54,"")</f>
        <v>5.6606419424767322</v>
      </c>
      <c r="H2" s="15">
        <f>IFERROR(H56,"")</f>
        <v>61.339836993325505</v>
      </c>
      <c r="I2" s="16"/>
    </row>
    <row r="3" spans="1:10" ht="15" customHeight="1" x14ac:dyDescent="0.2">
      <c r="A3" s="9"/>
      <c r="B3" s="9"/>
      <c r="C3" s="9"/>
      <c r="D3" s="9"/>
      <c r="E3" s="9"/>
      <c r="F3" s="17"/>
      <c r="G3" s="17"/>
      <c r="H3" s="17"/>
      <c r="I3" s="17"/>
    </row>
    <row r="4" spans="1:10" ht="24.75" customHeight="1" thickBot="1" x14ac:dyDescent="0.25">
      <c r="A4" s="281"/>
      <c r="B4" s="281"/>
      <c r="C4" s="281"/>
      <c r="D4" s="281"/>
      <c r="E4" s="281"/>
      <c r="F4" s="281"/>
      <c r="G4" s="281"/>
      <c r="H4" s="281"/>
      <c r="I4" s="18"/>
    </row>
    <row r="5" spans="1:10" ht="19.5" customHeight="1" thickBot="1" x14ac:dyDescent="0.25">
      <c r="A5" s="282" t="s">
        <v>43</v>
      </c>
      <c r="B5" s="283"/>
      <c r="C5" s="283"/>
      <c r="D5" s="283"/>
      <c r="E5" s="283"/>
      <c r="F5" s="283"/>
      <c r="G5" s="283"/>
      <c r="H5" s="284"/>
      <c r="I5" s="19"/>
    </row>
    <row r="6" spans="1:10" ht="19.5" thickBot="1" x14ac:dyDescent="0.25">
      <c r="A6" s="19"/>
      <c r="B6" s="19"/>
      <c r="C6" s="19"/>
      <c r="D6" s="19"/>
      <c r="E6" s="19"/>
      <c r="F6" s="285" t="s">
        <v>44</v>
      </c>
      <c r="G6" s="285"/>
      <c r="H6" s="20">
        <f ca="1">TODAY()</f>
        <v>45747</v>
      </c>
      <c r="I6" s="20"/>
    </row>
    <row r="7" spans="1:10" ht="26.25" hidden="1" thickBot="1" x14ac:dyDescent="0.25">
      <c r="A7" s="21" t="s">
        <v>45</v>
      </c>
      <c r="B7" s="22" t="s">
        <v>46</v>
      </c>
      <c r="C7" s="22" t="s">
        <v>45</v>
      </c>
      <c r="D7" s="23" t="s">
        <v>47</v>
      </c>
      <c r="E7" s="23" t="s">
        <v>48</v>
      </c>
      <c r="F7" s="23" t="s">
        <v>49</v>
      </c>
      <c r="G7" s="23" t="s">
        <v>50</v>
      </c>
      <c r="H7" s="24" t="s">
        <v>51</v>
      </c>
      <c r="I7" s="25"/>
    </row>
    <row r="8" spans="1:10" ht="14.25" hidden="1" thickBot="1" x14ac:dyDescent="0.3">
      <c r="A8" s="26"/>
      <c r="B8" s="14" t="str">
        <f>IFERROR(VLOOKUP(H8,'[1]Consolidado MP Planta'!$A$2:$M$823,3,0),"")</f>
        <v/>
      </c>
      <c r="C8" s="27">
        <f>+A8</f>
        <v>0</v>
      </c>
      <c r="D8" s="28" t="str">
        <f>IFERROR(VLOOKUP(H8,'[1]Consolidado MP Planta'!$A$2:$M$823,13,0),"")</f>
        <v/>
      </c>
      <c r="E8" s="28" t="str">
        <f>IFERROR(VLOOKUP(H8,'[1]Consolidado MP Planta'!$A$2:$M$823,12,0),"")</f>
        <v/>
      </c>
      <c r="F8" s="28" t="str">
        <f>IFERROR(C8*E8,"")</f>
        <v/>
      </c>
      <c r="G8" s="29" t="str">
        <f t="shared" ref="G8:G14" si="0">IFERROR(F8/$F$66,"")</f>
        <v/>
      </c>
      <c r="H8" s="30"/>
      <c r="I8" s="30"/>
      <c r="J8" s="31"/>
    </row>
    <row r="9" spans="1:10" ht="14.25" hidden="1" thickBot="1" x14ac:dyDescent="0.3">
      <c r="A9" s="26"/>
      <c r="B9" s="14" t="str">
        <f>IFERROR(VLOOKUP(H9,'[1]Consolidado MP Planta'!$A$2:$M$823,3,0),"")</f>
        <v/>
      </c>
      <c r="C9" s="27">
        <f t="shared" ref="C9:C14" si="1">+A9</f>
        <v>0</v>
      </c>
      <c r="D9" s="28" t="str">
        <f>IFERROR(VLOOKUP(H9,'[1]Consolidado MP Planta'!$A$2:$M$823,13,0),"")</f>
        <v/>
      </c>
      <c r="E9" s="28" t="str">
        <f>IFERROR(VLOOKUP(H9,'[1]Consolidado MP Planta'!$A$2:$M$823,12,0),"")</f>
        <v/>
      </c>
      <c r="F9" s="28" t="str">
        <f t="shared" ref="F9:F14" si="2">IFERROR(C9*E9,"")</f>
        <v/>
      </c>
      <c r="G9" s="29" t="str">
        <f t="shared" si="0"/>
        <v/>
      </c>
      <c r="H9" s="30"/>
      <c r="I9" s="30"/>
      <c r="J9" s="31"/>
    </row>
    <row r="10" spans="1:10" ht="14.25" hidden="1" thickBot="1" x14ac:dyDescent="0.3">
      <c r="A10" s="26"/>
      <c r="B10" s="14" t="str">
        <f>IFERROR(VLOOKUP(H10,'[1]Consolidado MP Planta'!$A$2:$M$823,3,0),"")</f>
        <v/>
      </c>
      <c r="C10" s="27">
        <f t="shared" si="1"/>
        <v>0</v>
      </c>
      <c r="D10" s="28" t="str">
        <f>IFERROR(VLOOKUP(H10,'[1]Consolidado MP Planta'!$A$2:$M$823,13,0),"")</f>
        <v/>
      </c>
      <c r="E10" s="28" t="str">
        <f>IFERROR(VLOOKUP(H10,'[1]Consolidado MP Planta'!$A$2:$M$823,12,0),"")</f>
        <v/>
      </c>
      <c r="F10" s="28" t="str">
        <f t="shared" si="2"/>
        <v/>
      </c>
      <c r="G10" s="29" t="str">
        <f t="shared" si="0"/>
        <v/>
      </c>
      <c r="H10" s="30"/>
      <c r="I10" s="30"/>
      <c r="J10" s="31"/>
    </row>
    <row r="11" spans="1:10" ht="14.25" hidden="1" thickBot="1" x14ac:dyDescent="0.3">
      <c r="A11" s="26"/>
      <c r="B11" s="14" t="str">
        <f>IFERROR(VLOOKUP(H11,'[1]Consolidado MP Planta'!$A$2:$M$823,3,0),"")</f>
        <v/>
      </c>
      <c r="C11" s="27">
        <f t="shared" si="1"/>
        <v>0</v>
      </c>
      <c r="D11" s="28" t="str">
        <f>IFERROR(VLOOKUP(H11,'[1]Consolidado MP Planta'!$A$2:$M$823,13,0),"")</f>
        <v/>
      </c>
      <c r="E11" s="28" t="str">
        <f>IFERROR(VLOOKUP(H11,'[1]Consolidado MP Planta'!$A$2:$M$823,12,0),"")</f>
        <v/>
      </c>
      <c r="F11" s="28" t="str">
        <f t="shared" si="2"/>
        <v/>
      </c>
      <c r="G11" s="29" t="str">
        <f t="shared" si="0"/>
        <v/>
      </c>
      <c r="H11" s="30"/>
      <c r="I11" s="30"/>
      <c r="J11" s="31"/>
    </row>
    <row r="12" spans="1:10" ht="14.25" hidden="1" thickBot="1" x14ac:dyDescent="0.3">
      <c r="A12" s="26"/>
      <c r="B12" s="14" t="str">
        <f>IFERROR(VLOOKUP(H12,'[1]Consolidado MP Planta'!$A$2:$M$823,3,0),"")</f>
        <v/>
      </c>
      <c r="C12" s="27">
        <f t="shared" si="1"/>
        <v>0</v>
      </c>
      <c r="D12" s="28" t="str">
        <f>IFERROR(VLOOKUP(H12,'[1]Consolidado MP Planta'!$A$2:$M$823,13,0),"")</f>
        <v/>
      </c>
      <c r="E12" s="28" t="str">
        <f>IFERROR(VLOOKUP(H12,'[1]Consolidado MP Planta'!$A$2:$M$823,12,0),"")</f>
        <v/>
      </c>
      <c r="F12" s="28" t="str">
        <f t="shared" si="2"/>
        <v/>
      </c>
      <c r="G12" s="29" t="str">
        <f t="shared" si="0"/>
        <v/>
      </c>
      <c r="H12" s="30"/>
      <c r="I12" s="30"/>
      <c r="J12" s="31"/>
    </row>
    <row r="13" spans="1:10" ht="14.25" hidden="1" thickBot="1" x14ac:dyDescent="0.3">
      <c r="A13" s="26"/>
      <c r="B13" s="14" t="str">
        <f>IFERROR(VLOOKUP(H13,'[1]Consolidado MP Planta'!$A$2:$M$823,3,0),"")</f>
        <v/>
      </c>
      <c r="C13" s="27">
        <f t="shared" si="1"/>
        <v>0</v>
      </c>
      <c r="D13" s="28" t="str">
        <f>IFERROR(VLOOKUP(H13,'[1]Consolidado MP Planta'!$A$2:$M$823,13,0),"")</f>
        <v/>
      </c>
      <c r="E13" s="28" t="str">
        <f>IFERROR(VLOOKUP(H13,'[1]Consolidado MP Planta'!$A$2:$M$823,12,0),"")</f>
        <v/>
      </c>
      <c r="F13" s="28" t="str">
        <f t="shared" si="2"/>
        <v/>
      </c>
      <c r="G13" s="29" t="str">
        <f t="shared" si="0"/>
        <v/>
      </c>
      <c r="H13" s="30"/>
      <c r="I13" s="30"/>
      <c r="J13" s="31"/>
    </row>
    <row r="14" spans="1:10" ht="14.25" hidden="1" thickBot="1" x14ac:dyDescent="0.3">
      <c r="A14" s="26"/>
      <c r="B14" s="14" t="str">
        <f>IFERROR(VLOOKUP(H14,'[1]Consolidado MP Planta'!$A$2:$M$823,3,0),"")</f>
        <v/>
      </c>
      <c r="C14" s="27">
        <f t="shared" si="1"/>
        <v>0</v>
      </c>
      <c r="D14" s="28" t="str">
        <f>IFERROR(VLOOKUP(H14,'[1]Consolidado MP Planta'!$A$2:$M$823,13,0),"")</f>
        <v/>
      </c>
      <c r="E14" s="28" t="str">
        <f>IFERROR(VLOOKUP(H14,'[1]Consolidado MP Planta'!$A$2:$M$823,12,0),"")</f>
        <v/>
      </c>
      <c r="F14" s="28" t="str">
        <f t="shared" si="2"/>
        <v/>
      </c>
      <c r="G14" s="29" t="str">
        <f t="shared" si="0"/>
        <v/>
      </c>
      <c r="H14" s="30"/>
      <c r="I14" s="30"/>
      <c r="J14" s="31"/>
    </row>
    <row r="15" spans="1:10" ht="14.25" hidden="1" thickBot="1" x14ac:dyDescent="0.3">
      <c r="A15" s="26"/>
      <c r="B15" s="14" t="str">
        <f>IFERROR(VLOOKUP(H15,'[2]ARTICULOS MP PLANTA'!$A$2:$G$589,2,0),"")</f>
        <v/>
      </c>
      <c r="C15" s="27"/>
      <c r="D15" s="28"/>
      <c r="E15" s="28"/>
      <c r="F15" s="28"/>
      <c r="G15" s="29"/>
      <c r="H15" s="30"/>
      <c r="I15" s="30"/>
      <c r="J15" s="31"/>
    </row>
    <row r="16" spans="1:10" ht="26.25" thickBot="1" x14ac:dyDescent="0.25">
      <c r="A16" s="21" t="s">
        <v>45</v>
      </c>
      <c r="B16" s="22" t="s">
        <v>52</v>
      </c>
      <c r="C16" s="22" t="s">
        <v>45</v>
      </c>
      <c r="D16" s="23" t="s">
        <v>47</v>
      </c>
      <c r="E16" s="23" t="s">
        <v>48</v>
      </c>
      <c r="F16" s="23" t="s">
        <v>49</v>
      </c>
      <c r="G16" s="23" t="s">
        <v>50</v>
      </c>
      <c r="H16" s="24" t="s">
        <v>51</v>
      </c>
      <c r="I16" s="25"/>
      <c r="J16" s="31"/>
    </row>
    <row r="17" spans="1:12" ht="13.5" x14ac:dyDescent="0.25">
      <c r="A17" s="26">
        <v>600</v>
      </c>
      <c r="B17" s="14" t="str">
        <f>IFERROR(VLOOKUP(H17,[1]SEMIELABORADOS!$A$2:$M$6000,2,0),"")</f>
        <v>LAMINADO PASTA HOJALDRE (KILO)</v>
      </c>
      <c r="C17" s="27">
        <f>+A17</f>
        <v>600</v>
      </c>
      <c r="D17" s="27" t="str">
        <f>IFERROR(VLOOKUP(H17,[1]SEMIELABORADOS!$A$2:$M$6000,6,0),"")</f>
        <v>Und</v>
      </c>
      <c r="E17" s="28">
        <v>0.74</v>
      </c>
      <c r="F17" s="28">
        <f>IFERROR(E17*C17,"")</f>
        <v>444</v>
      </c>
      <c r="G17" s="29">
        <f t="shared" ref="G17:G24" si="3">IFERROR(F17/$F$66,"")</f>
        <v>9.3957210418203527E-2</v>
      </c>
      <c r="H17" s="30" t="s">
        <v>29</v>
      </c>
      <c r="I17" s="30"/>
      <c r="J17" s="31"/>
    </row>
    <row r="18" spans="1:12" ht="13.5" x14ac:dyDescent="0.25">
      <c r="A18" s="26">
        <v>500</v>
      </c>
      <c r="B18" s="14" t="s">
        <v>37</v>
      </c>
      <c r="C18" s="27">
        <f t="shared" ref="C18:C24" si="4">+A18</f>
        <v>500</v>
      </c>
      <c r="D18" s="27" t="s">
        <v>53</v>
      </c>
      <c r="E18" s="28">
        <f>+'[3]Costo Relleno'!$E$69</f>
        <v>6.9371547999999992</v>
      </c>
      <c r="F18" s="28">
        <f t="shared" ref="F18:F24" si="5">IFERROR(E18*C18,"")</f>
        <v>3468.5773999999997</v>
      </c>
      <c r="G18" s="29">
        <f t="shared" si="3"/>
        <v>0.73400418158474168</v>
      </c>
      <c r="H18" s="30"/>
      <c r="I18" s="30"/>
      <c r="J18" s="31"/>
    </row>
    <row r="19" spans="1:12" ht="13.5" x14ac:dyDescent="0.25">
      <c r="A19" s="26">
        <v>150</v>
      </c>
      <c r="B19" s="14" t="str">
        <f>IFERROR(VLOOKUP(H19,[1]SEMIELABORADOS!$A$2:$M$6000,2,0),"")</f>
        <v>MEZCLA P/ENGRASE MOLDES KILO</v>
      </c>
      <c r="C19" s="27">
        <f>+A19</f>
        <v>150</v>
      </c>
      <c r="D19" s="27" t="str">
        <f>IFERROR(VLOOKUP(H19,[1]SEMIELABORADOS!$A$2:$M$6000,6,0),"")</f>
        <v>Gramo</v>
      </c>
      <c r="E19" s="28">
        <v>2.04</v>
      </c>
      <c r="F19" s="28">
        <f>IFERROR(E19*C19,"")</f>
        <v>306</v>
      </c>
      <c r="G19" s="29">
        <f t="shared" si="3"/>
        <v>6.4754293666599738E-2</v>
      </c>
      <c r="H19" s="30" t="s">
        <v>31</v>
      </c>
      <c r="I19" s="30"/>
      <c r="J19" s="31"/>
    </row>
    <row r="20" spans="1:12" ht="13.5" hidden="1" x14ac:dyDescent="0.25">
      <c r="A20" s="26"/>
      <c r="B20" s="14" t="str">
        <f>IFERROR(VLOOKUP(H20,[1]SEMIELABORADOS!$A$2:$M$6000,2,0),"")</f>
        <v/>
      </c>
      <c r="C20" s="27">
        <f>+A20</f>
        <v>0</v>
      </c>
      <c r="D20" s="27" t="str">
        <f>IFERROR(VLOOKUP(H20,[1]SEMIELABORADOS!$A$2:$M$6000,6,0),"")</f>
        <v/>
      </c>
      <c r="E20" s="28" t="str">
        <f>IFERROR(VLOOKUP(H20,[1]SEMIELABORADOS!$A$2:$H$65536,8,0),"")</f>
        <v/>
      </c>
      <c r="F20" s="28" t="str">
        <f>IFERROR(E20*C20,"")</f>
        <v/>
      </c>
      <c r="G20" s="29" t="str">
        <f t="shared" si="3"/>
        <v/>
      </c>
      <c r="H20" s="30"/>
      <c r="I20" s="30"/>
      <c r="J20" s="31"/>
    </row>
    <row r="21" spans="1:12" ht="13.5" hidden="1" x14ac:dyDescent="0.25">
      <c r="A21" s="26"/>
      <c r="B21" s="14" t="str">
        <f>IFERROR(VLOOKUP(H21,[1]SEMIELABORADOS!$A$2:$M$6000,2,0),"")</f>
        <v/>
      </c>
      <c r="C21" s="27">
        <f>+A21</f>
        <v>0</v>
      </c>
      <c r="D21" s="27" t="str">
        <f>IFERROR(VLOOKUP(H21,[1]SEMIELABORADOS!$A$2:$M$6000,6,0),"")</f>
        <v/>
      </c>
      <c r="E21" s="28" t="str">
        <f>IFERROR(VLOOKUP(H21,[1]SEMIELABORADOS!$A$2:$H$65536,8,0),"")</f>
        <v/>
      </c>
      <c r="F21" s="28" t="str">
        <f>IFERROR(E21*C21,"")</f>
        <v/>
      </c>
      <c r="G21" s="29" t="str">
        <f t="shared" si="3"/>
        <v/>
      </c>
      <c r="H21" s="30"/>
      <c r="I21" s="30"/>
      <c r="J21" s="31"/>
    </row>
    <row r="22" spans="1:12" ht="13.5" hidden="1" x14ac:dyDescent="0.25">
      <c r="A22" s="26"/>
      <c r="B22" s="14" t="str">
        <f>IFERROR(VLOOKUP(H22,[1]SEMIELABORADOS!$A$2:$M$6000,2,0),"")</f>
        <v/>
      </c>
      <c r="C22" s="27">
        <f t="shared" si="4"/>
        <v>0</v>
      </c>
      <c r="D22" s="27" t="str">
        <f>IFERROR(VLOOKUP(H22,[1]SEMIELABORADOS!$A$2:$M$6000,6,0),"")</f>
        <v/>
      </c>
      <c r="E22" s="28" t="str">
        <f>IFERROR(VLOOKUP(H22,[1]SEMIELABORADOS!$A$2:$H$65536,8,0),"")</f>
        <v/>
      </c>
      <c r="F22" s="28" t="str">
        <f t="shared" si="5"/>
        <v/>
      </c>
      <c r="G22" s="29" t="str">
        <f t="shared" si="3"/>
        <v/>
      </c>
      <c r="H22" s="30"/>
      <c r="I22" s="30"/>
      <c r="J22" s="31"/>
    </row>
    <row r="23" spans="1:12" ht="13.5" hidden="1" x14ac:dyDescent="0.25">
      <c r="A23" s="26"/>
      <c r="B23" s="14" t="str">
        <f>IFERROR(VLOOKUP(H23,[1]SEMIELABORADOS!$A$2:$M$6000,2,0),"")</f>
        <v/>
      </c>
      <c r="C23" s="27">
        <f t="shared" si="4"/>
        <v>0</v>
      </c>
      <c r="D23" s="27" t="str">
        <f>IFERROR(VLOOKUP(H23,[1]SEMIELABORADOS!$A$2:$M$6000,6,0),"")</f>
        <v/>
      </c>
      <c r="E23" s="28" t="str">
        <f>IFERROR(VLOOKUP(H23,[1]SEMIELABORADOS!$A$2:$H$65536,8,0),"")</f>
        <v/>
      </c>
      <c r="F23" s="28" t="str">
        <f t="shared" si="5"/>
        <v/>
      </c>
      <c r="G23" s="29" t="str">
        <f t="shared" si="3"/>
        <v/>
      </c>
      <c r="H23" s="30"/>
      <c r="I23" s="30"/>
      <c r="J23" s="31"/>
    </row>
    <row r="24" spans="1:12" ht="13.5" hidden="1" x14ac:dyDescent="0.25">
      <c r="A24" s="26"/>
      <c r="B24" s="14" t="str">
        <f>IFERROR(VLOOKUP(H24,[1]SEMIELABORADOS!$A$2:$M$6000,2,0),"")</f>
        <v/>
      </c>
      <c r="C24" s="27">
        <f t="shared" si="4"/>
        <v>0</v>
      </c>
      <c r="D24" s="27" t="str">
        <f>IFERROR(VLOOKUP(H24,[1]SEMIELABORADOS!$A$2:$M$6000,6,0),"")</f>
        <v/>
      </c>
      <c r="E24" s="28" t="str">
        <f>IFERROR(VLOOKUP(H24,[1]SEMIELABORADOS!$A$2:$H$65536,8,0),"")</f>
        <v/>
      </c>
      <c r="F24" s="28" t="str">
        <f t="shared" si="5"/>
        <v/>
      </c>
      <c r="G24" s="29" t="str">
        <f t="shared" si="3"/>
        <v/>
      </c>
      <c r="H24" s="30"/>
      <c r="I24" s="30"/>
      <c r="J24" s="31"/>
    </row>
    <row r="25" spans="1:12" ht="14.25" thickBot="1" x14ac:dyDescent="0.3">
      <c r="A25" s="26"/>
      <c r="C25" s="27"/>
      <c r="D25" s="27"/>
      <c r="E25" s="28"/>
      <c r="F25" s="28"/>
      <c r="G25" s="29"/>
      <c r="H25" s="30"/>
      <c r="I25" s="30"/>
      <c r="J25" s="31"/>
    </row>
    <row r="26" spans="1:12" ht="26.25" hidden="1" thickBot="1" x14ac:dyDescent="0.25">
      <c r="A26" s="21" t="s">
        <v>45</v>
      </c>
      <c r="B26" s="22" t="s">
        <v>36</v>
      </c>
      <c r="C26" s="22" t="s">
        <v>45</v>
      </c>
      <c r="D26" s="23" t="s">
        <v>47</v>
      </c>
      <c r="E26" s="23" t="s">
        <v>48</v>
      </c>
      <c r="F26" s="23" t="s">
        <v>49</v>
      </c>
      <c r="G26" s="23" t="s">
        <v>50</v>
      </c>
      <c r="H26" s="24" t="s">
        <v>51</v>
      </c>
      <c r="I26" s="25"/>
    </row>
    <row r="27" spans="1:12" ht="14.25" hidden="1" thickBot="1" x14ac:dyDescent="0.3">
      <c r="A27" s="26">
        <v>0</v>
      </c>
      <c r="B27" s="32" t="str">
        <f>IFERROR(VLOOKUP(H27,'[1]Consolidado MP Planta'!$A$2:$M$823,3,0),"")</f>
        <v/>
      </c>
      <c r="C27" s="27">
        <f t="shared" ref="C27:C32" si="6">+A27</f>
        <v>0</v>
      </c>
      <c r="D27" s="28" t="str">
        <f>IFERROR(VLOOKUP(H27,'[1]Consolidado MP Planta'!$A$2:$M$823,13,0),"")</f>
        <v/>
      </c>
      <c r="E27" s="28" t="str">
        <f>IFERROR(VLOOKUP(H27,'[1]Consolidado MP Planta'!$A$2:$M$823,12,0),"")</f>
        <v/>
      </c>
      <c r="F27" s="28" t="str">
        <f t="shared" ref="F27:F32" si="7">IFERROR(C27*E27,"")</f>
        <v/>
      </c>
      <c r="G27" s="29" t="str">
        <f t="shared" ref="G27:G32" si="8">IFERROR(F27/$F$66,"")</f>
        <v/>
      </c>
      <c r="H27" s="33"/>
      <c r="I27" s="33"/>
      <c r="J27" s="31"/>
      <c r="K27" s="275"/>
      <c r="L27" s="275"/>
    </row>
    <row r="28" spans="1:12" ht="14.25" hidden="1" thickBot="1" x14ac:dyDescent="0.3">
      <c r="A28" s="26"/>
      <c r="B28" s="32" t="str">
        <f>IFERROR(VLOOKUP(H28,'[1]Consolidado MP Planta'!$A$2:$M$823,3,0),"")</f>
        <v/>
      </c>
      <c r="C28" s="27">
        <f t="shared" si="6"/>
        <v>0</v>
      </c>
      <c r="D28" s="28" t="str">
        <f>IFERROR(VLOOKUP(H28,'[1]Consolidado MP Planta'!$A$2:$M$823,13,0),"")</f>
        <v/>
      </c>
      <c r="E28" s="28" t="str">
        <f>IFERROR(VLOOKUP(H28,'[1]Consolidado MP Planta'!$A$2:$M$823,12,0),"")</f>
        <v/>
      </c>
      <c r="F28" s="28" t="str">
        <f t="shared" si="7"/>
        <v/>
      </c>
      <c r="G28" s="29" t="str">
        <f t="shared" si="8"/>
        <v/>
      </c>
      <c r="H28" s="33"/>
      <c r="I28" s="33"/>
      <c r="J28" s="31"/>
      <c r="K28" s="275"/>
      <c r="L28" s="275"/>
    </row>
    <row r="29" spans="1:12" ht="14.25" hidden="1" thickBot="1" x14ac:dyDescent="0.3">
      <c r="A29" s="26"/>
      <c r="B29" s="32" t="str">
        <f>IFERROR(VLOOKUP(H29,'[1]Consolidado MP Planta'!$A$2:$M$823,3,0),"")</f>
        <v/>
      </c>
      <c r="C29" s="27">
        <f t="shared" si="6"/>
        <v>0</v>
      </c>
      <c r="D29" s="28" t="str">
        <f>IFERROR(VLOOKUP(H29,'[1]Consolidado MP Planta'!$A$2:$M$823,13,0),"")</f>
        <v/>
      </c>
      <c r="E29" s="28" t="str">
        <f>IFERROR(VLOOKUP(H29,'[1]Consolidado MP Planta'!$A$2:$M$823,12,0),"")</f>
        <v/>
      </c>
      <c r="F29" s="28" t="str">
        <f t="shared" si="7"/>
        <v/>
      </c>
      <c r="G29" s="29" t="str">
        <f t="shared" si="8"/>
        <v/>
      </c>
      <c r="H29" s="33"/>
      <c r="I29" s="33"/>
      <c r="J29" s="31"/>
      <c r="K29" s="275"/>
      <c r="L29" s="275"/>
    </row>
    <row r="30" spans="1:12" ht="14.25" hidden="1" thickBot="1" x14ac:dyDescent="0.3">
      <c r="A30" s="26"/>
      <c r="B30" s="32" t="str">
        <f>IFERROR(VLOOKUP(H30,'[1]Consolidado MP Planta'!$A$2:$M$823,3,0),"")</f>
        <v/>
      </c>
      <c r="C30" s="27">
        <f t="shared" si="6"/>
        <v>0</v>
      </c>
      <c r="D30" s="28" t="str">
        <f>IFERROR(VLOOKUP(H30,'[1]Consolidado MP Planta'!$A$2:$M$823,13,0),"")</f>
        <v/>
      </c>
      <c r="E30" s="28" t="str">
        <f>IFERROR(VLOOKUP(H30,'[1]Consolidado MP Planta'!$A$2:$M$823,12,0),"")</f>
        <v/>
      </c>
      <c r="F30" s="28" t="str">
        <f t="shared" si="7"/>
        <v/>
      </c>
      <c r="G30" s="29" t="str">
        <f t="shared" si="8"/>
        <v/>
      </c>
      <c r="H30" s="33"/>
      <c r="I30" s="33"/>
      <c r="J30" s="31"/>
      <c r="K30" s="275"/>
      <c r="L30" s="275"/>
    </row>
    <row r="31" spans="1:12" ht="14.25" hidden="1" thickBot="1" x14ac:dyDescent="0.3">
      <c r="A31" s="26"/>
      <c r="B31" s="32" t="str">
        <f>IFERROR(VLOOKUP(H31,'[1]Consolidado MP Planta'!$A$2:$M$823,3,0),"")</f>
        <v/>
      </c>
      <c r="C31" s="27">
        <f t="shared" si="6"/>
        <v>0</v>
      </c>
      <c r="D31" s="28" t="str">
        <f>IFERROR(VLOOKUP(H31,'[1]Consolidado MP Planta'!$A$2:$M$823,13,0),"")</f>
        <v/>
      </c>
      <c r="E31" s="28" t="str">
        <f>IFERROR(VLOOKUP(H31,'[1]Consolidado MP Planta'!$A$2:$M$823,12,0),"")</f>
        <v/>
      </c>
      <c r="F31" s="28" t="str">
        <f t="shared" si="7"/>
        <v/>
      </c>
      <c r="G31" s="29" t="str">
        <f t="shared" si="8"/>
        <v/>
      </c>
      <c r="H31" s="33"/>
      <c r="I31" s="33"/>
      <c r="J31" s="31"/>
      <c r="K31" s="34"/>
      <c r="L31" s="35"/>
    </row>
    <row r="32" spans="1:12" ht="14.25" hidden="1" thickBot="1" x14ac:dyDescent="0.3">
      <c r="A32" s="26"/>
      <c r="B32" s="32" t="str">
        <f>IFERROR(VLOOKUP(H32,'[1]Consolidado MP Planta'!$A$2:$M$823,3,0),"")</f>
        <v/>
      </c>
      <c r="C32" s="27">
        <f t="shared" si="6"/>
        <v>0</v>
      </c>
      <c r="D32" s="28" t="str">
        <f>IFERROR(VLOOKUP(H32,'[1]Consolidado MP Planta'!$A$2:$M$823,13,0),"")</f>
        <v/>
      </c>
      <c r="E32" s="28" t="str">
        <f>IFERROR(VLOOKUP(H32,'[1]Consolidado MP Planta'!$A$2:$M$823,12,0),"")</f>
        <v/>
      </c>
      <c r="F32" s="28" t="str">
        <f t="shared" si="7"/>
        <v/>
      </c>
      <c r="G32" s="29" t="str">
        <f t="shared" si="8"/>
        <v/>
      </c>
      <c r="H32" s="33"/>
      <c r="I32" s="33"/>
      <c r="J32" s="31"/>
    </row>
    <row r="33" spans="1:13" ht="14.25" hidden="1" thickBot="1" x14ac:dyDescent="0.3">
      <c r="A33" s="26"/>
      <c r="B33" s="32"/>
      <c r="C33" s="27"/>
      <c r="D33" s="28"/>
      <c r="E33" s="28"/>
      <c r="F33" s="28"/>
      <c r="G33" s="29"/>
      <c r="H33" s="33"/>
      <c r="I33" s="33"/>
      <c r="J33" s="31"/>
    </row>
    <row r="34" spans="1:13" ht="26.25" thickBot="1" x14ac:dyDescent="0.25">
      <c r="A34" s="21" t="s">
        <v>45</v>
      </c>
      <c r="B34" s="22" t="s">
        <v>54</v>
      </c>
      <c r="C34" s="22" t="s">
        <v>45</v>
      </c>
      <c r="D34" s="23" t="s">
        <v>47</v>
      </c>
      <c r="E34" s="23" t="s">
        <v>48</v>
      </c>
      <c r="F34" s="23" t="s">
        <v>49</v>
      </c>
      <c r="G34" s="23" t="s">
        <v>50</v>
      </c>
      <c r="H34" s="24" t="s">
        <v>51</v>
      </c>
      <c r="I34" s="33"/>
      <c r="J34" s="31"/>
    </row>
    <row r="35" spans="1:13" ht="13.5" x14ac:dyDescent="0.25">
      <c r="A35" s="26">
        <f>+A17</f>
        <v>600</v>
      </c>
      <c r="B35" s="32" t="str">
        <f>IFERROR(VLOOKUP(H35,[1]SEMIELABORADOS!$A$2:$M$6000,2,0),"")</f>
        <v>LAMINADO PASTA HOJALDRE (KILO)</v>
      </c>
      <c r="C35" s="27">
        <f>+A35</f>
        <v>600</v>
      </c>
      <c r="D35" s="28" t="str">
        <f>IFERROR(VLOOKUP(H35,[1]SEMIELABORADOS!$A$2:$M$6000,6,0),"")</f>
        <v>Und</v>
      </c>
      <c r="E35" s="28">
        <v>0.08</v>
      </c>
      <c r="F35" s="28">
        <f>IFERROR(E35*C35,"")</f>
        <v>48</v>
      </c>
      <c r="G35" s="29">
        <f t="shared" ref="G35:G41" si="9">IFERROR(F35/$F$66,"")</f>
        <v>1.0157536261427409E-2</v>
      </c>
      <c r="H35" s="33" t="s">
        <v>29</v>
      </c>
      <c r="I35" s="33"/>
      <c r="J35" s="31"/>
    </row>
    <row r="36" spans="1:13" ht="13.5" x14ac:dyDescent="0.25">
      <c r="A36" s="26">
        <f t="shared" ref="A36:A41" si="10">+A18</f>
        <v>500</v>
      </c>
      <c r="B36" s="32" t="s">
        <v>37</v>
      </c>
      <c r="C36" s="27">
        <f t="shared" ref="C36:C41" si="11">+A36</f>
        <v>500</v>
      </c>
      <c r="D36" s="28" t="s">
        <v>53</v>
      </c>
      <c r="E36" s="28">
        <f>+'[3]Costo Relleno'!$E$76</f>
        <v>1.0751923349534655E-2</v>
      </c>
      <c r="F36" s="28">
        <f t="shared" ref="F36:F41" si="12">IFERROR(E36*C36,"")</f>
        <v>5.3759616747673276</v>
      </c>
      <c r="G36" s="29">
        <f t="shared" si="9"/>
        <v>1.137635951072774E-3</v>
      </c>
      <c r="H36" s="33"/>
      <c r="I36" s="33"/>
      <c r="J36" s="31"/>
    </row>
    <row r="37" spans="1:13" ht="13.5" x14ac:dyDescent="0.25">
      <c r="A37" s="26">
        <f t="shared" si="10"/>
        <v>150</v>
      </c>
      <c r="B37" s="32" t="str">
        <f>IFERROR(VLOOKUP(H37,[1]SEMIELABORADOS!$A$2:$M$6000,2,0),"")</f>
        <v>MEZCLA P/ENGRASE MOLDES KILO</v>
      </c>
      <c r="C37" s="27">
        <f t="shared" si="11"/>
        <v>150</v>
      </c>
      <c r="D37" s="28" t="str">
        <f>IFERROR(VLOOKUP(H37,[1]SEMIELABORADOS!$A$2:$M$6000,6,0),"")</f>
        <v>Gramo</v>
      </c>
      <c r="E37" s="28">
        <f>IFERROR(VLOOKUP(H37,[1]SEMIELABORADOS!$A$2:$M$65536,10,0),"")</f>
        <v>2.1536385000000002E-2</v>
      </c>
      <c r="F37" s="28">
        <f t="shared" si="12"/>
        <v>3.2304577500000002</v>
      </c>
      <c r="G37" s="29">
        <f t="shared" si="9"/>
        <v>6.8361441117987924E-4</v>
      </c>
      <c r="H37" s="33" t="s">
        <v>31</v>
      </c>
      <c r="I37" s="33"/>
      <c r="J37" s="31"/>
    </row>
    <row r="38" spans="1:13" ht="13.5" hidden="1" x14ac:dyDescent="0.25">
      <c r="A38" s="26">
        <f t="shared" si="10"/>
        <v>0</v>
      </c>
      <c r="B38" s="32" t="str">
        <f>IFERROR(VLOOKUP(H38,[1]SEMIELABORADOS!$A$2:$M$6000,2,0),"")</f>
        <v/>
      </c>
      <c r="C38" s="27">
        <f>+A38</f>
        <v>0</v>
      </c>
      <c r="D38" s="28" t="str">
        <f>IFERROR(VLOOKUP(H38,[1]SEMIELABORADOS!$A$2:$M$6000,6,0),"")</f>
        <v/>
      </c>
      <c r="E38" s="28" t="str">
        <f>IFERROR(VLOOKUP(H38,[1]SEMIELABORADOS!$A$2:$M$65536,10,0),"")</f>
        <v/>
      </c>
      <c r="F38" s="28" t="str">
        <f>IFERROR(E38*C38,"")</f>
        <v/>
      </c>
      <c r="G38" s="29" t="str">
        <f t="shared" si="9"/>
        <v/>
      </c>
      <c r="H38" s="33"/>
      <c r="I38" s="33"/>
      <c r="J38" s="31"/>
    </row>
    <row r="39" spans="1:13" ht="13.5" hidden="1" x14ac:dyDescent="0.25">
      <c r="A39" s="26">
        <f t="shared" si="10"/>
        <v>0</v>
      </c>
      <c r="B39" s="32" t="str">
        <f>IFERROR(VLOOKUP(H39,[1]SEMIELABORADOS!$A$2:$M$6000,2,0),"")</f>
        <v/>
      </c>
      <c r="C39" s="27">
        <f>+A39</f>
        <v>0</v>
      </c>
      <c r="D39" s="28" t="str">
        <f>IFERROR(VLOOKUP(H39,[1]SEMIELABORADOS!$A$2:$M$6000,6,0),"")</f>
        <v/>
      </c>
      <c r="E39" s="28" t="str">
        <f>IFERROR(VLOOKUP(H39,[1]SEMIELABORADOS!$A$2:$M$65536,10,0),"")</f>
        <v/>
      </c>
      <c r="F39" s="28" t="str">
        <f>IFERROR(E39*C39,"")</f>
        <v/>
      </c>
      <c r="G39" s="29" t="str">
        <f t="shared" si="9"/>
        <v/>
      </c>
      <c r="H39" s="33"/>
      <c r="I39" s="33"/>
      <c r="J39" s="31"/>
    </row>
    <row r="40" spans="1:13" ht="13.5" hidden="1" x14ac:dyDescent="0.25">
      <c r="A40" s="26">
        <f t="shared" si="10"/>
        <v>0</v>
      </c>
      <c r="B40" s="32" t="str">
        <f>IFERROR(VLOOKUP(H40,[1]SEMIELABORADOS!$A$2:$M$6000,2,0),"")</f>
        <v/>
      </c>
      <c r="C40" s="27">
        <f t="shared" si="11"/>
        <v>0</v>
      </c>
      <c r="D40" s="28" t="str">
        <f>IFERROR(VLOOKUP(H40,[1]SEMIELABORADOS!$A$2:$M$6000,6,0),"")</f>
        <v/>
      </c>
      <c r="E40" s="28" t="str">
        <f>IFERROR(VLOOKUP(H40,[1]SEMIELABORADOS!$A$2:$M$65536,10,0),"")</f>
        <v/>
      </c>
      <c r="F40" s="28" t="str">
        <f t="shared" si="12"/>
        <v/>
      </c>
      <c r="G40" s="29" t="str">
        <f t="shared" si="9"/>
        <v/>
      </c>
      <c r="H40" s="33"/>
      <c r="I40" s="33"/>
      <c r="J40" s="31"/>
    </row>
    <row r="41" spans="1:13" ht="13.5" hidden="1" x14ac:dyDescent="0.25">
      <c r="A41" s="26">
        <f t="shared" si="10"/>
        <v>0</v>
      </c>
      <c r="B41" s="32" t="str">
        <f>IFERROR(VLOOKUP(H41,[1]SEMIELABORADOS!$A$2:$M$6000,2,0),"")</f>
        <v/>
      </c>
      <c r="C41" s="27">
        <f t="shared" si="11"/>
        <v>0</v>
      </c>
      <c r="D41" s="28" t="str">
        <f>IFERROR(VLOOKUP(H41,[1]SEMIELABORADOS!$A$2:$M$6000,6,0),"")</f>
        <v/>
      </c>
      <c r="E41" s="28" t="str">
        <f>IFERROR(VLOOKUP(H41,[1]SEMIELABORADOS!$A$2:$M$65536,10,0),"")</f>
        <v/>
      </c>
      <c r="F41" s="28" t="str">
        <f t="shared" si="12"/>
        <v/>
      </c>
      <c r="G41" s="29" t="str">
        <f t="shared" si="9"/>
        <v/>
      </c>
      <c r="H41" s="33"/>
      <c r="I41" s="33"/>
      <c r="J41" s="31"/>
    </row>
    <row r="42" spans="1:13" ht="14.25" thickBot="1" x14ac:dyDescent="0.3">
      <c r="A42" s="26"/>
      <c r="B42" s="32"/>
      <c r="C42" s="27"/>
      <c r="D42" s="28"/>
      <c r="E42" s="28"/>
      <c r="F42" s="28"/>
      <c r="G42" s="29"/>
      <c r="H42" s="33"/>
      <c r="I42" s="33"/>
      <c r="J42" s="31"/>
    </row>
    <row r="43" spans="1:13" ht="26.25" thickBot="1" x14ac:dyDescent="0.25">
      <c r="A43" s="21" t="s">
        <v>45</v>
      </c>
      <c r="B43" s="22" t="s">
        <v>55</v>
      </c>
      <c r="C43" s="22" t="s">
        <v>45</v>
      </c>
      <c r="D43" s="23" t="s">
        <v>47</v>
      </c>
      <c r="E43" s="23" t="s">
        <v>48</v>
      </c>
      <c r="F43" s="23" t="s">
        <v>49</v>
      </c>
      <c r="G43" s="23" t="s">
        <v>50</v>
      </c>
      <c r="H43" s="24" t="s">
        <v>51</v>
      </c>
      <c r="I43" s="25"/>
      <c r="J43" s="31"/>
    </row>
    <row r="44" spans="1:13" ht="13.5" x14ac:dyDescent="0.25">
      <c r="A44" s="26">
        <f>+A35</f>
        <v>600</v>
      </c>
      <c r="B44" s="32" t="str">
        <f>IFERROR(VLOOKUP(H44,[1]SEMIELABORADOS!$A$2:$M$6000,2,0),"")</f>
        <v>LAMINADO PASTA HOJALDRE (KILO)</v>
      </c>
      <c r="C44" s="27">
        <f>+A44</f>
        <v>600</v>
      </c>
      <c r="D44" s="28" t="str">
        <f>IFERROR(VLOOKUP(H44,[1]SEMIELABORADOS!$A$2:$M$6000,6,0),"")</f>
        <v>Und</v>
      </c>
      <c r="E44" s="28">
        <v>0.15</v>
      </c>
      <c r="F44" s="28">
        <f>IFERROR(E44*C44,"")</f>
        <v>90</v>
      </c>
      <c r="G44" s="29">
        <f>IFERROR(F44/$F$66,"")</f>
        <v>1.9045380490176393E-2</v>
      </c>
      <c r="H44" s="33" t="s">
        <v>29</v>
      </c>
      <c r="I44" s="25"/>
      <c r="J44" s="31"/>
    </row>
    <row r="45" spans="1:13" ht="13.5" x14ac:dyDescent="0.25">
      <c r="A45" s="26">
        <f t="shared" ref="A45:A50" si="13">+A36</f>
        <v>500</v>
      </c>
      <c r="B45" s="32" t="s">
        <v>37</v>
      </c>
      <c r="C45" s="27">
        <f t="shared" ref="C45:C50" si="14">+A45</f>
        <v>500</v>
      </c>
      <c r="D45" s="28" t="s">
        <v>53</v>
      </c>
      <c r="E45" s="28">
        <f>+'[3]Costo Relleno'!$E$74</f>
        <v>0.23941400000000004</v>
      </c>
      <c r="F45" s="28">
        <f t="shared" ref="F45:F50" si="15">IFERROR(E45*C45,"")</f>
        <v>119.70700000000002</v>
      </c>
      <c r="G45" s="29">
        <f t="shared" ref="G45:G50" si="16">IFERROR(F45/$F$66,"")</f>
        <v>2.5331837359306063E-2</v>
      </c>
      <c r="H45" s="33"/>
      <c r="I45" s="25"/>
      <c r="J45" s="31"/>
      <c r="M45" s="36"/>
    </row>
    <row r="46" spans="1:13" ht="13.5" x14ac:dyDescent="0.25">
      <c r="A46" s="26">
        <f t="shared" si="13"/>
        <v>150</v>
      </c>
      <c r="B46" s="32" t="str">
        <f>IFERROR(VLOOKUP(H46,[1]SEMIELABORADOS!$A$2:$M$6000,2,0),"")</f>
        <v>MEZCLA P/ENGRASE MOLDES KILO</v>
      </c>
      <c r="C46" s="27">
        <f t="shared" si="14"/>
        <v>150</v>
      </c>
      <c r="D46" s="28" t="str">
        <f>IFERROR(VLOOKUP(H46,[1]SEMIELABORADOS!$A$2:$M$6000,6,0),"")</f>
        <v>Gramo</v>
      </c>
      <c r="E46" s="28">
        <f>IFERROR(VLOOKUP(H46,[1]SEMIELABORADOS!$A$2:$M$65536,12,0),"")</f>
        <v>0.25127579955503354</v>
      </c>
      <c r="F46" s="28">
        <f t="shared" si="15"/>
        <v>37.691369933255032</v>
      </c>
      <c r="G46" s="29">
        <f t="shared" si="16"/>
        <v>7.9760720174981824E-3</v>
      </c>
      <c r="H46" s="33" t="s">
        <v>31</v>
      </c>
      <c r="I46" s="25"/>
      <c r="J46" s="31"/>
    </row>
    <row r="47" spans="1:13" ht="13.5" hidden="1" x14ac:dyDescent="0.25">
      <c r="A47" s="26">
        <f t="shared" si="13"/>
        <v>0</v>
      </c>
      <c r="B47" s="32" t="str">
        <f>IFERROR(VLOOKUP(H47,[1]SEMIELABORADOS!$A$2:$M$6000,2,0),"")</f>
        <v/>
      </c>
      <c r="C47" s="27">
        <f t="shared" si="14"/>
        <v>0</v>
      </c>
      <c r="D47" s="28" t="str">
        <f>IFERROR(VLOOKUP(H47,[1]SEMIELABORADOS!$A$2:$M$6000,6,0),"")</f>
        <v/>
      </c>
      <c r="E47" s="28" t="str">
        <f>IFERROR(VLOOKUP(H47,[1]SEMIELABORADOS!$A$2:$M$65536,12,0),"")</f>
        <v/>
      </c>
      <c r="F47" s="28" t="str">
        <f t="shared" si="15"/>
        <v/>
      </c>
      <c r="G47" s="29" t="str">
        <f t="shared" si="16"/>
        <v/>
      </c>
      <c r="H47" s="33"/>
      <c r="I47" s="25"/>
      <c r="J47" s="31"/>
    </row>
    <row r="48" spans="1:13" ht="13.5" hidden="1" x14ac:dyDescent="0.25">
      <c r="A48" s="26">
        <f t="shared" si="13"/>
        <v>0</v>
      </c>
      <c r="B48" s="32" t="str">
        <f>IFERROR(VLOOKUP(H48,[1]SEMIELABORADOS!$A$2:$M$6000,2,0),"")</f>
        <v/>
      </c>
      <c r="C48" s="27">
        <f t="shared" si="14"/>
        <v>0</v>
      </c>
      <c r="D48" s="28" t="str">
        <f>IFERROR(VLOOKUP(H48,[1]SEMIELABORADOS!$A$2:$M$6000,6,0),"")</f>
        <v/>
      </c>
      <c r="E48" s="28" t="str">
        <f>IFERROR(VLOOKUP(H48,[1]SEMIELABORADOS!$A$2:$M$65536,12,0),"")</f>
        <v/>
      </c>
      <c r="F48" s="28" t="str">
        <f t="shared" si="15"/>
        <v/>
      </c>
      <c r="G48" s="29" t="str">
        <f t="shared" si="16"/>
        <v/>
      </c>
      <c r="H48" s="33"/>
      <c r="I48" s="25"/>
      <c r="J48" s="31"/>
    </row>
    <row r="49" spans="1:17" ht="13.5" hidden="1" x14ac:dyDescent="0.25">
      <c r="A49" s="26">
        <f t="shared" si="13"/>
        <v>0</v>
      </c>
      <c r="B49" s="32" t="str">
        <f>IFERROR(VLOOKUP(H49,[1]SEMIELABORADOS!$A$2:$M$6000,2,0),"")</f>
        <v/>
      </c>
      <c r="C49" s="27">
        <f t="shared" si="14"/>
        <v>0</v>
      </c>
      <c r="D49" s="28" t="str">
        <f>IFERROR(VLOOKUP(H49,[1]SEMIELABORADOS!$A$2:$M$6000,6,0),"")</f>
        <v/>
      </c>
      <c r="E49" s="28" t="str">
        <f>IFERROR(VLOOKUP(H49,[1]SEMIELABORADOS!$A$2:$M$65536,12,0),"")</f>
        <v/>
      </c>
      <c r="F49" s="28" t="str">
        <f t="shared" si="15"/>
        <v/>
      </c>
      <c r="G49" s="29" t="str">
        <f t="shared" si="16"/>
        <v/>
      </c>
      <c r="H49" s="33"/>
      <c r="I49" s="25"/>
      <c r="J49" s="31"/>
    </row>
    <row r="50" spans="1:17" ht="13.5" hidden="1" x14ac:dyDescent="0.25">
      <c r="A50" s="26">
        <f t="shared" si="13"/>
        <v>0</v>
      </c>
      <c r="B50" s="32" t="str">
        <f>IFERROR(VLOOKUP(H50,[1]SEMIELABORADOS!$A$2:$M$6000,2,0),"")</f>
        <v/>
      </c>
      <c r="C50" s="27">
        <f t="shared" si="14"/>
        <v>0</v>
      </c>
      <c r="D50" s="28" t="str">
        <f>IFERROR(VLOOKUP(H50,[1]SEMIELABORADOS!$A$2:$M$6000,6,0),"")</f>
        <v/>
      </c>
      <c r="E50" s="28" t="str">
        <f>IFERROR(VLOOKUP(H50,[1]SEMIELABORADOS!$A$2:$M$65536,12,0),"")</f>
        <v/>
      </c>
      <c r="F50" s="28" t="str">
        <f t="shared" si="15"/>
        <v/>
      </c>
      <c r="G50" s="29" t="str">
        <f t="shared" si="16"/>
        <v/>
      </c>
      <c r="H50" s="32"/>
      <c r="I50" s="25"/>
      <c r="J50" s="31"/>
    </row>
    <row r="51" spans="1:17" ht="13.5" x14ac:dyDescent="0.25">
      <c r="A51" s="26">
        <v>1</v>
      </c>
      <c r="B51" s="32" t="s">
        <v>56</v>
      </c>
      <c r="C51" s="27">
        <f>+A51</f>
        <v>1</v>
      </c>
      <c r="D51" s="27" t="s">
        <v>57</v>
      </c>
      <c r="E51" s="28">
        <f>+F65</f>
        <v>366</v>
      </c>
      <c r="F51" s="28">
        <f>IFERROR(C51*E51,"")</f>
        <v>366</v>
      </c>
      <c r="G51" s="29">
        <f>IFERROR(F51/$F$66,"")</f>
        <v>7.7451213993383991E-2</v>
      </c>
      <c r="H51" s="37"/>
      <c r="I51" s="37"/>
      <c r="J51" s="31"/>
    </row>
    <row r="52" spans="1:17" ht="14.25" thickBot="1" x14ac:dyDescent="0.3">
      <c r="A52" s="26"/>
      <c r="B52" s="32"/>
      <c r="C52" s="27"/>
      <c r="D52" s="27"/>
      <c r="E52" s="28"/>
      <c r="F52" s="28"/>
      <c r="G52" s="29"/>
      <c r="H52" s="37"/>
      <c r="I52" s="37"/>
      <c r="J52" s="31"/>
    </row>
    <row r="53" spans="1:17" ht="13.5" thickBot="1" x14ac:dyDescent="0.25">
      <c r="A53" s="38"/>
      <c r="B53" s="276" t="s">
        <v>58</v>
      </c>
      <c r="C53" s="276"/>
      <c r="D53" s="276"/>
      <c r="E53" s="276"/>
      <c r="F53" s="40">
        <f>SUM(F8:F14,F17:F24)</f>
        <v>4218.5774000000001</v>
      </c>
      <c r="G53" s="29">
        <f>+F53/$F$66</f>
        <v>0.89271568566954496</v>
      </c>
      <c r="H53" s="41">
        <f>+F53/$D$60</f>
        <v>421.85774000000004</v>
      </c>
      <c r="I53" s="41"/>
      <c r="J53" s="42"/>
      <c r="K53" s="43"/>
      <c r="L53" s="43"/>
      <c r="M53" s="43"/>
      <c r="N53" s="43"/>
      <c r="O53" s="43"/>
      <c r="P53" s="43"/>
      <c r="Q53" s="44"/>
    </row>
    <row r="54" spans="1:17" x14ac:dyDescent="0.2">
      <c r="A54" s="38"/>
      <c r="B54" s="276" t="s">
        <v>59</v>
      </c>
      <c r="C54" s="276"/>
      <c r="D54" s="276"/>
      <c r="E54" s="276"/>
      <c r="F54" s="40">
        <f>SUM(F27:F32,F35:F41)</f>
        <v>56.606419424767324</v>
      </c>
      <c r="G54" s="29">
        <f>+F54/$F$66</f>
        <v>1.1978786623680061E-2</v>
      </c>
      <c r="H54" s="41">
        <f>+F54/$D$60</f>
        <v>5.6606419424767322</v>
      </c>
      <c r="I54" s="41"/>
      <c r="J54" s="45"/>
      <c r="K54" s="277" t="s">
        <v>60</v>
      </c>
      <c r="L54" s="278"/>
      <c r="M54" s="278"/>
      <c r="N54" s="278"/>
      <c r="O54" s="46">
        <f>+F55</f>
        <v>4275.1838194247675</v>
      </c>
      <c r="P54" s="46"/>
      <c r="Q54" s="47"/>
    </row>
    <row r="55" spans="1:17" x14ac:dyDescent="0.2">
      <c r="A55" s="38"/>
      <c r="B55" s="276" t="s">
        <v>61</v>
      </c>
      <c r="C55" s="276"/>
      <c r="D55" s="276"/>
      <c r="E55" s="276"/>
      <c r="F55" s="40">
        <f>+F53+F54</f>
        <v>4275.1838194247675</v>
      </c>
      <c r="G55" s="29">
        <f>+F55/$F$66</f>
        <v>0.90469447229322508</v>
      </c>
      <c r="H55" s="41">
        <f>+F55/$D$60</f>
        <v>427.51838194247676</v>
      </c>
      <c r="I55" s="41"/>
      <c r="J55" s="48"/>
      <c r="K55" s="49"/>
      <c r="M55" s="50" t="s">
        <v>62</v>
      </c>
      <c r="N55" s="51"/>
      <c r="O55" s="46">
        <f>+H56</f>
        <v>61.339836993325505</v>
      </c>
      <c r="P55" s="46"/>
      <c r="Q55" s="47"/>
    </row>
    <row r="56" spans="1:17" ht="13.5" thickBot="1" x14ac:dyDescent="0.25">
      <c r="A56" s="38"/>
      <c r="B56" s="39"/>
      <c r="C56" s="276" t="s">
        <v>63</v>
      </c>
      <c r="D56" s="276"/>
      <c r="E56" s="276"/>
      <c r="F56" s="40">
        <f>SUM(F44:F51)</f>
        <v>613.39836993325503</v>
      </c>
      <c r="G56" s="29">
        <f>+F56/$F$66</f>
        <v>0.12980450386036463</v>
      </c>
      <c r="H56" s="41">
        <f>+F56/$D$60</f>
        <v>61.339836993325505</v>
      </c>
      <c r="I56" s="41"/>
      <c r="J56" s="48"/>
      <c r="K56" s="49"/>
      <c r="L56" s="49"/>
      <c r="M56" s="49" t="s">
        <v>64</v>
      </c>
      <c r="N56" s="52"/>
      <c r="O56" s="46">
        <f>O54*N56</f>
        <v>0</v>
      </c>
      <c r="P56" s="46"/>
      <c r="Q56" s="47"/>
    </row>
    <row r="57" spans="1:17" ht="13.5" thickBot="1" x14ac:dyDescent="0.25">
      <c r="A57" s="38"/>
      <c r="B57" s="53"/>
      <c r="C57" s="53"/>
      <c r="D57" s="53"/>
      <c r="E57" s="53"/>
      <c r="F57" s="54"/>
      <c r="G57" s="29"/>
      <c r="H57" s="55"/>
      <c r="I57" s="41"/>
      <c r="J57" s="48"/>
      <c r="K57" s="56"/>
      <c r="M57" s="57" t="s">
        <v>65</v>
      </c>
      <c r="N57" s="58"/>
      <c r="O57" s="59">
        <f>SUM(O54:O56)</f>
        <v>4336.5236564180932</v>
      </c>
      <c r="P57" s="60"/>
      <c r="Q57" s="47"/>
    </row>
    <row r="58" spans="1:17" x14ac:dyDescent="0.2">
      <c r="B58" s="279" t="s">
        <v>66</v>
      </c>
      <c r="C58" s="279"/>
      <c r="D58" s="61">
        <v>1100</v>
      </c>
      <c r="E58" s="62"/>
      <c r="G58" s="29"/>
      <c r="H58" s="55">
        <f>+H56/61</f>
        <v>1.0055710982512378</v>
      </c>
      <c r="I58" s="63"/>
      <c r="J58" s="48"/>
      <c r="K58" s="56"/>
      <c r="L58" s="49"/>
      <c r="M58" s="49" t="s">
        <v>67</v>
      </c>
      <c r="N58" s="64"/>
      <c r="O58" s="46">
        <f>+H59</f>
        <v>58.323123698571791</v>
      </c>
      <c r="P58" s="46"/>
      <c r="Q58" s="47"/>
    </row>
    <row r="59" spans="1:17" x14ac:dyDescent="0.2">
      <c r="B59" s="279" t="s">
        <v>68</v>
      </c>
      <c r="C59" s="279"/>
      <c r="D59" s="65">
        <v>110</v>
      </c>
      <c r="E59" s="62"/>
      <c r="G59" s="29"/>
      <c r="H59" s="55">
        <f>+H58*58</f>
        <v>58.323123698571791</v>
      </c>
      <c r="I59" s="63"/>
      <c r="J59" s="48"/>
      <c r="K59" s="56"/>
      <c r="L59" s="49"/>
      <c r="M59" s="280" t="s">
        <v>65</v>
      </c>
      <c r="N59" s="280"/>
      <c r="O59" s="46">
        <f>SUM(O57:O58)</f>
        <v>4394.8467801166653</v>
      </c>
      <c r="P59" s="46"/>
      <c r="Q59" s="47"/>
    </row>
    <row r="60" spans="1:17" ht="13.5" thickBot="1" x14ac:dyDescent="0.25">
      <c r="B60" s="271" t="s">
        <v>69</v>
      </c>
      <c r="C60" s="271"/>
      <c r="D60" s="61">
        <f>+D58/D59</f>
        <v>10</v>
      </c>
      <c r="E60" s="62"/>
      <c r="F60" s="66"/>
      <c r="G60" s="29"/>
      <c r="H60" s="55"/>
      <c r="I60" s="63"/>
      <c r="J60" s="48"/>
      <c r="K60" s="56"/>
      <c r="L60" s="280"/>
      <c r="M60" s="280"/>
      <c r="N60" s="64"/>
      <c r="O60" s="46">
        <f>+O59*N60</f>
        <v>0</v>
      </c>
      <c r="P60" s="46"/>
      <c r="Q60" s="47"/>
    </row>
    <row r="61" spans="1:17" ht="13.5" thickBot="1" x14ac:dyDescent="0.25">
      <c r="B61" s="271" t="s">
        <v>70</v>
      </c>
      <c r="C61" s="271"/>
      <c r="D61" s="67"/>
      <c r="E61" s="62"/>
      <c r="F61" s="66"/>
      <c r="G61" s="29"/>
      <c r="H61" s="55"/>
      <c r="I61" s="63"/>
      <c r="J61" s="48"/>
      <c r="K61" s="272" t="s">
        <v>71</v>
      </c>
      <c r="L61" s="273"/>
      <c r="M61" s="273"/>
      <c r="N61" s="274"/>
      <c r="O61" s="59">
        <f>SUM(O59:O60)</f>
        <v>4394.8467801166653</v>
      </c>
      <c r="P61" s="68" t="s">
        <v>72</v>
      </c>
      <c r="Q61" s="47"/>
    </row>
    <row r="62" spans="1:17" ht="13.5" thickBot="1" x14ac:dyDescent="0.25">
      <c r="C62" s="38" t="s">
        <v>73</v>
      </c>
      <c r="D62" s="69"/>
      <c r="E62" s="12" t="s">
        <v>74</v>
      </c>
      <c r="F62" s="70" t="s">
        <v>75</v>
      </c>
      <c r="G62" s="29"/>
      <c r="H62" s="55"/>
      <c r="I62" s="63"/>
      <c r="J62" s="71"/>
      <c r="K62" s="72"/>
      <c r="L62" s="260" t="s">
        <v>76</v>
      </c>
      <c r="M62" s="260"/>
      <c r="N62" s="260"/>
      <c r="O62" s="73">
        <f>+O61/D60</f>
        <v>439.48467801166652</v>
      </c>
      <c r="P62" s="74">
        <f>+O62/D59</f>
        <v>3.9953152546515138</v>
      </c>
      <c r="Q62" s="75"/>
    </row>
    <row r="63" spans="1:17" ht="13.5" thickBot="1" x14ac:dyDescent="0.25">
      <c r="B63" s="261" t="s">
        <v>61</v>
      </c>
      <c r="C63" s="261"/>
      <c r="D63" s="261"/>
      <c r="E63" s="76">
        <f>+F63/F63</f>
        <v>1</v>
      </c>
      <c r="F63" s="77">
        <f>SUM(F55)</f>
        <v>4275.1838194247675</v>
      </c>
      <c r="G63" s="29">
        <f>+F63/$F$66</f>
        <v>0.90469447229322508</v>
      </c>
      <c r="H63" s="55"/>
      <c r="I63" s="63"/>
      <c r="K63" s="262"/>
      <c r="L63" s="263"/>
      <c r="M63" s="263"/>
      <c r="N63" s="263"/>
      <c r="O63" s="78"/>
      <c r="P63" s="79"/>
    </row>
    <row r="64" spans="1:17" ht="13.5" thickBot="1" x14ac:dyDescent="0.25">
      <c r="B64" s="264" t="s">
        <v>77</v>
      </c>
      <c r="C64" s="264"/>
      <c r="D64" s="264"/>
      <c r="E64" s="80">
        <v>0.02</v>
      </c>
      <c r="F64" s="77">
        <f>+F53*E64</f>
        <v>84.371548000000004</v>
      </c>
      <c r="G64" s="29">
        <f>+F64/$F$66</f>
        <v>1.7854313713390902E-2</v>
      </c>
      <c r="H64" s="41"/>
      <c r="I64" s="63"/>
      <c r="J64" s="81"/>
      <c r="O64" s="82"/>
      <c r="P64" s="39"/>
    </row>
    <row r="65" spans="2:13" ht="13.5" thickBot="1" x14ac:dyDescent="0.25">
      <c r="B65" s="265" t="s">
        <v>78</v>
      </c>
      <c r="C65" s="266"/>
      <c r="D65" s="83">
        <v>6</v>
      </c>
      <c r="E65" s="84">
        <v>61</v>
      </c>
      <c r="F65" s="77">
        <f>+E65*D65</f>
        <v>366</v>
      </c>
      <c r="G65" s="29">
        <f>+F65/$F$66</f>
        <v>7.7451213993383991E-2</v>
      </c>
      <c r="H65" s="41"/>
      <c r="I65" s="41"/>
      <c r="J65" s="31"/>
    </row>
    <row r="66" spans="2:13" ht="13.5" thickBot="1" x14ac:dyDescent="0.25">
      <c r="B66" s="267" t="s">
        <v>79</v>
      </c>
      <c r="C66" s="268"/>
      <c r="D66" s="268"/>
      <c r="E66" s="269"/>
      <c r="F66" s="54">
        <f>SUM(F63:F65)</f>
        <v>4725.5553674247676</v>
      </c>
      <c r="G66" s="29">
        <f>+F66/$F$66</f>
        <v>1</v>
      </c>
      <c r="H66" s="270"/>
      <c r="I66" s="41"/>
      <c r="J66" s="31"/>
      <c r="M66" s="14" t="s">
        <v>80</v>
      </c>
    </row>
    <row r="67" spans="2:13" x14ac:dyDescent="0.2">
      <c r="C67" s="36"/>
      <c r="D67" s="36"/>
      <c r="E67" s="86"/>
      <c r="F67" s="77"/>
      <c r="G67" s="29"/>
      <c r="H67" s="270"/>
      <c r="I67" s="85"/>
      <c r="J67" s="14"/>
      <c r="M67" s="14" t="s">
        <v>81</v>
      </c>
    </row>
    <row r="68" spans="2:13" ht="13.5" thickBot="1" x14ac:dyDescent="0.25">
      <c r="B68" s="255" t="s">
        <v>82</v>
      </c>
      <c r="C68" s="255"/>
      <c r="D68" s="255"/>
      <c r="E68" s="255"/>
      <c r="F68" s="255"/>
      <c r="G68" s="29"/>
      <c r="H68" s="88"/>
      <c r="I68" s="85"/>
      <c r="J68" s="14"/>
    </row>
    <row r="69" spans="2:13" ht="13.5" thickBot="1" x14ac:dyDescent="0.25">
      <c r="B69" s="89" t="s">
        <v>83</v>
      </c>
      <c r="C69" s="90">
        <f>+F53</f>
        <v>4218.5774000000001</v>
      </c>
      <c r="D69" s="90">
        <f>+D58</f>
        <v>1100</v>
      </c>
      <c r="E69" s="91">
        <f>+C69/D69</f>
        <v>3.8350703636363637</v>
      </c>
      <c r="F69" s="29"/>
      <c r="G69" s="88"/>
      <c r="H69" s="31"/>
      <c r="I69" s="88"/>
      <c r="J69" s="14"/>
    </row>
    <row r="70" spans="2:13" x14ac:dyDescent="0.2">
      <c r="B70" s="92"/>
      <c r="C70" s="93"/>
      <c r="D70" s="94"/>
      <c r="E70" s="77"/>
      <c r="F70" s="29"/>
      <c r="G70" s="88"/>
      <c r="H70" s="31"/>
      <c r="I70" s="31"/>
      <c r="J70" s="14"/>
    </row>
    <row r="71" spans="2:13" x14ac:dyDescent="0.2">
      <c r="B71" s="89" t="s">
        <v>84</v>
      </c>
      <c r="C71" s="90">
        <f>SUM(F63:F64)</f>
        <v>4359.5553674247676</v>
      </c>
      <c r="D71" s="90">
        <f>+D58</f>
        <v>1100</v>
      </c>
      <c r="E71" s="95">
        <f>+C71/D71</f>
        <v>3.9632321522043341</v>
      </c>
      <c r="F71" s="29"/>
      <c r="G71" s="88"/>
      <c r="H71" s="31"/>
      <c r="I71" s="31"/>
      <c r="J71" s="14"/>
    </row>
    <row r="72" spans="2:13" x14ac:dyDescent="0.2">
      <c r="B72" s="89"/>
      <c r="C72" s="90"/>
      <c r="D72" s="90"/>
      <c r="E72" s="95"/>
      <c r="F72" s="29"/>
      <c r="G72" s="88"/>
      <c r="H72" s="31"/>
      <c r="I72" s="31"/>
      <c r="J72" s="14"/>
    </row>
    <row r="73" spans="2:13" ht="13.5" thickBot="1" x14ac:dyDescent="0.25">
      <c r="B73" s="89" t="s">
        <v>85</v>
      </c>
      <c r="C73" s="90">
        <f>+F65</f>
        <v>366</v>
      </c>
      <c r="D73" s="90">
        <f>+D58</f>
        <v>1100</v>
      </c>
      <c r="E73" s="95">
        <f>+C73/D73</f>
        <v>0.3327272727272727</v>
      </c>
      <c r="F73" s="29"/>
      <c r="G73" s="88"/>
      <c r="H73" s="31"/>
      <c r="I73" s="31"/>
      <c r="J73" s="14"/>
    </row>
    <row r="74" spans="2:13" ht="13.5" thickBot="1" x14ac:dyDescent="0.25">
      <c r="B74" s="89" t="s">
        <v>86</v>
      </c>
      <c r="C74" s="90">
        <f>+F56</f>
        <v>613.39836993325503</v>
      </c>
      <c r="D74" s="90">
        <f>+D73</f>
        <v>1100</v>
      </c>
      <c r="E74" s="91">
        <f>+C74/D74</f>
        <v>0.55763488175750453</v>
      </c>
      <c r="F74" s="29"/>
      <c r="G74" s="88"/>
      <c r="H74" s="31"/>
      <c r="I74" s="31"/>
      <c r="J74" s="14"/>
    </row>
    <row r="75" spans="2:13" ht="13.5" thickBot="1" x14ac:dyDescent="0.25">
      <c r="B75" s="53"/>
      <c r="C75" s="54"/>
      <c r="D75" s="54"/>
      <c r="E75" s="95"/>
      <c r="F75" s="29"/>
      <c r="G75" s="88"/>
      <c r="H75" s="31"/>
      <c r="I75" s="31"/>
      <c r="J75" s="14"/>
    </row>
    <row r="76" spans="2:13" ht="13.5" thickBot="1" x14ac:dyDescent="0.25">
      <c r="B76" s="89" t="s">
        <v>87</v>
      </c>
      <c r="C76" s="90">
        <f>+F54</f>
        <v>56.606419424767324</v>
      </c>
      <c r="D76" s="90">
        <f>+D74</f>
        <v>1100</v>
      </c>
      <c r="E76" s="91">
        <f>+C76/D76</f>
        <v>5.1460381295243024E-2</v>
      </c>
      <c r="F76" s="29"/>
      <c r="G76" s="88"/>
      <c r="H76" s="31"/>
      <c r="I76" s="31"/>
      <c r="J76" s="31"/>
    </row>
    <row r="77" spans="2:13" ht="13.5" thickBot="1" x14ac:dyDescent="0.25">
      <c r="B77" s="53"/>
      <c r="C77" s="54"/>
      <c r="D77" s="54"/>
      <c r="E77" s="95"/>
      <c r="F77" s="29"/>
      <c r="G77" s="88"/>
      <c r="H77" s="31"/>
      <c r="I77" s="31"/>
    </row>
    <row r="78" spans="2:13" ht="13.5" thickBot="1" x14ac:dyDescent="0.25">
      <c r="B78" s="256" t="s">
        <v>88</v>
      </c>
      <c r="C78" s="257"/>
      <c r="D78" s="258"/>
      <c r="E78" s="91">
        <f>+E69+E74</f>
        <v>4.3927052453938682</v>
      </c>
      <c r="G78" s="29"/>
      <c r="H78" s="88"/>
      <c r="I78" s="31"/>
      <c r="J78" s="95"/>
    </row>
    <row r="79" spans="2:13" x14ac:dyDescent="0.2">
      <c r="I79" s="88"/>
      <c r="J79" s="14"/>
    </row>
    <row r="80" spans="2:13" ht="13.5" thickBot="1" x14ac:dyDescent="0.25">
      <c r="B80" s="255" t="s">
        <v>89</v>
      </c>
      <c r="C80" s="255"/>
      <c r="D80" s="255"/>
      <c r="E80" s="255"/>
      <c r="F80" s="255"/>
      <c r="G80" s="29"/>
      <c r="H80" s="88"/>
      <c r="J80" s="14"/>
    </row>
    <row r="81" spans="1:10" ht="13.5" thickBot="1" x14ac:dyDescent="0.25">
      <c r="B81" s="89" t="s">
        <v>83</v>
      </c>
      <c r="C81" s="90">
        <f>+C69</f>
        <v>4218.5774000000001</v>
      </c>
      <c r="D81" s="90">
        <f>+D60</f>
        <v>10</v>
      </c>
      <c r="E81" s="91">
        <f>+C81/D81</f>
        <v>421.85774000000004</v>
      </c>
      <c r="F81" s="29"/>
      <c r="G81" s="88"/>
      <c r="H81" s="31"/>
      <c r="I81" s="88"/>
      <c r="J81" s="14"/>
    </row>
    <row r="82" spans="1:10" x14ac:dyDescent="0.2">
      <c r="B82" s="92"/>
      <c r="C82" s="93"/>
      <c r="D82" s="94"/>
      <c r="E82" s="77"/>
      <c r="F82" s="29"/>
      <c r="G82" s="88"/>
      <c r="H82" s="31"/>
      <c r="I82" s="31"/>
      <c r="J82" s="14"/>
    </row>
    <row r="83" spans="1:10" x14ac:dyDescent="0.2">
      <c r="B83" s="89" t="s">
        <v>84</v>
      </c>
      <c r="C83" s="90">
        <f>+C71</f>
        <v>4359.5553674247676</v>
      </c>
      <c r="D83" s="90">
        <f>+D60</f>
        <v>10</v>
      </c>
      <c r="E83" s="95">
        <f>+C83/D83</f>
        <v>435.95553674247674</v>
      </c>
      <c r="F83" s="29"/>
      <c r="G83" s="88"/>
      <c r="H83" s="31"/>
      <c r="I83" s="31"/>
      <c r="J83" s="14"/>
    </row>
    <row r="84" spans="1:10" x14ac:dyDescent="0.2">
      <c r="B84" s="89"/>
      <c r="C84" s="90"/>
      <c r="D84" s="90"/>
      <c r="E84" s="95"/>
      <c r="F84" s="29"/>
      <c r="G84" s="88"/>
      <c r="H84" s="31"/>
      <c r="I84" s="31"/>
      <c r="J84" s="14"/>
    </row>
    <row r="85" spans="1:10" ht="13.5" thickBot="1" x14ac:dyDescent="0.25">
      <c r="B85" s="89" t="s">
        <v>86</v>
      </c>
      <c r="C85" s="90">
        <f>+C73</f>
        <v>366</v>
      </c>
      <c r="D85" s="90">
        <f>+D60</f>
        <v>10</v>
      </c>
      <c r="E85" s="95">
        <f>+C85/D85</f>
        <v>36.6</v>
      </c>
      <c r="F85" s="97"/>
      <c r="G85" s="87"/>
      <c r="H85" s="13"/>
      <c r="I85" s="31"/>
    </row>
    <row r="86" spans="1:10" ht="13.5" thickBot="1" x14ac:dyDescent="0.25">
      <c r="B86" s="89" t="s">
        <v>86</v>
      </c>
      <c r="C86" s="90">
        <f>+C74</f>
        <v>613.39836993325503</v>
      </c>
      <c r="D86" s="90">
        <f>+D85</f>
        <v>10</v>
      </c>
      <c r="E86" s="91">
        <f>+C86/D86</f>
        <v>61.339836993325505</v>
      </c>
      <c r="F86" s="96"/>
      <c r="G86" s="87"/>
      <c r="H86" s="13"/>
      <c r="I86" s="13"/>
    </row>
    <row r="87" spans="1:10" x14ac:dyDescent="0.2">
      <c r="I87" s="13"/>
    </row>
    <row r="88" spans="1:10" x14ac:dyDescent="0.2">
      <c r="A88" s="259"/>
      <c r="B88" s="259"/>
      <c r="C88" s="98"/>
      <c r="D88" s="98"/>
      <c r="E88" s="99"/>
      <c r="G88" s="100"/>
    </row>
    <row r="89" spans="1:10" x14ac:dyDescent="0.2">
      <c r="A89" s="32"/>
      <c r="B89" s="101"/>
      <c r="C89" s="102"/>
      <c r="D89" s="102"/>
      <c r="E89" s="103"/>
      <c r="G89" s="100"/>
    </row>
    <row r="90" spans="1:10" x14ac:dyDescent="0.2">
      <c r="A90" s="32"/>
      <c r="B90" s="101"/>
      <c r="C90" s="104"/>
      <c r="D90" s="104"/>
      <c r="E90" s="32"/>
      <c r="G90" s="100"/>
    </row>
    <row r="91" spans="1:10" x14ac:dyDescent="0.2">
      <c r="A91" s="32"/>
      <c r="B91" s="101"/>
      <c r="C91" s="105"/>
      <c r="D91" s="105"/>
      <c r="E91" s="32"/>
      <c r="G91" s="10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5D7B-2AE8-4E53-B23A-DE594996A77F}">
  <dimension ref="A1:Q90"/>
  <sheetViews>
    <sheetView workbookViewId="0">
      <selection activeCell="C28" sqref="C28"/>
    </sheetView>
  </sheetViews>
  <sheetFormatPr baseColWidth="10" defaultColWidth="8.42578125" defaultRowHeight="12.75" x14ac:dyDescent="0.2"/>
  <cols>
    <col min="1" max="1" width="10" style="14" bestFit="1" customWidth="1"/>
    <col min="2" max="2" width="44.28515625" style="14" bestFit="1" customWidth="1"/>
    <col min="3" max="3" width="10.42578125" style="14" bestFit="1" customWidth="1"/>
    <col min="4" max="4" width="10.42578125" style="14" customWidth="1"/>
    <col min="5" max="5" width="9.7109375" style="14" bestFit="1" customWidth="1"/>
    <col min="6" max="6" width="9.5703125" style="14" bestFit="1" customWidth="1"/>
    <col min="7" max="7" width="9.5703125" style="96" bestFit="1" customWidth="1"/>
    <col min="8" max="8" width="10.42578125" style="87" bestFit="1" customWidth="1"/>
    <col min="9" max="9" width="4.5703125" style="87" customWidth="1"/>
    <col min="10" max="10" width="1.7109375" style="13" customWidth="1"/>
    <col min="11" max="11" width="7" style="14" bestFit="1" customWidth="1"/>
    <col min="12" max="12" width="6.28515625" style="14" customWidth="1"/>
    <col min="13" max="13" width="20.42578125" style="14" customWidth="1"/>
    <col min="14" max="14" width="6.42578125" style="14" bestFit="1" customWidth="1"/>
    <col min="15" max="16" width="8.42578125" style="14"/>
    <col min="17" max="17" width="3.28515625" style="14" customWidth="1"/>
    <col min="18" max="16384" width="8.42578125" style="14"/>
  </cols>
  <sheetData>
    <row r="1" spans="1:10" ht="27.75" customHeight="1" x14ac:dyDescent="0.2">
      <c r="A1" s="9"/>
      <c r="B1" s="9"/>
      <c r="C1" s="9"/>
      <c r="D1" s="9"/>
      <c r="E1" s="10" t="s">
        <v>39</v>
      </c>
      <c r="F1" s="11" t="s">
        <v>40</v>
      </c>
      <c r="G1" s="11" t="s">
        <v>41</v>
      </c>
      <c r="H1" s="11" t="s">
        <v>42</v>
      </c>
      <c r="I1" s="12"/>
    </row>
    <row r="2" spans="1:10" ht="30.75" customHeight="1" x14ac:dyDescent="0.2">
      <c r="A2" s="9"/>
      <c r="B2" s="9"/>
      <c r="C2" s="9"/>
      <c r="D2" s="9"/>
      <c r="E2" s="15">
        <f>IFERROR(O61,"")</f>
        <v>2388.3875915509816</v>
      </c>
      <c r="F2" s="15">
        <f>IFERROR(H52,"")</f>
        <v>1687.4309600000001</v>
      </c>
      <c r="G2" s="15">
        <f>IFERROR(H53,"")</f>
        <v>123.05590110324026</v>
      </c>
      <c r="H2" s="15">
        <f>IFERROR(H55,"")</f>
        <v>296.2348282127075</v>
      </c>
      <c r="I2" s="16"/>
    </row>
    <row r="3" spans="1:10" ht="15" customHeight="1" x14ac:dyDescent="0.2">
      <c r="A3" s="9"/>
      <c r="B3" s="9"/>
      <c r="C3" s="9"/>
      <c r="D3" s="9"/>
      <c r="E3" s="9"/>
      <c r="F3" s="17"/>
      <c r="G3" s="17"/>
      <c r="H3" s="17"/>
      <c r="I3" s="17"/>
    </row>
    <row r="4" spans="1:10" ht="24.75" customHeight="1" thickBot="1" x14ac:dyDescent="0.25">
      <c r="A4" s="281"/>
      <c r="B4" s="281"/>
      <c r="C4" s="281"/>
      <c r="D4" s="281"/>
      <c r="E4" s="281"/>
      <c r="F4" s="281"/>
      <c r="G4" s="281"/>
      <c r="H4" s="281"/>
      <c r="I4" s="18"/>
    </row>
    <row r="5" spans="1:10" ht="19.5" customHeight="1" thickBot="1" x14ac:dyDescent="0.25">
      <c r="A5" s="282" t="s">
        <v>43</v>
      </c>
      <c r="B5" s="283"/>
      <c r="C5" s="283"/>
      <c r="D5" s="283"/>
      <c r="E5" s="283"/>
      <c r="F5" s="283"/>
      <c r="G5" s="283"/>
      <c r="H5" s="284"/>
      <c r="I5" s="19"/>
    </row>
    <row r="6" spans="1:10" ht="19.5" thickBot="1" x14ac:dyDescent="0.25">
      <c r="A6" s="19"/>
      <c r="B6" s="19"/>
      <c r="C6" s="19"/>
      <c r="D6" s="19"/>
      <c r="E6" s="19"/>
      <c r="F6" s="285" t="s">
        <v>44</v>
      </c>
      <c r="G6" s="285"/>
      <c r="H6" s="20">
        <f ca="1">TODAY()</f>
        <v>45747</v>
      </c>
      <c r="I6" s="20"/>
    </row>
    <row r="7" spans="1:10" ht="26.25" hidden="1" thickBot="1" x14ac:dyDescent="0.25">
      <c r="A7" s="21" t="s">
        <v>45</v>
      </c>
      <c r="B7" s="22" t="s">
        <v>46</v>
      </c>
      <c r="C7" s="22" t="s">
        <v>45</v>
      </c>
      <c r="D7" s="23" t="s">
        <v>47</v>
      </c>
      <c r="E7" s="23" t="s">
        <v>48</v>
      </c>
      <c r="F7" s="23" t="s">
        <v>49</v>
      </c>
      <c r="G7" s="23" t="s">
        <v>50</v>
      </c>
      <c r="H7" s="24" t="s">
        <v>51</v>
      </c>
      <c r="I7" s="25"/>
    </row>
    <row r="8" spans="1:10" ht="14.25" hidden="1" thickBot="1" x14ac:dyDescent="0.3">
      <c r="A8" s="26"/>
      <c r="B8" s="14" t="str">
        <f>IFERROR(VLOOKUP(H8,'[1]Consolidado MP Planta'!$A$2:$M$823,3,0),"")</f>
        <v/>
      </c>
      <c r="C8" s="27">
        <f>+A8</f>
        <v>0</v>
      </c>
      <c r="D8" s="28" t="str">
        <f>IFERROR(VLOOKUP(H8,'[1]Consolidado MP Planta'!$A$2:$M$823,13,0),"")</f>
        <v/>
      </c>
      <c r="E8" s="28" t="str">
        <f>IFERROR(VLOOKUP(H8,'[1]Consolidado MP Planta'!$A$2:$M$823,12,0),"")</f>
        <v/>
      </c>
      <c r="F8" s="28" t="str">
        <f>IFERROR(C8*E8,"")</f>
        <v/>
      </c>
      <c r="G8" s="29" t="str">
        <f t="shared" ref="G8:G14" si="0">IFERROR(F8/$F$65,"")</f>
        <v/>
      </c>
      <c r="H8" s="30"/>
      <c r="I8" s="30"/>
      <c r="J8" s="31"/>
    </row>
    <row r="9" spans="1:10" ht="14.25" hidden="1" thickBot="1" x14ac:dyDescent="0.3">
      <c r="A9" s="26"/>
      <c r="B9" s="14" t="str">
        <f>IFERROR(VLOOKUP(H9,'[1]Consolidado MP Planta'!$A$2:$M$823,3,0),"")</f>
        <v/>
      </c>
      <c r="C9" s="27">
        <f t="shared" ref="C9:C14" si="1">+A9</f>
        <v>0</v>
      </c>
      <c r="D9" s="28" t="str">
        <f>IFERROR(VLOOKUP(H9,'[1]Consolidado MP Planta'!$A$2:$M$823,13,0),"")</f>
        <v/>
      </c>
      <c r="E9" s="28" t="str">
        <f>IFERROR(VLOOKUP(H9,'[1]Consolidado MP Planta'!$A$2:$M$823,12,0),"")</f>
        <v/>
      </c>
      <c r="F9" s="28" t="str">
        <f t="shared" ref="F9:F14" si="2">IFERROR(C9*E9,"")</f>
        <v/>
      </c>
      <c r="G9" s="29" t="str">
        <f t="shared" si="0"/>
        <v/>
      </c>
      <c r="H9" s="30"/>
      <c r="I9" s="30"/>
      <c r="J9" s="31"/>
    </row>
    <row r="10" spans="1:10" ht="14.25" hidden="1" thickBot="1" x14ac:dyDescent="0.3">
      <c r="A10" s="26"/>
      <c r="B10" s="14" t="str">
        <f>IFERROR(VLOOKUP(H10,'[1]Consolidado MP Planta'!$A$2:$M$823,3,0),"")</f>
        <v/>
      </c>
      <c r="C10" s="27">
        <f t="shared" si="1"/>
        <v>0</v>
      </c>
      <c r="D10" s="28" t="str">
        <f>IFERROR(VLOOKUP(H10,'[1]Consolidado MP Planta'!$A$2:$M$823,13,0),"")</f>
        <v/>
      </c>
      <c r="E10" s="28" t="str">
        <f>IFERROR(VLOOKUP(H10,'[1]Consolidado MP Planta'!$A$2:$M$823,12,0),"")</f>
        <v/>
      </c>
      <c r="F10" s="28" t="str">
        <f t="shared" si="2"/>
        <v/>
      </c>
      <c r="G10" s="29" t="str">
        <f t="shared" si="0"/>
        <v/>
      </c>
      <c r="H10" s="30"/>
      <c r="I10" s="30"/>
      <c r="J10" s="31"/>
    </row>
    <row r="11" spans="1:10" ht="14.25" hidden="1" thickBot="1" x14ac:dyDescent="0.3">
      <c r="A11" s="26"/>
      <c r="B11" s="14" t="str">
        <f>IFERROR(VLOOKUP(H11,'[1]Consolidado MP Planta'!$A$2:$M$823,3,0),"")</f>
        <v/>
      </c>
      <c r="C11" s="27">
        <f t="shared" si="1"/>
        <v>0</v>
      </c>
      <c r="D11" s="28" t="str">
        <f>IFERROR(VLOOKUP(H11,'[1]Consolidado MP Planta'!$A$2:$M$823,13,0),"")</f>
        <v/>
      </c>
      <c r="E11" s="28" t="str">
        <f>IFERROR(VLOOKUP(H11,'[1]Consolidado MP Planta'!$A$2:$M$823,12,0),"")</f>
        <v/>
      </c>
      <c r="F11" s="28" t="str">
        <f t="shared" si="2"/>
        <v/>
      </c>
      <c r="G11" s="29" t="str">
        <f t="shared" si="0"/>
        <v/>
      </c>
      <c r="H11" s="30"/>
      <c r="I11" s="30"/>
      <c r="J11" s="31"/>
    </row>
    <row r="12" spans="1:10" ht="14.25" hidden="1" thickBot="1" x14ac:dyDescent="0.3">
      <c r="A12" s="26"/>
      <c r="B12" s="14" t="str">
        <f>IFERROR(VLOOKUP(H12,'[1]Consolidado MP Planta'!$A$2:$M$823,3,0),"")</f>
        <v/>
      </c>
      <c r="C12" s="27">
        <f t="shared" si="1"/>
        <v>0</v>
      </c>
      <c r="D12" s="28" t="str">
        <f>IFERROR(VLOOKUP(H12,'[1]Consolidado MP Planta'!$A$2:$M$823,13,0),"")</f>
        <v/>
      </c>
      <c r="E12" s="28" t="str">
        <f>IFERROR(VLOOKUP(H12,'[1]Consolidado MP Planta'!$A$2:$M$823,12,0),"")</f>
        <v/>
      </c>
      <c r="F12" s="28" t="str">
        <f t="shared" si="2"/>
        <v/>
      </c>
      <c r="G12" s="29" t="str">
        <f t="shared" si="0"/>
        <v/>
      </c>
      <c r="H12" s="30"/>
      <c r="I12" s="30"/>
      <c r="J12" s="31"/>
    </row>
    <row r="13" spans="1:10" ht="14.25" hidden="1" thickBot="1" x14ac:dyDescent="0.3">
      <c r="A13" s="26"/>
      <c r="B13" s="14" t="str">
        <f>IFERROR(VLOOKUP(H13,'[1]Consolidado MP Planta'!$A$2:$M$823,3,0),"")</f>
        <v/>
      </c>
      <c r="C13" s="27">
        <f t="shared" si="1"/>
        <v>0</v>
      </c>
      <c r="D13" s="28" t="str">
        <f>IFERROR(VLOOKUP(H13,'[1]Consolidado MP Planta'!$A$2:$M$823,13,0),"")</f>
        <v/>
      </c>
      <c r="E13" s="28" t="str">
        <f>IFERROR(VLOOKUP(H13,'[1]Consolidado MP Planta'!$A$2:$M$823,12,0),"")</f>
        <v/>
      </c>
      <c r="F13" s="28" t="str">
        <f t="shared" si="2"/>
        <v/>
      </c>
      <c r="G13" s="29" t="str">
        <f t="shared" si="0"/>
        <v/>
      </c>
      <c r="H13" s="30"/>
      <c r="I13" s="30"/>
      <c r="J13" s="31"/>
    </row>
    <row r="14" spans="1:10" ht="14.25" hidden="1" thickBot="1" x14ac:dyDescent="0.3">
      <c r="A14" s="26"/>
      <c r="B14" s="14" t="str">
        <f>IFERROR(VLOOKUP(H14,'[1]Consolidado MP Planta'!$A$2:$M$823,3,0),"")</f>
        <v/>
      </c>
      <c r="C14" s="27">
        <f t="shared" si="1"/>
        <v>0</v>
      </c>
      <c r="D14" s="28" t="str">
        <f>IFERROR(VLOOKUP(H14,'[1]Consolidado MP Planta'!$A$2:$M$823,13,0),"")</f>
        <v/>
      </c>
      <c r="E14" s="28" t="str">
        <f>IFERROR(VLOOKUP(H14,'[1]Consolidado MP Planta'!$A$2:$M$823,12,0),"")</f>
        <v/>
      </c>
      <c r="F14" s="28" t="str">
        <f t="shared" si="2"/>
        <v/>
      </c>
      <c r="G14" s="29" t="str">
        <f t="shared" si="0"/>
        <v/>
      </c>
      <c r="H14" s="30"/>
      <c r="I14" s="30"/>
      <c r="J14" s="31"/>
    </row>
    <row r="15" spans="1:10" ht="14.25" hidden="1" thickBot="1" x14ac:dyDescent="0.3">
      <c r="A15" s="26"/>
      <c r="B15" s="14" t="str">
        <f>IFERROR(VLOOKUP(H15,'[2]ARTICULOS MP PLANTA'!$A$2:$G$589,2,0),"")</f>
        <v/>
      </c>
      <c r="C15" s="27"/>
      <c r="D15" s="28"/>
      <c r="E15" s="28"/>
      <c r="F15" s="28"/>
      <c r="G15" s="29"/>
      <c r="H15" s="30"/>
      <c r="I15" s="30"/>
      <c r="J15" s="31"/>
    </row>
    <row r="16" spans="1:10" ht="26.25" thickBot="1" x14ac:dyDescent="0.25">
      <c r="A16" s="21" t="s">
        <v>45</v>
      </c>
      <c r="B16" s="22" t="s">
        <v>52</v>
      </c>
      <c r="C16" s="22" t="s">
        <v>45</v>
      </c>
      <c r="D16" s="23" t="s">
        <v>47</v>
      </c>
      <c r="E16" s="23" t="s">
        <v>48</v>
      </c>
      <c r="F16" s="23" t="s">
        <v>49</v>
      </c>
      <c r="G16" s="23" t="s">
        <v>50</v>
      </c>
      <c r="H16" s="24" t="s">
        <v>51</v>
      </c>
      <c r="I16" s="25"/>
      <c r="J16" s="31"/>
    </row>
    <row r="17" spans="1:12" ht="13.5" x14ac:dyDescent="0.25">
      <c r="A17" s="26">
        <v>4</v>
      </c>
      <c r="B17" s="14" t="s">
        <v>38</v>
      </c>
      <c r="C17" s="27">
        <f>+A17</f>
        <v>4</v>
      </c>
      <c r="D17" s="27" t="s">
        <v>90</v>
      </c>
      <c r="E17" s="28">
        <f>+'COSTO ROLLO'!H53</f>
        <v>421.85774000000004</v>
      </c>
      <c r="F17" s="28">
        <f>IFERROR(E17*C17,"")</f>
        <v>1687.4309600000001</v>
      </c>
      <c r="G17" s="29">
        <f t="shared" ref="G17:G24" si="3">IFERROR(F17/$F$65,"")</f>
        <v>0.8856810496366706</v>
      </c>
      <c r="H17" s="30"/>
      <c r="I17" s="30"/>
      <c r="J17" s="31"/>
    </row>
    <row r="18" spans="1:12" ht="13.5" hidden="1" x14ac:dyDescent="0.25">
      <c r="A18" s="26"/>
      <c r="B18" s="14" t="str">
        <f>IFERROR(VLOOKUP(H18,[1]SEMIELABORADOS!$A$2:$M$6000,2,0),"")</f>
        <v/>
      </c>
      <c r="C18" s="27">
        <f t="shared" ref="C18:C24" si="4">+A18</f>
        <v>0</v>
      </c>
      <c r="D18" s="27" t="str">
        <f>IFERROR(VLOOKUP(H18,[1]SEMIELABORADOS!$A$2:$M$6000,6,0),"")</f>
        <v/>
      </c>
      <c r="E18" s="28" t="str">
        <f>IFERROR(VLOOKUP(H18,[1]SEMIELABORADOS!$A$2:$H$65536,8,0),"")</f>
        <v/>
      </c>
      <c r="F18" s="28" t="str">
        <f t="shared" ref="F18:F24" si="5">IFERROR(E18*C18,"")</f>
        <v/>
      </c>
      <c r="G18" s="29" t="str">
        <f t="shared" si="3"/>
        <v/>
      </c>
      <c r="H18" s="30"/>
      <c r="I18" s="30"/>
      <c r="J18" s="31"/>
    </row>
    <row r="19" spans="1:12" ht="13.5" hidden="1" x14ac:dyDescent="0.25">
      <c r="A19" s="26"/>
      <c r="B19" s="14" t="str">
        <f>IFERROR(VLOOKUP(H19,[1]SEMIELABORADOS!$A$2:$M$6000,2,0),"")</f>
        <v/>
      </c>
      <c r="C19" s="27">
        <f>+A19</f>
        <v>0</v>
      </c>
      <c r="D19" s="27" t="str">
        <f>IFERROR(VLOOKUP(H19,[1]SEMIELABORADOS!$A$2:$M$6000,6,0),"")</f>
        <v/>
      </c>
      <c r="E19" s="28" t="str">
        <f>IFERROR(VLOOKUP(H19,[1]SEMIELABORADOS!$A$2:$H$65536,8,0),"")</f>
        <v/>
      </c>
      <c r="F19" s="28" t="str">
        <f>IFERROR(E19*C19,"")</f>
        <v/>
      </c>
      <c r="G19" s="29" t="str">
        <f t="shared" si="3"/>
        <v/>
      </c>
      <c r="H19" s="30"/>
      <c r="I19" s="30"/>
      <c r="J19" s="31"/>
    </row>
    <row r="20" spans="1:12" ht="13.5" hidden="1" x14ac:dyDescent="0.25">
      <c r="A20" s="26"/>
      <c r="B20" s="14" t="str">
        <f>IFERROR(VLOOKUP(H20,[1]SEMIELABORADOS!$A$2:$M$6000,2,0),"")</f>
        <v/>
      </c>
      <c r="C20" s="27">
        <f>+A20</f>
        <v>0</v>
      </c>
      <c r="D20" s="27" t="str">
        <f>IFERROR(VLOOKUP(H20,[1]SEMIELABORADOS!$A$2:$M$6000,6,0),"")</f>
        <v/>
      </c>
      <c r="E20" s="28" t="str">
        <f>IFERROR(VLOOKUP(H20,[1]SEMIELABORADOS!$A$2:$H$65536,8,0),"")</f>
        <v/>
      </c>
      <c r="F20" s="28" t="str">
        <f>IFERROR(E20*C20,"")</f>
        <v/>
      </c>
      <c r="G20" s="29" t="str">
        <f t="shared" si="3"/>
        <v/>
      </c>
      <c r="H20" s="30"/>
      <c r="I20" s="30"/>
      <c r="J20" s="31"/>
    </row>
    <row r="21" spans="1:12" ht="13.5" hidden="1" x14ac:dyDescent="0.25">
      <c r="A21" s="26"/>
      <c r="B21" s="14" t="str">
        <f>IFERROR(VLOOKUP(H21,[1]SEMIELABORADOS!$A$2:$M$6000,2,0),"")</f>
        <v/>
      </c>
      <c r="C21" s="27">
        <f>+A21</f>
        <v>0</v>
      </c>
      <c r="D21" s="27" t="str">
        <f>IFERROR(VLOOKUP(H21,[1]SEMIELABORADOS!$A$2:$M$6000,6,0),"")</f>
        <v/>
      </c>
      <c r="E21" s="28" t="str">
        <f>IFERROR(VLOOKUP(H21,[1]SEMIELABORADOS!$A$2:$H$65536,8,0),"")</f>
        <v/>
      </c>
      <c r="F21" s="28" t="str">
        <f>IFERROR(E21*C21,"")</f>
        <v/>
      </c>
      <c r="G21" s="29" t="str">
        <f t="shared" si="3"/>
        <v/>
      </c>
      <c r="H21" s="30"/>
      <c r="I21" s="30"/>
      <c r="J21" s="31"/>
    </row>
    <row r="22" spans="1:12" ht="13.5" hidden="1" x14ac:dyDescent="0.25">
      <c r="A22" s="26"/>
      <c r="B22" s="14" t="str">
        <f>IFERROR(VLOOKUP(H22,[1]SEMIELABORADOS!$A$2:$M$6000,2,0),"")</f>
        <v/>
      </c>
      <c r="C22" s="27">
        <f t="shared" si="4"/>
        <v>0</v>
      </c>
      <c r="D22" s="27" t="str">
        <f>IFERROR(VLOOKUP(H22,[1]SEMIELABORADOS!$A$2:$M$6000,6,0),"")</f>
        <v/>
      </c>
      <c r="E22" s="28" t="str">
        <f>IFERROR(VLOOKUP(H22,[1]SEMIELABORADOS!$A$2:$H$65536,8,0),"")</f>
        <v/>
      </c>
      <c r="F22" s="28" t="str">
        <f t="shared" si="5"/>
        <v/>
      </c>
      <c r="G22" s="29" t="str">
        <f t="shared" si="3"/>
        <v/>
      </c>
      <c r="H22" s="30"/>
      <c r="I22" s="30"/>
      <c r="J22" s="31"/>
    </row>
    <row r="23" spans="1:12" ht="13.5" hidden="1" x14ac:dyDescent="0.25">
      <c r="A23" s="26"/>
      <c r="B23" s="14" t="str">
        <f>IFERROR(VLOOKUP(H23,[1]SEMIELABORADOS!$A$2:$M$6000,2,0),"")</f>
        <v/>
      </c>
      <c r="C23" s="27">
        <f t="shared" si="4"/>
        <v>0</v>
      </c>
      <c r="D23" s="27" t="str">
        <f>IFERROR(VLOOKUP(H23,[1]SEMIELABORADOS!$A$2:$M$6000,6,0),"")</f>
        <v/>
      </c>
      <c r="E23" s="28" t="str">
        <f>IFERROR(VLOOKUP(H23,[1]SEMIELABORADOS!$A$2:$H$65536,8,0),"")</f>
        <v/>
      </c>
      <c r="F23" s="28" t="str">
        <f t="shared" si="5"/>
        <v/>
      </c>
      <c r="G23" s="29" t="str">
        <f t="shared" si="3"/>
        <v/>
      </c>
      <c r="H23" s="30"/>
      <c r="I23" s="30"/>
      <c r="J23" s="31"/>
    </row>
    <row r="24" spans="1:12" ht="13.5" hidden="1" x14ac:dyDescent="0.25">
      <c r="A24" s="26"/>
      <c r="B24" s="14" t="str">
        <f>IFERROR(VLOOKUP(H24,[1]SEMIELABORADOS!$A$2:$M$6000,2,0),"")</f>
        <v/>
      </c>
      <c r="C24" s="27">
        <f t="shared" si="4"/>
        <v>0</v>
      </c>
      <c r="D24" s="27" t="str">
        <f>IFERROR(VLOOKUP(H24,[1]SEMIELABORADOS!$A$2:$M$6000,6,0),"")</f>
        <v/>
      </c>
      <c r="E24" s="28" t="str">
        <f>IFERROR(VLOOKUP(H24,[1]SEMIELABORADOS!$A$2:$H$65536,8,0),"")</f>
        <v/>
      </c>
      <c r="F24" s="28" t="str">
        <f t="shared" si="5"/>
        <v/>
      </c>
      <c r="G24" s="29" t="str">
        <f t="shared" si="3"/>
        <v/>
      </c>
      <c r="H24" s="30"/>
      <c r="I24" s="30"/>
      <c r="J24" s="31"/>
    </row>
    <row r="25" spans="1:12" ht="14.25" thickBot="1" x14ac:dyDescent="0.3">
      <c r="A25" s="26"/>
      <c r="C25" s="27"/>
      <c r="D25" s="27"/>
      <c r="E25" s="28"/>
      <c r="F25" s="28"/>
      <c r="G25" s="29"/>
      <c r="H25" s="30"/>
      <c r="I25" s="30"/>
      <c r="J25" s="31"/>
    </row>
    <row r="26" spans="1:12" ht="26.25" thickBot="1" x14ac:dyDescent="0.25">
      <c r="A26" s="21" t="s">
        <v>45</v>
      </c>
      <c r="B26" s="22" t="s">
        <v>36</v>
      </c>
      <c r="C26" s="22" t="s">
        <v>45</v>
      </c>
      <c r="D26" s="23" t="s">
        <v>47</v>
      </c>
      <c r="E26" s="23" t="s">
        <v>48</v>
      </c>
      <c r="F26" s="23" t="s">
        <v>49</v>
      </c>
      <c r="G26" s="23" t="s">
        <v>50</v>
      </c>
      <c r="H26" s="24" t="s">
        <v>51</v>
      </c>
      <c r="I26" s="25"/>
    </row>
    <row r="27" spans="1:12" ht="13.5" x14ac:dyDescent="0.25">
      <c r="A27" s="26">
        <v>2</v>
      </c>
      <c r="B27" s="32" t="str">
        <f>IFERROR(VLOOKUP(H27,'[1]Consolidado MP Planta'!$A$2:$M$823,3,0),"")</f>
        <v>CAJA BLANCA MEDIANA (PAQ:100 UND)</v>
      </c>
      <c r="C27" s="27">
        <f>+A27</f>
        <v>2</v>
      </c>
      <c r="D27" s="28" t="str">
        <f>IFERROR(VLOOKUP(H27,'[1]Consolidado MP Planta'!$A$2:$M$823,13,0),"")</f>
        <v>Und</v>
      </c>
      <c r="E27" s="28">
        <v>49.75</v>
      </c>
      <c r="F27" s="28">
        <f>IFERROR(C27*E27,"")</f>
        <v>99.5</v>
      </c>
      <c r="G27" s="29">
        <f>IFERROR(F27/$F$65,"")</f>
        <v>5.2224515567053903E-2</v>
      </c>
      <c r="H27" s="33" t="s">
        <v>91</v>
      </c>
      <c r="I27" s="33"/>
      <c r="J27" s="31"/>
      <c r="K27" s="275"/>
      <c r="L27" s="275"/>
    </row>
    <row r="28" spans="1:12" ht="13.5" x14ac:dyDescent="0.25">
      <c r="A28" s="26">
        <v>1</v>
      </c>
      <c r="B28" s="32" t="str">
        <f>IFERROR(VLOOKUP(H28,'[1]Consolidado MP Planta'!$A$2:$M$823,3,0),"")</f>
        <v>ETIQ.BLANCA 1 1/4 * 3/4 (UND)</v>
      </c>
      <c r="C28" s="27">
        <f>+A28</f>
        <v>1</v>
      </c>
      <c r="D28" s="28" t="str">
        <f>IFERROR(VLOOKUP(H28,'[1]Consolidado MP Planta'!$A$2:$M$823,13,0),"")</f>
        <v>Und</v>
      </c>
      <c r="E28" s="28">
        <f>IFERROR(VLOOKUP(H28,'[1]Consolidado MP Planta'!$A$2:$M$823,12,0),"")</f>
        <v>0.57999999999999996</v>
      </c>
      <c r="F28" s="28">
        <f>IFERROR(C28*E28,"")</f>
        <v>0.57999999999999996</v>
      </c>
      <c r="G28" s="29">
        <f>IFERROR(F28/$F$65,"")</f>
        <v>3.0442431184815339E-4</v>
      </c>
      <c r="H28" s="33" t="s">
        <v>92</v>
      </c>
      <c r="I28" s="33"/>
      <c r="J28" s="31"/>
      <c r="K28" s="275"/>
      <c r="L28" s="275"/>
    </row>
    <row r="29" spans="1:12" ht="13.5" x14ac:dyDescent="0.25">
      <c r="A29" s="26">
        <v>1</v>
      </c>
      <c r="B29" s="32" t="str">
        <f>IFERROR(VLOOKUP(H29,'[1]Consolidado MP Planta'!$A$2:$M$823,3,0),"")</f>
        <v>ETIQ.FECHA VENCIMIENTO BLANCO (ROLLO)</v>
      </c>
      <c r="C29" s="27">
        <f>+A29</f>
        <v>1</v>
      </c>
      <c r="D29" s="28" t="str">
        <f>IFERROR(VLOOKUP(H29,'[1]Consolidado MP Planta'!$A$2:$M$823,13,0),"")</f>
        <v>Gramos</v>
      </c>
      <c r="E29" s="28">
        <f>IFERROR(VLOOKUP(H29,'[1]Consolidado MP Planta'!$A$2:$M$823,12,0),"")</f>
        <v>0.33333333333333331</v>
      </c>
      <c r="F29" s="28">
        <f>IFERROR(C29*E29,"")</f>
        <v>0.33333333333333331</v>
      </c>
      <c r="G29" s="29">
        <f>IFERROR(F29/$F$65,"")</f>
        <v>1.7495650106215713E-4</v>
      </c>
      <c r="H29" s="33" t="s">
        <v>93</v>
      </c>
      <c r="I29" s="33"/>
      <c r="J29" s="31"/>
      <c r="K29" s="275"/>
      <c r="L29" s="275"/>
    </row>
    <row r="30" spans="1:12" ht="13.5" hidden="1" x14ac:dyDescent="0.25">
      <c r="A30" s="26"/>
      <c r="B30" s="32" t="str">
        <f>IFERROR(VLOOKUP(H30,'[1]Consolidado MP Planta'!$A$2:$M$823,3,0),"")</f>
        <v/>
      </c>
      <c r="C30" s="27">
        <f>+A30</f>
        <v>0</v>
      </c>
      <c r="D30" s="28" t="str">
        <f>IFERROR(VLOOKUP(H30,'[1]Consolidado MP Planta'!$A$2:$M$823,13,0),"")</f>
        <v/>
      </c>
      <c r="E30" s="28" t="str">
        <f>IFERROR(VLOOKUP(H30,'[1]Consolidado MP Planta'!$A$2:$M$823,12,0),"")</f>
        <v/>
      </c>
      <c r="F30" s="28" t="str">
        <f>IFERROR(C30*E30,"")</f>
        <v/>
      </c>
      <c r="G30" s="29" t="str">
        <f>IFERROR(F30/$F$65,"")</f>
        <v/>
      </c>
      <c r="H30" s="33"/>
      <c r="I30" s="33"/>
      <c r="J30" s="31"/>
      <c r="K30" s="34"/>
      <c r="L30" s="35"/>
    </row>
    <row r="31" spans="1:12" ht="13.5" hidden="1" x14ac:dyDescent="0.25">
      <c r="A31" s="26"/>
      <c r="B31" s="32" t="str">
        <f>IFERROR(VLOOKUP(H31,'[1]Consolidado MP Planta'!$A$2:$M$823,3,0),"")</f>
        <v/>
      </c>
      <c r="C31" s="27">
        <f>+A31</f>
        <v>0</v>
      </c>
      <c r="D31" s="28" t="str">
        <f>IFERROR(VLOOKUP(H31,'[1]Consolidado MP Planta'!$A$2:$M$823,13,0),"")</f>
        <v/>
      </c>
      <c r="E31" s="28" t="str">
        <f>IFERROR(VLOOKUP(H31,'[1]Consolidado MP Planta'!$A$2:$M$823,12,0),"")</f>
        <v/>
      </c>
      <c r="F31" s="28" t="str">
        <f>IFERROR(C31*E31,"")</f>
        <v/>
      </c>
      <c r="G31" s="29" t="str">
        <f>IFERROR(F31/$F$65,"")</f>
        <v/>
      </c>
      <c r="H31" s="33"/>
      <c r="I31" s="33"/>
      <c r="J31" s="31"/>
    </row>
    <row r="32" spans="1:12" ht="14.25" thickBot="1" x14ac:dyDescent="0.3">
      <c r="A32" s="26"/>
      <c r="B32" s="32"/>
      <c r="C32" s="27"/>
      <c r="D32" s="28"/>
      <c r="E32" s="28"/>
      <c r="F32" s="28"/>
      <c r="G32" s="29"/>
      <c r="H32" s="33"/>
      <c r="I32" s="33"/>
      <c r="J32" s="31"/>
    </row>
    <row r="33" spans="1:13" ht="26.25" thickBot="1" x14ac:dyDescent="0.25">
      <c r="A33" s="21" t="s">
        <v>45</v>
      </c>
      <c r="B33" s="22" t="s">
        <v>54</v>
      </c>
      <c r="C33" s="22" t="s">
        <v>45</v>
      </c>
      <c r="D33" s="23" t="s">
        <v>47</v>
      </c>
      <c r="E33" s="23" t="s">
        <v>48</v>
      </c>
      <c r="F33" s="23" t="s">
        <v>49</v>
      </c>
      <c r="G33" s="23" t="s">
        <v>50</v>
      </c>
      <c r="H33" s="24" t="s">
        <v>51</v>
      </c>
      <c r="I33" s="33"/>
      <c r="J33" s="31"/>
    </row>
    <row r="34" spans="1:13" ht="13.5" x14ac:dyDescent="0.25">
      <c r="A34" s="26">
        <f t="shared" ref="A34:A40" si="6">+A17</f>
        <v>4</v>
      </c>
      <c r="B34" s="32" t="s">
        <v>38</v>
      </c>
      <c r="C34" s="27">
        <f>+A34</f>
        <v>4</v>
      </c>
      <c r="D34" s="28" t="s">
        <v>94</v>
      </c>
      <c r="E34" s="28">
        <f>+'COSTO ROLLO'!H54</f>
        <v>5.6606419424767322</v>
      </c>
      <c r="F34" s="28">
        <f>IFERROR(E34*C34,"")</f>
        <v>22.642567769906929</v>
      </c>
      <c r="G34" s="29">
        <f t="shared" ref="G34:G40" si="7">IFERROR(F34/$F$65,"")</f>
        <v>1.1884393296257059E-2</v>
      </c>
      <c r="H34" s="33"/>
      <c r="I34" s="33"/>
      <c r="J34" s="31"/>
    </row>
    <row r="35" spans="1:13" ht="13.5" hidden="1" x14ac:dyDescent="0.25">
      <c r="A35" s="26">
        <f t="shared" si="6"/>
        <v>0</v>
      </c>
      <c r="B35" s="32" t="str">
        <f>IFERROR(VLOOKUP(H35,[1]SEMIELABORADOS!$A$2:$M$6000,2,0),"")</f>
        <v/>
      </c>
      <c r="C35" s="27">
        <f t="shared" ref="C35:C40" si="8">+A35</f>
        <v>0</v>
      </c>
      <c r="D35" s="28" t="str">
        <f>IFERROR(VLOOKUP(H35,[1]SEMIELABORADOS!$A$2:$M$6000,6,0),"")</f>
        <v/>
      </c>
      <c r="E35" s="28" t="str">
        <f>IFERROR(VLOOKUP(H35,[1]SEMIELABORADOS!$A$2:$M$65536,10,0),"")</f>
        <v/>
      </c>
      <c r="F35" s="28" t="str">
        <f t="shared" ref="F35:F40" si="9">IFERROR(E35*C35,"")</f>
        <v/>
      </c>
      <c r="G35" s="29" t="str">
        <f t="shared" si="7"/>
        <v/>
      </c>
      <c r="H35" s="33"/>
      <c r="I35" s="33"/>
      <c r="J35" s="31"/>
    </row>
    <row r="36" spans="1:13" ht="13.5" hidden="1" x14ac:dyDescent="0.25">
      <c r="A36" s="26">
        <f t="shared" si="6"/>
        <v>0</v>
      </c>
      <c r="B36" s="32" t="str">
        <f>IFERROR(VLOOKUP(H36,[1]SEMIELABORADOS!$A$2:$M$6000,2,0),"")</f>
        <v/>
      </c>
      <c r="C36" s="27">
        <f t="shared" si="8"/>
        <v>0</v>
      </c>
      <c r="D36" s="28" t="str">
        <f>IFERROR(VLOOKUP(H36,[1]SEMIELABORADOS!$A$2:$M$6000,6,0),"")</f>
        <v/>
      </c>
      <c r="E36" s="28" t="str">
        <f>IFERROR(VLOOKUP(H36,[1]SEMIELABORADOS!$A$2:$M$65536,10,0),"")</f>
        <v/>
      </c>
      <c r="F36" s="28" t="str">
        <f t="shared" si="9"/>
        <v/>
      </c>
      <c r="G36" s="29" t="str">
        <f t="shared" si="7"/>
        <v/>
      </c>
      <c r="H36" s="33"/>
      <c r="I36" s="33"/>
      <c r="J36" s="31"/>
    </row>
    <row r="37" spans="1:13" ht="13.5" hidden="1" x14ac:dyDescent="0.25">
      <c r="A37" s="26">
        <f t="shared" si="6"/>
        <v>0</v>
      </c>
      <c r="B37" s="32" t="str">
        <f>IFERROR(VLOOKUP(H37,[1]SEMIELABORADOS!$A$2:$M$6000,2,0),"")</f>
        <v/>
      </c>
      <c r="C37" s="27">
        <f>+A37</f>
        <v>0</v>
      </c>
      <c r="D37" s="28" t="str">
        <f>IFERROR(VLOOKUP(H37,[1]SEMIELABORADOS!$A$2:$M$6000,6,0),"")</f>
        <v/>
      </c>
      <c r="E37" s="28" t="str">
        <f>IFERROR(VLOOKUP(H37,[1]SEMIELABORADOS!$A$2:$M$65536,10,0),"")</f>
        <v/>
      </c>
      <c r="F37" s="28" t="str">
        <f>IFERROR(E37*C37,"")</f>
        <v/>
      </c>
      <c r="G37" s="29" t="str">
        <f t="shared" si="7"/>
        <v/>
      </c>
      <c r="H37" s="33"/>
      <c r="I37" s="33"/>
      <c r="J37" s="31"/>
    </row>
    <row r="38" spans="1:13" ht="13.5" hidden="1" x14ac:dyDescent="0.25">
      <c r="A38" s="26">
        <f t="shared" si="6"/>
        <v>0</v>
      </c>
      <c r="B38" s="32" t="str">
        <f>IFERROR(VLOOKUP(H38,[1]SEMIELABORADOS!$A$2:$M$6000,2,0),"")</f>
        <v/>
      </c>
      <c r="C38" s="27">
        <f>+A38</f>
        <v>0</v>
      </c>
      <c r="D38" s="28" t="str">
        <f>IFERROR(VLOOKUP(H38,[1]SEMIELABORADOS!$A$2:$M$6000,6,0),"")</f>
        <v/>
      </c>
      <c r="E38" s="28" t="str">
        <f>IFERROR(VLOOKUP(H38,[1]SEMIELABORADOS!$A$2:$M$65536,10,0),"")</f>
        <v/>
      </c>
      <c r="F38" s="28" t="str">
        <f>IFERROR(E38*C38,"")</f>
        <v/>
      </c>
      <c r="G38" s="29" t="str">
        <f t="shared" si="7"/>
        <v/>
      </c>
      <c r="H38" s="33"/>
      <c r="I38" s="33"/>
      <c r="J38" s="31"/>
    </row>
    <row r="39" spans="1:13" ht="13.5" hidden="1" x14ac:dyDescent="0.25">
      <c r="A39" s="26">
        <f t="shared" si="6"/>
        <v>0</v>
      </c>
      <c r="B39" s="32" t="str">
        <f>IFERROR(VLOOKUP(H39,[1]SEMIELABORADOS!$A$2:$M$6000,2,0),"")</f>
        <v/>
      </c>
      <c r="C39" s="27">
        <f t="shared" si="8"/>
        <v>0</v>
      </c>
      <c r="D39" s="28" t="str">
        <f>IFERROR(VLOOKUP(H39,[1]SEMIELABORADOS!$A$2:$M$6000,6,0),"")</f>
        <v/>
      </c>
      <c r="E39" s="28" t="str">
        <f>IFERROR(VLOOKUP(H39,[1]SEMIELABORADOS!$A$2:$M$65536,10,0),"")</f>
        <v/>
      </c>
      <c r="F39" s="28" t="str">
        <f t="shared" si="9"/>
        <v/>
      </c>
      <c r="G39" s="29" t="str">
        <f t="shared" si="7"/>
        <v/>
      </c>
      <c r="H39" s="33"/>
      <c r="I39" s="33"/>
      <c r="J39" s="31"/>
    </row>
    <row r="40" spans="1:13" ht="13.5" hidden="1" x14ac:dyDescent="0.25">
      <c r="A40" s="26">
        <f t="shared" si="6"/>
        <v>0</v>
      </c>
      <c r="B40" s="32" t="str">
        <f>IFERROR(VLOOKUP(H40,[1]SEMIELABORADOS!$A$2:$M$6000,2,0),"")</f>
        <v/>
      </c>
      <c r="C40" s="27">
        <f t="shared" si="8"/>
        <v>0</v>
      </c>
      <c r="D40" s="28" t="str">
        <f>IFERROR(VLOOKUP(H40,[1]SEMIELABORADOS!$A$2:$M$6000,6,0),"")</f>
        <v/>
      </c>
      <c r="E40" s="28" t="str">
        <f>IFERROR(VLOOKUP(H40,[1]SEMIELABORADOS!$A$2:$M$65536,10,0),"")</f>
        <v/>
      </c>
      <c r="F40" s="28" t="str">
        <f t="shared" si="9"/>
        <v/>
      </c>
      <c r="G40" s="29" t="str">
        <f t="shared" si="7"/>
        <v/>
      </c>
      <c r="H40" s="33"/>
      <c r="I40" s="33"/>
      <c r="J40" s="31"/>
    </row>
    <row r="41" spans="1:13" ht="14.25" thickBot="1" x14ac:dyDescent="0.3">
      <c r="A41" s="26"/>
      <c r="B41" s="32"/>
      <c r="C41" s="27"/>
      <c r="D41" s="28"/>
      <c r="E41" s="28"/>
      <c r="F41" s="28"/>
      <c r="G41" s="29"/>
      <c r="H41" s="33"/>
      <c r="I41" s="33"/>
      <c r="J41" s="31"/>
    </row>
    <row r="42" spans="1:13" ht="26.25" thickBot="1" x14ac:dyDescent="0.25">
      <c r="A42" s="21" t="s">
        <v>45</v>
      </c>
      <c r="B42" s="22" t="s">
        <v>55</v>
      </c>
      <c r="C42" s="22" t="s">
        <v>45</v>
      </c>
      <c r="D42" s="23" t="s">
        <v>47</v>
      </c>
      <c r="E42" s="23" t="s">
        <v>48</v>
      </c>
      <c r="F42" s="23" t="s">
        <v>49</v>
      </c>
      <c r="G42" s="23" t="s">
        <v>50</v>
      </c>
      <c r="H42" s="24" t="s">
        <v>51</v>
      </c>
      <c r="I42" s="25"/>
      <c r="J42" s="31"/>
    </row>
    <row r="43" spans="1:13" ht="13.5" x14ac:dyDescent="0.25">
      <c r="A43" s="26">
        <f>+A34</f>
        <v>4</v>
      </c>
      <c r="B43" s="32" t="s">
        <v>38</v>
      </c>
      <c r="C43" s="27">
        <f>+A43</f>
        <v>4</v>
      </c>
      <c r="D43" s="28" t="s">
        <v>94</v>
      </c>
      <c r="E43" s="28">
        <f>+'[4]Costo Rollo'!H56</f>
        <v>58.723747804845502</v>
      </c>
      <c r="F43" s="28">
        <f>IFERROR(E43*C43,"")</f>
        <v>234.89499121938201</v>
      </c>
      <c r="G43" s="29">
        <f>IFERROR(F43/$F$65,"")</f>
        <v>0.12328921734230759</v>
      </c>
      <c r="H43" s="33"/>
      <c r="I43" s="25"/>
      <c r="J43" s="31"/>
    </row>
    <row r="44" spans="1:13" ht="13.5" hidden="1" x14ac:dyDescent="0.25">
      <c r="A44" s="26">
        <f t="shared" ref="A44:A49" si="10">+A35</f>
        <v>0</v>
      </c>
      <c r="B44" s="32" t="str">
        <f>IFERROR(VLOOKUP(H44,[1]SEMIELABORADOS!$A$2:$M$6000,2,0),"")</f>
        <v/>
      </c>
      <c r="C44" s="27">
        <f t="shared" ref="C44:C49" si="11">+A44</f>
        <v>0</v>
      </c>
      <c r="D44" s="28" t="str">
        <f>IFERROR(VLOOKUP(H44,[1]SEMIELABORADOS!$A$2:$M$6000,6,0),"")</f>
        <v/>
      </c>
      <c r="E44" s="28" t="str">
        <f>IFERROR(VLOOKUP(H44,[1]SEMIELABORADOS!$A$2:$M$65536,12,0),"")</f>
        <v/>
      </c>
      <c r="F44" s="28" t="str">
        <f t="shared" ref="F44:F49" si="12">IFERROR(E44*C44,"")</f>
        <v/>
      </c>
      <c r="G44" s="29" t="str">
        <f t="shared" ref="G44:G49" si="13">IFERROR(F44/$F$65,"")</f>
        <v/>
      </c>
      <c r="H44" s="33"/>
      <c r="I44" s="25"/>
      <c r="J44" s="31"/>
      <c r="M44" s="36"/>
    </row>
    <row r="45" spans="1:13" ht="13.5" hidden="1" x14ac:dyDescent="0.25">
      <c r="A45" s="26">
        <f t="shared" si="10"/>
        <v>0</v>
      </c>
      <c r="B45" s="32" t="str">
        <f>IFERROR(VLOOKUP(H45,[1]SEMIELABORADOS!$A$2:$M$6000,2,0),"")</f>
        <v/>
      </c>
      <c r="C45" s="27">
        <f t="shared" si="11"/>
        <v>0</v>
      </c>
      <c r="D45" s="28" t="str">
        <f>IFERROR(VLOOKUP(H45,[1]SEMIELABORADOS!$A$2:$M$6000,6,0),"")</f>
        <v/>
      </c>
      <c r="E45" s="28" t="str">
        <f>IFERROR(VLOOKUP(H45,[1]SEMIELABORADOS!$A$2:$M$65536,12,0),"")</f>
        <v/>
      </c>
      <c r="F45" s="28" t="str">
        <f t="shared" si="12"/>
        <v/>
      </c>
      <c r="G45" s="29" t="str">
        <f t="shared" si="13"/>
        <v/>
      </c>
      <c r="H45" s="33"/>
      <c r="I45" s="25"/>
      <c r="J45" s="31"/>
    </row>
    <row r="46" spans="1:13" ht="13.5" hidden="1" x14ac:dyDescent="0.25">
      <c r="A46" s="26">
        <f t="shared" si="10"/>
        <v>0</v>
      </c>
      <c r="B46" s="32" t="str">
        <f>IFERROR(VLOOKUP(H46,[1]SEMIELABORADOS!$A$2:$M$6000,2,0),"")</f>
        <v/>
      </c>
      <c r="C46" s="27">
        <f t="shared" si="11"/>
        <v>0</v>
      </c>
      <c r="D46" s="28" t="str">
        <f>IFERROR(VLOOKUP(H46,[1]SEMIELABORADOS!$A$2:$M$6000,6,0),"")</f>
        <v/>
      </c>
      <c r="E46" s="28" t="str">
        <f>IFERROR(VLOOKUP(H46,[1]SEMIELABORADOS!$A$2:$M$65536,12,0),"")</f>
        <v/>
      </c>
      <c r="F46" s="28" t="str">
        <f t="shared" si="12"/>
        <v/>
      </c>
      <c r="G46" s="29" t="str">
        <f t="shared" si="13"/>
        <v/>
      </c>
      <c r="H46" s="33"/>
      <c r="I46" s="25"/>
      <c r="J46" s="31"/>
    </row>
    <row r="47" spans="1:13" ht="13.5" hidden="1" x14ac:dyDescent="0.25">
      <c r="A47" s="26">
        <f t="shared" si="10"/>
        <v>0</v>
      </c>
      <c r="B47" s="32" t="str">
        <f>IFERROR(VLOOKUP(H47,[1]SEMIELABORADOS!$A$2:$M$6000,2,0),"")</f>
        <v/>
      </c>
      <c r="C47" s="27">
        <f t="shared" si="11"/>
        <v>0</v>
      </c>
      <c r="D47" s="28" t="str">
        <f>IFERROR(VLOOKUP(H47,[1]SEMIELABORADOS!$A$2:$M$6000,6,0),"")</f>
        <v/>
      </c>
      <c r="E47" s="28" t="str">
        <f>IFERROR(VLOOKUP(H47,[1]SEMIELABORADOS!$A$2:$M$65536,12,0),"")</f>
        <v/>
      </c>
      <c r="F47" s="28" t="str">
        <f t="shared" si="12"/>
        <v/>
      </c>
      <c r="G47" s="29" t="str">
        <f t="shared" si="13"/>
        <v/>
      </c>
      <c r="H47" s="33"/>
      <c r="I47" s="25"/>
      <c r="J47" s="31"/>
    </row>
    <row r="48" spans="1:13" ht="13.5" hidden="1" x14ac:dyDescent="0.25">
      <c r="A48" s="26">
        <f t="shared" si="10"/>
        <v>0</v>
      </c>
      <c r="B48" s="32" t="str">
        <f>IFERROR(VLOOKUP(H48,[1]SEMIELABORADOS!$A$2:$M$6000,2,0),"")</f>
        <v/>
      </c>
      <c r="C48" s="27">
        <f t="shared" si="11"/>
        <v>0</v>
      </c>
      <c r="D48" s="28" t="str">
        <f>IFERROR(VLOOKUP(H48,[1]SEMIELABORADOS!$A$2:$M$6000,6,0),"")</f>
        <v/>
      </c>
      <c r="E48" s="28" t="str">
        <f>IFERROR(VLOOKUP(H48,[1]SEMIELABORADOS!$A$2:$M$65536,12,0),"")</f>
        <v/>
      </c>
      <c r="F48" s="28" t="str">
        <f t="shared" si="12"/>
        <v/>
      </c>
      <c r="G48" s="29" t="str">
        <f t="shared" si="13"/>
        <v/>
      </c>
      <c r="H48" s="33"/>
      <c r="I48" s="25"/>
      <c r="J48" s="31"/>
    </row>
    <row r="49" spans="1:17" ht="13.5" hidden="1" x14ac:dyDescent="0.25">
      <c r="A49" s="26">
        <f t="shared" si="10"/>
        <v>0</v>
      </c>
      <c r="B49" s="32" t="str">
        <f>IFERROR(VLOOKUP(H49,[1]SEMIELABORADOS!$A$2:$M$6000,2,0),"")</f>
        <v/>
      </c>
      <c r="C49" s="27">
        <f t="shared" si="11"/>
        <v>0</v>
      </c>
      <c r="D49" s="28" t="str">
        <f>IFERROR(VLOOKUP(H49,[1]SEMIELABORADOS!$A$2:$M$6000,6,0),"")</f>
        <v/>
      </c>
      <c r="E49" s="28" t="str">
        <f>IFERROR(VLOOKUP(H49,[1]SEMIELABORADOS!$A$2:$M$65536,12,0),"")</f>
        <v/>
      </c>
      <c r="F49" s="28" t="str">
        <f t="shared" si="12"/>
        <v/>
      </c>
      <c r="G49" s="29" t="str">
        <f t="shared" si="13"/>
        <v/>
      </c>
      <c r="H49" s="32"/>
      <c r="I49" s="25"/>
      <c r="J49" s="31"/>
    </row>
    <row r="50" spans="1:17" ht="13.5" x14ac:dyDescent="0.25">
      <c r="A50" s="26">
        <v>1</v>
      </c>
      <c r="B50" s="32" t="s">
        <v>56</v>
      </c>
      <c r="C50" s="27">
        <f>+A50</f>
        <v>1</v>
      </c>
      <c r="D50" s="27" t="s">
        <v>57</v>
      </c>
      <c r="E50" s="28">
        <f>+'COSTO ROLLO'!H56</f>
        <v>61.339836993325505</v>
      </c>
      <c r="F50" s="28">
        <f>IFERROR(C50*E50,"")</f>
        <v>61.339836993325505</v>
      </c>
      <c r="G50" s="29">
        <f>IFERROR(F50/$F$65,"")</f>
        <v>3.2195409768225901E-2</v>
      </c>
      <c r="H50" s="37"/>
      <c r="I50" s="37"/>
      <c r="J50" s="31"/>
    </row>
    <row r="51" spans="1:17" ht="14.25" thickBot="1" x14ac:dyDescent="0.3">
      <c r="A51" s="26"/>
      <c r="B51" s="32"/>
      <c r="C51" s="27"/>
      <c r="D51" s="27"/>
      <c r="E51" s="28"/>
      <c r="F51" s="28"/>
      <c r="G51" s="29"/>
      <c r="H51" s="37"/>
      <c r="I51" s="37"/>
      <c r="J51" s="31"/>
    </row>
    <row r="52" spans="1:17" ht="13.5" thickBot="1" x14ac:dyDescent="0.25">
      <c r="A52" s="38"/>
      <c r="B52" s="276" t="s">
        <v>58</v>
      </c>
      <c r="C52" s="276"/>
      <c r="D52" s="276"/>
      <c r="E52" s="276"/>
      <c r="F52" s="40">
        <f>SUM(F8:F14,F17:F24)</f>
        <v>1687.4309600000001</v>
      </c>
      <c r="G52" s="29">
        <f>+F52/$F$65</f>
        <v>0.8856810496366706</v>
      </c>
      <c r="H52" s="41">
        <f>+F52/$D$59</f>
        <v>1687.4309600000001</v>
      </c>
      <c r="I52" s="41"/>
      <c r="J52" s="42"/>
      <c r="K52" s="43"/>
      <c r="L52" s="43"/>
      <c r="M52" s="43"/>
      <c r="N52" s="43"/>
      <c r="O52" s="43"/>
      <c r="P52" s="43"/>
      <c r="Q52" s="44"/>
    </row>
    <row r="53" spans="1:17" x14ac:dyDescent="0.2">
      <c r="A53" s="38"/>
      <c r="B53" s="276" t="s">
        <v>59</v>
      </c>
      <c r="C53" s="276"/>
      <c r="D53" s="276"/>
      <c r="E53" s="276"/>
      <c r="F53" s="40">
        <f>SUM(F27:F31,F34:F40)</f>
        <v>123.05590110324026</v>
      </c>
      <c r="G53" s="29">
        <f>+F53/$F$65</f>
        <v>6.458828967622128E-2</v>
      </c>
      <c r="H53" s="41">
        <f>+F53/$D$59</f>
        <v>123.05590110324026</v>
      </c>
      <c r="I53" s="41"/>
      <c r="J53" s="45"/>
      <c r="K53" s="277" t="s">
        <v>60</v>
      </c>
      <c r="L53" s="278"/>
      <c r="M53" s="278"/>
      <c r="N53" s="278"/>
      <c r="O53" s="46">
        <f>+F54</f>
        <v>1810.4868611032405</v>
      </c>
      <c r="P53" s="46"/>
      <c r="Q53" s="47"/>
    </row>
    <row r="54" spans="1:17" x14ac:dyDescent="0.2">
      <c r="A54" s="38"/>
      <c r="B54" s="276" t="s">
        <v>61</v>
      </c>
      <c r="C54" s="276"/>
      <c r="D54" s="276"/>
      <c r="E54" s="276"/>
      <c r="F54" s="40">
        <f>+F52+F53</f>
        <v>1810.4868611032405</v>
      </c>
      <c r="G54" s="29">
        <f>+F54/$F$65</f>
        <v>0.95026933931289193</v>
      </c>
      <c r="H54" s="41">
        <f>+F54/$D$59</f>
        <v>1810.4868611032405</v>
      </c>
      <c r="I54" s="41"/>
      <c r="J54" s="48"/>
      <c r="K54" s="49"/>
      <c r="M54" s="50" t="s">
        <v>62</v>
      </c>
      <c r="N54" s="51"/>
      <c r="O54" s="46">
        <f>+H55</f>
        <v>296.2348282127075</v>
      </c>
      <c r="P54" s="46"/>
      <c r="Q54" s="47"/>
    </row>
    <row r="55" spans="1:17" ht="13.5" thickBot="1" x14ac:dyDescent="0.25">
      <c r="A55" s="38"/>
      <c r="B55" s="39"/>
      <c r="C55" s="276" t="s">
        <v>63</v>
      </c>
      <c r="D55" s="276"/>
      <c r="E55" s="276"/>
      <c r="F55" s="40">
        <f>SUM(F43:F50)</f>
        <v>296.2348282127075</v>
      </c>
      <c r="G55" s="29">
        <f>+F55/$F$65</f>
        <v>0.15548462711053349</v>
      </c>
      <c r="H55" s="41">
        <f>+F55/$D$59</f>
        <v>296.2348282127075</v>
      </c>
      <c r="I55" s="41"/>
      <c r="J55" s="48"/>
      <c r="K55" s="49"/>
      <c r="L55" s="49"/>
      <c r="M55" s="49" t="s">
        <v>64</v>
      </c>
      <c r="N55" s="52"/>
      <c r="O55" s="46">
        <f>O53*N55</f>
        <v>0</v>
      </c>
      <c r="P55" s="46"/>
      <c r="Q55" s="47"/>
    </row>
    <row r="56" spans="1:17" ht="13.5" thickBot="1" x14ac:dyDescent="0.25">
      <c r="A56" s="38"/>
      <c r="B56" s="53"/>
      <c r="C56" s="53"/>
      <c r="D56" s="53"/>
      <c r="E56" s="53"/>
      <c r="F56" s="54"/>
      <c r="G56" s="29"/>
      <c r="H56" s="55"/>
      <c r="I56" s="41"/>
      <c r="J56" s="48"/>
      <c r="K56" s="56"/>
      <c r="M56" s="57" t="s">
        <v>65</v>
      </c>
      <c r="N56" s="58"/>
      <c r="O56" s="59">
        <f>SUM(O53:O55)</f>
        <v>2106.721689315948</v>
      </c>
      <c r="P56" s="60"/>
      <c r="Q56" s="47"/>
    </row>
    <row r="57" spans="1:17" x14ac:dyDescent="0.2">
      <c r="B57" s="279" t="s">
        <v>66</v>
      </c>
      <c r="C57" s="279"/>
      <c r="D57" s="61">
        <v>380</v>
      </c>
      <c r="E57" s="62"/>
      <c r="G57" s="29"/>
      <c r="H57" s="55">
        <f>+H55/61</f>
        <v>4.8563086592247133</v>
      </c>
      <c r="I57" s="63"/>
      <c r="J57" s="48"/>
      <c r="K57" s="56"/>
      <c r="L57" s="49"/>
      <c r="M57" s="49" t="s">
        <v>67</v>
      </c>
      <c r="N57" s="64"/>
      <c r="O57" s="46">
        <f>+H58</f>
        <v>281.6659022350334</v>
      </c>
      <c r="P57" s="46"/>
      <c r="Q57" s="47"/>
    </row>
    <row r="58" spans="1:17" x14ac:dyDescent="0.2">
      <c r="B58" s="279" t="s">
        <v>68</v>
      </c>
      <c r="C58" s="279"/>
      <c r="D58" s="65">
        <v>380</v>
      </c>
      <c r="E58" s="62"/>
      <c r="G58" s="29"/>
      <c r="H58" s="55">
        <f>+H57*58</f>
        <v>281.6659022350334</v>
      </c>
      <c r="I58" s="63"/>
      <c r="J58" s="48"/>
      <c r="K58" s="56"/>
      <c r="L58" s="49"/>
      <c r="M58" s="280" t="s">
        <v>65</v>
      </c>
      <c r="N58" s="280"/>
      <c r="O58" s="46">
        <f>SUM(O56:O57)</f>
        <v>2388.3875915509816</v>
      </c>
      <c r="P58" s="46"/>
      <c r="Q58" s="47"/>
    </row>
    <row r="59" spans="1:17" ht="13.5" thickBot="1" x14ac:dyDescent="0.25">
      <c r="B59" s="271" t="s">
        <v>69</v>
      </c>
      <c r="C59" s="271"/>
      <c r="D59" s="61">
        <f>+D57/D58</f>
        <v>1</v>
      </c>
      <c r="E59" s="62"/>
      <c r="F59" s="66"/>
      <c r="G59" s="29"/>
      <c r="H59" s="55"/>
      <c r="I59" s="63"/>
      <c r="J59" s="48"/>
      <c r="K59" s="56"/>
      <c r="L59" s="280"/>
      <c r="M59" s="280"/>
      <c r="N59" s="64"/>
      <c r="O59" s="46">
        <f>+O58*N59</f>
        <v>0</v>
      </c>
      <c r="P59" s="46"/>
      <c r="Q59" s="47"/>
    </row>
    <row r="60" spans="1:17" ht="13.5" thickBot="1" x14ac:dyDescent="0.25">
      <c r="B60" s="271" t="s">
        <v>70</v>
      </c>
      <c r="C60" s="271"/>
      <c r="D60" s="67"/>
      <c r="E60" s="62"/>
      <c r="F60" s="66"/>
      <c r="G60" s="29"/>
      <c r="H60" s="55"/>
      <c r="I60" s="63"/>
      <c r="J60" s="48"/>
      <c r="K60" s="272" t="s">
        <v>71</v>
      </c>
      <c r="L60" s="273"/>
      <c r="M60" s="273"/>
      <c r="N60" s="274"/>
      <c r="O60" s="59">
        <f>SUM(O58:O59)</f>
        <v>2388.3875915509816</v>
      </c>
      <c r="P60" s="68" t="s">
        <v>72</v>
      </c>
      <c r="Q60" s="47"/>
    </row>
    <row r="61" spans="1:17" ht="13.5" thickBot="1" x14ac:dyDescent="0.25">
      <c r="C61" s="38" t="s">
        <v>73</v>
      </c>
      <c r="D61" s="69"/>
      <c r="E61" s="12" t="s">
        <v>74</v>
      </c>
      <c r="F61" s="70" t="s">
        <v>75</v>
      </c>
      <c r="G61" s="29"/>
      <c r="H61" s="55"/>
      <c r="I61" s="63"/>
      <c r="J61" s="71"/>
      <c r="K61" s="72"/>
      <c r="L61" s="260" t="s">
        <v>76</v>
      </c>
      <c r="M61" s="260"/>
      <c r="N61" s="260"/>
      <c r="O61" s="73">
        <f>+O60/D59</f>
        <v>2388.3875915509816</v>
      </c>
      <c r="P61" s="74">
        <f>+O61/D58</f>
        <v>6.2852305040815306</v>
      </c>
      <c r="Q61" s="75"/>
    </row>
    <row r="62" spans="1:17" ht="13.5" thickBot="1" x14ac:dyDescent="0.25">
      <c r="B62" s="261" t="s">
        <v>61</v>
      </c>
      <c r="C62" s="261"/>
      <c r="D62" s="261"/>
      <c r="E62" s="76">
        <f>+F62/F62</f>
        <v>1</v>
      </c>
      <c r="F62" s="77">
        <f>SUM(F54)</f>
        <v>1810.4868611032405</v>
      </c>
      <c r="G62" s="29">
        <f>+F62/$F$65</f>
        <v>0.95026933931289193</v>
      </c>
      <c r="H62" s="55"/>
      <c r="I62" s="63"/>
      <c r="K62" s="262"/>
      <c r="L62" s="263"/>
      <c r="M62" s="263"/>
      <c r="N62" s="263"/>
      <c r="O62" s="78"/>
      <c r="P62" s="79"/>
    </row>
    <row r="63" spans="1:17" ht="13.5" thickBot="1" x14ac:dyDescent="0.25">
      <c r="B63" s="264" t="s">
        <v>77</v>
      </c>
      <c r="C63" s="264"/>
      <c r="D63" s="264"/>
      <c r="E63" s="80">
        <v>0.02</v>
      </c>
      <c r="F63" s="77">
        <f>+F52*E63</f>
        <v>33.7486192</v>
      </c>
      <c r="G63" s="29">
        <f>+F63/$F$65</f>
        <v>1.7713620992733409E-2</v>
      </c>
      <c r="H63" s="41"/>
      <c r="I63" s="63"/>
      <c r="J63" s="81"/>
      <c r="O63" s="82">
        <f>+O61/4</f>
        <v>597.0968978877454</v>
      </c>
      <c r="P63" s="39"/>
    </row>
    <row r="64" spans="1:17" ht="13.5" thickBot="1" x14ac:dyDescent="0.25">
      <c r="B64" s="265" t="s">
        <v>78</v>
      </c>
      <c r="C64" s="266"/>
      <c r="D64" s="83">
        <v>1</v>
      </c>
      <c r="E64" s="84">
        <v>61</v>
      </c>
      <c r="F64" s="77">
        <f>+E64*D64</f>
        <v>61</v>
      </c>
      <c r="G64" s="29">
        <f>+F64/$F$65</f>
        <v>3.2017039694374756E-2</v>
      </c>
      <c r="H64" s="41"/>
      <c r="I64" s="41"/>
      <c r="J64" s="31"/>
    </row>
    <row r="65" spans="2:13" ht="13.5" thickBot="1" x14ac:dyDescent="0.25">
      <c r="B65" s="267" t="s">
        <v>79</v>
      </c>
      <c r="C65" s="268"/>
      <c r="D65" s="268"/>
      <c r="E65" s="269"/>
      <c r="F65" s="54">
        <f>SUM(F62:F64)</f>
        <v>1905.2354803032404</v>
      </c>
      <c r="G65" s="29">
        <f>+F65/$F$65</f>
        <v>1</v>
      </c>
      <c r="H65" s="270"/>
      <c r="I65" s="41"/>
      <c r="J65" s="31"/>
      <c r="M65" s="14" t="s">
        <v>80</v>
      </c>
    </row>
    <row r="66" spans="2:13" x14ac:dyDescent="0.2">
      <c r="C66" s="36"/>
      <c r="D66" s="36"/>
      <c r="E66" s="86"/>
      <c r="F66" s="77"/>
      <c r="G66" s="29"/>
      <c r="H66" s="270"/>
      <c r="I66" s="85"/>
      <c r="J66" s="14"/>
      <c r="M66" s="14" t="s">
        <v>81</v>
      </c>
    </row>
    <row r="67" spans="2:13" ht="13.5" thickBot="1" x14ac:dyDescent="0.25">
      <c r="B67" s="255" t="s">
        <v>82</v>
      </c>
      <c r="C67" s="255"/>
      <c r="D67" s="255"/>
      <c r="E67" s="255"/>
      <c r="F67" s="255"/>
      <c r="G67" s="29"/>
      <c r="H67" s="88"/>
      <c r="I67" s="85"/>
      <c r="J67" s="14"/>
    </row>
    <row r="68" spans="2:13" ht="13.5" thickBot="1" x14ac:dyDescent="0.25">
      <c r="B68" s="89" t="s">
        <v>83</v>
      </c>
      <c r="C68" s="90">
        <f>+F52</f>
        <v>1687.4309600000001</v>
      </c>
      <c r="D68" s="90">
        <f>+D57</f>
        <v>380</v>
      </c>
      <c r="E68" s="91">
        <f>+C68/D68</f>
        <v>4.4406077894736846</v>
      </c>
      <c r="F68" s="29"/>
      <c r="G68" s="88"/>
      <c r="H68" s="31"/>
      <c r="I68" s="88"/>
      <c r="J68" s="14"/>
    </row>
    <row r="69" spans="2:13" x14ac:dyDescent="0.2">
      <c r="B69" s="92"/>
      <c r="C69" s="93"/>
      <c r="D69" s="94"/>
      <c r="E69" s="77"/>
      <c r="F69" s="29"/>
      <c r="G69" s="88"/>
      <c r="H69" s="31"/>
      <c r="I69" s="31"/>
      <c r="J69" s="14"/>
    </row>
    <row r="70" spans="2:13" x14ac:dyDescent="0.2">
      <c r="B70" s="89" t="s">
        <v>84</v>
      </c>
      <c r="C70" s="90">
        <f>SUM(F62:F63)</f>
        <v>1844.2354803032404</v>
      </c>
      <c r="D70" s="90">
        <f>+D57</f>
        <v>380</v>
      </c>
      <c r="E70" s="95">
        <f>+C70/D70</f>
        <v>4.8532512639558956</v>
      </c>
      <c r="F70" s="29"/>
      <c r="G70" s="88"/>
      <c r="H70" s="31"/>
      <c r="I70" s="31"/>
      <c r="J70" s="14"/>
    </row>
    <row r="71" spans="2:13" x14ac:dyDescent="0.2">
      <c r="B71" s="89"/>
      <c r="C71" s="90"/>
      <c r="D71" s="90"/>
      <c r="E71" s="95"/>
      <c r="F71" s="29"/>
      <c r="G71" s="88"/>
      <c r="H71" s="31"/>
      <c r="I71" s="31"/>
      <c r="J71" s="14"/>
    </row>
    <row r="72" spans="2:13" ht="13.5" thickBot="1" x14ac:dyDescent="0.25">
      <c r="B72" s="89" t="s">
        <v>85</v>
      </c>
      <c r="C72" s="90">
        <f>+F64</f>
        <v>61</v>
      </c>
      <c r="D72" s="90">
        <f>+D57</f>
        <v>380</v>
      </c>
      <c r="E72" s="95">
        <f>+C72/D72</f>
        <v>0.16052631578947368</v>
      </c>
      <c r="F72" s="29"/>
      <c r="G72" s="88"/>
      <c r="H72" s="31"/>
      <c r="I72" s="31"/>
      <c r="J72" s="14"/>
    </row>
    <row r="73" spans="2:13" ht="13.5" thickBot="1" x14ac:dyDescent="0.25">
      <c r="B73" s="89" t="s">
        <v>86</v>
      </c>
      <c r="C73" s="90">
        <f>+F55</f>
        <v>296.2348282127075</v>
      </c>
      <c r="D73" s="90">
        <f>+D72</f>
        <v>380</v>
      </c>
      <c r="E73" s="91">
        <f>+C73/D73</f>
        <v>0.77956533740186185</v>
      </c>
      <c r="F73" s="29"/>
      <c r="G73" s="88"/>
      <c r="H73" s="31"/>
      <c r="I73" s="31"/>
      <c r="J73" s="14"/>
    </row>
    <row r="74" spans="2:13" ht="13.5" thickBot="1" x14ac:dyDescent="0.25">
      <c r="B74" s="53"/>
      <c r="C74" s="54"/>
      <c r="D74" s="54"/>
      <c r="E74" s="95"/>
      <c r="F74" s="29"/>
      <c r="G74" s="88"/>
      <c r="H74" s="31"/>
      <c r="I74" s="31"/>
      <c r="J74" s="14"/>
    </row>
    <row r="75" spans="2:13" ht="13.5" thickBot="1" x14ac:dyDescent="0.25">
      <c r="B75" s="89" t="s">
        <v>87</v>
      </c>
      <c r="C75" s="90">
        <f>+F53</f>
        <v>123.05590110324026</v>
      </c>
      <c r="D75" s="90">
        <f>+D73</f>
        <v>380</v>
      </c>
      <c r="E75" s="91">
        <f>+C75/D75</f>
        <v>0.32383131869273751</v>
      </c>
      <c r="F75" s="29"/>
      <c r="G75" s="88"/>
      <c r="H75" s="31"/>
      <c r="I75" s="31"/>
      <c r="J75" s="31"/>
    </row>
    <row r="76" spans="2:13" ht="13.5" thickBot="1" x14ac:dyDescent="0.25">
      <c r="B76" s="53"/>
      <c r="C76" s="54"/>
      <c r="D76" s="54"/>
      <c r="E76" s="95"/>
      <c r="F76" s="29"/>
      <c r="G76" s="88"/>
      <c r="H76" s="31"/>
      <c r="I76" s="31"/>
    </row>
    <row r="77" spans="2:13" ht="13.5" thickBot="1" x14ac:dyDescent="0.25">
      <c r="B77" s="256" t="s">
        <v>88</v>
      </c>
      <c r="C77" s="257"/>
      <c r="D77" s="258"/>
      <c r="E77" s="91">
        <f>+E68+E73</f>
        <v>5.2201731268755465</v>
      </c>
      <c r="G77" s="29"/>
      <c r="H77" s="88"/>
      <c r="I77" s="31"/>
      <c r="J77" s="95"/>
    </row>
    <row r="78" spans="2:13" x14ac:dyDescent="0.2">
      <c r="I78" s="88"/>
      <c r="J78" s="14"/>
    </row>
    <row r="79" spans="2:13" ht="13.5" thickBot="1" x14ac:dyDescent="0.25">
      <c r="B79" s="255" t="s">
        <v>89</v>
      </c>
      <c r="C79" s="255"/>
      <c r="D79" s="255"/>
      <c r="E79" s="255"/>
      <c r="F79" s="255"/>
      <c r="G79" s="29"/>
      <c r="H79" s="88"/>
      <c r="J79" s="14"/>
    </row>
    <row r="80" spans="2:13" ht="13.5" thickBot="1" x14ac:dyDescent="0.25">
      <c r="B80" s="89" t="s">
        <v>83</v>
      </c>
      <c r="C80" s="90">
        <f>+C68</f>
        <v>1687.4309600000001</v>
      </c>
      <c r="D80" s="90">
        <f>+D59</f>
        <v>1</v>
      </c>
      <c r="E80" s="91">
        <f>+C80/D80</f>
        <v>1687.4309600000001</v>
      </c>
      <c r="F80" s="29"/>
      <c r="G80" s="88"/>
      <c r="H80" s="31"/>
      <c r="I80" s="88"/>
      <c r="J80" s="14"/>
    </row>
    <row r="81" spans="1:10" x14ac:dyDescent="0.2">
      <c r="B81" s="92"/>
      <c r="C81" s="93"/>
      <c r="D81" s="94"/>
      <c r="E81" s="77"/>
      <c r="F81" s="29"/>
      <c r="G81" s="88"/>
      <c r="H81" s="31"/>
      <c r="I81" s="31"/>
      <c r="J81" s="14"/>
    </row>
    <row r="82" spans="1:10" x14ac:dyDescent="0.2">
      <c r="B82" s="89" t="s">
        <v>84</v>
      </c>
      <c r="C82" s="90">
        <f>+C70</f>
        <v>1844.2354803032404</v>
      </c>
      <c r="D82" s="90">
        <f>+D59</f>
        <v>1</v>
      </c>
      <c r="E82" s="95">
        <f>+C82/D82</f>
        <v>1844.2354803032404</v>
      </c>
      <c r="F82" s="29"/>
      <c r="G82" s="88"/>
      <c r="H82" s="31"/>
      <c r="I82" s="31"/>
      <c r="J82" s="14"/>
    </row>
    <row r="83" spans="1:10" x14ac:dyDescent="0.2">
      <c r="B83" s="89"/>
      <c r="C83" s="90"/>
      <c r="D83" s="90"/>
      <c r="E83" s="95"/>
      <c r="F83" s="29"/>
      <c r="G83" s="88"/>
      <c r="H83" s="31"/>
      <c r="I83" s="31"/>
      <c r="J83" s="14"/>
    </row>
    <row r="84" spans="1:10" ht="13.5" thickBot="1" x14ac:dyDescent="0.25">
      <c r="B84" s="89" t="s">
        <v>86</v>
      </c>
      <c r="C84" s="90">
        <f>+C72</f>
        <v>61</v>
      </c>
      <c r="D84" s="90">
        <f>+D59</f>
        <v>1</v>
      </c>
      <c r="E84" s="95">
        <f>+C84/D84</f>
        <v>61</v>
      </c>
      <c r="F84" s="97"/>
      <c r="G84" s="87"/>
      <c r="H84" s="13"/>
      <c r="I84" s="31"/>
    </row>
    <row r="85" spans="1:10" ht="13.5" thickBot="1" x14ac:dyDescent="0.25">
      <c r="B85" s="89" t="s">
        <v>86</v>
      </c>
      <c r="C85" s="90">
        <f>+C73</f>
        <v>296.2348282127075</v>
      </c>
      <c r="D85" s="90">
        <f>+D84</f>
        <v>1</v>
      </c>
      <c r="E85" s="91">
        <f>+C85/D85</f>
        <v>296.2348282127075</v>
      </c>
      <c r="F85" s="96"/>
      <c r="G85" s="87"/>
      <c r="H85" s="13"/>
      <c r="I85" s="13"/>
    </row>
    <row r="86" spans="1:10" x14ac:dyDescent="0.2">
      <c r="I86" s="13"/>
    </row>
    <row r="87" spans="1:10" x14ac:dyDescent="0.2">
      <c r="A87" s="259"/>
      <c r="B87" s="259"/>
      <c r="C87" s="98"/>
      <c r="D87" s="98"/>
      <c r="E87" s="99"/>
      <c r="G87" s="100"/>
    </row>
    <row r="88" spans="1:10" x14ac:dyDescent="0.2">
      <c r="A88" s="32"/>
      <c r="B88" s="101"/>
      <c r="C88" s="102"/>
      <c r="D88" s="102"/>
      <c r="E88" s="103"/>
      <c r="G88" s="100"/>
    </row>
    <row r="89" spans="1:10" x14ac:dyDescent="0.2">
      <c r="A89" s="32"/>
      <c r="B89" s="101"/>
      <c r="C89" s="104"/>
      <c r="D89" s="104"/>
      <c r="E89" s="32"/>
      <c r="G89" s="100"/>
    </row>
    <row r="90" spans="1:10" x14ac:dyDescent="0.2">
      <c r="A90" s="32"/>
      <c r="B90" s="101"/>
      <c r="C90" s="105"/>
      <c r="D90" s="105"/>
      <c r="E90" s="32"/>
      <c r="G90" s="100"/>
    </row>
  </sheetData>
  <mergeCells count="29">
    <mergeCell ref="B57:C57"/>
    <mergeCell ref="A4:H4"/>
    <mergeCell ref="A5:H5"/>
    <mergeCell ref="F6:G6"/>
    <mergeCell ref="K27:L27"/>
    <mergeCell ref="K28:L28"/>
    <mergeCell ref="K29:L29"/>
    <mergeCell ref="B52:E52"/>
    <mergeCell ref="B53:E53"/>
    <mergeCell ref="K53:N53"/>
    <mergeCell ref="B54:E54"/>
    <mergeCell ref="C55:E55"/>
    <mergeCell ref="B58:C58"/>
    <mergeCell ref="M58:N58"/>
    <mergeCell ref="B59:C59"/>
    <mergeCell ref="L59:M59"/>
    <mergeCell ref="B60:C60"/>
    <mergeCell ref="K60:N60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CA888C3-BB3A-4E35-8540-BA03FC5E1B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78E211-17CF-4195-96AD-2AF189206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CF75E6-B10D-4BC9-90E0-30FE31AD870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ROLLO</vt:lpstr>
      <vt:lpstr>COSTO EMPAQUE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2025-03-31T19:31:14Z</cp:lastPrinted>
  <dcterms:created xsi:type="dcterms:W3CDTF">2009-03-11T22:07:15Z</dcterms:created>
  <dcterms:modified xsi:type="dcterms:W3CDTF">2025-03-31T19:31:15Z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
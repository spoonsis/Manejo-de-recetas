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45" documentId="8_{0561781B-2184-4A48-AA55-290380958187}" xr6:coauthVersionLast="47" xr6:coauthVersionMax="47" xr10:uidLastSave="{DDC8E08D-DB99-4BCA-8701-466628C71087}"/>
  <bookViews>
    <workbookView xWindow="-120" yWindow="-120" windowWidth="20730" windowHeight="11040" tabRatio="821" firstSheet="1" activeTab="1" xr2:uid="{F6FEEFDA-18CA-4731-97CE-78A49BAF80D6}"/>
  </bookViews>
  <sheets>
    <sheet name="Premezcla Batido Zanahoria " sheetId="1" state="hidden" r:id="rId1"/>
    <sheet name="Hoja1" sheetId="16" r:id="rId2"/>
    <sheet name="Costo Premezcla " sheetId="2" state="hidden" r:id="rId3"/>
    <sheet name="Batido Zanahoria y Yogurt" sheetId="3" state="hidden" r:id="rId4"/>
    <sheet name="Costo Batido" sheetId="4" state="hidden" r:id="rId5"/>
    <sheet name="QQ Zanahoria 900 g" sheetId="5" state="hidden" r:id="rId6"/>
    <sheet name="Costo Rosquete " sheetId="6" state="hidden" r:id="rId7"/>
    <sheet name="Empaque QQ seco 7 porc" sheetId="7" state="hidden" r:id="rId8"/>
    <sheet name="Costo Empaque QQ sec" sheetId="8" state="hidden" r:id="rId9"/>
    <sheet name="QQ ZANAH MOLD RECT" sheetId="9" state="hidden" r:id="rId10"/>
    <sheet name="COSTO QQ ZANAH MOLD RECT" sheetId="10" state="hidden" r:id="rId11"/>
  </sheets>
  <externalReferences>
    <externalReference r:id="rId12"/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0" l="1"/>
  <c r="D73" i="10" l="1"/>
  <c r="D74" i="10" s="1"/>
  <c r="D76" i="10" s="1"/>
  <c r="D71" i="10"/>
  <c r="D69" i="10"/>
  <c r="F65" i="10"/>
  <c r="E51" i="10" s="1"/>
  <c r="F51" i="10" s="1"/>
  <c r="D60" i="10"/>
  <c r="D85" i="10" s="1"/>
  <c r="D86" i="10" s="1"/>
  <c r="C51" i="10"/>
  <c r="E50" i="10"/>
  <c r="D50" i="10"/>
  <c r="B50" i="10"/>
  <c r="E49" i="10"/>
  <c r="D49" i="10"/>
  <c r="B49" i="10"/>
  <c r="E48" i="10"/>
  <c r="D48" i="10"/>
  <c r="B48" i="10"/>
  <c r="E47" i="10"/>
  <c r="D47" i="10"/>
  <c r="B47" i="10"/>
  <c r="E46" i="10"/>
  <c r="D46" i="10"/>
  <c r="B46" i="10"/>
  <c r="E45" i="10"/>
  <c r="D45" i="10"/>
  <c r="B45" i="10"/>
  <c r="A45" i="10"/>
  <c r="C45" i="10" s="1"/>
  <c r="E41" i="10"/>
  <c r="D41" i="10"/>
  <c r="B41" i="10"/>
  <c r="A41" i="10"/>
  <c r="A50" i="10" s="1"/>
  <c r="C50" i="10" s="1"/>
  <c r="E40" i="10"/>
  <c r="D40" i="10"/>
  <c r="B40" i="10"/>
  <c r="A40" i="10"/>
  <c r="C40" i="10" s="1"/>
  <c r="E39" i="10"/>
  <c r="D39" i="10"/>
  <c r="B39" i="10"/>
  <c r="A39" i="10"/>
  <c r="C39" i="10" s="1"/>
  <c r="E38" i="10"/>
  <c r="D38" i="10"/>
  <c r="B38" i="10"/>
  <c r="A38" i="10"/>
  <c r="C38" i="10" s="1"/>
  <c r="E37" i="10"/>
  <c r="D37" i="10"/>
  <c r="C37" i="10"/>
  <c r="B37" i="10"/>
  <c r="A37" i="10"/>
  <c r="A46" i="10" s="1"/>
  <c r="C46" i="10" s="1"/>
  <c r="E36" i="10"/>
  <c r="D36" i="10"/>
  <c r="B36" i="10"/>
  <c r="A36" i="10"/>
  <c r="C36" i="10" s="1"/>
  <c r="A35" i="10"/>
  <c r="C35" i="10" s="1"/>
  <c r="E32" i="10"/>
  <c r="D32" i="10"/>
  <c r="C32" i="10"/>
  <c r="B32" i="10"/>
  <c r="E31" i="10"/>
  <c r="F31" i="10" s="1"/>
  <c r="D31" i="10"/>
  <c r="C31" i="10"/>
  <c r="B31" i="10"/>
  <c r="E30" i="10"/>
  <c r="D30" i="10"/>
  <c r="C30" i="10"/>
  <c r="B30" i="10"/>
  <c r="E29" i="10"/>
  <c r="F29" i="10" s="1"/>
  <c r="D29" i="10"/>
  <c r="C29" i="10"/>
  <c r="B29" i="10"/>
  <c r="E28" i="10"/>
  <c r="C28" i="10"/>
  <c r="B28" i="10"/>
  <c r="C27" i="10"/>
  <c r="E24" i="10"/>
  <c r="F24" i="10" s="1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D20" i="10"/>
  <c r="C20" i="10"/>
  <c r="B20" i="10"/>
  <c r="E19" i="10"/>
  <c r="D19" i="10"/>
  <c r="C19" i="10"/>
  <c r="B19" i="10"/>
  <c r="E18" i="10"/>
  <c r="F18" i="10" s="1"/>
  <c r="D18" i="10"/>
  <c r="C18" i="10"/>
  <c r="B18" i="10"/>
  <c r="C17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H6" i="10"/>
  <c r="D73" i="8"/>
  <c r="D74" i="8" s="1"/>
  <c r="D76" i="8" s="1"/>
  <c r="D71" i="8"/>
  <c r="D69" i="8"/>
  <c r="F65" i="8"/>
  <c r="E51" i="8" s="1"/>
  <c r="F51" i="8" s="1"/>
  <c r="D60" i="8"/>
  <c r="D81" i="8" s="1"/>
  <c r="C51" i="8"/>
  <c r="E50" i="8"/>
  <c r="D50" i="8"/>
  <c r="B50" i="8"/>
  <c r="A50" i="8"/>
  <c r="C50" i="8" s="1"/>
  <c r="E49" i="8"/>
  <c r="D49" i="8"/>
  <c r="B49" i="8"/>
  <c r="E48" i="8"/>
  <c r="D48" i="8"/>
  <c r="B48" i="8"/>
  <c r="E47" i="8"/>
  <c r="D47" i="8"/>
  <c r="B47" i="8"/>
  <c r="E46" i="8"/>
  <c r="D46" i="8"/>
  <c r="B46" i="8"/>
  <c r="E45" i="8"/>
  <c r="D45" i="8"/>
  <c r="B45" i="8"/>
  <c r="E41" i="8"/>
  <c r="F41" i="8" s="1"/>
  <c r="D41" i="8"/>
  <c r="C41" i="8"/>
  <c r="B41" i="8"/>
  <c r="A41" i="8"/>
  <c r="E40" i="8"/>
  <c r="D40" i="8"/>
  <c r="B40" i="8"/>
  <c r="A40" i="8"/>
  <c r="C40" i="8" s="1"/>
  <c r="E39" i="8"/>
  <c r="D39" i="8"/>
  <c r="B39" i="8"/>
  <c r="A39" i="8"/>
  <c r="C39" i="8" s="1"/>
  <c r="E38" i="8"/>
  <c r="D38" i="8"/>
  <c r="C38" i="8"/>
  <c r="B38" i="8"/>
  <c r="A38" i="8"/>
  <c r="A47" i="8" s="1"/>
  <c r="C47" i="8" s="1"/>
  <c r="E37" i="8"/>
  <c r="D37" i="8"/>
  <c r="B37" i="8"/>
  <c r="A37" i="8"/>
  <c r="A46" i="8" s="1"/>
  <c r="C46" i="8" s="1"/>
  <c r="E36" i="8"/>
  <c r="D36" i="8"/>
  <c r="B36" i="8"/>
  <c r="A36" i="8"/>
  <c r="C36" i="8" s="1"/>
  <c r="A35" i="8"/>
  <c r="C35" i="8" s="1"/>
  <c r="E32" i="8"/>
  <c r="D32" i="8"/>
  <c r="C32" i="8"/>
  <c r="B32" i="8"/>
  <c r="E31" i="8"/>
  <c r="D31" i="8"/>
  <c r="C31" i="8"/>
  <c r="B31" i="8"/>
  <c r="D30" i="8"/>
  <c r="C30" i="8"/>
  <c r="B30" i="8"/>
  <c r="D29" i="8"/>
  <c r="C29" i="8"/>
  <c r="B29" i="8"/>
  <c r="D28" i="8"/>
  <c r="C28" i="8"/>
  <c r="B28" i="8"/>
  <c r="C27" i="8"/>
  <c r="B27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C17" i="8"/>
  <c r="B15" i="8"/>
  <c r="E14" i="8"/>
  <c r="D14" i="8"/>
  <c r="C14" i="8"/>
  <c r="B14" i="8"/>
  <c r="E13" i="8"/>
  <c r="F13" i="8" s="1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H6" i="8"/>
  <c r="D74" i="6"/>
  <c r="D76" i="6" s="1"/>
  <c r="D73" i="6"/>
  <c r="D71" i="6"/>
  <c r="D69" i="6"/>
  <c r="F65" i="6"/>
  <c r="E51" i="6" s="1"/>
  <c r="F51" i="6" s="1"/>
  <c r="D60" i="6"/>
  <c r="D85" i="6" s="1"/>
  <c r="D86" i="6" s="1"/>
  <c r="C51" i="6"/>
  <c r="E50" i="6"/>
  <c r="D50" i="6"/>
  <c r="B50" i="6"/>
  <c r="E49" i="6"/>
  <c r="D49" i="6"/>
  <c r="B49" i="6"/>
  <c r="E48" i="6"/>
  <c r="D48" i="6"/>
  <c r="B48" i="6"/>
  <c r="E47" i="6"/>
  <c r="D47" i="6"/>
  <c r="B47" i="6"/>
  <c r="E46" i="6"/>
  <c r="D46" i="6"/>
  <c r="B46" i="6"/>
  <c r="E45" i="6"/>
  <c r="D45" i="6"/>
  <c r="B45" i="6"/>
  <c r="A45" i="6"/>
  <c r="C45" i="6" s="1"/>
  <c r="E41" i="6"/>
  <c r="D41" i="6"/>
  <c r="B41" i="6"/>
  <c r="A41" i="6"/>
  <c r="A50" i="6" s="1"/>
  <c r="C50" i="6" s="1"/>
  <c r="E40" i="6"/>
  <c r="D40" i="6"/>
  <c r="B40" i="6"/>
  <c r="A40" i="6"/>
  <c r="C40" i="6" s="1"/>
  <c r="E39" i="6"/>
  <c r="D39" i="6"/>
  <c r="B39" i="6"/>
  <c r="A39" i="6"/>
  <c r="C39" i="6" s="1"/>
  <c r="E38" i="6"/>
  <c r="D38" i="6"/>
  <c r="B38" i="6"/>
  <c r="A38" i="6"/>
  <c r="C38" i="6" s="1"/>
  <c r="E37" i="6"/>
  <c r="D37" i="6"/>
  <c r="B37" i="6"/>
  <c r="A37" i="6"/>
  <c r="A46" i="6" s="1"/>
  <c r="C46" i="6" s="1"/>
  <c r="E36" i="6"/>
  <c r="D36" i="6"/>
  <c r="B36" i="6"/>
  <c r="C36" i="6"/>
  <c r="C35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4" i="6"/>
  <c r="D24" i="6"/>
  <c r="C24" i="6"/>
  <c r="B24" i="6"/>
  <c r="E23" i="6"/>
  <c r="F23" i="6" s="1"/>
  <c r="D23" i="6"/>
  <c r="C23" i="6"/>
  <c r="B23" i="6"/>
  <c r="E22" i="6"/>
  <c r="F22" i="6" s="1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D18" i="6"/>
  <c r="C18" i="6"/>
  <c r="F18" i="6" s="1"/>
  <c r="B18" i="6"/>
  <c r="C17" i="6"/>
  <c r="B15" i="6"/>
  <c r="E14" i="6"/>
  <c r="F14" i="6" s="1"/>
  <c r="D14" i="6"/>
  <c r="C14" i="6"/>
  <c r="B14" i="6"/>
  <c r="E13" i="6"/>
  <c r="F13" i="6" s="1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F8" i="6" s="1"/>
  <c r="D8" i="6"/>
  <c r="C8" i="6"/>
  <c r="B8" i="6"/>
  <c r="H6" i="6"/>
  <c r="C17" i="5"/>
  <c r="C21" i="5" s="1"/>
  <c r="D74" i="4"/>
  <c r="D75" i="4" s="1"/>
  <c r="D77" i="4" s="1"/>
  <c r="D72" i="4"/>
  <c r="D70" i="4"/>
  <c r="F66" i="4"/>
  <c r="C74" i="4" s="1"/>
  <c r="D61" i="4"/>
  <c r="D86" i="4" s="1"/>
  <c r="D87" i="4" s="1"/>
  <c r="C52" i="4"/>
  <c r="E51" i="4"/>
  <c r="D51" i="4"/>
  <c r="B51" i="4"/>
  <c r="E50" i="4"/>
  <c r="F50" i="4" s="1"/>
  <c r="D50" i="4"/>
  <c r="B50" i="4"/>
  <c r="E49" i="4"/>
  <c r="D49" i="4"/>
  <c r="B49" i="4"/>
  <c r="E48" i="4"/>
  <c r="F48" i="4" s="1"/>
  <c r="D48" i="4"/>
  <c r="B48" i="4"/>
  <c r="A48" i="4"/>
  <c r="C48" i="4" s="1"/>
  <c r="E47" i="4"/>
  <c r="D47" i="4"/>
  <c r="B47" i="4"/>
  <c r="E46" i="4"/>
  <c r="F46" i="4" s="1"/>
  <c r="D46" i="4"/>
  <c r="C46" i="4"/>
  <c r="B46" i="4"/>
  <c r="A46" i="4"/>
  <c r="E42" i="4"/>
  <c r="F42" i="4" s="1"/>
  <c r="D42" i="4"/>
  <c r="C42" i="4"/>
  <c r="B42" i="4"/>
  <c r="A42" i="4"/>
  <c r="A51" i="4" s="1"/>
  <c r="C51" i="4" s="1"/>
  <c r="E41" i="4"/>
  <c r="F41" i="4" s="1"/>
  <c r="D41" i="4"/>
  <c r="C41" i="4"/>
  <c r="B41" i="4"/>
  <c r="A41" i="4"/>
  <c r="A50" i="4" s="1"/>
  <c r="C50" i="4" s="1"/>
  <c r="E40" i="4"/>
  <c r="D40" i="4"/>
  <c r="B40" i="4"/>
  <c r="A40" i="4"/>
  <c r="A49" i="4" s="1"/>
  <c r="C49" i="4" s="1"/>
  <c r="E39" i="4"/>
  <c r="D39" i="4"/>
  <c r="B39" i="4"/>
  <c r="A39" i="4"/>
  <c r="C39" i="4" s="1"/>
  <c r="E38" i="4"/>
  <c r="F38" i="4" s="1"/>
  <c r="D38" i="4"/>
  <c r="C38" i="4"/>
  <c r="B38" i="4"/>
  <c r="A38" i="4"/>
  <c r="A47" i="4" s="1"/>
  <c r="C47" i="4" s="1"/>
  <c r="E37" i="4"/>
  <c r="F37" i="4" s="1"/>
  <c r="D37" i="4"/>
  <c r="C37" i="4"/>
  <c r="B37" i="4"/>
  <c r="A37" i="4"/>
  <c r="A36" i="4"/>
  <c r="C36" i="4" s="1"/>
  <c r="E33" i="4"/>
  <c r="F33" i="4" s="1"/>
  <c r="D33" i="4"/>
  <c r="C33" i="4"/>
  <c r="B33" i="4"/>
  <c r="E32" i="4"/>
  <c r="F32" i="4" s="1"/>
  <c r="D32" i="4"/>
  <c r="C32" i="4"/>
  <c r="B32" i="4"/>
  <c r="E31" i="4"/>
  <c r="F31" i="4" s="1"/>
  <c r="D31" i="4"/>
  <c r="C31" i="4"/>
  <c r="B31" i="4"/>
  <c r="E30" i="4"/>
  <c r="F30" i="4" s="1"/>
  <c r="D30" i="4"/>
  <c r="C30" i="4"/>
  <c r="B30" i="4"/>
  <c r="E29" i="4"/>
  <c r="F29" i="4" s="1"/>
  <c r="D29" i="4"/>
  <c r="C29" i="4"/>
  <c r="B29" i="4"/>
  <c r="E28" i="4"/>
  <c r="F28" i="4" s="1"/>
  <c r="D28" i="4"/>
  <c r="C28" i="4"/>
  <c r="B28" i="4"/>
  <c r="E25" i="4"/>
  <c r="F25" i="4" s="1"/>
  <c r="D25" i="4"/>
  <c r="C25" i="4"/>
  <c r="B25" i="4"/>
  <c r="E24" i="4"/>
  <c r="F24" i="4" s="1"/>
  <c r="D24" i="4"/>
  <c r="C24" i="4"/>
  <c r="B24" i="4"/>
  <c r="E23" i="4"/>
  <c r="F23" i="4" s="1"/>
  <c r="D23" i="4"/>
  <c r="C23" i="4"/>
  <c r="B23" i="4"/>
  <c r="E22" i="4"/>
  <c r="F22" i="4" s="1"/>
  <c r="D22" i="4"/>
  <c r="C22" i="4"/>
  <c r="B22" i="4"/>
  <c r="E21" i="4"/>
  <c r="F21" i="4" s="1"/>
  <c r="D21" i="4"/>
  <c r="C21" i="4"/>
  <c r="B21" i="4"/>
  <c r="E20" i="4"/>
  <c r="F20" i="4" s="1"/>
  <c r="D20" i="4"/>
  <c r="C20" i="4"/>
  <c r="B20" i="4"/>
  <c r="E19" i="4"/>
  <c r="F19" i="4" s="1"/>
  <c r="D19" i="4"/>
  <c r="C19" i="4"/>
  <c r="B19" i="4"/>
  <c r="C18" i="4"/>
  <c r="B16" i="4"/>
  <c r="E15" i="4"/>
  <c r="D15" i="4"/>
  <c r="C15" i="4"/>
  <c r="B15" i="4"/>
  <c r="E14" i="4"/>
  <c r="D14" i="4"/>
  <c r="C14" i="4"/>
  <c r="B14" i="4"/>
  <c r="D13" i="4"/>
  <c r="C13" i="4"/>
  <c r="F13" i="4" s="1"/>
  <c r="B13" i="4"/>
  <c r="F12" i="4"/>
  <c r="D12" i="4"/>
  <c r="C12" i="4"/>
  <c r="B12" i="4"/>
  <c r="F11" i="4"/>
  <c r="D11" i="4"/>
  <c r="C11" i="4"/>
  <c r="B11" i="4"/>
  <c r="D10" i="4"/>
  <c r="C10" i="4"/>
  <c r="F10" i="4" s="1"/>
  <c r="B10" i="4"/>
  <c r="D9" i="4"/>
  <c r="C9" i="4"/>
  <c r="F9" i="4" s="1"/>
  <c r="B9" i="4"/>
  <c r="F8" i="4"/>
  <c r="D8" i="4"/>
  <c r="C8" i="4"/>
  <c r="B8" i="4"/>
  <c r="H6" i="4"/>
  <c r="D77" i="2"/>
  <c r="D78" i="2" s="1"/>
  <c r="D80" i="2" s="1"/>
  <c r="D75" i="2"/>
  <c r="D73" i="2"/>
  <c r="F69" i="2"/>
  <c r="C77" i="2" s="1"/>
  <c r="D64" i="2"/>
  <c r="D85" i="2" s="1"/>
  <c r="C55" i="2"/>
  <c r="E54" i="2"/>
  <c r="F54" i="2" s="1"/>
  <c r="D54" i="2"/>
  <c r="B54" i="2"/>
  <c r="A54" i="2"/>
  <c r="C54" i="2" s="1"/>
  <c r="E53" i="2"/>
  <c r="D53" i="2"/>
  <c r="B53" i="2"/>
  <c r="E52" i="2"/>
  <c r="F52" i="2" s="1"/>
  <c r="D52" i="2"/>
  <c r="C52" i="2"/>
  <c r="B52" i="2"/>
  <c r="A52" i="2"/>
  <c r="E51" i="2"/>
  <c r="D51" i="2"/>
  <c r="B51" i="2"/>
  <c r="E50" i="2"/>
  <c r="F50" i="2" s="1"/>
  <c r="D50" i="2"/>
  <c r="B50" i="2"/>
  <c r="A50" i="2"/>
  <c r="C50" i="2" s="1"/>
  <c r="E49" i="2"/>
  <c r="D49" i="2"/>
  <c r="B49" i="2"/>
  <c r="E48" i="2"/>
  <c r="F48" i="2" s="1"/>
  <c r="D48" i="2"/>
  <c r="C48" i="2"/>
  <c r="B48" i="2"/>
  <c r="A48" i="2"/>
  <c r="E45" i="2"/>
  <c r="D45" i="2"/>
  <c r="B45" i="2"/>
  <c r="A45" i="2"/>
  <c r="C45" i="2" s="1"/>
  <c r="E44" i="2"/>
  <c r="F44" i="2" s="1"/>
  <c r="D44" i="2"/>
  <c r="B44" i="2"/>
  <c r="A44" i="2"/>
  <c r="C44" i="2" s="1"/>
  <c r="E43" i="2"/>
  <c r="D43" i="2"/>
  <c r="B43" i="2"/>
  <c r="A43" i="2"/>
  <c r="C43" i="2" s="1"/>
  <c r="E42" i="2"/>
  <c r="F42" i="2" s="1"/>
  <c r="D42" i="2"/>
  <c r="C42" i="2"/>
  <c r="B42" i="2"/>
  <c r="A42" i="2"/>
  <c r="A51" i="2" s="1"/>
  <c r="C51" i="2" s="1"/>
  <c r="E41" i="2"/>
  <c r="D41" i="2"/>
  <c r="B41" i="2"/>
  <c r="A41" i="2"/>
  <c r="C41" i="2" s="1"/>
  <c r="E40" i="2"/>
  <c r="D40" i="2"/>
  <c r="B40" i="2"/>
  <c r="A40" i="2"/>
  <c r="C40" i="2" s="1"/>
  <c r="E39" i="2"/>
  <c r="D39" i="2"/>
  <c r="B39" i="2"/>
  <c r="A39" i="2"/>
  <c r="C39" i="2" s="1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D31" i="2"/>
  <c r="C31" i="2"/>
  <c r="F31" i="2" s="1"/>
  <c r="B31" i="2"/>
  <c r="E28" i="2"/>
  <c r="F28" i="2" s="1"/>
  <c r="D28" i="2"/>
  <c r="C28" i="2"/>
  <c r="B28" i="2"/>
  <c r="E27" i="2"/>
  <c r="F27" i="2" s="1"/>
  <c r="D27" i="2"/>
  <c r="C27" i="2"/>
  <c r="B27" i="2"/>
  <c r="E26" i="2"/>
  <c r="F26" i="2" s="1"/>
  <c r="D26" i="2"/>
  <c r="C26" i="2"/>
  <c r="B26" i="2"/>
  <c r="E25" i="2"/>
  <c r="F25" i="2" s="1"/>
  <c r="D25" i="2"/>
  <c r="C25" i="2"/>
  <c r="B25" i="2"/>
  <c r="E24" i="2"/>
  <c r="F24" i="2" s="1"/>
  <c r="D24" i="2"/>
  <c r="C24" i="2"/>
  <c r="B24" i="2"/>
  <c r="E23" i="2"/>
  <c r="F23" i="2" s="1"/>
  <c r="D23" i="2"/>
  <c r="C23" i="2"/>
  <c r="B23" i="2"/>
  <c r="E22" i="2"/>
  <c r="F22" i="2" s="1"/>
  <c r="D22" i="2"/>
  <c r="C22" i="2"/>
  <c r="B22" i="2"/>
  <c r="E21" i="2"/>
  <c r="F21" i="2" s="1"/>
  <c r="D21" i="2"/>
  <c r="C21" i="2"/>
  <c r="B21" i="2"/>
  <c r="B19" i="2"/>
  <c r="C18" i="2"/>
  <c r="D17" i="2"/>
  <c r="C17" i="2"/>
  <c r="F17" i="2" s="1"/>
  <c r="B17" i="2"/>
  <c r="F16" i="2"/>
  <c r="D16" i="2"/>
  <c r="C16" i="2"/>
  <c r="B16" i="2"/>
  <c r="F15" i="2"/>
  <c r="D15" i="2"/>
  <c r="C15" i="2"/>
  <c r="B15" i="2"/>
  <c r="D14" i="2"/>
  <c r="C14" i="2"/>
  <c r="F14" i="2" s="1"/>
  <c r="B14" i="2"/>
  <c r="E13" i="2"/>
  <c r="F13" i="2" s="1"/>
  <c r="D13" i="2"/>
  <c r="C13" i="2"/>
  <c r="B13" i="2"/>
  <c r="F12" i="2"/>
  <c r="D12" i="2"/>
  <c r="C12" i="2"/>
  <c r="B12" i="2"/>
  <c r="D11" i="2"/>
  <c r="C11" i="2"/>
  <c r="F11" i="2" s="1"/>
  <c r="B11" i="2"/>
  <c r="D10" i="2"/>
  <c r="C10" i="2"/>
  <c r="F10" i="2" s="1"/>
  <c r="B10" i="2"/>
  <c r="F9" i="2"/>
  <c r="D9" i="2"/>
  <c r="C9" i="2"/>
  <c r="B9" i="2"/>
  <c r="F8" i="2"/>
  <c r="D8" i="2"/>
  <c r="C8" i="2"/>
  <c r="B8" i="2"/>
  <c r="H6" i="2"/>
  <c r="F49" i="4" l="1"/>
  <c r="F31" i="8"/>
  <c r="F31" i="6"/>
  <c r="D82" i="4"/>
  <c r="D84" i="4"/>
  <c r="D87" i="2"/>
  <c r="D89" i="2"/>
  <c r="D90" i="2" s="1"/>
  <c r="F47" i="8"/>
  <c r="F43" i="2"/>
  <c r="F45" i="2"/>
  <c r="F9" i="8"/>
  <c r="F10" i="8"/>
  <c r="F11" i="8"/>
  <c r="F12" i="8"/>
  <c r="F9" i="6"/>
  <c r="F11" i="6"/>
  <c r="F19" i="10"/>
  <c r="D83" i="10"/>
  <c r="D81" i="10"/>
  <c r="F50" i="10"/>
  <c r="F46" i="10"/>
  <c r="F36" i="10"/>
  <c r="F40" i="10"/>
  <c r="C41" i="10"/>
  <c r="F41" i="10" s="1"/>
  <c r="A49" i="10"/>
  <c r="C49" i="10" s="1"/>
  <c r="F49" i="10" s="1"/>
  <c r="F20" i="10"/>
  <c r="F37" i="10"/>
  <c r="F30" i="10"/>
  <c r="F32" i="10"/>
  <c r="F8" i="10"/>
  <c r="F9" i="10"/>
  <c r="F10" i="10"/>
  <c r="F11" i="10"/>
  <c r="F12" i="10"/>
  <c r="F13" i="10"/>
  <c r="F14" i="10"/>
  <c r="F27" i="10"/>
  <c r="F28" i="10"/>
  <c r="F38" i="10"/>
  <c r="F39" i="10"/>
  <c r="F45" i="10"/>
  <c r="A44" i="10"/>
  <c r="C44" i="10" s="1"/>
  <c r="A48" i="10"/>
  <c r="C48" i="10" s="1"/>
  <c r="F48" i="10" s="1"/>
  <c r="A47" i="10"/>
  <c r="C47" i="10" s="1"/>
  <c r="F47" i="10" s="1"/>
  <c r="C73" i="10"/>
  <c r="D85" i="8"/>
  <c r="D86" i="8" s="1"/>
  <c r="D83" i="8"/>
  <c r="F32" i="8"/>
  <c r="F30" i="8"/>
  <c r="F20" i="8"/>
  <c r="F22" i="8"/>
  <c r="F24" i="8"/>
  <c r="C37" i="8"/>
  <c r="F37" i="8" s="1"/>
  <c r="F38" i="8"/>
  <c r="F18" i="8"/>
  <c r="F19" i="8"/>
  <c r="F21" i="8"/>
  <c r="F23" i="8"/>
  <c r="F14" i="8"/>
  <c r="F8" i="8"/>
  <c r="F27" i="8"/>
  <c r="F29" i="8"/>
  <c r="F28" i="8"/>
  <c r="F39" i="8"/>
  <c r="F40" i="8"/>
  <c r="F46" i="8"/>
  <c r="F36" i="8"/>
  <c r="F50" i="8"/>
  <c r="A45" i="8"/>
  <c r="C45" i="8" s="1"/>
  <c r="F45" i="8" s="1"/>
  <c r="A49" i="8"/>
  <c r="C49" i="8" s="1"/>
  <c r="F49" i="8" s="1"/>
  <c r="A44" i="8"/>
  <c r="C44" i="8" s="1"/>
  <c r="A48" i="8"/>
  <c r="C48" i="8" s="1"/>
  <c r="F48" i="8" s="1"/>
  <c r="C73" i="8"/>
  <c r="F46" i="6"/>
  <c r="F40" i="6"/>
  <c r="F30" i="6"/>
  <c r="F32" i="6"/>
  <c r="F24" i="6"/>
  <c r="C37" i="6"/>
  <c r="F37" i="6" s="1"/>
  <c r="C41" i="6"/>
  <c r="F41" i="6" s="1"/>
  <c r="A49" i="6"/>
  <c r="C49" i="6" s="1"/>
  <c r="F49" i="6" s="1"/>
  <c r="F10" i="6"/>
  <c r="F12" i="6"/>
  <c r="D83" i="6"/>
  <c r="F29" i="6"/>
  <c r="F27" i="6"/>
  <c r="F28" i="6"/>
  <c r="F36" i="6"/>
  <c r="F38" i="6"/>
  <c r="F39" i="6"/>
  <c r="F45" i="6"/>
  <c r="F50" i="6"/>
  <c r="A44" i="6"/>
  <c r="C44" i="6" s="1"/>
  <c r="A48" i="6"/>
  <c r="C48" i="6" s="1"/>
  <c r="F48" i="6" s="1"/>
  <c r="D81" i="6"/>
  <c r="A47" i="6"/>
  <c r="C47" i="6" s="1"/>
  <c r="F47" i="6" s="1"/>
  <c r="C73" i="6"/>
  <c r="F39" i="4"/>
  <c r="F18" i="2"/>
  <c r="F57" i="2" s="1"/>
  <c r="F39" i="2"/>
  <c r="F41" i="2"/>
  <c r="F51" i="2"/>
  <c r="F14" i="4"/>
  <c r="F15" i="4"/>
  <c r="F32" i="2"/>
  <c r="F33" i="2"/>
  <c r="F34" i="2"/>
  <c r="F35" i="2"/>
  <c r="F36" i="2"/>
  <c r="F40" i="4"/>
  <c r="F47" i="4"/>
  <c r="C86" i="4"/>
  <c r="E86" i="4" s="1"/>
  <c r="E74" i="4"/>
  <c r="F51" i="4"/>
  <c r="A45" i="4"/>
  <c r="C45" i="4" s="1"/>
  <c r="E52" i="4"/>
  <c r="F52" i="4" s="1"/>
  <c r="C40" i="4"/>
  <c r="C89" i="2"/>
  <c r="E89" i="2" s="1"/>
  <c r="E77" i="2"/>
  <c r="F40" i="2"/>
  <c r="E55" i="2"/>
  <c r="F55" i="2" s="1"/>
  <c r="A49" i="2"/>
  <c r="C49" i="2" s="1"/>
  <c r="F49" i="2" s="1"/>
  <c r="A53" i="2"/>
  <c r="C53" i="2" s="1"/>
  <c r="F53" i="2" s="1"/>
  <c r="C85" i="10" l="1"/>
  <c r="E85" i="10" s="1"/>
  <c r="E73" i="10"/>
  <c r="C85" i="8"/>
  <c r="E85" i="8" s="1"/>
  <c r="E73" i="8"/>
  <c r="C85" i="6"/>
  <c r="E85" i="6" s="1"/>
  <c r="E73" i="6"/>
  <c r="F60" i="2"/>
  <c r="F68" i="2"/>
  <c r="H57" i="2"/>
  <c r="F2" i="2" s="1"/>
  <c r="C73" i="2"/>
  <c r="F58" i="2"/>
  <c r="C78" i="2" l="1"/>
  <c r="H60" i="2"/>
  <c r="H2" i="2" s="1"/>
  <c r="H58" i="2"/>
  <c r="G2" i="2" s="1"/>
  <c r="C80" i="2"/>
  <c r="E80" i="2" s="1"/>
  <c r="E36" i="4" s="1"/>
  <c r="E73" i="2"/>
  <c r="E18" i="4" s="1"/>
  <c r="C85" i="2"/>
  <c r="E85" i="2" s="1"/>
  <c r="F59" i="2"/>
  <c r="O58" i="2" l="1"/>
  <c r="H59" i="2"/>
  <c r="F67" i="2"/>
  <c r="E78" i="2"/>
  <c r="C90" i="2"/>
  <c r="E90" i="2" s="1"/>
  <c r="E82" i="2" l="1"/>
  <c r="E45" i="4"/>
  <c r="C75" i="2"/>
  <c r="E67" i="2"/>
  <c r="F70" i="2"/>
  <c r="G67" i="2" s="1"/>
  <c r="O60" i="2"/>
  <c r="O59" i="2"/>
  <c r="O62" i="2"/>
  <c r="O61" i="2" l="1"/>
  <c r="O63" i="2" s="1"/>
  <c r="O64" i="2" s="1"/>
  <c r="O65" i="2" s="1"/>
  <c r="O66" i="2" s="1"/>
  <c r="G70" i="2"/>
  <c r="G31" i="2"/>
  <c r="G16" i="2"/>
  <c r="G9" i="2"/>
  <c r="G10" i="2"/>
  <c r="G33" i="2"/>
  <c r="G48" i="2"/>
  <c r="G13" i="2"/>
  <c r="G43" i="2"/>
  <c r="G23" i="2"/>
  <c r="G11" i="2"/>
  <c r="G18" i="2"/>
  <c r="G44" i="2"/>
  <c r="G50" i="2"/>
  <c r="G21" i="2"/>
  <c r="G34" i="2"/>
  <c r="G12" i="2"/>
  <c r="G26" i="2"/>
  <c r="G45" i="2"/>
  <c r="G27" i="2"/>
  <c r="G14" i="2"/>
  <c r="G41" i="2"/>
  <c r="G36" i="2"/>
  <c r="G15" i="2"/>
  <c r="G32" i="2"/>
  <c r="G8" i="2"/>
  <c r="G24" i="2"/>
  <c r="G51" i="2"/>
  <c r="G52" i="2"/>
  <c r="G69" i="2"/>
  <c r="G28" i="2"/>
  <c r="G54" i="2"/>
  <c r="G39" i="2"/>
  <c r="G22" i="2"/>
  <c r="G25" i="2"/>
  <c r="G35" i="2"/>
  <c r="G17" i="2"/>
  <c r="G42" i="2"/>
  <c r="G53" i="2"/>
  <c r="G40" i="2"/>
  <c r="G57" i="2"/>
  <c r="G55" i="2"/>
  <c r="G49" i="2"/>
  <c r="G68" i="2"/>
  <c r="G58" i="2"/>
  <c r="G60" i="2"/>
  <c r="G59" i="2"/>
  <c r="C87" i="2"/>
  <c r="E87" i="2" s="1"/>
  <c r="E75" i="2"/>
  <c r="E2" i="2" l="1"/>
  <c r="P66" i="2"/>
  <c r="F36" i="4" l="1"/>
  <c r="F18" i="4"/>
  <c r="F54" i="4" l="1"/>
  <c r="F55" i="4"/>
  <c r="F45" i="4"/>
  <c r="F57" i="4" l="1"/>
  <c r="C70" i="4"/>
  <c r="F65" i="4"/>
  <c r="H54" i="4"/>
  <c r="F2" i="4" s="1"/>
  <c r="F56" i="4"/>
  <c r="H55" i="4"/>
  <c r="G2" i="4" s="1"/>
  <c r="C77" i="4"/>
  <c r="E77" i="4" s="1"/>
  <c r="E35" i="10" l="1"/>
  <c r="F35" i="10" s="1"/>
  <c r="F54" i="10" s="1"/>
  <c r="E35" i="6"/>
  <c r="F35" i="6" s="1"/>
  <c r="F54" i="6" s="1"/>
  <c r="C75" i="4"/>
  <c r="H57" i="4"/>
  <c r="H2" i="4" s="1"/>
  <c r="O55" i="4"/>
  <c r="H56" i="4"/>
  <c r="F64" i="4"/>
  <c r="C82" i="4"/>
  <c r="E82" i="4" s="1"/>
  <c r="E70" i="4"/>
  <c r="H54" i="6" l="1"/>
  <c r="C76" i="6"/>
  <c r="E76" i="6" s="1"/>
  <c r="H54" i="10"/>
  <c r="G2" i="10" s="1"/>
  <c r="C76" i="10"/>
  <c r="E76" i="10" s="1"/>
  <c r="E17" i="10"/>
  <c r="F17" i="10" s="1"/>
  <c r="E17" i="6"/>
  <c r="F17" i="6" s="1"/>
  <c r="C87" i="4"/>
  <c r="E87" i="4" s="1"/>
  <c r="E75" i="4"/>
  <c r="C72" i="4"/>
  <c r="E64" i="4"/>
  <c r="F67" i="4"/>
  <c r="G64" i="4" s="1"/>
  <c r="O57" i="4"/>
  <c r="O56" i="4"/>
  <c r="O59" i="4"/>
  <c r="E79" i="4" l="1"/>
  <c r="E44" i="10"/>
  <c r="F44" i="10" s="1"/>
  <c r="F56" i="10" s="1"/>
  <c r="E44" i="6"/>
  <c r="F44" i="6" s="1"/>
  <c r="F56" i="6" s="1"/>
  <c r="G2" i="6"/>
  <c r="E35" i="8"/>
  <c r="F35" i="8" s="1"/>
  <c r="F54" i="8" s="1"/>
  <c r="O58" i="4"/>
  <c r="O60" i="4" s="1"/>
  <c r="O61" i="4" s="1"/>
  <c r="O62" i="4" s="1"/>
  <c r="O63" i="4" s="1"/>
  <c r="F53" i="6"/>
  <c r="F53" i="10"/>
  <c r="E72" i="4"/>
  <c r="C84" i="4"/>
  <c r="E84" i="4" s="1"/>
  <c r="G11" i="4"/>
  <c r="G48" i="4"/>
  <c r="G24" i="4"/>
  <c r="G38" i="4"/>
  <c r="G39" i="4"/>
  <c r="G22" i="4"/>
  <c r="G14" i="4"/>
  <c r="G46" i="4"/>
  <c r="G8" i="4"/>
  <c r="G15" i="4"/>
  <c r="G66" i="4"/>
  <c r="G32" i="4"/>
  <c r="G41" i="4"/>
  <c r="G37" i="4"/>
  <c r="G50" i="4"/>
  <c r="G52" i="4"/>
  <c r="G67" i="4"/>
  <c r="G12" i="4"/>
  <c r="G19" i="4"/>
  <c r="G20" i="4"/>
  <c r="G31" i="4"/>
  <c r="G10" i="4"/>
  <c r="G13" i="4"/>
  <c r="G28" i="4"/>
  <c r="G23" i="4"/>
  <c r="G29" i="4"/>
  <c r="G33" i="4"/>
  <c r="G25" i="4"/>
  <c r="G9" i="4"/>
  <c r="G47" i="4"/>
  <c r="G51" i="4"/>
  <c r="G30" i="4"/>
  <c r="G42" i="4"/>
  <c r="G21" i="4"/>
  <c r="G49" i="4"/>
  <c r="G40" i="4"/>
  <c r="G36" i="4"/>
  <c r="G18" i="4"/>
  <c r="G54" i="4"/>
  <c r="G45" i="4"/>
  <c r="G55" i="4"/>
  <c r="G57" i="4"/>
  <c r="G56" i="4"/>
  <c r="G65" i="4"/>
  <c r="C74" i="6" l="1"/>
  <c r="H56" i="6"/>
  <c r="H58" i="10"/>
  <c r="H59" i="10" s="1"/>
  <c r="O58" i="10" s="1"/>
  <c r="O55" i="10"/>
  <c r="H56" i="10"/>
  <c r="H2" i="10" s="1"/>
  <c r="C74" i="10"/>
  <c r="H54" i="8"/>
  <c r="G2" i="8" s="1"/>
  <c r="C76" i="8"/>
  <c r="E76" i="8" s="1"/>
  <c r="F64" i="10"/>
  <c r="C69" i="10"/>
  <c r="H53" i="10"/>
  <c r="F2" i="10" s="1"/>
  <c r="F55" i="10"/>
  <c r="C69" i="6"/>
  <c r="H53" i="6"/>
  <c r="F64" i="6"/>
  <c r="F55" i="6"/>
  <c r="E2" i="4"/>
  <c r="P63" i="4"/>
  <c r="E74" i="10" l="1"/>
  <c r="C86" i="10"/>
  <c r="E86" i="10" s="1"/>
  <c r="E44" i="8"/>
  <c r="F44" i="8" s="1"/>
  <c r="F56" i="8" s="1"/>
  <c r="O55" i="8" s="1"/>
  <c r="O55" i="6"/>
  <c r="H58" i="6"/>
  <c r="H59" i="6" s="1"/>
  <c r="O58" i="6" s="1"/>
  <c r="H2" i="6"/>
  <c r="E74" i="6"/>
  <c r="C86" i="6"/>
  <c r="E86" i="6" s="1"/>
  <c r="F2" i="6"/>
  <c r="E17" i="8"/>
  <c r="F17" i="8" s="1"/>
  <c r="H55" i="10"/>
  <c r="F63" i="10"/>
  <c r="O54" i="10"/>
  <c r="E69" i="6"/>
  <c r="C81" i="6"/>
  <c r="E81" i="6" s="1"/>
  <c r="E69" i="10"/>
  <c r="C81" i="10"/>
  <c r="E81" i="10" s="1"/>
  <c r="F63" i="6"/>
  <c r="O54" i="6"/>
  <c r="H55" i="6"/>
  <c r="E78" i="10" l="1"/>
  <c r="H58" i="8"/>
  <c r="H59" i="8" s="1"/>
  <c r="O58" i="8" s="1"/>
  <c r="C74" i="8"/>
  <c r="H56" i="8"/>
  <c r="H2" i="8" s="1"/>
  <c r="E78" i="6"/>
  <c r="F53" i="8"/>
  <c r="O56" i="10"/>
  <c r="O57" i="10" s="1"/>
  <c r="O59" i="10" s="1"/>
  <c r="O60" i="10" s="1"/>
  <c r="O61" i="10" s="1"/>
  <c r="O62" i="10" s="1"/>
  <c r="C71" i="6"/>
  <c r="E63" i="6"/>
  <c r="F66" i="6"/>
  <c r="G63" i="6" s="1"/>
  <c r="O56" i="6"/>
  <c r="O57" i="6" s="1"/>
  <c r="O59" i="6" s="1"/>
  <c r="O60" i="6" s="1"/>
  <c r="O61" i="6" s="1"/>
  <c r="O62" i="6" s="1"/>
  <c r="E63" i="10"/>
  <c r="F66" i="10"/>
  <c r="C71" i="10"/>
  <c r="E74" i="8" l="1"/>
  <c r="C86" i="8"/>
  <c r="E86" i="8" s="1"/>
  <c r="P62" i="6"/>
  <c r="E2" i="6"/>
  <c r="P62" i="10"/>
  <c r="E2" i="10"/>
  <c r="G19" i="6"/>
  <c r="G46" i="6"/>
  <c r="G20" i="6"/>
  <c r="G37" i="6"/>
  <c r="G40" i="6"/>
  <c r="G14" i="6"/>
  <c r="G21" i="6"/>
  <c r="G44" i="6"/>
  <c r="G35" i="6"/>
  <c r="G54" i="6"/>
  <c r="G39" i="6"/>
  <c r="G48" i="6"/>
  <c r="G49" i="6"/>
  <c r="G56" i="6"/>
  <c r="G23" i="6"/>
  <c r="G30" i="6"/>
  <c r="G24" i="6"/>
  <c r="G11" i="6"/>
  <c r="G18" i="6"/>
  <c r="G28" i="6"/>
  <c r="G10" i="6"/>
  <c r="G29" i="6"/>
  <c r="G65" i="6"/>
  <c r="G31" i="6"/>
  <c r="G32" i="6"/>
  <c r="G27" i="6"/>
  <c r="G41" i="6"/>
  <c r="G22" i="6"/>
  <c r="G38" i="6"/>
  <c r="G45" i="6"/>
  <c r="G66" i="6"/>
  <c r="G13" i="6"/>
  <c r="G8" i="6"/>
  <c r="G9" i="6"/>
  <c r="G12" i="6"/>
  <c r="G36" i="6"/>
  <c r="G51" i="6"/>
  <c r="G50" i="6"/>
  <c r="G47" i="6"/>
  <c r="G17" i="6"/>
  <c r="G53" i="6"/>
  <c r="G64" i="6"/>
  <c r="G55" i="6"/>
  <c r="E71" i="10"/>
  <c r="C83" i="10"/>
  <c r="E83" i="10" s="1"/>
  <c r="G19" i="10"/>
  <c r="G13" i="10"/>
  <c r="G41" i="10"/>
  <c r="G10" i="10"/>
  <c r="G32" i="10"/>
  <c r="G40" i="10"/>
  <c r="G23" i="10"/>
  <c r="G54" i="10"/>
  <c r="G47" i="10"/>
  <c r="G66" i="10"/>
  <c r="G21" i="10"/>
  <c r="G24" i="10"/>
  <c r="G20" i="10"/>
  <c r="G14" i="10"/>
  <c r="G29" i="10"/>
  <c r="G36" i="10"/>
  <c r="G31" i="10"/>
  <c r="G48" i="10"/>
  <c r="G9" i="10"/>
  <c r="G65" i="10"/>
  <c r="G51" i="10"/>
  <c r="G27" i="10"/>
  <c r="G11" i="10"/>
  <c r="G46" i="10"/>
  <c r="G12" i="10"/>
  <c r="G45" i="10"/>
  <c r="G18" i="10"/>
  <c r="G35" i="10"/>
  <c r="G37" i="10"/>
  <c r="G22" i="10"/>
  <c r="G30" i="10"/>
  <c r="G28" i="10"/>
  <c r="G49" i="10"/>
  <c r="G8" i="10"/>
  <c r="G44" i="10"/>
  <c r="G38" i="10"/>
  <c r="G56" i="10"/>
  <c r="G39" i="10"/>
  <c r="G50" i="10"/>
  <c r="G17" i="10"/>
  <c r="G53" i="10"/>
  <c r="G64" i="10"/>
  <c r="G55" i="10"/>
  <c r="G63" i="10"/>
  <c r="E71" i="6"/>
  <c r="C83" i="6"/>
  <c r="E83" i="6" s="1"/>
  <c r="C69" i="8"/>
  <c r="F64" i="8"/>
  <c r="F55" i="8"/>
  <c r="H53" i="8"/>
  <c r="F2" i="8" s="1"/>
  <c r="C81" i="8" l="1"/>
  <c r="E81" i="8" s="1"/>
  <c r="E69" i="8"/>
  <c r="E78" i="8" s="1"/>
  <c r="H55" i="8"/>
  <c r="F63" i="8"/>
  <c r="O54" i="8"/>
  <c r="F66" i="8" l="1"/>
  <c r="C71" i="8"/>
  <c r="E63" i="8"/>
  <c r="O56" i="8"/>
  <c r="O57" i="8" s="1"/>
  <c r="O59" i="8" s="1"/>
  <c r="O60" i="8" s="1"/>
  <c r="O61" i="8" s="1"/>
  <c r="O62" i="8" s="1"/>
  <c r="O65" i="8" s="1"/>
  <c r="E2" i="8" l="1"/>
  <c r="P62" i="8"/>
  <c r="C83" i="8"/>
  <c r="E83" i="8" s="1"/>
  <c r="E71" i="8"/>
  <c r="G63" i="8"/>
  <c r="G11" i="8"/>
  <c r="G24" i="8"/>
  <c r="G22" i="8"/>
  <c r="G41" i="8"/>
  <c r="G12" i="8"/>
  <c r="G65" i="8"/>
  <c r="G19" i="8"/>
  <c r="G36" i="8"/>
  <c r="G50" i="8"/>
  <c r="G32" i="8"/>
  <c r="G31" i="8"/>
  <c r="G27" i="8"/>
  <c r="G18" i="8"/>
  <c r="G21" i="8"/>
  <c r="G8" i="8"/>
  <c r="G29" i="8"/>
  <c r="G48" i="8"/>
  <c r="G45" i="8"/>
  <c r="G54" i="8"/>
  <c r="G66" i="8"/>
  <c r="G47" i="8"/>
  <c r="G51" i="8"/>
  <c r="G9" i="8"/>
  <c r="G37" i="8"/>
  <c r="G28" i="8"/>
  <c r="G30" i="8"/>
  <c r="G49" i="8"/>
  <c r="G40" i="8"/>
  <c r="G39" i="8"/>
  <c r="G14" i="8"/>
  <c r="G20" i="8"/>
  <c r="G23" i="8"/>
  <c r="G38" i="8"/>
  <c r="G10" i="8"/>
  <c r="G13" i="8"/>
  <c r="G35" i="8"/>
  <c r="G46" i="8"/>
  <c r="G44" i="8"/>
  <c r="G56" i="8"/>
  <c r="G17" i="8"/>
  <c r="G53" i="8"/>
  <c r="G55" i="8"/>
  <c r="G64" i="8"/>
</calcChain>
</file>

<file path=xl/sharedStrings.xml><?xml version="1.0" encoding="utf-8"?>
<sst xmlns="http://schemas.openxmlformats.org/spreadsheetml/2006/main" count="961" uniqueCount="277">
  <si>
    <t>SERVICIOS DE PASTELERIA S.A.</t>
  </si>
  <si>
    <t>CÓDIGO:</t>
  </si>
  <si>
    <t>ESPECIFICACION DE RECETA</t>
  </si>
  <si>
    <t>REVISIÓN:</t>
  </si>
  <si>
    <t xml:space="preserve">Premezcla Batido de Zanahoria </t>
  </si>
  <si>
    <t>FECHA DE APROBACIÓN:</t>
  </si>
  <si>
    <t>Elaborado</t>
  </si>
  <si>
    <t>Maria Jose Rodriguez,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</si>
  <si>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</si>
  <si>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</si>
  <si>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</si>
  <si>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</si>
  <si>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</si>
  <si>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</si>
  <si>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</si>
  <si>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</si>
  <si>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</si>
  <si>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</si>
  <si>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</si>
  <si>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11200064</t>
  </si>
  <si>
    <t xml:space="preserve">Harina Trigo Nacarina </t>
  </si>
  <si>
    <t>Nacarina</t>
  </si>
  <si>
    <t>g</t>
  </si>
  <si>
    <t>503000036</t>
  </si>
  <si>
    <t>BICARBONATO DE SODIO (PAQ:2.5 K)</t>
  </si>
  <si>
    <t>Pastelero</t>
  </si>
  <si>
    <t>POLVO HORNEAR FLEISHMAN (PAQ:2.5 K)</t>
  </si>
  <si>
    <t>Royal</t>
  </si>
  <si>
    <t>CANELA EN POLVO BADIA (UND: 1.82 K)</t>
  </si>
  <si>
    <t>Badia</t>
  </si>
  <si>
    <t>SAL INDUSTRIA (SACO:25 Kg)</t>
  </si>
  <si>
    <t>Atlantida</t>
  </si>
  <si>
    <t>0512262</t>
  </si>
  <si>
    <t>PROPIONATO DE CALCIO</t>
  </si>
  <si>
    <t>Crystal Pro</t>
  </si>
  <si>
    <t>0512261</t>
  </si>
  <si>
    <t>ACIDO SORBICO</t>
  </si>
  <si>
    <t>Beyco</t>
  </si>
  <si>
    <t>Zukra</t>
  </si>
  <si>
    <t>Falta precio actualizado</t>
  </si>
  <si>
    <t>510301</t>
  </si>
  <si>
    <t xml:space="preserve">Azucar Blanco Industrial </t>
  </si>
  <si>
    <t>Maria</t>
  </si>
  <si>
    <t>PECANA ENTERA (CAJA:13.6 K)</t>
  </si>
  <si>
    <t>Nueces Ind</t>
  </si>
  <si>
    <t>EMPAQUE</t>
  </si>
  <si>
    <t>1950702</t>
  </si>
  <si>
    <t>Bolsa 12X18 Transparente</t>
  </si>
  <si>
    <t>Plasticos P</t>
  </si>
  <si>
    <t>ud</t>
  </si>
  <si>
    <t>1950708</t>
  </si>
  <si>
    <t>Bolsa 17X25 Transparente</t>
  </si>
  <si>
    <t>60100010</t>
  </si>
  <si>
    <t>ETIQUETA ROJA LETRA ALERJENO (UND)</t>
  </si>
  <si>
    <t>Etiplast</t>
  </si>
  <si>
    <t>0702123</t>
  </si>
  <si>
    <t>ETIQUETA BLANCA 2 5/8X1 15/16 (UND)</t>
  </si>
  <si>
    <t>Unidad</t>
  </si>
  <si>
    <t>PESO TOTAL OBTENIDO</t>
  </si>
  <si>
    <t>Tiempo de Horneo:</t>
  </si>
  <si>
    <t>TIEMPO TOTAL DE PREPARACION</t>
  </si>
  <si>
    <t>Min.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</si>
  <si>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</si>
  <si>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</si>
  <si>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</si>
  <si>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</si>
  <si>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</si>
  <si>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</si>
  <si>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</si>
  <si>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</si>
  <si>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1.- Pesar en una bolsa 17x25 harina, polvo de hornear, bicarnonato, sal, canela y preservantes. Etiquetar</t>
  </si>
  <si>
    <t>2,- Pesar en otra bolsa 17x 25 los azucares juntos. Etiquetar.</t>
  </si>
  <si>
    <t>3,- Pesar en una bolsa 12x 18 la pecana.</t>
  </si>
  <si>
    <t>CONTROL DE CAMBIOS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</si>
  <si>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</si>
  <si>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</si>
  <si>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</si>
  <si>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</si>
  <si>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</si>
  <si>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</si>
  <si>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</si>
  <si>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</si>
  <si>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</si>
  <si>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</si>
  <si>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</si>
  <si>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</si>
  <si>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</si>
  <si>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10100046</t>
  </si>
  <si>
    <t>10100122</t>
  </si>
  <si>
    <t>0510262</t>
  </si>
  <si>
    <t>5000001</t>
  </si>
  <si>
    <t>512261</t>
  </si>
  <si>
    <t xml:space="preserve">Falta precio actual 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</si>
  <si>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</si>
  <si>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</si>
  <si>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</si>
  <si>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</si>
  <si>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</si>
  <si>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</si>
  <si>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</si>
  <si>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</si>
  <si>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</si>
  <si>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</si>
  <si>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</si>
  <si>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</si>
  <si>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</si>
  <si>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</si>
  <si>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</si>
  <si>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</si>
  <si>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</si>
  <si>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</si>
  <si>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</si>
  <si>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</si>
  <si>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</si>
  <si>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</si>
  <si>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</si>
  <si>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</si>
  <si>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</si>
  <si>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</si>
  <si>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</si>
  <si>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</si>
  <si>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</si>
  <si>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</si>
  <si>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</si>
  <si>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</si>
  <si>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</si>
  <si>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</si>
  <si>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</si>
  <si>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1210482</t>
  </si>
  <si>
    <t>10100050</t>
  </si>
  <si>
    <t>118000004</t>
  </si>
  <si>
    <t>0101240</t>
  </si>
  <si>
    <t>11400040</t>
  </si>
  <si>
    <t>Gramos</t>
  </si>
  <si>
    <t>nuevo</t>
  </si>
  <si>
    <t>SERVICIOS DE PASTELERIA SA</t>
  </si>
  <si>
    <t>Queque de zanahoria y yogurt Rect  900g</t>
  </si>
  <si>
    <t>Jorge, Montero. Gte de Manufactura</t>
  </si>
  <si>
    <t xml:space="preserve"> Rosquete Zanahoria Rect 900 g 95801</t>
  </si>
  <si>
    <t>BATIDO ZANAHORIA Y YOGURT</t>
  </si>
  <si>
    <t>Spoon</t>
  </si>
  <si>
    <t>MANTECA PARA ENGRASAR</t>
  </si>
  <si>
    <t>1950772</t>
  </si>
  <si>
    <t>PAPEL ENCERADO 12 X 10 (PAQ*500)</t>
  </si>
  <si>
    <t>Mayca</t>
  </si>
  <si>
    <t>Unids</t>
  </si>
  <si>
    <t>1840639</t>
  </si>
  <si>
    <t>BOLSAS TRANSP GRANDE (KILO)</t>
  </si>
  <si>
    <t>Unid</t>
  </si>
  <si>
    <t>0702012</t>
  </si>
  <si>
    <t xml:space="preserve">ETIQ.FECHA VENCIMIENTO </t>
  </si>
  <si>
    <t>Tiempo de Horneo</t>
  </si>
  <si>
    <t>120°C</t>
  </si>
  <si>
    <t>Min</t>
  </si>
  <si>
    <t>Curitiba</t>
  </si>
  <si>
    <t>Unidades</t>
  </si>
  <si>
    <t>Temperatura de Horneo</t>
  </si>
  <si>
    <t>74 Minutos</t>
  </si>
  <si>
    <t>1.- Pesar la mezcla en los moldes previamente engrasados con manteca y papel encerado.</t>
  </si>
  <si>
    <t>2.- Hornear, enfriar, desmoldar y empacar en una lata de aluminio, cubrir con una bolsa plastica y etiquetar con fecha.</t>
  </si>
  <si>
    <t>Peso: Rectangular 900g</t>
  </si>
  <si>
    <t>MODI 61 COLONES X MIN</t>
  </si>
  <si>
    <t xml:space="preserve">Gf 58 colones min </t>
  </si>
  <si>
    <t>902000019</t>
  </si>
  <si>
    <t>1950928</t>
  </si>
  <si>
    <t>Empaque Porcion Queque Zanahoria y yogurt (7 porc)</t>
  </si>
  <si>
    <t>Esteban Cartin, Gte Manufatcura</t>
  </si>
  <si>
    <t>QUEQUE ZANAHORIA Y YOGURT RECTANGULAR 900g</t>
  </si>
  <si>
    <t>FAS</t>
  </si>
  <si>
    <t>Queque</t>
  </si>
  <si>
    <t>51600004</t>
  </si>
  <si>
    <t>LAZO DE TELA</t>
  </si>
  <si>
    <t>unidad</t>
  </si>
  <si>
    <t>1950895</t>
  </si>
  <si>
    <t>BOLSA DE CELOFAN 6*9</t>
  </si>
  <si>
    <t>Alim Tec</t>
  </si>
  <si>
    <t>0702006</t>
  </si>
  <si>
    <t>CAJA BLANCA MINI</t>
  </si>
  <si>
    <t>Minutos</t>
  </si>
  <si>
    <t>Porciones</t>
  </si>
  <si>
    <t>1.- Una vez horneado el queque, dejar enfriar y cortar los extremos. Luego porcionar luego en 7 partes iguales. Con ayuda del porcionador.</t>
  </si>
  <si>
    <t>2.- Colocar cada una de las porciones en una bolsa de celofan.</t>
  </si>
  <si>
    <t>3.-  Sellar las bolsas  y  colocar el lazo de tela, etiquetar con fecha de vencimiento.</t>
  </si>
  <si>
    <t>4.- Colocar las 4 porciones en una caja blanca MINI.</t>
  </si>
  <si>
    <t>UND</t>
  </si>
  <si>
    <t xml:space="preserve">UND </t>
  </si>
  <si>
    <t>Queque zanahoria y yogurt en molde rectangular de carton</t>
  </si>
  <si>
    <t>BATIDO P/ROSQUETE ZANAHORIA (10200g)</t>
  </si>
  <si>
    <t>5160008</t>
  </si>
  <si>
    <t>BOLSA TRANSPARENTE 56X96X1.80 **</t>
  </si>
  <si>
    <t>0702007</t>
  </si>
  <si>
    <t>ETIQ.FECHA VENCIMIENTO BLANCO</t>
  </si>
  <si>
    <t>28 Minutos</t>
  </si>
  <si>
    <t>Marshall</t>
  </si>
  <si>
    <t>Undades</t>
  </si>
  <si>
    <t>170°C</t>
  </si>
  <si>
    <t>1.- Pesar 400g de mezcla en el molde.</t>
  </si>
  <si>
    <t>2.- Hornear en el Marshall a 170°C por 28 minutos.</t>
  </si>
  <si>
    <t xml:space="preserve">   
</t>
  </si>
  <si>
    <t>Und</t>
  </si>
  <si>
    <t>BANDEJA HORNEABLE 65X2000 mm</t>
  </si>
  <si>
    <t>Batido Zanahoria y yogurt</t>
  </si>
  <si>
    <t>Marca</t>
  </si>
  <si>
    <t>Medida costos</t>
  </si>
  <si>
    <t>PRE MEZCLA DE ZANAHORIA Y YOGURT</t>
  </si>
  <si>
    <t>ACEITE CAPULLO RBD (UND:17  L)</t>
  </si>
  <si>
    <t>Capullo</t>
  </si>
  <si>
    <t>HUEVO ENTERO PASTERI INNOVO (CAJA:10 K)</t>
  </si>
  <si>
    <t>Innovo</t>
  </si>
  <si>
    <t xml:space="preserve">Vainilla Oscura </t>
  </si>
  <si>
    <t>ZANAHORIA ENTERA (KILO)</t>
  </si>
  <si>
    <t>Presto</t>
  </si>
  <si>
    <t>Yogurt Batido Natural</t>
  </si>
  <si>
    <t>min</t>
  </si>
  <si>
    <t>1.- Colocar los liquidos en el bowl de la batidora aceite, huevo, vanilla, zanahoria previamente rallada en la maquina y yogurt natural. Batir por 1 minuto en velocidad 1 utilizando el globo.</t>
  </si>
  <si>
    <t>2.- Se agregan las harinas y batir por 1 minuto, limpiar bordes. Subir l a velocidad a 3 y batir por 3 minutos.</t>
  </si>
  <si>
    <t>3.- Bajar la velocidad a 1 y agregar azucares y pecana picada. Subir la velocidad a 3 y batir por 3 minutos mas, limpiar bordes y fondo del bowl.</t>
  </si>
  <si>
    <t>* Los tiempoa de batidos de deben multiplicar por el # de tandas a realizar.</t>
  </si>
  <si>
    <t>AREA QUE PRODUCE:</t>
  </si>
  <si>
    <t xml:space="preserve">AREA QUE EMPACA: </t>
  </si>
  <si>
    <t>1950729</t>
  </si>
  <si>
    <t>0702069</t>
  </si>
  <si>
    <t>10100045</t>
  </si>
  <si>
    <t>MP10075</t>
  </si>
  <si>
    <t>Azucar Caramelo</t>
  </si>
  <si>
    <t>MP10051</t>
  </si>
  <si>
    <t>MP10085</t>
  </si>
  <si>
    <t>MP10304</t>
  </si>
  <si>
    <t>MP10096</t>
  </si>
  <si>
    <t>MP10027</t>
  </si>
  <si>
    <t>MP10566</t>
  </si>
  <si>
    <t>MP10579</t>
  </si>
  <si>
    <t>MP10074</t>
  </si>
  <si>
    <t>11900028</t>
  </si>
  <si>
    <t>MP10562</t>
  </si>
  <si>
    <t>EM10016</t>
  </si>
  <si>
    <t>EM10013</t>
  </si>
  <si>
    <t>EM10133</t>
  </si>
  <si>
    <t>EM10011</t>
  </si>
  <si>
    <t xml:space="preserve">SE00576 Premezcla  zanahoria spoon </t>
  </si>
  <si>
    <t>1.- Pesar en la bolsa 12x18 el harina, bicarbonato, polvo de hornear, canela, sal, propionato y acido sorbico.</t>
  </si>
  <si>
    <t>2.- En una bolsa 17x25 pesar los azucares y en otra la pecana.</t>
  </si>
  <si>
    <t>3.- Etiquetar</t>
  </si>
  <si>
    <t>01</t>
  </si>
  <si>
    <t>Javier Tong, Chef</t>
  </si>
  <si>
    <t>Premezclas</t>
  </si>
  <si>
    <t># Código Netsuite</t>
  </si>
  <si>
    <t>Ensamble</t>
  </si>
  <si>
    <t>HARINA TRIGO NACARINA</t>
  </si>
  <si>
    <t>NACARINA</t>
  </si>
  <si>
    <t>BICARBONATO DE SODIO</t>
  </si>
  <si>
    <t>PASTELERO</t>
  </si>
  <si>
    <t>POLVO HORNEAR</t>
  </si>
  <si>
    <t>ROYAL</t>
  </si>
  <si>
    <t>CANELA EN POLVO</t>
  </si>
  <si>
    <t>BADIA</t>
  </si>
  <si>
    <t>SAL INDUSTRIAL</t>
  </si>
  <si>
    <t>ATLANTIDA</t>
  </si>
  <si>
    <t>PROPIANATO DE CALCIO</t>
  </si>
  <si>
    <t>CRYSTAL PRO</t>
  </si>
  <si>
    <t>BEYCO</t>
  </si>
  <si>
    <t/>
  </si>
  <si>
    <t>AZUCAR CARAMELO</t>
  </si>
  <si>
    <t>ZUKRA</t>
  </si>
  <si>
    <t>AZUCAR BLANCO INDUSTRIAL</t>
  </si>
  <si>
    <t>MARIA</t>
  </si>
  <si>
    <t>PECANA ENTERA</t>
  </si>
  <si>
    <t>NUECES IND</t>
  </si>
  <si>
    <t>Decoración</t>
  </si>
  <si>
    <t>Empaque</t>
  </si>
  <si>
    <t>BOLSA 12X18 TRANSPARENTE</t>
  </si>
  <si>
    <t>PLASTICOS P</t>
  </si>
  <si>
    <t>BOLSA 17X25 TRANSPARENTE</t>
  </si>
  <si>
    <t>ETIPLAST</t>
  </si>
  <si>
    <t>ETIQUETA BLANCA 2 5/8X1 15/16</t>
  </si>
  <si>
    <t>ESP-RE-PRES-032</t>
  </si>
  <si>
    <t>ETIQUETA ROJA LETRA ALERGENO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</si>
</sst>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[$-409]d\-mmm\-yy;@"/>
    <numFmt numFmtId="166" formatCode="&quot;$&quot;#,##0_);[Red]\(&quot;$&quot;#,##0\)"/>
    <numFmt numFmtId="167" formatCode="_-* #,##0.0\ _€_-;\-* #,##0.0\ _€_-;_-* &quot;-&quot;??\ _€_-;_-@_-"/>
    <numFmt numFmtId="168" formatCode="_(* #,##0.00_);_(* \(#,##0.00\);_(* &quot;-&quot;??_);_(@_)"/>
    <numFmt numFmtId="169" formatCode="0.0"/>
    <numFmt numFmtId="170" formatCode="_(* #,##0.000_);_(* \(#,##0.000\);_(* &quot;-&quot;??_);_(@_)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i/>
      <sz val="12"/>
      <name val="Arial"/>
      <family val="2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name val="Century Gothic"/>
      <family val="2"/>
    </font>
    <font>
      <sz val="9.85"/>
      <color indexed="8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b/>
      <i/>
      <sz val="10"/>
      <name val="Century Gothic"/>
      <family val="2"/>
    </font>
    <font>
      <sz val="10"/>
      <color indexed="8"/>
      <name val="Century Gothic"/>
      <family val="2"/>
    </font>
    <font>
      <b/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b/>
      <sz val="11"/>
      <color theme="1"/>
      <name val="Arial"/>
      <family val="2"/>
    </font>
    <font>
      <sz val="10"/>
      <color theme="1"/>
      <name val="Century Gothic"/>
      <family val="2"/>
    </font>
    <font>
      <b/>
      <sz val="12"/>
      <color rgb="FFFF0000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20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7" fillId="0" borderId="0"/>
    <xf numFmtId="9" fontId="7" fillId="0" borderId="0" applyFont="0" applyFill="0" applyBorder="0" applyAlignment="0" applyProtection="0"/>
    <xf numFmtId="0" fontId="51" fillId="0" borderId="0"/>
    <xf numFmtId="43" fontId="51" fillId="0" borderId="0" applyFont="0" applyFill="0" applyBorder="0" applyAlignment="0" applyProtection="0"/>
    <xf numFmtId="41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2" fillId="0" borderId="0"/>
    <xf numFmtId="43" fontId="51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/>
    <xf numFmtId="0" fontId="7" fillId="0" borderId="0"/>
  </cellStyleXfs>
  <cellXfs count="776">
    <xf numFmtId="0" fontId="0" fillId="0" borderId="0" xfId="0"/>
    <xf numFmtId="0" fontId="5" fillId="2" borderId="2" xfId="4" applyFont="1" applyFill="1" applyBorder="1" applyAlignment="1">
      <alignment horizontal="right"/>
    </xf>
    <xf numFmtId="0" fontId="3" fillId="2" borderId="3" xfId="4" applyFont="1" applyFill="1" applyBorder="1" applyAlignment="1">
      <alignment horizontal="center"/>
    </xf>
    <xf numFmtId="0" fontId="5" fillId="2" borderId="6" xfId="4" applyFont="1" applyFill="1" applyBorder="1" applyAlignment="1">
      <alignment horizontal="right"/>
    </xf>
    <xf numFmtId="49" fontId="3" fillId="2" borderId="7" xfId="4" applyNumberFormat="1" applyFont="1" applyFill="1" applyBorder="1" applyAlignment="1">
      <alignment horizontal="center"/>
    </xf>
    <xf numFmtId="0" fontId="3" fillId="2" borderId="14" xfId="4" applyFont="1" applyFill="1" applyBorder="1" applyAlignment="1">
      <alignment horizontal="right"/>
    </xf>
    <xf numFmtId="0" fontId="3" fillId="2" borderId="6" xfId="4" applyFont="1" applyFill="1" applyBorder="1" applyAlignment="1">
      <alignment horizontal="right"/>
    </xf>
    <xf numFmtId="0" fontId="5" fillId="4" borderId="3" xfId="5" applyFont="1" applyFill="1" applyBorder="1" applyAlignment="1">
      <alignment horizontal="center" vertical="center" wrapText="1"/>
    </xf>
    <xf numFmtId="1" fontId="5" fillId="4" borderId="5" xfId="5" applyNumberFormat="1" applyFont="1" applyFill="1" applyBorder="1" applyAlignment="1">
      <alignment horizontal="center"/>
    </xf>
    <xf numFmtId="1" fontId="5" fillId="4" borderId="26" xfId="5" applyNumberFormat="1" applyFont="1" applyFill="1" applyBorder="1" applyAlignment="1">
      <alignment horizontal="center" wrapText="1"/>
    </xf>
    <xf numFmtId="1" fontId="5" fillId="4" borderId="26" xfId="5" applyNumberFormat="1" applyFont="1" applyFill="1" applyBorder="1" applyAlignment="1">
      <alignment horizontal="center"/>
    </xf>
    <xf numFmtId="0" fontId="5" fillId="4" borderId="27" xfId="5" applyFont="1" applyFill="1" applyBorder="1" applyAlignment="1">
      <alignment horizontal="center"/>
    </xf>
    <xf numFmtId="0" fontId="8" fillId="5" borderId="28" xfId="0" applyFont="1" applyFill="1" applyBorder="1" applyAlignment="1">
      <alignment horizontal="center"/>
    </xf>
    <xf numFmtId="0" fontId="8" fillId="5" borderId="6" xfId="0" applyFont="1" applyFill="1" applyBorder="1"/>
    <xf numFmtId="16" fontId="8" fillId="2" borderId="6" xfId="5" applyNumberFormat="1" applyFont="1" applyFill="1" applyBorder="1" applyAlignment="1">
      <alignment horizontal="center"/>
    </xf>
    <xf numFmtId="1" fontId="8" fillId="2" borderId="6" xfId="5" applyNumberFormat="1" applyFont="1" applyFill="1" applyBorder="1" applyAlignment="1">
      <alignment horizontal="center"/>
    </xf>
    <xf numFmtId="1" fontId="8" fillId="2" borderId="6" xfId="5" applyNumberFormat="1" applyFont="1" applyFill="1" applyBorder="1" applyAlignment="1">
      <alignment horizontal="center" wrapText="1"/>
    </xf>
    <xf numFmtId="1" fontId="8" fillId="0" borderId="14" xfId="5" applyNumberFormat="1" applyFont="1" applyBorder="1" applyAlignment="1">
      <alignment horizontal="center"/>
    </xf>
    <xf numFmtId="0" fontId="8" fillId="0" borderId="14" xfId="5" applyFont="1" applyBorder="1" applyAlignment="1">
      <alignment horizontal="center"/>
    </xf>
    <xf numFmtId="0" fontId="8" fillId="0" borderId="29" xfId="5" applyFont="1" applyBorder="1" applyAlignment="1">
      <alignment horizontal="center"/>
    </xf>
    <xf numFmtId="0" fontId="9" fillId="5" borderId="28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left"/>
    </xf>
    <xf numFmtId="0" fontId="8" fillId="5" borderId="28" xfId="0" quotePrefix="1" applyFont="1" applyFill="1" applyBorder="1" applyAlignment="1">
      <alignment horizontal="center"/>
    </xf>
    <xf numFmtId="0" fontId="8" fillId="5" borderId="6" xfId="0" applyFont="1" applyFill="1" applyBorder="1" applyAlignment="1">
      <alignment vertical="center"/>
    </xf>
    <xf numFmtId="49" fontId="8" fillId="5" borderId="28" xfId="5" applyNumberFormat="1" applyFont="1" applyFill="1" applyBorder="1" applyAlignment="1">
      <alignment horizontal="center"/>
    </xf>
    <xf numFmtId="49" fontId="8" fillId="5" borderId="6" xfId="5" applyNumberFormat="1" applyFont="1" applyFill="1" applyBorder="1"/>
    <xf numFmtId="0" fontId="8" fillId="0" borderId="28" xfId="0" applyFont="1" applyBorder="1"/>
    <xf numFmtId="0" fontId="8" fillId="0" borderId="6" xfId="0" applyFont="1" applyBorder="1"/>
    <xf numFmtId="49" fontId="8" fillId="0" borderId="28" xfId="5" applyNumberFormat="1" applyFont="1" applyBorder="1" applyAlignment="1">
      <alignment horizontal="center"/>
    </xf>
    <xf numFmtId="49" fontId="8" fillId="0" borderId="6" xfId="5" applyNumberFormat="1" applyFont="1" applyBorder="1"/>
    <xf numFmtId="0" fontId="9" fillId="5" borderId="2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left" vertical="center"/>
    </xf>
    <xf numFmtId="49" fontId="8" fillId="0" borderId="5" xfId="5" applyNumberFormat="1" applyFont="1" applyBorder="1"/>
    <xf numFmtId="2" fontId="8" fillId="0" borderId="14" xfId="5" applyNumberFormat="1" applyFont="1" applyBorder="1" applyAlignment="1">
      <alignment horizontal="center"/>
    </xf>
    <xf numFmtId="49" fontId="8" fillId="0" borderId="30" xfId="5" applyNumberFormat="1" applyFont="1" applyBorder="1" applyAlignment="1">
      <alignment horizontal="center"/>
    </xf>
    <xf numFmtId="49" fontId="10" fillId="0" borderId="31" xfId="5" applyNumberFormat="1" applyFont="1" applyBorder="1"/>
    <xf numFmtId="0" fontId="8" fillId="2" borderId="22" xfId="5" applyFont="1" applyFill="1" applyBorder="1"/>
    <xf numFmtId="0" fontId="8" fillId="0" borderId="7" xfId="5" applyFont="1" applyBorder="1" applyAlignment="1">
      <alignment horizontal="center"/>
    </xf>
    <xf numFmtId="1" fontId="8" fillId="0" borderId="6" xfId="5" applyNumberFormat="1" applyFont="1" applyBorder="1" applyAlignment="1">
      <alignment horizontal="center"/>
    </xf>
    <xf numFmtId="0" fontId="8" fillId="0" borderId="6" xfId="5" applyFont="1" applyBorder="1" applyAlignment="1">
      <alignment horizontal="center"/>
    </xf>
    <xf numFmtId="1" fontId="8" fillId="0" borderId="6" xfId="5" applyNumberFormat="1" applyFont="1" applyBorder="1" applyAlignment="1">
      <alignment horizontal="center" wrapText="1"/>
    </xf>
    <xf numFmtId="49" fontId="11" fillId="2" borderId="8" xfId="5" applyNumberFormat="1" applyFont="1" applyFill="1" applyBorder="1" applyAlignment="1">
      <alignment horizontal="center" vertical="center"/>
    </xf>
    <xf numFmtId="0" fontId="8" fillId="2" borderId="0" xfId="5" applyFont="1" applyFill="1"/>
    <xf numFmtId="1" fontId="8" fillId="2" borderId="0" xfId="5" applyNumberFormat="1" applyFont="1" applyFill="1" applyAlignment="1">
      <alignment horizontal="center"/>
    </xf>
    <xf numFmtId="164" fontId="8" fillId="2" borderId="0" xfId="5" applyNumberFormat="1" applyFont="1" applyFill="1" applyAlignment="1">
      <alignment horizontal="center" wrapText="1"/>
    </xf>
    <xf numFmtId="0" fontId="8" fillId="2" borderId="32" xfId="5" applyFont="1" applyFill="1" applyBorder="1" applyAlignment="1">
      <alignment horizontal="center"/>
    </xf>
    <xf numFmtId="0" fontId="3" fillId="7" borderId="0" xfId="5" applyFont="1" applyFill="1" applyAlignment="1">
      <alignment horizontal="left" indent="1"/>
    </xf>
    <xf numFmtId="0" fontId="8" fillId="4" borderId="33" xfId="5" applyFont="1" applyFill="1" applyBorder="1" applyAlignment="1">
      <alignment horizontal="center"/>
    </xf>
    <xf numFmtId="0" fontId="8" fillId="4" borderId="34" xfId="5" applyFont="1" applyFill="1" applyBorder="1"/>
    <xf numFmtId="0" fontId="10" fillId="4" borderId="34" xfId="5" applyFont="1" applyFill="1" applyBorder="1" applyAlignment="1">
      <alignment horizontal="center"/>
    </xf>
    <xf numFmtId="1" fontId="10" fillId="4" borderId="34" xfId="5" applyNumberFormat="1" applyFont="1" applyFill="1" applyBorder="1" applyAlignment="1">
      <alignment horizontal="center"/>
    </xf>
    <xf numFmtId="164" fontId="8" fillId="4" borderId="34" xfId="5" applyNumberFormat="1" applyFont="1" applyFill="1" applyBorder="1" applyAlignment="1">
      <alignment horizontal="center" wrapText="1"/>
    </xf>
    <xf numFmtId="0" fontId="8" fillId="4" borderId="35" xfId="5" applyFont="1" applyFill="1" applyBorder="1" applyAlignment="1">
      <alignment horizontal="center"/>
    </xf>
    <xf numFmtId="0" fontId="8" fillId="0" borderId="38" xfId="5" applyFont="1" applyBorder="1" applyAlignment="1">
      <alignment horizontal="center"/>
    </xf>
    <xf numFmtId="9" fontId="3" fillId="7" borderId="0" xfId="6" applyFont="1" applyFill="1"/>
    <xf numFmtId="0" fontId="8" fillId="0" borderId="26" xfId="5" applyFont="1" applyBorder="1" applyAlignment="1">
      <alignment horizontal="center"/>
    </xf>
    <xf numFmtId="0" fontId="3" fillId="7" borderId="0" xfId="5" applyFont="1" applyFill="1"/>
    <xf numFmtId="0" fontId="12" fillId="7" borderId="0" xfId="0" applyFont="1" applyFill="1" applyAlignment="1">
      <alignment vertical="center"/>
    </xf>
    <xf numFmtId="0" fontId="13" fillId="9" borderId="6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3" fontId="13" fillId="0" borderId="6" xfId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5" fontId="18" fillId="0" borderId="0" xfId="0" applyNumberFormat="1" applyFont="1" applyAlignment="1">
      <alignment horizontal="center" vertical="center" wrapText="1"/>
    </xf>
    <xf numFmtId="0" fontId="13" fillId="10" borderId="9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 wrapText="1"/>
    </xf>
    <xf numFmtId="0" fontId="13" fillId="10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" fontId="19" fillId="5" borderId="0" xfId="0" applyNumberFormat="1" applyFont="1" applyFill="1" applyAlignment="1">
      <alignment horizontal="center"/>
    </xf>
    <xf numFmtId="0" fontId="12" fillId="5" borderId="0" xfId="0" applyFont="1" applyFill="1" applyAlignment="1">
      <alignment vertical="center"/>
    </xf>
    <xf numFmtId="4" fontId="19" fillId="0" borderId="0" xfId="2" applyNumberFormat="1" applyFont="1" applyFill="1" applyAlignment="1">
      <alignment horizontal="center" vertical="center"/>
    </xf>
    <xf numFmtId="4" fontId="13" fillId="0" borderId="0" xfId="2" applyNumberFormat="1" applyFont="1" applyFill="1" applyAlignment="1">
      <alignment horizontal="center" vertical="center"/>
    </xf>
    <xf numFmtId="10" fontId="13" fillId="0" borderId="0" xfId="6" applyNumberFormat="1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10" fontId="14" fillId="0" borderId="0" xfId="6" applyNumberFormat="1" applyFont="1" applyFill="1" applyAlignment="1">
      <alignment vertical="center"/>
    </xf>
    <xf numFmtId="2" fontId="19" fillId="0" borderId="0" xfId="0" applyNumberFormat="1" applyFont="1" applyAlignment="1">
      <alignment horizontal="center"/>
    </xf>
    <xf numFmtId="0" fontId="12" fillId="0" borderId="0" xfId="0" applyFont="1"/>
    <xf numFmtId="49" fontId="13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43" fontId="12" fillId="0" borderId="0" xfId="1" applyFont="1" applyFill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4" fontId="13" fillId="0" borderId="0" xfId="1" applyNumberFormat="1" applyFont="1" applyFill="1" applyAlignment="1">
      <alignment vertical="center"/>
    </xf>
    <xf numFmtId="43" fontId="21" fillId="0" borderId="0" xfId="1" applyFont="1" applyFill="1" applyAlignment="1">
      <alignment horizontal="center" vertical="center"/>
    </xf>
    <xf numFmtId="10" fontId="14" fillId="10" borderId="46" xfId="6" applyNumberFormat="1" applyFont="1" applyFill="1" applyBorder="1" applyAlignment="1">
      <alignment vertical="center"/>
    </xf>
    <xf numFmtId="0" fontId="12" fillId="10" borderId="34" xfId="0" applyFont="1" applyFill="1" applyBorder="1" applyAlignment="1">
      <alignment vertical="center"/>
    </xf>
    <xf numFmtId="0" fontId="12" fillId="10" borderId="46" xfId="0" applyFont="1" applyFill="1" applyBorder="1" applyAlignment="1">
      <alignment vertical="center"/>
    </xf>
    <xf numFmtId="43" fontId="21" fillId="10" borderId="47" xfId="1" applyFont="1" applyFill="1" applyBorder="1" applyAlignment="1">
      <alignment horizontal="center" vertical="center"/>
    </xf>
    <xf numFmtId="43" fontId="23" fillId="0" borderId="0" xfId="1" applyFont="1" applyFill="1" applyBorder="1" applyAlignment="1">
      <alignment horizontal="right"/>
    </xf>
    <xf numFmtId="0" fontId="12" fillId="10" borderId="47" xfId="0" applyFont="1" applyFill="1" applyBorder="1" applyAlignment="1">
      <alignment vertical="center"/>
    </xf>
    <xf numFmtId="10" fontId="14" fillId="10" borderId="47" xfId="6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0" fontId="22" fillId="0" borderId="0" xfId="0" applyFont="1"/>
    <xf numFmtId="9" fontId="22" fillId="0" borderId="0" xfId="0" applyNumberFormat="1" applyFont="1"/>
    <xf numFmtId="9" fontId="24" fillId="0" borderId="0" xfId="6" applyFont="1" applyFill="1" applyAlignment="1">
      <alignment horizontal="center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21" fillId="0" borderId="0" xfId="2" applyNumberFormat="1" applyFont="1" applyAlignment="1">
      <alignment horizontal="center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32" xfId="0" applyFont="1" applyBorder="1" applyAlignment="1">
      <alignment horizontal="right"/>
    </xf>
    <xf numFmtId="43" fontId="27" fillId="3" borderId="31" xfId="1" applyFont="1" applyFill="1" applyBorder="1" applyAlignment="1">
      <alignment horizontal="right"/>
    </xf>
    <xf numFmtId="43" fontId="27" fillId="0" borderId="0" xfId="1" applyFont="1" applyFill="1" applyBorder="1" applyAlignment="1">
      <alignment horizontal="right"/>
    </xf>
    <xf numFmtId="43" fontId="13" fillId="0" borderId="6" xfId="1" applyFont="1" applyFill="1" applyBorder="1" applyAlignment="1">
      <alignment vertical="center"/>
    </xf>
    <xf numFmtId="0" fontId="28" fillId="0" borderId="0" xfId="0" applyFont="1" applyAlignment="1">
      <alignment horizontal="left" vertical="center"/>
    </xf>
    <xf numFmtId="4" fontId="21" fillId="0" borderId="0" xfId="2" applyNumberFormat="1" applyFont="1" applyFill="1" applyAlignment="1">
      <alignment horizontal="center" vertical="center"/>
    </xf>
    <xf numFmtId="10" fontId="29" fillId="0" borderId="0" xfId="6" applyNumberFormat="1" applyFont="1" applyFill="1" applyAlignment="1">
      <alignment horizontal="right"/>
    </xf>
    <xf numFmtId="167" fontId="13" fillId="10" borderId="6" xfId="1" applyNumberFormat="1" applyFont="1" applyFill="1" applyBorder="1" applyAlignment="1">
      <alignment vertical="center"/>
    </xf>
    <xf numFmtId="4" fontId="12" fillId="0" borderId="0" xfId="0" applyNumberFormat="1" applyFont="1" applyAlignment="1">
      <alignment horizontal="center" vertical="center"/>
    </xf>
    <xf numFmtId="43" fontId="13" fillId="11" borderId="6" xfId="1" applyFont="1" applyFill="1" applyBorder="1" applyAlignment="1">
      <alignment vertical="center"/>
    </xf>
    <xf numFmtId="168" fontId="30" fillId="0" borderId="0" xfId="0" applyNumberFormat="1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4" fillId="10" borderId="50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2" fontId="29" fillId="0" borderId="0" xfId="1" applyNumberFormat="1" applyFont="1" applyFill="1" applyBorder="1" applyAlignment="1">
      <alignment horizontal="center"/>
    </xf>
    <xf numFmtId="2" fontId="26" fillId="0" borderId="0" xfId="1" applyNumberFormat="1" applyFont="1" applyFill="1" applyBorder="1" applyAlignment="1">
      <alignment horizontal="center"/>
    </xf>
    <xf numFmtId="0" fontId="12" fillId="10" borderId="50" xfId="0" applyFont="1" applyFill="1" applyBorder="1" applyAlignment="1">
      <alignment vertical="center"/>
    </xf>
    <xf numFmtId="10" fontId="12" fillId="0" borderId="0" xfId="6" applyNumberFormat="1" applyFont="1" applyFill="1" applyAlignment="1">
      <alignment vertical="center"/>
    </xf>
    <xf numFmtId="4" fontId="12" fillId="0" borderId="0" xfId="1" applyNumberFormat="1" applyFont="1" applyFill="1" applyAlignment="1">
      <alignment vertical="center"/>
    </xf>
    <xf numFmtId="43" fontId="27" fillId="10" borderId="34" xfId="1" applyFont="1" applyFill="1" applyBorder="1" applyAlignment="1">
      <alignment horizontal="right"/>
    </xf>
    <xf numFmtId="0" fontId="13" fillId="10" borderId="35" xfId="0" applyFont="1" applyFill="1" applyBorder="1" applyAlignment="1">
      <alignment horizontal="right" vertical="center"/>
    </xf>
    <xf numFmtId="10" fontId="33" fillId="0" borderId="0" xfId="1" applyNumberFormat="1" applyFont="1" applyFill="1" applyAlignment="1">
      <alignment vertical="center"/>
    </xf>
    <xf numFmtId="10" fontId="14" fillId="0" borderId="0" xfId="6" applyNumberFormat="1" applyFont="1" applyFill="1" applyBorder="1" applyAlignment="1">
      <alignment vertical="center"/>
    </xf>
    <xf numFmtId="168" fontId="34" fillId="0" borderId="0" xfId="0" applyNumberFormat="1" applyFont="1" applyAlignment="1">
      <alignment horizontal="center" vertical="center"/>
    </xf>
    <xf numFmtId="0" fontId="12" fillId="7" borderId="31" xfId="0" applyFont="1" applyFill="1" applyBorder="1" applyAlignment="1">
      <alignment horizontal="center" vertical="center"/>
    </xf>
    <xf numFmtId="43" fontId="35" fillId="0" borderId="0" xfId="1" applyFont="1" applyFill="1" applyAlignment="1">
      <alignment vertical="center"/>
    </xf>
    <xf numFmtId="4" fontId="36" fillId="0" borderId="0" xfId="2" applyNumberFormat="1" applyFont="1" applyFill="1" applyAlignment="1">
      <alignment horizontal="center" vertical="center" wrapText="1"/>
    </xf>
    <xf numFmtId="9" fontId="12" fillId="0" borderId="0" xfId="1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13" fillId="13" borderId="31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43" fontId="37" fillId="0" borderId="0" xfId="1" applyFont="1" applyFill="1" applyAlignment="1">
      <alignment vertical="center"/>
    </xf>
    <xf numFmtId="9" fontId="37" fillId="0" borderId="0" xfId="1" applyNumberFormat="1" applyFont="1" applyFill="1" applyAlignment="1">
      <alignment vertical="center"/>
    </xf>
    <xf numFmtId="4" fontId="13" fillId="0" borderId="0" xfId="1" applyNumberFormat="1" applyFont="1" applyFill="1" applyAlignment="1">
      <alignment horizontal="center" vertical="center"/>
    </xf>
    <xf numFmtId="10" fontId="30" fillId="0" borderId="0" xfId="6" applyNumberFormat="1" applyFont="1" applyFill="1" applyAlignment="1">
      <alignment vertical="center"/>
    </xf>
    <xf numFmtId="43" fontId="30" fillId="0" borderId="0" xfId="1" applyFont="1" applyFill="1" applyBorder="1" applyAlignment="1">
      <alignment vertical="center"/>
    </xf>
    <xf numFmtId="4" fontId="12" fillId="0" borderId="0" xfId="0" applyNumberFormat="1" applyFont="1" applyAlignment="1">
      <alignment horizontal="center"/>
    </xf>
    <xf numFmtId="43" fontId="12" fillId="0" borderId="0" xfId="1" applyFont="1" applyFill="1" applyBorder="1"/>
    <xf numFmtId="10" fontId="30" fillId="0" borderId="0" xfId="6" applyNumberFormat="1" applyFont="1" applyFill="1" applyBorder="1" applyAlignment="1">
      <alignment vertical="center"/>
    </xf>
    <xf numFmtId="0" fontId="30" fillId="0" borderId="0" xfId="0" applyFont="1" applyAlignment="1">
      <alignment horizontal="right"/>
    </xf>
    <xf numFmtId="43" fontId="12" fillId="0" borderId="0" xfId="1" applyFont="1" applyFill="1" applyBorder="1" applyAlignment="1">
      <alignment horizontal="center"/>
    </xf>
    <xf numFmtId="9" fontId="40" fillId="0" borderId="0" xfId="0" applyNumberFormat="1" applyFont="1" applyAlignment="1">
      <alignment horizontal="left"/>
    </xf>
    <xf numFmtId="4" fontId="13" fillId="0" borderId="0" xfId="0" applyNumberFormat="1" applyFont="1" applyAlignment="1">
      <alignment horizontal="center"/>
    </xf>
    <xf numFmtId="168" fontId="13" fillId="0" borderId="0" xfId="0" applyNumberFormat="1" applyFont="1"/>
    <xf numFmtId="0" fontId="8" fillId="2" borderId="2" xfId="4" applyFont="1" applyFill="1" applyBorder="1" applyAlignment="1">
      <alignment horizontal="left"/>
    </xf>
    <xf numFmtId="0" fontId="8" fillId="2" borderId="3" xfId="4" applyFont="1" applyFill="1" applyBorder="1" applyAlignment="1">
      <alignment horizontal="center"/>
    </xf>
    <xf numFmtId="0" fontId="0" fillId="2" borderId="0" xfId="0" applyFill="1"/>
    <xf numFmtId="0" fontId="8" fillId="2" borderId="6" xfId="4" applyFont="1" applyFill="1" applyBorder="1" applyAlignment="1">
      <alignment horizontal="left"/>
    </xf>
    <xf numFmtId="49" fontId="8" fillId="2" borderId="7" xfId="4" applyNumberFormat="1" applyFont="1" applyFill="1" applyBorder="1" applyAlignment="1">
      <alignment horizontal="center"/>
    </xf>
    <xf numFmtId="0" fontId="2" fillId="2" borderId="14" xfId="4" applyFill="1" applyBorder="1" applyAlignment="1">
      <alignment horizontal="right"/>
    </xf>
    <xf numFmtId="0" fontId="2" fillId="2" borderId="6" xfId="4" applyFill="1" applyBorder="1" applyAlignment="1">
      <alignment horizontal="right"/>
    </xf>
    <xf numFmtId="0" fontId="43" fillId="4" borderId="3" xfId="0" applyFont="1" applyFill="1" applyBorder="1" applyAlignment="1">
      <alignment horizontal="center" vertical="center" wrapText="1"/>
    </xf>
    <xf numFmtId="1" fontId="43" fillId="4" borderId="26" xfId="0" applyNumberFormat="1" applyFont="1" applyFill="1" applyBorder="1" applyAlignment="1">
      <alignment horizontal="center"/>
    </xf>
    <xf numFmtId="1" fontId="43" fillId="4" borderId="26" xfId="0" applyNumberFormat="1" applyFont="1" applyFill="1" applyBorder="1" applyAlignment="1">
      <alignment horizontal="center" wrapText="1"/>
    </xf>
    <xf numFmtId="0" fontId="43" fillId="4" borderId="27" xfId="0" applyFont="1" applyFill="1" applyBorder="1" applyAlignment="1">
      <alignment horizontal="center"/>
    </xf>
    <xf numFmtId="49" fontId="44" fillId="0" borderId="14" xfId="0" applyNumberFormat="1" applyFont="1" applyBorder="1" applyAlignment="1">
      <alignment horizontal="center"/>
    </xf>
    <xf numFmtId="49" fontId="12" fillId="0" borderId="14" xfId="0" applyNumberFormat="1" applyFont="1" applyBorder="1"/>
    <xf numFmtId="0" fontId="45" fillId="0" borderId="14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/>
    </xf>
    <xf numFmtId="0" fontId="48" fillId="0" borderId="29" xfId="0" applyFont="1" applyBorder="1" applyAlignment="1">
      <alignment horizontal="center"/>
    </xf>
    <xf numFmtId="0" fontId="45" fillId="0" borderId="5" xfId="0" applyFont="1" applyBorder="1" applyAlignment="1">
      <alignment horizontal="center" vertical="center"/>
    </xf>
    <xf numFmtId="49" fontId="44" fillId="0" borderId="6" xfId="0" applyNumberFormat="1" applyFont="1" applyBorder="1"/>
    <xf numFmtId="0" fontId="44" fillId="0" borderId="6" xfId="0" applyFont="1" applyBorder="1"/>
    <xf numFmtId="1" fontId="44" fillId="0" borderId="6" xfId="0" applyNumberFormat="1" applyFont="1" applyBorder="1" applyAlignment="1">
      <alignment horizontal="center"/>
    </xf>
    <xf numFmtId="0" fontId="45" fillId="0" borderId="6" xfId="0" applyFont="1" applyBorder="1" applyAlignment="1">
      <alignment horizontal="center" vertical="center"/>
    </xf>
    <xf numFmtId="1" fontId="48" fillId="0" borderId="6" xfId="0" applyNumberFormat="1" applyFont="1" applyBorder="1" applyAlignment="1">
      <alignment horizontal="center"/>
    </xf>
    <xf numFmtId="0" fontId="48" fillId="0" borderId="6" xfId="0" applyFont="1" applyBorder="1" applyAlignment="1">
      <alignment horizontal="center"/>
    </xf>
    <xf numFmtId="0" fontId="48" fillId="0" borderId="7" xfId="0" applyFont="1" applyBorder="1" applyAlignment="1">
      <alignment horizontal="center"/>
    </xf>
    <xf numFmtId="49" fontId="44" fillId="0" borderId="6" xfId="0" applyNumberFormat="1" applyFont="1" applyBorder="1" applyAlignment="1">
      <alignment horizontal="center"/>
    </xf>
    <xf numFmtId="49" fontId="12" fillId="0" borderId="6" xfId="0" applyNumberFormat="1" applyFont="1" applyBorder="1"/>
    <xf numFmtId="16" fontId="44" fillId="0" borderId="6" xfId="0" applyNumberFormat="1" applyFont="1" applyBorder="1" applyAlignment="1">
      <alignment horizontal="center"/>
    </xf>
    <xf numFmtId="1" fontId="44" fillId="0" borderId="6" xfId="0" applyNumberFormat="1" applyFont="1" applyBorder="1" applyAlignment="1">
      <alignment horizontal="center" wrapText="1"/>
    </xf>
    <xf numFmtId="0" fontId="44" fillId="0" borderId="6" xfId="0" applyFont="1" applyBorder="1" applyAlignment="1">
      <alignment horizontal="center"/>
    </xf>
    <xf numFmtId="0" fontId="48" fillId="2" borderId="0" xfId="0" applyFont="1" applyFill="1"/>
    <xf numFmtId="0" fontId="49" fillId="0" borderId="28" xfId="0" quotePrefix="1" applyFont="1" applyBorder="1" applyAlignment="1">
      <alignment horizontal="center"/>
    </xf>
    <xf numFmtId="0" fontId="49" fillId="0" borderId="6" xfId="0" quotePrefix="1" applyFont="1" applyBorder="1"/>
    <xf numFmtId="0" fontId="48" fillId="0" borderId="6" xfId="0" applyFont="1" applyBorder="1"/>
    <xf numFmtId="1" fontId="48" fillId="0" borderId="6" xfId="0" applyNumberFormat="1" applyFont="1" applyBorder="1" applyAlignment="1">
      <alignment horizontal="center" wrapText="1"/>
    </xf>
    <xf numFmtId="49" fontId="47" fillId="2" borderId="8" xfId="0" applyNumberFormat="1" applyFont="1" applyFill="1" applyBorder="1" applyAlignment="1">
      <alignment horizontal="center" vertical="center"/>
    </xf>
    <xf numFmtId="1" fontId="48" fillId="2" borderId="0" xfId="0" applyNumberFormat="1" applyFont="1" applyFill="1" applyAlignment="1">
      <alignment horizontal="center"/>
    </xf>
    <xf numFmtId="164" fontId="48" fillId="2" borderId="0" xfId="0" applyNumberFormat="1" applyFont="1" applyFill="1" applyAlignment="1">
      <alignment horizontal="center" wrapText="1"/>
    </xf>
    <xf numFmtId="0" fontId="48" fillId="2" borderId="32" xfId="0" applyFont="1" applyFill="1" applyBorder="1" applyAlignment="1">
      <alignment horizontal="center"/>
    </xf>
    <xf numFmtId="0" fontId="2" fillId="2" borderId="0" xfId="0" applyFont="1" applyFill="1" applyAlignment="1">
      <alignment horizontal="left" indent="1"/>
    </xf>
    <xf numFmtId="0" fontId="48" fillId="4" borderId="33" xfId="0" applyFont="1" applyFill="1" applyBorder="1" applyAlignment="1">
      <alignment horizontal="center"/>
    </xf>
    <xf numFmtId="0" fontId="48" fillId="4" borderId="34" xfId="0" applyFont="1" applyFill="1" applyBorder="1"/>
    <xf numFmtId="0" fontId="43" fillId="4" borderId="34" xfId="0" applyFont="1" applyFill="1" applyBorder="1" applyAlignment="1">
      <alignment horizontal="center"/>
    </xf>
    <xf numFmtId="1" fontId="43" fillId="4" borderId="34" xfId="0" applyNumberFormat="1" applyFont="1" applyFill="1" applyBorder="1" applyAlignment="1">
      <alignment horizontal="center"/>
    </xf>
    <xf numFmtId="164" fontId="48" fillId="4" borderId="34" xfId="0" applyNumberFormat="1" applyFont="1" applyFill="1" applyBorder="1" applyAlignment="1">
      <alignment horizontal="center" wrapText="1"/>
    </xf>
    <xf numFmtId="0" fontId="48" fillId="4" borderId="35" xfId="0" applyFont="1" applyFill="1" applyBorder="1" applyAlignment="1">
      <alignment horizontal="center"/>
    </xf>
    <xf numFmtId="1" fontId="43" fillId="0" borderId="14" xfId="0" applyNumberFormat="1" applyFont="1" applyBorder="1" applyAlignment="1">
      <alignment horizontal="center"/>
    </xf>
    <xf numFmtId="0" fontId="48" fillId="0" borderId="38" xfId="0" applyFont="1" applyBorder="1" applyAlignment="1">
      <alignment horizontal="center"/>
    </xf>
    <xf numFmtId="9" fontId="48" fillId="2" borderId="0" xfId="3" applyFont="1" applyFill="1"/>
    <xf numFmtId="1" fontId="48" fillId="0" borderId="26" xfId="0" applyNumberFormat="1" applyFont="1" applyBorder="1" applyAlignment="1">
      <alignment horizontal="center"/>
    </xf>
    <xf numFmtId="0" fontId="12" fillId="2" borderId="0" xfId="0" applyFont="1" applyFill="1"/>
    <xf numFmtId="0" fontId="50" fillId="2" borderId="0" xfId="0" applyFont="1" applyFill="1" applyAlignment="1">
      <alignment vertical="center"/>
    </xf>
    <xf numFmtId="10" fontId="13" fillId="0" borderId="0" xfId="10" applyNumberFormat="1" applyFont="1" applyFill="1" applyAlignment="1">
      <alignment vertical="center"/>
    </xf>
    <xf numFmtId="10" fontId="14" fillId="0" borderId="0" xfId="10" applyNumberFormat="1" applyFont="1" applyFill="1" applyAlignment="1">
      <alignment vertical="center"/>
    </xf>
    <xf numFmtId="10" fontId="12" fillId="0" borderId="0" xfId="10" applyNumberFormat="1" applyFont="1" applyFill="1" applyAlignment="1">
      <alignment vertical="center"/>
    </xf>
    <xf numFmtId="10" fontId="30" fillId="0" borderId="0" xfId="10" applyNumberFormat="1" applyFont="1" applyFill="1" applyAlignment="1">
      <alignment vertical="center"/>
    </xf>
    <xf numFmtId="10" fontId="30" fillId="0" borderId="0" xfId="10" applyNumberFormat="1" applyFont="1" applyFill="1" applyBorder="1" applyAlignment="1">
      <alignment vertical="center"/>
    </xf>
    <xf numFmtId="10" fontId="29" fillId="0" borderId="0" xfId="10" applyNumberFormat="1" applyFont="1" applyFill="1" applyAlignment="1">
      <alignment horizontal="right"/>
    </xf>
    <xf numFmtId="10" fontId="14" fillId="10" borderId="46" xfId="10" applyNumberFormat="1" applyFont="1" applyFill="1" applyBorder="1" applyAlignment="1">
      <alignment vertical="center"/>
    </xf>
    <xf numFmtId="10" fontId="14" fillId="10" borderId="47" xfId="10" applyNumberFormat="1" applyFont="1" applyFill="1" applyBorder="1" applyAlignment="1">
      <alignment vertical="center"/>
    </xf>
    <xf numFmtId="10" fontId="14" fillId="0" borderId="0" xfId="10" applyNumberFormat="1" applyFont="1" applyFill="1" applyBorder="1" applyAlignment="1">
      <alignment vertical="center"/>
    </xf>
    <xf numFmtId="9" fontId="24" fillId="0" borderId="0" xfId="10" applyFont="1" applyFill="1" applyAlignment="1">
      <alignment horizontal="center"/>
    </xf>
    <xf numFmtId="0" fontId="5" fillId="2" borderId="2" xfId="11" applyFont="1" applyFill="1" applyBorder="1" applyAlignment="1">
      <alignment horizontal="right"/>
    </xf>
    <xf numFmtId="0" fontId="7" fillId="2" borderId="3" xfId="11" applyFont="1" applyFill="1" applyBorder="1" applyAlignment="1">
      <alignment horizontal="center"/>
    </xf>
    <xf numFmtId="0" fontId="5" fillId="2" borderId="6" xfId="11" applyFont="1" applyFill="1" applyBorder="1" applyAlignment="1">
      <alignment horizontal="right"/>
    </xf>
    <xf numFmtId="49" fontId="3" fillId="2" borderId="7" xfId="11" applyNumberFormat="1" applyFont="1" applyFill="1" applyBorder="1" applyAlignment="1">
      <alignment horizontal="center"/>
    </xf>
    <xf numFmtId="0" fontId="3" fillId="2" borderId="14" xfId="11" applyFont="1" applyFill="1" applyBorder="1" applyAlignment="1">
      <alignment horizontal="right"/>
    </xf>
    <xf numFmtId="0" fontId="3" fillId="2" borderId="6" xfId="11" applyFont="1" applyFill="1" applyBorder="1" applyAlignment="1">
      <alignment horizontal="right"/>
    </xf>
    <xf numFmtId="0" fontId="5" fillId="4" borderId="3" xfId="0" applyFont="1" applyFill="1" applyBorder="1" applyAlignment="1">
      <alignment horizontal="center" vertical="center" wrapText="1"/>
    </xf>
    <xf numFmtId="1" fontId="5" fillId="4" borderId="26" xfId="0" applyNumberFormat="1" applyFont="1" applyFill="1" applyBorder="1" applyAlignment="1">
      <alignment horizontal="center"/>
    </xf>
    <xf numFmtId="1" fontId="5" fillId="4" borderId="26" xfId="0" applyNumberFormat="1" applyFont="1" applyFill="1" applyBorder="1" applyAlignment="1">
      <alignment horizontal="center" wrapText="1"/>
    </xf>
    <xf numFmtId="0" fontId="5" fillId="4" borderId="27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45" fillId="0" borderId="28" xfId="0" applyFont="1" applyBorder="1" applyAlignment="1">
      <alignment horizontal="center"/>
    </xf>
    <xf numFmtId="49" fontId="5" fillId="0" borderId="31" xfId="0" applyNumberFormat="1" applyFont="1" applyBorder="1" applyAlignment="1">
      <alignment horizontal="center"/>
    </xf>
    <xf numFmtId="169" fontId="44" fillId="0" borderId="6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49" fontId="44" fillId="0" borderId="28" xfId="0" applyNumberFormat="1" applyFont="1" applyBorder="1" applyAlignment="1">
      <alignment horizontal="center"/>
    </xf>
    <xf numFmtId="0" fontId="37" fillId="0" borderId="6" xfId="0" applyFont="1" applyBorder="1"/>
    <xf numFmtId="1" fontId="3" fillId="0" borderId="14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 wrapText="1"/>
    </xf>
    <xf numFmtId="0" fontId="3" fillId="2" borderId="32" xfId="0" applyFont="1" applyFill="1" applyBorder="1" applyAlignment="1">
      <alignment horizontal="center"/>
    </xf>
    <xf numFmtId="0" fontId="3" fillId="2" borderId="0" xfId="0" applyFont="1" applyFill="1" applyAlignment="1">
      <alignment horizontal="left" indent="1"/>
    </xf>
    <xf numFmtId="0" fontId="3" fillId="4" borderId="33" xfId="0" applyFont="1" applyFill="1" applyBorder="1" applyAlignment="1">
      <alignment horizontal="center"/>
    </xf>
    <xf numFmtId="0" fontId="3" fillId="4" borderId="34" xfId="0" applyFont="1" applyFill="1" applyBorder="1"/>
    <xf numFmtId="0" fontId="5" fillId="4" borderId="34" xfId="0" applyFont="1" applyFill="1" applyBorder="1" applyAlignment="1">
      <alignment horizontal="center"/>
    </xf>
    <xf numFmtId="1" fontId="5" fillId="4" borderId="34" xfId="0" applyNumberFormat="1" applyFont="1" applyFill="1" applyBorder="1" applyAlignment="1">
      <alignment horizontal="center"/>
    </xf>
    <xf numFmtId="164" fontId="3" fillId="4" borderId="34" xfId="0" applyNumberFormat="1" applyFont="1" applyFill="1" applyBorder="1" applyAlignment="1">
      <alignment horizontal="center" wrapText="1"/>
    </xf>
    <xf numFmtId="0" fontId="3" fillId="4" borderId="35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9" fontId="3" fillId="2" borderId="0" xfId="6" applyFont="1" applyFill="1"/>
    <xf numFmtId="1" fontId="3" fillId="0" borderId="26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51" fillId="0" borderId="0" xfId="7"/>
    <xf numFmtId="0" fontId="54" fillId="2" borderId="0" xfId="5" applyFont="1" applyFill="1" applyAlignment="1">
      <alignment vertical="center"/>
    </xf>
    <xf numFmtId="0" fontId="3" fillId="2" borderId="0" xfId="5" applyFont="1" applyFill="1"/>
    <xf numFmtId="0" fontId="3" fillId="2" borderId="0" xfId="5" applyFont="1" applyFill="1" applyAlignment="1">
      <alignment horizontal="left" indent="1"/>
    </xf>
    <xf numFmtId="0" fontId="3" fillId="0" borderId="26" xfId="5" applyFont="1" applyBorder="1" applyAlignment="1">
      <alignment horizontal="center"/>
    </xf>
    <xf numFmtId="1" fontId="3" fillId="0" borderId="26" xfId="5" applyNumberFormat="1" applyFont="1" applyBorder="1" applyAlignment="1">
      <alignment horizontal="center"/>
    </xf>
    <xf numFmtId="0" fontId="3" fillId="0" borderId="6" xfId="5" applyFont="1" applyBorder="1" applyAlignment="1">
      <alignment horizontal="center"/>
    </xf>
    <xf numFmtId="0" fontId="3" fillId="0" borderId="38" xfId="5" applyFont="1" applyBorder="1" applyAlignment="1">
      <alignment horizontal="center"/>
    </xf>
    <xf numFmtId="1" fontId="3" fillId="0" borderId="14" xfId="5" applyNumberFormat="1" applyFont="1" applyBorder="1" applyAlignment="1">
      <alignment horizontal="center"/>
    </xf>
    <xf numFmtId="0" fontId="3" fillId="4" borderId="35" xfId="5" applyFont="1" applyFill="1" applyBorder="1" applyAlignment="1">
      <alignment horizontal="center"/>
    </xf>
    <xf numFmtId="0" fontId="3" fillId="4" borderId="34" xfId="5" applyFont="1" applyFill="1" applyBorder="1"/>
    <xf numFmtId="164" fontId="3" fillId="4" borderId="34" xfId="5" applyNumberFormat="1" applyFont="1" applyFill="1" applyBorder="1" applyAlignment="1">
      <alignment horizontal="center" wrapText="1"/>
    </xf>
    <xf numFmtId="1" fontId="5" fillId="4" borderId="34" xfId="5" applyNumberFormat="1" applyFont="1" applyFill="1" applyBorder="1" applyAlignment="1">
      <alignment horizontal="center"/>
    </xf>
    <xf numFmtId="0" fontId="5" fillId="4" borderId="34" xfId="5" applyFont="1" applyFill="1" applyBorder="1" applyAlignment="1">
      <alignment horizontal="center"/>
    </xf>
    <xf numFmtId="0" fontId="3" fillId="4" borderId="33" xfId="5" applyFont="1" applyFill="1" applyBorder="1" applyAlignment="1">
      <alignment horizontal="center"/>
    </xf>
    <xf numFmtId="0" fontId="3" fillId="2" borderId="32" xfId="5" applyFont="1" applyFill="1" applyBorder="1" applyAlignment="1">
      <alignment horizontal="center"/>
    </xf>
    <xf numFmtId="164" fontId="3" fillId="2" borderId="0" xfId="5" applyNumberFormat="1" applyFont="1" applyFill="1" applyAlignment="1">
      <alignment horizontal="center" wrapText="1"/>
    </xf>
    <xf numFmtId="1" fontId="3" fillId="2" borderId="0" xfId="5" applyNumberFormat="1" applyFont="1" applyFill="1" applyAlignment="1">
      <alignment horizontal="center"/>
    </xf>
    <xf numFmtId="49" fontId="54" fillId="2" borderId="8" xfId="5" applyNumberFormat="1" applyFont="1" applyFill="1" applyBorder="1" applyAlignment="1">
      <alignment horizontal="center" vertical="center"/>
    </xf>
    <xf numFmtId="0" fontId="3" fillId="0" borderId="7" xfId="5" applyFont="1" applyBorder="1" applyAlignment="1">
      <alignment horizontal="center"/>
    </xf>
    <xf numFmtId="1" fontId="3" fillId="0" borderId="6" xfId="5" applyNumberFormat="1" applyFont="1" applyBorder="1" applyAlignment="1">
      <alignment horizontal="center" wrapText="1"/>
    </xf>
    <xf numFmtId="16" fontId="44" fillId="0" borderId="14" xfId="5" applyNumberFormat="1" applyFont="1" applyBorder="1" applyAlignment="1">
      <alignment horizontal="center"/>
    </xf>
    <xf numFmtId="49" fontId="12" fillId="0" borderId="6" xfId="5" applyNumberFormat="1" applyFont="1" applyBorder="1"/>
    <xf numFmtId="0" fontId="3" fillId="0" borderId="29" xfId="5" applyFont="1" applyBorder="1" applyAlignment="1">
      <alignment horizontal="center"/>
    </xf>
    <xf numFmtId="0" fontId="3" fillId="0" borderId="14" xfId="5" applyFont="1" applyBorder="1" applyAlignment="1">
      <alignment horizontal="center"/>
    </xf>
    <xf numFmtId="1" fontId="3" fillId="0" borderId="14" xfId="5" applyNumberFormat="1" applyFont="1" applyBorder="1" applyAlignment="1">
      <alignment horizontal="center" wrapText="1"/>
    </xf>
    <xf numFmtId="49" fontId="3" fillId="0" borderId="6" xfId="5" applyNumberFormat="1" applyFont="1" applyBorder="1"/>
    <xf numFmtId="0" fontId="44" fillId="0" borderId="6" xfId="5" applyFont="1" applyBorder="1" applyAlignment="1">
      <alignment horizontal="center" vertical="center"/>
    </xf>
    <xf numFmtId="49" fontId="53" fillId="0" borderId="28" xfId="5" applyNumberFormat="1" applyFont="1" applyBorder="1" applyAlignment="1">
      <alignment horizontal="center"/>
    </xf>
    <xf numFmtId="49" fontId="44" fillId="0" borderId="6" xfId="5" applyNumberFormat="1" applyFont="1" applyBorder="1" applyAlignment="1">
      <alignment horizontal="center"/>
    </xf>
    <xf numFmtId="0" fontId="52" fillId="2" borderId="3" xfId="4" applyFont="1" applyFill="1" applyBorder="1" applyAlignment="1">
      <alignment horizontal="center"/>
    </xf>
    <xf numFmtId="0" fontId="45" fillId="0" borderId="14" xfId="7" applyFont="1" applyBorder="1" applyAlignment="1">
      <alignment horizontal="center" vertical="center"/>
    </xf>
    <xf numFmtId="49" fontId="44" fillId="0" borderId="28" xfId="5" applyNumberFormat="1" applyFont="1" applyBorder="1" applyAlignment="1">
      <alignment horizontal="center"/>
    </xf>
    <xf numFmtId="1" fontId="48" fillId="0" borderId="6" xfId="5" applyNumberFormat="1" applyFont="1" applyBorder="1" applyAlignment="1">
      <alignment horizontal="center" wrapText="1"/>
    </xf>
    <xf numFmtId="16" fontId="48" fillId="0" borderId="6" xfId="5" applyNumberFormat="1" applyFont="1" applyBorder="1" applyAlignment="1">
      <alignment horizontal="center"/>
    </xf>
    <xf numFmtId="1" fontId="48" fillId="0" borderId="6" xfId="5" applyNumberFormat="1" applyFont="1" applyBorder="1" applyAlignment="1">
      <alignment horizontal="center"/>
    </xf>
    <xf numFmtId="0" fontId="56" fillId="2" borderId="2" xfId="4" applyFont="1" applyFill="1" applyBorder="1" applyAlignment="1">
      <alignment horizontal="right"/>
    </xf>
    <xf numFmtId="0" fontId="56" fillId="2" borderId="3" xfId="4" applyFont="1" applyFill="1" applyBorder="1" applyAlignment="1">
      <alignment horizontal="center"/>
    </xf>
    <xf numFmtId="0" fontId="56" fillId="2" borderId="6" xfId="4" applyFont="1" applyFill="1" applyBorder="1" applyAlignment="1">
      <alignment horizontal="right"/>
    </xf>
    <xf numFmtId="49" fontId="56" fillId="2" borderId="7" xfId="4" applyNumberFormat="1" applyFont="1" applyFill="1" applyBorder="1" applyAlignment="1">
      <alignment horizontal="center"/>
    </xf>
    <xf numFmtId="0" fontId="56" fillId="2" borderId="14" xfId="4" applyFont="1" applyFill="1" applyBorder="1" applyAlignment="1">
      <alignment horizontal="right"/>
    </xf>
    <xf numFmtId="0" fontId="58" fillId="4" borderId="3" xfId="0" applyFont="1" applyFill="1" applyBorder="1" applyAlignment="1">
      <alignment horizontal="center" vertical="center" wrapText="1"/>
    </xf>
    <xf numFmtId="1" fontId="58" fillId="4" borderId="26" xfId="0" applyNumberFormat="1" applyFont="1" applyFill="1" applyBorder="1" applyAlignment="1">
      <alignment horizontal="center"/>
    </xf>
    <xf numFmtId="1" fontId="58" fillId="4" borderId="26" xfId="0" applyNumberFormat="1" applyFont="1" applyFill="1" applyBorder="1" applyAlignment="1">
      <alignment horizontal="center" wrapText="1"/>
    </xf>
    <xf numFmtId="0" fontId="58" fillId="4" borderId="27" xfId="0" applyFont="1" applyFill="1" applyBorder="1" applyAlignment="1">
      <alignment horizontal="center"/>
    </xf>
    <xf numFmtId="0" fontId="59" fillId="0" borderId="6" xfId="0" applyFont="1" applyBorder="1" applyAlignment="1">
      <alignment horizontal="center"/>
    </xf>
    <xf numFmtId="1" fontId="59" fillId="0" borderId="14" xfId="0" applyNumberFormat="1" applyFont="1" applyBorder="1" applyAlignment="1">
      <alignment horizontal="center"/>
    </xf>
    <xf numFmtId="1" fontId="5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left" vertical="center"/>
    </xf>
    <xf numFmtId="0" fontId="61" fillId="0" borderId="6" xfId="0" applyFont="1" applyBorder="1" applyAlignment="1">
      <alignment horizontal="left" vertical="center"/>
    </xf>
    <xf numFmtId="49" fontId="8" fillId="0" borderId="28" xfId="0" applyNumberFormat="1" applyFont="1" applyBorder="1" applyAlignment="1">
      <alignment horizontal="center"/>
    </xf>
    <xf numFmtId="49" fontId="8" fillId="0" borderId="6" xfId="0" applyNumberFormat="1" applyFont="1" applyBorder="1"/>
    <xf numFmtId="0" fontId="11" fillId="0" borderId="14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/>
    </xf>
    <xf numFmtId="16" fontId="8" fillId="0" borderId="6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" fontId="8" fillId="0" borderId="6" xfId="0" applyNumberFormat="1" applyFont="1" applyBorder="1" applyAlignment="1">
      <alignment horizontal="center" wrapText="1"/>
    </xf>
    <xf numFmtId="49" fontId="9" fillId="7" borderId="28" xfId="0" applyNumberFormat="1" applyFont="1" applyFill="1" applyBorder="1" applyAlignment="1">
      <alignment horizont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1" fontId="58" fillId="0" borderId="5" xfId="0" applyNumberFormat="1" applyFont="1" applyBorder="1" applyAlignment="1">
      <alignment horizontal="center"/>
    </xf>
    <xf numFmtId="0" fontId="59" fillId="0" borderId="5" xfId="0" applyFont="1" applyBorder="1" applyAlignment="1">
      <alignment horizontal="center"/>
    </xf>
    <xf numFmtId="49" fontId="60" fillId="2" borderId="25" xfId="0" applyNumberFormat="1" applyFont="1" applyFill="1" applyBorder="1" applyAlignment="1">
      <alignment horizontal="center" vertical="center"/>
    </xf>
    <xf numFmtId="0" fontId="59" fillId="2" borderId="5" xfId="0" applyFont="1" applyFill="1" applyBorder="1"/>
    <xf numFmtId="1" fontId="59" fillId="2" borderId="5" xfId="0" applyNumberFormat="1" applyFont="1" applyFill="1" applyBorder="1" applyAlignment="1">
      <alignment horizontal="center"/>
    </xf>
    <xf numFmtId="164" fontId="59" fillId="2" borderId="5" xfId="0" applyNumberFormat="1" applyFont="1" applyFill="1" applyBorder="1" applyAlignment="1">
      <alignment horizontal="center" wrapText="1"/>
    </xf>
    <xf numFmtId="0" fontId="59" fillId="2" borderId="13" xfId="0" applyFont="1" applyFill="1" applyBorder="1" applyAlignment="1">
      <alignment horizontal="center"/>
    </xf>
    <xf numFmtId="0" fontId="59" fillId="0" borderId="14" xfId="0" applyFont="1" applyBorder="1" applyAlignment="1">
      <alignment horizontal="center"/>
    </xf>
    <xf numFmtId="0" fontId="59" fillId="4" borderId="9" xfId="0" applyFont="1" applyFill="1" applyBorder="1" applyAlignment="1">
      <alignment horizontal="center"/>
    </xf>
    <xf numFmtId="0" fontId="59" fillId="4" borderId="10" xfId="0" applyFont="1" applyFill="1" applyBorder="1"/>
    <xf numFmtId="0" fontId="58" fillId="4" borderId="10" xfId="0" applyFont="1" applyFill="1" applyBorder="1" applyAlignment="1">
      <alignment horizontal="center"/>
    </xf>
    <xf numFmtId="1" fontId="58" fillId="4" borderId="10" xfId="0" applyNumberFormat="1" applyFont="1" applyFill="1" applyBorder="1" applyAlignment="1">
      <alignment horizontal="center"/>
    </xf>
    <xf numFmtId="164" fontId="59" fillId="4" borderId="10" xfId="0" applyNumberFormat="1" applyFont="1" applyFill="1" applyBorder="1" applyAlignment="1">
      <alignment horizontal="center" wrapText="1"/>
    </xf>
    <xf numFmtId="0" fontId="59" fillId="4" borderId="11" xfId="0" applyFont="1" applyFill="1" applyBorder="1" applyAlignment="1">
      <alignment horizontal="center"/>
    </xf>
    <xf numFmtId="49" fontId="8" fillId="0" borderId="44" xfId="0" applyNumberFormat="1" applyFont="1" applyBorder="1" applyAlignment="1">
      <alignment horizontal="center"/>
    </xf>
    <xf numFmtId="49" fontId="8" fillId="0" borderId="14" xfId="0" applyNumberFormat="1" applyFont="1" applyBorder="1"/>
    <xf numFmtId="0" fontId="56" fillId="2" borderId="26" xfId="4" applyFont="1" applyFill="1" applyBorder="1" applyAlignment="1">
      <alignment horizontal="right"/>
    </xf>
    <xf numFmtId="0" fontId="0" fillId="0" borderId="0" xfId="0" applyAlignment="1">
      <alignment horizontal="center"/>
    </xf>
    <xf numFmtId="16" fontId="8" fillId="6" borderId="6" xfId="5" applyNumberFormat="1" applyFont="1" applyFill="1" applyBorder="1" applyAlignment="1">
      <alignment horizontal="center"/>
    </xf>
    <xf numFmtId="1" fontId="8" fillId="6" borderId="6" xfId="5" applyNumberFormat="1" applyFont="1" applyFill="1" applyBorder="1" applyAlignment="1">
      <alignment horizontal="center"/>
    </xf>
    <xf numFmtId="0" fontId="3" fillId="0" borderId="41" xfId="5" applyFont="1" applyBorder="1" applyAlignment="1">
      <alignment horizontal="left"/>
    </xf>
    <xf numFmtId="0" fontId="3" fillId="0" borderId="26" xfId="5" applyFont="1" applyBorder="1" applyAlignment="1">
      <alignment horizontal="left"/>
    </xf>
    <xf numFmtId="0" fontId="3" fillId="0" borderId="27" xfId="5" applyFont="1" applyBorder="1" applyAlignment="1">
      <alignment horizontal="left"/>
    </xf>
    <xf numFmtId="0" fontId="10" fillId="4" borderId="33" xfId="5" applyFont="1" applyFill="1" applyBorder="1" applyAlignment="1">
      <alignment horizontal="left"/>
    </xf>
    <xf numFmtId="0" fontId="10" fillId="4" borderId="34" xfId="5" applyFont="1" applyFill="1" applyBorder="1" applyAlignment="1">
      <alignment horizontal="left"/>
    </xf>
    <xf numFmtId="0" fontId="10" fillId="4" borderId="35" xfId="5" applyFont="1" applyFill="1" applyBorder="1" applyAlignment="1">
      <alignment horizontal="left"/>
    </xf>
    <xf numFmtId="0" fontId="8" fillId="0" borderId="44" xfId="5" applyFont="1" applyBorder="1" applyAlignment="1">
      <alignment horizontal="left" wrapText="1"/>
    </xf>
    <xf numFmtId="0" fontId="8" fillId="0" borderId="14" xfId="5" applyFont="1" applyBorder="1" applyAlignment="1">
      <alignment horizontal="left" wrapText="1"/>
    </xf>
    <xf numFmtId="0" fontId="8" fillId="0" borderId="29" xfId="5" applyFont="1" applyBorder="1" applyAlignment="1">
      <alignment horizontal="left" wrapText="1"/>
    </xf>
    <xf numFmtId="0" fontId="8" fillId="0" borderId="30" xfId="5" applyFont="1" applyBorder="1" applyAlignment="1">
      <alignment horizontal="left"/>
    </xf>
    <xf numFmtId="0" fontId="8" fillId="0" borderId="21" xfId="5" applyFont="1" applyBorder="1" applyAlignment="1">
      <alignment horizontal="left"/>
    </xf>
    <xf numFmtId="0" fontId="8" fillId="0" borderId="40" xfId="5" applyFont="1" applyBorder="1" applyAlignment="1">
      <alignment horizontal="left"/>
    </xf>
    <xf numFmtId="0" fontId="8" fillId="0" borderId="41" xfId="5" applyFont="1" applyBorder="1" applyAlignment="1">
      <alignment horizontal="left"/>
    </xf>
    <xf numFmtId="0" fontId="8" fillId="0" borderId="26" xfId="5" applyFont="1" applyBorder="1" applyAlignment="1">
      <alignment horizontal="left"/>
    </xf>
    <xf numFmtId="0" fontId="8" fillId="0" borderId="27" xfId="5" applyFont="1" applyBorder="1" applyAlignment="1">
      <alignment horizontal="left"/>
    </xf>
    <xf numFmtId="0" fontId="5" fillId="8" borderId="25" xfId="5" applyFont="1" applyFill="1" applyBorder="1" applyAlignment="1">
      <alignment horizontal="left"/>
    </xf>
    <xf numFmtId="0" fontId="5" fillId="8" borderId="5" xfId="5" applyFont="1" applyFill="1" applyBorder="1" applyAlignment="1">
      <alignment horizontal="left"/>
    </xf>
    <xf numFmtId="0" fontId="5" fillId="8" borderId="13" xfId="5" applyFont="1" applyFill="1" applyBorder="1" applyAlignment="1">
      <alignment horizontal="left"/>
    </xf>
    <xf numFmtId="0" fontId="3" fillId="0" borderId="24" xfId="5" applyFont="1" applyBorder="1" applyAlignment="1">
      <alignment horizontal="left"/>
    </xf>
    <xf numFmtId="0" fontId="3" fillId="0" borderId="2" xfId="5" applyFont="1" applyBorder="1" applyAlignment="1">
      <alignment horizontal="left"/>
    </xf>
    <xf numFmtId="0" fontId="3" fillId="0" borderId="3" xfId="5" applyFont="1" applyBorder="1" applyAlignment="1">
      <alignment horizontal="left"/>
    </xf>
    <xf numFmtId="0" fontId="10" fillId="0" borderId="41" xfId="5" applyFont="1" applyBorder="1" applyAlignment="1">
      <alignment horizontal="right"/>
    </xf>
    <xf numFmtId="0" fontId="10" fillId="0" borderId="26" xfId="5" applyFont="1" applyBorder="1" applyAlignment="1">
      <alignment horizontal="right"/>
    </xf>
    <xf numFmtId="0" fontId="8" fillId="0" borderId="26" xfId="5" applyFont="1" applyBorder="1" applyAlignment="1">
      <alignment horizontal="right"/>
    </xf>
    <xf numFmtId="164" fontId="8" fillId="0" borderId="42" xfId="5" applyNumberFormat="1" applyFont="1" applyBorder="1" applyAlignment="1">
      <alignment horizontal="center"/>
    </xf>
    <xf numFmtId="164" fontId="8" fillId="0" borderId="43" xfId="5" applyNumberFormat="1" applyFont="1" applyBorder="1" applyAlignment="1">
      <alignment horizontal="center"/>
    </xf>
    <xf numFmtId="0" fontId="3" fillId="0" borderId="28" xfId="5" applyFont="1" applyBorder="1" applyAlignment="1">
      <alignment horizontal="left"/>
    </xf>
    <xf numFmtId="0" fontId="3" fillId="0" borderId="6" xfId="5" applyFont="1" applyBorder="1" applyAlignment="1">
      <alignment horizontal="left"/>
    </xf>
    <xf numFmtId="0" fontId="3" fillId="0" borderId="7" xfId="5" applyFont="1" applyBorder="1" applyAlignment="1">
      <alignment horizontal="left"/>
    </xf>
    <xf numFmtId="0" fontId="62" fillId="7" borderId="6" xfId="0" applyFont="1" applyFill="1" applyBorder="1" applyAlignment="1">
      <alignment horizontal="center"/>
    </xf>
    <xf numFmtId="0" fontId="10" fillId="0" borderId="36" xfId="5" applyFont="1" applyBorder="1" applyAlignment="1">
      <alignment horizontal="right"/>
    </xf>
    <xf numFmtId="0" fontId="10" fillId="0" borderId="37" xfId="5" applyFont="1" applyBorder="1" applyAlignment="1">
      <alignment horizontal="right"/>
    </xf>
    <xf numFmtId="164" fontId="8" fillId="0" borderId="14" xfId="5" applyNumberFormat="1" applyFont="1" applyBorder="1" applyAlignment="1">
      <alignment horizontal="right"/>
    </xf>
    <xf numFmtId="0" fontId="8" fillId="2" borderId="38" xfId="5" applyFont="1" applyFill="1" applyBorder="1" applyAlignment="1">
      <alignment horizontal="center"/>
    </xf>
    <xf numFmtId="0" fontId="8" fillId="2" borderId="39" xfId="5" applyFont="1" applyFill="1" applyBorder="1" applyAlignment="1">
      <alignment horizontal="center"/>
    </xf>
    <xf numFmtId="0" fontId="10" fillId="0" borderId="30" xfId="5" applyFont="1" applyBorder="1" applyAlignment="1">
      <alignment horizontal="right"/>
    </xf>
    <xf numFmtId="0" fontId="10" fillId="0" borderId="22" xfId="5" applyFont="1" applyBorder="1" applyAlignment="1">
      <alignment horizontal="right"/>
    </xf>
    <xf numFmtId="164" fontId="8" fillId="0" borderId="20" xfId="5" applyNumberFormat="1" applyFont="1" applyBorder="1" applyAlignment="1">
      <alignment horizontal="right" wrapText="1"/>
    </xf>
    <xf numFmtId="164" fontId="8" fillId="0" borderId="22" xfId="5" applyNumberFormat="1" applyFont="1" applyBorder="1" applyAlignment="1">
      <alignment horizontal="right" wrapText="1"/>
    </xf>
    <xf numFmtId="164" fontId="8" fillId="0" borderId="20" xfId="5" applyNumberFormat="1" applyFont="1" applyBorder="1" applyAlignment="1">
      <alignment horizontal="center"/>
    </xf>
    <xf numFmtId="164" fontId="8" fillId="0" borderId="40" xfId="5" applyNumberFormat="1" applyFont="1" applyBorder="1" applyAlignment="1">
      <alignment horizontal="center"/>
    </xf>
    <xf numFmtId="0" fontId="8" fillId="0" borderId="6" xfId="5" applyFont="1" applyBorder="1" applyAlignment="1">
      <alignment horizontal="right"/>
    </xf>
    <xf numFmtId="14" fontId="3" fillId="2" borderId="13" xfId="4" applyNumberFormat="1" applyFont="1" applyFill="1" applyBorder="1" applyAlignment="1">
      <alignment horizontal="center" vertical="center" wrapText="1"/>
    </xf>
    <xf numFmtId="14" fontId="3" fillId="2" borderId="19" xfId="4" applyNumberFormat="1" applyFont="1" applyFill="1" applyBorder="1" applyAlignment="1">
      <alignment horizontal="center" vertical="center" wrapText="1"/>
    </xf>
    <xf numFmtId="0" fontId="3" fillId="2" borderId="15" xfId="4" applyFont="1" applyFill="1" applyBorder="1" applyAlignment="1">
      <alignment horizontal="left"/>
    </xf>
    <xf numFmtId="0" fontId="3" fillId="2" borderId="16" xfId="4" applyFont="1" applyFill="1" applyBorder="1" applyAlignment="1">
      <alignment horizontal="left"/>
    </xf>
    <xf numFmtId="0" fontId="3" fillId="2" borderId="17" xfId="4" applyFont="1" applyFill="1" applyBorder="1" applyAlignment="1">
      <alignment horizontal="left"/>
    </xf>
    <xf numFmtId="0" fontId="3" fillId="2" borderId="20" xfId="4" applyFont="1" applyFill="1" applyBorder="1" applyAlignment="1">
      <alignment horizontal="left"/>
    </xf>
    <xf numFmtId="0" fontId="3" fillId="2" borderId="21" xfId="4" applyFont="1" applyFill="1" applyBorder="1" applyAlignment="1">
      <alignment horizontal="left"/>
    </xf>
    <xf numFmtId="0" fontId="3" fillId="2" borderId="22" xfId="4" applyFont="1" applyFill="1" applyBorder="1" applyAlignment="1">
      <alignment horizontal="left"/>
    </xf>
    <xf numFmtId="0" fontId="5" fillId="4" borderId="24" xfId="5" applyFont="1" applyFill="1" applyBorder="1" applyAlignment="1">
      <alignment horizontal="center" vertical="center"/>
    </xf>
    <xf numFmtId="0" fontId="5" fillId="4" borderId="25" xfId="5" applyFont="1" applyFill="1" applyBorder="1" applyAlignment="1">
      <alignment horizontal="center" vertical="center"/>
    </xf>
    <xf numFmtId="0" fontId="5" fillId="4" borderId="2" xfId="5" applyFont="1" applyFill="1" applyBorder="1" applyAlignment="1">
      <alignment horizontal="center" vertical="center"/>
    </xf>
    <xf numFmtId="0" fontId="5" fillId="4" borderId="5" xfId="5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/>
    </xf>
    <xf numFmtId="0" fontId="3" fillId="2" borderId="4" xfId="4" applyFont="1" applyFill="1" applyBorder="1" applyAlignment="1">
      <alignment horizontal="center"/>
    </xf>
    <xf numFmtId="0" fontId="3" fillId="2" borderId="8" xfId="4" applyFont="1" applyFill="1" applyBorder="1" applyAlignment="1">
      <alignment horizontal="center"/>
    </xf>
    <xf numFmtId="0" fontId="4" fillId="2" borderId="2" xfId="4" applyFont="1" applyFill="1" applyBorder="1" applyAlignment="1">
      <alignment horizontal="center"/>
    </xf>
    <xf numFmtId="0" fontId="4" fillId="2" borderId="5" xfId="4" applyFont="1" applyFill="1" applyBorder="1" applyAlignment="1">
      <alignment horizontal="center"/>
    </xf>
    <xf numFmtId="0" fontId="6" fillId="3" borderId="9" xfId="4" applyFont="1" applyFill="1" applyBorder="1" applyAlignment="1">
      <alignment horizontal="center"/>
    </xf>
    <xf numFmtId="0" fontId="6" fillId="3" borderId="10" xfId="4" applyFont="1" applyFill="1" applyBorder="1" applyAlignment="1">
      <alignment horizontal="center"/>
    </xf>
    <xf numFmtId="0" fontId="6" fillId="3" borderId="11" xfId="4" applyFont="1" applyFill="1" applyBorder="1" applyAlignment="1">
      <alignment horizontal="center"/>
    </xf>
    <xf numFmtId="0" fontId="5" fillId="2" borderId="12" xfId="4" applyFont="1" applyFill="1" applyBorder="1" applyAlignment="1">
      <alignment horizontal="right" vertical="top" wrapText="1"/>
    </xf>
    <xf numFmtId="0" fontId="5" fillId="2" borderId="18" xfId="4" applyFont="1" applyFill="1" applyBorder="1" applyAlignment="1">
      <alignment horizontal="right" vertical="top" wrapText="1"/>
    </xf>
    <xf numFmtId="0" fontId="5" fillId="2" borderId="23" xfId="4" applyFont="1" applyFill="1" applyBorder="1" applyAlignment="1">
      <alignment horizontal="right" vertical="top" wrapText="1"/>
    </xf>
    <xf numFmtId="14" fontId="3" fillId="2" borderId="29" xfId="4" applyNumberFormat="1" applyFont="1" applyFill="1" applyBorder="1" applyAlignment="1">
      <alignment horizontal="center" vertical="center" wrapText="1"/>
    </xf>
    <xf numFmtId="0" fontId="3" fillId="2" borderId="48" xfId="4" applyFont="1" applyFill="1" applyBorder="1" applyAlignment="1">
      <alignment horizontal="center"/>
    </xf>
    <xf numFmtId="0" fontId="3" fillId="2" borderId="49" xfId="4" applyFont="1" applyFill="1" applyBorder="1" applyAlignment="1">
      <alignment horizontal="center"/>
    </xf>
    <xf numFmtId="0" fontId="3" fillId="2" borderId="0" xfId="4" applyFont="1" applyFill="1" applyAlignment="1">
      <alignment horizontal="center"/>
    </xf>
    <xf numFmtId="0" fontId="3" fillId="2" borderId="36" xfId="4" applyFont="1" applyFill="1" applyBorder="1" applyAlignment="1">
      <alignment horizontal="center"/>
    </xf>
    <xf numFmtId="0" fontId="3" fillId="2" borderId="52" xfId="4" applyFont="1" applyFill="1" applyBorder="1" applyAlignment="1">
      <alignment horizontal="center"/>
    </xf>
    <xf numFmtId="0" fontId="4" fillId="2" borderId="42" xfId="4" applyFont="1" applyFill="1" applyBorder="1" applyAlignment="1">
      <alignment horizontal="center"/>
    </xf>
    <xf numFmtId="0" fontId="4" fillId="2" borderId="54" xfId="4" applyFont="1" applyFill="1" applyBorder="1" applyAlignment="1">
      <alignment horizontal="center"/>
    </xf>
    <xf numFmtId="0" fontId="4" fillId="2" borderId="57" xfId="4" applyFont="1" applyFill="1" applyBorder="1" applyAlignment="1">
      <alignment horizontal="center"/>
    </xf>
    <xf numFmtId="0" fontId="57" fillId="2" borderId="0" xfId="11" applyFont="1" applyFill="1" applyAlignment="1">
      <alignment horizontal="right"/>
    </xf>
    <xf numFmtId="0" fontId="57" fillId="2" borderId="0" xfId="11" applyFont="1" applyFill="1"/>
    <xf numFmtId="0" fontId="5" fillId="4" borderId="41" xfId="5" applyFont="1" applyFill="1" applyBorder="1" applyAlignment="1">
      <alignment horizontal="center" vertical="center"/>
    </xf>
    <xf numFmtId="0" fontId="5" fillId="4" borderId="24" xfId="5" applyFont="1" applyFill="1" applyBorder="1" applyAlignment="1">
      <alignment horizontal="center" vertical="center" wrapText="1"/>
    </xf>
    <xf numFmtId="0" fontId="5" fillId="4" borderId="41" xfId="5" applyFont="1" applyFill="1" applyBorder="1" applyAlignment="1">
      <alignment horizontal="center" vertical="center" wrapText="1"/>
    </xf>
    <xf numFmtId="0" fontId="5" fillId="4" borderId="26" xfId="5" applyFont="1" applyFill="1" applyBorder="1" applyAlignment="1">
      <alignment horizontal="center" vertical="center"/>
    </xf>
    <xf numFmtId="0" fontId="5" fillId="0" borderId="36" xfId="5" applyFont="1" applyBorder="1" applyAlignment="1">
      <alignment horizontal="right"/>
    </xf>
    <xf numFmtId="0" fontId="5" fillId="0" borderId="37" xfId="5" applyFont="1" applyBorder="1" applyAlignment="1">
      <alignment horizontal="right"/>
    </xf>
    <xf numFmtId="164" fontId="3" fillId="0" borderId="14" xfId="5" applyNumberFormat="1" applyFont="1" applyBorder="1" applyAlignment="1">
      <alignment horizontal="right"/>
    </xf>
    <xf numFmtId="0" fontId="3" fillId="2" borderId="38" xfId="5" applyFont="1" applyFill="1" applyBorder="1" applyAlignment="1">
      <alignment horizontal="center"/>
    </xf>
    <xf numFmtId="0" fontId="3" fillId="2" borderId="39" xfId="5" applyFont="1" applyFill="1" applyBorder="1" applyAlignment="1">
      <alignment horizontal="center"/>
    </xf>
    <xf numFmtId="0" fontId="5" fillId="0" borderId="30" xfId="5" applyFont="1" applyBorder="1" applyAlignment="1">
      <alignment horizontal="right"/>
    </xf>
    <xf numFmtId="0" fontId="5" fillId="0" borderId="22" xfId="5" applyFont="1" applyBorder="1" applyAlignment="1">
      <alignment horizontal="right"/>
    </xf>
    <xf numFmtId="0" fontId="3" fillId="0" borderId="6" xfId="5" applyFont="1" applyBorder="1" applyAlignment="1">
      <alignment horizontal="right"/>
    </xf>
    <xf numFmtId="164" fontId="3" fillId="0" borderId="20" xfId="5" applyNumberFormat="1" applyFont="1" applyBorder="1" applyAlignment="1">
      <alignment horizontal="center"/>
    </xf>
    <xf numFmtId="164" fontId="3" fillId="0" borderId="40" xfId="5" applyNumberFormat="1" applyFont="1" applyBorder="1" applyAlignment="1">
      <alignment horizontal="center"/>
    </xf>
    <xf numFmtId="164" fontId="3" fillId="0" borderId="20" xfId="5" applyNumberFormat="1" applyFont="1" applyBorder="1" applyAlignment="1">
      <alignment horizontal="right" wrapText="1"/>
    </xf>
    <xf numFmtId="164" fontId="3" fillId="0" borderId="22" xfId="5" applyNumberFormat="1" applyFont="1" applyBorder="1" applyAlignment="1">
      <alignment horizontal="right" wrapText="1"/>
    </xf>
    <xf numFmtId="0" fontId="5" fillId="0" borderId="41" xfId="5" applyFont="1" applyBorder="1" applyAlignment="1">
      <alignment horizontal="right"/>
    </xf>
    <xf numFmtId="0" fontId="5" fillId="0" borderId="26" xfId="5" applyFont="1" applyBorder="1" applyAlignment="1">
      <alignment horizontal="right"/>
    </xf>
    <xf numFmtId="0" fontId="3" fillId="0" borderId="26" xfId="5" applyFont="1" applyBorder="1" applyAlignment="1">
      <alignment horizontal="right"/>
    </xf>
    <xf numFmtId="0" fontId="5" fillId="4" borderId="33" xfId="5" applyFont="1" applyFill="1" applyBorder="1" applyAlignment="1">
      <alignment horizontal="left"/>
    </xf>
    <xf numFmtId="0" fontId="5" fillId="4" borderId="34" xfId="5" applyFont="1" applyFill="1" applyBorder="1" applyAlignment="1">
      <alignment horizontal="left"/>
    </xf>
    <xf numFmtId="0" fontId="5" fillId="4" borderId="35" xfId="5" applyFont="1" applyFill="1" applyBorder="1" applyAlignment="1">
      <alignment horizontal="left"/>
    </xf>
    <xf numFmtId="0" fontId="21" fillId="0" borderId="0" xfId="0" applyFont="1" applyAlignment="1">
      <alignment horizontal="center" vertical="center"/>
    </xf>
    <xf numFmtId="0" fontId="38" fillId="0" borderId="33" xfId="0" applyFont="1" applyBorder="1" applyAlignment="1">
      <alignment horizontal="right" vertical="center"/>
    </xf>
    <xf numFmtId="0" fontId="38" fillId="0" borderId="34" xfId="0" applyFont="1" applyBorder="1" applyAlignment="1">
      <alignment horizontal="right" vertical="center"/>
    </xf>
    <xf numFmtId="0" fontId="38" fillId="0" borderId="35" xfId="0" applyFont="1" applyBorder="1" applyAlignment="1">
      <alignment horizontal="right" vertical="center"/>
    </xf>
    <xf numFmtId="0" fontId="39" fillId="0" borderId="0" xfId="0" applyFont="1" applyAlignment="1">
      <alignment horizontal="right"/>
    </xf>
    <xf numFmtId="0" fontId="29" fillId="0" borderId="45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7" fillId="10" borderId="33" xfId="0" applyFont="1" applyFill="1" applyBorder="1" applyAlignment="1">
      <alignment horizontal="right"/>
    </xf>
    <xf numFmtId="0" fontId="27" fillId="10" borderId="34" xfId="0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13" fillId="0" borderId="45" xfId="0" applyFont="1" applyBorder="1" applyAlignment="1">
      <alignment horizontal="right" vertical="center"/>
    </xf>
    <xf numFmtId="0" fontId="13" fillId="0" borderId="51" xfId="0" applyFont="1" applyBorder="1" applyAlignment="1">
      <alignment horizontal="right" vertical="center"/>
    </xf>
    <xf numFmtId="0" fontId="13" fillId="12" borderId="33" xfId="0" applyFont="1" applyFill="1" applyBorder="1" applyAlignment="1">
      <alignment horizontal="right" vertical="center"/>
    </xf>
    <xf numFmtId="0" fontId="13" fillId="12" borderId="34" xfId="0" applyFont="1" applyFill="1" applyBorder="1" applyAlignment="1">
      <alignment horizontal="right" vertical="center"/>
    </xf>
    <xf numFmtId="0" fontId="13" fillId="12" borderId="35" xfId="0" applyFont="1" applyFill="1" applyBorder="1" applyAlignment="1">
      <alignment horizontal="right" vertical="center"/>
    </xf>
    <xf numFmtId="4" fontId="36" fillId="0" borderId="0" xfId="2" applyNumberFormat="1" applyFont="1" applyFill="1" applyAlignment="1">
      <alignment horizontal="center" vertical="center" wrapText="1"/>
    </xf>
    <xf numFmtId="0" fontId="30" fillId="0" borderId="6" xfId="0" applyFont="1" applyBorder="1" applyAlignment="1">
      <alignment horizontal="right" vertical="center"/>
    </xf>
    <xf numFmtId="0" fontId="31" fillId="0" borderId="8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32" xfId="0" applyFont="1" applyBorder="1" applyAlignment="1">
      <alignment horizontal="righ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2" fillId="0" borderId="48" xfId="0" applyFont="1" applyBorder="1" applyAlignment="1">
      <alignment horizontal="right"/>
    </xf>
    <xf numFmtId="0" fontId="22" fillId="0" borderId="49" xfId="0" applyFont="1" applyBorder="1" applyAlignment="1">
      <alignment horizontal="right"/>
    </xf>
    <xf numFmtId="0" fontId="12" fillId="0" borderId="6" xfId="0" applyFont="1" applyBorder="1" applyAlignment="1">
      <alignment horizontal="right" vertical="center"/>
    </xf>
    <xf numFmtId="0" fontId="22" fillId="0" borderId="0" xfId="0" applyFont="1" applyAlignment="1">
      <alignment horizontal="right"/>
    </xf>
    <xf numFmtId="0" fontId="16" fillId="0" borderId="45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right" vertical="center" wrapText="1"/>
    </xf>
    <xf numFmtId="0" fontId="59" fillId="0" borderId="44" xfId="0" applyFont="1" applyBorder="1" applyAlignment="1">
      <alignment horizontal="right"/>
    </xf>
    <xf numFmtId="0" fontId="59" fillId="0" borderId="14" xfId="0" applyFont="1" applyBorder="1" applyAlignment="1">
      <alignment horizontal="right"/>
    </xf>
    <xf numFmtId="164" fontId="59" fillId="0" borderId="14" xfId="0" applyNumberFormat="1" applyFont="1" applyBorder="1" applyAlignment="1">
      <alignment horizontal="right"/>
    </xf>
    <xf numFmtId="0" fontId="60" fillId="2" borderId="28" xfId="0" applyFont="1" applyFill="1" applyBorder="1" applyAlignment="1">
      <alignment vertical="center"/>
    </xf>
    <xf numFmtId="0" fontId="60" fillId="2" borderId="6" xfId="0" applyFont="1" applyFill="1" applyBorder="1" applyAlignment="1">
      <alignment vertical="center"/>
    </xf>
    <xf numFmtId="0" fontId="60" fillId="2" borderId="7" xfId="0" applyFont="1" applyFill="1" applyBorder="1" applyAlignment="1">
      <alignment vertical="center"/>
    </xf>
    <xf numFmtId="0" fontId="59" fillId="0" borderId="28" xfId="0" applyFont="1" applyBorder="1" applyAlignment="1">
      <alignment horizontal="right"/>
    </xf>
    <xf numFmtId="0" fontId="59" fillId="0" borderId="6" xfId="0" applyFont="1" applyBorder="1" applyAlignment="1">
      <alignment horizontal="right"/>
    </xf>
    <xf numFmtId="164" fontId="59" fillId="0" borderId="6" xfId="0" applyNumberFormat="1" applyFont="1" applyBorder="1" applyAlignment="1">
      <alignment horizontal="right" wrapText="1"/>
    </xf>
    <xf numFmtId="164" fontId="59" fillId="0" borderId="6" xfId="0" applyNumberFormat="1" applyFont="1" applyBorder="1" applyAlignment="1">
      <alignment horizontal="center"/>
    </xf>
    <xf numFmtId="164" fontId="59" fillId="0" borderId="7" xfId="0" applyNumberFormat="1" applyFont="1" applyBorder="1" applyAlignment="1">
      <alignment horizontal="center"/>
    </xf>
    <xf numFmtId="0" fontId="58" fillId="0" borderId="53" xfId="0" applyFont="1" applyBorder="1" applyAlignment="1">
      <alignment horizontal="left"/>
    </xf>
    <xf numFmtId="0" fontId="58" fillId="0" borderId="54" xfId="0" applyFont="1" applyBorder="1" applyAlignment="1">
      <alignment horizontal="left"/>
    </xf>
    <xf numFmtId="0" fontId="58" fillId="0" borderId="43" xfId="0" applyFont="1" applyBorder="1" applyAlignment="1">
      <alignment horizontal="left"/>
    </xf>
    <xf numFmtId="0" fontId="58" fillId="14" borderId="9" xfId="0" applyFont="1" applyFill="1" applyBorder="1" applyAlignment="1">
      <alignment horizontal="left"/>
    </xf>
    <xf numFmtId="0" fontId="58" fillId="14" borderId="10" xfId="0" applyFont="1" applyFill="1" applyBorder="1" applyAlignment="1">
      <alignment horizontal="left"/>
    </xf>
    <xf numFmtId="0" fontId="58" fillId="14" borderId="11" xfId="0" applyFont="1" applyFill="1" applyBorder="1" applyAlignment="1">
      <alignment horizontal="left"/>
    </xf>
    <xf numFmtId="0" fontId="59" fillId="0" borderId="25" xfId="0" applyFont="1" applyBorder="1" applyAlignment="1">
      <alignment horizontal="right"/>
    </xf>
    <xf numFmtId="0" fontId="59" fillId="0" borderId="5" xfId="0" applyFont="1" applyBorder="1" applyAlignment="1">
      <alignment horizontal="right"/>
    </xf>
    <xf numFmtId="164" fontId="59" fillId="0" borderId="5" xfId="0" applyNumberFormat="1" applyFont="1" applyBorder="1" applyAlignment="1">
      <alignment horizontal="center"/>
    </xf>
    <xf numFmtId="164" fontId="59" fillId="0" borderId="13" xfId="0" applyNumberFormat="1" applyFont="1" applyBorder="1" applyAlignment="1">
      <alignment horizontal="center"/>
    </xf>
    <xf numFmtId="0" fontId="58" fillId="4" borderId="9" xfId="0" applyFont="1" applyFill="1" applyBorder="1" applyAlignment="1">
      <alignment horizontal="left"/>
    </xf>
    <xf numFmtId="0" fontId="58" fillId="4" borderId="10" xfId="0" applyFont="1" applyFill="1" applyBorder="1" applyAlignment="1">
      <alignment horizontal="left"/>
    </xf>
    <xf numFmtId="0" fontId="58" fillId="4" borderId="11" xfId="0" applyFont="1" applyFill="1" applyBorder="1" applyAlignment="1">
      <alignment horizontal="left"/>
    </xf>
    <xf numFmtId="0" fontId="58" fillId="0" borderId="44" xfId="0" applyFont="1" applyBorder="1" applyAlignment="1">
      <alignment horizontal="left" wrapText="1"/>
    </xf>
    <xf numFmtId="0" fontId="58" fillId="0" borderId="14" xfId="0" applyFont="1" applyBorder="1" applyAlignment="1">
      <alignment horizontal="left" wrapText="1"/>
    </xf>
    <xf numFmtId="0" fontId="58" fillId="0" borderId="29" xfId="0" applyFont="1" applyBorder="1" applyAlignment="1">
      <alignment horizontal="left" wrapText="1"/>
    </xf>
    <xf numFmtId="0" fontId="58" fillId="0" borderId="28" xfId="0" applyFont="1" applyBorder="1" applyAlignment="1">
      <alignment horizontal="left"/>
    </xf>
    <xf numFmtId="0" fontId="58" fillId="0" borderId="6" xfId="0" applyFont="1" applyBorder="1" applyAlignment="1">
      <alignment horizontal="left"/>
    </xf>
    <xf numFmtId="0" fontId="58" fillId="0" borderId="7" xfId="0" applyFont="1" applyBorder="1" applyAlignment="1">
      <alignment horizontal="left"/>
    </xf>
    <xf numFmtId="0" fontId="59" fillId="0" borderId="44" xfId="0" applyFont="1" applyBorder="1" applyAlignment="1">
      <alignment horizontal="left"/>
    </xf>
    <xf numFmtId="0" fontId="59" fillId="0" borderId="14" xfId="0" applyFont="1" applyBorder="1" applyAlignment="1">
      <alignment horizontal="left"/>
    </xf>
    <xf numFmtId="0" fontId="59" fillId="0" borderId="29" xfId="0" applyFont="1" applyBorder="1" applyAlignment="1">
      <alignment horizontal="left"/>
    </xf>
    <xf numFmtId="0" fontId="60" fillId="2" borderId="41" xfId="0" applyFont="1" applyFill="1" applyBorder="1" applyAlignment="1">
      <alignment vertical="center"/>
    </xf>
    <xf numFmtId="0" fontId="60" fillId="2" borderId="26" xfId="0" applyFont="1" applyFill="1" applyBorder="1" applyAlignment="1">
      <alignment vertical="center"/>
    </xf>
    <xf numFmtId="0" fontId="60" fillId="2" borderId="27" xfId="0" applyFont="1" applyFill="1" applyBorder="1" applyAlignment="1">
      <alignment vertical="center"/>
    </xf>
    <xf numFmtId="0" fontId="59" fillId="2" borderId="14" xfId="0" applyFont="1" applyFill="1" applyBorder="1" applyAlignment="1">
      <alignment horizontal="center"/>
    </xf>
    <xf numFmtId="0" fontId="59" fillId="2" borderId="29" xfId="0" applyFont="1" applyFill="1" applyBorder="1" applyAlignment="1">
      <alignment horizontal="center"/>
    </xf>
    <xf numFmtId="14" fontId="56" fillId="2" borderId="7" xfId="4" applyNumberFormat="1" applyFont="1" applyFill="1" applyBorder="1" applyAlignment="1">
      <alignment horizontal="center" vertical="center" wrapText="1"/>
    </xf>
    <xf numFmtId="14" fontId="56" fillId="2" borderId="27" xfId="4" applyNumberFormat="1" applyFont="1" applyFill="1" applyBorder="1" applyAlignment="1">
      <alignment horizontal="center" vertical="center" wrapText="1"/>
    </xf>
    <xf numFmtId="0" fontId="56" fillId="2" borderId="14" xfId="4" applyFont="1" applyFill="1" applyBorder="1" applyAlignment="1">
      <alignment horizontal="left"/>
    </xf>
    <xf numFmtId="0" fontId="56" fillId="2" borderId="26" xfId="4" applyFont="1" applyFill="1" applyBorder="1" applyAlignment="1">
      <alignment horizontal="left"/>
    </xf>
    <xf numFmtId="0" fontId="58" fillId="4" borderId="24" xfId="0" applyFont="1" applyFill="1" applyBorder="1" applyAlignment="1">
      <alignment horizontal="center" vertical="center"/>
    </xf>
    <xf numFmtId="0" fontId="58" fillId="4" borderId="41" xfId="0" applyFont="1" applyFill="1" applyBorder="1" applyAlignment="1">
      <alignment horizontal="center" vertical="center"/>
    </xf>
    <xf numFmtId="0" fontId="58" fillId="4" borderId="2" xfId="0" applyFont="1" applyFill="1" applyBorder="1" applyAlignment="1">
      <alignment horizontal="center" vertical="center"/>
    </xf>
    <xf numFmtId="0" fontId="58" fillId="4" borderId="26" xfId="0" applyFont="1" applyFill="1" applyBorder="1" applyAlignment="1">
      <alignment horizontal="center" vertical="center"/>
    </xf>
    <xf numFmtId="0" fontId="56" fillId="2" borderId="24" xfId="4" applyFont="1" applyFill="1" applyBorder="1" applyAlignment="1">
      <alignment horizontal="center"/>
    </xf>
    <xf numFmtId="0" fontId="56" fillId="2" borderId="28" xfId="4" applyFont="1" applyFill="1" applyBorder="1" applyAlignment="1">
      <alignment horizontal="center"/>
    </xf>
    <xf numFmtId="0" fontId="56" fillId="2" borderId="30" xfId="4" applyFont="1" applyFill="1" applyBorder="1" applyAlignment="1">
      <alignment horizontal="center"/>
    </xf>
    <xf numFmtId="0" fontId="56" fillId="2" borderId="41" xfId="4" applyFont="1" applyFill="1" applyBorder="1" applyAlignment="1">
      <alignment horizontal="center"/>
    </xf>
    <xf numFmtId="0" fontId="57" fillId="2" borderId="2" xfId="4" applyFont="1" applyFill="1" applyBorder="1" applyAlignment="1">
      <alignment horizontal="center"/>
    </xf>
    <xf numFmtId="0" fontId="57" fillId="2" borderId="5" xfId="4" applyFont="1" applyFill="1" applyBorder="1" applyAlignment="1">
      <alignment horizontal="center"/>
    </xf>
    <xf numFmtId="0" fontId="55" fillId="4" borderId="9" xfId="4" applyFont="1" applyFill="1" applyBorder="1" applyAlignment="1">
      <alignment horizontal="center"/>
    </xf>
    <xf numFmtId="0" fontId="55" fillId="4" borderId="10" xfId="4" applyFont="1" applyFill="1" applyBorder="1" applyAlignment="1">
      <alignment horizontal="center"/>
    </xf>
    <xf numFmtId="0" fontId="55" fillId="4" borderId="11" xfId="4" applyFont="1" applyFill="1" applyBorder="1" applyAlignment="1">
      <alignment horizontal="center"/>
    </xf>
    <xf numFmtId="0" fontId="56" fillId="2" borderId="22" xfId="4" applyFont="1" applyFill="1" applyBorder="1" applyAlignment="1">
      <alignment horizontal="right" vertical="top" wrapText="1"/>
    </xf>
    <xf numFmtId="0" fontId="56" fillId="2" borderId="6" xfId="4" applyFont="1" applyFill="1" applyBorder="1" applyAlignment="1">
      <alignment horizontal="right" vertical="top" wrapText="1"/>
    </xf>
    <xf numFmtId="0" fontId="56" fillId="2" borderId="26" xfId="4" applyFont="1" applyFill="1" applyBorder="1" applyAlignment="1">
      <alignment horizontal="right" vertical="top" wrapText="1"/>
    </xf>
    <xf numFmtId="0" fontId="48" fillId="0" borderId="41" xfId="0" applyFont="1" applyBorder="1" applyAlignment="1">
      <alignment horizontal="left"/>
    </xf>
    <xf numFmtId="0" fontId="48" fillId="0" borderId="26" xfId="0" applyFont="1" applyBorder="1" applyAlignment="1">
      <alignment horizontal="left"/>
    </xf>
    <xf numFmtId="0" fontId="48" fillId="0" borderId="27" xfId="0" applyFont="1" applyBorder="1" applyAlignment="1">
      <alignment horizontal="left"/>
    </xf>
    <xf numFmtId="0" fontId="48" fillId="0" borderId="30" xfId="0" applyFont="1" applyBorder="1" applyAlignment="1">
      <alignment horizontal="right"/>
    </xf>
    <xf numFmtId="0" fontId="48" fillId="0" borderId="22" xfId="0" applyFont="1" applyBorder="1" applyAlignment="1">
      <alignment horizontal="right"/>
    </xf>
    <xf numFmtId="164" fontId="48" fillId="0" borderId="20" xfId="0" applyNumberFormat="1" applyFont="1" applyBorder="1" applyAlignment="1">
      <alignment horizontal="right" wrapText="1"/>
    </xf>
    <xf numFmtId="164" fontId="48" fillId="0" borderId="22" xfId="0" applyNumberFormat="1" applyFont="1" applyBorder="1" applyAlignment="1">
      <alignment horizontal="right" wrapText="1"/>
    </xf>
    <xf numFmtId="164" fontId="48" fillId="0" borderId="20" xfId="0" applyNumberFormat="1" applyFont="1" applyBorder="1" applyAlignment="1">
      <alignment horizontal="center"/>
    </xf>
    <xf numFmtId="164" fontId="48" fillId="0" borderId="40" xfId="0" applyNumberFormat="1" applyFont="1" applyBorder="1" applyAlignment="1">
      <alignment horizontal="center"/>
    </xf>
    <xf numFmtId="0" fontId="48" fillId="0" borderId="41" xfId="0" applyFont="1" applyBorder="1" applyAlignment="1">
      <alignment horizontal="right"/>
    </xf>
    <xf numFmtId="0" fontId="48" fillId="0" borderId="26" xfId="0" applyFont="1" applyBorder="1" applyAlignment="1">
      <alignment horizontal="right"/>
    </xf>
    <xf numFmtId="164" fontId="48" fillId="0" borderId="42" xfId="0" applyNumberFormat="1" applyFont="1" applyBorder="1" applyAlignment="1">
      <alignment horizontal="center"/>
    </xf>
    <xf numFmtId="164" fontId="48" fillId="0" borderId="43" xfId="0" applyNumberFormat="1" applyFont="1" applyBorder="1" applyAlignment="1">
      <alignment horizontal="center"/>
    </xf>
    <xf numFmtId="0" fontId="43" fillId="4" borderId="33" xfId="0" applyFont="1" applyFill="1" applyBorder="1" applyAlignment="1">
      <alignment horizontal="left"/>
    </xf>
    <xf numFmtId="0" fontId="43" fillId="4" borderId="34" xfId="0" applyFont="1" applyFill="1" applyBorder="1" applyAlignment="1">
      <alignment horizontal="left"/>
    </xf>
    <xf numFmtId="0" fontId="43" fillId="4" borderId="35" xfId="0" applyFont="1" applyFill="1" applyBorder="1" applyAlignment="1">
      <alignment horizontal="left"/>
    </xf>
    <xf numFmtId="0" fontId="48" fillId="0" borderId="30" xfId="0" applyFont="1" applyBorder="1" applyAlignment="1">
      <alignment horizontal="left"/>
    </xf>
    <xf numFmtId="0" fontId="48" fillId="0" borderId="21" xfId="0" applyFont="1" applyBorder="1" applyAlignment="1">
      <alignment horizontal="left"/>
    </xf>
    <xf numFmtId="0" fontId="48" fillId="0" borderId="40" xfId="0" applyFont="1" applyBorder="1" applyAlignment="1">
      <alignment horizontal="left"/>
    </xf>
    <xf numFmtId="0" fontId="48" fillId="0" borderId="30" xfId="0" applyFont="1" applyBorder="1" applyAlignment="1">
      <alignment horizontal="center"/>
    </xf>
    <xf numFmtId="0" fontId="48" fillId="0" borderId="21" xfId="0" applyFont="1" applyBorder="1" applyAlignment="1">
      <alignment horizontal="center"/>
    </xf>
    <xf numFmtId="0" fontId="48" fillId="0" borderId="40" xfId="0" applyFont="1" applyBorder="1" applyAlignment="1">
      <alignment horizontal="center"/>
    </xf>
    <xf numFmtId="0" fontId="43" fillId="0" borderId="30" xfId="0" applyFont="1" applyBorder="1" applyAlignment="1">
      <alignment horizontal="center"/>
    </xf>
    <xf numFmtId="0" fontId="43" fillId="0" borderId="21" xfId="0" applyFont="1" applyBorder="1" applyAlignment="1">
      <alignment horizontal="center"/>
    </xf>
    <xf numFmtId="0" fontId="43" fillId="0" borderId="40" xfId="0" applyFont="1" applyBorder="1" applyAlignment="1">
      <alignment horizontal="center"/>
    </xf>
    <xf numFmtId="0" fontId="48" fillId="0" borderId="6" xfId="0" applyFont="1" applyBorder="1" applyAlignment="1">
      <alignment horizontal="right"/>
    </xf>
    <xf numFmtId="0" fontId="48" fillId="0" borderId="36" xfId="0" applyFont="1" applyBorder="1" applyAlignment="1">
      <alignment horizontal="right"/>
    </xf>
    <xf numFmtId="0" fontId="48" fillId="0" borderId="37" xfId="0" applyFont="1" applyBorder="1" applyAlignment="1">
      <alignment horizontal="right"/>
    </xf>
    <xf numFmtId="164" fontId="48" fillId="0" borderId="14" xfId="0" applyNumberFormat="1" applyFont="1" applyBorder="1" applyAlignment="1">
      <alignment horizontal="right"/>
    </xf>
    <xf numFmtId="0" fontId="48" fillId="2" borderId="38" xfId="0" applyFont="1" applyFill="1" applyBorder="1" applyAlignment="1">
      <alignment horizontal="center"/>
    </xf>
    <xf numFmtId="0" fontId="48" fillId="2" borderId="39" xfId="0" applyFont="1" applyFill="1" applyBorder="1" applyAlignment="1">
      <alignment horizontal="center"/>
    </xf>
    <xf numFmtId="0" fontId="2" fillId="2" borderId="1" xfId="4" applyFill="1" applyBorder="1" applyAlignment="1">
      <alignment horizontal="center"/>
    </xf>
    <xf numFmtId="0" fontId="2" fillId="2" borderId="4" xfId="4" applyFill="1" applyBorder="1" applyAlignment="1">
      <alignment horizontal="center"/>
    </xf>
    <xf numFmtId="0" fontId="2" fillId="2" borderId="8" xfId="4" applyFill="1" applyBorder="1" applyAlignment="1">
      <alignment horizontal="center"/>
    </xf>
    <xf numFmtId="0" fontId="41" fillId="2" borderId="2" xfId="4" applyFont="1" applyFill="1" applyBorder="1" applyAlignment="1">
      <alignment horizontal="center"/>
    </xf>
    <xf numFmtId="0" fontId="41" fillId="2" borderId="5" xfId="4" applyFont="1" applyFill="1" applyBorder="1" applyAlignment="1">
      <alignment horizontal="center"/>
    </xf>
    <xf numFmtId="0" fontId="42" fillId="4" borderId="9" xfId="4" applyFont="1" applyFill="1" applyBorder="1" applyAlignment="1">
      <alignment horizontal="center"/>
    </xf>
    <xf numFmtId="0" fontId="42" fillId="4" borderId="10" xfId="4" applyFont="1" applyFill="1" applyBorder="1" applyAlignment="1">
      <alignment horizontal="center"/>
    </xf>
    <xf numFmtId="0" fontId="42" fillId="4" borderId="11" xfId="4" applyFont="1" applyFill="1" applyBorder="1" applyAlignment="1">
      <alignment horizontal="center"/>
    </xf>
    <xf numFmtId="0" fontId="8" fillId="2" borderId="12" xfId="4" applyFont="1" applyFill="1" applyBorder="1" applyAlignment="1">
      <alignment horizontal="left" vertical="top" wrapText="1"/>
    </xf>
    <xf numFmtId="0" fontId="8" fillId="2" borderId="18" xfId="4" applyFont="1" applyFill="1" applyBorder="1" applyAlignment="1">
      <alignment horizontal="left" vertical="top" wrapText="1"/>
    </xf>
    <xf numFmtId="0" fontId="8" fillId="2" borderId="23" xfId="4" applyFont="1" applyFill="1" applyBorder="1" applyAlignment="1">
      <alignment horizontal="left" vertical="top" wrapText="1"/>
    </xf>
    <xf numFmtId="14" fontId="8" fillId="2" borderId="13" xfId="4" applyNumberFormat="1" applyFont="1" applyFill="1" applyBorder="1" applyAlignment="1">
      <alignment horizontal="center" vertical="center" wrapText="1"/>
    </xf>
    <xf numFmtId="14" fontId="8" fillId="2" borderId="19" xfId="4" applyNumberFormat="1" applyFont="1" applyFill="1" applyBorder="1" applyAlignment="1">
      <alignment horizontal="center" vertical="center" wrapText="1"/>
    </xf>
    <xf numFmtId="0" fontId="2" fillId="2" borderId="15" xfId="4" applyFill="1" applyBorder="1" applyAlignment="1">
      <alignment horizontal="left"/>
    </xf>
    <xf numFmtId="0" fontId="2" fillId="2" borderId="16" xfId="4" applyFill="1" applyBorder="1" applyAlignment="1">
      <alignment horizontal="left"/>
    </xf>
    <xf numFmtId="0" fontId="2" fillId="2" borderId="17" xfId="4" applyFill="1" applyBorder="1" applyAlignment="1">
      <alignment horizontal="left"/>
    </xf>
    <xf numFmtId="0" fontId="2" fillId="2" borderId="20" xfId="4" applyFill="1" applyBorder="1" applyAlignment="1">
      <alignment horizontal="left"/>
    </xf>
    <xf numFmtId="0" fontId="2" fillId="2" borderId="21" xfId="4" applyFill="1" applyBorder="1" applyAlignment="1">
      <alignment horizontal="left"/>
    </xf>
    <xf numFmtId="0" fontId="2" fillId="2" borderId="22" xfId="4" applyFill="1" applyBorder="1" applyAlignment="1">
      <alignment horizontal="left"/>
    </xf>
    <xf numFmtId="0" fontId="43" fillId="4" borderId="24" xfId="0" applyFont="1" applyFill="1" applyBorder="1" applyAlignment="1">
      <alignment horizontal="center" vertical="center"/>
    </xf>
    <xf numFmtId="0" fontId="43" fillId="4" borderId="41" xfId="0" applyFont="1" applyFill="1" applyBorder="1" applyAlignment="1">
      <alignment horizontal="center" vertical="center"/>
    </xf>
    <xf numFmtId="0" fontId="43" fillId="4" borderId="2" xfId="0" applyFont="1" applyFill="1" applyBorder="1" applyAlignment="1">
      <alignment horizontal="center" vertical="center"/>
    </xf>
    <xf numFmtId="0" fontId="43" fillId="4" borderId="26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right"/>
    </xf>
    <xf numFmtId="0" fontId="5" fillId="0" borderId="37" xfId="0" applyFont="1" applyBorder="1" applyAlignment="1">
      <alignment horizontal="right"/>
    </xf>
    <xf numFmtId="164" fontId="3" fillId="0" borderId="14" xfId="0" applyNumberFormat="1" applyFont="1" applyBorder="1" applyAlignment="1">
      <alignment horizontal="right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1" xfId="11" applyFont="1" applyFill="1" applyBorder="1" applyAlignment="1">
      <alignment horizontal="center"/>
    </xf>
    <xf numFmtId="0" fontId="3" fillId="2" borderId="4" xfId="11" applyFont="1" applyFill="1" applyBorder="1" applyAlignment="1">
      <alignment horizontal="center"/>
    </xf>
    <xf numFmtId="0" fontId="3" fillId="2" borderId="8" xfId="11" applyFont="1" applyFill="1" applyBorder="1" applyAlignment="1">
      <alignment horizontal="center"/>
    </xf>
    <xf numFmtId="0" fontId="4" fillId="2" borderId="2" xfId="11" applyFont="1" applyFill="1" applyBorder="1" applyAlignment="1">
      <alignment horizontal="center"/>
    </xf>
    <xf numFmtId="0" fontId="4" fillId="2" borderId="5" xfId="11" applyFont="1" applyFill="1" applyBorder="1" applyAlignment="1">
      <alignment horizontal="center"/>
    </xf>
    <xf numFmtId="0" fontId="6" fillId="3" borderId="9" xfId="11" applyFont="1" applyFill="1" applyBorder="1" applyAlignment="1">
      <alignment horizontal="center" wrapText="1"/>
    </xf>
    <xf numFmtId="0" fontId="6" fillId="3" borderId="10" xfId="11" applyFont="1" applyFill="1" applyBorder="1" applyAlignment="1">
      <alignment horizontal="center" wrapText="1"/>
    </xf>
    <xf numFmtId="0" fontId="6" fillId="3" borderId="11" xfId="11" applyFont="1" applyFill="1" applyBorder="1" applyAlignment="1">
      <alignment horizontal="center" wrapText="1"/>
    </xf>
    <xf numFmtId="0" fontId="5" fillId="2" borderId="12" xfId="11" applyFont="1" applyFill="1" applyBorder="1" applyAlignment="1">
      <alignment horizontal="right" vertical="top" wrapText="1"/>
    </xf>
    <xf numFmtId="0" fontId="5" fillId="2" borderId="18" xfId="11" applyFont="1" applyFill="1" applyBorder="1" applyAlignment="1">
      <alignment horizontal="right" vertical="top" wrapText="1"/>
    </xf>
    <xf numFmtId="0" fontId="5" fillId="2" borderId="23" xfId="11" applyFont="1" applyFill="1" applyBorder="1" applyAlignment="1">
      <alignment horizontal="right" vertical="top" wrapText="1"/>
    </xf>
    <xf numFmtId="14" fontId="3" fillId="2" borderId="13" xfId="11" applyNumberFormat="1" applyFont="1" applyFill="1" applyBorder="1" applyAlignment="1">
      <alignment horizontal="center" vertical="center" wrapText="1"/>
    </xf>
    <xf numFmtId="14" fontId="3" fillId="2" borderId="19" xfId="11" applyNumberFormat="1" applyFont="1" applyFill="1" applyBorder="1" applyAlignment="1">
      <alignment horizontal="center" vertical="center" wrapText="1"/>
    </xf>
    <xf numFmtId="0" fontId="3" fillId="2" borderId="15" xfId="11" applyFont="1" applyFill="1" applyBorder="1" applyAlignment="1">
      <alignment horizontal="left"/>
    </xf>
    <xf numFmtId="0" fontId="3" fillId="2" borderId="16" xfId="11" applyFont="1" applyFill="1" applyBorder="1" applyAlignment="1">
      <alignment horizontal="left"/>
    </xf>
    <xf numFmtId="0" fontId="3" fillId="2" borderId="17" xfId="11" applyFont="1" applyFill="1" applyBorder="1" applyAlignment="1">
      <alignment horizontal="left"/>
    </xf>
    <xf numFmtId="0" fontId="3" fillId="2" borderId="20" xfId="11" applyFont="1" applyFill="1" applyBorder="1" applyAlignment="1">
      <alignment horizontal="left"/>
    </xf>
    <xf numFmtId="0" fontId="3" fillId="2" borderId="21" xfId="11" applyFont="1" applyFill="1" applyBorder="1" applyAlignment="1">
      <alignment horizontal="left"/>
    </xf>
    <xf numFmtId="0" fontId="3" fillId="2" borderId="22" xfId="11" applyFont="1" applyFill="1" applyBorder="1" applyAlignment="1">
      <alignment horizontal="left"/>
    </xf>
    <xf numFmtId="0" fontId="5" fillId="4" borderId="24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left"/>
    </xf>
    <xf numFmtId="0" fontId="5" fillId="4" borderId="33" xfId="0" applyFont="1" applyFill="1" applyBorder="1" applyAlignment="1">
      <alignment horizontal="left"/>
    </xf>
    <xf numFmtId="0" fontId="5" fillId="4" borderId="34" xfId="0" applyFont="1" applyFill="1" applyBorder="1" applyAlignment="1">
      <alignment horizontal="left"/>
    </xf>
    <xf numFmtId="0" fontId="5" fillId="4" borderId="35" xfId="0" applyFont="1" applyFill="1" applyBorder="1" applyAlignment="1">
      <alignment horizontal="left"/>
    </xf>
    <xf numFmtId="0" fontId="44" fillId="0" borderId="36" xfId="0" applyFont="1" applyBorder="1" applyAlignment="1">
      <alignment horizontal="left" wrapText="1"/>
    </xf>
    <xf numFmtId="0" fontId="44" fillId="0" borderId="52" xfId="0" applyFont="1" applyBorder="1" applyAlignment="1">
      <alignment horizontal="left" wrapText="1"/>
    </xf>
    <xf numFmtId="0" fontId="44" fillId="0" borderId="39" xfId="0" applyFont="1" applyBorder="1" applyAlignment="1">
      <alignment horizontal="left" wrapText="1"/>
    </xf>
    <xf numFmtId="0" fontId="44" fillId="0" borderId="30" xfId="0" applyFont="1" applyBorder="1" applyAlignment="1">
      <alignment horizontal="left" wrapText="1"/>
    </xf>
    <xf numFmtId="0" fontId="44" fillId="0" borderId="21" xfId="0" applyFont="1" applyBorder="1" applyAlignment="1">
      <alignment horizontal="left" wrapText="1"/>
    </xf>
    <xf numFmtId="0" fontId="44" fillId="0" borderId="40" xfId="0" applyFont="1" applyBorder="1" applyAlignment="1">
      <alignment horizontal="left" wrapText="1"/>
    </xf>
    <xf numFmtId="0" fontId="44" fillId="0" borderId="30" xfId="0" applyFont="1" applyBorder="1" applyAlignment="1">
      <alignment horizontal="left"/>
    </xf>
    <xf numFmtId="0" fontId="44" fillId="0" borderId="21" xfId="0" applyFont="1" applyBorder="1" applyAlignment="1">
      <alignment horizontal="left"/>
    </xf>
    <xf numFmtId="0" fontId="44" fillId="0" borderId="40" xfId="0" applyFont="1" applyBorder="1" applyAlignment="1">
      <alignment horizontal="left"/>
    </xf>
    <xf numFmtId="0" fontId="44" fillId="7" borderId="30" xfId="0" applyFont="1" applyFill="1" applyBorder="1" applyAlignment="1">
      <alignment horizontal="left"/>
    </xf>
    <xf numFmtId="0" fontId="44" fillId="7" borderId="21" xfId="0" applyFont="1" applyFill="1" applyBorder="1" applyAlignment="1">
      <alignment horizontal="left"/>
    </xf>
    <xf numFmtId="0" fontId="44" fillId="7" borderId="40" xfId="0" applyFont="1" applyFill="1" applyBorder="1" applyAlignment="1">
      <alignment horizontal="left"/>
    </xf>
    <xf numFmtId="0" fontId="5" fillId="0" borderId="30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164" fontId="3" fillId="0" borderId="20" xfId="0" applyNumberFormat="1" applyFont="1" applyBorder="1" applyAlignment="1">
      <alignment horizontal="right" wrapText="1"/>
    </xf>
    <xf numFmtId="164" fontId="3" fillId="0" borderId="22" xfId="0" applyNumberFormat="1" applyFont="1" applyBorder="1" applyAlignment="1">
      <alignment horizontal="right" wrapText="1"/>
    </xf>
    <xf numFmtId="164" fontId="3" fillId="0" borderId="20" xfId="0" applyNumberFormat="1" applyFont="1" applyBorder="1" applyAlignment="1">
      <alignment horizontal="center"/>
    </xf>
    <xf numFmtId="164" fontId="3" fillId="0" borderId="40" xfId="0" applyNumberFormat="1" applyFont="1" applyBorder="1" applyAlignment="1">
      <alignment horizontal="center"/>
    </xf>
    <xf numFmtId="0" fontId="5" fillId="0" borderId="41" xfId="0" applyFont="1" applyBorder="1" applyAlignment="1">
      <alignment horizontal="right"/>
    </xf>
    <xf numFmtId="0" fontId="5" fillId="0" borderId="26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164" fontId="3" fillId="0" borderId="42" xfId="0" applyNumberFormat="1" applyFont="1" applyBorder="1" applyAlignment="1">
      <alignment horizontal="center"/>
    </xf>
    <xf numFmtId="164" fontId="3" fillId="0" borderId="43" xfId="0" applyNumberFormat="1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3" fillId="0" borderId="41" xfId="5" applyFont="1" applyBorder="1" applyAlignment="1">
      <alignment horizontal="left" wrapText="1"/>
    </xf>
    <xf numFmtId="0" fontId="3" fillId="0" borderId="44" xfId="5" applyFont="1" applyBorder="1" applyAlignment="1">
      <alignment horizontal="left" wrapText="1"/>
    </xf>
    <xf numFmtId="0" fontId="3" fillId="0" borderId="14" xfId="5" applyFont="1" applyBorder="1" applyAlignment="1">
      <alignment horizontal="left" wrapText="1"/>
    </xf>
    <xf numFmtId="0" fontId="3" fillId="0" borderId="29" xfId="5" applyFont="1" applyBorder="1" applyAlignment="1">
      <alignment horizontal="left" wrapText="1"/>
    </xf>
    <xf numFmtId="0" fontId="3" fillId="0" borderId="36" xfId="5" applyFont="1" applyBorder="1" applyAlignment="1">
      <alignment horizontal="left" wrapText="1"/>
    </xf>
    <xf numFmtId="0" fontId="3" fillId="0" borderId="52" xfId="5" applyFont="1" applyBorder="1" applyAlignment="1">
      <alignment horizontal="left" wrapText="1"/>
    </xf>
    <xf numFmtId="0" fontId="3" fillId="0" borderId="39" xfId="5" applyFont="1" applyBorder="1" applyAlignment="1">
      <alignment horizontal="left" wrapText="1"/>
    </xf>
    <xf numFmtId="0" fontId="6" fillId="3" borderId="9" xfId="4" applyFont="1" applyFill="1" applyBorder="1" applyAlignment="1">
      <alignment horizontal="center" wrapText="1"/>
    </xf>
    <xf numFmtId="0" fontId="6" fillId="3" borderId="10" xfId="4" applyFont="1" applyFill="1" applyBorder="1" applyAlignment="1">
      <alignment horizontal="center" wrapText="1"/>
    </xf>
    <xf numFmtId="0" fontId="6" fillId="3" borderId="11" xfId="4" applyFont="1" applyFill="1" applyBorder="1" applyAlignment="1">
      <alignment horizontal="center" wrapText="1"/>
    </xf>
    <xf numFmtId="0" fontId="3" fillId="0" borderId="44" xfId="5" applyFont="1" applyBorder="1" applyAlignment="1">
      <alignment horizontal="left"/>
    </xf>
    <xf numFmtId="0" fontId="3" fillId="0" borderId="14" xfId="5" applyFont="1" applyBorder="1" applyAlignment="1">
      <alignment horizontal="left"/>
    </xf>
    <xf numFmtId="0" fontId="3" fillId="0" borderId="29" xfId="5" applyFont="1" applyBorder="1" applyAlignment="1">
      <alignment horizontal="left"/>
    </xf>
    <xf numFmtId="164" fontId="3" fillId="0" borderId="42" xfId="5" applyNumberFormat="1" applyFont="1" applyBorder="1" applyAlignment="1">
      <alignment horizontal="center"/>
    </xf>
    <xf numFmtId="164" fontId="3" fillId="0" borderId="43" xfId="5" applyNumberFormat="1" applyFont="1" applyBorder="1" applyAlignment="1">
      <alignment horizontal="center"/>
    </xf>
    <xf numFmtId="0" fontId="63" fillId="2" borderId="45" xfId="11" applyFont="1" applyFill="1" applyBorder="1" applyAlignment="1">
      <alignment horizontal="center"/>
    </xf>
    <xf numFmtId="14" fontId="63" fillId="2" borderId="0" xfId="11" applyNumberFormat="1" applyFont="1" applyFill="1" applyAlignment="1">
      <alignment horizontal="center" vertical="center" wrapText="1"/>
    </xf>
    <xf numFmtId="0" fontId="41" fillId="0" borderId="28" xfId="5" applyFont="1" applyBorder="1" applyAlignment="1">
      <alignment horizontal="center" vertical="center"/>
    </xf>
    <xf numFmtId="0" fontId="41" fillId="0" borderId="22" xfId="5" applyFont="1" applyBorder="1" applyAlignment="1">
      <alignment horizontal="center" vertical="center"/>
    </xf>
    <xf numFmtId="0" fontId="64" fillId="0" borderId="6" xfId="5" applyFont="1" applyBorder="1" applyAlignment="1">
      <alignment vertical="center"/>
    </xf>
    <xf numFmtId="0" fontId="41" fillId="0" borderId="6" xfId="5" applyFont="1" applyBorder="1" applyAlignment="1">
      <alignment horizontal="center" vertical="center"/>
    </xf>
    <xf numFmtId="1" fontId="41" fillId="0" borderId="6" xfId="5" applyNumberFormat="1" applyFont="1" applyBorder="1" applyAlignment="1">
      <alignment horizontal="center"/>
    </xf>
    <xf numFmtId="1" fontId="41" fillId="0" borderId="6" xfId="5" applyNumberFormat="1" applyFont="1" applyBorder="1" applyAlignment="1">
      <alignment horizontal="center" wrapText="1"/>
    </xf>
    <xf numFmtId="0" fontId="65" fillId="0" borderId="7" xfId="5" applyFont="1" applyBorder="1" applyAlignment="1">
      <alignment horizontal="center"/>
    </xf>
    <xf numFmtId="0" fontId="65" fillId="0" borderId="58" xfId="5" applyFont="1" applyBorder="1" applyAlignment="1">
      <alignment horizontal="center" vertical="center"/>
    </xf>
    <xf numFmtId="0" fontId="65" fillId="0" borderId="6" xfId="5" applyFont="1" applyBorder="1" applyAlignment="1">
      <alignment horizontal="center" vertical="center"/>
    </xf>
    <xf numFmtId="0" fontId="65" fillId="0" borderId="59" xfId="5" applyFont="1" applyBorder="1" applyAlignment="1">
      <alignment horizontal="left" vertical="center"/>
    </xf>
    <xf numFmtId="0" fontId="65" fillId="0" borderId="14" xfId="5" applyFont="1" applyBorder="1" applyAlignment="1">
      <alignment horizontal="center"/>
    </xf>
    <xf numFmtId="1" fontId="65" fillId="0" borderId="6" xfId="5" applyNumberFormat="1" applyFont="1" applyBorder="1" applyAlignment="1">
      <alignment horizontal="center"/>
    </xf>
    <xf numFmtId="1" fontId="65" fillId="0" borderId="6" xfId="5" applyNumberFormat="1" applyFont="1" applyBorder="1" applyAlignment="1">
      <alignment horizontal="center" wrapText="1"/>
    </xf>
    <xf numFmtId="0" fontId="65" fillId="0" borderId="14" xfId="0" applyFont="1" applyBorder="1" applyAlignment="1">
      <alignment horizontal="center" wrapText="1"/>
    </xf>
    <xf numFmtId="12" fontId="65" fillId="0" borderId="14" xfId="0" applyNumberFormat="1" applyFont="1" applyBorder="1" applyAlignment="1">
      <alignment horizontal="center"/>
    </xf>
    <xf numFmtId="0" fontId="66" fillId="0" borderId="6" xfId="0" applyFont="1" applyBorder="1" applyAlignment="1">
      <alignment horizontal="center"/>
    </xf>
    <xf numFmtId="0" fontId="65" fillId="0" borderId="20" xfId="5" quotePrefix="1" applyFont="1" applyBorder="1" applyAlignment="1">
      <alignment horizontal="center"/>
    </xf>
    <xf numFmtId="0" fontId="65" fillId="0" borderId="6" xfId="5" quotePrefix="1" applyFont="1" applyBorder="1" applyAlignment="1">
      <alignment horizontal="center"/>
    </xf>
    <xf numFmtId="0" fontId="65" fillId="0" borderId="22" xfId="5" quotePrefix="1" applyFont="1" applyBorder="1"/>
    <xf numFmtId="0" fontId="65" fillId="0" borderId="6" xfId="5" applyFont="1" applyBorder="1" applyAlignment="1">
      <alignment horizontal="center"/>
    </xf>
    <xf numFmtId="0" fontId="65" fillId="0" borderId="6" xfId="0" applyFont="1" applyBorder="1" applyAlignment="1">
      <alignment horizontal="center"/>
    </xf>
    <xf numFmtId="0" fontId="66" fillId="0" borderId="6" xfId="0" applyFont="1" applyBorder="1" applyAlignment="1">
      <alignment horizontal="left"/>
    </xf>
    <xf numFmtId="0" fontId="67" fillId="0" borderId="6" xfId="0" applyFont="1" applyBorder="1" applyAlignment="1">
      <alignment horizontal="center" vertical="center"/>
    </xf>
    <xf numFmtId="0" fontId="41" fillId="0" borderId="6" xfId="0" applyFont="1" applyBorder="1"/>
    <xf numFmtId="0" fontId="66" fillId="0" borderId="6" xfId="0" applyFont="1" applyBorder="1"/>
    <xf numFmtId="49" fontId="65" fillId="0" borderId="28" xfId="5" applyNumberFormat="1" applyFont="1" applyBorder="1" applyAlignment="1">
      <alignment horizontal="center"/>
    </xf>
    <xf numFmtId="49" fontId="65" fillId="0" borderId="22" xfId="5" applyNumberFormat="1" applyFont="1" applyBorder="1" applyAlignment="1">
      <alignment horizontal="center"/>
    </xf>
    <xf numFmtId="0" fontId="41" fillId="7" borderId="6" xfId="5" applyFont="1" applyFill="1" applyBorder="1" applyAlignment="1">
      <alignment horizontal="left"/>
    </xf>
    <xf numFmtId="1" fontId="66" fillId="0" borderId="6" xfId="0" applyNumberFormat="1" applyFont="1" applyBorder="1"/>
    <xf numFmtId="0" fontId="65" fillId="7" borderId="6" xfId="5" applyFont="1" applyFill="1" applyBorder="1" applyAlignment="1">
      <alignment horizontal="center"/>
    </xf>
    <xf numFmtId="169" fontId="65" fillId="0" borderId="6" xfId="5" applyNumberFormat="1" applyFont="1" applyBorder="1" applyAlignment="1">
      <alignment horizontal="center"/>
    </xf>
    <xf numFmtId="0" fontId="66" fillId="7" borderId="28" xfId="0" applyFont="1" applyFill="1" applyBorder="1" applyAlignment="1">
      <alignment horizontal="center"/>
    </xf>
    <xf numFmtId="0" fontId="66" fillId="7" borderId="37" xfId="0" applyFont="1" applyFill="1" applyBorder="1" applyAlignment="1">
      <alignment horizontal="center"/>
    </xf>
    <xf numFmtId="0" fontId="66" fillId="7" borderId="14" xfId="0" applyFont="1" applyFill="1" applyBorder="1"/>
    <xf numFmtId="0" fontId="65" fillId="7" borderId="22" xfId="0" applyFont="1" applyFill="1" applyBorder="1" applyAlignment="1">
      <alignment horizontal="center"/>
    </xf>
    <xf numFmtId="1" fontId="65" fillId="7" borderId="14" xfId="0" applyNumberFormat="1" applyFont="1" applyFill="1" applyBorder="1" applyAlignment="1">
      <alignment horizontal="center"/>
    </xf>
    <xf numFmtId="1" fontId="65" fillId="7" borderId="14" xfId="0" applyNumberFormat="1" applyFont="1" applyFill="1" applyBorder="1" applyAlignment="1">
      <alignment horizontal="center" wrapText="1"/>
    </xf>
    <xf numFmtId="49" fontId="65" fillId="7" borderId="14" xfId="0" applyNumberFormat="1" applyFont="1" applyFill="1" applyBorder="1" applyAlignment="1">
      <alignment horizontal="center"/>
    </xf>
    <xf numFmtId="1" fontId="65" fillId="7" borderId="6" xfId="5" applyNumberFormat="1" applyFont="1" applyFill="1" applyBorder="1" applyAlignment="1">
      <alignment horizontal="center"/>
    </xf>
    <xf numFmtId="1" fontId="65" fillId="7" borderId="6" xfId="5" applyNumberFormat="1" applyFont="1" applyFill="1" applyBorder="1" applyAlignment="1">
      <alignment horizontal="center" wrapText="1"/>
    </xf>
    <xf numFmtId="16" fontId="65" fillId="0" borderId="6" xfId="0" applyNumberFormat="1" applyFont="1" applyBorder="1" applyAlignment="1">
      <alignment horizontal="center"/>
    </xf>
    <xf numFmtId="1" fontId="65" fillId="0" borderId="6" xfId="0" applyNumberFormat="1" applyFont="1" applyBorder="1" applyAlignment="1">
      <alignment horizontal="center"/>
    </xf>
    <xf numFmtId="1" fontId="65" fillId="0" borderId="6" xfId="0" applyNumberFormat="1" applyFont="1" applyBorder="1" applyAlignment="1">
      <alignment horizontal="center" wrapText="1"/>
    </xf>
    <xf numFmtId="49" fontId="41" fillId="0" borderId="30" xfId="5" applyNumberFormat="1" applyFont="1" applyBorder="1" applyAlignment="1">
      <alignment horizontal="center"/>
    </xf>
    <xf numFmtId="49" fontId="41" fillId="0" borderId="21" xfId="5" applyNumberFormat="1" applyFont="1" applyBorder="1" applyAlignment="1">
      <alignment horizontal="center"/>
    </xf>
    <xf numFmtId="0" fontId="64" fillId="7" borderId="6" xfId="5" applyFont="1" applyFill="1" applyBorder="1" applyAlignment="1">
      <alignment vertical="center"/>
    </xf>
    <xf numFmtId="0" fontId="41" fillId="0" borderId="22" xfId="5" applyFont="1" applyBorder="1" applyAlignment="1">
      <alignment horizontal="center"/>
    </xf>
    <xf numFmtId="169" fontId="41" fillId="0" borderId="6" xfId="5" applyNumberFormat="1" applyFont="1" applyBorder="1" applyAlignment="1">
      <alignment horizontal="center"/>
    </xf>
    <xf numFmtId="0" fontId="66" fillId="0" borderId="0" xfId="0" applyFont="1"/>
    <xf numFmtId="49" fontId="65" fillId="0" borderId="28" xfId="0" applyNumberFormat="1" applyFont="1" applyBorder="1" applyAlignment="1">
      <alignment horizontal="center"/>
    </xf>
    <xf numFmtId="49" fontId="65" fillId="0" borderId="22" xfId="0" applyNumberFormat="1" applyFont="1" applyBorder="1" applyAlignment="1">
      <alignment horizontal="center"/>
    </xf>
    <xf numFmtId="49" fontId="41" fillId="0" borderId="6" xfId="0" applyNumberFormat="1" applyFont="1" applyBorder="1"/>
    <xf numFmtId="170" fontId="41" fillId="7" borderId="6" xfId="1" applyNumberFormat="1" applyFont="1" applyFill="1" applyBorder="1" applyAlignment="1">
      <alignment horizontal="center"/>
    </xf>
    <xf numFmtId="0" fontId="67" fillId="0" borderId="28" xfId="0" applyFont="1" applyBorder="1" applyAlignment="1">
      <alignment horizontal="center"/>
    </xf>
    <xf numFmtId="0" fontId="67" fillId="0" borderId="22" xfId="0" applyFont="1" applyBorder="1" applyAlignment="1">
      <alignment horizontal="center"/>
    </xf>
    <xf numFmtId="0" fontId="67" fillId="0" borderId="6" xfId="0" applyFont="1" applyBorder="1"/>
    <xf numFmtId="0" fontId="66" fillId="0" borderId="6" xfId="0" applyFont="1" applyBorder="1" applyAlignment="1">
      <alignment horizontal="center" vertical="center"/>
    </xf>
    <xf numFmtId="0" fontId="66" fillId="0" borderId="6" xfId="0" applyFont="1" applyBorder="1" applyAlignment="1">
      <alignment horizontal="left" vertical="center"/>
    </xf>
    <xf numFmtId="12" fontId="65" fillId="0" borderId="6" xfId="5" applyNumberFormat="1" applyFont="1" applyBorder="1" applyAlignment="1">
      <alignment horizontal="center"/>
    </xf>
    <xf numFmtId="0" fontId="65" fillId="0" borderId="6" xfId="0" quotePrefix="1" applyFont="1" applyBorder="1" applyAlignment="1">
      <alignment horizontal="center"/>
    </xf>
    <xf numFmtId="0" fontId="65" fillId="0" borderId="6" xfId="0" quotePrefix="1" applyFont="1" applyBorder="1"/>
    <xf numFmtId="49" fontId="65" fillId="0" borderId="6" xfId="0" applyNumberFormat="1" applyFont="1" applyBorder="1" applyAlignment="1">
      <alignment horizontal="center"/>
    </xf>
    <xf numFmtId="49" fontId="65" fillId="0" borderId="6" xfId="0" applyNumberFormat="1" applyFont="1" applyBorder="1"/>
    <xf numFmtId="49" fontId="65" fillId="0" borderId="6" xfId="5" applyNumberFormat="1" applyFont="1" applyBorder="1"/>
    <xf numFmtId="49" fontId="67" fillId="2" borderId="8" xfId="5" applyNumberFormat="1" applyFont="1" applyFill="1" applyBorder="1" applyAlignment="1">
      <alignment horizontal="center" vertical="center"/>
    </xf>
    <xf numFmtId="49" fontId="67" fillId="2" borderId="0" xfId="5" applyNumberFormat="1" applyFont="1" applyFill="1" applyAlignment="1">
      <alignment horizontal="center" vertical="center"/>
    </xf>
    <xf numFmtId="0" fontId="65" fillId="2" borderId="0" xfId="5" applyFont="1" applyFill="1"/>
    <xf numFmtId="1" fontId="65" fillId="2" borderId="0" xfId="5" applyNumberFormat="1" applyFont="1" applyFill="1" applyAlignment="1">
      <alignment horizontal="center"/>
    </xf>
    <xf numFmtId="164" fontId="65" fillId="2" borderId="0" xfId="5" applyNumberFormat="1" applyFont="1" applyFill="1" applyAlignment="1">
      <alignment horizontal="center" wrapText="1"/>
    </xf>
    <xf numFmtId="0" fontId="65" fillId="2" borderId="32" xfId="5" applyFont="1" applyFill="1" applyBorder="1" applyAlignment="1">
      <alignment horizontal="center"/>
    </xf>
    <xf numFmtId="0" fontId="65" fillId="4" borderId="33" xfId="5" applyFont="1" applyFill="1" applyBorder="1" applyAlignment="1">
      <alignment horizontal="center"/>
    </xf>
    <xf numFmtId="0" fontId="65" fillId="4" borderId="34" xfId="5" applyFont="1" applyFill="1" applyBorder="1" applyAlignment="1">
      <alignment horizontal="center"/>
    </xf>
    <xf numFmtId="0" fontId="65" fillId="4" borderId="34" xfId="5" applyFont="1" applyFill="1" applyBorder="1"/>
    <xf numFmtId="0" fontId="41" fillId="4" borderId="34" xfId="5" applyFont="1" applyFill="1" applyBorder="1" applyAlignment="1">
      <alignment horizontal="center"/>
    </xf>
    <xf numFmtId="1" fontId="41" fillId="4" borderId="34" xfId="5" applyNumberFormat="1" applyFont="1" applyFill="1" applyBorder="1" applyAlignment="1">
      <alignment horizontal="center"/>
    </xf>
    <xf numFmtId="164" fontId="65" fillId="4" borderId="34" xfId="5" applyNumberFormat="1" applyFont="1" applyFill="1" applyBorder="1" applyAlignment="1">
      <alignment horizontal="center" wrapText="1"/>
    </xf>
    <xf numFmtId="0" fontId="65" fillId="4" borderId="35" xfId="5" applyFont="1" applyFill="1" applyBorder="1" applyAlignment="1">
      <alignment horizontal="center"/>
    </xf>
    <xf numFmtId="0" fontId="41" fillId="0" borderId="36" xfId="5" applyFont="1" applyBorder="1" applyAlignment="1">
      <alignment horizontal="right"/>
    </xf>
    <xf numFmtId="0" fontId="41" fillId="0" borderId="52" xfId="5" applyFont="1" applyBorder="1" applyAlignment="1">
      <alignment horizontal="right"/>
    </xf>
    <xf numFmtId="0" fontId="41" fillId="0" borderId="37" xfId="5" applyFont="1" applyBorder="1" applyAlignment="1">
      <alignment horizontal="right"/>
    </xf>
    <xf numFmtId="1" fontId="65" fillId="0" borderId="14" xfId="0" applyNumberFormat="1" applyFont="1" applyBorder="1" applyAlignment="1">
      <alignment horizontal="center"/>
    </xf>
    <xf numFmtId="0" fontId="65" fillId="0" borderId="38" xfId="0" applyFont="1" applyBorder="1" applyAlignment="1">
      <alignment horizontal="center"/>
    </xf>
    <xf numFmtId="164" fontId="65" fillId="0" borderId="14" xfId="5" applyNumberFormat="1" applyFont="1" applyBorder="1" applyAlignment="1">
      <alignment horizontal="right"/>
    </xf>
    <xf numFmtId="0" fontId="65" fillId="2" borderId="38" xfId="5" applyFont="1" applyFill="1" applyBorder="1" applyAlignment="1">
      <alignment horizontal="center"/>
    </xf>
    <xf numFmtId="0" fontId="65" fillId="2" borderId="39" xfId="5" applyFont="1" applyFill="1" applyBorder="1" applyAlignment="1">
      <alignment horizontal="center"/>
    </xf>
    <xf numFmtId="0" fontId="41" fillId="0" borderId="30" xfId="5" applyFont="1" applyBorder="1" applyAlignment="1">
      <alignment horizontal="right"/>
    </xf>
    <xf numFmtId="0" fontId="41" fillId="0" borderId="21" xfId="5" applyFont="1" applyBorder="1" applyAlignment="1">
      <alignment horizontal="right"/>
    </xf>
    <xf numFmtId="0" fontId="41" fillId="0" borderId="22" xfId="5" applyFont="1" applyBorder="1" applyAlignment="1">
      <alignment horizontal="right"/>
    </xf>
    <xf numFmtId="0" fontId="65" fillId="0" borderId="6" xfId="5" applyFont="1" applyBorder="1" applyAlignment="1">
      <alignment horizontal="right"/>
    </xf>
    <xf numFmtId="164" fontId="65" fillId="0" borderId="20" xfId="5" applyNumberFormat="1" applyFont="1" applyBorder="1" applyAlignment="1">
      <alignment horizontal="center"/>
    </xf>
    <xf numFmtId="164" fontId="65" fillId="0" borderId="40" xfId="5" applyNumberFormat="1" applyFont="1" applyBorder="1" applyAlignment="1">
      <alignment horizontal="center"/>
    </xf>
    <xf numFmtId="164" fontId="65" fillId="0" borderId="20" xfId="5" applyNumberFormat="1" applyFont="1" applyBorder="1" applyAlignment="1">
      <alignment horizontal="right" wrapText="1"/>
    </xf>
    <xf numFmtId="164" fontId="65" fillId="0" borderId="22" xfId="5" applyNumberFormat="1" applyFont="1" applyBorder="1" applyAlignment="1">
      <alignment horizontal="right" wrapText="1"/>
    </xf>
    <xf numFmtId="164" fontId="65" fillId="0" borderId="20" xfId="0" applyNumberFormat="1" applyFont="1" applyBorder="1" applyAlignment="1">
      <alignment horizontal="center" wrapText="1"/>
    </xf>
    <xf numFmtId="164" fontId="65" fillId="0" borderId="40" xfId="0" applyNumberFormat="1" applyFont="1" applyBorder="1" applyAlignment="1">
      <alignment horizontal="center" wrapText="1"/>
    </xf>
    <xf numFmtId="0" fontId="41" fillId="0" borderId="41" xfId="5" applyFont="1" applyBorder="1" applyAlignment="1">
      <alignment horizontal="right"/>
    </xf>
    <xf numFmtId="0" fontId="41" fillId="0" borderId="57" xfId="5" applyFont="1" applyBorder="1" applyAlignment="1">
      <alignment horizontal="right"/>
    </xf>
    <xf numFmtId="0" fontId="41" fillId="0" borderId="26" xfId="5" applyFont="1" applyBorder="1" applyAlignment="1">
      <alignment horizontal="right"/>
    </xf>
    <xf numFmtId="1" fontId="65" fillId="0" borderId="26" xfId="0" applyNumberFormat="1" applyFont="1" applyBorder="1" applyAlignment="1">
      <alignment horizontal="center"/>
    </xf>
    <xf numFmtId="0" fontId="65" fillId="0" borderId="26" xfId="0" applyFont="1" applyBorder="1" applyAlignment="1">
      <alignment horizontal="center"/>
    </xf>
    <xf numFmtId="0" fontId="65" fillId="0" borderId="26" xfId="5" applyFont="1" applyBorder="1" applyAlignment="1">
      <alignment horizontal="right"/>
    </xf>
    <xf numFmtId="0" fontId="65" fillId="0" borderId="24" xfId="0" applyFont="1" applyBorder="1" applyAlignment="1">
      <alignment horizontal="left"/>
    </xf>
    <xf numFmtId="0" fontId="65" fillId="0" borderId="17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5" fillId="0" borderId="28" xfId="0" applyFont="1" applyBorder="1" applyAlignment="1">
      <alignment horizontal="left" wrapText="1"/>
    </xf>
    <xf numFmtId="0" fontId="65" fillId="0" borderId="22" xfId="0" applyFont="1" applyBorder="1" applyAlignment="1">
      <alignment horizontal="left" wrapText="1"/>
    </xf>
    <xf numFmtId="0" fontId="65" fillId="0" borderId="6" xfId="0" applyFont="1" applyBorder="1" applyAlignment="1">
      <alignment horizontal="left" wrapText="1"/>
    </xf>
    <xf numFmtId="0" fontId="65" fillId="0" borderId="7" xfId="0" applyFont="1" applyBorder="1" applyAlignment="1">
      <alignment horizontal="left" wrapText="1"/>
    </xf>
    <xf numFmtId="0" fontId="65" fillId="0" borderId="28" xfId="0" applyFont="1" applyBorder="1" applyAlignment="1">
      <alignment horizontal="left"/>
    </xf>
    <xf numFmtId="0" fontId="65" fillId="0" borderId="22" xfId="0" applyFont="1" applyBorder="1" applyAlignment="1">
      <alignment horizontal="left"/>
    </xf>
    <xf numFmtId="0" fontId="65" fillId="0" borderId="6" xfId="0" applyFont="1" applyBorder="1" applyAlignment="1">
      <alignment horizontal="left"/>
    </xf>
    <xf numFmtId="0" fontId="65" fillId="0" borderId="7" xfId="0" applyFont="1" applyBorder="1" applyAlignment="1">
      <alignment horizontal="left"/>
    </xf>
    <xf numFmtId="0" fontId="65" fillId="0" borderId="30" xfId="15" applyFont="1" applyBorder="1" applyAlignment="1">
      <alignment horizontal="left" vertical="center" wrapText="1"/>
    </xf>
    <xf numFmtId="0" fontId="65" fillId="0" borderId="21" xfId="15" applyFont="1" applyBorder="1" applyAlignment="1">
      <alignment horizontal="left" vertical="center" wrapText="1"/>
    </xf>
    <xf numFmtId="0" fontId="65" fillId="0" borderId="40" xfId="15" applyFont="1" applyBorder="1" applyAlignment="1">
      <alignment horizontal="left" vertical="center" wrapText="1"/>
    </xf>
    <xf numFmtId="0" fontId="41" fillId="15" borderId="60" xfId="4" applyFont="1" applyFill="1" applyBorder="1" applyAlignment="1">
      <alignment horizontal="center"/>
    </xf>
    <xf numFmtId="0" fontId="41" fillId="15" borderId="49" xfId="4" applyFont="1" applyFill="1" applyBorder="1" applyAlignment="1">
      <alignment horizontal="center"/>
    </xf>
    <xf numFmtId="0" fontId="65" fillId="2" borderId="6" xfId="4" applyFont="1" applyFill="1" applyBorder="1" applyAlignment="1">
      <alignment horizontal="left"/>
    </xf>
    <xf numFmtId="0" fontId="41" fillId="4" borderId="33" xfId="5" applyFont="1" applyFill="1" applyBorder="1" applyAlignment="1">
      <alignment horizontal="center"/>
    </xf>
    <xf numFmtId="0" fontId="41" fillId="4" borderId="34" xfId="5" applyFont="1" applyFill="1" applyBorder="1" applyAlignment="1">
      <alignment horizontal="center"/>
    </xf>
    <xf numFmtId="0" fontId="41" fillId="4" borderId="35" xfId="5" applyFont="1" applyFill="1" applyBorder="1" applyAlignment="1">
      <alignment horizontal="center"/>
    </xf>
    <xf numFmtId="0" fontId="68" fillId="3" borderId="56" xfId="11" applyFont="1" applyFill="1" applyBorder="1" applyAlignment="1">
      <alignment horizontal="center" vertical="center" wrapText="1"/>
    </xf>
    <xf numFmtId="0" fontId="68" fillId="3" borderId="16" xfId="11" applyFont="1" applyFill="1" applyBorder="1" applyAlignment="1">
      <alignment horizontal="center" vertical="center" wrapText="1"/>
    </xf>
    <xf numFmtId="0" fontId="68" fillId="3" borderId="55" xfId="11" applyFont="1" applyFill="1" applyBorder="1" applyAlignment="1">
      <alignment horizontal="center" vertical="center" wrapText="1"/>
    </xf>
  </cellXfs>
  <cellStyles count="16">
    <cellStyle name="Millares" xfId="1" builtinId="3"/>
    <cellStyle name="Millares [0]" xfId="2" builtinId="6"/>
    <cellStyle name="Millares [0] 2" xfId="9" xr:uid="{E6503F4B-9923-4E99-BFED-6EEA6C76E330}"/>
    <cellStyle name="Millares [0] 2 2" xfId="13" xr:uid="{B85F3C90-5EED-43B2-B089-3C337CCDC49C}"/>
    <cellStyle name="Millares 2" xfId="8" xr:uid="{7B74A9C0-BE02-41B1-AF7A-E7CDDFB5B53D}"/>
    <cellStyle name="Millares 3" xfId="12" xr:uid="{2C9C683A-1ACC-4761-8489-391D85C97F93}"/>
    <cellStyle name="Normal" xfId="0" builtinId="0"/>
    <cellStyle name="Normal 2" xfId="5" xr:uid="{25EBF72D-F995-4449-AA4A-204798998B41}"/>
    <cellStyle name="Normal 3" xfId="7" xr:uid="{706D2B54-C5B0-4EFC-9343-3689AF18AC6D}"/>
    <cellStyle name="Normal 3 2" xfId="14" xr:uid="{72B42E55-D624-4BF9-9B41-530AD74335FE}"/>
    <cellStyle name="Normal 4" xfId="15" xr:uid="{90F4CF81-41C7-4590-AC72-CB111B4115BE}"/>
    <cellStyle name="Normal_CRITERIOS DE EVALUACION PT DE GB" xfId="4" xr:uid="{2AF56D16-C120-49DF-AC86-59C7220A9E3E}"/>
    <cellStyle name="Normal_CRITERIOS DE EVALUACION PT DE GB 2" xfId="11" xr:uid="{2787C6C0-C328-46DE-9001-CFD4B29525EF}"/>
    <cellStyle name="Porcentaje" xfId="3" builtinId="5"/>
    <cellStyle name="Porcentaje 2" xfId="10" xr:uid="{C064DC74-A3B4-4110-AED0-E8D3ABB6C937}"/>
    <cellStyle name="Porcentaje 2 2" xfId="6" xr:uid="{4FC82FC5-0973-440E-AA05-0185769DED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0</xdr:row>
      <xdr:rowOff>178593</xdr:rowOff>
    </xdr:from>
    <xdr:to>
      <xdr:col>1</xdr:col>
      <xdr:colOff>1091515</xdr:colOff>
      <xdr:row>4</xdr:row>
      <xdr:rowOff>35718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0219DD6-592E-4B4A-BB88-F1CBC6894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2" y="178593"/>
          <a:ext cx="2055921" cy="9286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47625</xdr:rowOff>
    </xdr:from>
    <xdr:ext cx="981075" cy="942975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FA3EBE7F-CC24-419C-B212-FE3681D97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38100" y="47625"/>
          <a:ext cx="9810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2B32-EBD1-4665-829F-998757291A0B}">
  <dimension ref="A1:L41"/>
  <sheetViews>
    <sheetView topLeftCell="A3" workbookViewId="0">
      <selection activeCell="A16" sqref="A16:H16"/>
    </sheetView>
  </sheetViews>
  <sheetFormatPr baseColWidth="10" defaultRowHeight="15" x14ac:dyDescent="0.25"/>
  <cols>
    <col min="2" max="2" width="48.5703125" customWidth="1"/>
    <col min="258" max="258" width="37.42578125" customWidth="1"/>
    <col min="514" max="514" width="37.42578125" customWidth="1"/>
    <col min="770" max="770" width="37.42578125" customWidth="1"/>
    <col min="1026" max="1026" width="37.42578125" customWidth="1"/>
    <col min="1282" max="1282" width="37.42578125" customWidth="1"/>
    <col min="1538" max="1538" width="37.42578125" customWidth="1"/>
    <col min="1794" max="1794" width="37.42578125" customWidth="1"/>
    <col min="2050" max="2050" width="37.42578125" customWidth="1"/>
    <col min="2306" max="2306" width="37.42578125" customWidth="1"/>
    <col min="2562" max="2562" width="37.42578125" customWidth="1"/>
    <col min="2818" max="2818" width="37.42578125" customWidth="1"/>
    <col min="3074" max="3074" width="37.42578125" customWidth="1"/>
    <col min="3330" max="3330" width="37.42578125" customWidth="1"/>
    <col min="3586" max="3586" width="37.42578125" customWidth="1"/>
    <col min="3842" max="3842" width="37.42578125" customWidth="1"/>
    <col min="4098" max="4098" width="37.42578125" customWidth="1"/>
    <col min="4354" max="4354" width="37.42578125" customWidth="1"/>
    <col min="4610" max="4610" width="37.42578125" customWidth="1"/>
    <col min="4866" max="4866" width="37.42578125" customWidth="1"/>
    <col min="5122" max="5122" width="37.42578125" customWidth="1"/>
    <col min="5378" max="5378" width="37.42578125" customWidth="1"/>
    <col min="5634" max="5634" width="37.42578125" customWidth="1"/>
    <col min="5890" max="5890" width="37.42578125" customWidth="1"/>
    <col min="6146" max="6146" width="37.42578125" customWidth="1"/>
    <col min="6402" max="6402" width="37.42578125" customWidth="1"/>
    <col min="6658" max="6658" width="37.42578125" customWidth="1"/>
    <col min="6914" max="6914" width="37.42578125" customWidth="1"/>
    <col min="7170" max="7170" width="37.42578125" customWidth="1"/>
    <col min="7426" max="7426" width="37.42578125" customWidth="1"/>
    <col min="7682" max="7682" width="37.42578125" customWidth="1"/>
    <col min="7938" max="7938" width="37.42578125" customWidth="1"/>
    <col min="8194" max="8194" width="37.42578125" customWidth="1"/>
    <col min="8450" max="8450" width="37.42578125" customWidth="1"/>
    <col min="8706" max="8706" width="37.42578125" customWidth="1"/>
    <col min="8962" max="8962" width="37.42578125" customWidth="1"/>
    <col min="9218" max="9218" width="37.42578125" customWidth="1"/>
    <col min="9474" max="9474" width="37.42578125" customWidth="1"/>
    <col min="9730" max="9730" width="37.42578125" customWidth="1"/>
    <col min="9986" max="9986" width="37.42578125" customWidth="1"/>
    <col min="10242" max="10242" width="37.42578125" customWidth="1"/>
    <col min="10498" max="10498" width="37.42578125" customWidth="1"/>
    <col min="10754" max="10754" width="37.42578125" customWidth="1"/>
    <col min="11010" max="11010" width="37.42578125" customWidth="1"/>
    <col min="11266" max="11266" width="37.42578125" customWidth="1"/>
    <col min="11522" max="11522" width="37.42578125" customWidth="1"/>
    <col min="11778" max="11778" width="37.42578125" customWidth="1"/>
    <col min="12034" max="12034" width="37.42578125" customWidth="1"/>
    <col min="12290" max="12290" width="37.42578125" customWidth="1"/>
    <col min="12546" max="12546" width="37.42578125" customWidth="1"/>
    <col min="12802" max="12802" width="37.42578125" customWidth="1"/>
    <col min="13058" max="13058" width="37.42578125" customWidth="1"/>
    <col min="13314" max="13314" width="37.42578125" customWidth="1"/>
    <col min="13570" max="13570" width="37.42578125" customWidth="1"/>
    <col min="13826" max="13826" width="37.42578125" customWidth="1"/>
    <col min="14082" max="14082" width="37.42578125" customWidth="1"/>
    <col min="14338" max="14338" width="37.42578125" customWidth="1"/>
    <col min="14594" max="14594" width="37.42578125" customWidth="1"/>
    <col min="14850" max="14850" width="37.42578125" customWidth="1"/>
    <col min="15106" max="15106" width="37.42578125" customWidth="1"/>
    <col min="15362" max="15362" width="37.42578125" customWidth="1"/>
    <col min="15618" max="15618" width="37.42578125" customWidth="1"/>
    <col min="15874" max="15874" width="37.42578125" customWidth="1"/>
    <col min="16130" max="16130" width="37.42578125" customWidth="1"/>
  </cols>
  <sheetData>
    <row r="1" spans="1:9" ht="15.75" x14ac:dyDescent="0.25">
      <c r="A1" s="391"/>
      <c r="B1" s="394" t="s">
        <v>0</v>
      </c>
      <c r="C1" s="394"/>
      <c r="D1" s="394"/>
      <c r="E1" s="394"/>
      <c r="F1" s="394"/>
      <c r="G1" s="1" t="s">
        <v>1</v>
      </c>
      <c r="H1" s="2"/>
    </row>
    <row r="2" spans="1:9" ht="16.5" thickBot="1" x14ac:dyDescent="0.3">
      <c r="A2" s="392"/>
      <c r="B2" s="395" t="s">
        <v>2</v>
      </c>
      <c r="C2" s="395"/>
      <c r="D2" s="395"/>
      <c r="E2" s="395"/>
      <c r="F2" s="395"/>
      <c r="G2" s="3" t="s">
        <v>3</v>
      </c>
      <c r="H2" s="4"/>
    </row>
    <row r="3" spans="1:9" ht="18.75" thickBot="1" x14ac:dyDescent="0.3">
      <c r="A3" s="393"/>
      <c r="B3" s="396" t="s">
        <v>4</v>
      </c>
      <c r="C3" s="397"/>
      <c r="D3" s="397"/>
      <c r="E3" s="397"/>
      <c r="F3" s="398"/>
      <c r="G3" s="399" t="s">
        <v>5</v>
      </c>
      <c r="H3" s="379"/>
    </row>
    <row r="4" spans="1:9" x14ac:dyDescent="0.25">
      <c r="A4" s="392"/>
      <c r="B4" s="5" t="s">
        <v>6</v>
      </c>
      <c r="C4" s="381" t="s">
        <v>7</v>
      </c>
      <c r="D4" s="382"/>
      <c r="E4" s="382"/>
      <c r="F4" s="383"/>
      <c r="G4" s="400"/>
      <c r="H4" s="380"/>
    </row>
    <row r="5" spans="1:9" ht="15.75" thickBot="1" x14ac:dyDescent="0.3">
      <c r="A5" s="392"/>
      <c r="B5" s="6" t="s">
        <v>8</v>
      </c>
      <c r="C5" s="384" t="s">
        <v>9</v>
      </c>
      <c r="D5" s="385"/>
      <c r="E5" s="385"/>
      <c r="F5" s="386"/>
      <c r="G5" s="401"/>
      <c r="H5" s="380"/>
    </row>
    <row r="6" spans="1:9" ht="25.5" x14ac:dyDescent="0.25">
      <c r="A6" s="387" t="s">
        <v>10</v>
      </c>
      <c r="B6" s="389" t="s">
        <v>11</v>
      </c>
      <c r="C6" s="389" t="s">
        <v>12</v>
      </c>
      <c r="D6" s="389" t="s">
        <v>13</v>
      </c>
      <c r="E6" s="389"/>
      <c r="F6" s="389" t="s">
        <v>14</v>
      </c>
      <c r="G6" s="389"/>
      <c r="H6" s="7" t="s">
        <v>15</v>
      </c>
    </row>
    <row r="7" spans="1:9" ht="27" thickBot="1" x14ac:dyDescent="0.3">
      <c r="A7" s="388"/>
      <c r="B7" s="390"/>
      <c r="C7" s="390"/>
      <c r="D7" s="8" t="s">
        <v>16</v>
      </c>
      <c r="E7" s="9" t="s">
        <v>17</v>
      </c>
      <c r="F7" s="10" t="s">
        <v>16</v>
      </c>
      <c r="G7" s="9" t="s">
        <v>17</v>
      </c>
      <c r="H7" s="11" t="s">
        <v>18</v>
      </c>
    </row>
    <row r="8" spans="1:9" x14ac:dyDescent="0.25">
      <c r="A8" s="12" t="s">
        <v>19</v>
      </c>
      <c r="B8" s="13" t="s">
        <v>20</v>
      </c>
      <c r="C8" s="14" t="s">
        <v>21</v>
      </c>
      <c r="D8" s="15">
        <v>2275</v>
      </c>
      <c r="E8" s="16" t="s">
        <v>22</v>
      </c>
      <c r="F8" s="17"/>
      <c r="G8" s="18"/>
      <c r="H8" s="19"/>
    </row>
    <row r="9" spans="1:9" x14ac:dyDescent="0.25">
      <c r="A9" s="20" t="s">
        <v>23</v>
      </c>
      <c r="B9" s="21" t="s">
        <v>24</v>
      </c>
      <c r="C9" s="14" t="s">
        <v>25</v>
      </c>
      <c r="D9" s="15">
        <v>50</v>
      </c>
      <c r="E9" s="16" t="s">
        <v>22</v>
      </c>
      <c r="F9" s="17"/>
      <c r="G9" s="18"/>
      <c r="H9" s="19"/>
    </row>
    <row r="10" spans="1:9" x14ac:dyDescent="0.25">
      <c r="A10" s="22">
        <v>10100046</v>
      </c>
      <c r="B10" s="23" t="s">
        <v>26</v>
      </c>
      <c r="C10" s="14" t="s">
        <v>27</v>
      </c>
      <c r="D10" s="15">
        <v>50</v>
      </c>
      <c r="E10" s="16" t="s">
        <v>22</v>
      </c>
      <c r="F10" s="17"/>
      <c r="G10" s="18"/>
      <c r="H10" s="19"/>
    </row>
    <row r="11" spans="1:9" x14ac:dyDescent="0.25">
      <c r="A11" s="22">
        <v>10100122</v>
      </c>
      <c r="B11" s="23" t="s">
        <v>28</v>
      </c>
      <c r="C11" s="14" t="s">
        <v>29</v>
      </c>
      <c r="D11" s="15">
        <v>50</v>
      </c>
      <c r="E11" s="16" t="s">
        <v>22</v>
      </c>
      <c r="F11" s="17"/>
      <c r="G11" s="18"/>
      <c r="H11" s="19"/>
    </row>
    <row r="12" spans="1:9" x14ac:dyDescent="0.25">
      <c r="A12" s="12">
        <v>5000001</v>
      </c>
      <c r="B12" s="13" t="s">
        <v>30</v>
      </c>
      <c r="C12" s="14" t="s">
        <v>31</v>
      </c>
      <c r="D12" s="15">
        <v>50</v>
      </c>
      <c r="E12" s="16" t="s">
        <v>22</v>
      </c>
      <c r="F12" s="17"/>
      <c r="G12" s="18"/>
      <c r="H12" s="19"/>
    </row>
    <row r="13" spans="1:9" x14ac:dyDescent="0.25">
      <c r="A13" s="24" t="s">
        <v>32</v>
      </c>
      <c r="B13" s="25" t="s">
        <v>33</v>
      </c>
      <c r="C13" s="14" t="s">
        <v>34</v>
      </c>
      <c r="D13" s="15">
        <v>7</v>
      </c>
      <c r="E13" s="16" t="s">
        <v>22</v>
      </c>
      <c r="F13" s="17"/>
      <c r="G13" s="18"/>
      <c r="H13" s="19"/>
    </row>
    <row r="14" spans="1:9" x14ac:dyDescent="0.25">
      <c r="A14" s="24" t="s">
        <v>35</v>
      </c>
      <c r="B14" s="25" t="s">
        <v>36</v>
      </c>
      <c r="C14" s="14" t="s">
        <v>37</v>
      </c>
      <c r="D14" s="15">
        <v>7</v>
      </c>
      <c r="E14" s="16" t="s">
        <v>22</v>
      </c>
      <c r="F14" s="17"/>
      <c r="G14" s="18"/>
      <c r="H14" s="19"/>
    </row>
    <row r="15" spans="1:9" x14ac:dyDescent="0.25">
      <c r="A15" s="26"/>
      <c r="B15" s="27"/>
      <c r="C15" s="14"/>
      <c r="D15" s="15"/>
      <c r="E15" s="16"/>
      <c r="F15" s="17"/>
      <c r="G15" s="18"/>
      <c r="H15" s="19"/>
    </row>
    <row r="16" spans="1:9" x14ac:dyDescent="0.25">
      <c r="A16" s="334" t="s">
        <v>222</v>
      </c>
      <c r="B16" s="334" t="s">
        <v>223</v>
      </c>
      <c r="C16" t="s">
        <v>224</v>
      </c>
      <c r="D16" s="335" t="s">
        <v>38</v>
      </c>
      <c r="E16" s="336">
        <v>1100</v>
      </c>
      <c r="F16" s="16" t="s">
        <v>22</v>
      </c>
      <c r="G16" s="366"/>
      <c r="H16" s="366"/>
      <c r="I16" t="s">
        <v>39</v>
      </c>
    </row>
    <row r="17" spans="1:12" x14ac:dyDescent="0.25">
      <c r="A17" s="12" t="s">
        <v>40</v>
      </c>
      <c r="B17" s="13" t="s">
        <v>41</v>
      </c>
      <c r="C17" s="14" t="s">
        <v>42</v>
      </c>
      <c r="D17" s="15">
        <v>1100</v>
      </c>
      <c r="E17" s="16" t="s">
        <v>22</v>
      </c>
      <c r="F17" s="17"/>
      <c r="G17" s="18"/>
      <c r="H17" s="19"/>
    </row>
    <row r="18" spans="1:12" x14ac:dyDescent="0.25">
      <c r="A18" s="28"/>
      <c r="B18" s="29"/>
      <c r="C18" s="14"/>
      <c r="D18" s="15"/>
      <c r="E18" s="16"/>
      <c r="F18" s="17"/>
      <c r="G18" s="18"/>
      <c r="H18" s="19"/>
    </row>
    <row r="19" spans="1:12" x14ac:dyDescent="0.25">
      <c r="A19" s="30">
        <v>510262</v>
      </c>
      <c r="B19" s="31" t="s">
        <v>43</v>
      </c>
      <c r="C19" s="14" t="s">
        <v>44</v>
      </c>
      <c r="D19" s="15">
        <v>800</v>
      </c>
      <c r="E19" s="16" t="s">
        <v>22</v>
      </c>
      <c r="F19" s="17"/>
      <c r="G19" s="18"/>
      <c r="H19" s="19"/>
    </row>
    <row r="20" spans="1:12" ht="15.75" thickBot="1" x14ac:dyDescent="0.3">
      <c r="A20" s="28"/>
      <c r="B20" s="32"/>
      <c r="C20" s="14"/>
      <c r="D20" s="15"/>
      <c r="E20" s="16"/>
      <c r="F20" s="33"/>
      <c r="G20" s="18"/>
      <c r="H20" s="19"/>
    </row>
    <row r="21" spans="1:12" ht="15.75" thickBot="1" x14ac:dyDescent="0.3">
      <c r="A21" s="34"/>
      <c r="B21" s="35" t="s">
        <v>45</v>
      </c>
      <c r="C21" s="36"/>
      <c r="D21" s="15"/>
      <c r="E21" s="16"/>
      <c r="F21" s="17"/>
      <c r="G21" s="18"/>
      <c r="H21" s="37"/>
    </row>
    <row r="22" spans="1:12" x14ac:dyDescent="0.25">
      <c r="A22" s="28" t="s">
        <v>46</v>
      </c>
      <c r="B22" s="29" t="s">
        <v>47</v>
      </c>
      <c r="C22" s="14" t="s">
        <v>48</v>
      </c>
      <c r="D22" s="15">
        <v>1</v>
      </c>
      <c r="E22" s="16" t="s">
        <v>49</v>
      </c>
      <c r="F22" s="17"/>
      <c r="G22" s="18"/>
      <c r="H22" s="37"/>
    </row>
    <row r="23" spans="1:12" x14ac:dyDescent="0.25">
      <c r="A23" s="28" t="s">
        <v>50</v>
      </c>
      <c r="B23" s="29" t="s">
        <v>51</v>
      </c>
      <c r="C23" s="14" t="s">
        <v>48</v>
      </c>
      <c r="D23" s="15">
        <v>2</v>
      </c>
      <c r="E23" s="16" t="s">
        <v>49</v>
      </c>
      <c r="F23" s="38"/>
      <c r="G23" s="39"/>
      <c r="H23" s="37"/>
    </row>
    <row r="24" spans="1:12" x14ac:dyDescent="0.25">
      <c r="A24" s="28" t="s">
        <v>52</v>
      </c>
      <c r="B24" s="29" t="s">
        <v>53</v>
      </c>
      <c r="C24" s="14" t="s">
        <v>54</v>
      </c>
      <c r="D24" s="15">
        <v>2</v>
      </c>
      <c r="E24" s="16" t="s">
        <v>49</v>
      </c>
      <c r="F24" s="38"/>
      <c r="G24" s="39"/>
      <c r="H24" s="37"/>
    </row>
    <row r="25" spans="1:12" x14ac:dyDescent="0.25">
      <c r="A25" s="28" t="s">
        <v>55</v>
      </c>
      <c r="B25" s="29" t="s">
        <v>56</v>
      </c>
      <c r="C25" s="14" t="s">
        <v>54</v>
      </c>
      <c r="D25" s="15">
        <v>2</v>
      </c>
      <c r="E25" s="16" t="s">
        <v>49</v>
      </c>
      <c r="F25" s="40"/>
      <c r="G25" s="40"/>
      <c r="H25" s="37"/>
    </row>
    <row r="26" spans="1:12" ht="15.75" thickBot="1" x14ac:dyDescent="0.3">
      <c r="A26" s="41"/>
      <c r="B26" s="42"/>
      <c r="C26" s="42"/>
      <c r="D26" s="43"/>
      <c r="E26" s="44"/>
      <c r="F26" s="42"/>
      <c r="G26" s="42"/>
      <c r="H26" s="45"/>
      <c r="K26" s="46"/>
    </row>
    <row r="27" spans="1:12" ht="15.75" thickBot="1" x14ac:dyDescent="0.3">
      <c r="A27" s="47"/>
      <c r="B27" s="48"/>
      <c r="C27" s="49" t="s">
        <v>16</v>
      </c>
      <c r="D27" s="50" t="s">
        <v>57</v>
      </c>
      <c r="E27" s="51"/>
      <c r="F27" s="48"/>
      <c r="G27" s="48"/>
      <c r="H27" s="52"/>
      <c r="K27" s="46"/>
    </row>
    <row r="28" spans="1:12" x14ac:dyDescent="0.25">
      <c r="A28" s="367" t="s">
        <v>58</v>
      </c>
      <c r="B28" s="368"/>
      <c r="C28" s="17">
        <v>5400</v>
      </c>
      <c r="D28" s="53" t="s">
        <v>22</v>
      </c>
      <c r="E28" s="369" t="s">
        <v>59</v>
      </c>
      <c r="F28" s="369"/>
      <c r="G28" s="370"/>
      <c r="H28" s="371"/>
      <c r="K28" s="46"/>
    </row>
    <row r="29" spans="1:12" x14ac:dyDescent="0.25">
      <c r="A29" s="372" t="s">
        <v>60</v>
      </c>
      <c r="B29" s="373"/>
      <c r="C29" s="39">
        <v>5</v>
      </c>
      <c r="D29" s="39" t="s">
        <v>61</v>
      </c>
      <c r="E29" s="378" t="s">
        <v>62</v>
      </c>
      <c r="F29" s="378"/>
      <c r="G29" s="376"/>
      <c r="H29" s="377"/>
      <c r="K29" s="46"/>
    </row>
    <row r="30" spans="1:12" x14ac:dyDescent="0.25">
      <c r="A30" s="372" t="s">
        <v>63</v>
      </c>
      <c r="B30" s="373"/>
      <c r="C30" s="39">
        <v>1</v>
      </c>
      <c r="D30" s="39" t="s">
        <v>64</v>
      </c>
      <c r="E30" s="378" t="s">
        <v>65</v>
      </c>
      <c r="F30" s="378"/>
      <c r="G30" s="376"/>
      <c r="H30" s="377"/>
      <c r="K30" s="46"/>
    </row>
    <row r="31" spans="1:12" x14ac:dyDescent="0.25">
      <c r="A31" s="372" t="s">
        <v>66</v>
      </c>
      <c r="B31" s="373"/>
      <c r="C31" s="38">
        <v>5400</v>
      </c>
      <c r="D31" s="39" t="s">
        <v>22</v>
      </c>
      <c r="E31" s="374" t="s">
        <v>67</v>
      </c>
      <c r="F31" s="375"/>
      <c r="G31" s="376"/>
      <c r="H31" s="377"/>
      <c r="K31" s="46"/>
      <c r="L31" s="54"/>
    </row>
    <row r="32" spans="1:12" ht="15.75" thickBot="1" x14ac:dyDescent="0.3">
      <c r="A32" s="358" t="s">
        <v>68</v>
      </c>
      <c r="B32" s="359"/>
      <c r="C32" s="55">
        <v>0</v>
      </c>
      <c r="D32" s="55" t="s">
        <v>22</v>
      </c>
      <c r="E32" s="360"/>
      <c r="F32" s="360"/>
      <c r="G32" s="361"/>
      <c r="H32" s="362"/>
      <c r="I32" s="56"/>
      <c r="J32" s="56"/>
      <c r="K32" s="46"/>
      <c r="L32" s="56"/>
    </row>
    <row r="33" spans="1:8" ht="15.75" thickBot="1" x14ac:dyDescent="0.3">
      <c r="A33" s="340" t="s">
        <v>69</v>
      </c>
      <c r="B33" s="341"/>
      <c r="C33" s="341"/>
      <c r="D33" s="341"/>
      <c r="E33" s="341"/>
      <c r="F33" s="341"/>
      <c r="G33" s="341"/>
      <c r="H33" s="342"/>
    </row>
    <row r="34" spans="1:8" x14ac:dyDescent="0.25">
      <c r="A34" s="343" t="s">
        <v>70</v>
      </c>
      <c r="B34" s="344"/>
      <c r="C34" s="344"/>
      <c r="D34" s="344"/>
      <c r="E34" s="344"/>
      <c r="F34" s="344"/>
      <c r="G34" s="344"/>
      <c r="H34" s="345"/>
    </row>
    <row r="35" spans="1:8" x14ac:dyDescent="0.25">
      <c r="A35" s="346" t="s">
        <v>71</v>
      </c>
      <c r="B35" s="347"/>
      <c r="C35" s="347"/>
      <c r="D35" s="347"/>
      <c r="E35" s="347"/>
      <c r="F35" s="347"/>
      <c r="G35" s="347"/>
      <c r="H35" s="348"/>
    </row>
    <row r="36" spans="1:8" ht="15.75" thickBot="1" x14ac:dyDescent="0.3">
      <c r="A36" s="349" t="s">
        <v>72</v>
      </c>
      <c r="B36" s="350"/>
      <c r="C36" s="350"/>
      <c r="D36" s="350"/>
      <c r="E36" s="350"/>
      <c r="F36" s="350"/>
      <c r="G36" s="350"/>
      <c r="H36" s="351"/>
    </row>
    <row r="37" spans="1:8" ht="15.75" thickBot="1" x14ac:dyDescent="0.3">
      <c r="A37" s="352" t="s">
        <v>73</v>
      </c>
      <c r="B37" s="353"/>
      <c r="C37" s="353"/>
      <c r="D37" s="353"/>
      <c r="E37" s="353"/>
      <c r="F37" s="353"/>
      <c r="G37" s="353"/>
      <c r="H37" s="354"/>
    </row>
    <row r="38" spans="1:8" x14ac:dyDescent="0.25">
      <c r="A38" s="355"/>
      <c r="B38" s="356"/>
      <c r="C38" s="356"/>
      <c r="D38" s="356"/>
      <c r="E38" s="356"/>
      <c r="F38" s="356"/>
      <c r="G38" s="356"/>
      <c r="H38" s="357"/>
    </row>
    <row r="39" spans="1:8" x14ac:dyDescent="0.25">
      <c r="A39" s="363"/>
      <c r="B39" s="364"/>
      <c r="C39" s="364"/>
      <c r="D39" s="364"/>
      <c r="E39" s="364"/>
      <c r="F39" s="364"/>
      <c r="G39" s="364"/>
      <c r="H39" s="365"/>
    </row>
    <row r="40" spans="1:8" x14ac:dyDescent="0.25">
      <c r="A40" s="363"/>
      <c r="B40" s="364"/>
      <c r="C40" s="364"/>
      <c r="D40" s="364"/>
      <c r="E40" s="364"/>
      <c r="F40" s="364"/>
      <c r="G40" s="364"/>
      <c r="H40" s="365"/>
    </row>
    <row r="41" spans="1:8" ht="15.75" thickBot="1" x14ac:dyDescent="0.3">
      <c r="A41" s="337"/>
      <c r="B41" s="338"/>
      <c r="C41" s="338"/>
      <c r="D41" s="338"/>
      <c r="E41" s="338"/>
      <c r="F41" s="338"/>
      <c r="G41" s="338"/>
      <c r="H41" s="339"/>
    </row>
  </sheetData>
  <mergeCells count="38">
    <mergeCell ref="H3:H5"/>
    <mergeCell ref="C4:F4"/>
    <mergeCell ref="C5:F5"/>
    <mergeCell ref="A6:A7"/>
    <mergeCell ref="B6:B7"/>
    <mergeCell ref="C6:C7"/>
    <mergeCell ref="D6:E6"/>
    <mergeCell ref="A1:A5"/>
    <mergeCell ref="B1:F1"/>
    <mergeCell ref="B2:F2"/>
    <mergeCell ref="B3:F3"/>
    <mergeCell ref="G3:G5"/>
    <mergeCell ref="F6:G6"/>
    <mergeCell ref="G16:H16"/>
    <mergeCell ref="A28:B28"/>
    <mergeCell ref="E28:F28"/>
    <mergeCell ref="G28:H28"/>
    <mergeCell ref="A31:B31"/>
    <mergeCell ref="E31:F31"/>
    <mergeCell ref="G31:H31"/>
    <mergeCell ref="A29:B29"/>
    <mergeCell ref="E29:F29"/>
    <mergeCell ref="G29:H29"/>
    <mergeCell ref="A30:B30"/>
    <mergeCell ref="E30:F30"/>
    <mergeCell ref="G30:H30"/>
    <mergeCell ref="A32:B32"/>
    <mergeCell ref="E32:F32"/>
    <mergeCell ref="G32:H32"/>
    <mergeCell ref="A39:H39"/>
    <mergeCell ref="A40:H40"/>
    <mergeCell ref="A41:H41"/>
    <mergeCell ref="A33:H33"/>
    <mergeCell ref="A34:H34"/>
    <mergeCell ref="A35:H35"/>
    <mergeCell ref="A36:H36"/>
    <mergeCell ref="A37:H37"/>
    <mergeCell ref="A38:H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95CE-B95A-49E5-8E9E-322CCF31AA32}">
  <sheetPr>
    <pageSetUpPr fitToPage="1"/>
  </sheetPr>
  <dimension ref="A1:I58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52.140625" bestFit="1" customWidth="1"/>
    <col min="4" max="4" width="22.7109375" customWidth="1"/>
    <col min="7" max="7" width="21.42578125" customWidth="1"/>
    <col min="8" max="8" width="16.140625" customWidth="1"/>
    <col min="9" max="9" width="18.140625" bestFit="1" customWidth="1"/>
  </cols>
  <sheetData>
    <row r="1" spans="1:9" ht="15.75" x14ac:dyDescent="0.25">
      <c r="A1" s="403"/>
      <c r="B1" s="404"/>
      <c r="C1" s="394" t="s">
        <v>0</v>
      </c>
      <c r="D1" s="394"/>
      <c r="E1" s="394"/>
      <c r="F1" s="394"/>
      <c r="G1" s="394"/>
      <c r="H1" s="1" t="s">
        <v>1</v>
      </c>
      <c r="I1" s="2" t="s">
        <v>275</v>
      </c>
    </row>
    <row r="2" spans="1:9" ht="18" customHeight="1" thickBot="1" x14ac:dyDescent="0.3">
      <c r="A2" s="393"/>
      <c r="B2" s="405"/>
      <c r="C2" s="408" t="s">
        <v>2</v>
      </c>
      <c r="D2" s="409"/>
      <c r="E2" s="409"/>
      <c r="F2" s="409"/>
      <c r="G2" s="410"/>
      <c r="H2" s="3" t="s">
        <v>3</v>
      </c>
      <c r="I2" s="4" t="s">
        <v>243</v>
      </c>
    </row>
    <row r="3" spans="1:9" ht="33" customHeight="1" thickBot="1" x14ac:dyDescent="0.3">
      <c r="A3" s="393"/>
      <c r="B3" s="405"/>
      <c r="C3" s="773" t="s">
        <v>239</v>
      </c>
      <c r="D3" s="774"/>
      <c r="E3" s="774"/>
      <c r="F3" s="774"/>
      <c r="G3" s="775"/>
      <c r="H3" s="399" t="s">
        <v>5</v>
      </c>
      <c r="I3" s="379">
        <v>45617</v>
      </c>
    </row>
    <row r="4" spans="1:9" ht="18" customHeight="1" x14ac:dyDescent="0.25">
      <c r="A4" s="393"/>
      <c r="B4" s="405"/>
      <c r="C4" s="5" t="s">
        <v>6</v>
      </c>
      <c r="D4" s="381" t="s">
        <v>244</v>
      </c>
      <c r="E4" s="382"/>
      <c r="F4" s="382"/>
      <c r="G4" s="383"/>
      <c r="H4" s="400"/>
      <c r="I4" s="380"/>
    </row>
    <row r="5" spans="1:9" ht="15.75" thickBot="1" x14ac:dyDescent="0.3">
      <c r="A5" s="406"/>
      <c r="B5" s="407"/>
      <c r="C5" s="6" t="s">
        <v>8</v>
      </c>
      <c r="D5" s="384" t="s">
        <v>9</v>
      </c>
      <c r="E5" s="385"/>
      <c r="F5" s="385"/>
      <c r="G5" s="386"/>
      <c r="H5" s="401"/>
      <c r="I5" s="402"/>
    </row>
    <row r="6" spans="1:9" ht="18.75" thickBot="1" x14ac:dyDescent="0.3">
      <c r="A6" s="411" t="s">
        <v>218</v>
      </c>
      <c r="B6" s="411"/>
      <c r="C6" s="411"/>
      <c r="D6" s="649" t="s">
        <v>245</v>
      </c>
      <c r="E6" s="649"/>
      <c r="F6" s="649"/>
      <c r="G6" s="412" t="s">
        <v>219</v>
      </c>
      <c r="H6" s="412"/>
      <c r="I6" s="650" t="s">
        <v>245</v>
      </c>
    </row>
    <row r="7" spans="1:9" ht="25.5" x14ac:dyDescent="0.25">
      <c r="A7" s="387" t="s">
        <v>10</v>
      </c>
      <c r="B7" s="414" t="s">
        <v>246</v>
      </c>
      <c r="C7" s="389" t="s">
        <v>11</v>
      </c>
      <c r="D7" s="389" t="s">
        <v>12</v>
      </c>
      <c r="E7" s="389" t="s">
        <v>13</v>
      </c>
      <c r="F7" s="389"/>
      <c r="G7" s="389" t="s">
        <v>14</v>
      </c>
      <c r="H7" s="389"/>
      <c r="I7" s="7" t="s">
        <v>15</v>
      </c>
    </row>
    <row r="8" spans="1:9" ht="27" thickBot="1" x14ac:dyDescent="0.3">
      <c r="A8" s="413"/>
      <c r="B8" s="415"/>
      <c r="C8" s="416"/>
      <c r="D8" s="416"/>
      <c r="E8" s="10" t="s">
        <v>16</v>
      </c>
      <c r="F8" s="9" t="s">
        <v>17</v>
      </c>
      <c r="G8" s="10" t="s">
        <v>16</v>
      </c>
      <c r="H8" s="9" t="s">
        <v>17</v>
      </c>
      <c r="I8" s="11" t="s">
        <v>18</v>
      </c>
    </row>
    <row r="9" spans="1:9" ht="18.600000000000001" customHeight="1" x14ac:dyDescent="0.3">
      <c r="A9" s="651"/>
      <c r="B9" s="652"/>
      <c r="C9" s="653" t="s">
        <v>247</v>
      </c>
      <c r="D9" s="654"/>
      <c r="E9" s="655"/>
      <c r="F9" s="656"/>
      <c r="G9" s="655"/>
      <c r="H9" s="656"/>
      <c r="I9" s="657"/>
    </row>
    <row r="10" spans="1:9" ht="20.25" x14ac:dyDescent="0.3">
      <c r="A10" s="658" t="s">
        <v>19</v>
      </c>
      <c r="B10" s="659" t="s">
        <v>225</v>
      </c>
      <c r="C10" s="660" t="s">
        <v>248</v>
      </c>
      <c r="D10" s="661" t="s">
        <v>249</v>
      </c>
      <c r="E10" s="662">
        <v>2275</v>
      </c>
      <c r="F10" s="663" t="s">
        <v>22</v>
      </c>
      <c r="G10" s="664"/>
      <c r="H10" s="665"/>
      <c r="I10" s="657"/>
    </row>
    <row r="11" spans="1:9" ht="20.25" x14ac:dyDescent="0.3">
      <c r="A11" s="658" t="s">
        <v>23</v>
      </c>
      <c r="B11" s="666" t="s">
        <v>226</v>
      </c>
      <c r="C11" s="660" t="s">
        <v>250</v>
      </c>
      <c r="D11" s="661" t="s">
        <v>251</v>
      </c>
      <c r="E11" s="662">
        <v>50</v>
      </c>
      <c r="F11" s="663" t="s">
        <v>22</v>
      </c>
      <c r="G11" s="664"/>
      <c r="H11" s="665"/>
      <c r="I11" s="657"/>
    </row>
    <row r="12" spans="1:9" ht="20.25" x14ac:dyDescent="0.3">
      <c r="A12" s="667" t="s">
        <v>87</v>
      </c>
      <c r="B12" s="668" t="s">
        <v>227</v>
      </c>
      <c r="C12" s="669" t="s">
        <v>252</v>
      </c>
      <c r="D12" s="670" t="s">
        <v>253</v>
      </c>
      <c r="E12" s="662">
        <v>50</v>
      </c>
      <c r="F12" s="663" t="s">
        <v>22</v>
      </c>
      <c r="G12" s="671"/>
      <c r="H12" s="665"/>
      <c r="I12" s="657"/>
    </row>
    <row r="13" spans="1:9" ht="20.25" x14ac:dyDescent="0.3">
      <c r="A13" s="666" t="s">
        <v>88</v>
      </c>
      <c r="B13" s="666" t="s">
        <v>228</v>
      </c>
      <c r="C13" s="672" t="s">
        <v>254</v>
      </c>
      <c r="D13" s="671" t="s">
        <v>255</v>
      </c>
      <c r="E13" s="671">
        <v>50</v>
      </c>
      <c r="F13" s="671" t="s">
        <v>22</v>
      </c>
      <c r="G13" s="671"/>
      <c r="H13" s="665"/>
      <c r="I13" s="657"/>
    </row>
    <row r="14" spans="1:9" ht="20.25" x14ac:dyDescent="0.3">
      <c r="A14" s="673" t="s">
        <v>90</v>
      </c>
      <c r="B14" s="673" t="s">
        <v>229</v>
      </c>
      <c r="C14" s="674" t="s">
        <v>256</v>
      </c>
      <c r="D14" s="671" t="s">
        <v>257</v>
      </c>
      <c r="E14" s="671">
        <v>50</v>
      </c>
      <c r="F14" s="671" t="s">
        <v>22</v>
      </c>
      <c r="G14" s="671"/>
      <c r="H14" s="665"/>
      <c r="I14" s="657"/>
    </row>
    <row r="15" spans="1:9" ht="20.25" x14ac:dyDescent="0.3">
      <c r="A15" s="673" t="s">
        <v>32</v>
      </c>
      <c r="B15" s="673" t="s">
        <v>230</v>
      </c>
      <c r="C15" s="674" t="s">
        <v>258</v>
      </c>
      <c r="D15" s="671" t="s">
        <v>259</v>
      </c>
      <c r="E15" s="671">
        <v>7</v>
      </c>
      <c r="F15" s="671" t="s">
        <v>22</v>
      </c>
      <c r="G15" s="671"/>
      <c r="H15" s="665"/>
      <c r="I15" s="657"/>
    </row>
    <row r="16" spans="1:9" ht="20.25" x14ac:dyDescent="0.3">
      <c r="A16" s="673" t="s">
        <v>91</v>
      </c>
      <c r="B16" s="673" t="s">
        <v>231</v>
      </c>
      <c r="C16" s="674" t="s">
        <v>36</v>
      </c>
      <c r="D16" s="671" t="s">
        <v>260</v>
      </c>
      <c r="E16" s="671">
        <v>7</v>
      </c>
      <c r="F16" s="671" t="s">
        <v>22</v>
      </c>
      <c r="G16" s="671"/>
      <c r="H16" s="665"/>
      <c r="I16" s="657"/>
    </row>
    <row r="17" spans="1:9" ht="20.25" x14ac:dyDescent="0.3">
      <c r="A17" s="673"/>
      <c r="B17" s="673"/>
      <c r="C17" s="674" t="s">
        <v>261</v>
      </c>
      <c r="D17" s="671" t="s">
        <v>261</v>
      </c>
      <c r="E17" s="671"/>
      <c r="F17" s="671"/>
      <c r="G17" s="671"/>
      <c r="H17" s="665"/>
      <c r="I17" s="657"/>
    </row>
    <row r="18" spans="1:9" ht="20.25" x14ac:dyDescent="0.3">
      <c r="A18" s="673" t="s">
        <v>222</v>
      </c>
      <c r="B18" s="673" t="s">
        <v>223</v>
      </c>
      <c r="C18" s="674" t="s">
        <v>262</v>
      </c>
      <c r="D18" s="671" t="s">
        <v>263</v>
      </c>
      <c r="E18" s="671">
        <v>1100</v>
      </c>
      <c r="F18" s="671" t="s">
        <v>22</v>
      </c>
      <c r="G18" s="671"/>
      <c r="H18" s="665"/>
      <c r="I18" s="657"/>
    </row>
    <row r="19" spans="1:9" ht="20.25" x14ac:dyDescent="0.3">
      <c r="A19" s="673" t="s">
        <v>40</v>
      </c>
      <c r="B19" s="673" t="s">
        <v>232</v>
      </c>
      <c r="C19" s="674" t="s">
        <v>264</v>
      </c>
      <c r="D19" s="671" t="s">
        <v>265</v>
      </c>
      <c r="E19" s="671">
        <v>1100</v>
      </c>
      <c r="F19" s="671" t="s">
        <v>22</v>
      </c>
      <c r="G19" s="671"/>
      <c r="H19" s="665"/>
      <c r="I19" s="657"/>
    </row>
    <row r="20" spans="1:9" ht="20.25" x14ac:dyDescent="0.3">
      <c r="A20" s="673"/>
      <c r="B20" s="673"/>
      <c r="C20" s="674" t="s">
        <v>261</v>
      </c>
      <c r="D20" s="671" t="s">
        <v>261</v>
      </c>
      <c r="E20" s="671"/>
      <c r="F20" s="671"/>
      <c r="G20" s="671"/>
      <c r="H20" s="665"/>
      <c r="I20" s="657"/>
    </row>
    <row r="21" spans="1:9" ht="20.25" x14ac:dyDescent="0.3">
      <c r="A21" s="673" t="s">
        <v>233</v>
      </c>
      <c r="B21" s="673" t="s">
        <v>234</v>
      </c>
      <c r="C21" s="674" t="s">
        <v>266</v>
      </c>
      <c r="D21" s="671" t="s">
        <v>267</v>
      </c>
      <c r="E21" s="671">
        <v>800</v>
      </c>
      <c r="F21" s="671" t="s">
        <v>22</v>
      </c>
      <c r="G21" s="671"/>
      <c r="H21" s="665"/>
      <c r="I21" s="657"/>
    </row>
    <row r="22" spans="1:9" ht="20.25" x14ac:dyDescent="0.3">
      <c r="A22" s="666"/>
      <c r="B22" s="666"/>
      <c r="C22" s="675"/>
      <c r="D22" s="671"/>
      <c r="E22" s="671"/>
      <c r="F22" s="671"/>
      <c r="G22" s="671"/>
      <c r="H22" s="665"/>
      <c r="I22" s="657"/>
    </row>
    <row r="23" spans="1:9" ht="20.25" x14ac:dyDescent="0.3">
      <c r="A23" s="666"/>
      <c r="B23" s="666"/>
      <c r="C23" s="675"/>
      <c r="D23" s="671"/>
      <c r="E23" s="671"/>
      <c r="F23" s="671"/>
      <c r="G23" s="671"/>
      <c r="H23" s="665"/>
      <c r="I23" s="657"/>
    </row>
    <row r="24" spans="1:9" ht="20.25" x14ac:dyDescent="0.3">
      <c r="A24" s="676"/>
      <c r="B24" s="677"/>
      <c r="C24" s="678" t="s">
        <v>268</v>
      </c>
      <c r="D24" s="671"/>
      <c r="E24" s="671"/>
      <c r="F24" s="671"/>
      <c r="G24" s="671"/>
      <c r="H24" s="665"/>
      <c r="I24" s="657"/>
    </row>
    <row r="25" spans="1:9" ht="20.25" x14ac:dyDescent="0.3">
      <c r="A25" s="679"/>
      <c r="B25" s="666"/>
      <c r="C25" s="675"/>
      <c r="D25" s="680"/>
      <c r="E25" s="680"/>
      <c r="F25" s="680"/>
      <c r="G25" s="655"/>
      <c r="H25" s="665"/>
      <c r="I25" s="657"/>
    </row>
    <row r="26" spans="1:9" ht="20.25" x14ac:dyDescent="0.3">
      <c r="A26" s="676"/>
      <c r="B26" s="677"/>
      <c r="C26" s="678"/>
      <c r="D26" s="670"/>
      <c r="E26" s="681"/>
      <c r="F26" s="663"/>
      <c r="G26" s="655"/>
      <c r="H26" s="665"/>
      <c r="I26" s="657"/>
    </row>
    <row r="27" spans="1:9" ht="20.25" x14ac:dyDescent="0.3">
      <c r="A27" s="682"/>
      <c r="B27" s="683"/>
      <c r="C27" s="684"/>
      <c r="D27" s="685"/>
      <c r="E27" s="686"/>
      <c r="F27" s="687"/>
      <c r="G27" s="655"/>
      <c r="H27" s="665"/>
      <c r="I27" s="657"/>
    </row>
    <row r="28" spans="1:9" ht="20.25" x14ac:dyDescent="0.3">
      <c r="A28" s="682"/>
      <c r="B28" s="683"/>
      <c r="C28" s="684"/>
      <c r="D28" s="685"/>
      <c r="E28" s="688"/>
      <c r="F28" s="687"/>
      <c r="G28" s="655"/>
      <c r="H28" s="656"/>
      <c r="I28" s="657"/>
    </row>
    <row r="29" spans="1:9" ht="20.25" x14ac:dyDescent="0.3">
      <c r="A29" s="682"/>
      <c r="B29" s="683"/>
      <c r="C29" s="684"/>
      <c r="D29" s="685"/>
      <c r="E29" s="686"/>
      <c r="F29" s="687"/>
      <c r="G29" s="655"/>
      <c r="H29" s="656"/>
      <c r="I29" s="657"/>
    </row>
    <row r="30" spans="1:9" ht="20.25" x14ac:dyDescent="0.3">
      <c r="A30" s="682"/>
      <c r="B30" s="683"/>
      <c r="C30" s="684"/>
      <c r="D30" s="685"/>
      <c r="E30" s="689"/>
      <c r="F30" s="690"/>
      <c r="G30" s="655"/>
      <c r="H30" s="656"/>
      <c r="I30" s="657"/>
    </row>
    <row r="31" spans="1:9" ht="20.25" x14ac:dyDescent="0.3">
      <c r="A31" s="666"/>
      <c r="B31" s="666"/>
      <c r="C31" s="675"/>
      <c r="D31" s="691"/>
      <c r="E31" s="692"/>
      <c r="F31" s="693"/>
      <c r="G31" s="655"/>
      <c r="H31" s="656"/>
      <c r="I31" s="657"/>
    </row>
    <row r="32" spans="1:9" ht="20.25" x14ac:dyDescent="0.3">
      <c r="A32" s="694"/>
      <c r="B32" s="695"/>
      <c r="C32" s="696" t="s">
        <v>269</v>
      </c>
      <c r="D32" s="697"/>
      <c r="E32" s="698"/>
      <c r="F32" s="656"/>
      <c r="G32" s="655"/>
      <c r="H32" s="699"/>
      <c r="I32" s="657"/>
    </row>
    <row r="33" spans="1:9" ht="20.25" x14ac:dyDescent="0.3">
      <c r="A33" s="700" t="s">
        <v>46</v>
      </c>
      <c r="B33" s="701" t="s">
        <v>235</v>
      </c>
      <c r="C33" s="702" t="s">
        <v>270</v>
      </c>
      <c r="D33" s="671" t="s">
        <v>271</v>
      </c>
      <c r="E33" s="692">
        <v>1</v>
      </c>
      <c r="F33" s="693" t="s">
        <v>49</v>
      </c>
      <c r="G33" s="703"/>
      <c r="H33" s="656"/>
      <c r="I33" s="657"/>
    </row>
    <row r="34" spans="1:9" ht="20.25" x14ac:dyDescent="0.3">
      <c r="A34" s="700" t="s">
        <v>50</v>
      </c>
      <c r="B34" s="701" t="s">
        <v>236</v>
      </c>
      <c r="C34" s="702" t="s">
        <v>272</v>
      </c>
      <c r="D34" s="671" t="s">
        <v>271</v>
      </c>
      <c r="E34" s="692">
        <v>2</v>
      </c>
      <c r="F34" s="693" t="s">
        <v>49</v>
      </c>
      <c r="G34" s="703"/>
      <c r="H34" s="656"/>
      <c r="I34" s="657"/>
    </row>
    <row r="35" spans="1:9" ht="20.25" x14ac:dyDescent="0.3">
      <c r="A35" s="704" t="s">
        <v>52</v>
      </c>
      <c r="B35" s="705" t="s">
        <v>237</v>
      </c>
      <c r="C35" s="706" t="s">
        <v>276</v>
      </c>
      <c r="D35" s="671" t="s">
        <v>273</v>
      </c>
      <c r="E35" s="692">
        <v>2</v>
      </c>
      <c r="F35" s="693" t="s">
        <v>49</v>
      </c>
      <c r="G35" s="703"/>
      <c r="H35" s="656"/>
      <c r="I35" s="657"/>
    </row>
    <row r="36" spans="1:9" ht="20.25" x14ac:dyDescent="0.3">
      <c r="A36" s="707" t="s">
        <v>55</v>
      </c>
      <c r="B36" s="707" t="s">
        <v>238</v>
      </c>
      <c r="C36" s="708" t="s">
        <v>274</v>
      </c>
      <c r="D36" s="671" t="s">
        <v>273</v>
      </c>
      <c r="E36" s="692">
        <v>2</v>
      </c>
      <c r="F36" s="693" t="s">
        <v>49</v>
      </c>
      <c r="G36" s="655"/>
      <c r="H36" s="656"/>
      <c r="I36" s="657"/>
    </row>
    <row r="37" spans="1:9" ht="20.25" x14ac:dyDescent="0.3">
      <c r="A37" s="707"/>
      <c r="B37" s="707"/>
      <c r="C37" s="708"/>
      <c r="D37" s="671"/>
      <c r="E37" s="692"/>
      <c r="F37" s="693"/>
      <c r="G37" s="655"/>
      <c r="H37" s="656"/>
      <c r="I37" s="657"/>
    </row>
    <row r="38" spans="1:9" ht="20.25" x14ac:dyDescent="0.3">
      <c r="A38" s="707"/>
      <c r="B38" s="707"/>
      <c r="C38" s="708"/>
      <c r="D38" s="671"/>
      <c r="E38" s="692"/>
      <c r="F38" s="693"/>
      <c r="G38" s="709"/>
      <c r="H38" s="656"/>
      <c r="I38" s="657"/>
    </row>
    <row r="39" spans="1:9" ht="20.25" x14ac:dyDescent="0.3">
      <c r="A39" s="707"/>
      <c r="B39" s="707"/>
      <c r="C39" s="708"/>
      <c r="D39" s="671"/>
      <c r="E39" s="692"/>
      <c r="F39" s="693"/>
      <c r="G39" s="662"/>
      <c r="H39" s="656"/>
      <c r="I39" s="657"/>
    </row>
    <row r="40" spans="1:9" ht="20.25" x14ac:dyDescent="0.3">
      <c r="A40" s="710"/>
      <c r="B40" s="710"/>
      <c r="C40" s="711"/>
      <c r="D40" s="671"/>
      <c r="E40" s="693"/>
      <c r="F40" s="693"/>
      <c r="G40" s="662"/>
      <c r="H40" s="656"/>
      <c r="I40" s="657"/>
    </row>
    <row r="41" spans="1:9" ht="20.25" x14ac:dyDescent="0.3">
      <c r="A41" s="712"/>
      <c r="B41" s="666"/>
      <c r="C41" s="713"/>
      <c r="D41" s="691"/>
      <c r="E41" s="692"/>
      <c r="F41" s="671"/>
      <c r="G41" s="662"/>
      <c r="H41" s="656"/>
      <c r="I41" s="657"/>
    </row>
    <row r="42" spans="1:9" ht="20.25" x14ac:dyDescent="0.3">
      <c r="A42" s="707"/>
      <c r="B42" s="707"/>
      <c r="C42" s="708"/>
      <c r="D42" s="671"/>
      <c r="E42" s="692"/>
      <c r="F42" s="671"/>
      <c r="G42" s="662"/>
      <c r="H42" s="656"/>
      <c r="I42" s="657"/>
    </row>
    <row r="43" spans="1:9" ht="20.25" x14ac:dyDescent="0.3">
      <c r="A43" s="676"/>
      <c r="B43" s="677"/>
      <c r="C43" s="714"/>
      <c r="D43" s="670"/>
      <c r="E43" s="670"/>
      <c r="F43" s="663"/>
      <c r="G43" s="670"/>
      <c r="H43" s="670"/>
      <c r="I43" s="657"/>
    </row>
    <row r="44" spans="1:9" ht="21" thickBot="1" x14ac:dyDescent="0.35">
      <c r="A44" s="715"/>
      <c r="B44" s="716"/>
      <c r="C44" s="717"/>
      <c r="D44" s="717"/>
      <c r="E44" s="718"/>
      <c r="F44" s="719"/>
      <c r="G44" s="717"/>
      <c r="H44" s="717"/>
      <c r="I44" s="720"/>
    </row>
    <row r="45" spans="1:9" ht="21" thickBot="1" x14ac:dyDescent="0.35">
      <c r="A45" s="721"/>
      <c r="B45" s="722"/>
      <c r="C45" s="723"/>
      <c r="D45" s="724" t="s">
        <v>16</v>
      </c>
      <c r="E45" s="725" t="s">
        <v>57</v>
      </c>
      <c r="F45" s="726"/>
      <c r="G45" s="723"/>
      <c r="H45" s="723"/>
      <c r="I45" s="727"/>
    </row>
    <row r="46" spans="1:9" ht="20.25" x14ac:dyDescent="0.3">
      <c r="A46" s="728" t="s">
        <v>58</v>
      </c>
      <c r="B46" s="729"/>
      <c r="C46" s="730"/>
      <c r="D46" s="731">
        <v>5400</v>
      </c>
      <c r="E46" s="732" t="s">
        <v>22</v>
      </c>
      <c r="F46" s="733" t="s">
        <v>59</v>
      </c>
      <c r="G46" s="733"/>
      <c r="H46" s="734"/>
      <c r="I46" s="735"/>
    </row>
    <row r="47" spans="1:9" ht="20.25" x14ac:dyDescent="0.3">
      <c r="A47" s="736" t="s">
        <v>60</v>
      </c>
      <c r="B47" s="737"/>
      <c r="C47" s="738"/>
      <c r="D47" s="692">
        <v>4</v>
      </c>
      <c r="E47" s="671" t="s">
        <v>213</v>
      </c>
      <c r="F47" s="739" t="s">
        <v>62</v>
      </c>
      <c r="G47" s="739"/>
      <c r="H47" s="740"/>
      <c r="I47" s="741"/>
    </row>
    <row r="48" spans="1:9" ht="20.25" x14ac:dyDescent="0.3">
      <c r="A48" s="736" t="s">
        <v>63</v>
      </c>
      <c r="B48" s="737"/>
      <c r="C48" s="738"/>
      <c r="D48" s="692">
        <v>1</v>
      </c>
      <c r="E48" s="671" t="s">
        <v>49</v>
      </c>
      <c r="F48" s="739" t="s">
        <v>65</v>
      </c>
      <c r="G48" s="739"/>
      <c r="H48" s="740"/>
      <c r="I48" s="741"/>
    </row>
    <row r="49" spans="1:9" ht="20.25" x14ac:dyDescent="0.3">
      <c r="A49" s="736" t="s">
        <v>66</v>
      </c>
      <c r="B49" s="737"/>
      <c r="C49" s="738"/>
      <c r="D49" s="692">
        <v>5400</v>
      </c>
      <c r="E49" s="671" t="s">
        <v>22</v>
      </c>
      <c r="F49" s="742" t="s">
        <v>67</v>
      </c>
      <c r="G49" s="743"/>
      <c r="H49" s="744"/>
      <c r="I49" s="745"/>
    </row>
    <row r="50" spans="1:9" ht="21" thickBot="1" x14ac:dyDescent="0.35">
      <c r="A50" s="746" t="s">
        <v>68</v>
      </c>
      <c r="B50" s="747"/>
      <c r="C50" s="748"/>
      <c r="D50" s="749">
        <v>89</v>
      </c>
      <c r="E50" s="750" t="s">
        <v>22</v>
      </c>
      <c r="F50" s="751"/>
      <c r="G50" s="751"/>
      <c r="H50" s="740"/>
      <c r="I50" s="741"/>
    </row>
    <row r="51" spans="1:9" ht="21" thickBot="1" x14ac:dyDescent="0.35">
      <c r="A51" s="770" t="s">
        <v>69</v>
      </c>
      <c r="B51" s="771"/>
      <c r="C51" s="771"/>
      <c r="D51" s="771"/>
      <c r="E51" s="771"/>
      <c r="F51" s="771"/>
      <c r="G51" s="771"/>
      <c r="H51" s="771"/>
      <c r="I51" s="772"/>
    </row>
    <row r="52" spans="1:9" ht="20.25" x14ac:dyDescent="0.3">
      <c r="A52" s="752" t="s">
        <v>240</v>
      </c>
      <c r="B52" s="753"/>
      <c r="C52" s="754"/>
      <c r="D52" s="754"/>
      <c r="E52" s="754"/>
      <c r="F52" s="754"/>
      <c r="G52" s="754"/>
      <c r="H52" s="754"/>
      <c r="I52" s="755"/>
    </row>
    <row r="53" spans="1:9" ht="20.25" x14ac:dyDescent="0.3">
      <c r="A53" s="756" t="s">
        <v>241</v>
      </c>
      <c r="B53" s="757"/>
      <c r="C53" s="758"/>
      <c r="D53" s="758"/>
      <c r="E53" s="758"/>
      <c r="F53" s="758"/>
      <c r="G53" s="758"/>
      <c r="H53" s="758"/>
      <c r="I53" s="759"/>
    </row>
    <row r="54" spans="1:9" ht="20.25" x14ac:dyDescent="0.3">
      <c r="A54" s="760" t="s">
        <v>242</v>
      </c>
      <c r="B54" s="761"/>
      <c r="C54" s="762"/>
      <c r="D54" s="762"/>
      <c r="E54" s="762"/>
      <c r="F54" s="762"/>
      <c r="G54" s="762"/>
      <c r="H54" s="762"/>
      <c r="I54" s="763"/>
    </row>
    <row r="55" spans="1:9" ht="21" thickBot="1" x14ac:dyDescent="0.3">
      <c r="A55" s="764"/>
      <c r="B55" s="765"/>
      <c r="C55" s="765"/>
      <c r="D55" s="765"/>
      <c r="E55" s="765"/>
      <c r="F55" s="765"/>
      <c r="G55" s="765"/>
      <c r="H55" s="765"/>
      <c r="I55" s="766"/>
    </row>
    <row r="56" spans="1:9" ht="20.25" x14ac:dyDescent="0.3">
      <c r="A56" s="767" t="s">
        <v>73</v>
      </c>
      <c r="B56" s="768"/>
      <c r="C56" s="768"/>
      <c r="D56" s="768"/>
      <c r="E56" s="768"/>
      <c r="F56" s="768"/>
      <c r="G56" s="768"/>
      <c r="H56" s="768"/>
      <c r="I56" s="768"/>
    </row>
    <row r="57" spans="1:9" ht="20.25" x14ac:dyDescent="0.3">
      <c r="A57" s="769"/>
      <c r="B57" s="769"/>
      <c r="C57" s="769"/>
      <c r="D57" s="769"/>
      <c r="E57" s="769"/>
      <c r="F57" s="769"/>
      <c r="G57" s="769"/>
      <c r="H57" s="769"/>
      <c r="I57" s="769"/>
    </row>
    <row r="58" spans="1:9" ht="20.25" x14ac:dyDescent="0.3">
      <c r="A58" s="769"/>
      <c r="B58" s="769"/>
      <c r="C58" s="769"/>
      <c r="D58" s="769"/>
      <c r="E58" s="769"/>
      <c r="F58" s="769"/>
      <c r="G58" s="769"/>
      <c r="H58" s="769"/>
      <c r="I58" s="769"/>
    </row>
  </sheetData>
  <mergeCells count="40">
    <mergeCell ref="A56:I56"/>
    <mergeCell ref="A57:I57"/>
    <mergeCell ref="A58:I58"/>
    <mergeCell ref="A54:I54"/>
    <mergeCell ref="A55:I55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A59A-9299-4921-960E-BCCB2A083BB1}">
  <dimension ref="A1:Q95"/>
  <sheetViews>
    <sheetView topLeftCell="A5" workbookViewId="0">
      <selection activeCell="E16" sqref="E16"/>
    </sheetView>
  </sheetViews>
  <sheetFormatPr baseColWidth="10" defaultColWidth="8.42578125" defaultRowHeight="12.75" x14ac:dyDescent="0.25"/>
  <cols>
    <col min="1" max="1" width="10" style="62" bestFit="1" customWidth="1"/>
    <col min="2" max="2" width="44.28515625" style="62" bestFit="1" customWidth="1"/>
    <col min="3" max="3" width="10.42578125" style="62" bestFit="1" customWidth="1"/>
    <col min="4" max="4" width="10.42578125" style="62" customWidth="1"/>
    <col min="5" max="5" width="9.7109375" style="62" bestFit="1" customWidth="1"/>
    <col min="6" max="6" width="9.5703125" style="62" bestFit="1" customWidth="1"/>
    <col min="7" max="7" width="9.5703125" style="146" bestFit="1" customWidth="1"/>
    <col min="8" max="8" width="10.42578125" style="137" bestFit="1" customWidth="1"/>
    <col min="9" max="9" width="4.5703125" style="137" customWidth="1"/>
    <col min="10" max="10" width="1.85546875" style="61" customWidth="1"/>
    <col min="11" max="11" width="7" style="62" bestFit="1" customWidth="1"/>
    <col min="12" max="12" width="6.28515625" style="62" customWidth="1"/>
    <col min="13" max="13" width="20.42578125" style="62" customWidth="1"/>
    <col min="14" max="14" width="6.42578125" style="62" bestFit="1" customWidth="1"/>
    <col min="15" max="16" width="8.42578125" style="62"/>
    <col min="17" max="17" width="3.28515625" style="62" customWidth="1"/>
    <col min="18" max="256" width="8.42578125" style="62"/>
    <col min="257" max="257" width="10" style="62" bestFit="1" customWidth="1"/>
    <col min="258" max="258" width="44.28515625" style="62" bestFit="1" customWidth="1"/>
    <col min="259" max="259" width="10.42578125" style="62" bestFit="1" customWidth="1"/>
    <col min="260" max="260" width="10.42578125" style="62" customWidth="1"/>
    <col min="261" max="261" width="9.7109375" style="62" bestFit="1" customWidth="1"/>
    <col min="262" max="263" width="9.5703125" style="62" bestFit="1" customWidth="1"/>
    <col min="264" max="264" width="10.42578125" style="62" bestFit="1" customWidth="1"/>
    <col min="265" max="265" width="4.5703125" style="62" customWidth="1"/>
    <col min="266" max="266" width="1.85546875" style="62" customWidth="1"/>
    <col min="267" max="267" width="7" style="62" bestFit="1" customWidth="1"/>
    <col min="268" max="268" width="6.28515625" style="62" customWidth="1"/>
    <col min="269" max="269" width="20.42578125" style="62" customWidth="1"/>
    <col min="270" max="270" width="6.42578125" style="62" bestFit="1" customWidth="1"/>
    <col min="271" max="272" width="8.42578125" style="62"/>
    <col min="273" max="273" width="3.28515625" style="62" customWidth="1"/>
    <col min="274" max="512" width="8.42578125" style="62"/>
    <col min="513" max="513" width="10" style="62" bestFit="1" customWidth="1"/>
    <col min="514" max="514" width="44.28515625" style="62" bestFit="1" customWidth="1"/>
    <col min="515" max="515" width="10.42578125" style="62" bestFit="1" customWidth="1"/>
    <col min="516" max="516" width="10.42578125" style="62" customWidth="1"/>
    <col min="517" max="517" width="9.7109375" style="62" bestFit="1" customWidth="1"/>
    <col min="518" max="519" width="9.5703125" style="62" bestFit="1" customWidth="1"/>
    <col min="520" max="520" width="10.42578125" style="62" bestFit="1" customWidth="1"/>
    <col min="521" max="521" width="4.5703125" style="62" customWidth="1"/>
    <col min="522" max="522" width="1.85546875" style="62" customWidth="1"/>
    <col min="523" max="523" width="7" style="62" bestFit="1" customWidth="1"/>
    <col min="524" max="524" width="6.28515625" style="62" customWidth="1"/>
    <col min="525" max="525" width="20.42578125" style="62" customWidth="1"/>
    <col min="526" max="526" width="6.42578125" style="62" bestFit="1" customWidth="1"/>
    <col min="527" max="528" width="8.42578125" style="62"/>
    <col min="529" max="529" width="3.28515625" style="62" customWidth="1"/>
    <col min="530" max="768" width="8.42578125" style="62"/>
    <col min="769" max="769" width="10" style="62" bestFit="1" customWidth="1"/>
    <col min="770" max="770" width="44.28515625" style="62" bestFit="1" customWidth="1"/>
    <col min="771" max="771" width="10.42578125" style="62" bestFit="1" customWidth="1"/>
    <col min="772" max="772" width="10.42578125" style="62" customWidth="1"/>
    <col min="773" max="773" width="9.7109375" style="62" bestFit="1" customWidth="1"/>
    <col min="774" max="775" width="9.5703125" style="62" bestFit="1" customWidth="1"/>
    <col min="776" max="776" width="10.42578125" style="62" bestFit="1" customWidth="1"/>
    <col min="777" max="777" width="4.5703125" style="62" customWidth="1"/>
    <col min="778" max="778" width="1.85546875" style="62" customWidth="1"/>
    <col min="779" max="779" width="7" style="62" bestFit="1" customWidth="1"/>
    <col min="780" max="780" width="6.28515625" style="62" customWidth="1"/>
    <col min="781" max="781" width="20.42578125" style="62" customWidth="1"/>
    <col min="782" max="782" width="6.42578125" style="62" bestFit="1" customWidth="1"/>
    <col min="783" max="784" width="8.42578125" style="62"/>
    <col min="785" max="785" width="3.28515625" style="62" customWidth="1"/>
    <col min="786" max="1024" width="8.42578125" style="62"/>
    <col min="1025" max="1025" width="10" style="62" bestFit="1" customWidth="1"/>
    <col min="1026" max="1026" width="44.28515625" style="62" bestFit="1" customWidth="1"/>
    <col min="1027" max="1027" width="10.42578125" style="62" bestFit="1" customWidth="1"/>
    <col min="1028" max="1028" width="10.42578125" style="62" customWidth="1"/>
    <col min="1029" max="1029" width="9.7109375" style="62" bestFit="1" customWidth="1"/>
    <col min="1030" max="1031" width="9.5703125" style="62" bestFit="1" customWidth="1"/>
    <col min="1032" max="1032" width="10.42578125" style="62" bestFit="1" customWidth="1"/>
    <col min="1033" max="1033" width="4.5703125" style="62" customWidth="1"/>
    <col min="1034" max="1034" width="1.85546875" style="62" customWidth="1"/>
    <col min="1035" max="1035" width="7" style="62" bestFit="1" customWidth="1"/>
    <col min="1036" max="1036" width="6.28515625" style="62" customWidth="1"/>
    <col min="1037" max="1037" width="20.42578125" style="62" customWidth="1"/>
    <col min="1038" max="1038" width="6.42578125" style="62" bestFit="1" customWidth="1"/>
    <col min="1039" max="1040" width="8.42578125" style="62"/>
    <col min="1041" max="1041" width="3.28515625" style="62" customWidth="1"/>
    <col min="1042" max="1280" width="8.42578125" style="62"/>
    <col min="1281" max="1281" width="10" style="62" bestFit="1" customWidth="1"/>
    <col min="1282" max="1282" width="44.28515625" style="62" bestFit="1" customWidth="1"/>
    <col min="1283" max="1283" width="10.42578125" style="62" bestFit="1" customWidth="1"/>
    <col min="1284" max="1284" width="10.42578125" style="62" customWidth="1"/>
    <col min="1285" max="1285" width="9.7109375" style="62" bestFit="1" customWidth="1"/>
    <col min="1286" max="1287" width="9.5703125" style="62" bestFit="1" customWidth="1"/>
    <col min="1288" max="1288" width="10.42578125" style="62" bestFit="1" customWidth="1"/>
    <col min="1289" max="1289" width="4.5703125" style="62" customWidth="1"/>
    <col min="1290" max="1290" width="1.85546875" style="62" customWidth="1"/>
    <col min="1291" max="1291" width="7" style="62" bestFit="1" customWidth="1"/>
    <col min="1292" max="1292" width="6.28515625" style="62" customWidth="1"/>
    <col min="1293" max="1293" width="20.42578125" style="62" customWidth="1"/>
    <col min="1294" max="1294" width="6.42578125" style="62" bestFit="1" customWidth="1"/>
    <col min="1295" max="1296" width="8.42578125" style="62"/>
    <col min="1297" max="1297" width="3.28515625" style="62" customWidth="1"/>
    <col min="1298" max="1536" width="8.42578125" style="62"/>
    <col min="1537" max="1537" width="10" style="62" bestFit="1" customWidth="1"/>
    <col min="1538" max="1538" width="44.28515625" style="62" bestFit="1" customWidth="1"/>
    <col min="1539" max="1539" width="10.42578125" style="62" bestFit="1" customWidth="1"/>
    <col min="1540" max="1540" width="10.42578125" style="62" customWidth="1"/>
    <col min="1541" max="1541" width="9.7109375" style="62" bestFit="1" customWidth="1"/>
    <col min="1542" max="1543" width="9.5703125" style="62" bestFit="1" customWidth="1"/>
    <col min="1544" max="1544" width="10.42578125" style="62" bestFit="1" customWidth="1"/>
    <col min="1545" max="1545" width="4.5703125" style="62" customWidth="1"/>
    <col min="1546" max="1546" width="1.85546875" style="62" customWidth="1"/>
    <col min="1547" max="1547" width="7" style="62" bestFit="1" customWidth="1"/>
    <col min="1548" max="1548" width="6.28515625" style="62" customWidth="1"/>
    <col min="1549" max="1549" width="20.42578125" style="62" customWidth="1"/>
    <col min="1550" max="1550" width="6.42578125" style="62" bestFit="1" customWidth="1"/>
    <col min="1551" max="1552" width="8.42578125" style="62"/>
    <col min="1553" max="1553" width="3.28515625" style="62" customWidth="1"/>
    <col min="1554" max="1792" width="8.42578125" style="62"/>
    <col min="1793" max="1793" width="10" style="62" bestFit="1" customWidth="1"/>
    <col min="1794" max="1794" width="44.28515625" style="62" bestFit="1" customWidth="1"/>
    <col min="1795" max="1795" width="10.42578125" style="62" bestFit="1" customWidth="1"/>
    <col min="1796" max="1796" width="10.42578125" style="62" customWidth="1"/>
    <col min="1797" max="1797" width="9.7109375" style="62" bestFit="1" customWidth="1"/>
    <col min="1798" max="1799" width="9.5703125" style="62" bestFit="1" customWidth="1"/>
    <col min="1800" max="1800" width="10.42578125" style="62" bestFit="1" customWidth="1"/>
    <col min="1801" max="1801" width="4.5703125" style="62" customWidth="1"/>
    <col min="1802" max="1802" width="1.85546875" style="62" customWidth="1"/>
    <col min="1803" max="1803" width="7" style="62" bestFit="1" customWidth="1"/>
    <col min="1804" max="1804" width="6.28515625" style="62" customWidth="1"/>
    <col min="1805" max="1805" width="20.42578125" style="62" customWidth="1"/>
    <col min="1806" max="1806" width="6.42578125" style="62" bestFit="1" customWidth="1"/>
    <col min="1807" max="1808" width="8.42578125" style="62"/>
    <col min="1809" max="1809" width="3.28515625" style="62" customWidth="1"/>
    <col min="1810" max="2048" width="8.42578125" style="62"/>
    <col min="2049" max="2049" width="10" style="62" bestFit="1" customWidth="1"/>
    <col min="2050" max="2050" width="44.28515625" style="62" bestFit="1" customWidth="1"/>
    <col min="2051" max="2051" width="10.42578125" style="62" bestFit="1" customWidth="1"/>
    <col min="2052" max="2052" width="10.42578125" style="62" customWidth="1"/>
    <col min="2053" max="2053" width="9.7109375" style="62" bestFit="1" customWidth="1"/>
    <col min="2054" max="2055" width="9.5703125" style="62" bestFit="1" customWidth="1"/>
    <col min="2056" max="2056" width="10.42578125" style="62" bestFit="1" customWidth="1"/>
    <col min="2057" max="2057" width="4.5703125" style="62" customWidth="1"/>
    <col min="2058" max="2058" width="1.85546875" style="62" customWidth="1"/>
    <col min="2059" max="2059" width="7" style="62" bestFit="1" customWidth="1"/>
    <col min="2060" max="2060" width="6.28515625" style="62" customWidth="1"/>
    <col min="2061" max="2061" width="20.42578125" style="62" customWidth="1"/>
    <col min="2062" max="2062" width="6.42578125" style="62" bestFit="1" customWidth="1"/>
    <col min="2063" max="2064" width="8.42578125" style="62"/>
    <col min="2065" max="2065" width="3.28515625" style="62" customWidth="1"/>
    <col min="2066" max="2304" width="8.42578125" style="62"/>
    <col min="2305" max="2305" width="10" style="62" bestFit="1" customWidth="1"/>
    <col min="2306" max="2306" width="44.28515625" style="62" bestFit="1" customWidth="1"/>
    <col min="2307" max="2307" width="10.42578125" style="62" bestFit="1" customWidth="1"/>
    <col min="2308" max="2308" width="10.42578125" style="62" customWidth="1"/>
    <col min="2309" max="2309" width="9.7109375" style="62" bestFit="1" customWidth="1"/>
    <col min="2310" max="2311" width="9.5703125" style="62" bestFit="1" customWidth="1"/>
    <col min="2312" max="2312" width="10.42578125" style="62" bestFit="1" customWidth="1"/>
    <col min="2313" max="2313" width="4.5703125" style="62" customWidth="1"/>
    <col min="2314" max="2314" width="1.85546875" style="62" customWidth="1"/>
    <col min="2315" max="2315" width="7" style="62" bestFit="1" customWidth="1"/>
    <col min="2316" max="2316" width="6.28515625" style="62" customWidth="1"/>
    <col min="2317" max="2317" width="20.42578125" style="62" customWidth="1"/>
    <col min="2318" max="2318" width="6.42578125" style="62" bestFit="1" customWidth="1"/>
    <col min="2319" max="2320" width="8.42578125" style="62"/>
    <col min="2321" max="2321" width="3.28515625" style="62" customWidth="1"/>
    <col min="2322" max="2560" width="8.42578125" style="62"/>
    <col min="2561" max="2561" width="10" style="62" bestFit="1" customWidth="1"/>
    <col min="2562" max="2562" width="44.28515625" style="62" bestFit="1" customWidth="1"/>
    <col min="2563" max="2563" width="10.42578125" style="62" bestFit="1" customWidth="1"/>
    <col min="2564" max="2564" width="10.42578125" style="62" customWidth="1"/>
    <col min="2565" max="2565" width="9.7109375" style="62" bestFit="1" customWidth="1"/>
    <col min="2566" max="2567" width="9.5703125" style="62" bestFit="1" customWidth="1"/>
    <col min="2568" max="2568" width="10.42578125" style="62" bestFit="1" customWidth="1"/>
    <col min="2569" max="2569" width="4.5703125" style="62" customWidth="1"/>
    <col min="2570" max="2570" width="1.85546875" style="62" customWidth="1"/>
    <col min="2571" max="2571" width="7" style="62" bestFit="1" customWidth="1"/>
    <col min="2572" max="2572" width="6.28515625" style="62" customWidth="1"/>
    <col min="2573" max="2573" width="20.42578125" style="62" customWidth="1"/>
    <col min="2574" max="2574" width="6.42578125" style="62" bestFit="1" customWidth="1"/>
    <col min="2575" max="2576" width="8.42578125" style="62"/>
    <col min="2577" max="2577" width="3.28515625" style="62" customWidth="1"/>
    <col min="2578" max="2816" width="8.42578125" style="62"/>
    <col min="2817" max="2817" width="10" style="62" bestFit="1" customWidth="1"/>
    <col min="2818" max="2818" width="44.28515625" style="62" bestFit="1" customWidth="1"/>
    <col min="2819" max="2819" width="10.42578125" style="62" bestFit="1" customWidth="1"/>
    <col min="2820" max="2820" width="10.42578125" style="62" customWidth="1"/>
    <col min="2821" max="2821" width="9.7109375" style="62" bestFit="1" customWidth="1"/>
    <col min="2822" max="2823" width="9.5703125" style="62" bestFit="1" customWidth="1"/>
    <col min="2824" max="2824" width="10.42578125" style="62" bestFit="1" customWidth="1"/>
    <col min="2825" max="2825" width="4.5703125" style="62" customWidth="1"/>
    <col min="2826" max="2826" width="1.85546875" style="62" customWidth="1"/>
    <col min="2827" max="2827" width="7" style="62" bestFit="1" customWidth="1"/>
    <col min="2828" max="2828" width="6.28515625" style="62" customWidth="1"/>
    <col min="2829" max="2829" width="20.42578125" style="62" customWidth="1"/>
    <col min="2830" max="2830" width="6.42578125" style="62" bestFit="1" customWidth="1"/>
    <col min="2831" max="2832" width="8.42578125" style="62"/>
    <col min="2833" max="2833" width="3.28515625" style="62" customWidth="1"/>
    <col min="2834" max="3072" width="8.42578125" style="62"/>
    <col min="3073" max="3073" width="10" style="62" bestFit="1" customWidth="1"/>
    <col min="3074" max="3074" width="44.28515625" style="62" bestFit="1" customWidth="1"/>
    <col min="3075" max="3075" width="10.42578125" style="62" bestFit="1" customWidth="1"/>
    <col min="3076" max="3076" width="10.42578125" style="62" customWidth="1"/>
    <col min="3077" max="3077" width="9.7109375" style="62" bestFit="1" customWidth="1"/>
    <col min="3078" max="3079" width="9.5703125" style="62" bestFit="1" customWidth="1"/>
    <col min="3080" max="3080" width="10.42578125" style="62" bestFit="1" customWidth="1"/>
    <col min="3081" max="3081" width="4.5703125" style="62" customWidth="1"/>
    <col min="3082" max="3082" width="1.85546875" style="62" customWidth="1"/>
    <col min="3083" max="3083" width="7" style="62" bestFit="1" customWidth="1"/>
    <col min="3084" max="3084" width="6.28515625" style="62" customWidth="1"/>
    <col min="3085" max="3085" width="20.42578125" style="62" customWidth="1"/>
    <col min="3086" max="3086" width="6.42578125" style="62" bestFit="1" customWidth="1"/>
    <col min="3087" max="3088" width="8.42578125" style="62"/>
    <col min="3089" max="3089" width="3.28515625" style="62" customWidth="1"/>
    <col min="3090" max="3328" width="8.42578125" style="62"/>
    <col min="3329" max="3329" width="10" style="62" bestFit="1" customWidth="1"/>
    <col min="3330" max="3330" width="44.28515625" style="62" bestFit="1" customWidth="1"/>
    <col min="3331" max="3331" width="10.42578125" style="62" bestFit="1" customWidth="1"/>
    <col min="3332" max="3332" width="10.42578125" style="62" customWidth="1"/>
    <col min="3333" max="3333" width="9.7109375" style="62" bestFit="1" customWidth="1"/>
    <col min="3334" max="3335" width="9.5703125" style="62" bestFit="1" customWidth="1"/>
    <col min="3336" max="3336" width="10.42578125" style="62" bestFit="1" customWidth="1"/>
    <col min="3337" max="3337" width="4.5703125" style="62" customWidth="1"/>
    <col min="3338" max="3338" width="1.85546875" style="62" customWidth="1"/>
    <col min="3339" max="3339" width="7" style="62" bestFit="1" customWidth="1"/>
    <col min="3340" max="3340" width="6.28515625" style="62" customWidth="1"/>
    <col min="3341" max="3341" width="20.42578125" style="62" customWidth="1"/>
    <col min="3342" max="3342" width="6.42578125" style="62" bestFit="1" customWidth="1"/>
    <col min="3343" max="3344" width="8.42578125" style="62"/>
    <col min="3345" max="3345" width="3.28515625" style="62" customWidth="1"/>
    <col min="3346" max="3584" width="8.42578125" style="62"/>
    <col min="3585" max="3585" width="10" style="62" bestFit="1" customWidth="1"/>
    <col min="3586" max="3586" width="44.28515625" style="62" bestFit="1" customWidth="1"/>
    <col min="3587" max="3587" width="10.42578125" style="62" bestFit="1" customWidth="1"/>
    <col min="3588" max="3588" width="10.42578125" style="62" customWidth="1"/>
    <col min="3589" max="3589" width="9.7109375" style="62" bestFit="1" customWidth="1"/>
    <col min="3590" max="3591" width="9.5703125" style="62" bestFit="1" customWidth="1"/>
    <col min="3592" max="3592" width="10.42578125" style="62" bestFit="1" customWidth="1"/>
    <col min="3593" max="3593" width="4.5703125" style="62" customWidth="1"/>
    <col min="3594" max="3594" width="1.85546875" style="62" customWidth="1"/>
    <col min="3595" max="3595" width="7" style="62" bestFit="1" customWidth="1"/>
    <col min="3596" max="3596" width="6.28515625" style="62" customWidth="1"/>
    <col min="3597" max="3597" width="20.42578125" style="62" customWidth="1"/>
    <col min="3598" max="3598" width="6.42578125" style="62" bestFit="1" customWidth="1"/>
    <col min="3599" max="3600" width="8.42578125" style="62"/>
    <col min="3601" max="3601" width="3.28515625" style="62" customWidth="1"/>
    <col min="3602" max="3840" width="8.42578125" style="62"/>
    <col min="3841" max="3841" width="10" style="62" bestFit="1" customWidth="1"/>
    <col min="3842" max="3842" width="44.28515625" style="62" bestFit="1" customWidth="1"/>
    <col min="3843" max="3843" width="10.42578125" style="62" bestFit="1" customWidth="1"/>
    <col min="3844" max="3844" width="10.42578125" style="62" customWidth="1"/>
    <col min="3845" max="3845" width="9.7109375" style="62" bestFit="1" customWidth="1"/>
    <col min="3846" max="3847" width="9.5703125" style="62" bestFit="1" customWidth="1"/>
    <col min="3848" max="3848" width="10.42578125" style="62" bestFit="1" customWidth="1"/>
    <col min="3849" max="3849" width="4.5703125" style="62" customWidth="1"/>
    <col min="3850" max="3850" width="1.85546875" style="62" customWidth="1"/>
    <col min="3851" max="3851" width="7" style="62" bestFit="1" customWidth="1"/>
    <col min="3852" max="3852" width="6.28515625" style="62" customWidth="1"/>
    <col min="3853" max="3853" width="20.42578125" style="62" customWidth="1"/>
    <col min="3854" max="3854" width="6.42578125" style="62" bestFit="1" customWidth="1"/>
    <col min="3855" max="3856" width="8.42578125" style="62"/>
    <col min="3857" max="3857" width="3.28515625" style="62" customWidth="1"/>
    <col min="3858" max="4096" width="8.42578125" style="62"/>
    <col min="4097" max="4097" width="10" style="62" bestFit="1" customWidth="1"/>
    <col min="4098" max="4098" width="44.28515625" style="62" bestFit="1" customWidth="1"/>
    <col min="4099" max="4099" width="10.42578125" style="62" bestFit="1" customWidth="1"/>
    <col min="4100" max="4100" width="10.42578125" style="62" customWidth="1"/>
    <col min="4101" max="4101" width="9.7109375" style="62" bestFit="1" customWidth="1"/>
    <col min="4102" max="4103" width="9.5703125" style="62" bestFit="1" customWidth="1"/>
    <col min="4104" max="4104" width="10.42578125" style="62" bestFit="1" customWidth="1"/>
    <col min="4105" max="4105" width="4.5703125" style="62" customWidth="1"/>
    <col min="4106" max="4106" width="1.85546875" style="62" customWidth="1"/>
    <col min="4107" max="4107" width="7" style="62" bestFit="1" customWidth="1"/>
    <col min="4108" max="4108" width="6.28515625" style="62" customWidth="1"/>
    <col min="4109" max="4109" width="20.42578125" style="62" customWidth="1"/>
    <col min="4110" max="4110" width="6.42578125" style="62" bestFit="1" customWidth="1"/>
    <col min="4111" max="4112" width="8.42578125" style="62"/>
    <col min="4113" max="4113" width="3.28515625" style="62" customWidth="1"/>
    <col min="4114" max="4352" width="8.42578125" style="62"/>
    <col min="4353" max="4353" width="10" style="62" bestFit="1" customWidth="1"/>
    <col min="4354" max="4354" width="44.28515625" style="62" bestFit="1" customWidth="1"/>
    <col min="4355" max="4355" width="10.42578125" style="62" bestFit="1" customWidth="1"/>
    <col min="4356" max="4356" width="10.42578125" style="62" customWidth="1"/>
    <col min="4357" max="4357" width="9.7109375" style="62" bestFit="1" customWidth="1"/>
    <col min="4358" max="4359" width="9.5703125" style="62" bestFit="1" customWidth="1"/>
    <col min="4360" max="4360" width="10.42578125" style="62" bestFit="1" customWidth="1"/>
    <col min="4361" max="4361" width="4.5703125" style="62" customWidth="1"/>
    <col min="4362" max="4362" width="1.85546875" style="62" customWidth="1"/>
    <col min="4363" max="4363" width="7" style="62" bestFit="1" customWidth="1"/>
    <col min="4364" max="4364" width="6.28515625" style="62" customWidth="1"/>
    <col min="4365" max="4365" width="20.42578125" style="62" customWidth="1"/>
    <col min="4366" max="4366" width="6.42578125" style="62" bestFit="1" customWidth="1"/>
    <col min="4367" max="4368" width="8.42578125" style="62"/>
    <col min="4369" max="4369" width="3.28515625" style="62" customWidth="1"/>
    <col min="4370" max="4608" width="8.42578125" style="62"/>
    <col min="4609" max="4609" width="10" style="62" bestFit="1" customWidth="1"/>
    <col min="4610" max="4610" width="44.28515625" style="62" bestFit="1" customWidth="1"/>
    <col min="4611" max="4611" width="10.42578125" style="62" bestFit="1" customWidth="1"/>
    <col min="4612" max="4612" width="10.42578125" style="62" customWidth="1"/>
    <col min="4613" max="4613" width="9.7109375" style="62" bestFit="1" customWidth="1"/>
    <col min="4614" max="4615" width="9.5703125" style="62" bestFit="1" customWidth="1"/>
    <col min="4616" max="4616" width="10.42578125" style="62" bestFit="1" customWidth="1"/>
    <col min="4617" max="4617" width="4.5703125" style="62" customWidth="1"/>
    <col min="4618" max="4618" width="1.85546875" style="62" customWidth="1"/>
    <col min="4619" max="4619" width="7" style="62" bestFit="1" customWidth="1"/>
    <col min="4620" max="4620" width="6.28515625" style="62" customWidth="1"/>
    <col min="4621" max="4621" width="20.42578125" style="62" customWidth="1"/>
    <col min="4622" max="4622" width="6.42578125" style="62" bestFit="1" customWidth="1"/>
    <col min="4623" max="4624" width="8.42578125" style="62"/>
    <col min="4625" max="4625" width="3.28515625" style="62" customWidth="1"/>
    <col min="4626" max="4864" width="8.42578125" style="62"/>
    <col min="4865" max="4865" width="10" style="62" bestFit="1" customWidth="1"/>
    <col min="4866" max="4866" width="44.28515625" style="62" bestFit="1" customWidth="1"/>
    <col min="4867" max="4867" width="10.42578125" style="62" bestFit="1" customWidth="1"/>
    <col min="4868" max="4868" width="10.42578125" style="62" customWidth="1"/>
    <col min="4869" max="4869" width="9.7109375" style="62" bestFit="1" customWidth="1"/>
    <col min="4870" max="4871" width="9.5703125" style="62" bestFit="1" customWidth="1"/>
    <col min="4872" max="4872" width="10.42578125" style="62" bestFit="1" customWidth="1"/>
    <col min="4873" max="4873" width="4.5703125" style="62" customWidth="1"/>
    <col min="4874" max="4874" width="1.85546875" style="62" customWidth="1"/>
    <col min="4875" max="4875" width="7" style="62" bestFit="1" customWidth="1"/>
    <col min="4876" max="4876" width="6.28515625" style="62" customWidth="1"/>
    <col min="4877" max="4877" width="20.42578125" style="62" customWidth="1"/>
    <col min="4878" max="4878" width="6.42578125" style="62" bestFit="1" customWidth="1"/>
    <col min="4879" max="4880" width="8.42578125" style="62"/>
    <col min="4881" max="4881" width="3.28515625" style="62" customWidth="1"/>
    <col min="4882" max="5120" width="8.42578125" style="62"/>
    <col min="5121" max="5121" width="10" style="62" bestFit="1" customWidth="1"/>
    <col min="5122" max="5122" width="44.28515625" style="62" bestFit="1" customWidth="1"/>
    <col min="5123" max="5123" width="10.42578125" style="62" bestFit="1" customWidth="1"/>
    <col min="5124" max="5124" width="10.42578125" style="62" customWidth="1"/>
    <col min="5125" max="5125" width="9.7109375" style="62" bestFit="1" customWidth="1"/>
    <col min="5126" max="5127" width="9.5703125" style="62" bestFit="1" customWidth="1"/>
    <col min="5128" max="5128" width="10.42578125" style="62" bestFit="1" customWidth="1"/>
    <col min="5129" max="5129" width="4.5703125" style="62" customWidth="1"/>
    <col min="5130" max="5130" width="1.85546875" style="62" customWidth="1"/>
    <col min="5131" max="5131" width="7" style="62" bestFit="1" customWidth="1"/>
    <col min="5132" max="5132" width="6.28515625" style="62" customWidth="1"/>
    <col min="5133" max="5133" width="20.42578125" style="62" customWidth="1"/>
    <col min="5134" max="5134" width="6.42578125" style="62" bestFit="1" customWidth="1"/>
    <col min="5135" max="5136" width="8.42578125" style="62"/>
    <col min="5137" max="5137" width="3.28515625" style="62" customWidth="1"/>
    <col min="5138" max="5376" width="8.42578125" style="62"/>
    <col min="5377" max="5377" width="10" style="62" bestFit="1" customWidth="1"/>
    <col min="5378" max="5378" width="44.28515625" style="62" bestFit="1" customWidth="1"/>
    <col min="5379" max="5379" width="10.42578125" style="62" bestFit="1" customWidth="1"/>
    <col min="5380" max="5380" width="10.42578125" style="62" customWidth="1"/>
    <col min="5381" max="5381" width="9.7109375" style="62" bestFit="1" customWidth="1"/>
    <col min="5382" max="5383" width="9.5703125" style="62" bestFit="1" customWidth="1"/>
    <col min="5384" max="5384" width="10.42578125" style="62" bestFit="1" customWidth="1"/>
    <col min="5385" max="5385" width="4.5703125" style="62" customWidth="1"/>
    <col min="5386" max="5386" width="1.85546875" style="62" customWidth="1"/>
    <col min="5387" max="5387" width="7" style="62" bestFit="1" customWidth="1"/>
    <col min="5388" max="5388" width="6.28515625" style="62" customWidth="1"/>
    <col min="5389" max="5389" width="20.42578125" style="62" customWidth="1"/>
    <col min="5390" max="5390" width="6.42578125" style="62" bestFit="1" customWidth="1"/>
    <col min="5391" max="5392" width="8.42578125" style="62"/>
    <col min="5393" max="5393" width="3.28515625" style="62" customWidth="1"/>
    <col min="5394" max="5632" width="8.42578125" style="62"/>
    <col min="5633" max="5633" width="10" style="62" bestFit="1" customWidth="1"/>
    <col min="5634" max="5634" width="44.28515625" style="62" bestFit="1" customWidth="1"/>
    <col min="5635" max="5635" width="10.42578125" style="62" bestFit="1" customWidth="1"/>
    <col min="5636" max="5636" width="10.42578125" style="62" customWidth="1"/>
    <col min="5637" max="5637" width="9.7109375" style="62" bestFit="1" customWidth="1"/>
    <col min="5638" max="5639" width="9.5703125" style="62" bestFit="1" customWidth="1"/>
    <col min="5640" max="5640" width="10.42578125" style="62" bestFit="1" customWidth="1"/>
    <col min="5641" max="5641" width="4.5703125" style="62" customWidth="1"/>
    <col min="5642" max="5642" width="1.85546875" style="62" customWidth="1"/>
    <col min="5643" max="5643" width="7" style="62" bestFit="1" customWidth="1"/>
    <col min="5644" max="5644" width="6.28515625" style="62" customWidth="1"/>
    <col min="5645" max="5645" width="20.42578125" style="62" customWidth="1"/>
    <col min="5646" max="5646" width="6.42578125" style="62" bestFit="1" customWidth="1"/>
    <col min="5647" max="5648" width="8.42578125" style="62"/>
    <col min="5649" max="5649" width="3.28515625" style="62" customWidth="1"/>
    <col min="5650" max="5888" width="8.42578125" style="62"/>
    <col min="5889" max="5889" width="10" style="62" bestFit="1" customWidth="1"/>
    <col min="5890" max="5890" width="44.28515625" style="62" bestFit="1" customWidth="1"/>
    <col min="5891" max="5891" width="10.42578125" style="62" bestFit="1" customWidth="1"/>
    <col min="5892" max="5892" width="10.42578125" style="62" customWidth="1"/>
    <col min="5893" max="5893" width="9.7109375" style="62" bestFit="1" customWidth="1"/>
    <col min="5894" max="5895" width="9.5703125" style="62" bestFit="1" customWidth="1"/>
    <col min="5896" max="5896" width="10.42578125" style="62" bestFit="1" customWidth="1"/>
    <col min="5897" max="5897" width="4.5703125" style="62" customWidth="1"/>
    <col min="5898" max="5898" width="1.85546875" style="62" customWidth="1"/>
    <col min="5899" max="5899" width="7" style="62" bestFit="1" customWidth="1"/>
    <col min="5900" max="5900" width="6.28515625" style="62" customWidth="1"/>
    <col min="5901" max="5901" width="20.42578125" style="62" customWidth="1"/>
    <col min="5902" max="5902" width="6.42578125" style="62" bestFit="1" customWidth="1"/>
    <col min="5903" max="5904" width="8.42578125" style="62"/>
    <col min="5905" max="5905" width="3.28515625" style="62" customWidth="1"/>
    <col min="5906" max="6144" width="8.42578125" style="62"/>
    <col min="6145" max="6145" width="10" style="62" bestFit="1" customWidth="1"/>
    <col min="6146" max="6146" width="44.28515625" style="62" bestFit="1" customWidth="1"/>
    <col min="6147" max="6147" width="10.42578125" style="62" bestFit="1" customWidth="1"/>
    <col min="6148" max="6148" width="10.42578125" style="62" customWidth="1"/>
    <col min="6149" max="6149" width="9.7109375" style="62" bestFit="1" customWidth="1"/>
    <col min="6150" max="6151" width="9.5703125" style="62" bestFit="1" customWidth="1"/>
    <col min="6152" max="6152" width="10.42578125" style="62" bestFit="1" customWidth="1"/>
    <col min="6153" max="6153" width="4.5703125" style="62" customWidth="1"/>
    <col min="6154" max="6154" width="1.85546875" style="62" customWidth="1"/>
    <col min="6155" max="6155" width="7" style="62" bestFit="1" customWidth="1"/>
    <col min="6156" max="6156" width="6.28515625" style="62" customWidth="1"/>
    <col min="6157" max="6157" width="20.42578125" style="62" customWidth="1"/>
    <col min="6158" max="6158" width="6.42578125" style="62" bestFit="1" customWidth="1"/>
    <col min="6159" max="6160" width="8.42578125" style="62"/>
    <col min="6161" max="6161" width="3.28515625" style="62" customWidth="1"/>
    <col min="6162" max="6400" width="8.42578125" style="62"/>
    <col min="6401" max="6401" width="10" style="62" bestFit="1" customWidth="1"/>
    <col min="6402" max="6402" width="44.28515625" style="62" bestFit="1" customWidth="1"/>
    <col min="6403" max="6403" width="10.42578125" style="62" bestFit="1" customWidth="1"/>
    <col min="6404" max="6404" width="10.42578125" style="62" customWidth="1"/>
    <col min="6405" max="6405" width="9.7109375" style="62" bestFit="1" customWidth="1"/>
    <col min="6406" max="6407" width="9.5703125" style="62" bestFit="1" customWidth="1"/>
    <col min="6408" max="6408" width="10.42578125" style="62" bestFit="1" customWidth="1"/>
    <col min="6409" max="6409" width="4.5703125" style="62" customWidth="1"/>
    <col min="6410" max="6410" width="1.85546875" style="62" customWidth="1"/>
    <col min="6411" max="6411" width="7" style="62" bestFit="1" customWidth="1"/>
    <col min="6412" max="6412" width="6.28515625" style="62" customWidth="1"/>
    <col min="6413" max="6413" width="20.42578125" style="62" customWidth="1"/>
    <col min="6414" max="6414" width="6.42578125" style="62" bestFit="1" customWidth="1"/>
    <col min="6415" max="6416" width="8.42578125" style="62"/>
    <col min="6417" max="6417" width="3.28515625" style="62" customWidth="1"/>
    <col min="6418" max="6656" width="8.42578125" style="62"/>
    <col min="6657" max="6657" width="10" style="62" bestFit="1" customWidth="1"/>
    <col min="6658" max="6658" width="44.28515625" style="62" bestFit="1" customWidth="1"/>
    <col min="6659" max="6659" width="10.42578125" style="62" bestFit="1" customWidth="1"/>
    <col min="6660" max="6660" width="10.42578125" style="62" customWidth="1"/>
    <col min="6661" max="6661" width="9.7109375" style="62" bestFit="1" customWidth="1"/>
    <col min="6662" max="6663" width="9.5703125" style="62" bestFit="1" customWidth="1"/>
    <col min="6664" max="6664" width="10.42578125" style="62" bestFit="1" customWidth="1"/>
    <col min="6665" max="6665" width="4.5703125" style="62" customWidth="1"/>
    <col min="6666" max="6666" width="1.85546875" style="62" customWidth="1"/>
    <col min="6667" max="6667" width="7" style="62" bestFit="1" customWidth="1"/>
    <col min="6668" max="6668" width="6.28515625" style="62" customWidth="1"/>
    <col min="6669" max="6669" width="20.42578125" style="62" customWidth="1"/>
    <col min="6670" max="6670" width="6.42578125" style="62" bestFit="1" customWidth="1"/>
    <col min="6671" max="6672" width="8.42578125" style="62"/>
    <col min="6673" max="6673" width="3.28515625" style="62" customWidth="1"/>
    <col min="6674" max="6912" width="8.42578125" style="62"/>
    <col min="6913" max="6913" width="10" style="62" bestFit="1" customWidth="1"/>
    <col min="6914" max="6914" width="44.28515625" style="62" bestFit="1" customWidth="1"/>
    <col min="6915" max="6915" width="10.42578125" style="62" bestFit="1" customWidth="1"/>
    <col min="6916" max="6916" width="10.42578125" style="62" customWidth="1"/>
    <col min="6917" max="6917" width="9.7109375" style="62" bestFit="1" customWidth="1"/>
    <col min="6918" max="6919" width="9.5703125" style="62" bestFit="1" customWidth="1"/>
    <col min="6920" max="6920" width="10.42578125" style="62" bestFit="1" customWidth="1"/>
    <col min="6921" max="6921" width="4.5703125" style="62" customWidth="1"/>
    <col min="6922" max="6922" width="1.85546875" style="62" customWidth="1"/>
    <col min="6923" max="6923" width="7" style="62" bestFit="1" customWidth="1"/>
    <col min="6924" max="6924" width="6.28515625" style="62" customWidth="1"/>
    <col min="6925" max="6925" width="20.42578125" style="62" customWidth="1"/>
    <col min="6926" max="6926" width="6.42578125" style="62" bestFit="1" customWidth="1"/>
    <col min="6927" max="6928" width="8.42578125" style="62"/>
    <col min="6929" max="6929" width="3.28515625" style="62" customWidth="1"/>
    <col min="6930" max="7168" width="8.42578125" style="62"/>
    <col min="7169" max="7169" width="10" style="62" bestFit="1" customWidth="1"/>
    <col min="7170" max="7170" width="44.28515625" style="62" bestFit="1" customWidth="1"/>
    <col min="7171" max="7171" width="10.42578125" style="62" bestFit="1" customWidth="1"/>
    <col min="7172" max="7172" width="10.42578125" style="62" customWidth="1"/>
    <col min="7173" max="7173" width="9.7109375" style="62" bestFit="1" customWidth="1"/>
    <col min="7174" max="7175" width="9.5703125" style="62" bestFit="1" customWidth="1"/>
    <col min="7176" max="7176" width="10.42578125" style="62" bestFit="1" customWidth="1"/>
    <col min="7177" max="7177" width="4.5703125" style="62" customWidth="1"/>
    <col min="7178" max="7178" width="1.85546875" style="62" customWidth="1"/>
    <col min="7179" max="7179" width="7" style="62" bestFit="1" customWidth="1"/>
    <col min="7180" max="7180" width="6.28515625" style="62" customWidth="1"/>
    <col min="7181" max="7181" width="20.42578125" style="62" customWidth="1"/>
    <col min="7182" max="7182" width="6.42578125" style="62" bestFit="1" customWidth="1"/>
    <col min="7183" max="7184" width="8.42578125" style="62"/>
    <col min="7185" max="7185" width="3.28515625" style="62" customWidth="1"/>
    <col min="7186" max="7424" width="8.42578125" style="62"/>
    <col min="7425" max="7425" width="10" style="62" bestFit="1" customWidth="1"/>
    <col min="7426" max="7426" width="44.28515625" style="62" bestFit="1" customWidth="1"/>
    <col min="7427" max="7427" width="10.42578125" style="62" bestFit="1" customWidth="1"/>
    <col min="7428" max="7428" width="10.42578125" style="62" customWidth="1"/>
    <col min="7429" max="7429" width="9.7109375" style="62" bestFit="1" customWidth="1"/>
    <col min="7430" max="7431" width="9.5703125" style="62" bestFit="1" customWidth="1"/>
    <col min="7432" max="7432" width="10.42578125" style="62" bestFit="1" customWidth="1"/>
    <col min="7433" max="7433" width="4.5703125" style="62" customWidth="1"/>
    <col min="7434" max="7434" width="1.85546875" style="62" customWidth="1"/>
    <col min="7435" max="7435" width="7" style="62" bestFit="1" customWidth="1"/>
    <col min="7436" max="7436" width="6.28515625" style="62" customWidth="1"/>
    <col min="7437" max="7437" width="20.42578125" style="62" customWidth="1"/>
    <col min="7438" max="7438" width="6.42578125" style="62" bestFit="1" customWidth="1"/>
    <col min="7439" max="7440" width="8.42578125" style="62"/>
    <col min="7441" max="7441" width="3.28515625" style="62" customWidth="1"/>
    <col min="7442" max="7680" width="8.42578125" style="62"/>
    <col min="7681" max="7681" width="10" style="62" bestFit="1" customWidth="1"/>
    <col min="7682" max="7682" width="44.28515625" style="62" bestFit="1" customWidth="1"/>
    <col min="7683" max="7683" width="10.42578125" style="62" bestFit="1" customWidth="1"/>
    <col min="7684" max="7684" width="10.42578125" style="62" customWidth="1"/>
    <col min="7685" max="7685" width="9.7109375" style="62" bestFit="1" customWidth="1"/>
    <col min="7686" max="7687" width="9.5703125" style="62" bestFit="1" customWidth="1"/>
    <col min="7688" max="7688" width="10.42578125" style="62" bestFit="1" customWidth="1"/>
    <col min="7689" max="7689" width="4.5703125" style="62" customWidth="1"/>
    <col min="7690" max="7690" width="1.85546875" style="62" customWidth="1"/>
    <col min="7691" max="7691" width="7" style="62" bestFit="1" customWidth="1"/>
    <col min="7692" max="7692" width="6.28515625" style="62" customWidth="1"/>
    <col min="7693" max="7693" width="20.42578125" style="62" customWidth="1"/>
    <col min="7694" max="7694" width="6.42578125" style="62" bestFit="1" customWidth="1"/>
    <col min="7695" max="7696" width="8.42578125" style="62"/>
    <col min="7697" max="7697" width="3.28515625" style="62" customWidth="1"/>
    <col min="7698" max="7936" width="8.42578125" style="62"/>
    <col min="7937" max="7937" width="10" style="62" bestFit="1" customWidth="1"/>
    <col min="7938" max="7938" width="44.28515625" style="62" bestFit="1" customWidth="1"/>
    <col min="7939" max="7939" width="10.42578125" style="62" bestFit="1" customWidth="1"/>
    <col min="7940" max="7940" width="10.42578125" style="62" customWidth="1"/>
    <col min="7941" max="7941" width="9.7109375" style="62" bestFit="1" customWidth="1"/>
    <col min="7942" max="7943" width="9.5703125" style="62" bestFit="1" customWidth="1"/>
    <col min="7944" max="7944" width="10.42578125" style="62" bestFit="1" customWidth="1"/>
    <col min="7945" max="7945" width="4.5703125" style="62" customWidth="1"/>
    <col min="7946" max="7946" width="1.85546875" style="62" customWidth="1"/>
    <col min="7947" max="7947" width="7" style="62" bestFit="1" customWidth="1"/>
    <col min="7948" max="7948" width="6.28515625" style="62" customWidth="1"/>
    <col min="7949" max="7949" width="20.42578125" style="62" customWidth="1"/>
    <col min="7950" max="7950" width="6.42578125" style="62" bestFit="1" customWidth="1"/>
    <col min="7951" max="7952" width="8.42578125" style="62"/>
    <col min="7953" max="7953" width="3.28515625" style="62" customWidth="1"/>
    <col min="7954" max="8192" width="8.42578125" style="62"/>
    <col min="8193" max="8193" width="10" style="62" bestFit="1" customWidth="1"/>
    <col min="8194" max="8194" width="44.28515625" style="62" bestFit="1" customWidth="1"/>
    <col min="8195" max="8195" width="10.42578125" style="62" bestFit="1" customWidth="1"/>
    <col min="8196" max="8196" width="10.42578125" style="62" customWidth="1"/>
    <col min="8197" max="8197" width="9.7109375" style="62" bestFit="1" customWidth="1"/>
    <col min="8198" max="8199" width="9.5703125" style="62" bestFit="1" customWidth="1"/>
    <col min="8200" max="8200" width="10.42578125" style="62" bestFit="1" customWidth="1"/>
    <col min="8201" max="8201" width="4.5703125" style="62" customWidth="1"/>
    <col min="8202" max="8202" width="1.85546875" style="62" customWidth="1"/>
    <col min="8203" max="8203" width="7" style="62" bestFit="1" customWidth="1"/>
    <col min="8204" max="8204" width="6.28515625" style="62" customWidth="1"/>
    <col min="8205" max="8205" width="20.42578125" style="62" customWidth="1"/>
    <col min="8206" max="8206" width="6.42578125" style="62" bestFit="1" customWidth="1"/>
    <col min="8207" max="8208" width="8.42578125" style="62"/>
    <col min="8209" max="8209" width="3.28515625" style="62" customWidth="1"/>
    <col min="8210" max="8448" width="8.42578125" style="62"/>
    <col min="8449" max="8449" width="10" style="62" bestFit="1" customWidth="1"/>
    <col min="8450" max="8450" width="44.28515625" style="62" bestFit="1" customWidth="1"/>
    <col min="8451" max="8451" width="10.42578125" style="62" bestFit="1" customWidth="1"/>
    <col min="8452" max="8452" width="10.42578125" style="62" customWidth="1"/>
    <col min="8453" max="8453" width="9.7109375" style="62" bestFit="1" customWidth="1"/>
    <col min="8454" max="8455" width="9.5703125" style="62" bestFit="1" customWidth="1"/>
    <col min="8456" max="8456" width="10.42578125" style="62" bestFit="1" customWidth="1"/>
    <col min="8457" max="8457" width="4.5703125" style="62" customWidth="1"/>
    <col min="8458" max="8458" width="1.85546875" style="62" customWidth="1"/>
    <col min="8459" max="8459" width="7" style="62" bestFit="1" customWidth="1"/>
    <col min="8460" max="8460" width="6.28515625" style="62" customWidth="1"/>
    <col min="8461" max="8461" width="20.42578125" style="62" customWidth="1"/>
    <col min="8462" max="8462" width="6.42578125" style="62" bestFit="1" customWidth="1"/>
    <col min="8463" max="8464" width="8.42578125" style="62"/>
    <col min="8465" max="8465" width="3.28515625" style="62" customWidth="1"/>
    <col min="8466" max="8704" width="8.42578125" style="62"/>
    <col min="8705" max="8705" width="10" style="62" bestFit="1" customWidth="1"/>
    <col min="8706" max="8706" width="44.28515625" style="62" bestFit="1" customWidth="1"/>
    <col min="8707" max="8707" width="10.42578125" style="62" bestFit="1" customWidth="1"/>
    <col min="8708" max="8708" width="10.42578125" style="62" customWidth="1"/>
    <col min="8709" max="8709" width="9.7109375" style="62" bestFit="1" customWidth="1"/>
    <col min="8710" max="8711" width="9.5703125" style="62" bestFit="1" customWidth="1"/>
    <col min="8712" max="8712" width="10.42578125" style="62" bestFit="1" customWidth="1"/>
    <col min="8713" max="8713" width="4.5703125" style="62" customWidth="1"/>
    <col min="8714" max="8714" width="1.85546875" style="62" customWidth="1"/>
    <col min="8715" max="8715" width="7" style="62" bestFit="1" customWidth="1"/>
    <col min="8716" max="8716" width="6.28515625" style="62" customWidth="1"/>
    <col min="8717" max="8717" width="20.42578125" style="62" customWidth="1"/>
    <col min="8718" max="8718" width="6.42578125" style="62" bestFit="1" customWidth="1"/>
    <col min="8719" max="8720" width="8.42578125" style="62"/>
    <col min="8721" max="8721" width="3.28515625" style="62" customWidth="1"/>
    <col min="8722" max="8960" width="8.42578125" style="62"/>
    <col min="8961" max="8961" width="10" style="62" bestFit="1" customWidth="1"/>
    <col min="8962" max="8962" width="44.28515625" style="62" bestFit="1" customWidth="1"/>
    <col min="8963" max="8963" width="10.42578125" style="62" bestFit="1" customWidth="1"/>
    <col min="8964" max="8964" width="10.42578125" style="62" customWidth="1"/>
    <col min="8965" max="8965" width="9.7109375" style="62" bestFit="1" customWidth="1"/>
    <col min="8966" max="8967" width="9.5703125" style="62" bestFit="1" customWidth="1"/>
    <col min="8968" max="8968" width="10.42578125" style="62" bestFit="1" customWidth="1"/>
    <col min="8969" max="8969" width="4.5703125" style="62" customWidth="1"/>
    <col min="8970" max="8970" width="1.85546875" style="62" customWidth="1"/>
    <col min="8971" max="8971" width="7" style="62" bestFit="1" customWidth="1"/>
    <col min="8972" max="8972" width="6.28515625" style="62" customWidth="1"/>
    <col min="8973" max="8973" width="20.42578125" style="62" customWidth="1"/>
    <col min="8974" max="8974" width="6.42578125" style="62" bestFit="1" customWidth="1"/>
    <col min="8975" max="8976" width="8.42578125" style="62"/>
    <col min="8977" max="8977" width="3.28515625" style="62" customWidth="1"/>
    <col min="8978" max="9216" width="8.42578125" style="62"/>
    <col min="9217" max="9217" width="10" style="62" bestFit="1" customWidth="1"/>
    <col min="9218" max="9218" width="44.28515625" style="62" bestFit="1" customWidth="1"/>
    <col min="9219" max="9219" width="10.42578125" style="62" bestFit="1" customWidth="1"/>
    <col min="9220" max="9220" width="10.42578125" style="62" customWidth="1"/>
    <col min="9221" max="9221" width="9.7109375" style="62" bestFit="1" customWidth="1"/>
    <col min="9222" max="9223" width="9.5703125" style="62" bestFit="1" customWidth="1"/>
    <col min="9224" max="9224" width="10.42578125" style="62" bestFit="1" customWidth="1"/>
    <col min="9225" max="9225" width="4.5703125" style="62" customWidth="1"/>
    <col min="9226" max="9226" width="1.85546875" style="62" customWidth="1"/>
    <col min="9227" max="9227" width="7" style="62" bestFit="1" customWidth="1"/>
    <col min="9228" max="9228" width="6.28515625" style="62" customWidth="1"/>
    <col min="9229" max="9229" width="20.42578125" style="62" customWidth="1"/>
    <col min="9230" max="9230" width="6.42578125" style="62" bestFit="1" customWidth="1"/>
    <col min="9231" max="9232" width="8.42578125" style="62"/>
    <col min="9233" max="9233" width="3.28515625" style="62" customWidth="1"/>
    <col min="9234" max="9472" width="8.42578125" style="62"/>
    <col min="9473" max="9473" width="10" style="62" bestFit="1" customWidth="1"/>
    <col min="9474" max="9474" width="44.28515625" style="62" bestFit="1" customWidth="1"/>
    <col min="9475" max="9475" width="10.42578125" style="62" bestFit="1" customWidth="1"/>
    <col min="9476" max="9476" width="10.42578125" style="62" customWidth="1"/>
    <col min="9477" max="9477" width="9.7109375" style="62" bestFit="1" customWidth="1"/>
    <col min="9478" max="9479" width="9.5703125" style="62" bestFit="1" customWidth="1"/>
    <col min="9480" max="9480" width="10.42578125" style="62" bestFit="1" customWidth="1"/>
    <col min="9481" max="9481" width="4.5703125" style="62" customWidth="1"/>
    <col min="9482" max="9482" width="1.85546875" style="62" customWidth="1"/>
    <col min="9483" max="9483" width="7" style="62" bestFit="1" customWidth="1"/>
    <col min="9484" max="9484" width="6.28515625" style="62" customWidth="1"/>
    <col min="9485" max="9485" width="20.42578125" style="62" customWidth="1"/>
    <col min="9486" max="9486" width="6.42578125" style="62" bestFit="1" customWidth="1"/>
    <col min="9487" max="9488" width="8.42578125" style="62"/>
    <col min="9489" max="9489" width="3.28515625" style="62" customWidth="1"/>
    <col min="9490" max="9728" width="8.42578125" style="62"/>
    <col min="9729" max="9729" width="10" style="62" bestFit="1" customWidth="1"/>
    <col min="9730" max="9730" width="44.28515625" style="62" bestFit="1" customWidth="1"/>
    <col min="9731" max="9731" width="10.42578125" style="62" bestFit="1" customWidth="1"/>
    <col min="9732" max="9732" width="10.42578125" style="62" customWidth="1"/>
    <col min="9733" max="9733" width="9.7109375" style="62" bestFit="1" customWidth="1"/>
    <col min="9734" max="9735" width="9.5703125" style="62" bestFit="1" customWidth="1"/>
    <col min="9736" max="9736" width="10.42578125" style="62" bestFit="1" customWidth="1"/>
    <col min="9737" max="9737" width="4.5703125" style="62" customWidth="1"/>
    <col min="9738" max="9738" width="1.85546875" style="62" customWidth="1"/>
    <col min="9739" max="9739" width="7" style="62" bestFit="1" customWidth="1"/>
    <col min="9740" max="9740" width="6.28515625" style="62" customWidth="1"/>
    <col min="9741" max="9741" width="20.42578125" style="62" customWidth="1"/>
    <col min="9742" max="9742" width="6.42578125" style="62" bestFit="1" customWidth="1"/>
    <col min="9743" max="9744" width="8.42578125" style="62"/>
    <col min="9745" max="9745" width="3.28515625" style="62" customWidth="1"/>
    <col min="9746" max="9984" width="8.42578125" style="62"/>
    <col min="9985" max="9985" width="10" style="62" bestFit="1" customWidth="1"/>
    <col min="9986" max="9986" width="44.28515625" style="62" bestFit="1" customWidth="1"/>
    <col min="9987" max="9987" width="10.42578125" style="62" bestFit="1" customWidth="1"/>
    <col min="9988" max="9988" width="10.42578125" style="62" customWidth="1"/>
    <col min="9989" max="9989" width="9.7109375" style="62" bestFit="1" customWidth="1"/>
    <col min="9990" max="9991" width="9.5703125" style="62" bestFit="1" customWidth="1"/>
    <col min="9992" max="9992" width="10.42578125" style="62" bestFit="1" customWidth="1"/>
    <col min="9993" max="9993" width="4.5703125" style="62" customWidth="1"/>
    <col min="9994" max="9994" width="1.85546875" style="62" customWidth="1"/>
    <col min="9995" max="9995" width="7" style="62" bestFit="1" customWidth="1"/>
    <col min="9996" max="9996" width="6.28515625" style="62" customWidth="1"/>
    <col min="9997" max="9997" width="20.42578125" style="62" customWidth="1"/>
    <col min="9998" max="9998" width="6.42578125" style="62" bestFit="1" customWidth="1"/>
    <col min="9999" max="10000" width="8.42578125" style="62"/>
    <col min="10001" max="10001" width="3.28515625" style="62" customWidth="1"/>
    <col min="10002" max="10240" width="8.42578125" style="62"/>
    <col min="10241" max="10241" width="10" style="62" bestFit="1" customWidth="1"/>
    <col min="10242" max="10242" width="44.28515625" style="62" bestFit="1" customWidth="1"/>
    <col min="10243" max="10243" width="10.42578125" style="62" bestFit="1" customWidth="1"/>
    <col min="10244" max="10244" width="10.42578125" style="62" customWidth="1"/>
    <col min="10245" max="10245" width="9.7109375" style="62" bestFit="1" customWidth="1"/>
    <col min="10246" max="10247" width="9.5703125" style="62" bestFit="1" customWidth="1"/>
    <col min="10248" max="10248" width="10.42578125" style="62" bestFit="1" customWidth="1"/>
    <col min="10249" max="10249" width="4.5703125" style="62" customWidth="1"/>
    <col min="10250" max="10250" width="1.85546875" style="62" customWidth="1"/>
    <col min="10251" max="10251" width="7" style="62" bestFit="1" customWidth="1"/>
    <col min="10252" max="10252" width="6.28515625" style="62" customWidth="1"/>
    <col min="10253" max="10253" width="20.42578125" style="62" customWidth="1"/>
    <col min="10254" max="10254" width="6.42578125" style="62" bestFit="1" customWidth="1"/>
    <col min="10255" max="10256" width="8.42578125" style="62"/>
    <col min="10257" max="10257" width="3.28515625" style="62" customWidth="1"/>
    <col min="10258" max="10496" width="8.42578125" style="62"/>
    <col min="10497" max="10497" width="10" style="62" bestFit="1" customWidth="1"/>
    <col min="10498" max="10498" width="44.28515625" style="62" bestFit="1" customWidth="1"/>
    <col min="10499" max="10499" width="10.42578125" style="62" bestFit="1" customWidth="1"/>
    <col min="10500" max="10500" width="10.42578125" style="62" customWidth="1"/>
    <col min="10501" max="10501" width="9.7109375" style="62" bestFit="1" customWidth="1"/>
    <col min="10502" max="10503" width="9.5703125" style="62" bestFit="1" customWidth="1"/>
    <col min="10504" max="10504" width="10.42578125" style="62" bestFit="1" customWidth="1"/>
    <col min="10505" max="10505" width="4.5703125" style="62" customWidth="1"/>
    <col min="10506" max="10506" width="1.85546875" style="62" customWidth="1"/>
    <col min="10507" max="10507" width="7" style="62" bestFit="1" customWidth="1"/>
    <col min="10508" max="10508" width="6.28515625" style="62" customWidth="1"/>
    <col min="10509" max="10509" width="20.42578125" style="62" customWidth="1"/>
    <col min="10510" max="10510" width="6.42578125" style="62" bestFit="1" customWidth="1"/>
    <col min="10511" max="10512" width="8.42578125" style="62"/>
    <col min="10513" max="10513" width="3.28515625" style="62" customWidth="1"/>
    <col min="10514" max="10752" width="8.42578125" style="62"/>
    <col min="10753" max="10753" width="10" style="62" bestFit="1" customWidth="1"/>
    <col min="10754" max="10754" width="44.28515625" style="62" bestFit="1" customWidth="1"/>
    <col min="10755" max="10755" width="10.42578125" style="62" bestFit="1" customWidth="1"/>
    <col min="10756" max="10756" width="10.42578125" style="62" customWidth="1"/>
    <col min="10757" max="10757" width="9.7109375" style="62" bestFit="1" customWidth="1"/>
    <col min="10758" max="10759" width="9.5703125" style="62" bestFit="1" customWidth="1"/>
    <col min="10760" max="10760" width="10.42578125" style="62" bestFit="1" customWidth="1"/>
    <col min="10761" max="10761" width="4.5703125" style="62" customWidth="1"/>
    <col min="10762" max="10762" width="1.85546875" style="62" customWidth="1"/>
    <col min="10763" max="10763" width="7" style="62" bestFit="1" customWidth="1"/>
    <col min="10764" max="10764" width="6.28515625" style="62" customWidth="1"/>
    <col min="10765" max="10765" width="20.42578125" style="62" customWidth="1"/>
    <col min="10766" max="10766" width="6.42578125" style="62" bestFit="1" customWidth="1"/>
    <col min="10767" max="10768" width="8.42578125" style="62"/>
    <col min="10769" max="10769" width="3.28515625" style="62" customWidth="1"/>
    <col min="10770" max="11008" width="8.42578125" style="62"/>
    <col min="11009" max="11009" width="10" style="62" bestFit="1" customWidth="1"/>
    <col min="11010" max="11010" width="44.28515625" style="62" bestFit="1" customWidth="1"/>
    <col min="11011" max="11011" width="10.42578125" style="62" bestFit="1" customWidth="1"/>
    <col min="11012" max="11012" width="10.42578125" style="62" customWidth="1"/>
    <col min="11013" max="11013" width="9.7109375" style="62" bestFit="1" customWidth="1"/>
    <col min="11014" max="11015" width="9.5703125" style="62" bestFit="1" customWidth="1"/>
    <col min="11016" max="11016" width="10.42578125" style="62" bestFit="1" customWidth="1"/>
    <col min="11017" max="11017" width="4.5703125" style="62" customWidth="1"/>
    <col min="11018" max="11018" width="1.85546875" style="62" customWidth="1"/>
    <col min="11019" max="11019" width="7" style="62" bestFit="1" customWidth="1"/>
    <col min="11020" max="11020" width="6.28515625" style="62" customWidth="1"/>
    <col min="11021" max="11021" width="20.42578125" style="62" customWidth="1"/>
    <col min="11022" max="11022" width="6.42578125" style="62" bestFit="1" customWidth="1"/>
    <col min="11023" max="11024" width="8.42578125" style="62"/>
    <col min="11025" max="11025" width="3.28515625" style="62" customWidth="1"/>
    <col min="11026" max="11264" width="8.42578125" style="62"/>
    <col min="11265" max="11265" width="10" style="62" bestFit="1" customWidth="1"/>
    <col min="11266" max="11266" width="44.28515625" style="62" bestFit="1" customWidth="1"/>
    <col min="11267" max="11267" width="10.42578125" style="62" bestFit="1" customWidth="1"/>
    <col min="11268" max="11268" width="10.42578125" style="62" customWidth="1"/>
    <col min="11269" max="11269" width="9.7109375" style="62" bestFit="1" customWidth="1"/>
    <col min="11270" max="11271" width="9.5703125" style="62" bestFit="1" customWidth="1"/>
    <col min="11272" max="11272" width="10.42578125" style="62" bestFit="1" customWidth="1"/>
    <col min="11273" max="11273" width="4.5703125" style="62" customWidth="1"/>
    <col min="11274" max="11274" width="1.85546875" style="62" customWidth="1"/>
    <col min="11275" max="11275" width="7" style="62" bestFit="1" customWidth="1"/>
    <col min="11276" max="11276" width="6.28515625" style="62" customWidth="1"/>
    <col min="11277" max="11277" width="20.42578125" style="62" customWidth="1"/>
    <col min="11278" max="11278" width="6.42578125" style="62" bestFit="1" customWidth="1"/>
    <col min="11279" max="11280" width="8.42578125" style="62"/>
    <col min="11281" max="11281" width="3.28515625" style="62" customWidth="1"/>
    <col min="11282" max="11520" width="8.42578125" style="62"/>
    <col min="11521" max="11521" width="10" style="62" bestFit="1" customWidth="1"/>
    <col min="11522" max="11522" width="44.28515625" style="62" bestFit="1" customWidth="1"/>
    <col min="11523" max="11523" width="10.42578125" style="62" bestFit="1" customWidth="1"/>
    <col min="11524" max="11524" width="10.42578125" style="62" customWidth="1"/>
    <col min="11525" max="11525" width="9.7109375" style="62" bestFit="1" customWidth="1"/>
    <col min="11526" max="11527" width="9.5703125" style="62" bestFit="1" customWidth="1"/>
    <col min="11528" max="11528" width="10.42578125" style="62" bestFit="1" customWidth="1"/>
    <col min="11529" max="11529" width="4.5703125" style="62" customWidth="1"/>
    <col min="11530" max="11530" width="1.85546875" style="62" customWidth="1"/>
    <col min="11531" max="11531" width="7" style="62" bestFit="1" customWidth="1"/>
    <col min="11532" max="11532" width="6.28515625" style="62" customWidth="1"/>
    <col min="11533" max="11533" width="20.42578125" style="62" customWidth="1"/>
    <col min="11534" max="11534" width="6.42578125" style="62" bestFit="1" customWidth="1"/>
    <col min="11535" max="11536" width="8.42578125" style="62"/>
    <col min="11537" max="11537" width="3.28515625" style="62" customWidth="1"/>
    <col min="11538" max="11776" width="8.42578125" style="62"/>
    <col min="11777" max="11777" width="10" style="62" bestFit="1" customWidth="1"/>
    <col min="11778" max="11778" width="44.28515625" style="62" bestFit="1" customWidth="1"/>
    <col min="11779" max="11779" width="10.42578125" style="62" bestFit="1" customWidth="1"/>
    <col min="11780" max="11780" width="10.42578125" style="62" customWidth="1"/>
    <col min="11781" max="11781" width="9.7109375" style="62" bestFit="1" customWidth="1"/>
    <col min="11782" max="11783" width="9.5703125" style="62" bestFit="1" customWidth="1"/>
    <col min="11784" max="11784" width="10.42578125" style="62" bestFit="1" customWidth="1"/>
    <col min="11785" max="11785" width="4.5703125" style="62" customWidth="1"/>
    <col min="11786" max="11786" width="1.85546875" style="62" customWidth="1"/>
    <col min="11787" max="11787" width="7" style="62" bestFit="1" customWidth="1"/>
    <col min="11788" max="11788" width="6.28515625" style="62" customWidth="1"/>
    <col min="11789" max="11789" width="20.42578125" style="62" customWidth="1"/>
    <col min="11790" max="11790" width="6.42578125" style="62" bestFit="1" customWidth="1"/>
    <col min="11791" max="11792" width="8.42578125" style="62"/>
    <col min="11793" max="11793" width="3.28515625" style="62" customWidth="1"/>
    <col min="11794" max="12032" width="8.42578125" style="62"/>
    <col min="12033" max="12033" width="10" style="62" bestFit="1" customWidth="1"/>
    <col min="12034" max="12034" width="44.28515625" style="62" bestFit="1" customWidth="1"/>
    <col min="12035" max="12035" width="10.42578125" style="62" bestFit="1" customWidth="1"/>
    <col min="12036" max="12036" width="10.42578125" style="62" customWidth="1"/>
    <col min="12037" max="12037" width="9.7109375" style="62" bestFit="1" customWidth="1"/>
    <col min="12038" max="12039" width="9.5703125" style="62" bestFit="1" customWidth="1"/>
    <col min="12040" max="12040" width="10.42578125" style="62" bestFit="1" customWidth="1"/>
    <col min="12041" max="12041" width="4.5703125" style="62" customWidth="1"/>
    <col min="12042" max="12042" width="1.85546875" style="62" customWidth="1"/>
    <col min="12043" max="12043" width="7" style="62" bestFit="1" customWidth="1"/>
    <col min="12044" max="12044" width="6.28515625" style="62" customWidth="1"/>
    <col min="12045" max="12045" width="20.42578125" style="62" customWidth="1"/>
    <col min="12046" max="12046" width="6.42578125" style="62" bestFit="1" customWidth="1"/>
    <col min="12047" max="12048" width="8.42578125" style="62"/>
    <col min="12049" max="12049" width="3.28515625" style="62" customWidth="1"/>
    <col min="12050" max="12288" width="8.42578125" style="62"/>
    <col min="12289" max="12289" width="10" style="62" bestFit="1" customWidth="1"/>
    <col min="12290" max="12290" width="44.28515625" style="62" bestFit="1" customWidth="1"/>
    <col min="12291" max="12291" width="10.42578125" style="62" bestFit="1" customWidth="1"/>
    <col min="12292" max="12292" width="10.42578125" style="62" customWidth="1"/>
    <col min="12293" max="12293" width="9.7109375" style="62" bestFit="1" customWidth="1"/>
    <col min="12294" max="12295" width="9.5703125" style="62" bestFit="1" customWidth="1"/>
    <col min="12296" max="12296" width="10.42578125" style="62" bestFit="1" customWidth="1"/>
    <col min="12297" max="12297" width="4.5703125" style="62" customWidth="1"/>
    <col min="12298" max="12298" width="1.85546875" style="62" customWidth="1"/>
    <col min="12299" max="12299" width="7" style="62" bestFit="1" customWidth="1"/>
    <col min="12300" max="12300" width="6.28515625" style="62" customWidth="1"/>
    <col min="12301" max="12301" width="20.42578125" style="62" customWidth="1"/>
    <col min="12302" max="12302" width="6.42578125" style="62" bestFit="1" customWidth="1"/>
    <col min="12303" max="12304" width="8.42578125" style="62"/>
    <col min="12305" max="12305" width="3.28515625" style="62" customWidth="1"/>
    <col min="12306" max="12544" width="8.42578125" style="62"/>
    <col min="12545" max="12545" width="10" style="62" bestFit="1" customWidth="1"/>
    <col min="12546" max="12546" width="44.28515625" style="62" bestFit="1" customWidth="1"/>
    <col min="12547" max="12547" width="10.42578125" style="62" bestFit="1" customWidth="1"/>
    <col min="12548" max="12548" width="10.42578125" style="62" customWidth="1"/>
    <col min="12549" max="12549" width="9.7109375" style="62" bestFit="1" customWidth="1"/>
    <col min="12550" max="12551" width="9.5703125" style="62" bestFit="1" customWidth="1"/>
    <col min="12552" max="12552" width="10.42578125" style="62" bestFit="1" customWidth="1"/>
    <col min="12553" max="12553" width="4.5703125" style="62" customWidth="1"/>
    <col min="12554" max="12554" width="1.85546875" style="62" customWidth="1"/>
    <col min="12555" max="12555" width="7" style="62" bestFit="1" customWidth="1"/>
    <col min="12556" max="12556" width="6.28515625" style="62" customWidth="1"/>
    <col min="12557" max="12557" width="20.42578125" style="62" customWidth="1"/>
    <col min="12558" max="12558" width="6.42578125" style="62" bestFit="1" customWidth="1"/>
    <col min="12559" max="12560" width="8.42578125" style="62"/>
    <col min="12561" max="12561" width="3.28515625" style="62" customWidth="1"/>
    <col min="12562" max="12800" width="8.42578125" style="62"/>
    <col min="12801" max="12801" width="10" style="62" bestFit="1" customWidth="1"/>
    <col min="12802" max="12802" width="44.28515625" style="62" bestFit="1" customWidth="1"/>
    <col min="12803" max="12803" width="10.42578125" style="62" bestFit="1" customWidth="1"/>
    <col min="12804" max="12804" width="10.42578125" style="62" customWidth="1"/>
    <col min="12805" max="12805" width="9.7109375" style="62" bestFit="1" customWidth="1"/>
    <col min="12806" max="12807" width="9.5703125" style="62" bestFit="1" customWidth="1"/>
    <col min="12808" max="12808" width="10.42578125" style="62" bestFit="1" customWidth="1"/>
    <col min="12809" max="12809" width="4.5703125" style="62" customWidth="1"/>
    <col min="12810" max="12810" width="1.85546875" style="62" customWidth="1"/>
    <col min="12811" max="12811" width="7" style="62" bestFit="1" customWidth="1"/>
    <col min="12812" max="12812" width="6.28515625" style="62" customWidth="1"/>
    <col min="12813" max="12813" width="20.42578125" style="62" customWidth="1"/>
    <col min="12814" max="12814" width="6.42578125" style="62" bestFit="1" customWidth="1"/>
    <col min="12815" max="12816" width="8.42578125" style="62"/>
    <col min="12817" max="12817" width="3.28515625" style="62" customWidth="1"/>
    <col min="12818" max="13056" width="8.42578125" style="62"/>
    <col min="13057" max="13057" width="10" style="62" bestFit="1" customWidth="1"/>
    <col min="13058" max="13058" width="44.28515625" style="62" bestFit="1" customWidth="1"/>
    <col min="13059" max="13059" width="10.42578125" style="62" bestFit="1" customWidth="1"/>
    <col min="13060" max="13060" width="10.42578125" style="62" customWidth="1"/>
    <col min="13061" max="13061" width="9.7109375" style="62" bestFit="1" customWidth="1"/>
    <col min="13062" max="13063" width="9.5703125" style="62" bestFit="1" customWidth="1"/>
    <col min="13064" max="13064" width="10.42578125" style="62" bestFit="1" customWidth="1"/>
    <col min="13065" max="13065" width="4.5703125" style="62" customWidth="1"/>
    <col min="13066" max="13066" width="1.85546875" style="62" customWidth="1"/>
    <col min="13067" max="13067" width="7" style="62" bestFit="1" customWidth="1"/>
    <col min="13068" max="13068" width="6.28515625" style="62" customWidth="1"/>
    <col min="13069" max="13069" width="20.42578125" style="62" customWidth="1"/>
    <col min="13070" max="13070" width="6.42578125" style="62" bestFit="1" customWidth="1"/>
    <col min="13071" max="13072" width="8.42578125" style="62"/>
    <col min="13073" max="13073" width="3.28515625" style="62" customWidth="1"/>
    <col min="13074" max="13312" width="8.42578125" style="62"/>
    <col min="13313" max="13313" width="10" style="62" bestFit="1" customWidth="1"/>
    <col min="13314" max="13314" width="44.28515625" style="62" bestFit="1" customWidth="1"/>
    <col min="13315" max="13315" width="10.42578125" style="62" bestFit="1" customWidth="1"/>
    <col min="13316" max="13316" width="10.42578125" style="62" customWidth="1"/>
    <col min="13317" max="13317" width="9.7109375" style="62" bestFit="1" customWidth="1"/>
    <col min="13318" max="13319" width="9.5703125" style="62" bestFit="1" customWidth="1"/>
    <col min="13320" max="13320" width="10.42578125" style="62" bestFit="1" customWidth="1"/>
    <col min="13321" max="13321" width="4.5703125" style="62" customWidth="1"/>
    <col min="13322" max="13322" width="1.85546875" style="62" customWidth="1"/>
    <col min="13323" max="13323" width="7" style="62" bestFit="1" customWidth="1"/>
    <col min="13324" max="13324" width="6.28515625" style="62" customWidth="1"/>
    <col min="13325" max="13325" width="20.42578125" style="62" customWidth="1"/>
    <col min="13326" max="13326" width="6.42578125" style="62" bestFit="1" customWidth="1"/>
    <col min="13327" max="13328" width="8.42578125" style="62"/>
    <col min="13329" max="13329" width="3.28515625" style="62" customWidth="1"/>
    <col min="13330" max="13568" width="8.42578125" style="62"/>
    <col min="13569" max="13569" width="10" style="62" bestFit="1" customWidth="1"/>
    <col min="13570" max="13570" width="44.28515625" style="62" bestFit="1" customWidth="1"/>
    <col min="13571" max="13571" width="10.42578125" style="62" bestFit="1" customWidth="1"/>
    <col min="13572" max="13572" width="10.42578125" style="62" customWidth="1"/>
    <col min="13573" max="13573" width="9.7109375" style="62" bestFit="1" customWidth="1"/>
    <col min="13574" max="13575" width="9.5703125" style="62" bestFit="1" customWidth="1"/>
    <col min="13576" max="13576" width="10.42578125" style="62" bestFit="1" customWidth="1"/>
    <col min="13577" max="13577" width="4.5703125" style="62" customWidth="1"/>
    <col min="13578" max="13578" width="1.85546875" style="62" customWidth="1"/>
    <col min="13579" max="13579" width="7" style="62" bestFit="1" customWidth="1"/>
    <col min="13580" max="13580" width="6.28515625" style="62" customWidth="1"/>
    <col min="13581" max="13581" width="20.42578125" style="62" customWidth="1"/>
    <col min="13582" max="13582" width="6.42578125" style="62" bestFit="1" customWidth="1"/>
    <col min="13583" max="13584" width="8.42578125" style="62"/>
    <col min="13585" max="13585" width="3.28515625" style="62" customWidth="1"/>
    <col min="13586" max="13824" width="8.42578125" style="62"/>
    <col min="13825" max="13825" width="10" style="62" bestFit="1" customWidth="1"/>
    <col min="13826" max="13826" width="44.28515625" style="62" bestFit="1" customWidth="1"/>
    <col min="13827" max="13827" width="10.42578125" style="62" bestFit="1" customWidth="1"/>
    <col min="13828" max="13828" width="10.42578125" style="62" customWidth="1"/>
    <col min="13829" max="13829" width="9.7109375" style="62" bestFit="1" customWidth="1"/>
    <col min="13830" max="13831" width="9.5703125" style="62" bestFit="1" customWidth="1"/>
    <col min="13832" max="13832" width="10.42578125" style="62" bestFit="1" customWidth="1"/>
    <col min="13833" max="13833" width="4.5703125" style="62" customWidth="1"/>
    <col min="13834" max="13834" width="1.85546875" style="62" customWidth="1"/>
    <col min="13835" max="13835" width="7" style="62" bestFit="1" customWidth="1"/>
    <col min="13836" max="13836" width="6.28515625" style="62" customWidth="1"/>
    <col min="13837" max="13837" width="20.42578125" style="62" customWidth="1"/>
    <col min="13838" max="13838" width="6.42578125" style="62" bestFit="1" customWidth="1"/>
    <col min="13839" max="13840" width="8.42578125" style="62"/>
    <col min="13841" max="13841" width="3.28515625" style="62" customWidth="1"/>
    <col min="13842" max="14080" width="8.42578125" style="62"/>
    <col min="14081" max="14081" width="10" style="62" bestFit="1" customWidth="1"/>
    <col min="14082" max="14082" width="44.28515625" style="62" bestFit="1" customWidth="1"/>
    <col min="14083" max="14083" width="10.42578125" style="62" bestFit="1" customWidth="1"/>
    <col min="14084" max="14084" width="10.42578125" style="62" customWidth="1"/>
    <col min="14085" max="14085" width="9.7109375" style="62" bestFit="1" customWidth="1"/>
    <col min="14086" max="14087" width="9.5703125" style="62" bestFit="1" customWidth="1"/>
    <col min="14088" max="14088" width="10.42578125" style="62" bestFit="1" customWidth="1"/>
    <col min="14089" max="14089" width="4.5703125" style="62" customWidth="1"/>
    <col min="14090" max="14090" width="1.85546875" style="62" customWidth="1"/>
    <col min="14091" max="14091" width="7" style="62" bestFit="1" customWidth="1"/>
    <col min="14092" max="14092" width="6.28515625" style="62" customWidth="1"/>
    <col min="14093" max="14093" width="20.42578125" style="62" customWidth="1"/>
    <col min="14094" max="14094" width="6.42578125" style="62" bestFit="1" customWidth="1"/>
    <col min="14095" max="14096" width="8.42578125" style="62"/>
    <col min="14097" max="14097" width="3.28515625" style="62" customWidth="1"/>
    <col min="14098" max="14336" width="8.42578125" style="62"/>
    <col min="14337" max="14337" width="10" style="62" bestFit="1" customWidth="1"/>
    <col min="14338" max="14338" width="44.28515625" style="62" bestFit="1" customWidth="1"/>
    <col min="14339" max="14339" width="10.42578125" style="62" bestFit="1" customWidth="1"/>
    <col min="14340" max="14340" width="10.42578125" style="62" customWidth="1"/>
    <col min="14341" max="14341" width="9.7109375" style="62" bestFit="1" customWidth="1"/>
    <col min="14342" max="14343" width="9.5703125" style="62" bestFit="1" customWidth="1"/>
    <col min="14344" max="14344" width="10.42578125" style="62" bestFit="1" customWidth="1"/>
    <col min="14345" max="14345" width="4.5703125" style="62" customWidth="1"/>
    <col min="14346" max="14346" width="1.85546875" style="62" customWidth="1"/>
    <col min="14347" max="14347" width="7" style="62" bestFit="1" customWidth="1"/>
    <col min="14348" max="14348" width="6.28515625" style="62" customWidth="1"/>
    <col min="14349" max="14349" width="20.42578125" style="62" customWidth="1"/>
    <col min="14350" max="14350" width="6.42578125" style="62" bestFit="1" customWidth="1"/>
    <col min="14351" max="14352" width="8.42578125" style="62"/>
    <col min="14353" max="14353" width="3.28515625" style="62" customWidth="1"/>
    <col min="14354" max="14592" width="8.42578125" style="62"/>
    <col min="14593" max="14593" width="10" style="62" bestFit="1" customWidth="1"/>
    <col min="14594" max="14594" width="44.28515625" style="62" bestFit="1" customWidth="1"/>
    <col min="14595" max="14595" width="10.42578125" style="62" bestFit="1" customWidth="1"/>
    <col min="14596" max="14596" width="10.42578125" style="62" customWidth="1"/>
    <col min="14597" max="14597" width="9.7109375" style="62" bestFit="1" customWidth="1"/>
    <col min="14598" max="14599" width="9.5703125" style="62" bestFit="1" customWidth="1"/>
    <col min="14600" max="14600" width="10.42578125" style="62" bestFit="1" customWidth="1"/>
    <col min="14601" max="14601" width="4.5703125" style="62" customWidth="1"/>
    <col min="14602" max="14602" width="1.85546875" style="62" customWidth="1"/>
    <col min="14603" max="14603" width="7" style="62" bestFit="1" customWidth="1"/>
    <col min="14604" max="14604" width="6.28515625" style="62" customWidth="1"/>
    <col min="14605" max="14605" width="20.42578125" style="62" customWidth="1"/>
    <col min="14606" max="14606" width="6.42578125" style="62" bestFit="1" customWidth="1"/>
    <col min="14607" max="14608" width="8.42578125" style="62"/>
    <col min="14609" max="14609" width="3.28515625" style="62" customWidth="1"/>
    <col min="14610" max="14848" width="8.42578125" style="62"/>
    <col min="14849" max="14849" width="10" style="62" bestFit="1" customWidth="1"/>
    <col min="14850" max="14850" width="44.28515625" style="62" bestFit="1" customWidth="1"/>
    <col min="14851" max="14851" width="10.42578125" style="62" bestFit="1" customWidth="1"/>
    <col min="14852" max="14852" width="10.42578125" style="62" customWidth="1"/>
    <col min="14853" max="14853" width="9.7109375" style="62" bestFit="1" customWidth="1"/>
    <col min="14854" max="14855" width="9.5703125" style="62" bestFit="1" customWidth="1"/>
    <col min="14856" max="14856" width="10.42578125" style="62" bestFit="1" customWidth="1"/>
    <col min="14857" max="14857" width="4.5703125" style="62" customWidth="1"/>
    <col min="14858" max="14858" width="1.85546875" style="62" customWidth="1"/>
    <col min="14859" max="14859" width="7" style="62" bestFit="1" customWidth="1"/>
    <col min="14860" max="14860" width="6.28515625" style="62" customWidth="1"/>
    <col min="14861" max="14861" width="20.42578125" style="62" customWidth="1"/>
    <col min="14862" max="14862" width="6.42578125" style="62" bestFit="1" customWidth="1"/>
    <col min="14863" max="14864" width="8.42578125" style="62"/>
    <col min="14865" max="14865" width="3.28515625" style="62" customWidth="1"/>
    <col min="14866" max="15104" width="8.42578125" style="62"/>
    <col min="15105" max="15105" width="10" style="62" bestFit="1" customWidth="1"/>
    <col min="15106" max="15106" width="44.28515625" style="62" bestFit="1" customWidth="1"/>
    <col min="15107" max="15107" width="10.42578125" style="62" bestFit="1" customWidth="1"/>
    <col min="15108" max="15108" width="10.42578125" style="62" customWidth="1"/>
    <col min="15109" max="15109" width="9.7109375" style="62" bestFit="1" customWidth="1"/>
    <col min="15110" max="15111" width="9.5703125" style="62" bestFit="1" customWidth="1"/>
    <col min="15112" max="15112" width="10.42578125" style="62" bestFit="1" customWidth="1"/>
    <col min="15113" max="15113" width="4.5703125" style="62" customWidth="1"/>
    <col min="15114" max="15114" width="1.85546875" style="62" customWidth="1"/>
    <col min="15115" max="15115" width="7" style="62" bestFit="1" customWidth="1"/>
    <col min="15116" max="15116" width="6.28515625" style="62" customWidth="1"/>
    <col min="15117" max="15117" width="20.42578125" style="62" customWidth="1"/>
    <col min="15118" max="15118" width="6.42578125" style="62" bestFit="1" customWidth="1"/>
    <col min="15119" max="15120" width="8.42578125" style="62"/>
    <col min="15121" max="15121" width="3.28515625" style="62" customWidth="1"/>
    <col min="15122" max="15360" width="8.42578125" style="62"/>
    <col min="15361" max="15361" width="10" style="62" bestFit="1" customWidth="1"/>
    <col min="15362" max="15362" width="44.28515625" style="62" bestFit="1" customWidth="1"/>
    <col min="15363" max="15363" width="10.42578125" style="62" bestFit="1" customWidth="1"/>
    <col min="15364" max="15364" width="10.42578125" style="62" customWidth="1"/>
    <col min="15365" max="15365" width="9.7109375" style="62" bestFit="1" customWidth="1"/>
    <col min="15366" max="15367" width="9.5703125" style="62" bestFit="1" customWidth="1"/>
    <col min="15368" max="15368" width="10.42578125" style="62" bestFit="1" customWidth="1"/>
    <col min="15369" max="15369" width="4.5703125" style="62" customWidth="1"/>
    <col min="15370" max="15370" width="1.85546875" style="62" customWidth="1"/>
    <col min="15371" max="15371" width="7" style="62" bestFit="1" customWidth="1"/>
    <col min="15372" max="15372" width="6.28515625" style="62" customWidth="1"/>
    <col min="15373" max="15373" width="20.42578125" style="62" customWidth="1"/>
    <col min="15374" max="15374" width="6.42578125" style="62" bestFit="1" customWidth="1"/>
    <col min="15375" max="15376" width="8.42578125" style="62"/>
    <col min="15377" max="15377" width="3.28515625" style="62" customWidth="1"/>
    <col min="15378" max="15616" width="8.42578125" style="62"/>
    <col min="15617" max="15617" width="10" style="62" bestFit="1" customWidth="1"/>
    <col min="15618" max="15618" width="44.28515625" style="62" bestFit="1" customWidth="1"/>
    <col min="15619" max="15619" width="10.42578125" style="62" bestFit="1" customWidth="1"/>
    <col min="15620" max="15620" width="10.42578125" style="62" customWidth="1"/>
    <col min="15621" max="15621" width="9.7109375" style="62" bestFit="1" customWidth="1"/>
    <col min="15622" max="15623" width="9.5703125" style="62" bestFit="1" customWidth="1"/>
    <col min="15624" max="15624" width="10.42578125" style="62" bestFit="1" customWidth="1"/>
    <col min="15625" max="15625" width="4.5703125" style="62" customWidth="1"/>
    <col min="15626" max="15626" width="1.85546875" style="62" customWidth="1"/>
    <col min="15627" max="15627" width="7" style="62" bestFit="1" customWidth="1"/>
    <col min="15628" max="15628" width="6.28515625" style="62" customWidth="1"/>
    <col min="15629" max="15629" width="20.42578125" style="62" customWidth="1"/>
    <col min="15630" max="15630" width="6.42578125" style="62" bestFit="1" customWidth="1"/>
    <col min="15631" max="15632" width="8.42578125" style="62"/>
    <col min="15633" max="15633" width="3.28515625" style="62" customWidth="1"/>
    <col min="15634" max="15872" width="8.42578125" style="62"/>
    <col min="15873" max="15873" width="10" style="62" bestFit="1" customWidth="1"/>
    <col min="15874" max="15874" width="44.28515625" style="62" bestFit="1" customWidth="1"/>
    <col min="15875" max="15875" width="10.42578125" style="62" bestFit="1" customWidth="1"/>
    <col min="15876" max="15876" width="10.42578125" style="62" customWidth="1"/>
    <col min="15877" max="15877" width="9.7109375" style="62" bestFit="1" customWidth="1"/>
    <col min="15878" max="15879" width="9.5703125" style="62" bestFit="1" customWidth="1"/>
    <col min="15880" max="15880" width="10.42578125" style="62" bestFit="1" customWidth="1"/>
    <col min="15881" max="15881" width="4.5703125" style="62" customWidth="1"/>
    <col min="15882" max="15882" width="1.85546875" style="62" customWidth="1"/>
    <col min="15883" max="15883" width="7" style="62" bestFit="1" customWidth="1"/>
    <col min="15884" max="15884" width="6.28515625" style="62" customWidth="1"/>
    <col min="15885" max="15885" width="20.42578125" style="62" customWidth="1"/>
    <col min="15886" max="15886" width="6.42578125" style="62" bestFit="1" customWidth="1"/>
    <col min="15887" max="15888" width="8.42578125" style="62"/>
    <col min="15889" max="15889" width="3.28515625" style="62" customWidth="1"/>
    <col min="15890" max="16128" width="8.42578125" style="62"/>
    <col min="16129" max="16129" width="10" style="62" bestFit="1" customWidth="1"/>
    <col min="16130" max="16130" width="44.28515625" style="62" bestFit="1" customWidth="1"/>
    <col min="16131" max="16131" width="10.42578125" style="62" bestFit="1" customWidth="1"/>
    <col min="16132" max="16132" width="10.42578125" style="62" customWidth="1"/>
    <col min="16133" max="16133" width="9.7109375" style="62" bestFit="1" customWidth="1"/>
    <col min="16134" max="16135" width="9.5703125" style="62" bestFit="1" customWidth="1"/>
    <col min="16136" max="16136" width="10.42578125" style="62" bestFit="1" customWidth="1"/>
    <col min="16137" max="16137" width="4.5703125" style="62" customWidth="1"/>
    <col min="16138" max="16138" width="1.85546875" style="62" customWidth="1"/>
    <col min="16139" max="16139" width="7" style="62" bestFit="1" customWidth="1"/>
    <col min="16140" max="16140" width="6.28515625" style="62" customWidth="1"/>
    <col min="16141" max="16141" width="20.42578125" style="62" customWidth="1"/>
    <col min="16142" max="16142" width="6.42578125" style="62" bestFit="1" customWidth="1"/>
    <col min="16143" max="16144" width="8.42578125" style="62"/>
    <col min="16145" max="16145" width="3.28515625" style="62" customWidth="1"/>
    <col min="16146" max="16384" width="8.42578125" style="62"/>
  </cols>
  <sheetData>
    <row r="1" spans="1:10" ht="27.75" customHeight="1" x14ac:dyDescent="0.25">
      <c r="A1" s="57"/>
      <c r="B1" s="57"/>
      <c r="C1" s="57"/>
      <c r="D1" s="57"/>
      <c r="E1" s="58" t="s">
        <v>74</v>
      </c>
      <c r="F1" s="59" t="s">
        <v>75</v>
      </c>
      <c r="G1" s="59" t="s">
        <v>76</v>
      </c>
      <c r="H1" s="59" t="s">
        <v>77</v>
      </c>
      <c r="I1" s="60"/>
    </row>
    <row r="2" spans="1:10" ht="30.75" customHeight="1" x14ac:dyDescent="0.25">
      <c r="A2" s="57"/>
      <c r="B2" s="57"/>
      <c r="C2" s="57"/>
      <c r="D2" s="57"/>
      <c r="E2" s="63">
        <f>IFERROR(O66,"")</f>
        <v>15684.188247619046</v>
      </c>
      <c r="F2" s="63">
        <f>IFERROR(H57,"")</f>
        <v>11584.403999999999</v>
      </c>
      <c r="G2" s="63">
        <f>IFERROR(H58,"")</f>
        <v>120.21409523809524</v>
      </c>
      <c r="H2" s="63">
        <f>IFERROR(H60,"")</f>
        <v>244</v>
      </c>
      <c r="I2" s="64"/>
    </row>
    <row r="3" spans="1:10" ht="15" customHeight="1" x14ac:dyDescent="0.25">
      <c r="A3" s="57"/>
      <c r="B3" s="57"/>
      <c r="C3" s="57"/>
      <c r="D3" s="57"/>
      <c r="E3" s="57"/>
      <c r="F3" s="65"/>
      <c r="G3" s="65"/>
      <c r="H3" s="65"/>
      <c r="I3" s="65"/>
    </row>
    <row r="4" spans="1:10" ht="24.75" customHeight="1" thickBot="1" x14ac:dyDescent="0.3">
      <c r="A4" s="461"/>
      <c r="B4" s="461"/>
      <c r="C4" s="461"/>
      <c r="D4" s="461"/>
      <c r="E4" s="461"/>
      <c r="F4" s="461"/>
      <c r="G4" s="461"/>
      <c r="H4" s="461"/>
      <c r="I4" s="66"/>
    </row>
    <row r="5" spans="1:10" ht="19.5" customHeight="1" thickBot="1" x14ac:dyDescent="0.3">
      <c r="A5" s="462" t="s">
        <v>78</v>
      </c>
      <c r="B5" s="463"/>
      <c r="C5" s="463"/>
      <c r="D5" s="463"/>
      <c r="E5" s="463"/>
      <c r="F5" s="463"/>
      <c r="G5" s="463"/>
      <c r="H5" s="464"/>
      <c r="I5" s="67"/>
    </row>
    <row r="6" spans="1:10" ht="19.5" thickBot="1" x14ac:dyDescent="0.3">
      <c r="A6" s="67"/>
      <c r="B6" s="67"/>
      <c r="C6" s="67"/>
      <c r="D6" s="67"/>
      <c r="E6" s="67"/>
      <c r="F6" s="465" t="s">
        <v>79</v>
      </c>
      <c r="G6" s="465"/>
      <c r="H6" s="68">
        <f ca="1">TODAY()</f>
        <v>45887</v>
      </c>
      <c r="I6" s="68"/>
    </row>
    <row r="7" spans="1:10" ht="26.25" thickBot="1" x14ac:dyDescent="0.3">
      <c r="A7" s="69" t="s">
        <v>80</v>
      </c>
      <c r="B7" s="70" t="s">
        <v>81</v>
      </c>
      <c r="C7" s="70" t="s">
        <v>80</v>
      </c>
      <c r="D7" s="71" t="s">
        <v>82</v>
      </c>
      <c r="E7" s="71" t="s">
        <v>83</v>
      </c>
      <c r="F7" s="71" t="s">
        <v>84</v>
      </c>
      <c r="G7" s="71" t="s">
        <v>85</v>
      </c>
      <c r="H7" s="72" t="s">
        <v>86</v>
      </c>
      <c r="I7" s="73"/>
    </row>
    <row r="8" spans="1:10" ht="13.5" x14ac:dyDescent="0.25">
      <c r="A8" s="74">
        <v>2275</v>
      </c>
      <c r="B8" s="75" t="str">
        <f>IFERROR(VLOOKUP(H8,'[1]Consolidado MP Planta'!$A$2:$M$823,3,0),"")</f>
        <v>HARINA TRIGO NACARINA (SACO: 25 K)</v>
      </c>
      <c r="C8" s="76">
        <f>+A8</f>
        <v>2275</v>
      </c>
      <c r="D8" s="77" t="str">
        <f>IFERROR(VLOOKUP(H8,'[1]Consolidado MP Planta'!$A$2:$M$823,13,0),"")</f>
        <v>Gramos</v>
      </c>
      <c r="E8" s="77">
        <v>0.83</v>
      </c>
      <c r="F8" s="77">
        <f>IFERROR(C8*E8,"")</f>
        <v>1888.25</v>
      </c>
      <c r="G8" s="78">
        <f t="shared" ref="G8:G13" si="0">IFERROR(F8/$F$70,"")</f>
        <v>0.15502483868908898</v>
      </c>
      <c r="H8" s="79" t="s">
        <v>19</v>
      </c>
      <c r="I8" s="79"/>
      <c r="J8" s="80"/>
    </row>
    <row r="9" spans="1:10" ht="13.5" x14ac:dyDescent="0.25">
      <c r="A9" s="74">
        <v>50</v>
      </c>
      <c r="B9" s="75" t="str">
        <f>IFERROR(VLOOKUP(H9,'[1]Consolidado MP Planta'!$A$2:$M$823,3,0),"")</f>
        <v>BICARBONATO DE SODIO (PAQ:2.5 K)</v>
      </c>
      <c r="C9" s="76">
        <f t="shared" ref="C9:C18" si="1">+A9</f>
        <v>50</v>
      </c>
      <c r="D9" s="77" t="str">
        <f>IFERROR(VLOOKUP(H9,'[1]Consolidado MP Planta'!$A$2:$M$823,13,0),"")</f>
        <v>Gramos</v>
      </c>
      <c r="E9" s="77">
        <v>1.32</v>
      </c>
      <c r="F9" s="77">
        <f t="shared" ref="F9:F18" si="2">IFERROR(C9*E9,"")</f>
        <v>66</v>
      </c>
      <c r="G9" s="78">
        <f t="shared" si="0"/>
        <v>5.4185830019753065E-3</v>
      </c>
      <c r="H9" s="79" t="s">
        <v>23</v>
      </c>
      <c r="I9" s="79"/>
      <c r="J9" s="80"/>
    </row>
    <row r="10" spans="1:10" ht="13.5" x14ac:dyDescent="0.25">
      <c r="A10" s="74">
        <v>50</v>
      </c>
      <c r="B10" s="75" t="str">
        <f>IFERROR(VLOOKUP(H10,'[1]Consolidado MP Planta'!$A$2:$M$823,3,0),"")</f>
        <v>POLVO HORNEAR FLEISHMAN (PAQ:2.5 K)</v>
      </c>
      <c r="C10" s="76">
        <f t="shared" si="1"/>
        <v>50</v>
      </c>
      <c r="D10" s="77" t="str">
        <f>IFERROR(VLOOKUP(H10,'[1]Consolidado MP Planta'!$A$2:$M$823,13,0),"")</f>
        <v>Gramos</v>
      </c>
      <c r="E10" s="77">
        <v>1.03</v>
      </c>
      <c r="F10" s="77">
        <f t="shared" si="2"/>
        <v>51.5</v>
      </c>
      <c r="G10" s="78">
        <f t="shared" si="0"/>
        <v>4.2281367363898228E-3</v>
      </c>
      <c r="H10" s="79" t="s">
        <v>87</v>
      </c>
      <c r="I10" s="79"/>
      <c r="J10" s="80"/>
    </row>
    <row r="11" spans="1:10" ht="13.5" hidden="1" x14ac:dyDescent="0.25">
      <c r="A11" s="81">
        <v>0</v>
      </c>
      <c r="B11" s="62" t="str">
        <f>IFERROR(VLOOKUP(H11,'[1]Consolidado MP Planta'!$A$2:$M$823,3,0),"")</f>
        <v>CANELA EN POLVO BADIA (UND: 1.82 K)</v>
      </c>
      <c r="C11" s="76">
        <f t="shared" si="1"/>
        <v>0</v>
      </c>
      <c r="D11" s="77" t="str">
        <f>IFERROR(VLOOKUP(H11,'[1]Consolidado MP Planta'!$A$2:$M$823,13,0),"")</f>
        <v>Gramos</v>
      </c>
      <c r="E11" s="77">
        <v>9.39</v>
      </c>
      <c r="F11" s="77">
        <f t="shared" si="2"/>
        <v>0</v>
      </c>
      <c r="G11" s="78">
        <f t="shared" si="0"/>
        <v>0</v>
      </c>
      <c r="H11" s="79" t="s">
        <v>88</v>
      </c>
      <c r="I11" s="79"/>
      <c r="J11" s="80"/>
    </row>
    <row r="12" spans="1:10" ht="13.5" x14ac:dyDescent="0.25">
      <c r="A12" s="74">
        <v>800</v>
      </c>
      <c r="B12" s="75" t="str">
        <f>IFERROR(VLOOKUP(H12,'[1]Consolidado MP Planta'!$A$2:$M$823,3,0),"")</f>
        <v>PECANA ENTERA (CAJA:13.6 K)</v>
      </c>
      <c r="C12" s="76">
        <f t="shared" si="1"/>
        <v>800</v>
      </c>
      <c r="D12" s="77" t="str">
        <f>IFERROR(VLOOKUP(H12,'[1]Consolidado MP Planta'!$A$2:$M$823,13,0),"")</f>
        <v>Gramos</v>
      </c>
      <c r="E12" s="77">
        <v>9.2799999999999994</v>
      </c>
      <c r="F12" s="77">
        <f t="shared" si="2"/>
        <v>7423.9999999999991</v>
      </c>
      <c r="G12" s="78">
        <f t="shared" si="0"/>
        <v>0.60950848797976775</v>
      </c>
      <c r="H12" s="79" t="s">
        <v>89</v>
      </c>
      <c r="I12" s="79"/>
      <c r="J12" s="80"/>
    </row>
    <row r="13" spans="1:10" ht="13.5" x14ac:dyDescent="0.25">
      <c r="A13" s="74">
        <v>1100</v>
      </c>
      <c r="B13" s="75" t="str">
        <f>IFERROR(VLOOKUP(H13,'[1]Consolidado MP Planta'!$A$2:$M$823,3,0),"")</f>
        <v>AZUCAR BLANCO INDUSTRIAL (SACO:50 K)</v>
      </c>
      <c r="C13" s="76">
        <f t="shared" si="1"/>
        <v>1100</v>
      </c>
      <c r="D13" s="77" t="str">
        <f>IFERROR(VLOOKUP(H13,'[1]Consolidado MP Planta'!$A$2:$M$823,13,0),"")</f>
        <v>Gramos</v>
      </c>
      <c r="E13" s="77">
        <f>IFERROR(VLOOKUP(H13,'[1]Consolidado MP Planta'!$A$2:$M$823,12,0),"")</f>
        <v>0.39034000000000002</v>
      </c>
      <c r="F13" s="77">
        <f t="shared" si="2"/>
        <v>429.37400000000002</v>
      </c>
      <c r="G13" s="78">
        <f t="shared" si="0"/>
        <v>3.5251494816517355E-2</v>
      </c>
      <c r="H13" s="79" t="s">
        <v>40</v>
      </c>
      <c r="I13" s="79"/>
      <c r="J13" s="80"/>
    </row>
    <row r="14" spans="1:10" ht="13.5" x14ac:dyDescent="0.25">
      <c r="A14" s="74">
        <v>50</v>
      </c>
      <c r="B14" s="75" t="str">
        <f>IFERROR(VLOOKUP(H14,'[1]Consolidado MP Planta'!$A$2:$M$823,3,0),"")</f>
        <v>CANELA EN POLVO BADIA (UND: 1.82 K)</v>
      </c>
      <c r="C14" s="76">
        <f t="shared" si="1"/>
        <v>50</v>
      </c>
      <c r="D14" s="77" t="str">
        <f>IFERROR(VLOOKUP(H14,'[1]Consolidado MP Planta'!$A$2:$M$823,13,0),"")</f>
        <v>Gramos</v>
      </c>
      <c r="E14" s="77">
        <v>9.39</v>
      </c>
      <c r="F14" s="77">
        <f t="shared" si="2"/>
        <v>469.5</v>
      </c>
      <c r="G14" s="78">
        <f t="shared" ref="G14:G17" si="3">IFERROR(F14/$F$70,"")</f>
        <v>3.8545829082233432E-2</v>
      </c>
      <c r="H14" s="79" t="s">
        <v>88</v>
      </c>
      <c r="I14" s="79"/>
      <c r="J14" s="80"/>
    </row>
    <row r="15" spans="1:10" ht="13.5" x14ac:dyDescent="0.25">
      <c r="A15" s="74">
        <v>50</v>
      </c>
      <c r="B15" s="75" t="str">
        <f>IFERROR(VLOOKUP(H15,'[1]Consolidado MP Planta'!$A$2:$M$823,3,0),"")</f>
        <v>SAL INDUSTRIA (SACO:25 Kg)</v>
      </c>
      <c r="C15" s="76">
        <f t="shared" si="1"/>
        <v>50</v>
      </c>
      <c r="D15" s="77" t="str">
        <f>IFERROR(VLOOKUP(H15,'[1]Consolidado MP Planta'!$A$2:$M$823,13,0),"")</f>
        <v>Gramos</v>
      </c>
      <c r="E15" s="77">
        <v>0.28000000000000003</v>
      </c>
      <c r="F15" s="77">
        <f t="shared" si="2"/>
        <v>14.000000000000002</v>
      </c>
      <c r="G15" s="78">
        <f t="shared" si="3"/>
        <v>1.1493963943583986E-3</v>
      </c>
      <c r="H15" s="79" t="s">
        <v>90</v>
      </c>
      <c r="I15" s="79"/>
      <c r="J15" s="80"/>
    </row>
    <row r="16" spans="1:10" ht="13.5" x14ac:dyDescent="0.25">
      <c r="A16" s="74">
        <v>7</v>
      </c>
      <c r="B16" s="75" t="str">
        <f>IFERROR(VLOOKUP(H16,'[1]Consolidado MP Planta'!$A$2:$M$823,3,0),"")</f>
        <v>PROPIANATO CALCIO (PAQ:2.5 K)</v>
      </c>
      <c r="C16" s="76">
        <f t="shared" si="1"/>
        <v>7</v>
      </c>
      <c r="D16" s="77" t="str">
        <f>IFERROR(VLOOKUP(H16,'[1]Consolidado MP Planta'!$A$2:$M$823,13,0),"")</f>
        <v>Gramos</v>
      </c>
      <c r="E16" s="77">
        <v>1.59</v>
      </c>
      <c r="F16" s="77">
        <f t="shared" si="2"/>
        <v>11.13</v>
      </c>
      <c r="G16" s="78">
        <f t="shared" si="3"/>
        <v>9.1377013351492682E-4</v>
      </c>
      <c r="H16" s="79" t="s">
        <v>32</v>
      </c>
      <c r="I16" s="79"/>
      <c r="J16" s="80"/>
    </row>
    <row r="17" spans="1:13" ht="13.5" x14ac:dyDescent="0.25">
      <c r="A17" s="74">
        <v>7</v>
      </c>
      <c r="B17" s="75" t="str">
        <f>IFERROR(VLOOKUP(H17,'[1]Consolidado MP Planta'!$A$2:$M$823,3,0),"")</f>
        <v>ACIDO SORBICO (PAQ:2.5 K)</v>
      </c>
      <c r="C17" s="76">
        <f t="shared" si="1"/>
        <v>7</v>
      </c>
      <c r="D17" s="77" t="str">
        <f>IFERROR(VLOOKUP(H17,'[1]Consolidado MP Planta'!$A$2:$M$823,13,0),"")</f>
        <v>Gramos</v>
      </c>
      <c r="E17" s="77">
        <v>2.95</v>
      </c>
      <c r="F17" s="77">
        <f t="shared" si="2"/>
        <v>20.650000000000002</v>
      </c>
      <c r="G17" s="78">
        <f t="shared" si="3"/>
        <v>1.6953596816786378E-3</v>
      </c>
      <c r="H17" s="79" t="s">
        <v>91</v>
      </c>
      <c r="I17" s="79"/>
      <c r="J17" s="80"/>
    </row>
    <row r="18" spans="1:13" ht="13.5" x14ac:dyDescent="0.25">
      <c r="A18" s="74">
        <v>1100</v>
      </c>
      <c r="B18" s="75" t="s">
        <v>224</v>
      </c>
      <c r="C18" s="76">
        <f t="shared" si="1"/>
        <v>1100</v>
      </c>
      <c r="D18" s="77" t="s">
        <v>133</v>
      </c>
      <c r="E18" s="77">
        <v>1.1000000000000001</v>
      </c>
      <c r="F18" s="77">
        <f t="shared" si="2"/>
        <v>1210</v>
      </c>
      <c r="G18" s="78">
        <f>IFERROR(F18/$F$70,"")</f>
        <v>9.9340688369547292E-2</v>
      </c>
      <c r="H18" s="79" t="s">
        <v>222</v>
      </c>
      <c r="I18" s="79"/>
      <c r="J18" s="80"/>
      <c r="M18" s="62" t="s">
        <v>92</v>
      </c>
    </row>
    <row r="19" spans="1:13" ht="14.25" thickBot="1" x14ac:dyDescent="0.3">
      <c r="A19" s="81"/>
      <c r="B19" s="62" t="str">
        <f>IFERROR(VLOOKUP(H19,'[2]ARTICULOS MP PLANTA'!$A$2:$G$589,2,0),"")</f>
        <v/>
      </c>
      <c r="C19" s="76"/>
      <c r="D19" s="77"/>
      <c r="E19" s="77"/>
      <c r="F19" s="77"/>
      <c r="G19" s="78"/>
      <c r="H19" s="79"/>
      <c r="I19" s="79"/>
      <c r="J19" s="80"/>
    </row>
    <row r="20" spans="1:13" ht="26.25" hidden="1" thickBot="1" x14ac:dyDescent="0.3">
      <c r="A20" s="69" t="s">
        <v>80</v>
      </c>
      <c r="B20" s="70" t="s">
        <v>93</v>
      </c>
      <c r="C20" s="70" t="s">
        <v>80</v>
      </c>
      <c r="D20" s="71" t="s">
        <v>82</v>
      </c>
      <c r="E20" s="71" t="s">
        <v>83</v>
      </c>
      <c r="F20" s="71" t="s">
        <v>84</v>
      </c>
      <c r="G20" s="71" t="s">
        <v>85</v>
      </c>
      <c r="H20" s="72" t="s">
        <v>86</v>
      </c>
      <c r="I20" s="73"/>
      <c r="J20" s="80"/>
    </row>
    <row r="21" spans="1:13" ht="14.25" hidden="1" thickBot="1" x14ac:dyDescent="0.3">
      <c r="A21" s="81"/>
      <c r="B21" s="62" t="str">
        <f>IFERROR(VLOOKUP(H21,[1]SEMIELABORADOS!$A$2:$M$6000,2,0),"")</f>
        <v/>
      </c>
      <c r="C21" s="76">
        <f>+A21</f>
        <v>0</v>
      </c>
      <c r="D21" s="76" t="str">
        <f>IFERROR(VLOOKUP(H21,[1]SEMIELABORADOS!$A$2:$M$6000,6,0),"")</f>
        <v/>
      </c>
      <c r="E21" s="77" t="str">
        <f>IFERROR(VLOOKUP(H21,[1]SEMIELABORADOS!$A$2:$H$65536,8,0),"")</f>
        <v/>
      </c>
      <c r="F21" s="77" t="str">
        <f>IFERROR(E21*C21,"")</f>
        <v/>
      </c>
      <c r="G21" s="78" t="str">
        <f t="shared" ref="G21:G28" si="4">IFERROR(F21/$F$70,"")</f>
        <v/>
      </c>
      <c r="H21" s="79"/>
      <c r="I21" s="79"/>
      <c r="J21" s="80"/>
    </row>
    <row r="22" spans="1:13" ht="14.25" hidden="1" thickBot="1" x14ac:dyDescent="0.3">
      <c r="A22" s="81"/>
      <c r="B22" s="62" t="str">
        <f>IFERROR(VLOOKUP(H22,[1]SEMIELABORADOS!$A$2:$M$6000,2,0),"")</f>
        <v/>
      </c>
      <c r="C22" s="76">
        <f t="shared" ref="C22:C28" si="5">+A22</f>
        <v>0</v>
      </c>
      <c r="D22" s="76" t="str">
        <f>IFERROR(VLOOKUP(H22,[1]SEMIELABORADOS!$A$2:$M$6000,6,0),"")</f>
        <v/>
      </c>
      <c r="E22" s="77" t="str">
        <f>IFERROR(VLOOKUP(H22,[1]SEMIELABORADOS!$A$2:$H$65536,8,0),"")</f>
        <v/>
      </c>
      <c r="F22" s="77" t="str">
        <f t="shared" ref="F22:F28" si="6">IFERROR(E22*C22,"")</f>
        <v/>
      </c>
      <c r="G22" s="78" t="str">
        <f t="shared" si="4"/>
        <v/>
      </c>
      <c r="H22" s="79"/>
      <c r="I22" s="79"/>
      <c r="J22" s="80"/>
    </row>
    <row r="23" spans="1:13" ht="14.25" hidden="1" thickBot="1" x14ac:dyDescent="0.3">
      <c r="A23" s="81"/>
      <c r="B23" s="62" t="str">
        <f>IFERROR(VLOOKUP(H23,[1]SEMIELABORADOS!$A$2:$M$6000,2,0),"")</f>
        <v/>
      </c>
      <c r="C23" s="76">
        <f>+A23</f>
        <v>0</v>
      </c>
      <c r="D23" s="76" t="str">
        <f>IFERROR(VLOOKUP(H23,[1]SEMIELABORADOS!$A$2:$M$6000,6,0),"")</f>
        <v/>
      </c>
      <c r="E23" s="77" t="str">
        <f>IFERROR(VLOOKUP(H23,[1]SEMIELABORADOS!$A$2:$H$65536,8,0),"")</f>
        <v/>
      </c>
      <c r="F23" s="77" t="str">
        <f>IFERROR(E23*C23,"")</f>
        <v/>
      </c>
      <c r="G23" s="78" t="str">
        <f t="shared" si="4"/>
        <v/>
      </c>
      <c r="H23" s="79"/>
      <c r="I23" s="79"/>
      <c r="J23" s="80"/>
    </row>
    <row r="24" spans="1:13" ht="14.25" hidden="1" thickBot="1" x14ac:dyDescent="0.3">
      <c r="A24" s="81"/>
      <c r="B24" s="62" t="str">
        <f>IFERROR(VLOOKUP(H24,[1]SEMIELABORADOS!$A$2:$M$6000,2,0),"")</f>
        <v/>
      </c>
      <c r="C24" s="76">
        <f>+A24</f>
        <v>0</v>
      </c>
      <c r="D24" s="76" t="str">
        <f>IFERROR(VLOOKUP(H24,[1]SEMIELABORADOS!$A$2:$M$6000,6,0),"")</f>
        <v/>
      </c>
      <c r="E24" s="77" t="str">
        <f>IFERROR(VLOOKUP(H24,[1]SEMIELABORADOS!$A$2:$H$65536,8,0),"")</f>
        <v/>
      </c>
      <c r="F24" s="77" t="str">
        <f>IFERROR(E24*C24,"")</f>
        <v/>
      </c>
      <c r="G24" s="78" t="str">
        <f t="shared" si="4"/>
        <v/>
      </c>
      <c r="H24" s="79"/>
      <c r="I24" s="79"/>
      <c r="J24" s="80"/>
    </row>
    <row r="25" spans="1:13" ht="14.25" hidden="1" thickBot="1" x14ac:dyDescent="0.3">
      <c r="A25" s="81"/>
      <c r="B25" s="62" t="str">
        <f>IFERROR(VLOOKUP(H25,[1]SEMIELABORADOS!$A$2:$M$6000,2,0),"")</f>
        <v/>
      </c>
      <c r="C25" s="76">
        <f>+A25</f>
        <v>0</v>
      </c>
      <c r="D25" s="76" t="str">
        <f>IFERROR(VLOOKUP(H25,[1]SEMIELABORADOS!$A$2:$M$6000,6,0),"")</f>
        <v/>
      </c>
      <c r="E25" s="77" t="str">
        <f>IFERROR(VLOOKUP(H25,[1]SEMIELABORADOS!$A$2:$H$65536,8,0),"")</f>
        <v/>
      </c>
      <c r="F25" s="77" t="str">
        <f>IFERROR(E25*C25,"")</f>
        <v/>
      </c>
      <c r="G25" s="78" t="str">
        <f t="shared" si="4"/>
        <v/>
      </c>
      <c r="H25" s="79"/>
      <c r="I25" s="79"/>
      <c r="J25" s="80"/>
    </row>
    <row r="26" spans="1:13" ht="14.25" hidden="1" thickBot="1" x14ac:dyDescent="0.3">
      <c r="A26" s="81"/>
      <c r="B26" s="62" t="str">
        <f>IFERROR(VLOOKUP(H26,[1]SEMIELABORADOS!$A$2:$M$6000,2,0),"")</f>
        <v/>
      </c>
      <c r="C26" s="76">
        <f t="shared" si="5"/>
        <v>0</v>
      </c>
      <c r="D26" s="76" t="str">
        <f>IFERROR(VLOOKUP(H26,[1]SEMIELABORADOS!$A$2:$M$6000,6,0),"")</f>
        <v/>
      </c>
      <c r="E26" s="77" t="str">
        <f>IFERROR(VLOOKUP(H26,[1]SEMIELABORADOS!$A$2:$H$65536,8,0),"")</f>
        <v/>
      </c>
      <c r="F26" s="77" t="str">
        <f t="shared" si="6"/>
        <v/>
      </c>
      <c r="G26" s="78" t="str">
        <f t="shared" si="4"/>
        <v/>
      </c>
      <c r="H26" s="79"/>
      <c r="I26" s="79"/>
      <c r="J26" s="80"/>
    </row>
    <row r="27" spans="1:13" ht="14.25" hidden="1" thickBot="1" x14ac:dyDescent="0.3">
      <c r="A27" s="81"/>
      <c r="B27" s="62" t="str">
        <f>IFERROR(VLOOKUP(H27,[1]SEMIELABORADOS!$A$2:$M$6000,2,0),"")</f>
        <v/>
      </c>
      <c r="C27" s="76">
        <f t="shared" si="5"/>
        <v>0</v>
      </c>
      <c r="D27" s="76" t="str">
        <f>IFERROR(VLOOKUP(H27,[1]SEMIELABORADOS!$A$2:$M$6000,6,0),"")</f>
        <v/>
      </c>
      <c r="E27" s="77" t="str">
        <f>IFERROR(VLOOKUP(H27,[1]SEMIELABORADOS!$A$2:$H$65536,8,0),"")</f>
        <v/>
      </c>
      <c r="F27" s="77" t="str">
        <f t="shared" si="6"/>
        <v/>
      </c>
      <c r="G27" s="78" t="str">
        <f t="shared" si="4"/>
        <v/>
      </c>
      <c r="H27" s="79"/>
      <c r="I27" s="79"/>
      <c r="J27" s="80"/>
    </row>
    <row r="28" spans="1:13" ht="14.25" hidden="1" thickBot="1" x14ac:dyDescent="0.3">
      <c r="A28" s="81"/>
      <c r="B28" s="62" t="str">
        <f>IFERROR(VLOOKUP(H28,[1]SEMIELABORADOS!$A$2:$M$6000,2,0),"")</f>
        <v/>
      </c>
      <c r="C28" s="76">
        <f t="shared" si="5"/>
        <v>0</v>
      </c>
      <c r="D28" s="76" t="str">
        <f>IFERROR(VLOOKUP(H28,[1]SEMIELABORADOS!$A$2:$M$6000,6,0),"")</f>
        <v/>
      </c>
      <c r="E28" s="77" t="str">
        <f>IFERROR(VLOOKUP(H28,[1]SEMIELABORADOS!$A$2:$H$65536,8,0),"")</f>
        <v/>
      </c>
      <c r="F28" s="77" t="str">
        <f t="shared" si="6"/>
        <v/>
      </c>
      <c r="G28" s="78" t="str">
        <f t="shared" si="4"/>
        <v/>
      </c>
      <c r="H28" s="79"/>
      <c r="I28" s="79"/>
      <c r="J28" s="80"/>
    </row>
    <row r="29" spans="1:13" ht="14.25" hidden="1" thickBot="1" x14ac:dyDescent="0.3">
      <c r="A29" s="81"/>
      <c r="C29" s="76"/>
      <c r="D29" s="76"/>
      <c r="E29" s="77"/>
      <c r="F29" s="77"/>
      <c r="G29" s="78"/>
      <c r="H29" s="79"/>
      <c r="I29" s="79"/>
      <c r="J29" s="80"/>
    </row>
    <row r="30" spans="1:13" ht="26.25" thickBot="1" x14ac:dyDescent="0.3">
      <c r="A30" s="69" t="s">
        <v>80</v>
      </c>
      <c r="B30" s="70" t="s">
        <v>45</v>
      </c>
      <c r="C30" s="70" t="s">
        <v>80</v>
      </c>
      <c r="D30" s="71" t="s">
        <v>82</v>
      </c>
      <c r="E30" s="71" t="s">
        <v>83</v>
      </c>
      <c r="F30" s="71" t="s">
        <v>84</v>
      </c>
      <c r="G30" s="71" t="s">
        <v>85</v>
      </c>
      <c r="H30" s="72" t="s">
        <v>86</v>
      </c>
      <c r="I30" s="73"/>
    </row>
    <row r="31" spans="1:13" ht="13.5" x14ac:dyDescent="0.25">
      <c r="A31" s="81">
        <v>1</v>
      </c>
      <c r="B31" s="82" t="str">
        <f>IFERROR(VLOOKUP(H31,'[1]Consolidado MP Planta'!$A$2:$M$823,3,0),"")</f>
        <v>BOLSA 12x18 TRANSP KILO</v>
      </c>
      <c r="C31" s="76">
        <f t="shared" ref="C31:C36" si="7">+A31</f>
        <v>1</v>
      </c>
      <c r="D31" s="77" t="str">
        <f>IFERROR(VLOOKUP(H31,'[1]Consolidado MP Planta'!$A$2:$M$823,13,0),"")</f>
        <v>Und</v>
      </c>
      <c r="E31" s="77">
        <v>13.52</v>
      </c>
      <c r="F31" s="77">
        <f t="shared" ref="F31:F36" si="8">IFERROR(C31*E31,"")</f>
        <v>13.52</v>
      </c>
      <c r="G31" s="78">
        <f t="shared" ref="G31:G36" si="9">IFERROR(F31/$F$70,"")</f>
        <v>1.1099885179803961E-3</v>
      </c>
      <c r="H31" s="83" t="s">
        <v>46</v>
      </c>
      <c r="I31" s="83"/>
      <c r="J31" s="80"/>
      <c r="K31" s="455"/>
      <c r="L31" s="455"/>
    </row>
    <row r="32" spans="1:13" ht="13.5" x14ac:dyDescent="0.25">
      <c r="A32" s="81">
        <v>2</v>
      </c>
      <c r="B32" s="82" t="str">
        <f>IFERROR(VLOOKUP(H32,'[1]Consolidado MP Planta'!$A$2:$M$823,3,0),"")</f>
        <v>BOLSA 17x25 TRANSP KILO</v>
      </c>
      <c r="C32" s="76">
        <f t="shared" si="7"/>
        <v>2</v>
      </c>
      <c r="D32" s="77" t="str">
        <f>IFERROR(VLOOKUP(H32,'[1]Consolidado MP Planta'!$A$2:$M$823,13,0),"")</f>
        <v>Und</v>
      </c>
      <c r="E32" s="77">
        <f>IFERROR(VLOOKUP(H32,'[1]Consolidado MP Planta'!$A$2:$M$823,12,0),"")</f>
        <v>47.61904761904762</v>
      </c>
      <c r="F32" s="77">
        <f t="shared" si="8"/>
        <v>95.238095238095241</v>
      </c>
      <c r="G32" s="78">
        <f t="shared" si="9"/>
        <v>7.8190230908734594E-3</v>
      </c>
      <c r="H32" s="83" t="s">
        <v>50</v>
      </c>
      <c r="I32" s="83"/>
      <c r="J32" s="80"/>
      <c r="K32" s="455"/>
      <c r="L32" s="455"/>
    </row>
    <row r="33" spans="1:12" ht="13.5" x14ac:dyDescent="0.25">
      <c r="A33" s="81">
        <v>2</v>
      </c>
      <c r="B33" s="82" t="str">
        <f>IFERROR(VLOOKUP(H33,'[1]Consolidado MP Planta'!$A$2:$M$823,3,0),"")</f>
        <v>ETIQUETA ROJA LETRA ALERJENO (UND)</v>
      </c>
      <c r="C33" s="76">
        <f t="shared" si="7"/>
        <v>2</v>
      </c>
      <c r="D33" s="77" t="str">
        <f>IFERROR(VLOOKUP(H33,'[1]Consolidado MP Planta'!$A$2:$M$823,13,0),"")</f>
        <v>Und</v>
      </c>
      <c r="E33" s="77">
        <f>IFERROR(VLOOKUP(H33,'[1]Consolidado MP Planta'!$A$2:$M$823,12,0),"")</f>
        <v>3.6</v>
      </c>
      <c r="F33" s="77">
        <f t="shared" si="8"/>
        <v>7.2</v>
      </c>
      <c r="G33" s="78">
        <f t="shared" si="9"/>
        <v>5.911181456700335E-4</v>
      </c>
      <c r="H33" s="83" t="s">
        <v>52</v>
      </c>
      <c r="I33" s="83"/>
      <c r="J33" s="80"/>
      <c r="K33" s="455"/>
      <c r="L33" s="455"/>
    </row>
    <row r="34" spans="1:12" ht="13.5" x14ac:dyDescent="0.25">
      <c r="A34" s="81">
        <v>2</v>
      </c>
      <c r="B34" s="82" t="str">
        <f>IFERROR(VLOOKUP(H34,'[1]Consolidado MP Planta'!$A$2:$M$823,3,0),"")</f>
        <v>ETIQUETA BLANCA 2 5/8X1 15/16 (UND)</v>
      </c>
      <c r="C34" s="76">
        <f t="shared" si="7"/>
        <v>2</v>
      </c>
      <c r="D34" s="77" t="str">
        <f>IFERROR(VLOOKUP(H34,'[1]Consolidado MP Planta'!$A$2:$M$823,13,0),"")</f>
        <v>Und</v>
      </c>
      <c r="E34" s="77">
        <f>IFERROR(VLOOKUP(H34,'[1]Consolidado MP Planta'!$A$2:$M$823,12,0),"")</f>
        <v>2.1280000000000001</v>
      </c>
      <c r="F34" s="77">
        <f t="shared" si="8"/>
        <v>4.2560000000000002</v>
      </c>
      <c r="G34" s="78">
        <f t="shared" si="9"/>
        <v>3.4941650388495315E-4</v>
      </c>
      <c r="H34" s="83" t="s">
        <v>55</v>
      </c>
      <c r="I34" s="83"/>
      <c r="J34" s="80"/>
      <c r="K34" s="455"/>
      <c r="L34" s="455"/>
    </row>
    <row r="35" spans="1:12" ht="13.5" hidden="1" x14ac:dyDescent="0.25">
      <c r="A35" s="81"/>
      <c r="B35" s="82" t="str">
        <f>IFERROR(VLOOKUP(H35,'[1]Consolidado MP Planta'!$A$2:$M$823,3,0),"")</f>
        <v/>
      </c>
      <c r="C35" s="76">
        <f t="shared" si="7"/>
        <v>0</v>
      </c>
      <c r="D35" s="77" t="str">
        <f>IFERROR(VLOOKUP(H35,'[1]Consolidado MP Planta'!$A$2:$M$823,13,0),"")</f>
        <v/>
      </c>
      <c r="E35" s="77" t="str">
        <f>IFERROR(VLOOKUP(H35,'[1]Consolidado MP Planta'!$A$2:$M$823,12,0),"")</f>
        <v/>
      </c>
      <c r="F35" s="77" t="str">
        <f t="shared" si="8"/>
        <v/>
      </c>
      <c r="G35" s="78" t="str">
        <f t="shared" si="9"/>
        <v/>
      </c>
      <c r="H35" s="83"/>
      <c r="I35" s="83"/>
      <c r="J35" s="80"/>
      <c r="K35" s="84"/>
      <c r="L35" s="85"/>
    </row>
    <row r="36" spans="1:12" ht="13.5" hidden="1" x14ac:dyDescent="0.25">
      <c r="A36" s="81"/>
      <c r="B36" s="82" t="str">
        <f>IFERROR(VLOOKUP(H36,'[1]Consolidado MP Planta'!$A$2:$M$823,3,0),"")</f>
        <v/>
      </c>
      <c r="C36" s="76">
        <f t="shared" si="7"/>
        <v>0</v>
      </c>
      <c r="D36" s="77" t="str">
        <f>IFERROR(VLOOKUP(H36,'[1]Consolidado MP Planta'!$A$2:$M$823,13,0),"")</f>
        <v/>
      </c>
      <c r="E36" s="77" t="str">
        <f>IFERROR(VLOOKUP(H36,'[1]Consolidado MP Planta'!$A$2:$M$823,12,0),"")</f>
        <v/>
      </c>
      <c r="F36" s="77" t="str">
        <f t="shared" si="8"/>
        <v/>
      </c>
      <c r="G36" s="78" t="str">
        <f t="shared" si="9"/>
        <v/>
      </c>
      <c r="H36" s="83"/>
      <c r="I36" s="83"/>
      <c r="J36" s="80"/>
    </row>
    <row r="37" spans="1:12" ht="14.25" thickBot="1" x14ac:dyDescent="0.3">
      <c r="A37" s="81"/>
      <c r="B37" s="82"/>
      <c r="C37" s="76"/>
      <c r="D37" s="77"/>
      <c r="E37" s="77"/>
      <c r="F37" s="77"/>
      <c r="G37" s="78"/>
      <c r="H37" s="83"/>
      <c r="I37" s="83"/>
      <c r="J37" s="80"/>
    </row>
    <row r="38" spans="1:12" ht="26.25" hidden="1" thickBot="1" x14ac:dyDescent="0.25">
      <c r="A38" s="69" t="s">
        <v>80</v>
      </c>
      <c r="B38" s="70" t="s">
        <v>94</v>
      </c>
      <c r="C38" s="70" t="s">
        <v>80</v>
      </c>
      <c r="D38" s="71" t="s">
        <v>82</v>
      </c>
      <c r="E38" s="71" t="s">
        <v>83</v>
      </c>
      <c r="F38" s="71" t="s">
        <v>84</v>
      </c>
      <c r="G38" s="71" t="s">
        <v>85</v>
      </c>
      <c r="H38" s="72" t="s">
        <v>86</v>
      </c>
      <c r="I38" s="83"/>
      <c r="J38" s="80"/>
    </row>
    <row r="39" spans="1:12" ht="14.25" hidden="1" thickBot="1" x14ac:dyDescent="0.3">
      <c r="A39" s="81">
        <f>+A21</f>
        <v>0</v>
      </c>
      <c r="B39" s="82" t="str">
        <f>IFERROR(VLOOKUP(H39,[1]SEMIELABORADOS!$A$2:$M$6000,2,0),"")</f>
        <v/>
      </c>
      <c r="C39" s="76">
        <f>+A39</f>
        <v>0</v>
      </c>
      <c r="D39" s="77" t="str">
        <f>IFERROR(VLOOKUP(H39,[1]SEMIELABORADOS!$A$2:$M$6000,6,0),"")</f>
        <v/>
      </c>
      <c r="E39" s="77" t="str">
        <f>IFERROR(VLOOKUP(H39,[1]SEMIELABORADOS!$A$2:$M$65536,10,0),"")</f>
        <v/>
      </c>
      <c r="F39" s="77" t="str">
        <f>IFERROR(E39*C39,"")</f>
        <v/>
      </c>
      <c r="G39" s="78" t="str">
        <f t="shared" ref="G39:G45" si="10">IFERROR(F39/$F$70,"")</f>
        <v/>
      </c>
      <c r="H39" s="83"/>
      <c r="I39" s="83"/>
      <c r="J39" s="80"/>
    </row>
    <row r="40" spans="1:12" ht="14.25" hidden="1" thickBot="1" x14ac:dyDescent="0.3">
      <c r="A40" s="81">
        <f t="shared" ref="A40:A45" si="11">+A22</f>
        <v>0</v>
      </c>
      <c r="B40" s="82" t="str">
        <f>IFERROR(VLOOKUP(H40,[1]SEMIELABORADOS!$A$2:$M$6000,2,0),"")</f>
        <v/>
      </c>
      <c r="C40" s="76">
        <f t="shared" ref="C40:C45" si="12">+A40</f>
        <v>0</v>
      </c>
      <c r="D40" s="77" t="str">
        <f>IFERROR(VLOOKUP(H40,[1]SEMIELABORADOS!$A$2:$M$6000,6,0),"")</f>
        <v/>
      </c>
      <c r="E40" s="77" t="str">
        <f>IFERROR(VLOOKUP(H40,[1]SEMIELABORADOS!$A$2:$M$65536,10,0),"")</f>
        <v/>
      </c>
      <c r="F40" s="77" t="str">
        <f t="shared" ref="F40:F45" si="13">IFERROR(E40*C40,"")</f>
        <v/>
      </c>
      <c r="G40" s="78" t="str">
        <f t="shared" si="10"/>
        <v/>
      </c>
      <c r="H40" s="83"/>
      <c r="I40" s="83"/>
      <c r="J40" s="80"/>
    </row>
    <row r="41" spans="1:12" ht="14.25" hidden="1" thickBot="1" x14ac:dyDescent="0.3">
      <c r="A41" s="81">
        <f t="shared" si="11"/>
        <v>0</v>
      </c>
      <c r="B41" s="82" t="str">
        <f>IFERROR(VLOOKUP(H41,[1]SEMIELABORADOS!$A$2:$M$6000,2,0),"")</f>
        <v/>
      </c>
      <c r="C41" s="76">
        <f t="shared" si="12"/>
        <v>0</v>
      </c>
      <c r="D41" s="77" t="str">
        <f>IFERROR(VLOOKUP(H41,[1]SEMIELABORADOS!$A$2:$M$6000,6,0),"")</f>
        <v/>
      </c>
      <c r="E41" s="77" t="str">
        <f>IFERROR(VLOOKUP(H41,[1]SEMIELABORADOS!$A$2:$M$65536,10,0),"")</f>
        <v/>
      </c>
      <c r="F41" s="77" t="str">
        <f t="shared" si="13"/>
        <v/>
      </c>
      <c r="G41" s="78" t="str">
        <f t="shared" si="10"/>
        <v/>
      </c>
      <c r="H41" s="83"/>
      <c r="I41" s="83"/>
      <c r="J41" s="80"/>
    </row>
    <row r="42" spans="1:12" ht="14.25" hidden="1" thickBot="1" x14ac:dyDescent="0.3">
      <c r="A42" s="81">
        <f t="shared" si="11"/>
        <v>0</v>
      </c>
      <c r="B42" s="82" t="str">
        <f>IFERROR(VLOOKUP(H42,[1]SEMIELABORADOS!$A$2:$M$6000,2,0),"")</f>
        <v/>
      </c>
      <c r="C42" s="76">
        <f>+A42</f>
        <v>0</v>
      </c>
      <c r="D42" s="77" t="str">
        <f>IFERROR(VLOOKUP(H42,[1]SEMIELABORADOS!$A$2:$M$6000,6,0),"")</f>
        <v/>
      </c>
      <c r="E42" s="77" t="str">
        <f>IFERROR(VLOOKUP(H42,[1]SEMIELABORADOS!$A$2:$M$65536,10,0),"")</f>
        <v/>
      </c>
      <c r="F42" s="77" t="str">
        <f>IFERROR(E42*C42,"")</f>
        <v/>
      </c>
      <c r="G42" s="78" t="str">
        <f t="shared" si="10"/>
        <v/>
      </c>
      <c r="H42" s="83"/>
      <c r="I42" s="83"/>
      <c r="J42" s="80"/>
    </row>
    <row r="43" spans="1:12" ht="14.25" hidden="1" thickBot="1" x14ac:dyDescent="0.3">
      <c r="A43" s="81">
        <f t="shared" si="11"/>
        <v>0</v>
      </c>
      <c r="B43" s="82" t="str">
        <f>IFERROR(VLOOKUP(H43,[1]SEMIELABORADOS!$A$2:$M$6000,2,0),"")</f>
        <v/>
      </c>
      <c r="C43" s="76">
        <f>+A43</f>
        <v>0</v>
      </c>
      <c r="D43" s="77" t="str">
        <f>IFERROR(VLOOKUP(H43,[1]SEMIELABORADOS!$A$2:$M$6000,6,0),"")</f>
        <v/>
      </c>
      <c r="E43" s="77" t="str">
        <f>IFERROR(VLOOKUP(H43,[1]SEMIELABORADOS!$A$2:$M$65536,10,0),"")</f>
        <v/>
      </c>
      <c r="F43" s="77" t="str">
        <f>IFERROR(E43*C43,"")</f>
        <v/>
      </c>
      <c r="G43" s="78" t="str">
        <f t="shared" si="10"/>
        <v/>
      </c>
      <c r="H43" s="83"/>
      <c r="I43" s="83"/>
      <c r="J43" s="80"/>
    </row>
    <row r="44" spans="1:12" ht="14.25" hidden="1" thickBot="1" x14ac:dyDescent="0.3">
      <c r="A44" s="81">
        <f t="shared" si="11"/>
        <v>0</v>
      </c>
      <c r="B44" s="82" t="str">
        <f>IFERROR(VLOOKUP(H44,[1]SEMIELABORADOS!$A$2:$M$6000,2,0),"")</f>
        <v/>
      </c>
      <c r="C44" s="76">
        <f t="shared" si="12"/>
        <v>0</v>
      </c>
      <c r="D44" s="77" t="str">
        <f>IFERROR(VLOOKUP(H44,[1]SEMIELABORADOS!$A$2:$M$6000,6,0),"")</f>
        <v/>
      </c>
      <c r="E44" s="77" t="str">
        <f>IFERROR(VLOOKUP(H44,[1]SEMIELABORADOS!$A$2:$M$65536,10,0),"")</f>
        <v/>
      </c>
      <c r="F44" s="77" t="str">
        <f t="shared" si="13"/>
        <v/>
      </c>
      <c r="G44" s="78" t="str">
        <f t="shared" si="10"/>
        <v/>
      </c>
      <c r="H44" s="83"/>
      <c r="I44" s="83"/>
      <c r="J44" s="80"/>
    </row>
    <row r="45" spans="1:12" ht="14.25" hidden="1" thickBot="1" x14ac:dyDescent="0.3">
      <c r="A45" s="81">
        <f t="shared" si="11"/>
        <v>0</v>
      </c>
      <c r="B45" s="82" t="str">
        <f>IFERROR(VLOOKUP(H45,[1]SEMIELABORADOS!$A$2:$M$6000,2,0),"")</f>
        <v/>
      </c>
      <c r="C45" s="76">
        <f t="shared" si="12"/>
        <v>0</v>
      </c>
      <c r="D45" s="77" t="str">
        <f>IFERROR(VLOOKUP(H45,[1]SEMIELABORADOS!$A$2:$M$6000,6,0),"")</f>
        <v/>
      </c>
      <c r="E45" s="77" t="str">
        <f>IFERROR(VLOOKUP(H45,[1]SEMIELABORADOS!$A$2:$M$65536,10,0),"")</f>
        <v/>
      </c>
      <c r="F45" s="77" t="str">
        <f t="shared" si="13"/>
        <v/>
      </c>
      <c r="G45" s="78" t="str">
        <f t="shared" si="10"/>
        <v/>
      </c>
      <c r="H45" s="83"/>
      <c r="I45" s="83"/>
      <c r="J45" s="80"/>
    </row>
    <row r="46" spans="1:12" ht="14.25" hidden="1" thickBot="1" x14ac:dyDescent="0.3">
      <c r="A46" s="81"/>
      <c r="B46" s="82"/>
      <c r="C46" s="76"/>
      <c r="D46" s="77"/>
      <c r="E46" s="77"/>
      <c r="F46" s="77"/>
      <c r="G46" s="78"/>
      <c r="H46" s="83"/>
      <c r="I46" s="83"/>
      <c r="J46" s="80"/>
    </row>
    <row r="47" spans="1:12" ht="26.25" thickBot="1" x14ac:dyDescent="0.3">
      <c r="A47" s="69" t="s">
        <v>80</v>
      </c>
      <c r="B47" s="70" t="s">
        <v>95</v>
      </c>
      <c r="C47" s="70" t="s">
        <v>80</v>
      </c>
      <c r="D47" s="71" t="s">
        <v>82</v>
      </c>
      <c r="E47" s="71" t="s">
        <v>83</v>
      </c>
      <c r="F47" s="71" t="s">
        <v>84</v>
      </c>
      <c r="G47" s="71" t="s">
        <v>85</v>
      </c>
      <c r="H47" s="72" t="s">
        <v>86</v>
      </c>
      <c r="I47" s="73"/>
      <c r="J47" s="80"/>
    </row>
    <row r="48" spans="1:12" ht="13.5" hidden="1" x14ac:dyDescent="0.25">
      <c r="A48" s="81">
        <f>+A39</f>
        <v>0</v>
      </c>
      <c r="B48" s="82" t="str">
        <f>IFERROR(VLOOKUP(H48,[1]SEMIELABORADOS!$A$2:$M$6000,2,0),"")</f>
        <v/>
      </c>
      <c r="C48" s="76">
        <f>+A48</f>
        <v>0</v>
      </c>
      <c r="D48" s="77" t="str">
        <f>IFERROR(VLOOKUP(H48,[1]SEMIELABORADOS!$A$2:$M$6000,6,0),"")</f>
        <v/>
      </c>
      <c r="E48" s="77" t="str">
        <f>IFERROR(VLOOKUP(H48,[1]SEMIELABORADOS!$A$2:$M$65536,12,0),"")</f>
        <v/>
      </c>
      <c r="F48" s="77" t="str">
        <f>IFERROR(E48*C48,"")</f>
        <v/>
      </c>
      <c r="G48" s="78" t="str">
        <f>IFERROR(F48/$F$70,"")</f>
        <v/>
      </c>
      <c r="H48" s="83"/>
      <c r="I48" s="73"/>
      <c r="J48" s="80"/>
    </row>
    <row r="49" spans="1:17" ht="13.5" hidden="1" x14ac:dyDescent="0.25">
      <c r="A49" s="81">
        <f t="shared" ref="A49:A54" si="14">+A40</f>
        <v>0</v>
      </c>
      <c r="B49" s="82" t="str">
        <f>IFERROR(VLOOKUP(H49,[1]SEMIELABORADOS!$A$2:$M$6000,2,0),"")</f>
        <v/>
      </c>
      <c r="C49" s="76">
        <f t="shared" ref="C49:C54" si="15">+A49</f>
        <v>0</v>
      </c>
      <c r="D49" s="77" t="str">
        <f>IFERROR(VLOOKUP(H49,[1]SEMIELABORADOS!$A$2:$M$6000,6,0),"")</f>
        <v/>
      </c>
      <c r="E49" s="77" t="str">
        <f>IFERROR(VLOOKUP(H49,[1]SEMIELABORADOS!$A$2:$M$65536,12,0),"")</f>
        <v/>
      </c>
      <c r="F49" s="77" t="str">
        <f t="shared" ref="F49:F54" si="16">IFERROR(E49*C49,"")</f>
        <v/>
      </c>
      <c r="G49" s="78" t="str">
        <f t="shared" ref="G49:G54" si="17">IFERROR(F49/$F$70,"")</f>
        <v/>
      </c>
      <c r="H49" s="83"/>
      <c r="I49" s="73"/>
      <c r="J49" s="80"/>
      <c r="M49" s="86"/>
    </row>
    <row r="50" spans="1:17" ht="13.5" hidden="1" x14ac:dyDescent="0.25">
      <c r="A50" s="81">
        <f t="shared" si="14"/>
        <v>0</v>
      </c>
      <c r="B50" s="82" t="str">
        <f>IFERROR(VLOOKUP(H50,[1]SEMIELABORADOS!$A$2:$M$6000,2,0),"")</f>
        <v/>
      </c>
      <c r="C50" s="76">
        <f t="shared" si="15"/>
        <v>0</v>
      </c>
      <c r="D50" s="77" t="str">
        <f>IFERROR(VLOOKUP(H50,[1]SEMIELABORADOS!$A$2:$M$6000,6,0),"")</f>
        <v/>
      </c>
      <c r="E50" s="77" t="str">
        <f>IFERROR(VLOOKUP(H50,[1]SEMIELABORADOS!$A$2:$M$65536,12,0),"")</f>
        <v/>
      </c>
      <c r="F50" s="77" t="str">
        <f t="shared" si="16"/>
        <v/>
      </c>
      <c r="G50" s="78" t="str">
        <f t="shared" si="17"/>
        <v/>
      </c>
      <c r="H50" s="83"/>
      <c r="I50" s="73"/>
      <c r="J50" s="80"/>
    </row>
    <row r="51" spans="1:17" ht="13.5" hidden="1" x14ac:dyDescent="0.25">
      <c r="A51" s="81">
        <f t="shared" si="14"/>
        <v>0</v>
      </c>
      <c r="B51" s="82" t="str">
        <f>IFERROR(VLOOKUP(H51,[1]SEMIELABORADOS!$A$2:$M$6000,2,0),"")</f>
        <v/>
      </c>
      <c r="C51" s="76">
        <f t="shared" si="15"/>
        <v>0</v>
      </c>
      <c r="D51" s="77" t="str">
        <f>IFERROR(VLOOKUP(H51,[1]SEMIELABORADOS!$A$2:$M$6000,6,0),"")</f>
        <v/>
      </c>
      <c r="E51" s="77" t="str">
        <f>IFERROR(VLOOKUP(H51,[1]SEMIELABORADOS!$A$2:$M$65536,12,0),"")</f>
        <v/>
      </c>
      <c r="F51" s="77" t="str">
        <f t="shared" si="16"/>
        <v/>
      </c>
      <c r="G51" s="78" t="str">
        <f t="shared" si="17"/>
        <v/>
      </c>
      <c r="H51" s="83"/>
      <c r="I51" s="73"/>
      <c r="J51" s="80"/>
    </row>
    <row r="52" spans="1:17" ht="13.5" hidden="1" x14ac:dyDescent="0.25">
      <c r="A52" s="81">
        <f t="shared" si="14"/>
        <v>0</v>
      </c>
      <c r="B52" s="82" t="str">
        <f>IFERROR(VLOOKUP(H52,[1]SEMIELABORADOS!$A$2:$M$6000,2,0),"")</f>
        <v/>
      </c>
      <c r="C52" s="76">
        <f t="shared" si="15"/>
        <v>0</v>
      </c>
      <c r="D52" s="77" t="str">
        <f>IFERROR(VLOOKUP(H52,[1]SEMIELABORADOS!$A$2:$M$6000,6,0),"")</f>
        <v/>
      </c>
      <c r="E52" s="77" t="str">
        <f>IFERROR(VLOOKUP(H52,[1]SEMIELABORADOS!$A$2:$M$65536,12,0),"")</f>
        <v/>
      </c>
      <c r="F52" s="77" t="str">
        <f t="shared" si="16"/>
        <v/>
      </c>
      <c r="G52" s="78" t="str">
        <f t="shared" si="17"/>
        <v/>
      </c>
      <c r="H52" s="83"/>
      <c r="I52" s="73"/>
      <c r="J52" s="80"/>
    </row>
    <row r="53" spans="1:17" ht="13.5" hidden="1" x14ac:dyDescent="0.25">
      <c r="A53" s="81">
        <f t="shared" si="14"/>
        <v>0</v>
      </c>
      <c r="B53" s="82" t="str">
        <f>IFERROR(VLOOKUP(H53,[1]SEMIELABORADOS!$A$2:$M$6000,2,0),"")</f>
        <v/>
      </c>
      <c r="C53" s="76">
        <f t="shared" si="15"/>
        <v>0</v>
      </c>
      <c r="D53" s="77" t="str">
        <f>IFERROR(VLOOKUP(H53,[1]SEMIELABORADOS!$A$2:$M$6000,6,0),"")</f>
        <v/>
      </c>
      <c r="E53" s="77" t="str">
        <f>IFERROR(VLOOKUP(H53,[1]SEMIELABORADOS!$A$2:$M$65536,12,0),"")</f>
        <v/>
      </c>
      <c r="F53" s="77" t="str">
        <f t="shared" si="16"/>
        <v/>
      </c>
      <c r="G53" s="78" t="str">
        <f t="shared" si="17"/>
        <v/>
      </c>
      <c r="H53" s="83"/>
      <c r="I53" s="73"/>
      <c r="J53" s="80"/>
    </row>
    <row r="54" spans="1:17" ht="13.5" hidden="1" x14ac:dyDescent="0.25">
      <c r="A54" s="81">
        <f t="shared" si="14"/>
        <v>0</v>
      </c>
      <c r="B54" s="82" t="str">
        <f>IFERROR(VLOOKUP(H54,[1]SEMIELABORADOS!$A$2:$M$6000,2,0),"")</f>
        <v/>
      </c>
      <c r="C54" s="76">
        <f t="shared" si="15"/>
        <v>0</v>
      </c>
      <c r="D54" s="77" t="str">
        <f>IFERROR(VLOOKUP(H54,[1]SEMIELABORADOS!$A$2:$M$6000,6,0),"")</f>
        <v/>
      </c>
      <c r="E54" s="77" t="str">
        <f>IFERROR(VLOOKUP(H54,[1]SEMIELABORADOS!$A$2:$M$65536,12,0),"")</f>
        <v/>
      </c>
      <c r="F54" s="77" t="str">
        <f t="shared" si="16"/>
        <v/>
      </c>
      <c r="G54" s="78" t="str">
        <f t="shared" si="17"/>
        <v/>
      </c>
      <c r="H54" s="82"/>
      <c r="I54" s="73"/>
      <c r="J54" s="80"/>
    </row>
    <row r="55" spans="1:17" ht="13.5" x14ac:dyDescent="0.25">
      <c r="A55" s="81">
        <v>1</v>
      </c>
      <c r="B55" s="82" t="s">
        <v>96</v>
      </c>
      <c r="C55" s="76">
        <f>+A55</f>
        <v>1</v>
      </c>
      <c r="D55" s="76" t="s">
        <v>97</v>
      </c>
      <c r="E55" s="77">
        <f>+F69</f>
        <v>244</v>
      </c>
      <c r="F55" s="77">
        <f>IFERROR(C55*E55,"")</f>
        <v>244</v>
      </c>
      <c r="G55" s="78">
        <f>IFERROR(F55/$F$70,"")</f>
        <v>2.00323371588178E-2</v>
      </c>
      <c r="H55" s="87"/>
      <c r="I55" s="87"/>
      <c r="J55" s="80"/>
    </row>
    <row r="56" spans="1:17" ht="14.25" thickBot="1" x14ac:dyDescent="0.3">
      <c r="A56" s="81"/>
      <c r="B56" s="82"/>
      <c r="C56" s="76"/>
      <c r="D56" s="76"/>
      <c r="E56" s="77"/>
      <c r="F56" s="77"/>
      <c r="G56" s="78"/>
      <c r="H56" s="87"/>
      <c r="I56" s="87"/>
      <c r="J56" s="80"/>
    </row>
    <row r="57" spans="1:17" ht="13.5" thickBot="1" x14ac:dyDescent="0.3">
      <c r="A57" s="88"/>
      <c r="B57" s="456" t="s">
        <v>98</v>
      </c>
      <c r="C57" s="456"/>
      <c r="D57" s="456"/>
      <c r="E57" s="456"/>
      <c r="F57" s="90">
        <f>SUM(F8:F18,F21:F28)</f>
        <v>11584.403999999999</v>
      </c>
      <c r="G57" s="78">
        <f>+F57/$F$70</f>
        <v>0.95107658488507185</v>
      </c>
      <c r="H57" s="91">
        <f>+F57/$D$64</f>
        <v>11584.403999999999</v>
      </c>
      <c r="I57" s="91"/>
      <c r="J57" s="92"/>
      <c r="K57" s="93"/>
      <c r="L57" s="93"/>
      <c r="M57" s="93"/>
      <c r="N57" s="93"/>
      <c r="O57" s="93"/>
      <c r="P57" s="93"/>
      <c r="Q57" s="94"/>
    </row>
    <row r="58" spans="1:17" x14ac:dyDescent="0.2">
      <c r="A58" s="88"/>
      <c r="B58" s="456" t="s">
        <v>99</v>
      </c>
      <c r="C58" s="456"/>
      <c r="D58" s="456"/>
      <c r="E58" s="456"/>
      <c r="F58" s="90">
        <f>SUM(F31:F36,F39:F45)</f>
        <v>120.21409523809524</v>
      </c>
      <c r="G58" s="78">
        <f>+F58/$F$70</f>
        <v>9.8695462584088411E-3</v>
      </c>
      <c r="H58" s="91">
        <f>+F58/$D$64</f>
        <v>120.21409523809524</v>
      </c>
      <c r="I58" s="91"/>
      <c r="J58" s="95"/>
      <c r="K58" s="457" t="s">
        <v>100</v>
      </c>
      <c r="L58" s="458"/>
      <c r="M58" s="458"/>
      <c r="N58" s="458"/>
      <c r="O58" s="96">
        <f>+F59</f>
        <v>11704.618095238095</v>
      </c>
      <c r="P58" s="96"/>
      <c r="Q58" s="97"/>
    </row>
    <row r="59" spans="1:17" x14ac:dyDescent="0.2">
      <c r="A59" s="88"/>
      <c r="B59" s="456" t="s">
        <v>101</v>
      </c>
      <c r="C59" s="456"/>
      <c r="D59" s="456"/>
      <c r="E59" s="456"/>
      <c r="F59" s="90">
        <f>+F57+F58</f>
        <v>11704.618095238095</v>
      </c>
      <c r="G59" s="78">
        <f>+F59/$F$70</f>
        <v>0.96094613114348082</v>
      </c>
      <c r="H59" s="91">
        <f>+F59/$D$64</f>
        <v>11704.618095238095</v>
      </c>
      <c r="I59" s="91"/>
      <c r="J59" s="98"/>
      <c r="K59" s="99"/>
      <c r="M59" s="100" t="s">
        <v>102</v>
      </c>
      <c r="N59" s="101">
        <v>0.18</v>
      </c>
      <c r="O59" s="96">
        <f>+O58*N59</f>
        <v>2106.8312571428569</v>
      </c>
      <c r="P59" s="96"/>
      <c r="Q59" s="97"/>
    </row>
    <row r="60" spans="1:17" ht="13.5" thickBot="1" x14ac:dyDescent="0.25">
      <c r="A60" s="88"/>
      <c r="B60" s="89"/>
      <c r="C60" s="456" t="s">
        <v>103</v>
      </c>
      <c r="D60" s="456"/>
      <c r="E60" s="456"/>
      <c r="F60" s="90">
        <f>SUM(F48:F55)</f>
        <v>244</v>
      </c>
      <c r="G60" s="78">
        <f>+F60/$F$70</f>
        <v>2.00323371588178E-2</v>
      </c>
      <c r="H60" s="91">
        <f>+F60/$D$64</f>
        <v>244</v>
      </c>
      <c r="I60" s="91"/>
      <c r="J60" s="98"/>
      <c r="K60" s="99"/>
      <c r="L60" s="99"/>
      <c r="M60" s="99" t="s">
        <v>104</v>
      </c>
      <c r="N60" s="102"/>
      <c r="O60" s="96">
        <f>O58*N60</f>
        <v>0</v>
      </c>
      <c r="P60" s="96"/>
      <c r="Q60" s="97"/>
    </row>
    <row r="61" spans="1:17" ht="13.5" thickBot="1" x14ac:dyDescent="0.25">
      <c r="A61" s="88"/>
      <c r="B61" s="103"/>
      <c r="C61" s="103"/>
      <c r="D61" s="103"/>
      <c r="E61" s="103"/>
      <c r="F61" s="104"/>
      <c r="G61" s="78"/>
      <c r="H61" s="105"/>
      <c r="I61" s="91"/>
      <c r="J61" s="98"/>
      <c r="K61" s="106"/>
      <c r="M61" s="107" t="s">
        <v>105</v>
      </c>
      <c r="N61" s="108"/>
      <c r="O61" s="109">
        <f>SUM(O58:O60)</f>
        <v>13811.449352380951</v>
      </c>
      <c r="P61" s="110"/>
      <c r="Q61" s="97"/>
    </row>
    <row r="62" spans="1:17" x14ac:dyDescent="0.2">
      <c r="B62" s="459" t="s">
        <v>106</v>
      </c>
      <c r="C62" s="459"/>
      <c r="D62" s="111">
        <v>5400</v>
      </c>
      <c r="E62" s="112"/>
      <c r="G62" s="78"/>
      <c r="H62" s="105"/>
      <c r="I62" s="113"/>
      <c r="J62" s="98"/>
      <c r="K62" s="106"/>
      <c r="L62" s="99"/>
      <c r="M62" s="99" t="s">
        <v>107</v>
      </c>
      <c r="N62" s="114">
        <v>0.16</v>
      </c>
      <c r="O62" s="96">
        <f>+O58*N62</f>
        <v>1872.7388952380952</v>
      </c>
      <c r="P62" s="96"/>
      <c r="Q62" s="97"/>
    </row>
    <row r="63" spans="1:17" x14ac:dyDescent="0.2">
      <c r="B63" s="459" t="s">
        <v>108</v>
      </c>
      <c r="C63" s="459"/>
      <c r="D63" s="115">
        <v>5400</v>
      </c>
      <c r="E63" s="112"/>
      <c r="G63" s="78"/>
      <c r="H63" s="105"/>
      <c r="I63" s="113"/>
      <c r="J63" s="98"/>
      <c r="K63" s="106"/>
      <c r="L63" s="99"/>
      <c r="M63" s="460" t="s">
        <v>105</v>
      </c>
      <c r="N63" s="460"/>
      <c r="O63" s="96">
        <f>SUM(O61:O62)</f>
        <v>15684.188247619046</v>
      </c>
      <c r="P63" s="96"/>
      <c r="Q63" s="97"/>
    </row>
    <row r="64" spans="1:17" ht="13.5" thickBot="1" x14ac:dyDescent="0.25">
      <c r="B64" s="451" t="s">
        <v>109</v>
      </c>
      <c r="C64" s="451"/>
      <c r="D64" s="111">
        <f>+D62/D63</f>
        <v>1</v>
      </c>
      <c r="E64" s="112"/>
      <c r="F64" s="116"/>
      <c r="G64" s="78"/>
      <c r="H64" s="105"/>
      <c r="I64" s="113"/>
      <c r="J64" s="98"/>
      <c r="K64" s="106"/>
      <c r="L64" s="460"/>
      <c r="M64" s="460"/>
      <c r="N64" s="114"/>
      <c r="O64" s="96">
        <f>+O63*N64</f>
        <v>0</v>
      </c>
      <c r="P64" s="96"/>
      <c r="Q64" s="97"/>
    </row>
    <row r="65" spans="2:17" ht="13.5" thickBot="1" x14ac:dyDescent="0.25">
      <c r="B65" s="451" t="s">
        <v>110</v>
      </c>
      <c r="C65" s="451"/>
      <c r="D65" s="117"/>
      <c r="E65" s="112"/>
      <c r="F65" s="116"/>
      <c r="G65" s="78"/>
      <c r="H65" s="105"/>
      <c r="I65" s="113"/>
      <c r="J65" s="98"/>
      <c r="K65" s="452" t="s">
        <v>111</v>
      </c>
      <c r="L65" s="453"/>
      <c r="M65" s="453"/>
      <c r="N65" s="454"/>
      <c r="O65" s="109">
        <f>SUM(O63:O64)</f>
        <v>15684.188247619046</v>
      </c>
      <c r="P65" s="118" t="s">
        <v>112</v>
      </c>
      <c r="Q65" s="97"/>
    </row>
    <row r="66" spans="2:17" ht="13.5" thickBot="1" x14ac:dyDescent="0.25">
      <c r="C66" s="88" t="s">
        <v>113</v>
      </c>
      <c r="D66" s="119"/>
      <c r="E66" s="60" t="s">
        <v>114</v>
      </c>
      <c r="F66" s="120" t="s">
        <v>115</v>
      </c>
      <c r="G66" s="78"/>
      <c r="H66" s="105"/>
      <c r="I66" s="113"/>
      <c r="J66" s="121"/>
      <c r="K66" s="122"/>
      <c r="L66" s="440" t="s">
        <v>116</v>
      </c>
      <c r="M66" s="440"/>
      <c r="N66" s="440"/>
      <c r="O66" s="123">
        <f>+O65/D64</f>
        <v>15684.188247619046</v>
      </c>
      <c r="P66" s="124">
        <f>+O66/D63</f>
        <v>2.9044793051146383</v>
      </c>
      <c r="Q66" s="125"/>
    </row>
    <row r="67" spans="2:17" ht="13.5" thickBot="1" x14ac:dyDescent="0.25">
      <c r="B67" s="441" t="s">
        <v>101</v>
      </c>
      <c r="C67" s="441"/>
      <c r="D67" s="441"/>
      <c r="E67" s="126">
        <f>+F67/F67</f>
        <v>1</v>
      </c>
      <c r="F67" s="127">
        <f>SUM(F59)</f>
        <v>11704.618095238095</v>
      </c>
      <c r="G67" s="78">
        <f>+F67/$F$70</f>
        <v>0.96094613114348082</v>
      </c>
      <c r="H67" s="105"/>
      <c r="I67" s="113"/>
      <c r="K67" s="442"/>
      <c r="L67" s="443"/>
      <c r="M67" s="443"/>
      <c r="N67" s="443"/>
      <c r="O67" s="128"/>
      <c r="P67" s="129"/>
    </row>
    <row r="68" spans="2:17" ht="13.5" thickBot="1" x14ac:dyDescent="0.3">
      <c r="B68" s="444" t="s">
        <v>117</v>
      </c>
      <c r="C68" s="444"/>
      <c r="D68" s="444"/>
      <c r="E68" s="130">
        <v>0.02</v>
      </c>
      <c r="F68" s="127">
        <f>+F57*E68</f>
        <v>231.68807999999999</v>
      </c>
      <c r="G68" s="78">
        <f>+F68/$F$70</f>
        <v>1.902153169770144E-2</v>
      </c>
      <c r="H68" s="91"/>
      <c r="I68" s="113"/>
      <c r="J68" s="131"/>
      <c r="O68" s="132"/>
      <c r="P68" s="89"/>
    </row>
    <row r="69" spans="2:17" ht="13.5" thickBot="1" x14ac:dyDescent="0.3">
      <c r="B69" s="445" t="s">
        <v>118</v>
      </c>
      <c r="C69" s="446"/>
      <c r="D69" s="133">
        <v>4</v>
      </c>
      <c r="E69" s="134">
        <v>61</v>
      </c>
      <c r="F69" s="127">
        <f>+E69*D69</f>
        <v>244</v>
      </c>
      <c r="G69" s="78">
        <f>+F69/$F$70</f>
        <v>2.00323371588178E-2</v>
      </c>
      <c r="H69" s="91"/>
      <c r="I69" s="91"/>
      <c r="J69" s="80"/>
    </row>
    <row r="70" spans="2:17" ht="13.5" thickBot="1" x14ac:dyDescent="0.3">
      <c r="B70" s="447" t="s">
        <v>119</v>
      </c>
      <c r="C70" s="448"/>
      <c r="D70" s="448"/>
      <c r="E70" s="449"/>
      <c r="F70" s="104">
        <f>SUM(F67:F69)</f>
        <v>12180.306175238095</v>
      </c>
      <c r="G70" s="78">
        <f>+F70/$F$70</f>
        <v>1</v>
      </c>
      <c r="H70" s="450"/>
      <c r="I70" s="91"/>
      <c r="J70" s="80"/>
    </row>
    <row r="71" spans="2:17" x14ac:dyDescent="0.25">
      <c r="C71" s="86"/>
      <c r="D71" s="86"/>
      <c r="E71" s="136"/>
      <c r="F71" s="127"/>
      <c r="G71" s="78"/>
      <c r="H71" s="450"/>
      <c r="I71" s="135"/>
      <c r="J71" s="62"/>
    </row>
    <row r="72" spans="2:17" ht="13.5" thickBot="1" x14ac:dyDescent="0.3">
      <c r="B72" s="435" t="s">
        <v>120</v>
      </c>
      <c r="C72" s="435"/>
      <c r="D72" s="435"/>
      <c r="E72" s="435"/>
      <c r="F72" s="435"/>
      <c r="G72" s="78"/>
      <c r="H72" s="138"/>
      <c r="I72" s="135"/>
      <c r="J72" s="62"/>
    </row>
    <row r="73" spans="2:17" ht="13.5" thickBot="1" x14ac:dyDescent="0.3">
      <c r="B73" s="139" t="s">
        <v>121</v>
      </c>
      <c r="C73" s="140">
        <f>+F57</f>
        <v>11584.403999999999</v>
      </c>
      <c r="D73" s="140">
        <f>+D62</f>
        <v>5400</v>
      </c>
      <c r="E73" s="141">
        <f>+C73/D73</f>
        <v>2.1452599999999999</v>
      </c>
      <c r="F73" s="78"/>
      <c r="G73" s="138"/>
      <c r="H73" s="80"/>
      <c r="I73" s="138"/>
      <c r="J73" s="62"/>
    </row>
    <row r="74" spans="2:17" x14ac:dyDescent="0.25">
      <c r="B74" s="142"/>
      <c r="C74" s="143"/>
      <c r="D74" s="144"/>
      <c r="E74" s="127"/>
      <c r="F74" s="78"/>
      <c r="G74" s="138"/>
      <c r="H74" s="80"/>
      <c r="I74" s="80"/>
      <c r="J74" s="62"/>
    </row>
    <row r="75" spans="2:17" x14ac:dyDescent="0.25">
      <c r="B75" s="139" t="s">
        <v>122</v>
      </c>
      <c r="C75" s="140">
        <f>SUM(F67:F68)</f>
        <v>11936.306175238095</v>
      </c>
      <c r="D75" s="140">
        <f>+D62</f>
        <v>5400</v>
      </c>
      <c r="E75" s="145">
        <f>+C75/D75</f>
        <v>2.210427069488536</v>
      </c>
      <c r="F75" s="78"/>
      <c r="G75" s="138"/>
      <c r="H75" s="80"/>
      <c r="I75" s="80"/>
      <c r="J75" s="62"/>
    </row>
    <row r="76" spans="2:17" x14ac:dyDescent="0.25">
      <c r="B76" s="139"/>
      <c r="C76" s="140"/>
      <c r="D76" s="140"/>
      <c r="E76" s="145"/>
      <c r="F76" s="78"/>
      <c r="G76" s="138"/>
      <c r="H76" s="80"/>
      <c r="I76" s="80"/>
      <c r="J76" s="62"/>
    </row>
    <row r="77" spans="2:17" ht="13.5" thickBot="1" x14ac:dyDescent="0.3">
      <c r="B77" s="139" t="s">
        <v>123</v>
      </c>
      <c r="C77" s="140">
        <f>+F69</f>
        <v>244</v>
      </c>
      <c r="D77" s="140">
        <f>+D62</f>
        <v>5400</v>
      </c>
      <c r="E77" s="145">
        <f>+C77/D77</f>
        <v>4.5185185185185182E-2</v>
      </c>
      <c r="F77" s="78"/>
      <c r="G77" s="138"/>
      <c r="H77" s="80"/>
      <c r="I77" s="80"/>
      <c r="J77" s="62"/>
    </row>
    <row r="78" spans="2:17" ht="13.5" thickBot="1" x14ac:dyDescent="0.3">
      <c r="B78" s="139" t="s">
        <v>124</v>
      </c>
      <c r="C78" s="140">
        <f>+F60</f>
        <v>244</v>
      </c>
      <c r="D78" s="140">
        <f>+D77</f>
        <v>5400</v>
      </c>
      <c r="E78" s="141">
        <f>+C78/D78</f>
        <v>4.5185185185185182E-2</v>
      </c>
      <c r="F78" s="78"/>
      <c r="G78" s="138"/>
      <c r="H78" s="80"/>
      <c r="I78" s="80"/>
      <c r="J78" s="62"/>
    </row>
    <row r="79" spans="2:17" ht="13.5" thickBot="1" x14ac:dyDescent="0.3">
      <c r="B79" s="103"/>
      <c r="C79" s="104"/>
      <c r="D79" s="104"/>
      <c r="E79" s="145"/>
      <c r="F79" s="78"/>
      <c r="G79" s="138"/>
      <c r="H79" s="80"/>
      <c r="I79" s="80"/>
      <c r="J79" s="62"/>
    </row>
    <row r="80" spans="2:17" ht="13.5" thickBot="1" x14ac:dyDescent="0.3">
      <c r="B80" s="139" t="s">
        <v>125</v>
      </c>
      <c r="C80" s="140">
        <f>+F58</f>
        <v>120.21409523809524</v>
      </c>
      <c r="D80" s="140">
        <f>+D78</f>
        <v>5400</v>
      </c>
      <c r="E80" s="141">
        <f>+C80/D80</f>
        <v>2.2261869488536156E-2</v>
      </c>
      <c r="F80" s="78"/>
      <c r="G80" s="138"/>
      <c r="H80" s="80"/>
      <c r="I80" s="80"/>
      <c r="J80" s="80"/>
    </row>
    <row r="81" spans="1:10" ht="13.5" thickBot="1" x14ac:dyDescent="0.3">
      <c r="B81" s="103"/>
      <c r="C81" s="104"/>
      <c r="D81" s="104"/>
      <c r="E81" s="145"/>
      <c r="F81" s="78"/>
      <c r="G81" s="138"/>
      <c r="H81" s="80"/>
      <c r="I81" s="80"/>
    </row>
    <row r="82" spans="1:10" ht="13.5" thickBot="1" x14ac:dyDescent="0.3">
      <c r="B82" s="436" t="s">
        <v>126</v>
      </c>
      <c r="C82" s="437"/>
      <c r="D82" s="438"/>
      <c r="E82" s="141">
        <f>+E73+E78</f>
        <v>2.1904451851851849</v>
      </c>
      <c r="G82" s="78"/>
      <c r="H82" s="138"/>
      <c r="I82" s="80"/>
      <c r="J82" s="145"/>
    </row>
    <row r="83" spans="1:10" x14ac:dyDescent="0.25">
      <c r="I83" s="138"/>
      <c r="J83" s="62"/>
    </row>
    <row r="84" spans="1:10" ht="13.5" thickBot="1" x14ac:dyDescent="0.3">
      <c r="B84" s="435" t="s">
        <v>127</v>
      </c>
      <c r="C84" s="435"/>
      <c r="D84" s="435"/>
      <c r="E84" s="435"/>
      <c r="F84" s="435"/>
      <c r="G84" s="78"/>
      <c r="H84" s="138"/>
      <c r="J84" s="62"/>
    </row>
    <row r="85" spans="1:10" ht="13.5" thickBot="1" x14ac:dyDescent="0.3">
      <c r="B85" s="139" t="s">
        <v>121</v>
      </c>
      <c r="C85" s="140">
        <f>+C73</f>
        <v>11584.403999999999</v>
      </c>
      <c r="D85" s="140">
        <f>+D64</f>
        <v>1</v>
      </c>
      <c r="E85" s="141">
        <f>+C85/D85</f>
        <v>11584.403999999999</v>
      </c>
      <c r="F85" s="78"/>
      <c r="G85" s="138"/>
      <c r="H85" s="80"/>
      <c r="I85" s="138"/>
      <c r="J85" s="62"/>
    </row>
    <row r="86" spans="1:10" x14ac:dyDescent="0.25">
      <c r="B86" s="142"/>
      <c r="C86" s="143"/>
      <c r="D86" s="144"/>
      <c r="E86" s="127"/>
      <c r="F86" s="78"/>
      <c r="G86" s="138"/>
      <c r="H86" s="80"/>
      <c r="I86" s="80"/>
      <c r="J86" s="62"/>
    </row>
    <row r="87" spans="1:10" x14ac:dyDescent="0.25">
      <c r="B87" s="139" t="s">
        <v>122</v>
      </c>
      <c r="C87" s="140">
        <f>+C75</f>
        <v>11936.306175238095</v>
      </c>
      <c r="D87" s="140">
        <f>+D64</f>
        <v>1</v>
      </c>
      <c r="E87" s="145">
        <f>+C87/D87</f>
        <v>11936.306175238095</v>
      </c>
      <c r="F87" s="78"/>
      <c r="G87" s="138"/>
      <c r="H87" s="80"/>
      <c r="I87" s="80"/>
      <c r="J87" s="62"/>
    </row>
    <row r="88" spans="1:10" x14ac:dyDescent="0.25">
      <c r="B88" s="139"/>
      <c r="C88" s="140"/>
      <c r="D88" s="140"/>
      <c r="E88" s="145"/>
      <c r="F88" s="78"/>
      <c r="G88" s="138"/>
      <c r="H88" s="80"/>
      <c r="I88" s="80"/>
      <c r="J88" s="62"/>
    </row>
    <row r="89" spans="1:10" ht="13.5" thickBot="1" x14ac:dyDescent="0.3">
      <c r="B89" s="139" t="s">
        <v>124</v>
      </c>
      <c r="C89" s="140">
        <f>+C77</f>
        <v>244</v>
      </c>
      <c r="D89" s="140">
        <f>+D64</f>
        <v>1</v>
      </c>
      <c r="E89" s="145">
        <f>+C89/D89</f>
        <v>244</v>
      </c>
      <c r="F89" s="147"/>
      <c r="G89" s="137"/>
      <c r="H89" s="61"/>
      <c r="I89" s="80"/>
    </row>
    <row r="90" spans="1:10" ht="13.5" thickBot="1" x14ac:dyDescent="0.3">
      <c r="B90" s="139" t="s">
        <v>124</v>
      </c>
      <c r="C90" s="140">
        <f>+C78</f>
        <v>244</v>
      </c>
      <c r="D90" s="140">
        <f>+D89</f>
        <v>1</v>
      </c>
      <c r="E90" s="141">
        <f>+C90/D90</f>
        <v>244</v>
      </c>
      <c r="F90" s="146"/>
      <c r="G90" s="137"/>
      <c r="H90" s="61"/>
      <c r="I90" s="61"/>
    </row>
    <row r="91" spans="1:10" x14ac:dyDescent="0.25">
      <c r="I91" s="61"/>
    </row>
    <row r="92" spans="1:10" x14ac:dyDescent="0.2">
      <c r="A92" s="439"/>
      <c r="B92" s="439"/>
      <c r="C92" s="148"/>
      <c r="D92" s="148"/>
      <c r="E92" s="149"/>
      <c r="G92" s="150"/>
    </row>
    <row r="93" spans="1:10" x14ac:dyDescent="0.2">
      <c r="A93" s="82"/>
      <c r="B93" s="151"/>
      <c r="C93" s="152"/>
      <c r="D93" s="152"/>
      <c r="E93" s="153"/>
      <c r="G93" s="150"/>
    </row>
    <row r="94" spans="1:10" x14ac:dyDescent="0.2">
      <c r="A94" s="82"/>
      <c r="B94" s="151"/>
      <c r="C94" s="154"/>
      <c r="D94" s="154"/>
      <c r="E94" s="82"/>
      <c r="G94" s="150"/>
    </row>
    <row r="95" spans="1:10" x14ac:dyDescent="0.2">
      <c r="A95" s="82"/>
      <c r="B95" s="151"/>
      <c r="C95" s="155"/>
      <c r="D95" s="155"/>
      <c r="E95" s="82"/>
      <c r="G95" s="150"/>
    </row>
  </sheetData>
  <mergeCells count="30">
    <mergeCell ref="K33:L33"/>
    <mergeCell ref="A4:H4"/>
    <mergeCell ref="A5:H5"/>
    <mergeCell ref="F6:G6"/>
    <mergeCell ref="K31:L31"/>
    <mergeCell ref="K32:L32"/>
    <mergeCell ref="B65:C65"/>
    <mergeCell ref="K65:N65"/>
    <mergeCell ref="K34:L34"/>
    <mergeCell ref="B57:E57"/>
    <mergeCell ref="B58:E58"/>
    <mergeCell ref="K58:N58"/>
    <mergeCell ref="B59:E59"/>
    <mergeCell ref="C60:E60"/>
    <mergeCell ref="B62:C62"/>
    <mergeCell ref="B63:C63"/>
    <mergeCell ref="M63:N63"/>
    <mergeCell ref="B64:C64"/>
    <mergeCell ref="L64:M64"/>
    <mergeCell ref="B72:F72"/>
    <mergeCell ref="B82:D82"/>
    <mergeCell ref="B84:F84"/>
    <mergeCell ref="A92:B92"/>
    <mergeCell ref="L66:N66"/>
    <mergeCell ref="B67:D67"/>
    <mergeCell ref="K67:N67"/>
    <mergeCell ref="B68:D68"/>
    <mergeCell ref="B69:C69"/>
    <mergeCell ref="B70:E70"/>
    <mergeCell ref="H70:H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07CD-17B5-4DE8-B1D5-CC4B12CD9930}">
  <dimension ref="A1:L33"/>
  <sheetViews>
    <sheetView topLeftCell="A5" workbookViewId="0">
      <selection activeCell="B11" sqref="B11"/>
    </sheetView>
  </sheetViews>
  <sheetFormatPr baseColWidth="10" defaultRowHeight="15" x14ac:dyDescent="0.25"/>
  <cols>
    <col min="2" max="2" width="37.140625" customWidth="1"/>
  </cols>
  <sheetData>
    <row r="1" spans="1:8" ht="18" x14ac:dyDescent="0.25">
      <c r="A1" s="512"/>
      <c r="B1" s="516" t="s">
        <v>135</v>
      </c>
      <c r="C1" s="516"/>
      <c r="D1" s="516"/>
      <c r="E1" s="516"/>
      <c r="F1" s="516"/>
      <c r="G1" s="290" t="s">
        <v>1</v>
      </c>
      <c r="H1" s="291"/>
    </row>
    <row r="2" spans="1:8" ht="18.75" thickBot="1" x14ac:dyDescent="0.3">
      <c r="A2" s="513"/>
      <c r="B2" s="517" t="s">
        <v>2</v>
      </c>
      <c r="C2" s="517"/>
      <c r="D2" s="517"/>
      <c r="E2" s="517"/>
      <c r="F2" s="517"/>
      <c r="G2" s="292" t="s">
        <v>3</v>
      </c>
      <c r="H2" s="293"/>
    </row>
    <row r="3" spans="1:8" ht="19.5" thickBot="1" x14ac:dyDescent="0.35">
      <c r="A3" s="514"/>
      <c r="B3" s="518" t="s">
        <v>201</v>
      </c>
      <c r="C3" s="519"/>
      <c r="D3" s="519"/>
      <c r="E3" s="519"/>
      <c r="F3" s="520"/>
      <c r="G3" s="521" t="s">
        <v>5</v>
      </c>
      <c r="H3" s="504"/>
    </row>
    <row r="4" spans="1:8" ht="18" x14ac:dyDescent="0.25">
      <c r="A4" s="513"/>
      <c r="B4" s="294" t="s">
        <v>6</v>
      </c>
      <c r="C4" s="506" t="s">
        <v>7</v>
      </c>
      <c r="D4" s="506"/>
      <c r="E4" s="506"/>
      <c r="F4" s="506"/>
      <c r="G4" s="522"/>
      <c r="H4" s="504"/>
    </row>
    <row r="5" spans="1:8" ht="18.75" thickBot="1" x14ac:dyDescent="0.3">
      <c r="A5" s="515"/>
      <c r="B5" s="333" t="s">
        <v>8</v>
      </c>
      <c r="C5" s="507" t="s">
        <v>166</v>
      </c>
      <c r="D5" s="507"/>
      <c r="E5" s="507"/>
      <c r="F5" s="507"/>
      <c r="G5" s="523"/>
      <c r="H5" s="505"/>
    </row>
    <row r="6" spans="1:8" ht="56.25" x14ac:dyDescent="0.25">
      <c r="A6" s="508" t="s">
        <v>10</v>
      </c>
      <c r="B6" s="510" t="s">
        <v>11</v>
      </c>
      <c r="C6" s="510" t="s">
        <v>202</v>
      </c>
      <c r="D6" s="510" t="s">
        <v>13</v>
      </c>
      <c r="E6" s="510"/>
      <c r="F6" s="510" t="s">
        <v>203</v>
      </c>
      <c r="G6" s="510"/>
      <c r="H6" s="295" t="s">
        <v>15</v>
      </c>
    </row>
    <row r="7" spans="1:8" ht="38.25" thickBot="1" x14ac:dyDescent="0.35">
      <c r="A7" s="509"/>
      <c r="B7" s="511"/>
      <c r="C7" s="511"/>
      <c r="D7" s="296" t="s">
        <v>16</v>
      </c>
      <c r="E7" s="297" t="s">
        <v>17</v>
      </c>
      <c r="F7" s="296" t="s">
        <v>16</v>
      </c>
      <c r="G7" s="297" t="s">
        <v>17</v>
      </c>
      <c r="H7" s="298" t="s">
        <v>18</v>
      </c>
    </row>
    <row r="8" spans="1:8" x14ac:dyDescent="0.25">
      <c r="A8" s="331"/>
      <c r="B8" s="332" t="s">
        <v>204</v>
      </c>
      <c r="C8" s="306" t="s">
        <v>140</v>
      </c>
      <c r="D8" s="306">
        <v>5400</v>
      </c>
      <c r="E8" s="306" t="s">
        <v>22</v>
      </c>
      <c r="F8" s="306"/>
      <c r="G8" s="306"/>
      <c r="H8" s="307"/>
    </row>
    <row r="9" spans="1:8" x14ac:dyDescent="0.25">
      <c r="A9" s="304" t="s">
        <v>129</v>
      </c>
      <c r="B9" s="305" t="s">
        <v>205</v>
      </c>
      <c r="C9" s="308" t="s">
        <v>206</v>
      </c>
      <c r="D9" s="309">
        <v>1170</v>
      </c>
      <c r="E9" s="309" t="s">
        <v>22</v>
      </c>
      <c r="F9" s="309"/>
      <c r="G9" s="309"/>
      <c r="H9" s="312"/>
    </row>
    <row r="10" spans="1:8" x14ac:dyDescent="0.25">
      <c r="A10" s="314" t="s">
        <v>128</v>
      </c>
      <c r="B10" s="305" t="s">
        <v>207</v>
      </c>
      <c r="C10" s="308" t="s">
        <v>208</v>
      </c>
      <c r="D10" s="309">
        <v>1300</v>
      </c>
      <c r="E10" s="309" t="s">
        <v>22</v>
      </c>
      <c r="F10" s="309"/>
      <c r="G10" s="309"/>
      <c r="H10" s="312"/>
    </row>
    <row r="11" spans="1:8" x14ac:dyDescent="0.25">
      <c r="A11" s="314" t="s">
        <v>130</v>
      </c>
      <c r="B11" s="305" t="s">
        <v>209</v>
      </c>
      <c r="C11" s="309" t="s">
        <v>144</v>
      </c>
      <c r="D11" s="309">
        <v>65</v>
      </c>
      <c r="E11" s="309" t="s">
        <v>22</v>
      </c>
      <c r="F11" s="309"/>
      <c r="G11" s="309"/>
      <c r="H11" s="312"/>
    </row>
    <row r="12" spans="1:8" x14ac:dyDescent="0.25">
      <c r="A12" s="315">
        <v>101240</v>
      </c>
      <c r="B12" s="302" t="s">
        <v>210</v>
      </c>
      <c r="C12" s="308" t="s">
        <v>211</v>
      </c>
      <c r="D12" s="309">
        <v>2900</v>
      </c>
      <c r="E12" s="309" t="s">
        <v>22</v>
      </c>
      <c r="F12" s="309"/>
      <c r="G12" s="309"/>
      <c r="H12" s="312"/>
    </row>
    <row r="13" spans="1:8" x14ac:dyDescent="0.25">
      <c r="A13" s="315" t="s">
        <v>132</v>
      </c>
      <c r="B13" s="302" t="s">
        <v>212</v>
      </c>
      <c r="C13" s="14"/>
      <c r="D13" s="15">
        <v>325</v>
      </c>
      <c r="E13" s="309" t="s">
        <v>22</v>
      </c>
      <c r="F13" s="309"/>
      <c r="G13" s="309"/>
      <c r="H13" s="312"/>
    </row>
    <row r="14" spans="1:8" x14ac:dyDescent="0.25">
      <c r="A14" s="315"/>
      <c r="B14" s="302"/>
      <c r="C14" s="308"/>
      <c r="D14" s="309"/>
      <c r="E14" s="309"/>
      <c r="F14" s="310"/>
      <c r="G14" s="311"/>
      <c r="H14" s="312"/>
    </row>
    <row r="15" spans="1:8" x14ac:dyDescent="0.25">
      <c r="A15" s="316"/>
      <c r="B15" s="302"/>
      <c r="C15" s="308"/>
      <c r="D15" s="309"/>
      <c r="E15" s="309"/>
      <c r="F15" s="310"/>
      <c r="G15" s="311"/>
      <c r="H15" s="312"/>
    </row>
    <row r="16" spans="1:8" x14ac:dyDescent="0.25">
      <c r="A16" s="316"/>
      <c r="B16" s="303" t="s">
        <v>68</v>
      </c>
      <c r="C16" s="308"/>
      <c r="D16" s="309"/>
      <c r="E16" s="309"/>
      <c r="F16" s="310"/>
      <c r="G16" s="311"/>
      <c r="H16" s="312"/>
    </row>
    <row r="17" spans="1:12" ht="15.75" x14ac:dyDescent="0.25">
      <c r="A17" s="315">
        <v>101240</v>
      </c>
      <c r="B17" s="302" t="s">
        <v>210</v>
      </c>
      <c r="C17" s="308" t="s">
        <v>211</v>
      </c>
      <c r="D17" s="313">
        <v>50</v>
      </c>
      <c r="E17" s="313" t="s">
        <v>22</v>
      </c>
      <c r="F17" s="313"/>
      <c r="G17" s="313"/>
      <c r="H17" s="312"/>
      <c r="I17" s="186"/>
      <c r="J17" s="186"/>
      <c r="K17" s="186"/>
      <c r="L17" s="186"/>
    </row>
    <row r="18" spans="1:12" ht="19.5" thickBot="1" x14ac:dyDescent="0.35">
      <c r="A18" s="319"/>
      <c r="B18" s="320"/>
      <c r="C18" s="320"/>
      <c r="D18" s="321"/>
      <c r="E18" s="322"/>
      <c r="F18" s="320"/>
      <c r="G18" s="320"/>
      <c r="H18" s="323"/>
      <c r="I18" s="186"/>
      <c r="J18" s="186"/>
      <c r="K18" s="195"/>
      <c r="L18" s="186"/>
    </row>
    <row r="19" spans="1:12" ht="19.5" thickBot="1" x14ac:dyDescent="0.35">
      <c r="A19" s="325"/>
      <c r="B19" s="326"/>
      <c r="C19" s="327" t="s">
        <v>16</v>
      </c>
      <c r="D19" s="328" t="s">
        <v>57</v>
      </c>
      <c r="E19" s="329"/>
      <c r="F19" s="326"/>
      <c r="G19" s="326"/>
      <c r="H19" s="330"/>
      <c r="I19" s="186"/>
      <c r="J19" s="186"/>
      <c r="K19" s="195"/>
      <c r="L19" s="186"/>
    </row>
    <row r="20" spans="1:12" ht="18.75" x14ac:dyDescent="0.3">
      <c r="A20" s="466" t="s">
        <v>58</v>
      </c>
      <c r="B20" s="467"/>
      <c r="C20" s="300">
        <v>10900</v>
      </c>
      <c r="D20" s="324" t="s">
        <v>22</v>
      </c>
      <c r="E20" s="468" t="s">
        <v>151</v>
      </c>
      <c r="F20" s="468"/>
      <c r="G20" s="502"/>
      <c r="H20" s="503"/>
      <c r="I20" s="186"/>
      <c r="J20" s="186"/>
      <c r="K20" s="195"/>
      <c r="L20" s="186"/>
    </row>
    <row r="21" spans="1:12" ht="18.75" x14ac:dyDescent="0.3">
      <c r="A21" s="472" t="s">
        <v>60</v>
      </c>
      <c r="B21" s="473"/>
      <c r="C21" s="299">
        <v>15</v>
      </c>
      <c r="D21" s="299" t="s">
        <v>213</v>
      </c>
      <c r="E21" s="473" t="s">
        <v>62</v>
      </c>
      <c r="F21" s="473"/>
      <c r="G21" s="475"/>
      <c r="H21" s="476"/>
      <c r="I21" s="186"/>
      <c r="J21" s="186"/>
      <c r="K21" s="195"/>
      <c r="L21" s="186"/>
    </row>
    <row r="22" spans="1:12" ht="18.75" x14ac:dyDescent="0.3">
      <c r="A22" s="472" t="s">
        <v>63</v>
      </c>
      <c r="B22" s="473"/>
      <c r="C22" s="299">
        <v>1</v>
      </c>
      <c r="D22" s="299" t="s">
        <v>64</v>
      </c>
      <c r="E22" s="473" t="s">
        <v>156</v>
      </c>
      <c r="F22" s="473"/>
      <c r="G22" s="475"/>
      <c r="H22" s="476"/>
      <c r="I22" s="186"/>
      <c r="J22" s="186"/>
      <c r="K22" s="195"/>
      <c r="L22" s="186"/>
    </row>
    <row r="23" spans="1:12" ht="18.75" x14ac:dyDescent="0.3">
      <c r="A23" s="472" t="s">
        <v>66</v>
      </c>
      <c r="B23" s="473"/>
      <c r="C23" s="301">
        <v>10900</v>
      </c>
      <c r="D23" s="299" t="s">
        <v>22</v>
      </c>
      <c r="E23" s="474" t="s">
        <v>67</v>
      </c>
      <c r="F23" s="474"/>
      <c r="G23" s="475"/>
      <c r="H23" s="476"/>
      <c r="I23" s="186"/>
      <c r="J23" s="186"/>
      <c r="K23" s="195"/>
      <c r="L23" s="204"/>
    </row>
    <row r="24" spans="1:12" ht="19.5" thickBot="1" x14ac:dyDescent="0.35">
      <c r="A24" s="483" t="s">
        <v>68</v>
      </c>
      <c r="B24" s="484"/>
      <c r="C24" s="317">
        <v>349</v>
      </c>
      <c r="D24" s="318" t="s">
        <v>22</v>
      </c>
      <c r="E24" s="484"/>
      <c r="F24" s="484"/>
      <c r="G24" s="485"/>
      <c r="H24" s="486"/>
      <c r="I24" s="186"/>
      <c r="J24" s="186"/>
      <c r="K24" s="195"/>
      <c r="L24" s="186"/>
    </row>
    <row r="25" spans="1:12" ht="19.5" thickBot="1" x14ac:dyDescent="0.35">
      <c r="A25" s="487" t="s">
        <v>69</v>
      </c>
      <c r="B25" s="488"/>
      <c r="C25" s="488"/>
      <c r="D25" s="488"/>
      <c r="E25" s="488"/>
      <c r="F25" s="488"/>
      <c r="G25" s="488"/>
      <c r="H25" s="489"/>
      <c r="I25" s="186"/>
      <c r="J25" s="186"/>
      <c r="K25" s="186"/>
      <c r="L25" s="186"/>
    </row>
    <row r="26" spans="1:12" ht="18.75" x14ac:dyDescent="0.3">
      <c r="A26" s="490" t="s">
        <v>214</v>
      </c>
      <c r="B26" s="491"/>
      <c r="C26" s="491"/>
      <c r="D26" s="491"/>
      <c r="E26" s="491"/>
      <c r="F26" s="491"/>
      <c r="G26" s="491"/>
      <c r="H26" s="492"/>
      <c r="I26" s="186"/>
      <c r="J26" s="186"/>
      <c r="K26" s="186"/>
      <c r="L26" s="186"/>
    </row>
    <row r="27" spans="1:12" ht="18.75" x14ac:dyDescent="0.3">
      <c r="A27" s="493" t="s">
        <v>215</v>
      </c>
      <c r="B27" s="494"/>
      <c r="C27" s="494"/>
      <c r="D27" s="494"/>
      <c r="E27" s="494"/>
      <c r="F27" s="494"/>
      <c r="G27" s="494"/>
      <c r="H27" s="495"/>
      <c r="I27" s="186"/>
      <c r="J27" s="186"/>
      <c r="K27" s="186"/>
      <c r="L27" s="186"/>
    </row>
    <row r="28" spans="1:12" ht="18.75" x14ac:dyDescent="0.3">
      <c r="A28" s="493" t="s">
        <v>216</v>
      </c>
      <c r="B28" s="494"/>
      <c r="C28" s="494"/>
      <c r="D28" s="494"/>
      <c r="E28" s="494"/>
      <c r="F28" s="494"/>
      <c r="G28" s="494"/>
      <c r="H28" s="495"/>
      <c r="I28" s="186"/>
      <c r="J28" s="186"/>
      <c r="K28" s="186"/>
      <c r="L28" s="186"/>
    </row>
    <row r="29" spans="1:12" ht="19.5" thickBot="1" x14ac:dyDescent="0.35">
      <c r="A29" s="477" t="s">
        <v>217</v>
      </c>
      <c r="B29" s="478"/>
      <c r="C29" s="478"/>
      <c r="D29" s="478"/>
      <c r="E29" s="478"/>
      <c r="F29" s="478"/>
      <c r="G29" s="478"/>
      <c r="H29" s="479"/>
      <c r="I29" s="186"/>
      <c r="J29" s="186"/>
      <c r="K29" s="186"/>
      <c r="L29" s="186"/>
    </row>
    <row r="30" spans="1:12" ht="19.5" thickBot="1" x14ac:dyDescent="0.35">
      <c r="A30" s="480" t="s">
        <v>73</v>
      </c>
      <c r="B30" s="481"/>
      <c r="C30" s="481"/>
      <c r="D30" s="481"/>
      <c r="E30" s="481"/>
      <c r="F30" s="481"/>
      <c r="G30" s="481"/>
      <c r="H30" s="482"/>
      <c r="I30" s="186"/>
      <c r="J30" s="186"/>
      <c r="K30" s="186"/>
      <c r="L30" s="186"/>
    </row>
    <row r="31" spans="1:12" ht="18.75" x14ac:dyDescent="0.3">
      <c r="A31" s="496"/>
      <c r="B31" s="497"/>
      <c r="C31" s="497"/>
      <c r="D31" s="497"/>
      <c r="E31" s="497"/>
      <c r="F31" s="497"/>
      <c r="G31" s="497"/>
      <c r="H31" s="498"/>
      <c r="I31" s="186"/>
      <c r="J31" s="186"/>
      <c r="K31" s="186"/>
      <c r="L31" s="186"/>
    </row>
    <row r="32" spans="1:12" ht="18.75" x14ac:dyDescent="0.25">
      <c r="A32" s="469"/>
      <c r="B32" s="470"/>
      <c r="C32" s="470"/>
      <c r="D32" s="470"/>
      <c r="E32" s="470"/>
      <c r="F32" s="470"/>
      <c r="G32" s="470"/>
      <c r="H32" s="471"/>
    </row>
    <row r="33" spans="1:8" ht="19.5" thickBot="1" x14ac:dyDescent="0.3">
      <c r="A33" s="499"/>
      <c r="B33" s="500"/>
      <c r="C33" s="500"/>
      <c r="D33" s="500"/>
      <c r="E33" s="500"/>
      <c r="F33" s="500"/>
      <c r="G33" s="500"/>
      <c r="H33" s="501"/>
    </row>
  </sheetData>
  <mergeCells count="37">
    <mergeCell ref="G20:H20"/>
    <mergeCell ref="A21:B21"/>
    <mergeCell ref="A28:H28"/>
    <mergeCell ref="H3:H5"/>
    <mergeCell ref="C4:F4"/>
    <mergeCell ref="C5:F5"/>
    <mergeCell ref="A6:A7"/>
    <mergeCell ref="B6:B7"/>
    <mergeCell ref="C6:C7"/>
    <mergeCell ref="D6:E6"/>
    <mergeCell ref="F6:G6"/>
    <mergeCell ref="A1:A5"/>
    <mergeCell ref="B1:F1"/>
    <mergeCell ref="B2:F2"/>
    <mergeCell ref="B3:F3"/>
    <mergeCell ref="G3:G5"/>
    <mergeCell ref="G21:H21"/>
    <mergeCell ref="A22:B22"/>
    <mergeCell ref="E22:F22"/>
    <mergeCell ref="G22:H22"/>
    <mergeCell ref="A33:H33"/>
    <mergeCell ref="A20:B20"/>
    <mergeCell ref="E20:F20"/>
    <mergeCell ref="A32:H32"/>
    <mergeCell ref="A23:B23"/>
    <mergeCell ref="E23:F23"/>
    <mergeCell ref="G23:H23"/>
    <mergeCell ref="A29:H29"/>
    <mergeCell ref="A30:H30"/>
    <mergeCell ref="A24:B24"/>
    <mergeCell ref="E24:F24"/>
    <mergeCell ref="G24:H24"/>
    <mergeCell ref="A25:H25"/>
    <mergeCell ref="A26:H26"/>
    <mergeCell ref="A27:H27"/>
    <mergeCell ref="A31:H31"/>
    <mergeCell ref="E21:F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2B63-4E71-4B38-A371-EBD69D4307E7}">
  <dimension ref="A1:Q92"/>
  <sheetViews>
    <sheetView topLeftCell="A2" workbookViewId="0">
      <selection activeCell="E18" sqref="E18"/>
    </sheetView>
  </sheetViews>
  <sheetFormatPr baseColWidth="10" defaultColWidth="8.42578125" defaultRowHeight="12.75" x14ac:dyDescent="0.25"/>
  <cols>
    <col min="1" max="1" width="10" style="62" bestFit="1" customWidth="1"/>
    <col min="2" max="2" width="44.28515625" style="62" bestFit="1" customWidth="1"/>
    <col min="3" max="3" width="10.42578125" style="62" bestFit="1" customWidth="1"/>
    <col min="4" max="4" width="10.42578125" style="62" customWidth="1"/>
    <col min="5" max="5" width="9.7109375" style="62" bestFit="1" customWidth="1"/>
    <col min="6" max="6" width="9.5703125" style="62" bestFit="1" customWidth="1"/>
    <col min="7" max="7" width="9.5703125" style="146" bestFit="1" customWidth="1"/>
    <col min="8" max="8" width="10.42578125" style="137" bestFit="1" customWidth="1"/>
    <col min="9" max="9" width="4.5703125" style="137" customWidth="1"/>
    <col min="10" max="10" width="1.85546875" style="61" customWidth="1"/>
    <col min="11" max="11" width="7" style="62" bestFit="1" customWidth="1"/>
    <col min="12" max="12" width="6.28515625" style="62" customWidth="1"/>
    <col min="13" max="13" width="20.42578125" style="62" customWidth="1"/>
    <col min="14" max="14" width="6.42578125" style="62" bestFit="1" customWidth="1"/>
    <col min="15" max="16" width="8.42578125" style="62"/>
    <col min="17" max="17" width="3.28515625" style="62" customWidth="1"/>
    <col min="18" max="256" width="8.42578125" style="62"/>
    <col min="257" max="257" width="10" style="62" bestFit="1" customWidth="1"/>
    <col min="258" max="258" width="44.28515625" style="62" bestFit="1" customWidth="1"/>
    <col min="259" max="259" width="10.42578125" style="62" bestFit="1" customWidth="1"/>
    <col min="260" max="260" width="10.42578125" style="62" customWidth="1"/>
    <col min="261" max="261" width="9.7109375" style="62" bestFit="1" customWidth="1"/>
    <col min="262" max="263" width="9.5703125" style="62" bestFit="1" customWidth="1"/>
    <col min="264" max="264" width="10.42578125" style="62" bestFit="1" customWidth="1"/>
    <col min="265" max="265" width="4.5703125" style="62" customWidth="1"/>
    <col min="266" max="266" width="1.85546875" style="62" customWidth="1"/>
    <col min="267" max="267" width="7" style="62" bestFit="1" customWidth="1"/>
    <col min="268" max="268" width="6.28515625" style="62" customWidth="1"/>
    <col min="269" max="269" width="20.42578125" style="62" customWidth="1"/>
    <col min="270" max="270" width="6.42578125" style="62" bestFit="1" customWidth="1"/>
    <col min="271" max="272" width="8.42578125" style="62"/>
    <col min="273" max="273" width="3.28515625" style="62" customWidth="1"/>
    <col min="274" max="512" width="8.42578125" style="62"/>
    <col min="513" max="513" width="10" style="62" bestFit="1" customWidth="1"/>
    <col min="514" max="514" width="44.28515625" style="62" bestFit="1" customWidth="1"/>
    <col min="515" max="515" width="10.42578125" style="62" bestFit="1" customWidth="1"/>
    <col min="516" max="516" width="10.42578125" style="62" customWidth="1"/>
    <col min="517" max="517" width="9.7109375" style="62" bestFit="1" customWidth="1"/>
    <col min="518" max="519" width="9.5703125" style="62" bestFit="1" customWidth="1"/>
    <col min="520" max="520" width="10.42578125" style="62" bestFit="1" customWidth="1"/>
    <col min="521" max="521" width="4.5703125" style="62" customWidth="1"/>
    <col min="522" max="522" width="1.85546875" style="62" customWidth="1"/>
    <col min="523" max="523" width="7" style="62" bestFit="1" customWidth="1"/>
    <col min="524" max="524" width="6.28515625" style="62" customWidth="1"/>
    <col min="525" max="525" width="20.42578125" style="62" customWidth="1"/>
    <col min="526" max="526" width="6.42578125" style="62" bestFit="1" customWidth="1"/>
    <col min="527" max="528" width="8.42578125" style="62"/>
    <col min="529" max="529" width="3.28515625" style="62" customWidth="1"/>
    <col min="530" max="768" width="8.42578125" style="62"/>
    <col min="769" max="769" width="10" style="62" bestFit="1" customWidth="1"/>
    <col min="770" max="770" width="44.28515625" style="62" bestFit="1" customWidth="1"/>
    <col min="771" max="771" width="10.42578125" style="62" bestFit="1" customWidth="1"/>
    <col min="772" max="772" width="10.42578125" style="62" customWidth="1"/>
    <col min="773" max="773" width="9.7109375" style="62" bestFit="1" customWidth="1"/>
    <col min="774" max="775" width="9.5703125" style="62" bestFit="1" customWidth="1"/>
    <col min="776" max="776" width="10.42578125" style="62" bestFit="1" customWidth="1"/>
    <col min="777" max="777" width="4.5703125" style="62" customWidth="1"/>
    <col min="778" max="778" width="1.85546875" style="62" customWidth="1"/>
    <col min="779" max="779" width="7" style="62" bestFit="1" customWidth="1"/>
    <col min="780" max="780" width="6.28515625" style="62" customWidth="1"/>
    <col min="781" max="781" width="20.42578125" style="62" customWidth="1"/>
    <col min="782" max="782" width="6.42578125" style="62" bestFit="1" customWidth="1"/>
    <col min="783" max="784" width="8.42578125" style="62"/>
    <col min="785" max="785" width="3.28515625" style="62" customWidth="1"/>
    <col min="786" max="1024" width="8.42578125" style="62"/>
    <col min="1025" max="1025" width="10" style="62" bestFit="1" customWidth="1"/>
    <col min="1026" max="1026" width="44.28515625" style="62" bestFit="1" customWidth="1"/>
    <col min="1027" max="1027" width="10.42578125" style="62" bestFit="1" customWidth="1"/>
    <col min="1028" max="1028" width="10.42578125" style="62" customWidth="1"/>
    <col min="1029" max="1029" width="9.7109375" style="62" bestFit="1" customWidth="1"/>
    <col min="1030" max="1031" width="9.5703125" style="62" bestFit="1" customWidth="1"/>
    <col min="1032" max="1032" width="10.42578125" style="62" bestFit="1" customWidth="1"/>
    <col min="1033" max="1033" width="4.5703125" style="62" customWidth="1"/>
    <col min="1034" max="1034" width="1.85546875" style="62" customWidth="1"/>
    <col min="1035" max="1035" width="7" style="62" bestFit="1" customWidth="1"/>
    <col min="1036" max="1036" width="6.28515625" style="62" customWidth="1"/>
    <col min="1037" max="1037" width="20.42578125" style="62" customWidth="1"/>
    <col min="1038" max="1038" width="6.42578125" style="62" bestFit="1" customWidth="1"/>
    <col min="1039" max="1040" width="8.42578125" style="62"/>
    <col min="1041" max="1041" width="3.28515625" style="62" customWidth="1"/>
    <col min="1042" max="1280" width="8.42578125" style="62"/>
    <col min="1281" max="1281" width="10" style="62" bestFit="1" customWidth="1"/>
    <col min="1282" max="1282" width="44.28515625" style="62" bestFit="1" customWidth="1"/>
    <col min="1283" max="1283" width="10.42578125" style="62" bestFit="1" customWidth="1"/>
    <col min="1284" max="1284" width="10.42578125" style="62" customWidth="1"/>
    <col min="1285" max="1285" width="9.7109375" style="62" bestFit="1" customWidth="1"/>
    <col min="1286" max="1287" width="9.5703125" style="62" bestFit="1" customWidth="1"/>
    <col min="1288" max="1288" width="10.42578125" style="62" bestFit="1" customWidth="1"/>
    <col min="1289" max="1289" width="4.5703125" style="62" customWidth="1"/>
    <col min="1290" max="1290" width="1.85546875" style="62" customWidth="1"/>
    <col min="1291" max="1291" width="7" style="62" bestFit="1" customWidth="1"/>
    <col min="1292" max="1292" width="6.28515625" style="62" customWidth="1"/>
    <col min="1293" max="1293" width="20.42578125" style="62" customWidth="1"/>
    <col min="1294" max="1294" width="6.42578125" style="62" bestFit="1" customWidth="1"/>
    <col min="1295" max="1296" width="8.42578125" style="62"/>
    <col min="1297" max="1297" width="3.28515625" style="62" customWidth="1"/>
    <col min="1298" max="1536" width="8.42578125" style="62"/>
    <col min="1537" max="1537" width="10" style="62" bestFit="1" customWidth="1"/>
    <col min="1538" max="1538" width="44.28515625" style="62" bestFit="1" customWidth="1"/>
    <col min="1539" max="1539" width="10.42578125" style="62" bestFit="1" customWidth="1"/>
    <col min="1540" max="1540" width="10.42578125" style="62" customWidth="1"/>
    <col min="1541" max="1541" width="9.7109375" style="62" bestFit="1" customWidth="1"/>
    <col min="1542" max="1543" width="9.5703125" style="62" bestFit="1" customWidth="1"/>
    <col min="1544" max="1544" width="10.42578125" style="62" bestFit="1" customWidth="1"/>
    <col min="1545" max="1545" width="4.5703125" style="62" customWidth="1"/>
    <col min="1546" max="1546" width="1.85546875" style="62" customWidth="1"/>
    <col min="1547" max="1547" width="7" style="62" bestFit="1" customWidth="1"/>
    <col min="1548" max="1548" width="6.28515625" style="62" customWidth="1"/>
    <col min="1549" max="1549" width="20.42578125" style="62" customWidth="1"/>
    <col min="1550" max="1550" width="6.42578125" style="62" bestFit="1" customWidth="1"/>
    <col min="1551" max="1552" width="8.42578125" style="62"/>
    <col min="1553" max="1553" width="3.28515625" style="62" customWidth="1"/>
    <col min="1554" max="1792" width="8.42578125" style="62"/>
    <col min="1793" max="1793" width="10" style="62" bestFit="1" customWidth="1"/>
    <col min="1794" max="1794" width="44.28515625" style="62" bestFit="1" customWidth="1"/>
    <col min="1795" max="1795" width="10.42578125" style="62" bestFit="1" customWidth="1"/>
    <col min="1796" max="1796" width="10.42578125" style="62" customWidth="1"/>
    <col min="1797" max="1797" width="9.7109375" style="62" bestFit="1" customWidth="1"/>
    <col min="1798" max="1799" width="9.5703125" style="62" bestFit="1" customWidth="1"/>
    <col min="1800" max="1800" width="10.42578125" style="62" bestFit="1" customWidth="1"/>
    <col min="1801" max="1801" width="4.5703125" style="62" customWidth="1"/>
    <col min="1802" max="1802" width="1.85546875" style="62" customWidth="1"/>
    <col min="1803" max="1803" width="7" style="62" bestFit="1" customWidth="1"/>
    <col min="1804" max="1804" width="6.28515625" style="62" customWidth="1"/>
    <col min="1805" max="1805" width="20.42578125" style="62" customWidth="1"/>
    <col min="1806" max="1806" width="6.42578125" style="62" bestFit="1" customWidth="1"/>
    <col min="1807" max="1808" width="8.42578125" style="62"/>
    <col min="1809" max="1809" width="3.28515625" style="62" customWidth="1"/>
    <col min="1810" max="2048" width="8.42578125" style="62"/>
    <col min="2049" max="2049" width="10" style="62" bestFit="1" customWidth="1"/>
    <col min="2050" max="2050" width="44.28515625" style="62" bestFit="1" customWidth="1"/>
    <col min="2051" max="2051" width="10.42578125" style="62" bestFit="1" customWidth="1"/>
    <col min="2052" max="2052" width="10.42578125" style="62" customWidth="1"/>
    <col min="2053" max="2053" width="9.7109375" style="62" bestFit="1" customWidth="1"/>
    <col min="2054" max="2055" width="9.5703125" style="62" bestFit="1" customWidth="1"/>
    <col min="2056" max="2056" width="10.42578125" style="62" bestFit="1" customWidth="1"/>
    <col min="2057" max="2057" width="4.5703125" style="62" customWidth="1"/>
    <col min="2058" max="2058" width="1.85546875" style="62" customWidth="1"/>
    <col min="2059" max="2059" width="7" style="62" bestFit="1" customWidth="1"/>
    <col min="2060" max="2060" width="6.28515625" style="62" customWidth="1"/>
    <col min="2061" max="2061" width="20.42578125" style="62" customWidth="1"/>
    <col min="2062" max="2062" width="6.42578125" style="62" bestFit="1" customWidth="1"/>
    <col min="2063" max="2064" width="8.42578125" style="62"/>
    <col min="2065" max="2065" width="3.28515625" style="62" customWidth="1"/>
    <col min="2066" max="2304" width="8.42578125" style="62"/>
    <col min="2305" max="2305" width="10" style="62" bestFit="1" customWidth="1"/>
    <col min="2306" max="2306" width="44.28515625" style="62" bestFit="1" customWidth="1"/>
    <col min="2307" max="2307" width="10.42578125" style="62" bestFit="1" customWidth="1"/>
    <col min="2308" max="2308" width="10.42578125" style="62" customWidth="1"/>
    <col min="2309" max="2309" width="9.7109375" style="62" bestFit="1" customWidth="1"/>
    <col min="2310" max="2311" width="9.5703125" style="62" bestFit="1" customWidth="1"/>
    <col min="2312" max="2312" width="10.42578125" style="62" bestFit="1" customWidth="1"/>
    <col min="2313" max="2313" width="4.5703125" style="62" customWidth="1"/>
    <col min="2314" max="2314" width="1.85546875" style="62" customWidth="1"/>
    <col min="2315" max="2315" width="7" style="62" bestFit="1" customWidth="1"/>
    <col min="2316" max="2316" width="6.28515625" style="62" customWidth="1"/>
    <col min="2317" max="2317" width="20.42578125" style="62" customWidth="1"/>
    <col min="2318" max="2318" width="6.42578125" style="62" bestFit="1" customWidth="1"/>
    <col min="2319" max="2320" width="8.42578125" style="62"/>
    <col min="2321" max="2321" width="3.28515625" style="62" customWidth="1"/>
    <col min="2322" max="2560" width="8.42578125" style="62"/>
    <col min="2561" max="2561" width="10" style="62" bestFit="1" customWidth="1"/>
    <col min="2562" max="2562" width="44.28515625" style="62" bestFit="1" customWidth="1"/>
    <col min="2563" max="2563" width="10.42578125" style="62" bestFit="1" customWidth="1"/>
    <col min="2564" max="2564" width="10.42578125" style="62" customWidth="1"/>
    <col min="2565" max="2565" width="9.7109375" style="62" bestFit="1" customWidth="1"/>
    <col min="2566" max="2567" width="9.5703125" style="62" bestFit="1" customWidth="1"/>
    <col min="2568" max="2568" width="10.42578125" style="62" bestFit="1" customWidth="1"/>
    <col min="2569" max="2569" width="4.5703125" style="62" customWidth="1"/>
    <col min="2570" max="2570" width="1.85546875" style="62" customWidth="1"/>
    <col min="2571" max="2571" width="7" style="62" bestFit="1" customWidth="1"/>
    <col min="2572" max="2572" width="6.28515625" style="62" customWidth="1"/>
    <col min="2573" max="2573" width="20.42578125" style="62" customWidth="1"/>
    <col min="2574" max="2574" width="6.42578125" style="62" bestFit="1" customWidth="1"/>
    <col min="2575" max="2576" width="8.42578125" style="62"/>
    <col min="2577" max="2577" width="3.28515625" style="62" customWidth="1"/>
    <col min="2578" max="2816" width="8.42578125" style="62"/>
    <col min="2817" max="2817" width="10" style="62" bestFit="1" customWidth="1"/>
    <col min="2818" max="2818" width="44.28515625" style="62" bestFit="1" customWidth="1"/>
    <col min="2819" max="2819" width="10.42578125" style="62" bestFit="1" customWidth="1"/>
    <col min="2820" max="2820" width="10.42578125" style="62" customWidth="1"/>
    <col min="2821" max="2821" width="9.7109375" style="62" bestFit="1" customWidth="1"/>
    <col min="2822" max="2823" width="9.5703125" style="62" bestFit="1" customWidth="1"/>
    <col min="2824" max="2824" width="10.42578125" style="62" bestFit="1" customWidth="1"/>
    <col min="2825" max="2825" width="4.5703125" style="62" customWidth="1"/>
    <col min="2826" max="2826" width="1.85546875" style="62" customWidth="1"/>
    <col min="2827" max="2827" width="7" style="62" bestFit="1" customWidth="1"/>
    <col min="2828" max="2828" width="6.28515625" style="62" customWidth="1"/>
    <col min="2829" max="2829" width="20.42578125" style="62" customWidth="1"/>
    <col min="2830" max="2830" width="6.42578125" style="62" bestFit="1" customWidth="1"/>
    <col min="2831" max="2832" width="8.42578125" style="62"/>
    <col min="2833" max="2833" width="3.28515625" style="62" customWidth="1"/>
    <col min="2834" max="3072" width="8.42578125" style="62"/>
    <col min="3073" max="3073" width="10" style="62" bestFit="1" customWidth="1"/>
    <col min="3074" max="3074" width="44.28515625" style="62" bestFit="1" customWidth="1"/>
    <col min="3075" max="3075" width="10.42578125" style="62" bestFit="1" customWidth="1"/>
    <col min="3076" max="3076" width="10.42578125" style="62" customWidth="1"/>
    <col min="3077" max="3077" width="9.7109375" style="62" bestFit="1" customWidth="1"/>
    <col min="3078" max="3079" width="9.5703125" style="62" bestFit="1" customWidth="1"/>
    <col min="3080" max="3080" width="10.42578125" style="62" bestFit="1" customWidth="1"/>
    <col min="3081" max="3081" width="4.5703125" style="62" customWidth="1"/>
    <col min="3082" max="3082" width="1.85546875" style="62" customWidth="1"/>
    <col min="3083" max="3083" width="7" style="62" bestFit="1" customWidth="1"/>
    <col min="3084" max="3084" width="6.28515625" style="62" customWidth="1"/>
    <col min="3085" max="3085" width="20.42578125" style="62" customWidth="1"/>
    <col min="3086" max="3086" width="6.42578125" style="62" bestFit="1" customWidth="1"/>
    <col min="3087" max="3088" width="8.42578125" style="62"/>
    <col min="3089" max="3089" width="3.28515625" style="62" customWidth="1"/>
    <col min="3090" max="3328" width="8.42578125" style="62"/>
    <col min="3329" max="3329" width="10" style="62" bestFit="1" customWidth="1"/>
    <col min="3330" max="3330" width="44.28515625" style="62" bestFit="1" customWidth="1"/>
    <col min="3331" max="3331" width="10.42578125" style="62" bestFit="1" customWidth="1"/>
    <col min="3332" max="3332" width="10.42578125" style="62" customWidth="1"/>
    <col min="3333" max="3333" width="9.7109375" style="62" bestFit="1" customWidth="1"/>
    <col min="3334" max="3335" width="9.5703125" style="62" bestFit="1" customWidth="1"/>
    <col min="3336" max="3336" width="10.42578125" style="62" bestFit="1" customWidth="1"/>
    <col min="3337" max="3337" width="4.5703125" style="62" customWidth="1"/>
    <col min="3338" max="3338" width="1.85546875" style="62" customWidth="1"/>
    <col min="3339" max="3339" width="7" style="62" bestFit="1" customWidth="1"/>
    <col min="3340" max="3340" width="6.28515625" style="62" customWidth="1"/>
    <col min="3341" max="3341" width="20.42578125" style="62" customWidth="1"/>
    <col min="3342" max="3342" width="6.42578125" style="62" bestFit="1" customWidth="1"/>
    <col min="3343" max="3344" width="8.42578125" style="62"/>
    <col min="3345" max="3345" width="3.28515625" style="62" customWidth="1"/>
    <col min="3346" max="3584" width="8.42578125" style="62"/>
    <col min="3585" max="3585" width="10" style="62" bestFit="1" customWidth="1"/>
    <col min="3586" max="3586" width="44.28515625" style="62" bestFit="1" customWidth="1"/>
    <col min="3587" max="3587" width="10.42578125" style="62" bestFit="1" customWidth="1"/>
    <col min="3588" max="3588" width="10.42578125" style="62" customWidth="1"/>
    <col min="3589" max="3589" width="9.7109375" style="62" bestFit="1" customWidth="1"/>
    <col min="3590" max="3591" width="9.5703125" style="62" bestFit="1" customWidth="1"/>
    <col min="3592" max="3592" width="10.42578125" style="62" bestFit="1" customWidth="1"/>
    <col min="3593" max="3593" width="4.5703125" style="62" customWidth="1"/>
    <col min="3594" max="3594" width="1.85546875" style="62" customWidth="1"/>
    <col min="3595" max="3595" width="7" style="62" bestFit="1" customWidth="1"/>
    <col min="3596" max="3596" width="6.28515625" style="62" customWidth="1"/>
    <col min="3597" max="3597" width="20.42578125" style="62" customWidth="1"/>
    <col min="3598" max="3598" width="6.42578125" style="62" bestFit="1" customWidth="1"/>
    <col min="3599" max="3600" width="8.42578125" style="62"/>
    <col min="3601" max="3601" width="3.28515625" style="62" customWidth="1"/>
    <col min="3602" max="3840" width="8.42578125" style="62"/>
    <col min="3841" max="3841" width="10" style="62" bestFit="1" customWidth="1"/>
    <col min="3842" max="3842" width="44.28515625" style="62" bestFit="1" customWidth="1"/>
    <col min="3843" max="3843" width="10.42578125" style="62" bestFit="1" customWidth="1"/>
    <col min="3844" max="3844" width="10.42578125" style="62" customWidth="1"/>
    <col min="3845" max="3845" width="9.7109375" style="62" bestFit="1" customWidth="1"/>
    <col min="3846" max="3847" width="9.5703125" style="62" bestFit="1" customWidth="1"/>
    <col min="3848" max="3848" width="10.42578125" style="62" bestFit="1" customWidth="1"/>
    <col min="3849" max="3849" width="4.5703125" style="62" customWidth="1"/>
    <col min="3850" max="3850" width="1.85546875" style="62" customWidth="1"/>
    <col min="3851" max="3851" width="7" style="62" bestFit="1" customWidth="1"/>
    <col min="3852" max="3852" width="6.28515625" style="62" customWidth="1"/>
    <col min="3853" max="3853" width="20.42578125" style="62" customWidth="1"/>
    <col min="3854" max="3854" width="6.42578125" style="62" bestFit="1" customWidth="1"/>
    <col min="3855" max="3856" width="8.42578125" style="62"/>
    <col min="3857" max="3857" width="3.28515625" style="62" customWidth="1"/>
    <col min="3858" max="4096" width="8.42578125" style="62"/>
    <col min="4097" max="4097" width="10" style="62" bestFit="1" customWidth="1"/>
    <col min="4098" max="4098" width="44.28515625" style="62" bestFit="1" customWidth="1"/>
    <col min="4099" max="4099" width="10.42578125" style="62" bestFit="1" customWidth="1"/>
    <col min="4100" max="4100" width="10.42578125" style="62" customWidth="1"/>
    <col min="4101" max="4101" width="9.7109375" style="62" bestFit="1" customWidth="1"/>
    <col min="4102" max="4103" width="9.5703125" style="62" bestFit="1" customWidth="1"/>
    <col min="4104" max="4104" width="10.42578125" style="62" bestFit="1" customWidth="1"/>
    <col min="4105" max="4105" width="4.5703125" style="62" customWidth="1"/>
    <col min="4106" max="4106" width="1.85546875" style="62" customWidth="1"/>
    <col min="4107" max="4107" width="7" style="62" bestFit="1" customWidth="1"/>
    <col min="4108" max="4108" width="6.28515625" style="62" customWidth="1"/>
    <col min="4109" max="4109" width="20.42578125" style="62" customWidth="1"/>
    <col min="4110" max="4110" width="6.42578125" style="62" bestFit="1" customWidth="1"/>
    <col min="4111" max="4112" width="8.42578125" style="62"/>
    <col min="4113" max="4113" width="3.28515625" style="62" customWidth="1"/>
    <col min="4114" max="4352" width="8.42578125" style="62"/>
    <col min="4353" max="4353" width="10" style="62" bestFit="1" customWidth="1"/>
    <col min="4354" max="4354" width="44.28515625" style="62" bestFit="1" customWidth="1"/>
    <col min="4355" max="4355" width="10.42578125" style="62" bestFit="1" customWidth="1"/>
    <col min="4356" max="4356" width="10.42578125" style="62" customWidth="1"/>
    <col min="4357" max="4357" width="9.7109375" style="62" bestFit="1" customWidth="1"/>
    <col min="4358" max="4359" width="9.5703125" style="62" bestFit="1" customWidth="1"/>
    <col min="4360" max="4360" width="10.42578125" style="62" bestFit="1" customWidth="1"/>
    <col min="4361" max="4361" width="4.5703125" style="62" customWidth="1"/>
    <col min="4362" max="4362" width="1.85546875" style="62" customWidth="1"/>
    <col min="4363" max="4363" width="7" style="62" bestFit="1" customWidth="1"/>
    <col min="4364" max="4364" width="6.28515625" style="62" customWidth="1"/>
    <col min="4365" max="4365" width="20.42578125" style="62" customWidth="1"/>
    <col min="4366" max="4366" width="6.42578125" style="62" bestFit="1" customWidth="1"/>
    <col min="4367" max="4368" width="8.42578125" style="62"/>
    <col min="4369" max="4369" width="3.28515625" style="62" customWidth="1"/>
    <col min="4370" max="4608" width="8.42578125" style="62"/>
    <col min="4609" max="4609" width="10" style="62" bestFit="1" customWidth="1"/>
    <col min="4610" max="4610" width="44.28515625" style="62" bestFit="1" customWidth="1"/>
    <col min="4611" max="4611" width="10.42578125" style="62" bestFit="1" customWidth="1"/>
    <col min="4612" max="4612" width="10.42578125" style="62" customWidth="1"/>
    <col min="4613" max="4613" width="9.7109375" style="62" bestFit="1" customWidth="1"/>
    <col min="4614" max="4615" width="9.5703125" style="62" bestFit="1" customWidth="1"/>
    <col min="4616" max="4616" width="10.42578125" style="62" bestFit="1" customWidth="1"/>
    <col min="4617" max="4617" width="4.5703125" style="62" customWidth="1"/>
    <col min="4618" max="4618" width="1.85546875" style="62" customWidth="1"/>
    <col min="4619" max="4619" width="7" style="62" bestFit="1" customWidth="1"/>
    <col min="4620" max="4620" width="6.28515625" style="62" customWidth="1"/>
    <col min="4621" max="4621" width="20.42578125" style="62" customWidth="1"/>
    <col min="4622" max="4622" width="6.42578125" style="62" bestFit="1" customWidth="1"/>
    <col min="4623" max="4624" width="8.42578125" style="62"/>
    <col min="4625" max="4625" width="3.28515625" style="62" customWidth="1"/>
    <col min="4626" max="4864" width="8.42578125" style="62"/>
    <col min="4865" max="4865" width="10" style="62" bestFit="1" customWidth="1"/>
    <col min="4866" max="4866" width="44.28515625" style="62" bestFit="1" customWidth="1"/>
    <col min="4867" max="4867" width="10.42578125" style="62" bestFit="1" customWidth="1"/>
    <col min="4868" max="4868" width="10.42578125" style="62" customWidth="1"/>
    <col min="4869" max="4869" width="9.7109375" style="62" bestFit="1" customWidth="1"/>
    <col min="4870" max="4871" width="9.5703125" style="62" bestFit="1" customWidth="1"/>
    <col min="4872" max="4872" width="10.42578125" style="62" bestFit="1" customWidth="1"/>
    <col min="4873" max="4873" width="4.5703125" style="62" customWidth="1"/>
    <col min="4874" max="4874" width="1.85546875" style="62" customWidth="1"/>
    <col min="4875" max="4875" width="7" style="62" bestFit="1" customWidth="1"/>
    <col min="4876" max="4876" width="6.28515625" style="62" customWidth="1"/>
    <col min="4877" max="4877" width="20.42578125" style="62" customWidth="1"/>
    <col min="4878" max="4878" width="6.42578125" style="62" bestFit="1" customWidth="1"/>
    <col min="4879" max="4880" width="8.42578125" style="62"/>
    <col min="4881" max="4881" width="3.28515625" style="62" customWidth="1"/>
    <col min="4882" max="5120" width="8.42578125" style="62"/>
    <col min="5121" max="5121" width="10" style="62" bestFit="1" customWidth="1"/>
    <col min="5122" max="5122" width="44.28515625" style="62" bestFit="1" customWidth="1"/>
    <col min="5123" max="5123" width="10.42578125" style="62" bestFit="1" customWidth="1"/>
    <col min="5124" max="5124" width="10.42578125" style="62" customWidth="1"/>
    <col min="5125" max="5125" width="9.7109375" style="62" bestFit="1" customWidth="1"/>
    <col min="5126" max="5127" width="9.5703125" style="62" bestFit="1" customWidth="1"/>
    <col min="5128" max="5128" width="10.42578125" style="62" bestFit="1" customWidth="1"/>
    <col min="5129" max="5129" width="4.5703125" style="62" customWidth="1"/>
    <col min="5130" max="5130" width="1.85546875" style="62" customWidth="1"/>
    <col min="5131" max="5131" width="7" style="62" bestFit="1" customWidth="1"/>
    <col min="5132" max="5132" width="6.28515625" style="62" customWidth="1"/>
    <col min="5133" max="5133" width="20.42578125" style="62" customWidth="1"/>
    <col min="5134" max="5134" width="6.42578125" style="62" bestFit="1" customWidth="1"/>
    <col min="5135" max="5136" width="8.42578125" style="62"/>
    <col min="5137" max="5137" width="3.28515625" style="62" customWidth="1"/>
    <col min="5138" max="5376" width="8.42578125" style="62"/>
    <col min="5377" max="5377" width="10" style="62" bestFit="1" customWidth="1"/>
    <col min="5378" max="5378" width="44.28515625" style="62" bestFit="1" customWidth="1"/>
    <col min="5379" max="5379" width="10.42578125" style="62" bestFit="1" customWidth="1"/>
    <col min="5380" max="5380" width="10.42578125" style="62" customWidth="1"/>
    <col min="5381" max="5381" width="9.7109375" style="62" bestFit="1" customWidth="1"/>
    <col min="5382" max="5383" width="9.5703125" style="62" bestFit="1" customWidth="1"/>
    <col min="5384" max="5384" width="10.42578125" style="62" bestFit="1" customWidth="1"/>
    <col min="5385" max="5385" width="4.5703125" style="62" customWidth="1"/>
    <col min="5386" max="5386" width="1.85546875" style="62" customWidth="1"/>
    <col min="5387" max="5387" width="7" style="62" bestFit="1" customWidth="1"/>
    <col min="5388" max="5388" width="6.28515625" style="62" customWidth="1"/>
    <col min="5389" max="5389" width="20.42578125" style="62" customWidth="1"/>
    <col min="5390" max="5390" width="6.42578125" style="62" bestFit="1" customWidth="1"/>
    <col min="5391" max="5392" width="8.42578125" style="62"/>
    <col min="5393" max="5393" width="3.28515625" style="62" customWidth="1"/>
    <col min="5394" max="5632" width="8.42578125" style="62"/>
    <col min="5633" max="5633" width="10" style="62" bestFit="1" customWidth="1"/>
    <col min="5634" max="5634" width="44.28515625" style="62" bestFit="1" customWidth="1"/>
    <col min="5635" max="5635" width="10.42578125" style="62" bestFit="1" customWidth="1"/>
    <col min="5636" max="5636" width="10.42578125" style="62" customWidth="1"/>
    <col min="5637" max="5637" width="9.7109375" style="62" bestFit="1" customWidth="1"/>
    <col min="5638" max="5639" width="9.5703125" style="62" bestFit="1" customWidth="1"/>
    <col min="5640" max="5640" width="10.42578125" style="62" bestFit="1" customWidth="1"/>
    <col min="5641" max="5641" width="4.5703125" style="62" customWidth="1"/>
    <col min="5642" max="5642" width="1.85546875" style="62" customWidth="1"/>
    <col min="5643" max="5643" width="7" style="62" bestFit="1" customWidth="1"/>
    <col min="5644" max="5644" width="6.28515625" style="62" customWidth="1"/>
    <col min="5645" max="5645" width="20.42578125" style="62" customWidth="1"/>
    <col min="5646" max="5646" width="6.42578125" style="62" bestFit="1" customWidth="1"/>
    <col min="5647" max="5648" width="8.42578125" style="62"/>
    <col min="5649" max="5649" width="3.28515625" style="62" customWidth="1"/>
    <col min="5650" max="5888" width="8.42578125" style="62"/>
    <col min="5889" max="5889" width="10" style="62" bestFit="1" customWidth="1"/>
    <col min="5890" max="5890" width="44.28515625" style="62" bestFit="1" customWidth="1"/>
    <col min="5891" max="5891" width="10.42578125" style="62" bestFit="1" customWidth="1"/>
    <col min="5892" max="5892" width="10.42578125" style="62" customWidth="1"/>
    <col min="5893" max="5893" width="9.7109375" style="62" bestFit="1" customWidth="1"/>
    <col min="5894" max="5895" width="9.5703125" style="62" bestFit="1" customWidth="1"/>
    <col min="5896" max="5896" width="10.42578125" style="62" bestFit="1" customWidth="1"/>
    <col min="5897" max="5897" width="4.5703125" style="62" customWidth="1"/>
    <col min="5898" max="5898" width="1.85546875" style="62" customWidth="1"/>
    <col min="5899" max="5899" width="7" style="62" bestFit="1" customWidth="1"/>
    <col min="5900" max="5900" width="6.28515625" style="62" customWidth="1"/>
    <col min="5901" max="5901" width="20.42578125" style="62" customWidth="1"/>
    <col min="5902" max="5902" width="6.42578125" style="62" bestFit="1" customWidth="1"/>
    <col min="5903" max="5904" width="8.42578125" style="62"/>
    <col min="5905" max="5905" width="3.28515625" style="62" customWidth="1"/>
    <col min="5906" max="6144" width="8.42578125" style="62"/>
    <col min="6145" max="6145" width="10" style="62" bestFit="1" customWidth="1"/>
    <col min="6146" max="6146" width="44.28515625" style="62" bestFit="1" customWidth="1"/>
    <col min="6147" max="6147" width="10.42578125" style="62" bestFit="1" customWidth="1"/>
    <col min="6148" max="6148" width="10.42578125" style="62" customWidth="1"/>
    <col min="6149" max="6149" width="9.7109375" style="62" bestFit="1" customWidth="1"/>
    <col min="6150" max="6151" width="9.5703125" style="62" bestFit="1" customWidth="1"/>
    <col min="6152" max="6152" width="10.42578125" style="62" bestFit="1" customWidth="1"/>
    <col min="6153" max="6153" width="4.5703125" style="62" customWidth="1"/>
    <col min="6154" max="6154" width="1.85546875" style="62" customWidth="1"/>
    <col min="6155" max="6155" width="7" style="62" bestFit="1" customWidth="1"/>
    <col min="6156" max="6156" width="6.28515625" style="62" customWidth="1"/>
    <col min="6157" max="6157" width="20.42578125" style="62" customWidth="1"/>
    <col min="6158" max="6158" width="6.42578125" style="62" bestFit="1" customWidth="1"/>
    <col min="6159" max="6160" width="8.42578125" style="62"/>
    <col min="6161" max="6161" width="3.28515625" style="62" customWidth="1"/>
    <col min="6162" max="6400" width="8.42578125" style="62"/>
    <col min="6401" max="6401" width="10" style="62" bestFit="1" customWidth="1"/>
    <col min="6402" max="6402" width="44.28515625" style="62" bestFit="1" customWidth="1"/>
    <col min="6403" max="6403" width="10.42578125" style="62" bestFit="1" customWidth="1"/>
    <col min="6404" max="6404" width="10.42578125" style="62" customWidth="1"/>
    <col min="6405" max="6405" width="9.7109375" style="62" bestFit="1" customWidth="1"/>
    <col min="6406" max="6407" width="9.5703125" style="62" bestFit="1" customWidth="1"/>
    <col min="6408" max="6408" width="10.42578125" style="62" bestFit="1" customWidth="1"/>
    <col min="6409" max="6409" width="4.5703125" style="62" customWidth="1"/>
    <col min="6410" max="6410" width="1.85546875" style="62" customWidth="1"/>
    <col min="6411" max="6411" width="7" style="62" bestFit="1" customWidth="1"/>
    <col min="6412" max="6412" width="6.28515625" style="62" customWidth="1"/>
    <col min="6413" max="6413" width="20.42578125" style="62" customWidth="1"/>
    <col min="6414" max="6414" width="6.42578125" style="62" bestFit="1" customWidth="1"/>
    <col min="6415" max="6416" width="8.42578125" style="62"/>
    <col min="6417" max="6417" width="3.28515625" style="62" customWidth="1"/>
    <col min="6418" max="6656" width="8.42578125" style="62"/>
    <col min="6657" max="6657" width="10" style="62" bestFit="1" customWidth="1"/>
    <col min="6658" max="6658" width="44.28515625" style="62" bestFit="1" customWidth="1"/>
    <col min="6659" max="6659" width="10.42578125" style="62" bestFit="1" customWidth="1"/>
    <col min="6660" max="6660" width="10.42578125" style="62" customWidth="1"/>
    <col min="6661" max="6661" width="9.7109375" style="62" bestFit="1" customWidth="1"/>
    <col min="6662" max="6663" width="9.5703125" style="62" bestFit="1" customWidth="1"/>
    <col min="6664" max="6664" width="10.42578125" style="62" bestFit="1" customWidth="1"/>
    <col min="6665" max="6665" width="4.5703125" style="62" customWidth="1"/>
    <col min="6666" max="6666" width="1.85546875" style="62" customWidth="1"/>
    <col min="6667" max="6667" width="7" style="62" bestFit="1" customWidth="1"/>
    <col min="6668" max="6668" width="6.28515625" style="62" customWidth="1"/>
    <col min="6669" max="6669" width="20.42578125" style="62" customWidth="1"/>
    <col min="6670" max="6670" width="6.42578125" style="62" bestFit="1" customWidth="1"/>
    <col min="6671" max="6672" width="8.42578125" style="62"/>
    <col min="6673" max="6673" width="3.28515625" style="62" customWidth="1"/>
    <col min="6674" max="6912" width="8.42578125" style="62"/>
    <col min="6913" max="6913" width="10" style="62" bestFit="1" customWidth="1"/>
    <col min="6914" max="6914" width="44.28515625" style="62" bestFit="1" customWidth="1"/>
    <col min="6915" max="6915" width="10.42578125" style="62" bestFit="1" customWidth="1"/>
    <col min="6916" max="6916" width="10.42578125" style="62" customWidth="1"/>
    <col min="6917" max="6917" width="9.7109375" style="62" bestFit="1" customWidth="1"/>
    <col min="6918" max="6919" width="9.5703125" style="62" bestFit="1" customWidth="1"/>
    <col min="6920" max="6920" width="10.42578125" style="62" bestFit="1" customWidth="1"/>
    <col min="6921" max="6921" width="4.5703125" style="62" customWidth="1"/>
    <col min="6922" max="6922" width="1.85546875" style="62" customWidth="1"/>
    <col min="6923" max="6923" width="7" style="62" bestFit="1" customWidth="1"/>
    <col min="6924" max="6924" width="6.28515625" style="62" customWidth="1"/>
    <col min="6925" max="6925" width="20.42578125" style="62" customWidth="1"/>
    <col min="6926" max="6926" width="6.42578125" style="62" bestFit="1" customWidth="1"/>
    <col min="6927" max="6928" width="8.42578125" style="62"/>
    <col min="6929" max="6929" width="3.28515625" style="62" customWidth="1"/>
    <col min="6930" max="7168" width="8.42578125" style="62"/>
    <col min="7169" max="7169" width="10" style="62" bestFit="1" customWidth="1"/>
    <col min="7170" max="7170" width="44.28515625" style="62" bestFit="1" customWidth="1"/>
    <col min="7171" max="7171" width="10.42578125" style="62" bestFit="1" customWidth="1"/>
    <col min="7172" max="7172" width="10.42578125" style="62" customWidth="1"/>
    <col min="7173" max="7173" width="9.7109375" style="62" bestFit="1" customWidth="1"/>
    <col min="7174" max="7175" width="9.5703125" style="62" bestFit="1" customWidth="1"/>
    <col min="7176" max="7176" width="10.42578125" style="62" bestFit="1" customWidth="1"/>
    <col min="7177" max="7177" width="4.5703125" style="62" customWidth="1"/>
    <col min="7178" max="7178" width="1.85546875" style="62" customWidth="1"/>
    <col min="7179" max="7179" width="7" style="62" bestFit="1" customWidth="1"/>
    <col min="7180" max="7180" width="6.28515625" style="62" customWidth="1"/>
    <col min="7181" max="7181" width="20.42578125" style="62" customWidth="1"/>
    <col min="7182" max="7182" width="6.42578125" style="62" bestFit="1" customWidth="1"/>
    <col min="7183" max="7184" width="8.42578125" style="62"/>
    <col min="7185" max="7185" width="3.28515625" style="62" customWidth="1"/>
    <col min="7186" max="7424" width="8.42578125" style="62"/>
    <col min="7425" max="7425" width="10" style="62" bestFit="1" customWidth="1"/>
    <col min="7426" max="7426" width="44.28515625" style="62" bestFit="1" customWidth="1"/>
    <col min="7427" max="7427" width="10.42578125" style="62" bestFit="1" customWidth="1"/>
    <col min="7428" max="7428" width="10.42578125" style="62" customWidth="1"/>
    <col min="7429" max="7429" width="9.7109375" style="62" bestFit="1" customWidth="1"/>
    <col min="7430" max="7431" width="9.5703125" style="62" bestFit="1" customWidth="1"/>
    <col min="7432" max="7432" width="10.42578125" style="62" bestFit="1" customWidth="1"/>
    <col min="7433" max="7433" width="4.5703125" style="62" customWidth="1"/>
    <col min="7434" max="7434" width="1.85546875" style="62" customWidth="1"/>
    <col min="7435" max="7435" width="7" style="62" bestFit="1" customWidth="1"/>
    <col min="7436" max="7436" width="6.28515625" style="62" customWidth="1"/>
    <col min="7437" max="7437" width="20.42578125" style="62" customWidth="1"/>
    <col min="7438" max="7438" width="6.42578125" style="62" bestFit="1" customWidth="1"/>
    <col min="7439" max="7440" width="8.42578125" style="62"/>
    <col min="7441" max="7441" width="3.28515625" style="62" customWidth="1"/>
    <col min="7442" max="7680" width="8.42578125" style="62"/>
    <col min="7681" max="7681" width="10" style="62" bestFit="1" customWidth="1"/>
    <col min="7682" max="7682" width="44.28515625" style="62" bestFit="1" customWidth="1"/>
    <col min="7683" max="7683" width="10.42578125" style="62" bestFit="1" customWidth="1"/>
    <col min="7684" max="7684" width="10.42578125" style="62" customWidth="1"/>
    <col min="7685" max="7685" width="9.7109375" style="62" bestFit="1" customWidth="1"/>
    <col min="7686" max="7687" width="9.5703125" style="62" bestFit="1" customWidth="1"/>
    <col min="7688" max="7688" width="10.42578125" style="62" bestFit="1" customWidth="1"/>
    <col min="7689" max="7689" width="4.5703125" style="62" customWidth="1"/>
    <col min="7690" max="7690" width="1.85546875" style="62" customWidth="1"/>
    <col min="7691" max="7691" width="7" style="62" bestFit="1" customWidth="1"/>
    <col min="7692" max="7692" width="6.28515625" style="62" customWidth="1"/>
    <col min="7693" max="7693" width="20.42578125" style="62" customWidth="1"/>
    <col min="7694" max="7694" width="6.42578125" style="62" bestFit="1" customWidth="1"/>
    <col min="7695" max="7696" width="8.42578125" style="62"/>
    <col min="7697" max="7697" width="3.28515625" style="62" customWidth="1"/>
    <col min="7698" max="7936" width="8.42578125" style="62"/>
    <col min="7937" max="7937" width="10" style="62" bestFit="1" customWidth="1"/>
    <col min="7938" max="7938" width="44.28515625" style="62" bestFit="1" customWidth="1"/>
    <col min="7939" max="7939" width="10.42578125" style="62" bestFit="1" customWidth="1"/>
    <col min="7940" max="7940" width="10.42578125" style="62" customWidth="1"/>
    <col min="7941" max="7941" width="9.7109375" style="62" bestFit="1" customWidth="1"/>
    <col min="7942" max="7943" width="9.5703125" style="62" bestFit="1" customWidth="1"/>
    <col min="7944" max="7944" width="10.42578125" style="62" bestFit="1" customWidth="1"/>
    <col min="7945" max="7945" width="4.5703125" style="62" customWidth="1"/>
    <col min="7946" max="7946" width="1.85546875" style="62" customWidth="1"/>
    <col min="7947" max="7947" width="7" style="62" bestFit="1" customWidth="1"/>
    <col min="7948" max="7948" width="6.28515625" style="62" customWidth="1"/>
    <col min="7949" max="7949" width="20.42578125" style="62" customWidth="1"/>
    <col min="7950" max="7950" width="6.42578125" style="62" bestFit="1" customWidth="1"/>
    <col min="7951" max="7952" width="8.42578125" style="62"/>
    <col min="7953" max="7953" width="3.28515625" style="62" customWidth="1"/>
    <col min="7954" max="8192" width="8.42578125" style="62"/>
    <col min="8193" max="8193" width="10" style="62" bestFit="1" customWidth="1"/>
    <col min="8194" max="8194" width="44.28515625" style="62" bestFit="1" customWidth="1"/>
    <col min="8195" max="8195" width="10.42578125" style="62" bestFit="1" customWidth="1"/>
    <col min="8196" max="8196" width="10.42578125" style="62" customWidth="1"/>
    <col min="8197" max="8197" width="9.7109375" style="62" bestFit="1" customWidth="1"/>
    <col min="8198" max="8199" width="9.5703125" style="62" bestFit="1" customWidth="1"/>
    <col min="8200" max="8200" width="10.42578125" style="62" bestFit="1" customWidth="1"/>
    <col min="8201" max="8201" width="4.5703125" style="62" customWidth="1"/>
    <col min="8202" max="8202" width="1.85546875" style="62" customWidth="1"/>
    <col min="8203" max="8203" width="7" style="62" bestFit="1" customWidth="1"/>
    <col min="8204" max="8204" width="6.28515625" style="62" customWidth="1"/>
    <col min="8205" max="8205" width="20.42578125" style="62" customWidth="1"/>
    <col min="8206" max="8206" width="6.42578125" style="62" bestFit="1" customWidth="1"/>
    <col min="8207" max="8208" width="8.42578125" style="62"/>
    <col min="8209" max="8209" width="3.28515625" style="62" customWidth="1"/>
    <col min="8210" max="8448" width="8.42578125" style="62"/>
    <col min="8449" max="8449" width="10" style="62" bestFit="1" customWidth="1"/>
    <col min="8450" max="8450" width="44.28515625" style="62" bestFit="1" customWidth="1"/>
    <col min="8451" max="8451" width="10.42578125" style="62" bestFit="1" customWidth="1"/>
    <col min="8452" max="8452" width="10.42578125" style="62" customWidth="1"/>
    <col min="8453" max="8453" width="9.7109375" style="62" bestFit="1" customWidth="1"/>
    <col min="8454" max="8455" width="9.5703125" style="62" bestFit="1" customWidth="1"/>
    <col min="8456" max="8456" width="10.42578125" style="62" bestFit="1" customWidth="1"/>
    <col min="8457" max="8457" width="4.5703125" style="62" customWidth="1"/>
    <col min="8458" max="8458" width="1.85546875" style="62" customWidth="1"/>
    <col min="8459" max="8459" width="7" style="62" bestFit="1" customWidth="1"/>
    <col min="8460" max="8460" width="6.28515625" style="62" customWidth="1"/>
    <col min="8461" max="8461" width="20.42578125" style="62" customWidth="1"/>
    <col min="8462" max="8462" width="6.42578125" style="62" bestFit="1" customWidth="1"/>
    <col min="8463" max="8464" width="8.42578125" style="62"/>
    <col min="8465" max="8465" width="3.28515625" style="62" customWidth="1"/>
    <col min="8466" max="8704" width="8.42578125" style="62"/>
    <col min="8705" max="8705" width="10" style="62" bestFit="1" customWidth="1"/>
    <col min="8706" max="8706" width="44.28515625" style="62" bestFit="1" customWidth="1"/>
    <col min="8707" max="8707" width="10.42578125" style="62" bestFit="1" customWidth="1"/>
    <col min="8708" max="8708" width="10.42578125" style="62" customWidth="1"/>
    <col min="8709" max="8709" width="9.7109375" style="62" bestFit="1" customWidth="1"/>
    <col min="8710" max="8711" width="9.5703125" style="62" bestFit="1" customWidth="1"/>
    <col min="8712" max="8712" width="10.42578125" style="62" bestFit="1" customWidth="1"/>
    <col min="8713" max="8713" width="4.5703125" style="62" customWidth="1"/>
    <col min="8714" max="8714" width="1.85546875" style="62" customWidth="1"/>
    <col min="8715" max="8715" width="7" style="62" bestFit="1" customWidth="1"/>
    <col min="8716" max="8716" width="6.28515625" style="62" customWidth="1"/>
    <col min="8717" max="8717" width="20.42578125" style="62" customWidth="1"/>
    <col min="8718" max="8718" width="6.42578125" style="62" bestFit="1" customWidth="1"/>
    <col min="8719" max="8720" width="8.42578125" style="62"/>
    <col min="8721" max="8721" width="3.28515625" style="62" customWidth="1"/>
    <col min="8722" max="8960" width="8.42578125" style="62"/>
    <col min="8961" max="8961" width="10" style="62" bestFit="1" customWidth="1"/>
    <col min="8962" max="8962" width="44.28515625" style="62" bestFit="1" customWidth="1"/>
    <col min="8963" max="8963" width="10.42578125" style="62" bestFit="1" customWidth="1"/>
    <col min="8964" max="8964" width="10.42578125" style="62" customWidth="1"/>
    <col min="8965" max="8965" width="9.7109375" style="62" bestFit="1" customWidth="1"/>
    <col min="8966" max="8967" width="9.5703125" style="62" bestFit="1" customWidth="1"/>
    <col min="8968" max="8968" width="10.42578125" style="62" bestFit="1" customWidth="1"/>
    <col min="8969" max="8969" width="4.5703125" style="62" customWidth="1"/>
    <col min="8970" max="8970" width="1.85546875" style="62" customWidth="1"/>
    <col min="8971" max="8971" width="7" style="62" bestFit="1" customWidth="1"/>
    <col min="8972" max="8972" width="6.28515625" style="62" customWidth="1"/>
    <col min="8973" max="8973" width="20.42578125" style="62" customWidth="1"/>
    <col min="8974" max="8974" width="6.42578125" style="62" bestFit="1" customWidth="1"/>
    <col min="8975" max="8976" width="8.42578125" style="62"/>
    <col min="8977" max="8977" width="3.28515625" style="62" customWidth="1"/>
    <col min="8978" max="9216" width="8.42578125" style="62"/>
    <col min="9217" max="9217" width="10" style="62" bestFit="1" customWidth="1"/>
    <col min="9218" max="9218" width="44.28515625" style="62" bestFit="1" customWidth="1"/>
    <col min="9219" max="9219" width="10.42578125" style="62" bestFit="1" customWidth="1"/>
    <col min="9220" max="9220" width="10.42578125" style="62" customWidth="1"/>
    <col min="9221" max="9221" width="9.7109375" style="62" bestFit="1" customWidth="1"/>
    <col min="9222" max="9223" width="9.5703125" style="62" bestFit="1" customWidth="1"/>
    <col min="9224" max="9224" width="10.42578125" style="62" bestFit="1" customWidth="1"/>
    <col min="9225" max="9225" width="4.5703125" style="62" customWidth="1"/>
    <col min="9226" max="9226" width="1.85546875" style="62" customWidth="1"/>
    <col min="9227" max="9227" width="7" style="62" bestFit="1" customWidth="1"/>
    <col min="9228" max="9228" width="6.28515625" style="62" customWidth="1"/>
    <col min="9229" max="9229" width="20.42578125" style="62" customWidth="1"/>
    <col min="9230" max="9230" width="6.42578125" style="62" bestFit="1" customWidth="1"/>
    <col min="9231" max="9232" width="8.42578125" style="62"/>
    <col min="9233" max="9233" width="3.28515625" style="62" customWidth="1"/>
    <col min="9234" max="9472" width="8.42578125" style="62"/>
    <col min="9473" max="9473" width="10" style="62" bestFit="1" customWidth="1"/>
    <col min="9474" max="9474" width="44.28515625" style="62" bestFit="1" customWidth="1"/>
    <col min="9475" max="9475" width="10.42578125" style="62" bestFit="1" customWidth="1"/>
    <col min="9476" max="9476" width="10.42578125" style="62" customWidth="1"/>
    <col min="9477" max="9477" width="9.7109375" style="62" bestFit="1" customWidth="1"/>
    <col min="9478" max="9479" width="9.5703125" style="62" bestFit="1" customWidth="1"/>
    <col min="9480" max="9480" width="10.42578125" style="62" bestFit="1" customWidth="1"/>
    <col min="9481" max="9481" width="4.5703125" style="62" customWidth="1"/>
    <col min="9482" max="9482" width="1.85546875" style="62" customWidth="1"/>
    <col min="9483" max="9483" width="7" style="62" bestFit="1" customWidth="1"/>
    <col min="9484" max="9484" width="6.28515625" style="62" customWidth="1"/>
    <col min="9485" max="9485" width="20.42578125" style="62" customWidth="1"/>
    <col min="9486" max="9486" width="6.42578125" style="62" bestFit="1" customWidth="1"/>
    <col min="9487" max="9488" width="8.42578125" style="62"/>
    <col min="9489" max="9489" width="3.28515625" style="62" customWidth="1"/>
    <col min="9490" max="9728" width="8.42578125" style="62"/>
    <col min="9729" max="9729" width="10" style="62" bestFit="1" customWidth="1"/>
    <col min="9730" max="9730" width="44.28515625" style="62" bestFit="1" customWidth="1"/>
    <col min="9731" max="9731" width="10.42578125" style="62" bestFit="1" customWidth="1"/>
    <col min="9732" max="9732" width="10.42578125" style="62" customWidth="1"/>
    <col min="9733" max="9733" width="9.7109375" style="62" bestFit="1" customWidth="1"/>
    <col min="9734" max="9735" width="9.5703125" style="62" bestFit="1" customWidth="1"/>
    <col min="9736" max="9736" width="10.42578125" style="62" bestFit="1" customWidth="1"/>
    <col min="9737" max="9737" width="4.5703125" style="62" customWidth="1"/>
    <col min="9738" max="9738" width="1.85546875" style="62" customWidth="1"/>
    <col min="9739" max="9739" width="7" style="62" bestFit="1" customWidth="1"/>
    <col min="9740" max="9740" width="6.28515625" style="62" customWidth="1"/>
    <col min="9741" max="9741" width="20.42578125" style="62" customWidth="1"/>
    <col min="9742" max="9742" width="6.42578125" style="62" bestFit="1" customWidth="1"/>
    <col min="9743" max="9744" width="8.42578125" style="62"/>
    <col min="9745" max="9745" width="3.28515625" style="62" customWidth="1"/>
    <col min="9746" max="9984" width="8.42578125" style="62"/>
    <col min="9985" max="9985" width="10" style="62" bestFit="1" customWidth="1"/>
    <col min="9986" max="9986" width="44.28515625" style="62" bestFit="1" customWidth="1"/>
    <col min="9987" max="9987" width="10.42578125" style="62" bestFit="1" customWidth="1"/>
    <col min="9988" max="9988" width="10.42578125" style="62" customWidth="1"/>
    <col min="9989" max="9989" width="9.7109375" style="62" bestFit="1" customWidth="1"/>
    <col min="9990" max="9991" width="9.5703125" style="62" bestFit="1" customWidth="1"/>
    <col min="9992" max="9992" width="10.42578125" style="62" bestFit="1" customWidth="1"/>
    <col min="9993" max="9993" width="4.5703125" style="62" customWidth="1"/>
    <col min="9994" max="9994" width="1.85546875" style="62" customWidth="1"/>
    <col min="9995" max="9995" width="7" style="62" bestFit="1" customWidth="1"/>
    <col min="9996" max="9996" width="6.28515625" style="62" customWidth="1"/>
    <col min="9997" max="9997" width="20.42578125" style="62" customWidth="1"/>
    <col min="9998" max="9998" width="6.42578125" style="62" bestFit="1" customWidth="1"/>
    <col min="9999" max="10000" width="8.42578125" style="62"/>
    <col min="10001" max="10001" width="3.28515625" style="62" customWidth="1"/>
    <col min="10002" max="10240" width="8.42578125" style="62"/>
    <col min="10241" max="10241" width="10" style="62" bestFit="1" customWidth="1"/>
    <col min="10242" max="10242" width="44.28515625" style="62" bestFit="1" customWidth="1"/>
    <col min="10243" max="10243" width="10.42578125" style="62" bestFit="1" customWidth="1"/>
    <col min="10244" max="10244" width="10.42578125" style="62" customWidth="1"/>
    <col min="10245" max="10245" width="9.7109375" style="62" bestFit="1" customWidth="1"/>
    <col min="10246" max="10247" width="9.5703125" style="62" bestFit="1" customWidth="1"/>
    <col min="10248" max="10248" width="10.42578125" style="62" bestFit="1" customWidth="1"/>
    <col min="10249" max="10249" width="4.5703125" style="62" customWidth="1"/>
    <col min="10250" max="10250" width="1.85546875" style="62" customWidth="1"/>
    <col min="10251" max="10251" width="7" style="62" bestFit="1" customWidth="1"/>
    <col min="10252" max="10252" width="6.28515625" style="62" customWidth="1"/>
    <col min="10253" max="10253" width="20.42578125" style="62" customWidth="1"/>
    <col min="10254" max="10254" width="6.42578125" style="62" bestFit="1" customWidth="1"/>
    <col min="10255" max="10256" width="8.42578125" style="62"/>
    <col min="10257" max="10257" width="3.28515625" style="62" customWidth="1"/>
    <col min="10258" max="10496" width="8.42578125" style="62"/>
    <col min="10497" max="10497" width="10" style="62" bestFit="1" customWidth="1"/>
    <col min="10498" max="10498" width="44.28515625" style="62" bestFit="1" customWidth="1"/>
    <col min="10499" max="10499" width="10.42578125" style="62" bestFit="1" customWidth="1"/>
    <col min="10500" max="10500" width="10.42578125" style="62" customWidth="1"/>
    <col min="10501" max="10501" width="9.7109375" style="62" bestFit="1" customWidth="1"/>
    <col min="10502" max="10503" width="9.5703125" style="62" bestFit="1" customWidth="1"/>
    <col min="10504" max="10504" width="10.42578125" style="62" bestFit="1" customWidth="1"/>
    <col min="10505" max="10505" width="4.5703125" style="62" customWidth="1"/>
    <col min="10506" max="10506" width="1.85546875" style="62" customWidth="1"/>
    <col min="10507" max="10507" width="7" style="62" bestFit="1" customWidth="1"/>
    <col min="10508" max="10508" width="6.28515625" style="62" customWidth="1"/>
    <col min="10509" max="10509" width="20.42578125" style="62" customWidth="1"/>
    <col min="10510" max="10510" width="6.42578125" style="62" bestFit="1" customWidth="1"/>
    <col min="10511" max="10512" width="8.42578125" style="62"/>
    <col min="10513" max="10513" width="3.28515625" style="62" customWidth="1"/>
    <col min="10514" max="10752" width="8.42578125" style="62"/>
    <col min="10753" max="10753" width="10" style="62" bestFit="1" customWidth="1"/>
    <col min="10754" max="10754" width="44.28515625" style="62" bestFit="1" customWidth="1"/>
    <col min="10755" max="10755" width="10.42578125" style="62" bestFit="1" customWidth="1"/>
    <col min="10756" max="10756" width="10.42578125" style="62" customWidth="1"/>
    <col min="10757" max="10757" width="9.7109375" style="62" bestFit="1" customWidth="1"/>
    <col min="10758" max="10759" width="9.5703125" style="62" bestFit="1" customWidth="1"/>
    <col min="10760" max="10760" width="10.42578125" style="62" bestFit="1" customWidth="1"/>
    <col min="10761" max="10761" width="4.5703125" style="62" customWidth="1"/>
    <col min="10762" max="10762" width="1.85546875" style="62" customWidth="1"/>
    <col min="10763" max="10763" width="7" style="62" bestFit="1" customWidth="1"/>
    <col min="10764" max="10764" width="6.28515625" style="62" customWidth="1"/>
    <col min="10765" max="10765" width="20.42578125" style="62" customWidth="1"/>
    <col min="10766" max="10766" width="6.42578125" style="62" bestFit="1" customWidth="1"/>
    <col min="10767" max="10768" width="8.42578125" style="62"/>
    <col min="10769" max="10769" width="3.28515625" style="62" customWidth="1"/>
    <col min="10770" max="11008" width="8.42578125" style="62"/>
    <col min="11009" max="11009" width="10" style="62" bestFit="1" customWidth="1"/>
    <col min="11010" max="11010" width="44.28515625" style="62" bestFit="1" customWidth="1"/>
    <col min="11011" max="11011" width="10.42578125" style="62" bestFit="1" customWidth="1"/>
    <col min="11012" max="11012" width="10.42578125" style="62" customWidth="1"/>
    <col min="11013" max="11013" width="9.7109375" style="62" bestFit="1" customWidth="1"/>
    <col min="11014" max="11015" width="9.5703125" style="62" bestFit="1" customWidth="1"/>
    <col min="11016" max="11016" width="10.42578125" style="62" bestFit="1" customWidth="1"/>
    <col min="11017" max="11017" width="4.5703125" style="62" customWidth="1"/>
    <col min="11018" max="11018" width="1.85546875" style="62" customWidth="1"/>
    <col min="11019" max="11019" width="7" style="62" bestFit="1" customWidth="1"/>
    <col min="11020" max="11020" width="6.28515625" style="62" customWidth="1"/>
    <col min="11021" max="11021" width="20.42578125" style="62" customWidth="1"/>
    <col min="11022" max="11022" width="6.42578125" style="62" bestFit="1" customWidth="1"/>
    <col min="11023" max="11024" width="8.42578125" style="62"/>
    <col min="11025" max="11025" width="3.28515625" style="62" customWidth="1"/>
    <col min="11026" max="11264" width="8.42578125" style="62"/>
    <col min="11265" max="11265" width="10" style="62" bestFit="1" customWidth="1"/>
    <col min="11266" max="11266" width="44.28515625" style="62" bestFit="1" customWidth="1"/>
    <col min="11267" max="11267" width="10.42578125" style="62" bestFit="1" customWidth="1"/>
    <col min="11268" max="11268" width="10.42578125" style="62" customWidth="1"/>
    <col min="11269" max="11269" width="9.7109375" style="62" bestFit="1" customWidth="1"/>
    <col min="11270" max="11271" width="9.5703125" style="62" bestFit="1" customWidth="1"/>
    <col min="11272" max="11272" width="10.42578125" style="62" bestFit="1" customWidth="1"/>
    <col min="11273" max="11273" width="4.5703125" style="62" customWidth="1"/>
    <col min="11274" max="11274" width="1.85546875" style="62" customWidth="1"/>
    <col min="11275" max="11275" width="7" style="62" bestFit="1" customWidth="1"/>
    <col min="11276" max="11276" width="6.28515625" style="62" customWidth="1"/>
    <col min="11277" max="11277" width="20.42578125" style="62" customWidth="1"/>
    <col min="11278" max="11278" width="6.42578125" style="62" bestFit="1" customWidth="1"/>
    <col min="11279" max="11280" width="8.42578125" style="62"/>
    <col min="11281" max="11281" width="3.28515625" style="62" customWidth="1"/>
    <col min="11282" max="11520" width="8.42578125" style="62"/>
    <col min="11521" max="11521" width="10" style="62" bestFit="1" customWidth="1"/>
    <col min="11522" max="11522" width="44.28515625" style="62" bestFit="1" customWidth="1"/>
    <col min="11523" max="11523" width="10.42578125" style="62" bestFit="1" customWidth="1"/>
    <col min="11524" max="11524" width="10.42578125" style="62" customWidth="1"/>
    <col min="11525" max="11525" width="9.7109375" style="62" bestFit="1" customWidth="1"/>
    <col min="11526" max="11527" width="9.5703125" style="62" bestFit="1" customWidth="1"/>
    <col min="11528" max="11528" width="10.42578125" style="62" bestFit="1" customWidth="1"/>
    <col min="11529" max="11529" width="4.5703125" style="62" customWidth="1"/>
    <col min="11530" max="11530" width="1.85546875" style="62" customWidth="1"/>
    <col min="11531" max="11531" width="7" style="62" bestFit="1" customWidth="1"/>
    <col min="11532" max="11532" width="6.28515625" style="62" customWidth="1"/>
    <col min="11533" max="11533" width="20.42578125" style="62" customWidth="1"/>
    <col min="11534" max="11534" width="6.42578125" style="62" bestFit="1" customWidth="1"/>
    <col min="11535" max="11536" width="8.42578125" style="62"/>
    <col min="11537" max="11537" width="3.28515625" style="62" customWidth="1"/>
    <col min="11538" max="11776" width="8.42578125" style="62"/>
    <col min="11777" max="11777" width="10" style="62" bestFit="1" customWidth="1"/>
    <col min="11778" max="11778" width="44.28515625" style="62" bestFit="1" customWidth="1"/>
    <col min="11779" max="11779" width="10.42578125" style="62" bestFit="1" customWidth="1"/>
    <col min="11780" max="11780" width="10.42578125" style="62" customWidth="1"/>
    <col min="11781" max="11781" width="9.7109375" style="62" bestFit="1" customWidth="1"/>
    <col min="11782" max="11783" width="9.5703125" style="62" bestFit="1" customWidth="1"/>
    <col min="11784" max="11784" width="10.42578125" style="62" bestFit="1" customWidth="1"/>
    <col min="11785" max="11785" width="4.5703125" style="62" customWidth="1"/>
    <col min="11786" max="11786" width="1.85546875" style="62" customWidth="1"/>
    <col min="11787" max="11787" width="7" style="62" bestFit="1" customWidth="1"/>
    <col min="11788" max="11788" width="6.28515625" style="62" customWidth="1"/>
    <col min="11789" max="11789" width="20.42578125" style="62" customWidth="1"/>
    <col min="11790" max="11790" width="6.42578125" style="62" bestFit="1" customWidth="1"/>
    <col min="11791" max="11792" width="8.42578125" style="62"/>
    <col min="11793" max="11793" width="3.28515625" style="62" customWidth="1"/>
    <col min="11794" max="12032" width="8.42578125" style="62"/>
    <col min="12033" max="12033" width="10" style="62" bestFit="1" customWidth="1"/>
    <col min="12034" max="12034" width="44.28515625" style="62" bestFit="1" customWidth="1"/>
    <col min="12035" max="12035" width="10.42578125" style="62" bestFit="1" customWidth="1"/>
    <col min="12036" max="12036" width="10.42578125" style="62" customWidth="1"/>
    <col min="12037" max="12037" width="9.7109375" style="62" bestFit="1" customWidth="1"/>
    <col min="12038" max="12039" width="9.5703125" style="62" bestFit="1" customWidth="1"/>
    <col min="12040" max="12040" width="10.42578125" style="62" bestFit="1" customWidth="1"/>
    <col min="12041" max="12041" width="4.5703125" style="62" customWidth="1"/>
    <col min="12042" max="12042" width="1.85546875" style="62" customWidth="1"/>
    <col min="12043" max="12043" width="7" style="62" bestFit="1" customWidth="1"/>
    <col min="12044" max="12044" width="6.28515625" style="62" customWidth="1"/>
    <col min="12045" max="12045" width="20.42578125" style="62" customWidth="1"/>
    <col min="12046" max="12046" width="6.42578125" style="62" bestFit="1" customWidth="1"/>
    <col min="12047" max="12048" width="8.42578125" style="62"/>
    <col min="12049" max="12049" width="3.28515625" style="62" customWidth="1"/>
    <col min="12050" max="12288" width="8.42578125" style="62"/>
    <col min="12289" max="12289" width="10" style="62" bestFit="1" customWidth="1"/>
    <col min="12290" max="12290" width="44.28515625" style="62" bestFit="1" customWidth="1"/>
    <col min="12291" max="12291" width="10.42578125" style="62" bestFit="1" customWidth="1"/>
    <col min="12292" max="12292" width="10.42578125" style="62" customWidth="1"/>
    <col min="12293" max="12293" width="9.7109375" style="62" bestFit="1" customWidth="1"/>
    <col min="12294" max="12295" width="9.5703125" style="62" bestFit="1" customWidth="1"/>
    <col min="12296" max="12296" width="10.42578125" style="62" bestFit="1" customWidth="1"/>
    <col min="12297" max="12297" width="4.5703125" style="62" customWidth="1"/>
    <col min="12298" max="12298" width="1.85546875" style="62" customWidth="1"/>
    <col min="12299" max="12299" width="7" style="62" bestFit="1" customWidth="1"/>
    <col min="12300" max="12300" width="6.28515625" style="62" customWidth="1"/>
    <col min="12301" max="12301" width="20.42578125" style="62" customWidth="1"/>
    <col min="12302" max="12302" width="6.42578125" style="62" bestFit="1" customWidth="1"/>
    <col min="12303" max="12304" width="8.42578125" style="62"/>
    <col min="12305" max="12305" width="3.28515625" style="62" customWidth="1"/>
    <col min="12306" max="12544" width="8.42578125" style="62"/>
    <col min="12545" max="12545" width="10" style="62" bestFit="1" customWidth="1"/>
    <col min="12546" max="12546" width="44.28515625" style="62" bestFit="1" customWidth="1"/>
    <col min="12547" max="12547" width="10.42578125" style="62" bestFit="1" customWidth="1"/>
    <col min="12548" max="12548" width="10.42578125" style="62" customWidth="1"/>
    <col min="12549" max="12549" width="9.7109375" style="62" bestFit="1" customWidth="1"/>
    <col min="12550" max="12551" width="9.5703125" style="62" bestFit="1" customWidth="1"/>
    <col min="12552" max="12552" width="10.42578125" style="62" bestFit="1" customWidth="1"/>
    <col min="12553" max="12553" width="4.5703125" style="62" customWidth="1"/>
    <col min="12554" max="12554" width="1.85546875" style="62" customWidth="1"/>
    <col min="12555" max="12555" width="7" style="62" bestFit="1" customWidth="1"/>
    <col min="12556" max="12556" width="6.28515625" style="62" customWidth="1"/>
    <col min="12557" max="12557" width="20.42578125" style="62" customWidth="1"/>
    <col min="12558" max="12558" width="6.42578125" style="62" bestFit="1" customWidth="1"/>
    <col min="12559" max="12560" width="8.42578125" style="62"/>
    <col min="12561" max="12561" width="3.28515625" style="62" customWidth="1"/>
    <col min="12562" max="12800" width="8.42578125" style="62"/>
    <col min="12801" max="12801" width="10" style="62" bestFit="1" customWidth="1"/>
    <col min="12802" max="12802" width="44.28515625" style="62" bestFit="1" customWidth="1"/>
    <col min="12803" max="12803" width="10.42578125" style="62" bestFit="1" customWidth="1"/>
    <col min="12804" max="12804" width="10.42578125" style="62" customWidth="1"/>
    <col min="12805" max="12805" width="9.7109375" style="62" bestFit="1" customWidth="1"/>
    <col min="12806" max="12807" width="9.5703125" style="62" bestFit="1" customWidth="1"/>
    <col min="12808" max="12808" width="10.42578125" style="62" bestFit="1" customWidth="1"/>
    <col min="12809" max="12809" width="4.5703125" style="62" customWidth="1"/>
    <col min="12810" max="12810" width="1.85546875" style="62" customWidth="1"/>
    <col min="12811" max="12811" width="7" style="62" bestFit="1" customWidth="1"/>
    <col min="12812" max="12812" width="6.28515625" style="62" customWidth="1"/>
    <col min="12813" max="12813" width="20.42578125" style="62" customWidth="1"/>
    <col min="12814" max="12814" width="6.42578125" style="62" bestFit="1" customWidth="1"/>
    <col min="12815" max="12816" width="8.42578125" style="62"/>
    <col min="12817" max="12817" width="3.28515625" style="62" customWidth="1"/>
    <col min="12818" max="13056" width="8.42578125" style="62"/>
    <col min="13057" max="13057" width="10" style="62" bestFit="1" customWidth="1"/>
    <col min="13058" max="13058" width="44.28515625" style="62" bestFit="1" customWidth="1"/>
    <col min="13059" max="13059" width="10.42578125" style="62" bestFit="1" customWidth="1"/>
    <col min="13060" max="13060" width="10.42578125" style="62" customWidth="1"/>
    <col min="13061" max="13061" width="9.7109375" style="62" bestFit="1" customWidth="1"/>
    <col min="13062" max="13063" width="9.5703125" style="62" bestFit="1" customWidth="1"/>
    <col min="13064" max="13064" width="10.42578125" style="62" bestFit="1" customWidth="1"/>
    <col min="13065" max="13065" width="4.5703125" style="62" customWidth="1"/>
    <col min="13066" max="13066" width="1.85546875" style="62" customWidth="1"/>
    <col min="13067" max="13067" width="7" style="62" bestFit="1" customWidth="1"/>
    <col min="13068" max="13068" width="6.28515625" style="62" customWidth="1"/>
    <col min="13069" max="13069" width="20.42578125" style="62" customWidth="1"/>
    <col min="13070" max="13070" width="6.42578125" style="62" bestFit="1" customWidth="1"/>
    <col min="13071" max="13072" width="8.42578125" style="62"/>
    <col min="13073" max="13073" width="3.28515625" style="62" customWidth="1"/>
    <col min="13074" max="13312" width="8.42578125" style="62"/>
    <col min="13313" max="13313" width="10" style="62" bestFit="1" customWidth="1"/>
    <col min="13314" max="13314" width="44.28515625" style="62" bestFit="1" customWidth="1"/>
    <col min="13315" max="13315" width="10.42578125" style="62" bestFit="1" customWidth="1"/>
    <col min="13316" max="13316" width="10.42578125" style="62" customWidth="1"/>
    <col min="13317" max="13317" width="9.7109375" style="62" bestFit="1" customWidth="1"/>
    <col min="13318" max="13319" width="9.5703125" style="62" bestFit="1" customWidth="1"/>
    <col min="13320" max="13320" width="10.42578125" style="62" bestFit="1" customWidth="1"/>
    <col min="13321" max="13321" width="4.5703125" style="62" customWidth="1"/>
    <col min="13322" max="13322" width="1.85546875" style="62" customWidth="1"/>
    <col min="13323" max="13323" width="7" style="62" bestFit="1" customWidth="1"/>
    <col min="13324" max="13324" width="6.28515625" style="62" customWidth="1"/>
    <col min="13325" max="13325" width="20.42578125" style="62" customWidth="1"/>
    <col min="13326" max="13326" width="6.42578125" style="62" bestFit="1" customWidth="1"/>
    <col min="13327" max="13328" width="8.42578125" style="62"/>
    <col min="13329" max="13329" width="3.28515625" style="62" customWidth="1"/>
    <col min="13330" max="13568" width="8.42578125" style="62"/>
    <col min="13569" max="13569" width="10" style="62" bestFit="1" customWidth="1"/>
    <col min="13570" max="13570" width="44.28515625" style="62" bestFit="1" customWidth="1"/>
    <col min="13571" max="13571" width="10.42578125" style="62" bestFit="1" customWidth="1"/>
    <col min="13572" max="13572" width="10.42578125" style="62" customWidth="1"/>
    <col min="13573" max="13573" width="9.7109375" style="62" bestFit="1" customWidth="1"/>
    <col min="13574" max="13575" width="9.5703125" style="62" bestFit="1" customWidth="1"/>
    <col min="13576" max="13576" width="10.42578125" style="62" bestFit="1" customWidth="1"/>
    <col min="13577" max="13577" width="4.5703125" style="62" customWidth="1"/>
    <col min="13578" max="13578" width="1.85546875" style="62" customWidth="1"/>
    <col min="13579" max="13579" width="7" style="62" bestFit="1" customWidth="1"/>
    <col min="13580" max="13580" width="6.28515625" style="62" customWidth="1"/>
    <col min="13581" max="13581" width="20.42578125" style="62" customWidth="1"/>
    <col min="13582" max="13582" width="6.42578125" style="62" bestFit="1" customWidth="1"/>
    <col min="13583" max="13584" width="8.42578125" style="62"/>
    <col min="13585" max="13585" width="3.28515625" style="62" customWidth="1"/>
    <col min="13586" max="13824" width="8.42578125" style="62"/>
    <col min="13825" max="13825" width="10" style="62" bestFit="1" customWidth="1"/>
    <col min="13826" max="13826" width="44.28515625" style="62" bestFit="1" customWidth="1"/>
    <col min="13827" max="13827" width="10.42578125" style="62" bestFit="1" customWidth="1"/>
    <col min="13828" max="13828" width="10.42578125" style="62" customWidth="1"/>
    <col min="13829" max="13829" width="9.7109375" style="62" bestFit="1" customWidth="1"/>
    <col min="13830" max="13831" width="9.5703125" style="62" bestFit="1" customWidth="1"/>
    <col min="13832" max="13832" width="10.42578125" style="62" bestFit="1" customWidth="1"/>
    <col min="13833" max="13833" width="4.5703125" style="62" customWidth="1"/>
    <col min="13834" max="13834" width="1.85546875" style="62" customWidth="1"/>
    <col min="13835" max="13835" width="7" style="62" bestFit="1" customWidth="1"/>
    <col min="13836" max="13836" width="6.28515625" style="62" customWidth="1"/>
    <col min="13837" max="13837" width="20.42578125" style="62" customWidth="1"/>
    <col min="13838" max="13838" width="6.42578125" style="62" bestFit="1" customWidth="1"/>
    <col min="13839" max="13840" width="8.42578125" style="62"/>
    <col min="13841" max="13841" width="3.28515625" style="62" customWidth="1"/>
    <col min="13842" max="14080" width="8.42578125" style="62"/>
    <col min="14081" max="14081" width="10" style="62" bestFit="1" customWidth="1"/>
    <col min="14082" max="14082" width="44.28515625" style="62" bestFit="1" customWidth="1"/>
    <col min="14083" max="14083" width="10.42578125" style="62" bestFit="1" customWidth="1"/>
    <col min="14084" max="14084" width="10.42578125" style="62" customWidth="1"/>
    <col min="14085" max="14085" width="9.7109375" style="62" bestFit="1" customWidth="1"/>
    <col min="14086" max="14087" width="9.5703125" style="62" bestFit="1" customWidth="1"/>
    <col min="14088" max="14088" width="10.42578125" style="62" bestFit="1" customWidth="1"/>
    <col min="14089" max="14089" width="4.5703125" style="62" customWidth="1"/>
    <col min="14090" max="14090" width="1.85546875" style="62" customWidth="1"/>
    <col min="14091" max="14091" width="7" style="62" bestFit="1" customWidth="1"/>
    <col min="14092" max="14092" width="6.28515625" style="62" customWidth="1"/>
    <col min="14093" max="14093" width="20.42578125" style="62" customWidth="1"/>
    <col min="14094" max="14094" width="6.42578125" style="62" bestFit="1" customWidth="1"/>
    <col min="14095" max="14096" width="8.42578125" style="62"/>
    <col min="14097" max="14097" width="3.28515625" style="62" customWidth="1"/>
    <col min="14098" max="14336" width="8.42578125" style="62"/>
    <col min="14337" max="14337" width="10" style="62" bestFit="1" customWidth="1"/>
    <col min="14338" max="14338" width="44.28515625" style="62" bestFit="1" customWidth="1"/>
    <col min="14339" max="14339" width="10.42578125" style="62" bestFit="1" customWidth="1"/>
    <col min="14340" max="14340" width="10.42578125" style="62" customWidth="1"/>
    <col min="14341" max="14341" width="9.7109375" style="62" bestFit="1" customWidth="1"/>
    <col min="14342" max="14343" width="9.5703125" style="62" bestFit="1" customWidth="1"/>
    <col min="14344" max="14344" width="10.42578125" style="62" bestFit="1" customWidth="1"/>
    <col min="14345" max="14345" width="4.5703125" style="62" customWidth="1"/>
    <col min="14346" max="14346" width="1.85546875" style="62" customWidth="1"/>
    <col min="14347" max="14347" width="7" style="62" bestFit="1" customWidth="1"/>
    <col min="14348" max="14348" width="6.28515625" style="62" customWidth="1"/>
    <col min="14349" max="14349" width="20.42578125" style="62" customWidth="1"/>
    <col min="14350" max="14350" width="6.42578125" style="62" bestFit="1" customWidth="1"/>
    <col min="14351" max="14352" width="8.42578125" style="62"/>
    <col min="14353" max="14353" width="3.28515625" style="62" customWidth="1"/>
    <col min="14354" max="14592" width="8.42578125" style="62"/>
    <col min="14593" max="14593" width="10" style="62" bestFit="1" customWidth="1"/>
    <col min="14594" max="14594" width="44.28515625" style="62" bestFit="1" customWidth="1"/>
    <col min="14595" max="14595" width="10.42578125" style="62" bestFit="1" customWidth="1"/>
    <col min="14596" max="14596" width="10.42578125" style="62" customWidth="1"/>
    <col min="14597" max="14597" width="9.7109375" style="62" bestFit="1" customWidth="1"/>
    <col min="14598" max="14599" width="9.5703125" style="62" bestFit="1" customWidth="1"/>
    <col min="14600" max="14600" width="10.42578125" style="62" bestFit="1" customWidth="1"/>
    <col min="14601" max="14601" width="4.5703125" style="62" customWidth="1"/>
    <col min="14602" max="14602" width="1.85546875" style="62" customWidth="1"/>
    <col min="14603" max="14603" width="7" style="62" bestFit="1" customWidth="1"/>
    <col min="14604" max="14604" width="6.28515625" style="62" customWidth="1"/>
    <col min="14605" max="14605" width="20.42578125" style="62" customWidth="1"/>
    <col min="14606" max="14606" width="6.42578125" style="62" bestFit="1" customWidth="1"/>
    <col min="14607" max="14608" width="8.42578125" style="62"/>
    <col min="14609" max="14609" width="3.28515625" style="62" customWidth="1"/>
    <col min="14610" max="14848" width="8.42578125" style="62"/>
    <col min="14849" max="14849" width="10" style="62" bestFit="1" customWidth="1"/>
    <col min="14850" max="14850" width="44.28515625" style="62" bestFit="1" customWidth="1"/>
    <col min="14851" max="14851" width="10.42578125" style="62" bestFit="1" customWidth="1"/>
    <col min="14852" max="14852" width="10.42578125" style="62" customWidth="1"/>
    <col min="14853" max="14853" width="9.7109375" style="62" bestFit="1" customWidth="1"/>
    <col min="14854" max="14855" width="9.5703125" style="62" bestFit="1" customWidth="1"/>
    <col min="14856" max="14856" width="10.42578125" style="62" bestFit="1" customWidth="1"/>
    <col min="14857" max="14857" width="4.5703125" style="62" customWidth="1"/>
    <col min="14858" max="14858" width="1.85546875" style="62" customWidth="1"/>
    <col min="14859" max="14859" width="7" style="62" bestFit="1" customWidth="1"/>
    <col min="14860" max="14860" width="6.28515625" style="62" customWidth="1"/>
    <col min="14861" max="14861" width="20.42578125" style="62" customWidth="1"/>
    <col min="14862" max="14862" width="6.42578125" style="62" bestFit="1" customWidth="1"/>
    <col min="14863" max="14864" width="8.42578125" style="62"/>
    <col min="14865" max="14865" width="3.28515625" style="62" customWidth="1"/>
    <col min="14866" max="15104" width="8.42578125" style="62"/>
    <col min="15105" max="15105" width="10" style="62" bestFit="1" customWidth="1"/>
    <col min="15106" max="15106" width="44.28515625" style="62" bestFit="1" customWidth="1"/>
    <col min="15107" max="15107" width="10.42578125" style="62" bestFit="1" customWidth="1"/>
    <col min="15108" max="15108" width="10.42578125" style="62" customWidth="1"/>
    <col min="15109" max="15109" width="9.7109375" style="62" bestFit="1" customWidth="1"/>
    <col min="15110" max="15111" width="9.5703125" style="62" bestFit="1" customWidth="1"/>
    <col min="15112" max="15112" width="10.42578125" style="62" bestFit="1" customWidth="1"/>
    <col min="15113" max="15113" width="4.5703125" style="62" customWidth="1"/>
    <col min="15114" max="15114" width="1.85546875" style="62" customWidth="1"/>
    <col min="15115" max="15115" width="7" style="62" bestFit="1" customWidth="1"/>
    <col min="15116" max="15116" width="6.28515625" style="62" customWidth="1"/>
    <col min="15117" max="15117" width="20.42578125" style="62" customWidth="1"/>
    <col min="15118" max="15118" width="6.42578125" style="62" bestFit="1" customWidth="1"/>
    <col min="15119" max="15120" width="8.42578125" style="62"/>
    <col min="15121" max="15121" width="3.28515625" style="62" customWidth="1"/>
    <col min="15122" max="15360" width="8.42578125" style="62"/>
    <col min="15361" max="15361" width="10" style="62" bestFit="1" customWidth="1"/>
    <col min="15362" max="15362" width="44.28515625" style="62" bestFit="1" customWidth="1"/>
    <col min="15363" max="15363" width="10.42578125" style="62" bestFit="1" customWidth="1"/>
    <col min="15364" max="15364" width="10.42578125" style="62" customWidth="1"/>
    <col min="15365" max="15365" width="9.7109375" style="62" bestFit="1" customWidth="1"/>
    <col min="15366" max="15367" width="9.5703125" style="62" bestFit="1" customWidth="1"/>
    <col min="15368" max="15368" width="10.42578125" style="62" bestFit="1" customWidth="1"/>
    <col min="15369" max="15369" width="4.5703125" style="62" customWidth="1"/>
    <col min="15370" max="15370" width="1.85546875" style="62" customWidth="1"/>
    <col min="15371" max="15371" width="7" style="62" bestFit="1" customWidth="1"/>
    <col min="15372" max="15372" width="6.28515625" style="62" customWidth="1"/>
    <col min="15373" max="15373" width="20.42578125" style="62" customWidth="1"/>
    <col min="15374" max="15374" width="6.42578125" style="62" bestFit="1" customWidth="1"/>
    <col min="15375" max="15376" width="8.42578125" style="62"/>
    <col min="15377" max="15377" width="3.28515625" style="62" customWidth="1"/>
    <col min="15378" max="15616" width="8.42578125" style="62"/>
    <col min="15617" max="15617" width="10" style="62" bestFit="1" customWidth="1"/>
    <col min="15618" max="15618" width="44.28515625" style="62" bestFit="1" customWidth="1"/>
    <col min="15619" max="15619" width="10.42578125" style="62" bestFit="1" customWidth="1"/>
    <col min="15620" max="15620" width="10.42578125" style="62" customWidth="1"/>
    <col min="15621" max="15621" width="9.7109375" style="62" bestFit="1" customWidth="1"/>
    <col min="15622" max="15623" width="9.5703125" style="62" bestFit="1" customWidth="1"/>
    <col min="15624" max="15624" width="10.42578125" style="62" bestFit="1" customWidth="1"/>
    <col min="15625" max="15625" width="4.5703125" style="62" customWidth="1"/>
    <col min="15626" max="15626" width="1.85546875" style="62" customWidth="1"/>
    <col min="15627" max="15627" width="7" style="62" bestFit="1" customWidth="1"/>
    <col min="15628" max="15628" width="6.28515625" style="62" customWidth="1"/>
    <col min="15629" max="15629" width="20.42578125" style="62" customWidth="1"/>
    <col min="15630" max="15630" width="6.42578125" style="62" bestFit="1" customWidth="1"/>
    <col min="15631" max="15632" width="8.42578125" style="62"/>
    <col min="15633" max="15633" width="3.28515625" style="62" customWidth="1"/>
    <col min="15634" max="15872" width="8.42578125" style="62"/>
    <col min="15873" max="15873" width="10" style="62" bestFit="1" customWidth="1"/>
    <col min="15874" max="15874" width="44.28515625" style="62" bestFit="1" customWidth="1"/>
    <col min="15875" max="15875" width="10.42578125" style="62" bestFit="1" customWidth="1"/>
    <col min="15876" max="15876" width="10.42578125" style="62" customWidth="1"/>
    <col min="15877" max="15877" width="9.7109375" style="62" bestFit="1" customWidth="1"/>
    <col min="15878" max="15879" width="9.5703125" style="62" bestFit="1" customWidth="1"/>
    <col min="15880" max="15880" width="10.42578125" style="62" bestFit="1" customWidth="1"/>
    <col min="15881" max="15881" width="4.5703125" style="62" customWidth="1"/>
    <col min="15882" max="15882" width="1.85546875" style="62" customWidth="1"/>
    <col min="15883" max="15883" width="7" style="62" bestFit="1" customWidth="1"/>
    <col min="15884" max="15884" width="6.28515625" style="62" customWidth="1"/>
    <col min="15885" max="15885" width="20.42578125" style="62" customWidth="1"/>
    <col min="15886" max="15886" width="6.42578125" style="62" bestFit="1" customWidth="1"/>
    <col min="15887" max="15888" width="8.42578125" style="62"/>
    <col min="15889" max="15889" width="3.28515625" style="62" customWidth="1"/>
    <col min="15890" max="16128" width="8.42578125" style="62"/>
    <col min="16129" max="16129" width="10" style="62" bestFit="1" customWidth="1"/>
    <col min="16130" max="16130" width="44.28515625" style="62" bestFit="1" customWidth="1"/>
    <col min="16131" max="16131" width="10.42578125" style="62" bestFit="1" customWidth="1"/>
    <col min="16132" max="16132" width="10.42578125" style="62" customWidth="1"/>
    <col min="16133" max="16133" width="9.7109375" style="62" bestFit="1" customWidth="1"/>
    <col min="16134" max="16135" width="9.5703125" style="62" bestFit="1" customWidth="1"/>
    <col min="16136" max="16136" width="10.42578125" style="62" bestFit="1" customWidth="1"/>
    <col min="16137" max="16137" width="4.5703125" style="62" customWidth="1"/>
    <col min="16138" max="16138" width="1.85546875" style="62" customWidth="1"/>
    <col min="16139" max="16139" width="7" style="62" bestFit="1" customWidth="1"/>
    <col min="16140" max="16140" width="6.28515625" style="62" customWidth="1"/>
    <col min="16141" max="16141" width="20.42578125" style="62" customWidth="1"/>
    <col min="16142" max="16142" width="6.42578125" style="62" bestFit="1" customWidth="1"/>
    <col min="16143" max="16144" width="8.42578125" style="62"/>
    <col min="16145" max="16145" width="3.28515625" style="62" customWidth="1"/>
    <col min="16146" max="16384" width="8.42578125" style="62"/>
  </cols>
  <sheetData>
    <row r="1" spans="1:10" ht="27.75" customHeight="1" x14ac:dyDescent="0.25">
      <c r="A1" s="57"/>
      <c r="B1" s="57"/>
      <c r="C1" s="57"/>
      <c r="D1" s="57"/>
      <c r="E1" s="58" t="s">
        <v>74</v>
      </c>
      <c r="F1" s="59" t="s">
        <v>75</v>
      </c>
      <c r="G1" s="59" t="s">
        <v>76</v>
      </c>
      <c r="H1" s="59" t="s">
        <v>77</v>
      </c>
      <c r="I1" s="60"/>
    </row>
    <row r="2" spans="1:10" ht="30.75" customHeight="1" x14ac:dyDescent="0.25">
      <c r="A2" s="57"/>
      <c r="B2" s="57"/>
      <c r="C2" s="57"/>
      <c r="D2" s="57"/>
      <c r="E2" s="63">
        <f>IFERROR(O63,"")</f>
        <v>24538.03724761905</v>
      </c>
      <c r="F2" s="63">
        <f>IFERROR(H54,"")</f>
        <v>18191.754000000001</v>
      </c>
      <c r="G2" s="63">
        <f>IFERROR(H55,"")</f>
        <v>120.21409523809524</v>
      </c>
      <c r="H2" s="63">
        <f>IFERROR(H57,"")</f>
        <v>732</v>
      </c>
      <c r="I2" s="64"/>
    </row>
    <row r="3" spans="1:10" ht="15" customHeight="1" x14ac:dyDescent="0.25">
      <c r="A3" s="57"/>
      <c r="B3" s="57"/>
      <c r="C3" s="57"/>
      <c r="D3" s="57"/>
      <c r="E3" s="57"/>
      <c r="F3" s="65"/>
      <c r="G3" s="65"/>
      <c r="H3" s="65"/>
      <c r="I3" s="65"/>
    </row>
    <row r="4" spans="1:10" ht="24.75" customHeight="1" thickBot="1" x14ac:dyDescent="0.3">
      <c r="A4" s="461"/>
      <c r="B4" s="461"/>
      <c r="C4" s="461"/>
      <c r="D4" s="461"/>
      <c r="E4" s="461"/>
      <c r="F4" s="461"/>
      <c r="G4" s="461"/>
      <c r="H4" s="461"/>
      <c r="I4" s="66"/>
    </row>
    <row r="5" spans="1:10" ht="19.5" customHeight="1" thickBot="1" x14ac:dyDescent="0.3">
      <c r="A5" s="462" t="s">
        <v>78</v>
      </c>
      <c r="B5" s="463"/>
      <c r="C5" s="463"/>
      <c r="D5" s="463"/>
      <c r="E5" s="463"/>
      <c r="F5" s="463"/>
      <c r="G5" s="463"/>
      <c r="H5" s="464"/>
      <c r="I5" s="67"/>
    </row>
    <row r="6" spans="1:10" ht="19.5" thickBot="1" x14ac:dyDescent="0.3">
      <c r="A6" s="67"/>
      <c r="B6" s="67"/>
      <c r="C6" s="67"/>
      <c r="D6" s="67"/>
      <c r="E6" s="67"/>
      <c r="F6" s="465" t="s">
        <v>79</v>
      </c>
      <c r="G6" s="465"/>
      <c r="H6" s="68">
        <f ca="1">TODAY()</f>
        <v>45887</v>
      </c>
      <c r="I6" s="68"/>
    </row>
    <row r="7" spans="1:10" ht="26.25" thickBot="1" x14ac:dyDescent="0.3">
      <c r="A7" s="69" t="s">
        <v>80</v>
      </c>
      <c r="B7" s="70" t="s">
        <v>81</v>
      </c>
      <c r="C7" s="70" t="s">
        <v>80</v>
      </c>
      <c r="D7" s="71" t="s">
        <v>82</v>
      </c>
      <c r="E7" s="71" t="s">
        <v>83</v>
      </c>
      <c r="F7" s="71" t="s">
        <v>84</v>
      </c>
      <c r="G7" s="71" t="s">
        <v>85</v>
      </c>
      <c r="H7" s="72" t="s">
        <v>86</v>
      </c>
      <c r="I7" s="73"/>
    </row>
    <row r="8" spans="1:10" ht="13.5" x14ac:dyDescent="0.25">
      <c r="A8" s="74">
        <v>1300</v>
      </c>
      <c r="B8" s="75" t="str">
        <f>IFERROR(VLOOKUP(H8,'[1]Consolidado MP Planta'!$A$2:$M$823,3,0),"")</f>
        <v>HUEVO ENTERO PASTERI INNOVO (CAJA:10 K)</v>
      </c>
      <c r="C8" s="76">
        <f>+A8</f>
        <v>1300</v>
      </c>
      <c r="D8" s="77" t="str">
        <f>IFERROR(VLOOKUP(H8,'[1]Consolidado MP Planta'!$A$2:$M$823,13,0),"")</f>
        <v>Gramos</v>
      </c>
      <c r="E8" s="77">
        <v>2.27</v>
      </c>
      <c r="F8" s="77">
        <f>IFERROR(C8*E8,"")</f>
        <v>2951</v>
      </c>
      <c r="G8" s="78">
        <f t="shared" ref="G8:G15" si="0">IFERROR(F8/$F$67,"")</f>
        <v>0.15398822316298058</v>
      </c>
      <c r="H8" s="79" t="s">
        <v>128</v>
      </c>
      <c r="I8" s="79"/>
      <c r="J8" s="80"/>
    </row>
    <row r="9" spans="1:10" ht="13.5" x14ac:dyDescent="0.25">
      <c r="A9" s="74">
        <v>1170</v>
      </c>
      <c r="B9" s="75" t="str">
        <f>IFERROR(VLOOKUP(H9,'[1]Consolidado MP Planta'!$A$2:$M$823,3,0),"")</f>
        <v>ACEITE CAPULLO RBD (UND:17  L)</v>
      </c>
      <c r="C9" s="76">
        <f t="shared" ref="C9:C15" si="1">+A9</f>
        <v>1170</v>
      </c>
      <c r="D9" s="77" t="str">
        <f>IFERROR(VLOOKUP(H9,'[1]Consolidado MP Planta'!$A$2:$M$823,13,0),"")</f>
        <v>Mililitros</v>
      </c>
      <c r="E9" s="77">
        <v>1.52</v>
      </c>
      <c r="F9" s="77">
        <f t="shared" ref="F9:F15" si="2">IFERROR(C9*E9,"")</f>
        <v>1778.4</v>
      </c>
      <c r="G9" s="78">
        <f t="shared" si="0"/>
        <v>9.2799951227734559E-2</v>
      </c>
      <c r="H9" s="79" t="s">
        <v>129</v>
      </c>
      <c r="I9" s="79"/>
      <c r="J9" s="80"/>
    </row>
    <row r="10" spans="1:10" ht="13.5" x14ac:dyDescent="0.25">
      <c r="A10" s="74">
        <v>65</v>
      </c>
      <c r="B10" s="75" t="str">
        <f>IFERROR(VLOOKUP(H10,'[1]Consolidado MP Planta'!$A$2:$M$823,3,0),"")</f>
        <v>VAINILLA OSCURA (UND: 3.78 L)</v>
      </c>
      <c r="C10" s="76">
        <f t="shared" si="1"/>
        <v>65</v>
      </c>
      <c r="D10" s="77" t="str">
        <f>IFERROR(VLOOKUP(H10,'[1]Consolidado MP Planta'!$A$2:$M$823,13,0),"")</f>
        <v>Mililitros</v>
      </c>
      <c r="E10" s="77">
        <v>1.23</v>
      </c>
      <c r="F10" s="77">
        <f t="shared" si="2"/>
        <v>79.95</v>
      </c>
      <c r="G10" s="78">
        <f t="shared" si="0"/>
        <v>4.171927631948593E-3</v>
      </c>
      <c r="H10" s="79" t="s">
        <v>130</v>
      </c>
      <c r="I10" s="79"/>
      <c r="J10" s="80"/>
    </row>
    <row r="11" spans="1:10" ht="13.5" x14ac:dyDescent="0.25">
      <c r="A11" s="74">
        <v>2900</v>
      </c>
      <c r="B11" s="75" t="str">
        <f>IFERROR(VLOOKUP(H11,'[1]Consolidado MP Planta'!$A$2:$M$823,3,0),"")</f>
        <v>ZANAHORIA ENTERA KILO</v>
      </c>
      <c r="C11" s="76">
        <f t="shared" si="1"/>
        <v>2900</v>
      </c>
      <c r="D11" s="77" t="str">
        <f>IFERROR(VLOOKUP(H11,'[1]Consolidado MP Planta'!$A$2:$M$823,13,0),"")</f>
        <v>Gramos</v>
      </c>
      <c r="E11" s="77">
        <v>0.62</v>
      </c>
      <c r="F11" s="77">
        <f t="shared" si="2"/>
        <v>1798</v>
      </c>
      <c r="G11" s="78">
        <f t="shared" si="0"/>
        <v>9.3822712723496821E-2</v>
      </c>
      <c r="H11" s="79" t="s">
        <v>131</v>
      </c>
      <c r="I11" s="79"/>
      <c r="J11" s="80"/>
    </row>
    <row r="12" spans="1:10" ht="13.5" hidden="1" x14ac:dyDescent="0.25">
      <c r="A12" s="81">
        <v>0</v>
      </c>
      <c r="B12" s="62" t="str">
        <f>IFERROR(VLOOKUP(H12,'[1]Consolidado MP Planta'!$A$2:$M$823,3,0),"")</f>
        <v/>
      </c>
      <c r="C12" s="76">
        <f t="shared" si="1"/>
        <v>0</v>
      </c>
      <c r="D12" s="77" t="str">
        <f>IFERROR(VLOOKUP(H12,'[1]Consolidado MP Planta'!$A$2:$M$823,13,0),"")</f>
        <v/>
      </c>
      <c r="E12" s="77">
        <v>0</v>
      </c>
      <c r="F12" s="77">
        <f t="shared" si="2"/>
        <v>0</v>
      </c>
      <c r="G12" s="78">
        <f t="shared" si="0"/>
        <v>0</v>
      </c>
      <c r="H12" s="79"/>
      <c r="I12" s="79"/>
      <c r="J12" s="80"/>
    </row>
    <row r="13" spans="1:10" ht="13.5" hidden="1" x14ac:dyDescent="0.25">
      <c r="A13" s="74">
        <v>0</v>
      </c>
      <c r="B13" s="75" t="str">
        <f>IFERROR(VLOOKUP(H13,'[1]Consolidado MP Planta'!$A$2:$M$823,3,0),"")</f>
        <v>YOGURT BATIDO NATURAL (UND:1 K)</v>
      </c>
      <c r="C13" s="76">
        <f t="shared" si="1"/>
        <v>0</v>
      </c>
      <c r="D13" s="77">
        <f>IFERROR(VLOOKUP(H13,'[1]Consolidado MP Planta'!$A$2:$M$823,13,0),"")</f>
        <v>0</v>
      </c>
      <c r="E13" s="77">
        <v>1.93</v>
      </c>
      <c r="F13" s="77">
        <f t="shared" si="2"/>
        <v>0</v>
      </c>
      <c r="G13" s="78">
        <f t="shared" si="0"/>
        <v>0</v>
      </c>
      <c r="H13" s="79" t="s">
        <v>132</v>
      </c>
      <c r="I13" s="79"/>
      <c r="J13" s="80"/>
    </row>
    <row r="14" spans="1:10" ht="13.5" hidden="1" x14ac:dyDescent="0.25">
      <c r="A14" s="81"/>
      <c r="B14" s="62" t="str">
        <f>IFERROR(VLOOKUP(H14,'[1]Consolidado MP Planta'!$A$2:$M$823,3,0),"")</f>
        <v/>
      </c>
      <c r="C14" s="76">
        <f t="shared" si="1"/>
        <v>0</v>
      </c>
      <c r="D14" s="77" t="str">
        <f>IFERROR(VLOOKUP(H14,'[1]Consolidado MP Planta'!$A$2:$M$823,13,0),"")</f>
        <v/>
      </c>
      <c r="E14" s="77" t="str">
        <f>IFERROR(VLOOKUP(H14,'[1]Consolidado MP Planta'!$A$2:$M$823,12,0),"")</f>
        <v/>
      </c>
      <c r="F14" s="77" t="str">
        <f t="shared" si="2"/>
        <v/>
      </c>
      <c r="G14" s="78" t="str">
        <f t="shared" si="0"/>
        <v/>
      </c>
      <c r="H14" s="79"/>
      <c r="I14" s="79"/>
      <c r="J14" s="80"/>
    </row>
    <row r="15" spans="1:10" ht="13.5" hidden="1" x14ac:dyDescent="0.25">
      <c r="A15" s="81"/>
      <c r="B15" s="62" t="str">
        <f>IFERROR(VLOOKUP(H15,'[1]Consolidado MP Planta'!$A$2:$M$823,3,0),"")</f>
        <v/>
      </c>
      <c r="C15" s="76">
        <f t="shared" si="1"/>
        <v>0</v>
      </c>
      <c r="D15" s="77" t="str">
        <f>IFERROR(VLOOKUP(H15,'[1]Consolidado MP Planta'!$A$2:$M$823,13,0),"")</f>
        <v/>
      </c>
      <c r="E15" s="77" t="str">
        <f>IFERROR(VLOOKUP(H15,'[1]Consolidado MP Planta'!$A$2:$M$823,12,0),"")</f>
        <v/>
      </c>
      <c r="F15" s="77" t="str">
        <f t="shared" si="2"/>
        <v/>
      </c>
      <c r="G15" s="78" t="str">
        <f t="shared" si="0"/>
        <v/>
      </c>
      <c r="H15" s="79"/>
      <c r="I15" s="79"/>
      <c r="J15" s="80"/>
    </row>
    <row r="16" spans="1:10" ht="14.25" thickBot="1" x14ac:dyDescent="0.3">
      <c r="A16" s="81"/>
      <c r="B16" s="62" t="str">
        <f>IFERROR(VLOOKUP(H16,'[2]ARTICULOS MP PLANTA'!$A$2:$G$589,2,0),"")</f>
        <v/>
      </c>
      <c r="C16" s="76"/>
      <c r="D16" s="77"/>
      <c r="E16" s="77"/>
      <c r="F16" s="77"/>
      <c r="G16" s="78"/>
      <c r="H16" s="79"/>
      <c r="I16" s="79"/>
      <c r="J16" s="80"/>
    </row>
    <row r="17" spans="1:12" ht="26.25" thickBot="1" x14ac:dyDescent="0.3">
      <c r="A17" s="69" t="s">
        <v>80</v>
      </c>
      <c r="B17" s="70" t="s">
        <v>93</v>
      </c>
      <c r="C17" s="70" t="s">
        <v>80</v>
      </c>
      <c r="D17" s="71" t="s">
        <v>82</v>
      </c>
      <c r="E17" s="71" t="s">
        <v>83</v>
      </c>
      <c r="F17" s="71" t="s">
        <v>84</v>
      </c>
      <c r="G17" s="71" t="s">
        <v>85</v>
      </c>
      <c r="H17" s="72" t="s">
        <v>86</v>
      </c>
      <c r="I17" s="73"/>
      <c r="J17" s="80"/>
    </row>
    <row r="18" spans="1:12" ht="13.5" x14ac:dyDescent="0.25">
      <c r="A18" s="74">
        <v>5400</v>
      </c>
      <c r="B18" s="75" t="s">
        <v>204</v>
      </c>
      <c r="C18" s="76">
        <f>+A18</f>
        <v>5400</v>
      </c>
      <c r="D18" s="76" t="s">
        <v>133</v>
      </c>
      <c r="E18" s="77">
        <f>+'Costo Premezcla '!E73</f>
        <v>2.1452599999999999</v>
      </c>
      <c r="F18" s="77">
        <f>IFERROR(E18*C18,"")</f>
        <v>11584.404</v>
      </c>
      <c r="G18" s="78">
        <f t="shared" ref="G18:G25" si="3">IFERROR(F18/$F$67,"")</f>
        <v>0.60449399808950355</v>
      </c>
      <c r="H18" s="79" t="s">
        <v>134</v>
      </c>
      <c r="I18" s="79"/>
      <c r="J18" s="80"/>
    </row>
    <row r="19" spans="1:12" ht="13.5" hidden="1" x14ac:dyDescent="0.25">
      <c r="A19" s="81"/>
      <c r="B19" s="62" t="str">
        <f>IFERROR(VLOOKUP(H19,[1]SEMIELABORADOS!$A$2:$M$6000,2,0),"")</f>
        <v/>
      </c>
      <c r="C19" s="76">
        <f t="shared" ref="C19:C25" si="4">+A19</f>
        <v>0</v>
      </c>
      <c r="D19" s="76" t="str">
        <f>IFERROR(VLOOKUP(H19,[1]SEMIELABORADOS!$A$2:$M$6000,6,0),"")</f>
        <v/>
      </c>
      <c r="E19" s="77" t="str">
        <f>IFERROR(VLOOKUP(H19,[1]SEMIELABORADOS!$A$2:$H$65536,8,0),"")</f>
        <v/>
      </c>
      <c r="F19" s="77" t="str">
        <f t="shared" ref="F19:F25" si="5">IFERROR(E19*C19,"")</f>
        <v/>
      </c>
      <c r="G19" s="78" t="str">
        <f t="shared" si="3"/>
        <v/>
      </c>
      <c r="H19" s="79"/>
      <c r="I19" s="79"/>
      <c r="J19" s="80"/>
    </row>
    <row r="20" spans="1:12" ht="13.5" hidden="1" x14ac:dyDescent="0.25">
      <c r="A20" s="81"/>
      <c r="B20" s="62" t="str">
        <f>IFERROR(VLOOKUP(H20,[1]SEMIELABORADOS!$A$2:$M$6000,2,0),"")</f>
        <v/>
      </c>
      <c r="C20" s="76">
        <f>+A20</f>
        <v>0</v>
      </c>
      <c r="D20" s="76" t="str">
        <f>IFERROR(VLOOKUP(H20,[1]SEMIELABORADOS!$A$2:$M$6000,6,0),"")</f>
        <v/>
      </c>
      <c r="E20" s="77" t="str">
        <f>IFERROR(VLOOKUP(H20,[1]SEMIELABORADOS!$A$2:$H$65536,8,0),"")</f>
        <v/>
      </c>
      <c r="F20" s="77" t="str">
        <f>IFERROR(E20*C20,"")</f>
        <v/>
      </c>
      <c r="G20" s="78" t="str">
        <f t="shared" si="3"/>
        <v/>
      </c>
      <c r="H20" s="79"/>
      <c r="I20" s="79"/>
      <c r="J20" s="80"/>
    </row>
    <row r="21" spans="1:12" ht="13.5" hidden="1" x14ac:dyDescent="0.25">
      <c r="A21" s="81"/>
      <c r="B21" s="62" t="str">
        <f>IFERROR(VLOOKUP(H21,[1]SEMIELABORADOS!$A$2:$M$6000,2,0),"")</f>
        <v/>
      </c>
      <c r="C21" s="76">
        <f>+A21</f>
        <v>0</v>
      </c>
      <c r="D21" s="76" t="str">
        <f>IFERROR(VLOOKUP(H21,[1]SEMIELABORADOS!$A$2:$M$6000,6,0),"")</f>
        <v/>
      </c>
      <c r="E21" s="77" t="str">
        <f>IFERROR(VLOOKUP(H21,[1]SEMIELABORADOS!$A$2:$H$65536,8,0),"")</f>
        <v/>
      </c>
      <c r="F21" s="77" t="str">
        <f>IFERROR(E21*C21,"")</f>
        <v/>
      </c>
      <c r="G21" s="78" t="str">
        <f t="shared" si="3"/>
        <v/>
      </c>
      <c r="H21" s="79"/>
      <c r="I21" s="79"/>
      <c r="J21" s="80"/>
    </row>
    <row r="22" spans="1:12" ht="13.5" hidden="1" x14ac:dyDescent="0.25">
      <c r="A22" s="81"/>
      <c r="B22" s="62" t="str">
        <f>IFERROR(VLOOKUP(H22,[1]SEMIELABORADOS!$A$2:$M$6000,2,0),"")</f>
        <v/>
      </c>
      <c r="C22" s="76">
        <f>+A22</f>
        <v>0</v>
      </c>
      <c r="D22" s="76" t="str">
        <f>IFERROR(VLOOKUP(H22,[1]SEMIELABORADOS!$A$2:$M$6000,6,0),"")</f>
        <v/>
      </c>
      <c r="E22" s="77" t="str">
        <f>IFERROR(VLOOKUP(H22,[1]SEMIELABORADOS!$A$2:$H$65536,8,0),"")</f>
        <v/>
      </c>
      <c r="F22" s="77" t="str">
        <f>IFERROR(E22*C22,"")</f>
        <v/>
      </c>
      <c r="G22" s="78" t="str">
        <f t="shared" si="3"/>
        <v/>
      </c>
      <c r="H22" s="79"/>
      <c r="I22" s="79"/>
      <c r="J22" s="80"/>
    </row>
    <row r="23" spans="1:12" ht="13.5" hidden="1" x14ac:dyDescent="0.25">
      <c r="A23" s="81"/>
      <c r="B23" s="62" t="str">
        <f>IFERROR(VLOOKUP(H23,[1]SEMIELABORADOS!$A$2:$M$6000,2,0),"")</f>
        <v/>
      </c>
      <c r="C23" s="76">
        <f t="shared" si="4"/>
        <v>0</v>
      </c>
      <c r="D23" s="76" t="str">
        <f>IFERROR(VLOOKUP(H23,[1]SEMIELABORADOS!$A$2:$M$6000,6,0),"")</f>
        <v/>
      </c>
      <c r="E23" s="77" t="str">
        <f>IFERROR(VLOOKUP(H23,[1]SEMIELABORADOS!$A$2:$H$65536,8,0),"")</f>
        <v/>
      </c>
      <c r="F23" s="77" t="str">
        <f t="shared" si="5"/>
        <v/>
      </c>
      <c r="G23" s="78" t="str">
        <f t="shared" si="3"/>
        <v/>
      </c>
      <c r="H23" s="79"/>
      <c r="I23" s="79"/>
      <c r="J23" s="80"/>
    </row>
    <row r="24" spans="1:12" ht="13.5" hidden="1" x14ac:dyDescent="0.25">
      <c r="A24" s="81"/>
      <c r="B24" s="62" t="str">
        <f>IFERROR(VLOOKUP(H24,[1]SEMIELABORADOS!$A$2:$M$6000,2,0),"")</f>
        <v/>
      </c>
      <c r="C24" s="76">
        <f t="shared" si="4"/>
        <v>0</v>
      </c>
      <c r="D24" s="76" t="str">
        <f>IFERROR(VLOOKUP(H24,[1]SEMIELABORADOS!$A$2:$M$6000,6,0),"")</f>
        <v/>
      </c>
      <c r="E24" s="77" t="str">
        <f>IFERROR(VLOOKUP(H24,[1]SEMIELABORADOS!$A$2:$H$65536,8,0),"")</f>
        <v/>
      </c>
      <c r="F24" s="77" t="str">
        <f t="shared" si="5"/>
        <v/>
      </c>
      <c r="G24" s="78" t="str">
        <f t="shared" si="3"/>
        <v/>
      </c>
      <c r="H24" s="79"/>
      <c r="I24" s="79"/>
      <c r="J24" s="80"/>
    </row>
    <row r="25" spans="1:12" ht="13.5" hidden="1" x14ac:dyDescent="0.25">
      <c r="A25" s="81"/>
      <c r="B25" s="62" t="str">
        <f>IFERROR(VLOOKUP(H25,[1]SEMIELABORADOS!$A$2:$M$6000,2,0),"")</f>
        <v/>
      </c>
      <c r="C25" s="76">
        <f t="shared" si="4"/>
        <v>0</v>
      </c>
      <c r="D25" s="76" t="str">
        <f>IFERROR(VLOOKUP(H25,[1]SEMIELABORADOS!$A$2:$M$6000,6,0),"")</f>
        <v/>
      </c>
      <c r="E25" s="77" t="str">
        <f>IFERROR(VLOOKUP(H25,[1]SEMIELABORADOS!$A$2:$H$65536,8,0),"")</f>
        <v/>
      </c>
      <c r="F25" s="77" t="str">
        <f t="shared" si="5"/>
        <v/>
      </c>
      <c r="G25" s="78" t="str">
        <f t="shared" si="3"/>
        <v/>
      </c>
      <c r="H25" s="79"/>
      <c r="I25" s="79"/>
      <c r="J25" s="80"/>
    </row>
    <row r="26" spans="1:12" ht="14.25" thickBot="1" x14ac:dyDescent="0.3">
      <c r="A26" s="81"/>
      <c r="C26" s="76"/>
      <c r="D26" s="76"/>
      <c r="E26" s="77"/>
      <c r="F26" s="77"/>
      <c r="G26" s="78"/>
      <c r="H26" s="79"/>
      <c r="I26" s="79"/>
      <c r="J26" s="80"/>
    </row>
    <row r="27" spans="1:12" ht="26.25" hidden="1" thickBot="1" x14ac:dyDescent="0.3">
      <c r="A27" s="69" t="s">
        <v>80</v>
      </c>
      <c r="B27" s="70" t="s">
        <v>45</v>
      </c>
      <c r="C27" s="70" t="s">
        <v>80</v>
      </c>
      <c r="D27" s="71" t="s">
        <v>82</v>
      </c>
      <c r="E27" s="71" t="s">
        <v>83</v>
      </c>
      <c r="F27" s="71" t="s">
        <v>84</v>
      </c>
      <c r="G27" s="71" t="s">
        <v>85</v>
      </c>
      <c r="H27" s="72" t="s">
        <v>86</v>
      </c>
      <c r="I27" s="73"/>
    </row>
    <row r="28" spans="1:12" ht="14.25" hidden="1" thickBot="1" x14ac:dyDescent="0.3">
      <c r="A28" s="81">
        <v>0</v>
      </c>
      <c r="B28" s="82" t="str">
        <f>IFERROR(VLOOKUP(H28,'[1]Consolidado MP Planta'!$A$2:$M$823,3,0),"")</f>
        <v/>
      </c>
      <c r="C28" s="76">
        <f t="shared" ref="C28:C33" si="6">+A28</f>
        <v>0</v>
      </c>
      <c r="D28" s="77" t="str">
        <f>IFERROR(VLOOKUP(H28,'[1]Consolidado MP Planta'!$A$2:$M$823,13,0),"")</f>
        <v/>
      </c>
      <c r="E28" s="77" t="str">
        <f>IFERROR(VLOOKUP(H28,'[1]Consolidado MP Planta'!$A$2:$M$823,12,0),"")</f>
        <v/>
      </c>
      <c r="F28" s="77" t="str">
        <f t="shared" ref="F28:F33" si="7">IFERROR(C28*E28,"")</f>
        <v/>
      </c>
      <c r="G28" s="78" t="str">
        <f t="shared" ref="G28:G33" si="8">IFERROR(F28/$F$67,"")</f>
        <v/>
      </c>
      <c r="H28" s="83"/>
      <c r="I28" s="83"/>
      <c r="J28" s="80"/>
      <c r="K28" s="455"/>
      <c r="L28" s="455"/>
    </row>
    <row r="29" spans="1:12" ht="14.25" hidden="1" thickBot="1" x14ac:dyDescent="0.3">
      <c r="A29" s="81"/>
      <c r="B29" s="82" t="str">
        <f>IFERROR(VLOOKUP(H29,'[1]Consolidado MP Planta'!$A$2:$M$823,3,0),"")</f>
        <v/>
      </c>
      <c r="C29" s="76">
        <f t="shared" si="6"/>
        <v>0</v>
      </c>
      <c r="D29" s="77" t="str">
        <f>IFERROR(VLOOKUP(H29,'[1]Consolidado MP Planta'!$A$2:$M$823,13,0),"")</f>
        <v/>
      </c>
      <c r="E29" s="77" t="str">
        <f>IFERROR(VLOOKUP(H29,'[1]Consolidado MP Planta'!$A$2:$M$823,12,0),"")</f>
        <v/>
      </c>
      <c r="F29" s="77" t="str">
        <f t="shared" si="7"/>
        <v/>
      </c>
      <c r="G29" s="78" t="str">
        <f t="shared" si="8"/>
        <v/>
      </c>
      <c r="H29" s="83"/>
      <c r="I29" s="83"/>
      <c r="J29" s="80"/>
      <c r="K29" s="455"/>
      <c r="L29" s="455"/>
    </row>
    <row r="30" spans="1:12" ht="14.25" hidden="1" thickBot="1" x14ac:dyDescent="0.3">
      <c r="A30" s="81"/>
      <c r="B30" s="82" t="str">
        <f>IFERROR(VLOOKUP(H30,'[1]Consolidado MP Planta'!$A$2:$M$823,3,0),"")</f>
        <v/>
      </c>
      <c r="C30" s="76">
        <f t="shared" si="6"/>
        <v>0</v>
      </c>
      <c r="D30" s="77" t="str">
        <f>IFERROR(VLOOKUP(H30,'[1]Consolidado MP Planta'!$A$2:$M$823,13,0),"")</f>
        <v/>
      </c>
      <c r="E30" s="77" t="str">
        <f>IFERROR(VLOOKUP(H30,'[1]Consolidado MP Planta'!$A$2:$M$823,12,0),"")</f>
        <v/>
      </c>
      <c r="F30" s="77" t="str">
        <f t="shared" si="7"/>
        <v/>
      </c>
      <c r="G30" s="78" t="str">
        <f t="shared" si="8"/>
        <v/>
      </c>
      <c r="H30" s="83"/>
      <c r="I30" s="83"/>
      <c r="J30" s="80"/>
      <c r="K30" s="455"/>
      <c r="L30" s="455"/>
    </row>
    <row r="31" spans="1:12" ht="14.25" hidden="1" thickBot="1" x14ac:dyDescent="0.3">
      <c r="A31" s="81"/>
      <c r="B31" s="82" t="str">
        <f>IFERROR(VLOOKUP(H31,'[1]Consolidado MP Planta'!$A$2:$M$823,3,0),"")</f>
        <v/>
      </c>
      <c r="C31" s="76">
        <f t="shared" si="6"/>
        <v>0</v>
      </c>
      <c r="D31" s="77" t="str">
        <f>IFERROR(VLOOKUP(H31,'[1]Consolidado MP Planta'!$A$2:$M$823,13,0),"")</f>
        <v/>
      </c>
      <c r="E31" s="77" t="str">
        <f>IFERROR(VLOOKUP(H31,'[1]Consolidado MP Planta'!$A$2:$M$823,12,0),"")</f>
        <v/>
      </c>
      <c r="F31" s="77" t="str">
        <f t="shared" si="7"/>
        <v/>
      </c>
      <c r="G31" s="78" t="str">
        <f t="shared" si="8"/>
        <v/>
      </c>
      <c r="H31" s="83"/>
      <c r="I31" s="83"/>
      <c r="J31" s="80"/>
      <c r="K31" s="455"/>
      <c r="L31" s="455"/>
    </row>
    <row r="32" spans="1:12" ht="14.25" hidden="1" thickBot="1" x14ac:dyDescent="0.3">
      <c r="A32" s="81"/>
      <c r="B32" s="82" t="str">
        <f>IFERROR(VLOOKUP(H32,'[1]Consolidado MP Planta'!$A$2:$M$823,3,0),"")</f>
        <v/>
      </c>
      <c r="C32" s="76">
        <f t="shared" si="6"/>
        <v>0</v>
      </c>
      <c r="D32" s="77" t="str">
        <f>IFERROR(VLOOKUP(H32,'[1]Consolidado MP Planta'!$A$2:$M$823,13,0),"")</f>
        <v/>
      </c>
      <c r="E32" s="77" t="str">
        <f>IFERROR(VLOOKUP(H32,'[1]Consolidado MP Planta'!$A$2:$M$823,12,0),"")</f>
        <v/>
      </c>
      <c r="F32" s="77" t="str">
        <f t="shared" si="7"/>
        <v/>
      </c>
      <c r="G32" s="78" t="str">
        <f t="shared" si="8"/>
        <v/>
      </c>
      <c r="H32" s="83"/>
      <c r="I32" s="83"/>
      <c r="J32" s="80"/>
      <c r="K32" s="84"/>
      <c r="L32" s="85"/>
    </row>
    <row r="33" spans="1:13" ht="14.25" hidden="1" thickBot="1" x14ac:dyDescent="0.3">
      <c r="A33" s="81"/>
      <c r="B33" s="82" t="str">
        <f>IFERROR(VLOOKUP(H33,'[1]Consolidado MP Planta'!$A$2:$M$823,3,0),"")</f>
        <v/>
      </c>
      <c r="C33" s="76">
        <f t="shared" si="6"/>
        <v>0</v>
      </c>
      <c r="D33" s="77" t="str">
        <f>IFERROR(VLOOKUP(H33,'[1]Consolidado MP Planta'!$A$2:$M$823,13,0),"")</f>
        <v/>
      </c>
      <c r="E33" s="77" t="str">
        <f>IFERROR(VLOOKUP(H33,'[1]Consolidado MP Planta'!$A$2:$M$823,12,0),"")</f>
        <v/>
      </c>
      <c r="F33" s="77" t="str">
        <f t="shared" si="7"/>
        <v/>
      </c>
      <c r="G33" s="78" t="str">
        <f t="shared" si="8"/>
        <v/>
      </c>
      <c r="H33" s="83"/>
      <c r="I33" s="83"/>
      <c r="J33" s="80"/>
    </row>
    <row r="34" spans="1:13" ht="14.25" hidden="1" thickBot="1" x14ac:dyDescent="0.3">
      <c r="A34" s="81"/>
      <c r="B34" s="82"/>
      <c r="C34" s="76"/>
      <c r="D34" s="77"/>
      <c r="E34" s="77"/>
      <c r="F34" s="77"/>
      <c r="G34" s="78"/>
      <c r="H34" s="83"/>
      <c r="I34" s="83"/>
      <c r="J34" s="80"/>
    </row>
    <row r="35" spans="1:13" ht="26.25" thickBot="1" x14ac:dyDescent="0.25">
      <c r="A35" s="69" t="s">
        <v>80</v>
      </c>
      <c r="B35" s="70" t="s">
        <v>94</v>
      </c>
      <c r="C35" s="70" t="s">
        <v>80</v>
      </c>
      <c r="D35" s="71" t="s">
        <v>82</v>
      </c>
      <c r="E35" s="71" t="s">
        <v>83</v>
      </c>
      <c r="F35" s="71" t="s">
        <v>84</v>
      </c>
      <c r="G35" s="71" t="s">
        <v>85</v>
      </c>
      <c r="H35" s="72" t="s">
        <v>86</v>
      </c>
      <c r="I35" s="83"/>
      <c r="J35" s="80"/>
    </row>
    <row r="36" spans="1:13" ht="13.5" x14ac:dyDescent="0.25">
      <c r="A36" s="81">
        <f>+A18</f>
        <v>5400</v>
      </c>
      <c r="B36" s="82" t="s">
        <v>204</v>
      </c>
      <c r="C36" s="76">
        <f>+A36</f>
        <v>5400</v>
      </c>
      <c r="D36" s="77" t="s">
        <v>133</v>
      </c>
      <c r="E36" s="77">
        <f>+'Costo Premezcla '!E80</f>
        <v>2.2261869488536156E-2</v>
      </c>
      <c r="F36" s="77">
        <f>IFERROR(E36*C36,"")</f>
        <v>120.21409523809524</v>
      </c>
      <c r="G36" s="78">
        <f t="shared" ref="G36:G42" si="9">IFERROR(F36/$F$67,"")</f>
        <v>6.2729769315010547E-3</v>
      </c>
      <c r="H36" s="83"/>
      <c r="I36" s="83"/>
      <c r="J36" s="80"/>
    </row>
    <row r="37" spans="1:13" ht="13.5" hidden="1" x14ac:dyDescent="0.25">
      <c r="A37" s="81">
        <f t="shared" ref="A37:A42" si="10">+A19</f>
        <v>0</v>
      </c>
      <c r="B37" s="82" t="str">
        <f>IFERROR(VLOOKUP(H37,[1]SEMIELABORADOS!$A$2:$M$6000,2,0),"")</f>
        <v/>
      </c>
      <c r="C37" s="76">
        <f t="shared" ref="C37:C42" si="11">+A37</f>
        <v>0</v>
      </c>
      <c r="D37" s="77" t="str">
        <f>IFERROR(VLOOKUP(H37,[1]SEMIELABORADOS!$A$2:$M$6000,6,0),"")</f>
        <v/>
      </c>
      <c r="E37" s="77" t="str">
        <f>IFERROR(VLOOKUP(H37,[1]SEMIELABORADOS!$A$2:$M$65536,10,0),"")</f>
        <v/>
      </c>
      <c r="F37" s="77" t="str">
        <f t="shared" ref="F37:F42" si="12">IFERROR(E37*C37,"")</f>
        <v/>
      </c>
      <c r="G37" s="78" t="str">
        <f t="shared" si="9"/>
        <v/>
      </c>
      <c r="H37" s="83"/>
      <c r="I37" s="83"/>
      <c r="J37" s="80"/>
    </row>
    <row r="38" spans="1:13" ht="13.5" hidden="1" x14ac:dyDescent="0.25">
      <c r="A38" s="81">
        <f t="shared" si="10"/>
        <v>0</v>
      </c>
      <c r="B38" s="82" t="str">
        <f>IFERROR(VLOOKUP(H38,[1]SEMIELABORADOS!$A$2:$M$6000,2,0),"")</f>
        <v/>
      </c>
      <c r="C38" s="76">
        <f t="shared" si="11"/>
        <v>0</v>
      </c>
      <c r="D38" s="77" t="str">
        <f>IFERROR(VLOOKUP(H38,[1]SEMIELABORADOS!$A$2:$M$6000,6,0),"")</f>
        <v/>
      </c>
      <c r="E38" s="77" t="str">
        <f>IFERROR(VLOOKUP(H38,[1]SEMIELABORADOS!$A$2:$M$65536,10,0),"")</f>
        <v/>
      </c>
      <c r="F38" s="77" t="str">
        <f t="shared" si="12"/>
        <v/>
      </c>
      <c r="G38" s="78" t="str">
        <f t="shared" si="9"/>
        <v/>
      </c>
      <c r="H38" s="83"/>
      <c r="I38" s="83"/>
      <c r="J38" s="80"/>
    </row>
    <row r="39" spans="1:13" ht="13.5" hidden="1" x14ac:dyDescent="0.25">
      <c r="A39" s="81">
        <f t="shared" si="10"/>
        <v>0</v>
      </c>
      <c r="B39" s="82" t="str">
        <f>IFERROR(VLOOKUP(H39,[1]SEMIELABORADOS!$A$2:$M$6000,2,0),"")</f>
        <v/>
      </c>
      <c r="C39" s="76">
        <f>+A39</f>
        <v>0</v>
      </c>
      <c r="D39" s="77" t="str">
        <f>IFERROR(VLOOKUP(H39,[1]SEMIELABORADOS!$A$2:$M$6000,6,0),"")</f>
        <v/>
      </c>
      <c r="E39" s="77" t="str">
        <f>IFERROR(VLOOKUP(H39,[1]SEMIELABORADOS!$A$2:$M$65536,10,0),"")</f>
        <v/>
      </c>
      <c r="F39" s="77" t="str">
        <f>IFERROR(E39*C39,"")</f>
        <v/>
      </c>
      <c r="G39" s="78" t="str">
        <f t="shared" si="9"/>
        <v/>
      </c>
      <c r="H39" s="83"/>
      <c r="I39" s="83"/>
      <c r="J39" s="80"/>
    </row>
    <row r="40" spans="1:13" ht="13.5" hidden="1" x14ac:dyDescent="0.25">
      <c r="A40" s="81">
        <f t="shared" si="10"/>
        <v>0</v>
      </c>
      <c r="B40" s="82" t="str">
        <f>IFERROR(VLOOKUP(H40,[1]SEMIELABORADOS!$A$2:$M$6000,2,0),"")</f>
        <v/>
      </c>
      <c r="C40" s="76">
        <f>+A40</f>
        <v>0</v>
      </c>
      <c r="D40" s="77" t="str">
        <f>IFERROR(VLOOKUP(H40,[1]SEMIELABORADOS!$A$2:$M$6000,6,0),"")</f>
        <v/>
      </c>
      <c r="E40" s="77" t="str">
        <f>IFERROR(VLOOKUP(H40,[1]SEMIELABORADOS!$A$2:$M$65536,10,0),"")</f>
        <v/>
      </c>
      <c r="F40" s="77" t="str">
        <f>IFERROR(E40*C40,"")</f>
        <v/>
      </c>
      <c r="G40" s="78" t="str">
        <f t="shared" si="9"/>
        <v/>
      </c>
      <c r="H40" s="83"/>
      <c r="I40" s="83"/>
      <c r="J40" s="80"/>
    </row>
    <row r="41" spans="1:13" ht="13.5" hidden="1" x14ac:dyDescent="0.25">
      <c r="A41" s="81">
        <f t="shared" si="10"/>
        <v>0</v>
      </c>
      <c r="B41" s="82" t="str">
        <f>IFERROR(VLOOKUP(H41,[1]SEMIELABORADOS!$A$2:$M$6000,2,0),"")</f>
        <v/>
      </c>
      <c r="C41" s="76">
        <f t="shared" si="11"/>
        <v>0</v>
      </c>
      <c r="D41" s="77" t="str">
        <f>IFERROR(VLOOKUP(H41,[1]SEMIELABORADOS!$A$2:$M$6000,6,0),"")</f>
        <v/>
      </c>
      <c r="E41" s="77" t="str">
        <f>IFERROR(VLOOKUP(H41,[1]SEMIELABORADOS!$A$2:$M$65536,10,0),"")</f>
        <v/>
      </c>
      <c r="F41" s="77" t="str">
        <f t="shared" si="12"/>
        <v/>
      </c>
      <c r="G41" s="78" t="str">
        <f t="shared" si="9"/>
        <v/>
      </c>
      <c r="H41" s="83"/>
      <c r="I41" s="83"/>
      <c r="J41" s="80"/>
    </row>
    <row r="42" spans="1:13" ht="13.5" hidden="1" x14ac:dyDescent="0.25">
      <c r="A42" s="81">
        <f t="shared" si="10"/>
        <v>0</v>
      </c>
      <c r="B42" s="82" t="str">
        <f>IFERROR(VLOOKUP(H42,[1]SEMIELABORADOS!$A$2:$M$6000,2,0),"")</f>
        <v/>
      </c>
      <c r="C42" s="76">
        <f t="shared" si="11"/>
        <v>0</v>
      </c>
      <c r="D42" s="77" t="str">
        <f>IFERROR(VLOOKUP(H42,[1]SEMIELABORADOS!$A$2:$M$6000,6,0),"")</f>
        <v/>
      </c>
      <c r="E42" s="77" t="str">
        <f>IFERROR(VLOOKUP(H42,[1]SEMIELABORADOS!$A$2:$M$65536,10,0),"")</f>
        <v/>
      </c>
      <c r="F42" s="77" t="str">
        <f t="shared" si="12"/>
        <v/>
      </c>
      <c r="G42" s="78" t="str">
        <f t="shared" si="9"/>
        <v/>
      </c>
      <c r="H42" s="83"/>
      <c r="I42" s="83"/>
      <c r="J42" s="80"/>
    </row>
    <row r="43" spans="1:13" ht="14.25" thickBot="1" x14ac:dyDescent="0.3">
      <c r="A43" s="81"/>
      <c r="B43" s="82"/>
      <c r="C43" s="76"/>
      <c r="D43" s="77"/>
      <c r="E43" s="77"/>
      <c r="F43" s="77"/>
      <c r="G43" s="78"/>
      <c r="H43" s="83"/>
      <c r="I43" s="83"/>
      <c r="J43" s="80"/>
    </row>
    <row r="44" spans="1:13" ht="26.25" thickBot="1" x14ac:dyDescent="0.3">
      <c r="A44" s="69" t="s">
        <v>80</v>
      </c>
      <c r="B44" s="70" t="s">
        <v>95</v>
      </c>
      <c r="C44" s="70" t="s">
        <v>80</v>
      </c>
      <c r="D44" s="71" t="s">
        <v>82</v>
      </c>
      <c r="E44" s="71" t="s">
        <v>83</v>
      </c>
      <c r="F44" s="71" t="s">
        <v>84</v>
      </c>
      <c r="G44" s="71" t="s">
        <v>85</v>
      </c>
      <c r="H44" s="72" t="s">
        <v>86</v>
      </c>
      <c r="I44" s="73"/>
      <c r="J44" s="80"/>
    </row>
    <row r="45" spans="1:13" ht="13.5" x14ac:dyDescent="0.25">
      <c r="A45" s="81">
        <f>+A36</f>
        <v>5400</v>
      </c>
      <c r="B45" s="82" t="s">
        <v>204</v>
      </c>
      <c r="C45" s="76">
        <f>+A45</f>
        <v>5400</v>
      </c>
      <c r="D45" s="77" t="s">
        <v>133</v>
      </c>
      <c r="E45" s="77">
        <f>+'Costo Premezcla '!E78</f>
        <v>4.5185185185185182E-2</v>
      </c>
      <c r="F45" s="77">
        <f>IFERROR(E45*C45,"")</f>
        <v>243.99999999999997</v>
      </c>
      <c r="G45" s="78">
        <f>IFERROR(F45/$F$67,"")</f>
        <v>1.2732336988060746E-2</v>
      </c>
      <c r="H45" s="83"/>
      <c r="I45" s="73"/>
      <c r="J45" s="80"/>
    </row>
    <row r="46" spans="1:13" ht="13.5" hidden="1" x14ac:dyDescent="0.25">
      <c r="A46" s="81">
        <f t="shared" ref="A46:A51" si="13">+A37</f>
        <v>0</v>
      </c>
      <c r="B46" s="82" t="str">
        <f>IFERROR(VLOOKUP(H46,[1]SEMIELABORADOS!$A$2:$M$6000,2,0),"")</f>
        <v/>
      </c>
      <c r="C46" s="76">
        <f t="shared" ref="C46:C51" si="14">+A46</f>
        <v>0</v>
      </c>
      <c r="D46" s="77" t="str">
        <f>IFERROR(VLOOKUP(H46,[1]SEMIELABORADOS!$A$2:$M$6000,6,0),"")</f>
        <v/>
      </c>
      <c r="E46" s="77" t="str">
        <f>IFERROR(VLOOKUP(H46,[1]SEMIELABORADOS!$A$2:$M$65536,12,0),"")</f>
        <v/>
      </c>
      <c r="F46" s="77" t="str">
        <f t="shared" ref="F46:F51" si="15">IFERROR(E46*C46,"")</f>
        <v/>
      </c>
      <c r="G46" s="78" t="str">
        <f t="shared" ref="G46:G51" si="16">IFERROR(F46/$F$67,"")</f>
        <v/>
      </c>
      <c r="H46" s="83"/>
      <c r="I46" s="73"/>
      <c r="J46" s="80"/>
      <c r="M46" s="86"/>
    </row>
    <row r="47" spans="1:13" ht="13.5" hidden="1" x14ac:dyDescent="0.25">
      <c r="A47" s="81">
        <f t="shared" si="13"/>
        <v>0</v>
      </c>
      <c r="B47" s="82" t="str">
        <f>IFERROR(VLOOKUP(H47,[1]SEMIELABORADOS!$A$2:$M$6000,2,0),"")</f>
        <v/>
      </c>
      <c r="C47" s="76">
        <f t="shared" si="14"/>
        <v>0</v>
      </c>
      <c r="D47" s="77" t="str">
        <f>IFERROR(VLOOKUP(H47,[1]SEMIELABORADOS!$A$2:$M$6000,6,0),"")</f>
        <v/>
      </c>
      <c r="E47" s="77" t="str">
        <f>IFERROR(VLOOKUP(H47,[1]SEMIELABORADOS!$A$2:$M$65536,12,0),"")</f>
        <v/>
      </c>
      <c r="F47" s="77" t="str">
        <f t="shared" si="15"/>
        <v/>
      </c>
      <c r="G47" s="78" t="str">
        <f t="shared" si="16"/>
        <v/>
      </c>
      <c r="H47" s="83"/>
      <c r="I47" s="73"/>
      <c r="J47" s="80"/>
    </row>
    <row r="48" spans="1:13" ht="13.5" hidden="1" x14ac:dyDescent="0.25">
      <c r="A48" s="81">
        <f t="shared" si="13"/>
        <v>0</v>
      </c>
      <c r="B48" s="82" t="str">
        <f>IFERROR(VLOOKUP(H48,[1]SEMIELABORADOS!$A$2:$M$6000,2,0),"")</f>
        <v/>
      </c>
      <c r="C48" s="76">
        <f t="shared" si="14"/>
        <v>0</v>
      </c>
      <c r="D48" s="77" t="str">
        <f>IFERROR(VLOOKUP(H48,[1]SEMIELABORADOS!$A$2:$M$6000,6,0),"")</f>
        <v/>
      </c>
      <c r="E48" s="77" t="str">
        <f>IFERROR(VLOOKUP(H48,[1]SEMIELABORADOS!$A$2:$M$65536,12,0),"")</f>
        <v/>
      </c>
      <c r="F48" s="77" t="str">
        <f t="shared" si="15"/>
        <v/>
      </c>
      <c r="G48" s="78" t="str">
        <f t="shared" si="16"/>
        <v/>
      </c>
      <c r="H48" s="83"/>
      <c r="I48" s="73"/>
      <c r="J48" s="80"/>
    </row>
    <row r="49" spans="1:17" ht="13.5" hidden="1" x14ac:dyDescent="0.25">
      <c r="A49" s="81">
        <f t="shared" si="13"/>
        <v>0</v>
      </c>
      <c r="B49" s="82" t="str">
        <f>IFERROR(VLOOKUP(H49,[1]SEMIELABORADOS!$A$2:$M$6000,2,0),"")</f>
        <v/>
      </c>
      <c r="C49" s="76">
        <f t="shared" si="14"/>
        <v>0</v>
      </c>
      <c r="D49" s="77" t="str">
        <f>IFERROR(VLOOKUP(H49,[1]SEMIELABORADOS!$A$2:$M$6000,6,0),"")</f>
        <v/>
      </c>
      <c r="E49" s="77" t="str">
        <f>IFERROR(VLOOKUP(H49,[1]SEMIELABORADOS!$A$2:$M$65536,12,0),"")</f>
        <v/>
      </c>
      <c r="F49" s="77" t="str">
        <f t="shared" si="15"/>
        <v/>
      </c>
      <c r="G49" s="78" t="str">
        <f t="shared" si="16"/>
        <v/>
      </c>
      <c r="H49" s="83"/>
      <c r="I49" s="73"/>
      <c r="J49" s="80"/>
    </row>
    <row r="50" spans="1:17" ht="13.5" hidden="1" x14ac:dyDescent="0.25">
      <c r="A50" s="81">
        <f t="shared" si="13"/>
        <v>0</v>
      </c>
      <c r="B50" s="82" t="str">
        <f>IFERROR(VLOOKUP(H50,[1]SEMIELABORADOS!$A$2:$M$6000,2,0),"")</f>
        <v/>
      </c>
      <c r="C50" s="76">
        <f t="shared" si="14"/>
        <v>0</v>
      </c>
      <c r="D50" s="77" t="str">
        <f>IFERROR(VLOOKUP(H50,[1]SEMIELABORADOS!$A$2:$M$6000,6,0),"")</f>
        <v/>
      </c>
      <c r="E50" s="77" t="str">
        <f>IFERROR(VLOOKUP(H50,[1]SEMIELABORADOS!$A$2:$M$65536,12,0),"")</f>
        <v/>
      </c>
      <c r="F50" s="77" t="str">
        <f t="shared" si="15"/>
        <v/>
      </c>
      <c r="G50" s="78" t="str">
        <f t="shared" si="16"/>
        <v/>
      </c>
      <c r="H50" s="83"/>
      <c r="I50" s="73"/>
      <c r="J50" s="80"/>
    </row>
    <row r="51" spans="1:17" ht="13.5" hidden="1" x14ac:dyDescent="0.25">
      <c r="A51" s="81">
        <f t="shared" si="13"/>
        <v>0</v>
      </c>
      <c r="B51" s="82" t="str">
        <f>IFERROR(VLOOKUP(H51,[1]SEMIELABORADOS!$A$2:$M$6000,2,0),"")</f>
        <v/>
      </c>
      <c r="C51" s="76">
        <f t="shared" si="14"/>
        <v>0</v>
      </c>
      <c r="D51" s="77" t="str">
        <f>IFERROR(VLOOKUP(H51,[1]SEMIELABORADOS!$A$2:$M$6000,6,0),"")</f>
        <v/>
      </c>
      <c r="E51" s="77" t="str">
        <f>IFERROR(VLOOKUP(H51,[1]SEMIELABORADOS!$A$2:$M$65536,12,0),"")</f>
        <v/>
      </c>
      <c r="F51" s="77" t="str">
        <f t="shared" si="15"/>
        <v/>
      </c>
      <c r="G51" s="78" t="str">
        <f t="shared" si="16"/>
        <v/>
      </c>
      <c r="H51" s="82"/>
      <c r="I51" s="73"/>
      <c r="J51" s="80"/>
    </row>
    <row r="52" spans="1:17" ht="13.5" x14ac:dyDescent="0.25">
      <c r="A52" s="81">
        <v>1</v>
      </c>
      <c r="B52" s="82" t="s">
        <v>96</v>
      </c>
      <c r="C52" s="76">
        <f>+A52</f>
        <v>1</v>
      </c>
      <c r="D52" s="76" t="s">
        <v>97</v>
      </c>
      <c r="E52" s="77">
        <f>+F66</f>
        <v>488</v>
      </c>
      <c r="F52" s="77">
        <f>IFERROR(C52*E52,"")</f>
        <v>488</v>
      </c>
      <c r="G52" s="78">
        <f>IFERROR(F52/$F$67,"")</f>
        <v>2.5464673976121493E-2</v>
      </c>
      <c r="H52" s="87"/>
      <c r="I52" s="87"/>
      <c r="J52" s="80"/>
    </row>
    <row r="53" spans="1:17" ht="14.25" thickBot="1" x14ac:dyDescent="0.3">
      <c r="A53" s="81"/>
      <c r="B53" s="82"/>
      <c r="C53" s="76"/>
      <c r="D53" s="76"/>
      <c r="E53" s="77"/>
      <c r="F53" s="77"/>
      <c r="G53" s="78"/>
      <c r="H53" s="87"/>
      <c r="I53" s="87"/>
      <c r="J53" s="80"/>
    </row>
    <row r="54" spans="1:17" ht="13.5" thickBot="1" x14ac:dyDescent="0.3">
      <c r="A54" s="88"/>
      <c r="B54" s="456" t="s">
        <v>98</v>
      </c>
      <c r="C54" s="456"/>
      <c r="D54" s="456"/>
      <c r="E54" s="456"/>
      <c r="F54" s="90">
        <f>SUM(F8:F15,F18:F25)</f>
        <v>18191.754000000001</v>
      </c>
      <c r="G54" s="78">
        <f>+F54/$F$67</f>
        <v>0.94927681283566423</v>
      </c>
      <c r="H54" s="91">
        <f>+F54/$D$61</f>
        <v>18191.754000000001</v>
      </c>
      <c r="I54" s="91"/>
      <c r="J54" s="92"/>
      <c r="K54" s="93"/>
      <c r="L54" s="93"/>
      <c r="M54" s="93"/>
      <c r="N54" s="93"/>
      <c r="O54" s="93"/>
      <c r="P54" s="93"/>
      <c r="Q54" s="94"/>
    </row>
    <row r="55" spans="1:17" x14ac:dyDescent="0.2">
      <c r="A55" s="88"/>
      <c r="B55" s="456" t="s">
        <v>99</v>
      </c>
      <c r="C55" s="456"/>
      <c r="D55" s="456"/>
      <c r="E55" s="456"/>
      <c r="F55" s="90">
        <f>SUM(F28:F33,F36:F42)</f>
        <v>120.21409523809524</v>
      </c>
      <c r="G55" s="78">
        <f>+F55/$F$67</f>
        <v>6.2729769315010547E-3</v>
      </c>
      <c r="H55" s="91">
        <f>+F55/$D$61</f>
        <v>120.21409523809524</v>
      </c>
      <c r="I55" s="91"/>
      <c r="J55" s="95"/>
      <c r="K55" s="457" t="s">
        <v>100</v>
      </c>
      <c r="L55" s="458"/>
      <c r="M55" s="458"/>
      <c r="N55" s="458"/>
      <c r="O55" s="96">
        <f>+F56</f>
        <v>18311.968095238095</v>
      </c>
      <c r="P55" s="96"/>
      <c r="Q55" s="97"/>
    </row>
    <row r="56" spans="1:17" x14ac:dyDescent="0.2">
      <c r="A56" s="88"/>
      <c r="B56" s="456" t="s">
        <v>101</v>
      </c>
      <c r="C56" s="456"/>
      <c r="D56" s="456"/>
      <c r="E56" s="456"/>
      <c r="F56" s="90">
        <f>+F54+F55</f>
        <v>18311.968095238095</v>
      </c>
      <c r="G56" s="78">
        <f>+F56/$F$67</f>
        <v>0.9555497897671652</v>
      </c>
      <c r="H56" s="91">
        <f>+F56/$D$61</f>
        <v>18311.968095238095</v>
      </c>
      <c r="I56" s="91"/>
      <c r="J56" s="98"/>
      <c r="K56" s="99"/>
      <c r="M56" s="100" t="s">
        <v>102</v>
      </c>
      <c r="N56" s="101">
        <v>0.18</v>
      </c>
      <c r="O56" s="96">
        <f>+O55*N56</f>
        <v>3296.1542571428567</v>
      </c>
      <c r="P56" s="96"/>
      <c r="Q56" s="97"/>
    </row>
    <row r="57" spans="1:17" ht="13.5" thickBot="1" x14ac:dyDescent="0.25">
      <c r="A57" s="88"/>
      <c r="B57" s="89"/>
      <c r="C57" s="456" t="s">
        <v>103</v>
      </c>
      <c r="D57" s="456"/>
      <c r="E57" s="456"/>
      <c r="F57" s="90">
        <f>SUM(F45:F52)</f>
        <v>732</v>
      </c>
      <c r="G57" s="78">
        <f>+F57/$F$67</f>
        <v>3.8197010964182244E-2</v>
      </c>
      <c r="H57" s="91">
        <f>+F57/$D$61</f>
        <v>732</v>
      </c>
      <c r="I57" s="91"/>
      <c r="J57" s="98"/>
      <c r="K57" s="99"/>
      <c r="L57" s="99"/>
      <c r="M57" s="99" t="s">
        <v>104</v>
      </c>
      <c r="N57" s="102"/>
      <c r="O57" s="96">
        <f>O55*N57</f>
        <v>0</v>
      </c>
      <c r="P57" s="96"/>
      <c r="Q57" s="97"/>
    </row>
    <row r="58" spans="1:17" ht="13.5" thickBot="1" x14ac:dyDescent="0.25">
      <c r="A58" s="88"/>
      <c r="B58" s="103"/>
      <c r="C58" s="103"/>
      <c r="D58" s="103"/>
      <c r="E58" s="103"/>
      <c r="F58" s="104"/>
      <c r="G58" s="78"/>
      <c r="H58" s="105"/>
      <c r="I58" s="91"/>
      <c r="J58" s="98"/>
      <c r="K58" s="106"/>
      <c r="M58" s="107" t="s">
        <v>105</v>
      </c>
      <c r="N58" s="108"/>
      <c r="O58" s="109">
        <f>SUM(O55:O57)</f>
        <v>21608.122352380953</v>
      </c>
      <c r="P58" s="110"/>
      <c r="Q58" s="97"/>
    </row>
    <row r="59" spans="1:17" x14ac:dyDescent="0.2">
      <c r="B59" s="459" t="s">
        <v>106</v>
      </c>
      <c r="C59" s="459"/>
      <c r="D59" s="111">
        <v>10500</v>
      </c>
      <c r="E59" s="112"/>
      <c r="G59" s="78"/>
      <c r="H59" s="105"/>
      <c r="I59" s="113"/>
      <c r="J59" s="98"/>
      <c r="K59" s="106"/>
      <c r="L59" s="99"/>
      <c r="M59" s="99" t="s">
        <v>107</v>
      </c>
      <c r="N59" s="114">
        <v>0.16</v>
      </c>
      <c r="O59" s="96">
        <f>+O55*N59</f>
        <v>2929.9148952380951</v>
      </c>
      <c r="P59" s="96"/>
      <c r="Q59" s="97"/>
    </row>
    <row r="60" spans="1:17" x14ac:dyDescent="0.2">
      <c r="B60" s="459" t="s">
        <v>108</v>
      </c>
      <c r="C60" s="459"/>
      <c r="D60" s="115">
        <v>10500</v>
      </c>
      <c r="E60" s="112"/>
      <c r="G60" s="78"/>
      <c r="H60" s="105"/>
      <c r="I60" s="113"/>
      <c r="J60" s="98"/>
      <c r="K60" s="106"/>
      <c r="L60" s="99"/>
      <c r="M60" s="460" t="s">
        <v>105</v>
      </c>
      <c r="N60" s="460"/>
      <c r="O60" s="96">
        <f>SUM(O58:O59)</f>
        <v>24538.03724761905</v>
      </c>
      <c r="P60" s="96"/>
      <c r="Q60" s="97"/>
    </row>
    <row r="61" spans="1:17" ht="13.5" thickBot="1" x14ac:dyDescent="0.25">
      <c r="B61" s="451" t="s">
        <v>109</v>
      </c>
      <c r="C61" s="451"/>
      <c r="D61" s="111">
        <f>+D59/D60</f>
        <v>1</v>
      </c>
      <c r="E61" s="112"/>
      <c r="F61" s="116"/>
      <c r="G61" s="78"/>
      <c r="H61" s="105"/>
      <c r="I61" s="113"/>
      <c r="J61" s="98"/>
      <c r="K61" s="106"/>
      <c r="L61" s="460"/>
      <c r="M61" s="460"/>
      <c r="N61" s="114"/>
      <c r="O61" s="96">
        <f>+O60*N61</f>
        <v>0</v>
      </c>
      <c r="P61" s="96"/>
      <c r="Q61" s="97"/>
    </row>
    <row r="62" spans="1:17" ht="13.5" thickBot="1" x14ac:dyDescent="0.25">
      <c r="B62" s="451" t="s">
        <v>110</v>
      </c>
      <c r="C62" s="451"/>
      <c r="D62" s="117"/>
      <c r="E62" s="112"/>
      <c r="F62" s="116"/>
      <c r="G62" s="78"/>
      <c r="H62" s="105"/>
      <c r="I62" s="113"/>
      <c r="J62" s="98"/>
      <c r="K62" s="452" t="s">
        <v>111</v>
      </c>
      <c r="L62" s="453"/>
      <c r="M62" s="453"/>
      <c r="N62" s="454"/>
      <c r="O62" s="109">
        <f>SUM(O60:O61)</f>
        <v>24538.03724761905</v>
      </c>
      <c r="P62" s="118" t="s">
        <v>112</v>
      </c>
      <c r="Q62" s="97"/>
    </row>
    <row r="63" spans="1:17" ht="13.5" thickBot="1" x14ac:dyDescent="0.25">
      <c r="C63" s="88" t="s">
        <v>113</v>
      </c>
      <c r="D63" s="119"/>
      <c r="E63" s="60" t="s">
        <v>114</v>
      </c>
      <c r="F63" s="120" t="s">
        <v>115</v>
      </c>
      <c r="G63" s="78"/>
      <c r="H63" s="105"/>
      <c r="I63" s="113"/>
      <c r="J63" s="121"/>
      <c r="K63" s="122"/>
      <c r="L63" s="440" t="s">
        <v>116</v>
      </c>
      <c r="M63" s="440"/>
      <c r="N63" s="440"/>
      <c r="O63" s="123">
        <f>+O62/D61</f>
        <v>24538.03724761905</v>
      </c>
      <c r="P63" s="124">
        <f>+O63/D60</f>
        <v>2.3369559283446715</v>
      </c>
      <c r="Q63" s="125"/>
    </row>
    <row r="64" spans="1:17" ht="13.5" thickBot="1" x14ac:dyDescent="0.25">
      <c r="B64" s="441" t="s">
        <v>101</v>
      </c>
      <c r="C64" s="441"/>
      <c r="D64" s="441"/>
      <c r="E64" s="126">
        <f>+F64/F64</f>
        <v>1</v>
      </c>
      <c r="F64" s="127">
        <f>SUM(F56)</f>
        <v>18311.968095238095</v>
      </c>
      <c r="G64" s="78">
        <f>+F64/$F$67</f>
        <v>0.9555497897671652</v>
      </c>
      <c r="H64" s="105"/>
      <c r="I64" s="113"/>
      <c r="K64" s="442"/>
      <c r="L64" s="443"/>
      <c r="M64" s="443"/>
      <c r="N64" s="443"/>
      <c r="O64" s="128"/>
      <c r="P64" s="129"/>
    </row>
    <row r="65" spans="2:16" ht="13.5" thickBot="1" x14ac:dyDescent="0.3">
      <c r="B65" s="444" t="s">
        <v>117</v>
      </c>
      <c r="C65" s="444"/>
      <c r="D65" s="444"/>
      <c r="E65" s="130">
        <v>0.02</v>
      </c>
      <c r="F65" s="127">
        <f>+F54*E65</f>
        <v>363.83508</v>
      </c>
      <c r="G65" s="78">
        <f>+F65/$F$67</f>
        <v>1.8985536256713283E-2</v>
      </c>
      <c r="H65" s="91"/>
      <c r="I65" s="113"/>
      <c r="J65" s="131"/>
      <c r="O65" s="132"/>
      <c r="P65" s="89"/>
    </row>
    <row r="66" spans="2:16" ht="13.5" thickBot="1" x14ac:dyDescent="0.3">
      <c r="B66" s="445" t="s">
        <v>118</v>
      </c>
      <c r="C66" s="446"/>
      <c r="D66" s="133">
        <v>8</v>
      </c>
      <c r="E66" s="134">
        <v>61</v>
      </c>
      <c r="F66" s="127">
        <f>+E66*D66</f>
        <v>488</v>
      </c>
      <c r="G66" s="78">
        <f>+F66/$F$67</f>
        <v>2.5464673976121493E-2</v>
      </c>
      <c r="H66" s="91"/>
      <c r="I66" s="91"/>
      <c r="J66" s="80"/>
    </row>
    <row r="67" spans="2:16" ht="13.5" thickBot="1" x14ac:dyDescent="0.3">
      <c r="B67" s="447" t="s">
        <v>119</v>
      </c>
      <c r="C67" s="448"/>
      <c r="D67" s="448"/>
      <c r="E67" s="449"/>
      <c r="F67" s="104">
        <f>SUM(F64:F66)</f>
        <v>19163.803175238096</v>
      </c>
      <c r="G67" s="78">
        <f>+F67/$F$67</f>
        <v>1</v>
      </c>
      <c r="H67" s="450"/>
      <c r="I67" s="91"/>
      <c r="J67" s="80"/>
    </row>
    <row r="68" spans="2:16" x14ac:dyDescent="0.25">
      <c r="C68" s="86"/>
      <c r="D68" s="86"/>
      <c r="E68" s="136"/>
      <c r="F68" s="127"/>
      <c r="G68" s="78"/>
      <c r="H68" s="450"/>
      <c r="I68" s="135"/>
      <c r="J68" s="62"/>
    </row>
    <row r="69" spans="2:16" ht="13.5" thickBot="1" x14ac:dyDescent="0.3">
      <c r="B69" s="435" t="s">
        <v>120</v>
      </c>
      <c r="C69" s="435"/>
      <c r="D69" s="435"/>
      <c r="E69" s="435"/>
      <c r="F69" s="435"/>
      <c r="G69" s="78"/>
      <c r="H69" s="138"/>
      <c r="I69" s="135"/>
      <c r="J69" s="62"/>
    </row>
    <row r="70" spans="2:16" ht="13.5" thickBot="1" x14ac:dyDescent="0.3">
      <c r="B70" s="139" t="s">
        <v>121</v>
      </c>
      <c r="C70" s="140">
        <f>+F54</f>
        <v>18191.754000000001</v>
      </c>
      <c r="D70" s="140">
        <f>+D59</f>
        <v>10500</v>
      </c>
      <c r="E70" s="141">
        <f>+C70/D70</f>
        <v>1.732548</v>
      </c>
      <c r="F70" s="78"/>
      <c r="G70" s="138"/>
      <c r="H70" s="80"/>
      <c r="I70" s="138"/>
      <c r="J70" s="62"/>
    </row>
    <row r="71" spans="2:16" x14ac:dyDescent="0.25">
      <c r="B71" s="142"/>
      <c r="C71" s="143"/>
      <c r="D71" s="144"/>
      <c r="E71" s="127"/>
      <c r="F71" s="78"/>
      <c r="G71" s="138"/>
      <c r="H71" s="80"/>
      <c r="I71" s="80"/>
      <c r="J71" s="62"/>
    </row>
    <row r="72" spans="2:16" x14ac:dyDescent="0.25">
      <c r="B72" s="139" t="s">
        <v>122</v>
      </c>
      <c r="C72" s="140">
        <f>SUM(F64:F65)</f>
        <v>18675.803175238096</v>
      </c>
      <c r="D72" s="140">
        <f>+D59</f>
        <v>10500</v>
      </c>
      <c r="E72" s="145">
        <f>+C72/D72</f>
        <v>1.7786479214512472</v>
      </c>
      <c r="F72" s="78"/>
      <c r="G72" s="138"/>
      <c r="H72" s="80"/>
      <c r="I72" s="80"/>
      <c r="J72" s="62"/>
    </row>
    <row r="73" spans="2:16" x14ac:dyDescent="0.25">
      <c r="B73" s="139"/>
      <c r="C73" s="140"/>
      <c r="D73" s="140"/>
      <c r="E73" s="145"/>
      <c r="F73" s="78"/>
      <c r="G73" s="138"/>
      <c r="H73" s="80"/>
      <c r="I73" s="80"/>
      <c r="J73" s="62"/>
    </row>
    <row r="74" spans="2:16" ht="13.5" thickBot="1" x14ac:dyDescent="0.3">
      <c r="B74" s="139" t="s">
        <v>123</v>
      </c>
      <c r="C74" s="140">
        <f>+F66</f>
        <v>488</v>
      </c>
      <c r="D74" s="140">
        <f>+D59</f>
        <v>10500</v>
      </c>
      <c r="E74" s="145">
        <f>+C74/D74</f>
        <v>4.6476190476190476E-2</v>
      </c>
      <c r="F74" s="78"/>
      <c r="G74" s="138"/>
      <c r="H74" s="80"/>
      <c r="I74" s="80"/>
      <c r="J74" s="62"/>
    </row>
    <row r="75" spans="2:16" ht="13.5" thickBot="1" x14ac:dyDescent="0.3">
      <c r="B75" s="139" t="s">
        <v>124</v>
      </c>
      <c r="C75" s="140">
        <f>+F57</f>
        <v>732</v>
      </c>
      <c r="D75" s="140">
        <f>+D74</f>
        <v>10500</v>
      </c>
      <c r="E75" s="141">
        <f>+C75/D75</f>
        <v>6.9714285714285715E-2</v>
      </c>
      <c r="F75" s="78"/>
      <c r="G75" s="138"/>
      <c r="H75" s="80"/>
      <c r="I75" s="80"/>
      <c r="J75" s="62"/>
    </row>
    <row r="76" spans="2:16" ht="13.5" thickBot="1" x14ac:dyDescent="0.3">
      <c r="B76" s="103"/>
      <c r="C76" s="104"/>
      <c r="D76" s="104"/>
      <c r="E76" s="145"/>
      <c r="F76" s="78"/>
      <c r="G76" s="138"/>
      <c r="H76" s="80"/>
      <c r="I76" s="80"/>
      <c r="J76" s="62"/>
    </row>
    <row r="77" spans="2:16" ht="13.5" thickBot="1" x14ac:dyDescent="0.3">
      <c r="B77" s="139" t="s">
        <v>125</v>
      </c>
      <c r="C77" s="140">
        <f>+F55</f>
        <v>120.21409523809524</v>
      </c>
      <c r="D77" s="140">
        <f>+D75</f>
        <v>10500</v>
      </c>
      <c r="E77" s="141">
        <f>+C77/D77</f>
        <v>1.1448961451247165E-2</v>
      </c>
      <c r="F77" s="78"/>
      <c r="G77" s="138"/>
      <c r="H77" s="80"/>
      <c r="I77" s="80"/>
      <c r="J77" s="80"/>
    </row>
    <row r="78" spans="2:16" ht="13.5" thickBot="1" x14ac:dyDescent="0.3">
      <c r="B78" s="103"/>
      <c r="C78" s="104"/>
      <c r="D78" s="104"/>
      <c r="E78" s="145"/>
      <c r="F78" s="78"/>
      <c r="G78" s="138"/>
      <c r="H78" s="80"/>
      <c r="I78" s="80"/>
    </row>
    <row r="79" spans="2:16" ht="13.5" thickBot="1" x14ac:dyDescent="0.3">
      <c r="B79" s="436" t="s">
        <v>126</v>
      </c>
      <c r="C79" s="437"/>
      <c r="D79" s="438"/>
      <c r="E79" s="141">
        <f>+E70+E75</f>
        <v>1.8022622857142856</v>
      </c>
      <c r="G79" s="78"/>
      <c r="H79" s="138"/>
      <c r="I79" s="80"/>
      <c r="J79" s="145"/>
    </row>
    <row r="80" spans="2:16" x14ac:dyDescent="0.25">
      <c r="I80" s="138"/>
      <c r="J80" s="62"/>
    </row>
    <row r="81" spans="1:10" ht="13.5" thickBot="1" x14ac:dyDescent="0.3">
      <c r="B81" s="435" t="s">
        <v>127</v>
      </c>
      <c r="C81" s="435"/>
      <c r="D81" s="435"/>
      <c r="E81" s="435"/>
      <c r="F81" s="435"/>
      <c r="G81" s="78"/>
      <c r="H81" s="138"/>
      <c r="J81" s="62"/>
    </row>
    <row r="82" spans="1:10" ht="13.5" thickBot="1" x14ac:dyDescent="0.3">
      <c r="B82" s="139" t="s">
        <v>121</v>
      </c>
      <c r="C82" s="140">
        <f>+C70</f>
        <v>18191.754000000001</v>
      </c>
      <c r="D82" s="140">
        <f>+D61</f>
        <v>1</v>
      </c>
      <c r="E82" s="141">
        <f>+C82/D82</f>
        <v>18191.754000000001</v>
      </c>
      <c r="F82" s="78"/>
      <c r="G82" s="138"/>
      <c r="H82" s="80"/>
      <c r="I82" s="138"/>
      <c r="J82" s="62"/>
    </row>
    <row r="83" spans="1:10" x14ac:dyDescent="0.25">
      <c r="B83" s="142"/>
      <c r="C83" s="143"/>
      <c r="D83" s="144"/>
      <c r="E83" s="127"/>
      <c r="F83" s="78"/>
      <c r="G83" s="138"/>
      <c r="H83" s="80"/>
      <c r="I83" s="80"/>
      <c r="J83" s="62"/>
    </row>
    <row r="84" spans="1:10" x14ac:dyDescent="0.25">
      <c r="B84" s="139" t="s">
        <v>122</v>
      </c>
      <c r="C84" s="140">
        <f>+C72</f>
        <v>18675.803175238096</v>
      </c>
      <c r="D84" s="140">
        <f>+D61</f>
        <v>1</v>
      </c>
      <c r="E84" s="145">
        <f>+C84/D84</f>
        <v>18675.803175238096</v>
      </c>
      <c r="F84" s="78"/>
      <c r="G84" s="138"/>
      <c r="H84" s="80"/>
      <c r="I84" s="80"/>
      <c r="J84" s="62"/>
    </row>
    <row r="85" spans="1:10" x14ac:dyDescent="0.25">
      <c r="B85" s="139"/>
      <c r="C85" s="140"/>
      <c r="D85" s="140"/>
      <c r="E85" s="145"/>
      <c r="F85" s="78"/>
      <c r="G85" s="138"/>
      <c r="H85" s="80"/>
      <c r="I85" s="80"/>
      <c r="J85" s="62"/>
    </row>
    <row r="86" spans="1:10" ht="13.5" thickBot="1" x14ac:dyDescent="0.3">
      <c r="B86" s="139" t="s">
        <v>124</v>
      </c>
      <c r="C86" s="140">
        <f>+C74</f>
        <v>488</v>
      </c>
      <c r="D86" s="140">
        <f>+D61</f>
        <v>1</v>
      </c>
      <c r="E86" s="145">
        <f>+C86/D86</f>
        <v>488</v>
      </c>
      <c r="F86" s="147"/>
      <c r="G86" s="137"/>
      <c r="H86" s="61"/>
      <c r="I86" s="80"/>
    </row>
    <row r="87" spans="1:10" ht="13.5" thickBot="1" x14ac:dyDescent="0.3">
      <c r="B87" s="139" t="s">
        <v>124</v>
      </c>
      <c r="C87" s="140">
        <f>+C75</f>
        <v>732</v>
      </c>
      <c r="D87" s="140">
        <f>+D86</f>
        <v>1</v>
      </c>
      <c r="E87" s="141">
        <f>+C87/D87</f>
        <v>732</v>
      </c>
      <c r="F87" s="146"/>
      <c r="G87" s="137"/>
      <c r="H87" s="61"/>
      <c r="I87" s="61"/>
    </row>
    <row r="88" spans="1:10" x14ac:dyDescent="0.25">
      <c r="I88" s="61"/>
    </row>
    <row r="89" spans="1:10" x14ac:dyDescent="0.2">
      <c r="A89" s="439"/>
      <c r="B89" s="439"/>
      <c r="C89" s="148"/>
      <c r="D89" s="148"/>
      <c r="E89" s="149"/>
      <c r="G89" s="150"/>
    </row>
    <row r="90" spans="1:10" x14ac:dyDescent="0.2">
      <c r="A90" s="82"/>
      <c r="B90" s="151"/>
      <c r="C90" s="152"/>
      <c r="D90" s="152"/>
      <c r="E90" s="153"/>
      <c r="G90" s="150"/>
    </row>
    <row r="91" spans="1:10" x14ac:dyDescent="0.2">
      <c r="A91" s="82"/>
      <c r="B91" s="151"/>
      <c r="C91" s="154"/>
      <c r="D91" s="154"/>
      <c r="E91" s="82"/>
      <c r="G91" s="150"/>
    </row>
    <row r="92" spans="1:10" x14ac:dyDescent="0.2">
      <c r="A92" s="82"/>
      <c r="B92" s="151"/>
      <c r="C92" s="155"/>
      <c r="D92" s="155"/>
      <c r="E92" s="82"/>
      <c r="G92" s="150"/>
    </row>
  </sheetData>
  <mergeCells count="30">
    <mergeCell ref="K30:L30"/>
    <mergeCell ref="A4:H4"/>
    <mergeCell ref="A5:H5"/>
    <mergeCell ref="F6:G6"/>
    <mergeCell ref="K28:L28"/>
    <mergeCell ref="K29:L29"/>
    <mergeCell ref="B62:C62"/>
    <mergeCell ref="K62:N62"/>
    <mergeCell ref="K31:L31"/>
    <mergeCell ref="B54:E54"/>
    <mergeCell ref="B55:E55"/>
    <mergeCell ref="K55:N55"/>
    <mergeCell ref="B56:E56"/>
    <mergeCell ref="C57:E57"/>
    <mergeCell ref="B59:C59"/>
    <mergeCell ref="B60:C60"/>
    <mergeCell ref="M60:N60"/>
    <mergeCell ref="B61:C61"/>
    <mergeCell ref="L61:M61"/>
    <mergeCell ref="B69:F69"/>
    <mergeCell ref="B79:D79"/>
    <mergeCell ref="B81:F81"/>
    <mergeCell ref="A89:B89"/>
    <mergeCell ref="L63:N63"/>
    <mergeCell ref="B64:D64"/>
    <mergeCell ref="K64:N64"/>
    <mergeCell ref="B65:D65"/>
    <mergeCell ref="B66:C66"/>
    <mergeCell ref="B67:E67"/>
    <mergeCell ref="H67:H6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9130-0B9A-4C31-8809-BBA65A1C7096}">
  <dimension ref="A1:L29"/>
  <sheetViews>
    <sheetView workbookViewId="0">
      <selection activeCell="D11" sqref="D11"/>
    </sheetView>
  </sheetViews>
  <sheetFormatPr baseColWidth="10" defaultRowHeight="15" x14ac:dyDescent="0.25"/>
  <cols>
    <col min="1" max="1" width="16.140625" style="158" customWidth="1"/>
    <col min="2" max="2" width="35.28515625" style="158" customWidth="1"/>
    <col min="3" max="3" width="17.5703125" style="158" bestFit="1" customWidth="1"/>
    <col min="4" max="6" width="11.42578125" style="158"/>
    <col min="7" max="7" width="17.7109375" style="158" customWidth="1"/>
    <col min="8" max="8" width="18.5703125" style="158" customWidth="1"/>
    <col min="9" max="256" width="11.42578125" style="158"/>
    <col min="257" max="257" width="16.140625" style="158" customWidth="1"/>
    <col min="258" max="258" width="42.28515625" style="158" customWidth="1"/>
    <col min="259" max="259" width="17.5703125" style="158" bestFit="1" customWidth="1"/>
    <col min="260" max="262" width="11.42578125" style="158"/>
    <col min="263" max="263" width="17.7109375" style="158" customWidth="1"/>
    <col min="264" max="264" width="18.5703125" style="158" customWidth="1"/>
    <col min="265" max="512" width="11.42578125" style="158"/>
    <col min="513" max="513" width="16.140625" style="158" customWidth="1"/>
    <col min="514" max="514" width="42.28515625" style="158" customWidth="1"/>
    <col min="515" max="515" width="17.5703125" style="158" bestFit="1" customWidth="1"/>
    <col min="516" max="518" width="11.42578125" style="158"/>
    <col min="519" max="519" width="17.7109375" style="158" customWidth="1"/>
    <col min="520" max="520" width="18.5703125" style="158" customWidth="1"/>
    <col min="521" max="768" width="11.42578125" style="158"/>
    <col min="769" max="769" width="16.140625" style="158" customWidth="1"/>
    <col min="770" max="770" width="42.28515625" style="158" customWidth="1"/>
    <col min="771" max="771" width="17.5703125" style="158" bestFit="1" customWidth="1"/>
    <col min="772" max="774" width="11.42578125" style="158"/>
    <col min="775" max="775" width="17.7109375" style="158" customWidth="1"/>
    <col min="776" max="776" width="18.5703125" style="158" customWidth="1"/>
    <col min="777" max="1024" width="11.42578125" style="158"/>
    <col min="1025" max="1025" width="16.140625" style="158" customWidth="1"/>
    <col min="1026" max="1026" width="42.28515625" style="158" customWidth="1"/>
    <col min="1027" max="1027" width="17.5703125" style="158" bestFit="1" customWidth="1"/>
    <col min="1028" max="1030" width="11.42578125" style="158"/>
    <col min="1031" max="1031" width="17.7109375" style="158" customWidth="1"/>
    <col min="1032" max="1032" width="18.5703125" style="158" customWidth="1"/>
    <col min="1033" max="1280" width="11.42578125" style="158"/>
    <col min="1281" max="1281" width="16.140625" style="158" customWidth="1"/>
    <col min="1282" max="1282" width="42.28515625" style="158" customWidth="1"/>
    <col min="1283" max="1283" width="17.5703125" style="158" bestFit="1" customWidth="1"/>
    <col min="1284" max="1286" width="11.42578125" style="158"/>
    <col min="1287" max="1287" width="17.7109375" style="158" customWidth="1"/>
    <col min="1288" max="1288" width="18.5703125" style="158" customWidth="1"/>
    <col min="1289" max="1536" width="11.42578125" style="158"/>
    <col min="1537" max="1537" width="16.140625" style="158" customWidth="1"/>
    <col min="1538" max="1538" width="42.28515625" style="158" customWidth="1"/>
    <col min="1539" max="1539" width="17.5703125" style="158" bestFit="1" customWidth="1"/>
    <col min="1540" max="1542" width="11.42578125" style="158"/>
    <col min="1543" max="1543" width="17.7109375" style="158" customWidth="1"/>
    <col min="1544" max="1544" width="18.5703125" style="158" customWidth="1"/>
    <col min="1545" max="1792" width="11.42578125" style="158"/>
    <col min="1793" max="1793" width="16.140625" style="158" customWidth="1"/>
    <col min="1794" max="1794" width="42.28515625" style="158" customWidth="1"/>
    <col min="1795" max="1795" width="17.5703125" style="158" bestFit="1" customWidth="1"/>
    <col min="1796" max="1798" width="11.42578125" style="158"/>
    <col min="1799" max="1799" width="17.7109375" style="158" customWidth="1"/>
    <col min="1800" max="1800" width="18.5703125" style="158" customWidth="1"/>
    <col min="1801" max="2048" width="11.42578125" style="158"/>
    <col min="2049" max="2049" width="16.140625" style="158" customWidth="1"/>
    <col min="2050" max="2050" width="42.28515625" style="158" customWidth="1"/>
    <col min="2051" max="2051" width="17.5703125" style="158" bestFit="1" customWidth="1"/>
    <col min="2052" max="2054" width="11.42578125" style="158"/>
    <col min="2055" max="2055" width="17.7109375" style="158" customWidth="1"/>
    <col min="2056" max="2056" width="18.5703125" style="158" customWidth="1"/>
    <col min="2057" max="2304" width="11.42578125" style="158"/>
    <col min="2305" max="2305" width="16.140625" style="158" customWidth="1"/>
    <col min="2306" max="2306" width="42.28515625" style="158" customWidth="1"/>
    <col min="2307" max="2307" width="17.5703125" style="158" bestFit="1" customWidth="1"/>
    <col min="2308" max="2310" width="11.42578125" style="158"/>
    <col min="2311" max="2311" width="17.7109375" style="158" customWidth="1"/>
    <col min="2312" max="2312" width="18.5703125" style="158" customWidth="1"/>
    <col min="2313" max="2560" width="11.42578125" style="158"/>
    <col min="2561" max="2561" width="16.140625" style="158" customWidth="1"/>
    <col min="2562" max="2562" width="42.28515625" style="158" customWidth="1"/>
    <col min="2563" max="2563" width="17.5703125" style="158" bestFit="1" customWidth="1"/>
    <col min="2564" max="2566" width="11.42578125" style="158"/>
    <col min="2567" max="2567" width="17.7109375" style="158" customWidth="1"/>
    <col min="2568" max="2568" width="18.5703125" style="158" customWidth="1"/>
    <col min="2569" max="2816" width="11.42578125" style="158"/>
    <col min="2817" max="2817" width="16.140625" style="158" customWidth="1"/>
    <col min="2818" max="2818" width="42.28515625" style="158" customWidth="1"/>
    <col min="2819" max="2819" width="17.5703125" style="158" bestFit="1" customWidth="1"/>
    <col min="2820" max="2822" width="11.42578125" style="158"/>
    <col min="2823" max="2823" width="17.7109375" style="158" customWidth="1"/>
    <col min="2824" max="2824" width="18.5703125" style="158" customWidth="1"/>
    <col min="2825" max="3072" width="11.42578125" style="158"/>
    <col min="3073" max="3073" width="16.140625" style="158" customWidth="1"/>
    <col min="3074" max="3074" width="42.28515625" style="158" customWidth="1"/>
    <col min="3075" max="3075" width="17.5703125" style="158" bestFit="1" customWidth="1"/>
    <col min="3076" max="3078" width="11.42578125" style="158"/>
    <col min="3079" max="3079" width="17.7109375" style="158" customWidth="1"/>
    <col min="3080" max="3080" width="18.5703125" style="158" customWidth="1"/>
    <col min="3081" max="3328" width="11.42578125" style="158"/>
    <col min="3329" max="3329" width="16.140625" style="158" customWidth="1"/>
    <col min="3330" max="3330" width="42.28515625" style="158" customWidth="1"/>
    <col min="3331" max="3331" width="17.5703125" style="158" bestFit="1" customWidth="1"/>
    <col min="3332" max="3334" width="11.42578125" style="158"/>
    <col min="3335" max="3335" width="17.7109375" style="158" customWidth="1"/>
    <col min="3336" max="3336" width="18.5703125" style="158" customWidth="1"/>
    <col min="3337" max="3584" width="11.42578125" style="158"/>
    <col min="3585" max="3585" width="16.140625" style="158" customWidth="1"/>
    <col min="3586" max="3586" width="42.28515625" style="158" customWidth="1"/>
    <col min="3587" max="3587" width="17.5703125" style="158" bestFit="1" customWidth="1"/>
    <col min="3588" max="3590" width="11.42578125" style="158"/>
    <col min="3591" max="3591" width="17.7109375" style="158" customWidth="1"/>
    <col min="3592" max="3592" width="18.5703125" style="158" customWidth="1"/>
    <col min="3593" max="3840" width="11.42578125" style="158"/>
    <col min="3841" max="3841" width="16.140625" style="158" customWidth="1"/>
    <col min="3842" max="3842" width="42.28515625" style="158" customWidth="1"/>
    <col min="3843" max="3843" width="17.5703125" style="158" bestFit="1" customWidth="1"/>
    <col min="3844" max="3846" width="11.42578125" style="158"/>
    <col min="3847" max="3847" width="17.7109375" style="158" customWidth="1"/>
    <col min="3848" max="3848" width="18.5703125" style="158" customWidth="1"/>
    <col min="3849" max="4096" width="11.42578125" style="158"/>
    <col min="4097" max="4097" width="16.140625" style="158" customWidth="1"/>
    <col min="4098" max="4098" width="42.28515625" style="158" customWidth="1"/>
    <col min="4099" max="4099" width="17.5703125" style="158" bestFit="1" customWidth="1"/>
    <col min="4100" max="4102" width="11.42578125" style="158"/>
    <col min="4103" max="4103" width="17.7109375" style="158" customWidth="1"/>
    <col min="4104" max="4104" width="18.5703125" style="158" customWidth="1"/>
    <col min="4105" max="4352" width="11.42578125" style="158"/>
    <col min="4353" max="4353" width="16.140625" style="158" customWidth="1"/>
    <col min="4354" max="4354" width="42.28515625" style="158" customWidth="1"/>
    <col min="4355" max="4355" width="17.5703125" style="158" bestFit="1" customWidth="1"/>
    <col min="4356" max="4358" width="11.42578125" style="158"/>
    <col min="4359" max="4359" width="17.7109375" style="158" customWidth="1"/>
    <col min="4360" max="4360" width="18.5703125" style="158" customWidth="1"/>
    <col min="4361" max="4608" width="11.42578125" style="158"/>
    <col min="4609" max="4609" width="16.140625" style="158" customWidth="1"/>
    <col min="4610" max="4610" width="42.28515625" style="158" customWidth="1"/>
    <col min="4611" max="4611" width="17.5703125" style="158" bestFit="1" customWidth="1"/>
    <col min="4612" max="4614" width="11.42578125" style="158"/>
    <col min="4615" max="4615" width="17.7109375" style="158" customWidth="1"/>
    <col min="4616" max="4616" width="18.5703125" style="158" customWidth="1"/>
    <col min="4617" max="4864" width="11.42578125" style="158"/>
    <col min="4865" max="4865" width="16.140625" style="158" customWidth="1"/>
    <col min="4866" max="4866" width="42.28515625" style="158" customWidth="1"/>
    <col min="4867" max="4867" width="17.5703125" style="158" bestFit="1" customWidth="1"/>
    <col min="4868" max="4870" width="11.42578125" style="158"/>
    <col min="4871" max="4871" width="17.7109375" style="158" customWidth="1"/>
    <col min="4872" max="4872" width="18.5703125" style="158" customWidth="1"/>
    <col min="4873" max="5120" width="11.42578125" style="158"/>
    <col min="5121" max="5121" width="16.140625" style="158" customWidth="1"/>
    <col min="5122" max="5122" width="42.28515625" style="158" customWidth="1"/>
    <col min="5123" max="5123" width="17.5703125" style="158" bestFit="1" customWidth="1"/>
    <col min="5124" max="5126" width="11.42578125" style="158"/>
    <col min="5127" max="5127" width="17.7109375" style="158" customWidth="1"/>
    <col min="5128" max="5128" width="18.5703125" style="158" customWidth="1"/>
    <col min="5129" max="5376" width="11.42578125" style="158"/>
    <col min="5377" max="5377" width="16.140625" style="158" customWidth="1"/>
    <col min="5378" max="5378" width="42.28515625" style="158" customWidth="1"/>
    <col min="5379" max="5379" width="17.5703125" style="158" bestFit="1" customWidth="1"/>
    <col min="5380" max="5382" width="11.42578125" style="158"/>
    <col min="5383" max="5383" width="17.7109375" style="158" customWidth="1"/>
    <col min="5384" max="5384" width="18.5703125" style="158" customWidth="1"/>
    <col min="5385" max="5632" width="11.42578125" style="158"/>
    <col min="5633" max="5633" width="16.140625" style="158" customWidth="1"/>
    <col min="5634" max="5634" width="42.28515625" style="158" customWidth="1"/>
    <col min="5635" max="5635" width="17.5703125" style="158" bestFit="1" customWidth="1"/>
    <col min="5636" max="5638" width="11.42578125" style="158"/>
    <col min="5639" max="5639" width="17.7109375" style="158" customWidth="1"/>
    <col min="5640" max="5640" width="18.5703125" style="158" customWidth="1"/>
    <col min="5641" max="5888" width="11.42578125" style="158"/>
    <col min="5889" max="5889" width="16.140625" style="158" customWidth="1"/>
    <col min="5890" max="5890" width="42.28515625" style="158" customWidth="1"/>
    <col min="5891" max="5891" width="17.5703125" style="158" bestFit="1" customWidth="1"/>
    <col min="5892" max="5894" width="11.42578125" style="158"/>
    <col min="5895" max="5895" width="17.7109375" style="158" customWidth="1"/>
    <col min="5896" max="5896" width="18.5703125" style="158" customWidth="1"/>
    <col min="5897" max="6144" width="11.42578125" style="158"/>
    <col min="6145" max="6145" width="16.140625" style="158" customWidth="1"/>
    <col min="6146" max="6146" width="42.28515625" style="158" customWidth="1"/>
    <col min="6147" max="6147" width="17.5703125" style="158" bestFit="1" customWidth="1"/>
    <col min="6148" max="6150" width="11.42578125" style="158"/>
    <col min="6151" max="6151" width="17.7109375" style="158" customWidth="1"/>
    <col min="6152" max="6152" width="18.5703125" style="158" customWidth="1"/>
    <col min="6153" max="6400" width="11.42578125" style="158"/>
    <col min="6401" max="6401" width="16.140625" style="158" customWidth="1"/>
    <col min="6402" max="6402" width="42.28515625" style="158" customWidth="1"/>
    <col min="6403" max="6403" width="17.5703125" style="158" bestFit="1" customWidth="1"/>
    <col min="6404" max="6406" width="11.42578125" style="158"/>
    <col min="6407" max="6407" width="17.7109375" style="158" customWidth="1"/>
    <col min="6408" max="6408" width="18.5703125" style="158" customWidth="1"/>
    <col min="6409" max="6656" width="11.42578125" style="158"/>
    <col min="6657" max="6657" width="16.140625" style="158" customWidth="1"/>
    <col min="6658" max="6658" width="42.28515625" style="158" customWidth="1"/>
    <col min="6659" max="6659" width="17.5703125" style="158" bestFit="1" customWidth="1"/>
    <col min="6660" max="6662" width="11.42578125" style="158"/>
    <col min="6663" max="6663" width="17.7109375" style="158" customWidth="1"/>
    <col min="6664" max="6664" width="18.5703125" style="158" customWidth="1"/>
    <col min="6665" max="6912" width="11.42578125" style="158"/>
    <col min="6913" max="6913" width="16.140625" style="158" customWidth="1"/>
    <col min="6914" max="6914" width="42.28515625" style="158" customWidth="1"/>
    <col min="6915" max="6915" width="17.5703125" style="158" bestFit="1" customWidth="1"/>
    <col min="6916" max="6918" width="11.42578125" style="158"/>
    <col min="6919" max="6919" width="17.7109375" style="158" customWidth="1"/>
    <col min="6920" max="6920" width="18.5703125" style="158" customWidth="1"/>
    <col min="6921" max="7168" width="11.42578125" style="158"/>
    <col min="7169" max="7169" width="16.140625" style="158" customWidth="1"/>
    <col min="7170" max="7170" width="42.28515625" style="158" customWidth="1"/>
    <col min="7171" max="7171" width="17.5703125" style="158" bestFit="1" customWidth="1"/>
    <col min="7172" max="7174" width="11.42578125" style="158"/>
    <col min="7175" max="7175" width="17.7109375" style="158" customWidth="1"/>
    <col min="7176" max="7176" width="18.5703125" style="158" customWidth="1"/>
    <col min="7177" max="7424" width="11.42578125" style="158"/>
    <col min="7425" max="7425" width="16.140625" style="158" customWidth="1"/>
    <col min="7426" max="7426" width="42.28515625" style="158" customWidth="1"/>
    <col min="7427" max="7427" width="17.5703125" style="158" bestFit="1" customWidth="1"/>
    <col min="7428" max="7430" width="11.42578125" style="158"/>
    <col min="7431" max="7431" width="17.7109375" style="158" customWidth="1"/>
    <col min="7432" max="7432" width="18.5703125" style="158" customWidth="1"/>
    <col min="7433" max="7680" width="11.42578125" style="158"/>
    <col min="7681" max="7681" width="16.140625" style="158" customWidth="1"/>
    <col min="7682" max="7682" width="42.28515625" style="158" customWidth="1"/>
    <col min="7683" max="7683" width="17.5703125" style="158" bestFit="1" customWidth="1"/>
    <col min="7684" max="7686" width="11.42578125" style="158"/>
    <col min="7687" max="7687" width="17.7109375" style="158" customWidth="1"/>
    <col min="7688" max="7688" width="18.5703125" style="158" customWidth="1"/>
    <col min="7689" max="7936" width="11.42578125" style="158"/>
    <col min="7937" max="7937" width="16.140625" style="158" customWidth="1"/>
    <col min="7938" max="7938" width="42.28515625" style="158" customWidth="1"/>
    <col min="7939" max="7939" width="17.5703125" style="158" bestFit="1" customWidth="1"/>
    <col min="7940" max="7942" width="11.42578125" style="158"/>
    <col min="7943" max="7943" width="17.7109375" style="158" customWidth="1"/>
    <col min="7944" max="7944" width="18.5703125" style="158" customWidth="1"/>
    <col min="7945" max="8192" width="11.42578125" style="158"/>
    <col min="8193" max="8193" width="16.140625" style="158" customWidth="1"/>
    <col min="8194" max="8194" width="42.28515625" style="158" customWidth="1"/>
    <col min="8195" max="8195" width="17.5703125" style="158" bestFit="1" customWidth="1"/>
    <col min="8196" max="8198" width="11.42578125" style="158"/>
    <col min="8199" max="8199" width="17.7109375" style="158" customWidth="1"/>
    <col min="8200" max="8200" width="18.5703125" style="158" customWidth="1"/>
    <col min="8201" max="8448" width="11.42578125" style="158"/>
    <col min="8449" max="8449" width="16.140625" style="158" customWidth="1"/>
    <col min="8450" max="8450" width="42.28515625" style="158" customWidth="1"/>
    <col min="8451" max="8451" width="17.5703125" style="158" bestFit="1" customWidth="1"/>
    <col min="8452" max="8454" width="11.42578125" style="158"/>
    <col min="8455" max="8455" width="17.7109375" style="158" customWidth="1"/>
    <col min="8456" max="8456" width="18.5703125" style="158" customWidth="1"/>
    <col min="8457" max="8704" width="11.42578125" style="158"/>
    <col min="8705" max="8705" width="16.140625" style="158" customWidth="1"/>
    <col min="8706" max="8706" width="42.28515625" style="158" customWidth="1"/>
    <col min="8707" max="8707" width="17.5703125" style="158" bestFit="1" customWidth="1"/>
    <col min="8708" max="8710" width="11.42578125" style="158"/>
    <col min="8711" max="8711" width="17.7109375" style="158" customWidth="1"/>
    <col min="8712" max="8712" width="18.5703125" style="158" customWidth="1"/>
    <col min="8713" max="8960" width="11.42578125" style="158"/>
    <col min="8961" max="8961" width="16.140625" style="158" customWidth="1"/>
    <col min="8962" max="8962" width="42.28515625" style="158" customWidth="1"/>
    <col min="8963" max="8963" width="17.5703125" style="158" bestFit="1" customWidth="1"/>
    <col min="8964" max="8966" width="11.42578125" style="158"/>
    <col min="8967" max="8967" width="17.7109375" style="158" customWidth="1"/>
    <col min="8968" max="8968" width="18.5703125" style="158" customWidth="1"/>
    <col min="8969" max="9216" width="11.42578125" style="158"/>
    <col min="9217" max="9217" width="16.140625" style="158" customWidth="1"/>
    <col min="9218" max="9218" width="42.28515625" style="158" customWidth="1"/>
    <col min="9219" max="9219" width="17.5703125" style="158" bestFit="1" customWidth="1"/>
    <col min="9220" max="9222" width="11.42578125" style="158"/>
    <col min="9223" max="9223" width="17.7109375" style="158" customWidth="1"/>
    <col min="9224" max="9224" width="18.5703125" style="158" customWidth="1"/>
    <col min="9225" max="9472" width="11.42578125" style="158"/>
    <col min="9473" max="9473" width="16.140625" style="158" customWidth="1"/>
    <col min="9474" max="9474" width="42.28515625" style="158" customWidth="1"/>
    <col min="9475" max="9475" width="17.5703125" style="158" bestFit="1" customWidth="1"/>
    <col min="9476" max="9478" width="11.42578125" style="158"/>
    <col min="9479" max="9479" width="17.7109375" style="158" customWidth="1"/>
    <col min="9480" max="9480" width="18.5703125" style="158" customWidth="1"/>
    <col min="9481" max="9728" width="11.42578125" style="158"/>
    <col min="9729" max="9729" width="16.140625" style="158" customWidth="1"/>
    <col min="9730" max="9730" width="42.28515625" style="158" customWidth="1"/>
    <col min="9731" max="9731" width="17.5703125" style="158" bestFit="1" customWidth="1"/>
    <col min="9732" max="9734" width="11.42578125" style="158"/>
    <col min="9735" max="9735" width="17.7109375" style="158" customWidth="1"/>
    <col min="9736" max="9736" width="18.5703125" style="158" customWidth="1"/>
    <col min="9737" max="9984" width="11.42578125" style="158"/>
    <col min="9985" max="9985" width="16.140625" style="158" customWidth="1"/>
    <col min="9986" max="9986" width="42.28515625" style="158" customWidth="1"/>
    <col min="9987" max="9987" width="17.5703125" style="158" bestFit="1" customWidth="1"/>
    <col min="9988" max="9990" width="11.42578125" style="158"/>
    <col min="9991" max="9991" width="17.7109375" style="158" customWidth="1"/>
    <col min="9992" max="9992" width="18.5703125" style="158" customWidth="1"/>
    <col min="9993" max="10240" width="11.42578125" style="158"/>
    <col min="10241" max="10241" width="16.140625" style="158" customWidth="1"/>
    <col min="10242" max="10242" width="42.28515625" style="158" customWidth="1"/>
    <col min="10243" max="10243" width="17.5703125" style="158" bestFit="1" customWidth="1"/>
    <col min="10244" max="10246" width="11.42578125" style="158"/>
    <col min="10247" max="10247" width="17.7109375" style="158" customWidth="1"/>
    <col min="10248" max="10248" width="18.5703125" style="158" customWidth="1"/>
    <col min="10249" max="10496" width="11.42578125" style="158"/>
    <col min="10497" max="10497" width="16.140625" style="158" customWidth="1"/>
    <col min="10498" max="10498" width="42.28515625" style="158" customWidth="1"/>
    <col min="10499" max="10499" width="17.5703125" style="158" bestFit="1" customWidth="1"/>
    <col min="10500" max="10502" width="11.42578125" style="158"/>
    <col min="10503" max="10503" width="17.7109375" style="158" customWidth="1"/>
    <col min="10504" max="10504" width="18.5703125" style="158" customWidth="1"/>
    <col min="10505" max="10752" width="11.42578125" style="158"/>
    <col min="10753" max="10753" width="16.140625" style="158" customWidth="1"/>
    <col min="10754" max="10754" width="42.28515625" style="158" customWidth="1"/>
    <col min="10755" max="10755" width="17.5703125" style="158" bestFit="1" customWidth="1"/>
    <col min="10756" max="10758" width="11.42578125" style="158"/>
    <col min="10759" max="10759" width="17.7109375" style="158" customWidth="1"/>
    <col min="10760" max="10760" width="18.5703125" style="158" customWidth="1"/>
    <col min="10761" max="11008" width="11.42578125" style="158"/>
    <col min="11009" max="11009" width="16.140625" style="158" customWidth="1"/>
    <col min="11010" max="11010" width="42.28515625" style="158" customWidth="1"/>
    <col min="11011" max="11011" width="17.5703125" style="158" bestFit="1" customWidth="1"/>
    <col min="11012" max="11014" width="11.42578125" style="158"/>
    <col min="11015" max="11015" width="17.7109375" style="158" customWidth="1"/>
    <col min="11016" max="11016" width="18.5703125" style="158" customWidth="1"/>
    <col min="11017" max="11264" width="11.42578125" style="158"/>
    <col min="11265" max="11265" width="16.140625" style="158" customWidth="1"/>
    <col min="11266" max="11266" width="42.28515625" style="158" customWidth="1"/>
    <col min="11267" max="11267" width="17.5703125" style="158" bestFit="1" customWidth="1"/>
    <col min="11268" max="11270" width="11.42578125" style="158"/>
    <col min="11271" max="11271" width="17.7109375" style="158" customWidth="1"/>
    <col min="11272" max="11272" width="18.5703125" style="158" customWidth="1"/>
    <col min="11273" max="11520" width="11.42578125" style="158"/>
    <col min="11521" max="11521" width="16.140625" style="158" customWidth="1"/>
    <col min="11522" max="11522" width="42.28515625" style="158" customWidth="1"/>
    <col min="11523" max="11523" width="17.5703125" style="158" bestFit="1" customWidth="1"/>
    <col min="11524" max="11526" width="11.42578125" style="158"/>
    <col min="11527" max="11527" width="17.7109375" style="158" customWidth="1"/>
    <col min="11528" max="11528" width="18.5703125" style="158" customWidth="1"/>
    <col min="11529" max="11776" width="11.42578125" style="158"/>
    <col min="11777" max="11777" width="16.140625" style="158" customWidth="1"/>
    <col min="11778" max="11778" width="42.28515625" style="158" customWidth="1"/>
    <col min="11779" max="11779" width="17.5703125" style="158" bestFit="1" customWidth="1"/>
    <col min="11780" max="11782" width="11.42578125" style="158"/>
    <col min="11783" max="11783" width="17.7109375" style="158" customWidth="1"/>
    <col min="11784" max="11784" width="18.5703125" style="158" customWidth="1"/>
    <col min="11785" max="12032" width="11.42578125" style="158"/>
    <col min="12033" max="12033" width="16.140625" style="158" customWidth="1"/>
    <col min="12034" max="12034" width="42.28515625" style="158" customWidth="1"/>
    <col min="12035" max="12035" width="17.5703125" style="158" bestFit="1" customWidth="1"/>
    <col min="12036" max="12038" width="11.42578125" style="158"/>
    <col min="12039" max="12039" width="17.7109375" style="158" customWidth="1"/>
    <col min="12040" max="12040" width="18.5703125" style="158" customWidth="1"/>
    <col min="12041" max="12288" width="11.42578125" style="158"/>
    <col min="12289" max="12289" width="16.140625" style="158" customWidth="1"/>
    <col min="12290" max="12290" width="42.28515625" style="158" customWidth="1"/>
    <col min="12291" max="12291" width="17.5703125" style="158" bestFit="1" customWidth="1"/>
    <col min="12292" max="12294" width="11.42578125" style="158"/>
    <col min="12295" max="12295" width="17.7109375" style="158" customWidth="1"/>
    <col min="12296" max="12296" width="18.5703125" style="158" customWidth="1"/>
    <col min="12297" max="12544" width="11.42578125" style="158"/>
    <col min="12545" max="12545" width="16.140625" style="158" customWidth="1"/>
    <col min="12546" max="12546" width="42.28515625" style="158" customWidth="1"/>
    <col min="12547" max="12547" width="17.5703125" style="158" bestFit="1" customWidth="1"/>
    <col min="12548" max="12550" width="11.42578125" style="158"/>
    <col min="12551" max="12551" width="17.7109375" style="158" customWidth="1"/>
    <col min="12552" max="12552" width="18.5703125" style="158" customWidth="1"/>
    <col min="12553" max="12800" width="11.42578125" style="158"/>
    <col min="12801" max="12801" width="16.140625" style="158" customWidth="1"/>
    <col min="12802" max="12802" width="42.28515625" style="158" customWidth="1"/>
    <col min="12803" max="12803" width="17.5703125" style="158" bestFit="1" customWidth="1"/>
    <col min="12804" max="12806" width="11.42578125" style="158"/>
    <col min="12807" max="12807" width="17.7109375" style="158" customWidth="1"/>
    <col min="12808" max="12808" width="18.5703125" style="158" customWidth="1"/>
    <col min="12809" max="13056" width="11.42578125" style="158"/>
    <col min="13057" max="13057" width="16.140625" style="158" customWidth="1"/>
    <col min="13058" max="13058" width="42.28515625" style="158" customWidth="1"/>
    <col min="13059" max="13059" width="17.5703125" style="158" bestFit="1" customWidth="1"/>
    <col min="13060" max="13062" width="11.42578125" style="158"/>
    <col min="13063" max="13063" width="17.7109375" style="158" customWidth="1"/>
    <col min="13064" max="13064" width="18.5703125" style="158" customWidth="1"/>
    <col min="13065" max="13312" width="11.42578125" style="158"/>
    <col min="13313" max="13313" width="16.140625" style="158" customWidth="1"/>
    <col min="13314" max="13314" width="42.28515625" style="158" customWidth="1"/>
    <col min="13315" max="13315" width="17.5703125" style="158" bestFit="1" customWidth="1"/>
    <col min="13316" max="13318" width="11.42578125" style="158"/>
    <col min="13319" max="13319" width="17.7109375" style="158" customWidth="1"/>
    <col min="13320" max="13320" width="18.5703125" style="158" customWidth="1"/>
    <col min="13321" max="13568" width="11.42578125" style="158"/>
    <col min="13569" max="13569" width="16.140625" style="158" customWidth="1"/>
    <col min="13570" max="13570" width="42.28515625" style="158" customWidth="1"/>
    <col min="13571" max="13571" width="17.5703125" style="158" bestFit="1" customWidth="1"/>
    <col min="13572" max="13574" width="11.42578125" style="158"/>
    <col min="13575" max="13575" width="17.7109375" style="158" customWidth="1"/>
    <col min="13576" max="13576" width="18.5703125" style="158" customWidth="1"/>
    <col min="13577" max="13824" width="11.42578125" style="158"/>
    <col min="13825" max="13825" width="16.140625" style="158" customWidth="1"/>
    <col min="13826" max="13826" width="42.28515625" style="158" customWidth="1"/>
    <col min="13827" max="13827" width="17.5703125" style="158" bestFit="1" customWidth="1"/>
    <col min="13828" max="13830" width="11.42578125" style="158"/>
    <col min="13831" max="13831" width="17.7109375" style="158" customWidth="1"/>
    <col min="13832" max="13832" width="18.5703125" style="158" customWidth="1"/>
    <col min="13833" max="14080" width="11.42578125" style="158"/>
    <col min="14081" max="14081" width="16.140625" style="158" customWidth="1"/>
    <col min="14082" max="14082" width="42.28515625" style="158" customWidth="1"/>
    <col min="14083" max="14083" width="17.5703125" style="158" bestFit="1" customWidth="1"/>
    <col min="14084" max="14086" width="11.42578125" style="158"/>
    <col min="14087" max="14087" width="17.7109375" style="158" customWidth="1"/>
    <col min="14088" max="14088" width="18.5703125" style="158" customWidth="1"/>
    <col min="14089" max="14336" width="11.42578125" style="158"/>
    <col min="14337" max="14337" width="16.140625" style="158" customWidth="1"/>
    <col min="14338" max="14338" width="42.28515625" style="158" customWidth="1"/>
    <col min="14339" max="14339" width="17.5703125" style="158" bestFit="1" customWidth="1"/>
    <col min="14340" max="14342" width="11.42578125" style="158"/>
    <col min="14343" max="14343" width="17.7109375" style="158" customWidth="1"/>
    <col min="14344" max="14344" width="18.5703125" style="158" customWidth="1"/>
    <col min="14345" max="14592" width="11.42578125" style="158"/>
    <col min="14593" max="14593" width="16.140625" style="158" customWidth="1"/>
    <col min="14594" max="14594" width="42.28515625" style="158" customWidth="1"/>
    <col min="14595" max="14595" width="17.5703125" style="158" bestFit="1" customWidth="1"/>
    <col min="14596" max="14598" width="11.42578125" style="158"/>
    <col min="14599" max="14599" width="17.7109375" style="158" customWidth="1"/>
    <col min="14600" max="14600" width="18.5703125" style="158" customWidth="1"/>
    <col min="14601" max="14848" width="11.42578125" style="158"/>
    <col min="14849" max="14849" width="16.140625" style="158" customWidth="1"/>
    <col min="14850" max="14850" width="42.28515625" style="158" customWidth="1"/>
    <col min="14851" max="14851" width="17.5703125" style="158" bestFit="1" customWidth="1"/>
    <col min="14852" max="14854" width="11.42578125" style="158"/>
    <col min="14855" max="14855" width="17.7109375" style="158" customWidth="1"/>
    <col min="14856" max="14856" width="18.5703125" style="158" customWidth="1"/>
    <col min="14857" max="15104" width="11.42578125" style="158"/>
    <col min="15105" max="15105" width="16.140625" style="158" customWidth="1"/>
    <col min="15106" max="15106" width="42.28515625" style="158" customWidth="1"/>
    <col min="15107" max="15107" width="17.5703125" style="158" bestFit="1" customWidth="1"/>
    <col min="15108" max="15110" width="11.42578125" style="158"/>
    <col min="15111" max="15111" width="17.7109375" style="158" customWidth="1"/>
    <col min="15112" max="15112" width="18.5703125" style="158" customWidth="1"/>
    <col min="15113" max="15360" width="11.42578125" style="158"/>
    <col min="15361" max="15361" width="16.140625" style="158" customWidth="1"/>
    <col min="15362" max="15362" width="42.28515625" style="158" customWidth="1"/>
    <col min="15363" max="15363" width="17.5703125" style="158" bestFit="1" customWidth="1"/>
    <col min="15364" max="15366" width="11.42578125" style="158"/>
    <col min="15367" max="15367" width="17.7109375" style="158" customWidth="1"/>
    <col min="15368" max="15368" width="18.5703125" style="158" customWidth="1"/>
    <col min="15369" max="15616" width="11.42578125" style="158"/>
    <col min="15617" max="15617" width="16.140625" style="158" customWidth="1"/>
    <col min="15618" max="15618" width="42.28515625" style="158" customWidth="1"/>
    <col min="15619" max="15619" width="17.5703125" style="158" bestFit="1" customWidth="1"/>
    <col min="15620" max="15622" width="11.42578125" style="158"/>
    <col min="15623" max="15623" width="17.7109375" style="158" customWidth="1"/>
    <col min="15624" max="15624" width="18.5703125" style="158" customWidth="1"/>
    <col min="15625" max="15872" width="11.42578125" style="158"/>
    <col min="15873" max="15873" width="16.140625" style="158" customWidth="1"/>
    <col min="15874" max="15874" width="42.28515625" style="158" customWidth="1"/>
    <col min="15875" max="15875" width="17.5703125" style="158" bestFit="1" customWidth="1"/>
    <col min="15876" max="15878" width="11.42578125" style="158"/>
    <col min="15879" max="15879" width="17.7109375" style="158" customWidth="1"/>
    <col min="15880" max="15880" width="18.5703125" style="158" customWidth="1"/>
    <col min="15881" max="16128" width="11.42578125" style="158"/>
    <col min="16129" max="16129" width="16.140625" style="158" customWidth="1"/>
    <col min="16130" max="16130" width="42.28515625" style="158" customWidth="1"/>
    <col min="16131" max="16131" width="17.5703125" style="158" bestFit="1" customWidth="1"/>
    <col min="16132" max="16134" width="11.42578125" style="158"/>
    <col min="16135" max="16135" width="17.7109375" style="158" customWidth="1"/>
    <col min="16136" max="16136" width="18.5703125" style="158" customWidth="1"/>
    <col min="16137" max="16384" width="11.42578125" style="158"/>
  </cols>
  <sheetData>
    <row r="1" spans="1:12" ht="20.25" x14ac:dyDescent="0.3">
      <c r="A1" s="555"/>
      <c r="B1" s="558" t="s">
        <v>135</v>
      </c>
      <c r="C1" s="558"/>
      <c r="D1" s="558"/>
      <c r="E1" s="558"/>
      <c r="F1" s="558"/>
      <c r="G1" s="156" t="s">
        <v>1</v>
      </c>
      <c r="H1" s="157"/>
    </row>
    <row r="2" spans="1:12" ht="21" thickBot="1" x14ac:dyDescent="0.35">
      <c r="A2" s="556"/>
      <c r="B2" s="559" t="s">
        <v>2</v>
      </c>
      <c r="C2" s="559"/>
      <c r="D2" s="559"/>
      <c r="E2" s="559"/>
      <c r="F2" s="559"/>
      <c r="G2" s="159" t="s">
        <v>3</v>
      </c>
      <c r="H2" s="160"/>
    </row>
    <row r="3" spans="1:12" ht="16.5" thickBot="1" x14ac:dyDescent="0.3">
      <c r="A3" s="557"/>
      <c r="B3" s="560" t="s">
        <v>136</v>
      </c>
      <c r="C3" s="561"/>
      <c r="D3" s="561"/>
      <c r="E3" s="561"/>
      <c r="F3" s="562"/>
      <c r="G3" s="563" t="s">
        <v>5</v>
      </c>
      <c r="H3" s="566"/>
    </row>
    <row r="4" spans="1:12" ht="15.75" x14ac:dyDescent="0.25">
      <c r="A4" s="556"/>
      <c r="B4" s="161" t="s">
        <v>6</v>
      </c>
      <c r="C4" s="568" t="s">
        <v>7</v>
      </c>
      <c r="D4" s="569"/>
      <c r="E4" s="569"/>
      <c r="F4" s="570"/>
      <c r="G4" s="564"/>
      <c r="H4" s="567"/>
    </row>
    <row r="5" spans="1:12" ht="16.5" thickBot="1" x14ac:dyDescent="0.3">
      <c r="A5" s="556"/>
      <c r="B5" s="162" t="s">
        <v>8</v>
      </c>
      <c r="C5" s="571" t="s">
        <v>137</v>
      </c>
      <c r="D5" s="572"/>
      <c r="E5" s="572"/>
      <c r="F5" s="573"/>
      <c r="G5" s="565"/>
      <c r="H5" s="567"/>
    </row>
    <row r="6" spans="1:12" ht="31.5" x14ac:dyDescent="0.25">
      <c r="A6" s="574" t="s">
        <v>10</v>
      </c>
      <c r="B6" s="576" t="s">
        <v>138</v>
      </c>
      <c r="C6" s="576" t="s">
        <v>12</v>
      </c>
      <c r="D6" s="576" t="s">
        <v>13</v>
      </c>
      <c r="E6" s="576"/>
      <c r="F6" s="576" t="s">
        <v>14</v>
      </c>
      <c r="G6" s="576"/>
      <c r="H6" s="163" t="s">
        <v>15</v>
      </c>
    </row>
    <row r="7" spans="1:12" ht="32.25" thickBot="1" x14ac:dyDescent="0.3">
      <c r="A7" s="575"/>
      <c r="B7" s="577"/>
      <c r="C7" s="577"/>
      <c r="D7" s="164" t="s">
        <v>16</v>
      </c>
      <c r="E7" s="165" t="s">
        <v>17</v>
      </c>
      <c r="F7" s="164" t="s">
        <v>16</v>
      </c>
      <c r="G7" s="165" t="s">
        <v>17</v>
      </c>
      <c r="H7" s="166" t="s">
        <v>18</v>
      </c>
    </row>
    <row r="8" spans="1:12" ht="15.75" x14ac:dyDescent="0.25">
      <c r="A8" s="167"/>
      <c r="B8" s="168" t="s">
        <v>139</v>
      </c>
      <c r="C8" s="169" t="s">
        <v>140</v>
      </c>
      <c r="D8" s="170">
        <v>10900</v>
      </c>
      <c r="E8" s="171" t="s">
        <v>22</v>
      </c>
      <c r="F8" s="169">
        <v>1</v>
      </c>
      <c r="G8" s="169" t="s">
        <v>64</v>
      </c>
      <c r="H8" s="172"/>
    </row>
    <row r="9" spans="1:12" ht="15.75" x14ac:dyDescent="0.25">
      <c r="A9" s="173"/>
      <c r="B9" s="174"/>
      <c r="C9" s="175"/>
      <c r="D9" s="176"/>
      <c r="E9" s="177"/>
      <c r="F9" s="178"/>
      <c r="G9" s="179"/>
      <c r="H9" s="180"/>
    </row>
    <row r="10" spans="1:12" ht="15.75" x14ac:dyDescent="0.25">
      <c r="A10" s="181" t="s">
        <v>163</v>
      </c>
      <c r="B10" s="182" t="s">
        <v>141</v>
      </c>
      <c r="C10" s="183" t="s">
        <v>140</v>
      </c>
      <c r="D10" s="177">
        <v>270</v>
      </c>
      <c r="E10" s="177" t="s">
        <v>22</v>
      </c>
      <c r="F10" s="178"/>
      <c r="G10" s="184"/>
      <c r="H10" s="180"/>
    </row>
    <row r="11" spans="1:12" ht="15.75" x14ac:dyDescent="0.25">
      <c r="A11" s="181" t="s">
        <v>142</v>
      </c>
      <c r="B11" s="182" t="s">
        <v>143</v>
      </c>
      <c r="C11" s="183" t="s">
        <v>144</v>
      </c>
      <c r="D11" s="177">
        <v>12</v>
      </c>
      <c r="E11" s="177" t="s">
        <v>145</v>
      </c>
      <c r="F11" s="178"/>
      <c r="G11" s="184"/>
      <c r="H11" s="180"/>
    </row>
    <row r="12" spans="1:12" ht="15.75" x14ac:dyDescent="0.25">
      <c r="A12" s="181" t="s">
        <v>146</v>
      </c>
      <c r="B12" s="182" t="s">
        <v>147</v>
      </c>
      <c r="C12" s="183" t="s">
        <v>48</v>
      </c>
      <c r="D12" s="185">
        <v>2</v>
      </c>
      <c r="E12" s="184" t="s">
        <v>148</v>
      </c>
      <c r="F12" s="178"/>
      <c r="G12" s="179"/>
      <c r="H12" s="180"/>
      <c r="I12" s="186"/>
      <c r="J12" s="186"/>
      <c r="K12" s="186"/>
      <c r="L12" s="186"/>
    </row>
    <row r="13" spans="1:12" ht="15.75" x14ac:dyDescent="0.25">
      <c r="A13" s="181" t="s">
        <v>149</v>
      </c>
      <c r="B13" s="182" t="s">
        <v>150</v>
      </c>
      <c r="C13" s="183" t="s">
        <v>54</v>
      </c>
      <c r="D13" s="185">
        <v>2</v>
      </c>
      <c r="E13" s="184" t="s">
        <v>148</v>
      </c>
      <c r="F13" s="178"/>
      <c r="G13" s="179"/>
      <c r="H13" s="180"/>
      <c r="I13" s="186"/>
      <c r="J13" s="186"/>
      <c r="K13" s="186"/>
      <c r="L13" s="186"/>
    </row>
    <row r="14" spans="1:12" ht="17.25" x14ac:dyDescent="0.3">
      <c r="A14" s="187"/>
      <c r="B14" s="188"/>
      <c r="C14" s="189"/>
      <c r="D14" s="190"/>
      <c r="E14" s="190"/>
      <c r="F14" s="190"/>
      <c r="G14" s="190"/>
      <c r="H14" s="180"/>
      <c r="I14" s="186"/>
      <c r="J14" s="186"/>
      <c r="K14" s="186"/>
      <c r="L14" s="186"/>
    </row>
    <row r="15" spans="1:12" ht="16.5" thickBot="1" x14ac:dyDescent="0.3">
      <c r="A15" s="191"/>
      <c r="B15" s="186"/>
      <c r="C15" s="186"/>
      <c r="D15" s="192"/>
      <c r="E15" s="193"/>
      <c r="F15" s="186"/>
      <c r="G15" s="186"/>
      <c r="H15" s="194"/>
      <c r="I15" s="186"/>
      <c r="J15" s="186"/>
      <c r="K15" s="195"/>
      <c r="L15" s="186"/>
    </row>
    <row r="16" spans="1:12" ht="16.5" thickBot="1" x14ac:dyDescent="0.3">
      <c r="A16" s="196"/>
      <c r="B16" s="197"/>
      <c r="C16" s="198" t="s">
        <v>16</v>
      </c>
      <c r="D16" s="199" t="s">
        <v>57</v>
      </c>
      <c r="E16" s="200"/>
      <c r="F16" s="197"/>
      <c r="G16" s="197"/>
      <c r="H16" s="201"/>
      <c r="I16" s="186"/>
      <c r="J16" s="186"/>
      <c r="K16" s="195"/>
      <c r="L16" s="186"/>
    </row>
    <row r="17" spans="1:12" ht="15.75" x14ac:dyDescent="0.25">
      <c r="A17" s="550" t="s">
        <v>58</v>
      </c>
      <c r="B17" s="551"/>
      <c r="C17" s="202">
        <f>C20*C19</f>
        <v>10800</v>
      </c>
      <c r="D17" s="203" t="s">
        <v>22</v>
      </c>
      <c r="E17" s="552" t="s">
        <v>151</v>
      </c>
      <c r="F17" s="552"/>
      <c r="G17" s="553" t="s">
        <v>152</v>
      </c>
      <c r="H17" s="554"/>
      <c r="I17" s="186"/>
      <c r="J17" s="186"/>
      <c r="K17" s="195"/>
      <c r="L17" s="186"/>
    </row>
    <row r="18" spans="1:12" ht="15.75" x14ac:dyDescent="0.25">
      <c r="A18" s="527" t="s">
        <v>60</v>
      </c>
      <c r="B18" s="528"/>
      <c r="C18" s="179">
        <v>10</v>
      </c>
      <c r="D18" s="203" t="s">
        <v>153</v>
      </c>
      <c r="E18" s="549" t="s">
        <v>62</v>
      </c>
      <c r="F18" s="549"/>
      <c r="G18" s="531" t="s">
        <v>154</v>
      </c>
      <c r="H18" s="532"/>
      <c r="I18" s="186"/>
      <c r="J18" s="186"/>
      <c r="K18" s="195"/>
      <c r="L18" s="186"/>
    </row>
    <row r="19" spans="1:12" ht="15.75" x14ac:dyDescent="0.25">
      <c r="A19" s="527" t="s">
        <v>63</v>
      </c>
      <c r="B19" s="528"/>
      <c r="C19" s="178">
        <v>12</v>
      </c>
      <c r="D19" s="203" t="s">
        <v>155</v>
      </c>
      <c r="E19" s="549" t="s">
        <v>156</v>
      </c>
      <c r="F19" s="549"/>
      <c r="G19" s="531" t="s">
        <v>157</v>
      </c>
      <c r="H19" s="532"/>
      <c r="I19" s="186"/>
      <c r="J19" s="186"/>
      <c r="K19" s="195"/>
      <c r="L19" s="186"/>
    </row>
    <row r="20" spans="1:12" ht="15.75" x14ac:dyDescent="0.25">
      <c r="A20" s="527" t="s">
        <v>66</v>
      </c>
      <c r="B20" s="528"/>
      <c r="C20" s="179">
        <v>900</v>
      </c>
      <c r="D20" s="203" t="s">
        <v>22</v>
      </c>
      <c r="E20" s="529" t="s">
        <v>67</v>
      </c>
      <c r="F20" s="530"/>
      <c r="G20" s="531"/>
      <c r="H20" s="532"/>
      <c r="I20" s="186"/>
      <c r="J20" s="186"/>
      <c r="K20" s="195"/>
      <c r="L20" s="204"/>
    </row>
    <row r="21" spans="1:12" ht="16.5" thickBot="1" x14ac:dyDescent="0.3">
      <c r="A21" s="533" t="s">
        <v>68</v>
      </c>
      <c r="B21" s="534"/>
      <c r="C21" s="205">
        <f>SUM(D8)-C17</f>
        <v>100</v>
      </c>
      <c r="D21" s="203" t="s">
        <v>22</v>
      </c>
      <c r="E21" s="534"/>
      <c r="F21" s="534"/>
      <c r="G21" s="535"/>
      <c r="H21" s="536"/>
      <c r="I21" s="186"/>
      <c r="J21" s="186"/>
      <c r="K21" s="195"/>
      <c r="L21" s="186"/>
    </row>
    <row r="22" spans="1:12" ht="16.5" thickBot="1" x14ac:dyDescent="0.3">
      <c r="A22" s="537" t="s">
        <v>69</v>
      </c>
      <c r="B22" s="538"/>
      <c r="C22" s="538"/>
      <c r="D22" s="538"/>
      <c r="E22" s="538"/>
      <c r="F22" s="538"/>
      <c r="G22" s="538"/>
      <c r="H22" s="539"/>
      <c r="I22" s="186"/>
      <c r="J22" s="186"/>
      <c r="K22" s="186"/>
      <c r="L22" s="186"/>
    </row>
    <row r="23" spans="1:12" ht="15.75" x14ac:dyDescent="0.25">
      <c r="A23" s="540" t="s">
        <v>158</v>
      </c>
      <c r="B23" s="541"/>
      <c r="C23" s="541"/>
      <c r="D23" s="541"/>
      <c r="E23" s="541"/>
      <c r="F23" s="541"/>
      <c r="G23" s="541"/>
      <c r="H23" s="542"/>
      <c r="I23" s="186"/>
      <c r="J23" s="186"/>
      <c r="K23" s="186"/>
      <c r="L23" s="186"/>
    </row>
    <row r="24" spans="1:12" ht="15.75" x14ac:dyDescent="0.25">
      <c r="A24" s="540" t="s">
        <v>159</v>
      </c>
      <c r="B24" s="541"/>
      <c r="C24" s="541"/>
      <c r="D24" s="541"/>
      <c r="E24" s="541"/>
      <c r="F24" s="541"/>
      <c r="G24" s="541"/>
      <c r="H24" s="542"/>
      <c r="I24" s="186"/>
      <c r="J24" s="186"/>
      <c r="K24" s="186"/>
      <c r="L24" s="186"/>
    </row>
    <row r="25" spans="1:12" ht="15.75" x14ac:dyDescent="0.25">
      <c r="A25" s="543"/>
      <c r="B25" s="544"/>
      <c r="C25" s="544"/>
      <c r="D25" s="544"/>
      <c r="E25" s="544"/>
      <c r="F25" s="544"/>
      <c r="G25" s="544"/>
      <c r="H25" s="545"/>
      <c r="I25" s="186"/>
      <c r="J25" s="186"/>
      <c r="K25" s="186"/>
      <c r="L25" s="186"/>
    </row>
    <row r="26" spans="1:12" ht="15.75" x14ac:dyDescent="0.25">
      <c r="A26" s="546" t="s">
        <v>160</v>
      </c>
      <c r="B26" s="547"/>
      <c r="C26" s="547"/>
      <c r="D26" s="547"/>
      <c r="E26" s="547"/>
      <c r="F26" s="547"/>
      <c r="G26" s="547"/>
      <c r="H26" s="548"/>
      <c r="I26" s="186"/>
      <c r="J26" s="186"/>
      <c r="K26" s="186"/>
      <c r="L26" s="186"/>
    </row>
    <row r="27" spans="1:12" ht="16.5" thickBot="1" x14ac:dyDescent="0.3">
      <c r="A27" s="524"/>
      <c r="B27" s="525"/>
      <c r="C27" s="525"/>
      <c r="D27" s="525"/>
      <c r="E27" s="525"/>
      <c r="F27" s="525"/>
      <c r="G27" s="525"/>
      <c r="H27" s="526"/>
      <c r="I27" s="186"/>
      <c r="J27" s="186"/>
      <c r="K27" s="186"/>
      <c r="L27" s="186"/>
    </row>
    <row r="28" spans="1:12" ht="15.75" x14ac:dyDescent="0.25">
      <c r="A28" s="206"/>
      <c r="B28" s="186"/>
      <c r="C28" s="186"/>
      <c r="D28" s="186"/>
      <c r="E28" s="186"/>
      <c r="F28" s="186"/>
      <c r="G28" s="186"/>
      <c r="H28" s="186"/>
      <c r="I28" s="186"/>
      <c r="J28" s="186"/>
      <c r="K28" s="186"/>
      <c r="L28" s="186"/>
    </row>
    <row r="29" spans="1:12" x14ac:dyDescent="0.25">
      <c r="A29" s="207"/>
      <c r="B29" s="207"/>
    </row>
  </sheetData>
  <mergeCells count="34">
    <mergeCell ref="A17:B17"/>
    <mergeCell ref="E17:F17"/>
    <mergeCell ref="G17:H17"/>
    <mergeCell ref="A1:A5"/>
    <mergeCell ref="B1:F1"/>
    <mergeCell ref="B2:F2"/>
    <mergeCell ref="B3:F3"/>
    <mergeCell ref="G3:G5"/>
    <mergeCell ref="H3:H5"/>
    <mergeCell ref="C4:F4"/>
    <mergeCell ref="C5:F5"/>
    <mergeCell ref="A6:A7"/>
    <mergeCell ref="B6:B7"/>
    <mergeCell ref="C6:C7"/>
    <mergeCell ref="D6:E6"/>
    <mergeCell ref="F6:G6"/>
    <mergeCell ref="A18:B18"/>
    <mergeCell ref="E18:F18"/>
    <mergeCell ref="G18:H18"/>
    <mergeCell ref="A19:B19"/>
    <mergeCell ref="E19:F19"/>
    <mergeCell ref="G19:H19"/>
    <mergeCell ref="A27:H27"/>
    <mergeCell ref="A20:B20"/>
    <mergeCell ref="E20:F20"/>
    <mergeCell ref="G20:H20"/>
    <mergeCell ref="A21:B21"/>
    <mergeCell ref="E21:F21"/>
    <mergeCell ref="G21:H21"/>
    <mergeCell ref="A22:H22"/>
    <mergeCell ref="A23:H23"/>
    <mergeCell ref="A24:H24"/>
    <mergeCell ref="A25:H25"/>
    <mergeCell ref="A26:H2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2595-0150-4E69-B4BB-5EFE38C78F40}">
  <dimension ref="A1:Q91"/>
  <sheetViews>
    <sheetView topLeftCell="A34" workbookViewId="0">
      <selection activeCell="A45" sqref="A45:XFD45"/>
    </sheetView>
  </sheetViews>
  <sheetFormatPr baseColWidth="10" defaultColWidth="8.42578125" defaultRowHeight="12.75" x14ac:dyDescent="0.25"/>
  <cols>
    <col min="1" max="1" width="10" style="62" bestFit="1" customWidth="1"/>
    <col min="2" max="2" width="44.28515625" style="62" bestFit="1" customWidth="1"/>
    <col min="3" max="3" width="10.42578125" style="62" bestFit="1" customWidth="1"/>
    <col min="4" max="4" width="10.42578125" style="62" customWidth="1"/>
    <col min="5" max="5" width="9.7109375" style="62" bestFit="1" customWidth="1"/>
    <col min="6" max="6" width="9.5703125" style="62" bestFit="1" customWidth="1"/>
    <col min="7" max="7" width="9.5703125" style="211" bestFit="1" customWidth="1"/>
    <col min="8" max="8" width="10.42578125" style="137" bestFit="1" customWidth="1"/>
    <col min="9" max="9" width="4.5703125" style="137" customWidth="1"/>
    <col min="10" max="10" width="1.85546875" style="61" customWidth="1"/>
    <col min="11" max="11" width="7" style="62" bestFit="1" customWidth="1"/>
    <col min="12" max="12" width="6.28515625" style="62" customWidth="1"/>
    <col min="13" max="13" width="20.42578125" style="62" customWidth="1"/>
    <col min="14" max="14" width="6.42578125" style="62" bestFit="1" customWidth="1"/>
    <col min="15" max="16" width="8.42578125" style="62"/>
    <col min="17" max="17" width="3.28515625" style="62" customWidth="1"/>
    <col min="18" max="256" width="8.42578125" style="62"/>
    <col min="257" max="257" width="10" style="62" bestFit="1" customWidth="1"/>
    <col min="258" max="258" width="44.28515625" style="62" bestFit="1" customWidth="1"/>
    <col min="259" max="259" width="10.42578125" style="62" bestFit="1" customWidth="1"/>
    <col min="260" max="260" width="10.42578125" style="62" customWidth="1"/>
    <col min="261" max="261" width="9.7109375" style="62" bestFit="1" customWidth="1"/>
    <col min="262" max="263" width="9.5703125" style="62" bestFit="1" customWidth="1"/>
    <col min="264" max="264" width="10.42578125" style="62" bestFit="1" customWidth="1"/>
    <col min="265" max="265" width="4.5703125" style="62" customWidth="1"/>
    <col min="266" max="266" width="1.85546875" style="62" customWidth="1"/>
    <col min="267" max="267" width="7" style="62" bestFit="1" customWidth="1"/>
    <col min="268" max="268" width="6.28515625" style="62" customWidth="1"/>
    <col min="269" max="269" width="20.42578125" style="62" customWidth="1"/>
    <col min="270" max="270" width="6.42578125" style="62" bestFit="1" customWidth="1"/>
    <col min="271" max="272" width="8.42578125" style="62"/>
    <col min="273" max="273" width="3.28515625" style="62" customWidth="1"/>
    <col min="274" max="512" width="8.42578125" style="62"/>
    <col min="513" max="513" width="10" style="62" bestFit="1" customWidth="1"/>
    <col min="514" max="514" width="44.28515625" style="62" bestFit="1" customWidth="1"/>
    <col min="515" max="515" width="10.42578125" style="62" bestFit="1" customWidth="1"/>
    <col min="516" max="516" width="10.42578125" style="62" customWidth="1"/>
    <col min="517" max="517" width="9.7109375" style="62" bestFit="1" customWidth="1"/>
    <col min="518" max="519" width="9.5703125" style="62" bestFit="1" customWidth="1"/>
    <col min="520" max="520" width="10.42578125" style="62" bestFit="1" customWidth="1"/>
    <col min="521" max="521" width="4.5703125" style="62" customWidth="1"/>
    <col min="522" max="522" width="1.85546875" style="62" customWidth="1"/>
    <col min="523" max="523" width="7" style="62" bestFit="1" customWidth="1"/>
    <col min="524" max="524" width="6.28515625" style="62" customWidth="1"/>
    <col min="525" max="525" width="20.42578125" style="62" customWidth="1"/>
    <col min="526" max="526" width="6.42578125" style="62" bestFit="1" customWidth="1"/>
    <col min="527" max="528" width="8.42578125" style="62"/>
    <col min="529" max="529" width="3.28515625" style="62" customWidth="1"/>
    <col min="530" max="768" width="8.42578125" style="62"/>
    <col min="769" max="769" width="10" style="62" bestFit="1" customWidth="1"/>
    <col min="770" max="770" width="44.28515625" style="62" bestFit="1" customWidth="1"/>
    <col min="771" max="771" width="10.42578125" style="62" bestFit="1" customWidth="1"/>
    <col min="772" max="772" width="10.42578125" style="62" customWidth="1"/>
    <col min="773" max="773" width="9.7109375" style="62" bestFit="1" customWidth="1"/>
    <col min="774" max="775" width="9.5703125" style="62" bestFit="1" customWidth="1"/>
    <col min="776" max="776" width="10.42578125" style="62" bestFit="1" customWidth="1"/>
    <col min="777" max="777" width="4.5703125" style="62" customWidth="1"/>
    <col min="778" max="778" width="1.85546875" style="62" customWidth="1"/>
    <col min="779" max="779" width="7" style="62" bestFit="1" customWidth="1"/>
    <col min="780" max="780" width="6.28515625" style="62" customWidth="1"/>
    <col min="781" max="781" width="20.42578125" style="62" customWidth="1"/>
    <col min="782" max="782" width="6.42578125" style="62" bestFit="1" customWidth="1"/>
    <col min="783" max="784" width="8.42578125" style="62"/>
    <col min="785" max="785" width="3.28515625" style="62" customWidth="1"/>
    <col min="786" max="1024" width="8.42578125" style="62"/>
    <col min="1025" max="1025" width="10" style="62" bestFit="1" customWidth="1"/>
    <col min="1026" max="1026" width="44.28515625" style="62" bestFit="1" customWidth="1"/>
    <col min="1027" max="1027" width="10.42578125" style="62" bestFit="1" customWidth="1"/>
    <col min="1028" max="1028" width="10.42578125" style="62" customWidth="1"/>
    <col min="1029" max="1029" width="9.7109375" style="62" bestFit="1" customWidth="1"/>
    <col min="1030" max="1031" width="9.5703125" style="62" bestFit="1" customWidth="1"/>
    <col min="1032" max="1032" width="10.42578125" style="62" bestFit="1" customWidth="1"/>
    <col min="1033" max="1033" width="4.5703125" style="62" customWidth="1"/>
    <col min="1034" max="1034" width="1.85546875" style="62" customWidth="1"/>
    <col min="1035" max="1035" width="7" style="62" bestFit="1" customWidth="1"/>
    <col min="1036" max="1036" width="6.28515625" style="62" customWidth="1"/>
    <col min="1037" max="1037" width="20.42578125" style="62" customWidth="1"/>
    <col min="1038" max="1038" width="6.42578125" style="62" bestFit="1" customWidth="1"/>
    <col min="1039" max="1040" width="8.42578125" style="62"/>
    <col min="1041" max="1041" width="3.28515625" style="62" customWidth="1"/>
    <col min="1042" max="1280" width="8.42578125" style="62"/>
    <col min="1281" max="1281" width="10" style="62" bestFit="1" customWidth="1"/>
    <col min="1282" max="1282" width="44.28515625" style="62" bestFit="1" customWidth="1"/>
    <col min="1283" max="1283" width="10.42578125" style="62" bestFit="1" customWidth="1"/>
    <col min="1284" max="1284" width="10.42578125" style="62" customWidth="1"/>
    <col min="1285" max="1285" width="9.7109375" style="62" bestFit="1" customWidth="1"/>
    <col min="1286" max="1287" width="9.5703125" style="62" bestFit="1" customWidth="1"/>
    <col min="1288" max="1288" width="10.42578125" style="62" bestFit="1" customWidth="1"/>
    <col min="1289" max="1289" width="4.5703125" style="62" customWidth="1"/>
    <col min="1290" max="1290" width="1.85546875" style="62" customWidth="1"/>
    <col min="1291" max="1291" width="7" style="62" bestFit="1" customWidth="1"/>
    <col min="1292" max="1292" width="6.28515625" style="62" customWidth="1"/>
    <col min="1293" max="1293" width="20.42578125" style="62" customWidth="1"/>
    <col min="1294" max="1294" width="6.42578125" style="62" bestFit="1" customWidth="1"/>
    <col min="1295" max="1296" width="8.42578125" style="62"/>
    <col min="1297" max="1297" width="3.28515625" style="62" customWidth="1"/>
    <col min="1298" max="1536" width="8.42578125" style="62"/>
    <col min="1537" max="1537" width="10" style="62" bestFit="1" customWidth="1"/>
    <col min="1538" max="1538" width="44.28515625" style="62" bestFit="1" customWidth="1"/>
    <col min="1539" max="1539" width="10.42578125" style="62" bestFit="1" customWidth="1"/>
    <col min="1540" max="1540" width="10.42578125" style="62" customWidth="1"/>
    <col min="1541" max="1541" width="9.7109375" style="62" bestFit="1" customWidth="1"/>
    <col min="1542" max="1543" width="9.5703125" style="62" bestFit="1" customWidth="1"/>
    <col min="1544" max="1544" width="10.42578125" style="62" bestFit="1" customWidth="1"/>
    <col min="1545" max="1545" width="4.5703125" style="62" customWidth="1"/>
    <col min="1546" max="1546" width="1.85546875" style="62" customWidth="1"/>
    <col min="1547" max="1547" width="7" style="62" bestFit="1" customWidth="1"/>
    <col min="1548" max="1548" width="6.28515625" style="62" customWidth="1"/>
    <col min="1549" max="1549" width="20.42578125" style="62" customWidth="1"/>
    <col min="1550" max="1550" width="6.42578125" style="62" bestFit="1" customWidth="1"/>
    <col min="1551" max="1552" width="8.42578125" style="62"/>
    <col min="1553" max="1553" width="3.28515625" style="62" customWidth="1"/>
    <col min="1554" max="1792" width="8.42578125" style="62"/>
    <col min="1793" max="1793" width="10" style="62" bestFit="1" customWidth="1"/>
    <col min="1794" max="1794" width="44.28515625" style="62" bestFit="1" customWidth="1"/>
    <col min="1795" max="1795" width="10.42578125" style="62" bestFit="1" customWidth="1"/>
    <col min="1796" max="1796" width="10.42578125" style="62" customWidth="1"/>
    <col min="1797" max="1797" width="9.7109375" style="62" bestFit="1" customWidth="1"/>
    <col min="1798" max="1799" width="9.5703125" style="62" bestFit="1" customWidth="1"/>
    <col min="1800" max="1800" width="10.42578125" style="62" bestFit="1" customWidth="1"/>
    <col min="1801" max="1801" width="4.5703125" style="62" customWidth="1"/>
    <col min="1802" max="1802" width="1.85546875" style="62" customWidth="1"/>
    <col min="1803" max="1803" width="7" style="62" bestFit="1" customWidth="1"/>
    <col min="1804" max="1804" width="6.28515625" style="62" customWidth="1"/>
    <col min="1805" max="1805" width="20.42578125" style="62" customWidth="1"/>
    <col min="1806" max="1806" width="6.42578125" style="62" bestFit="1" customWidth="1"/>
    <col min="1807" max="1808" width="8.42578125" style="62"/>
    <col min="1809" max="1809" width="3.28515625" style="62" customWidth="1"/>
    <col min="1810" max="2048" width="8.42578125" style="62"/>
    <col min="2049" max="2049" width="10" style="62" bestFit="1" customWidth="1"/>
    <col min="2050" max="2050" width="44.28515625" style="62" bestFit="1" customWidth="1"/>
    <col min="2051" max="2051" width="10.42578125" style="62" bestFit="1" customWidth="1"/>
    <col min="2052" max="2052" width="10.42578125" style="62" customWidth="1"/>
    <col min="2053" max="2053" width="9.7109375" style="62" bestFit="1" customWidth="1"/>
    <col min="2054" max="2055" width="9.5703125" style="62" bestFit="1" customWidth="1"/>
    <col min="2056" max="2056" width="10.42578125" style="62" bestFit="1" customWidth="1"/>
    <col min="2057" max="2057" width="4.5703125" style="62" customWidth="1"/>
    <col min="2058" max="2058" width="1.85546875" style="62" customWidth="1"/>
    <col min="2059" max="2059" width="7" style="62" bestFit="1" customWidth="1"/>
    <col min="2060" max="2060" width="6.28515625" style="62" customWidth="1"/>
    <col min="2061" max="2061" width="20.42578125" style="62" customWidth="1"/>
    <col min="2062" max="2062" width="6.42578125" style="62" bestFit="1" customWidth="1"/>
    <col min="2063" max="2064" width="8.42578125" style="62"/>
    <col min="2065" max="2065" width="3.28515625" style="62" customWidth="1"/>
    <col min="2066" max="2304" width="8.42578125" style="62"/>
    <col min="2305" max="2305" width="10" style="62" bestFit="1" customWidth="1"/>
    <col min="2306" max="2306" width="44.28515625" style="62" bestFit="1" customWidth="1"/>
    <col min="2307" max="2307" width="10.42578125" style="62" bestFit="1" customWidth="1"/>
    <col min="2308" max="2308" width="10.42578125" style="62" customWidth="1"/>
    <col min="2309" max="2309" width="9.7109375" style="62" bestFit="1" customWidth="1"/>
    <col min="2310" max="2311" width="9.5703125" style="62" bestFit="1" customWidth="1"/>
    <col min="2312" max="2312" width="10.42578125" style="62" bestFit="1" customWidth="1"/>
    <col min="2313" max="2313" width="4.5703125" style="62" customWidth="1"/>
    <col min="2314" max="2314" width="1.85546875" style="62" customWidth="1"/>
    <col min="2315" max="2315" width="7" style="62" bestFit="1" customWidth="1"/>
    <col min="2316" max="2316" width="6.28515625" style="62" customWidth="1"/>
    <col min="2317" max="2317" width="20.42578125" style="62" customWidth="1"/>
    <col min="2318" max="2318" width="6.42578125" style="62" bestFit="1" customWidth="1"/>
    <col min="2319" max="2320" width="8.42578125" style="62"/>
    <col min="2321" max="2321" width="3.28515625" style="62" customWidth="1"/>
    <col min="2322" max="2560" width="8.42578125" style="62"/>
    <col min="2561" max="2561" width="10" style="62" bestFit="1" customWidth="1"/>
    <col min="2562" max="2562" width="44.28515625" style="62" bestFit="1" customWidth="1"/>
    <col min="2563" max="2563" width="10.42578125" style="62" bestFit="1" customWidth="1"/>
    <col min="2564" max="2564" width="10.42578125" style="62" customWidth="1"/>
    <col min="2565" max="2565" width="9.7109375" style="62" bestFit="1" customWidth="1"/>
    <col min="2566" max="2567" width="9.5703125" style="62" bestFit="1" customWidth="1"/>
    <col min="2568" max="2568" width="10.42578125" style="62" bestFit="1" customWidth="1"/>
    <col min="2569" max="2569" width="4.5703125" style="62" customWidth="1"/>
    <col min="2570" max="2570" width="1.85546875" style="62" customWidth="1"/>
    <col min="2571" max="2571" width="7" style="62" bestFit="1" customWidth="1"/>
    <col min="2572" max="2572" width="6.28515625" style="62" customWidth="1"/>
    <col min="2573" max="2573" width="20.42578125" style="62" customWidth="1"/>
    <col min="2574" max="2574" width="6.42578125" style="62" bestFit="1" customWidth="1"/>
    <col min="2575" max="2576" width="8.42578125" style="62"/>
    <col min="2577" max="2577" width="3.28515625" style="62" customWidth="1"/>
    <col min="2578" max="2816" width="8.42578125" style="62"/>
    <col min="2817" max="2817" width="10" style="62" bestFit="1" customWidth="1"/>
    <col min="2818" max="2818" width="44.28515625" style="62" bestFit="1" customWidth="1"/>
    <col min="2819" max="2819" width="10.42578125" style="62" bestFit="1" customWidth="1"/>
    <col min="2820" max="2820" width="10.42578125" style="62" customWidth="1"/>
    <col min="2821" max="2821" width="9.7109375" style="62" bestFit="1" customWidth="1"/>
    <col min="2822" max="2823" width="9.5703125" style="62" bestFit="1" customWidth="1"/>
    <col min="2824" max="2824" width="10.42578125" style="62" bestFit="1" customWidth="1"/>
    <col min="2825" max="2825" width="4.5703125" style="62" customWidth="1"/>
    <col min="2826" max="2826" width="1.85546875" style="62" customWidth="1"/>
    <col min="2827" max="2827" width="7" style="62" bestFit="1" customWidth="1"/>
    <col min="2828" max="2828" width="6.28515625" style="62" customWidth="1"/>
    <col min="2829" max="2829" width="20.42578125" style="62" customWidth="1"/>
    <col min="2830" max="2830" width="6.42578125" style="62" bestFit="1" customWidth="1"/>
    <col min="2831" max="2832" width="8.42578125" style="62"/>
    <col min="2833" max="2833" width="3.28515625" style="62" customWidth="1"/>
    <col min="2834" max="3072" width="8.42578125" style="62"/>
    <col min="3073" max="3073" width="10" style="62" bestFit="1" customWidth="1"/>
    <col min="3074" max="3074" width="44.28515625" style="62" bestFit="1" customWidth="1"/>
    <col min="3075" max="3075" width="10.42578125" style="62" bestFit="1" customWidth="1"/>
    <col min="3076" max="3076" width="10.42578125" style="62" customWidth="1"/>
    <col min="3077" max="3077" width="9.7109375" style="62" bestFit="1" customWidth="1"/>
    <col min="3078" max="3079" width="9.5703125" style="62" bestFit="1" customWidth="1"/>
    <col min="3080" max="3080" width="10.42578125" style="62" bestFit="1" customWidth="1"/>
    <col min="3081" max="3081" width="4.5703125" style="62" customWidth="1"/>
    <col min="3082" max="3082" width="1.85546875" style="62" customWidth="1"/>
    <col min="3083" max="3083" width="7" style="62" bestFit="1" customWidth="1"/>
    <col min="3084" max="3084" width="6.28515625" style="62" customWidth="1"/>
    <col min="3085" max="3085" width="20.42578125" style="62" customWidth="1"/>
    <col min="3086" max="3086" width="6.42578125" style="62" bestFit="1" customWidth="1"/>
    <col min="3087" max="3088" width="8.42578125" style="62"/>
    <col min="3089" max="3089" width="3.28515625" style="62" customWidth="1"/>
    <col min="3090" max="3328" width="8.42578125" style="62"/>
    <col min="3329" max="3329" width="10" style="62" bestFit="1" customWidth="1"/>
    <col min="3330" max="3330" width="44.28515625" style="62" bestFit="1" customWidth="1"/>
    <col min="3331" max="3331" width="10.42578125" style="62" bestFit="1" customWidth="1"/>
    <col min="3332" max="3332" width="10.42578125" style="62" customWidth="1"/>
    <col min="3333" max="3333" width="9.7109375" style="62" bestFit="1" customWidth="1"/>
    <col min="3334" max="3335" width="9.5703125" style="62" bestFit="1" customWidth="1"/>
    <col min="3336" max="3336" width="10.42578125" style="62" bestFit="1" customWidth="1"/>
    <col min="3337" max="3337" width="4.5703125" style="62" customWidth="1"/>
    <col min="3338" max="3338" width="1.85546875" style="62" customWidth="1"/>
    <col min="3339" max="3339" width="7" style="62" bestFit="1" customWidth="1"/>
    <col min="3340" max="3340" width="6.28515625" style="62" customWidth="1"/>
    <col min="3341" max="3341" width="20.42578125" style="62" customWidth="1"/>
    <col min="3342" max="3342" width="6.42578125" style="62" bestFit="1" customWidth="1"/>
    <col min="3343" max="3344" width="8.42578125" style="62"/>
    <col min="3345" max="3345" width="3.28515625" style="62" customWidth="1"/>
    <col min="3346" max="3584" width="8.42578125" style="62"/>
    <col min="3585" max="3585" width="10" style="62" bestFit="1" customWidth="1"/>
    <col min="3586" max="3586" width="44.28515625" style="62" bestFit="1" customWidth="1"/>
    <col min="3587" max="3587" width="10.42578125" style="62" bestFit="1" customWidth="1"/>
    <col min="3588" max="3588" width="10.42578125" style="62" customWidth="1"/>
    <col min="3589" max="3589" width="9.7109375" style="62" bestFit="1" customWidth="1"/>
    <col min="3590" max="3591" width="9.5703125" style="62" bestFit="1" customWidth="1"/>
    <col min="3592" max="3592" width="10.42578125" style="62" bestFit="1" customWidth="1"/>
    <col min="3593" max="3593" width="4.5703125" style="62" customWidth="1"/>
    <col min="3594" max="3594" width="1.85546875" style="62" customWidth="1"/>
    <col min="3595" max="3595" width="7" style="62" bestFit="1" customWidth="1"/>
    <col min="3596" max="3596" width="6.28515625" style="62" customWidth="1"/>
    <col min="3597" max="3597" width="20.42578125" style="62" customWidth="1"/>
    <col min="3598" max="3598" width="6.42578125" style="62" bestFit="1" customWidth="1"/>
    <col min="3599" max="3600" width="8.42578125" style="62"/>
    <col min="3601" max="3601" width="3.28515625" style="62" customWidth="1"/>
    <col min="3602" max="3840" width="8.42578125" style="62"/>
    <col min="3841" max="3841" width="10" style="62" bestFit="1" customWidth="1"/>
    <col min="3842" max="3842" width="44.28515625" style="62" bestFit="1" customWidth="1"/>
    <col min="3843" max="3843" width="10.42578125" style="62" bestFit="1" customWidth="1"/>
    <col min="3844" max="3844" width="10.42578125" style="62" customWidth="1"/>
    <col min="3845" max="3845" width="9.7109375" style="62" bestFit="1" customWidth="1"/>
    <col min="3846" max="3847" width="9.5703125" style="62" bestFit="1" customWidth="1"/>
    <col min="3848" max="3848" width="10.42578125" style="62" bestFit="1" customWidth="1"/>
    <col min="3849" max="3849" width="4.5703125" style="62" customWidth="1"/>
    <col min="3850" max="3850" width="1.85546875" style="62" customWidth="1"/>
    <col min="3851" max="3851" width="7" style="62" bestFit="1" customWidth="1"/>
    <col min="3852" max="3852" width="6.28515625" style="62" customWidth="1"/>
    <col min="3853" max="3853" width="20.42578125" style="62" customWidth="1"/>
    <col min="3854" max="3854" width="6.42578125" style="62" bestFit="1" customWidth="1"/>
    <col min="3855" max="3856" width="8.42578125" style="62"/>
    <col min="3857" max="3857" width="3.28515625" style="62" customWidth="1"/>
    <col min="3858" max="4096" width="8.42578125" style="62"/>
    <col min="4097" max="4097" width="10" style="62" bestFit="1" customWidth="1"/>
    <col min="4098" max="4098" width="44.28515625" style="62" bestFit="1" customWidth="1"/>
    <col min="4099" max="4099" width="10.42578125" style="62" bestFit="1" customWidth="1"/>
    <col min="4100" max="4100" width="10.42578125" style="62" customWidth="1"/>
    <col min="4101" max="4101" width="9.7109375" style="62" bestFit="1" customWidth="1"/>
    <col min="4102" max="4103" width="9.5703125" style="62" bestFit="1" customWidth="1"/>
    <col min="4104" max="4104" width="10.42578125" style="62" bestFit="1" customWidth="1"/>
    <col min="4105" max="4105" width="4.5703125" style="62" customWidth="1"/>
    <col min="4106" max="4106" width="1.85546875" style="62" customWidth="1"/>
    <col min="4107" max="4107" width="7" style="62" bestFit="1" customWidth="1"/>
    <col min="4108" max="4108" width="6.28515625" style="62" customWidth="1"/>
    <col min="4109" max="4109" width="20.42578125" style="62" customWidth="1"/>
    <col min="4110" max="4110" width="6.42578125" style="62" bestFit="1" customWidth="1"/>
    <col min="4111" max="4112" width="8.42578125" style="62"/>
    <col min="4113" max="4113" width="3.28515625" style="62" customWidth="1"/>
    <col min="4114" max="4352" width="8.42578125" style="62"/>
    <col min="4353" max="4353" width="10" style="62" bestFit="1" customWidth="1"/>
    <col min="4354" max="4354" width="44.28515625" style="62" bestFit="1" customWidth="1"/>
    <col min="4355" max="4355" width="10.42578125" style="62" bestFit="1" customWidth="1"/>
    <col min="4356" max="4356" width="10.42578125" style="62" customWidth="1"/>
    <col min="4357" max="4357" width="9.7109375" style="62" bestFit="1" customWidth="1"/>
    <col min="4358" max="4359" width="9.5703125" style="62" bestFit="1" customWidth="1"/>
    <col min="4360" max="4360" width="10.42578125" style="62" bestFit="1" customWidth="1"/>
    <col min="4361" max="4361" width="4.5703125" style="62" customWidth="1"/>
    <col min="4362" max="4362" width="1.85546875" style="62" customWidth="1"/>
    <col min="4363" max="4363" width="7" style="62" bestFit="1" customWidth="1"/>
    <col min="4364" max="4364" width="6.28515625" style="62" customWidth="1"/>
    <col min="4365" max="4365" width="20.42578125" style="62" customWidth="1"/>
    <col min="4366" max="4366" width="6.42578125" style="62" bestFit="1" customWidth="1"/>
    <col min="4367" max="4368" width="8.42578125" style="62"/>
    <col min="4369" max="4369" width="3.28515625" style="62" customWidth="1"/>
    <col min="4370" max="4608" width="8.42578125" style="62"/>
    <col min="4609" max="4609" width="10" style="62" bestFit="1" customWidth="1"/>
    <col min="4610" max="4610" width="44.28515625" style="62" bestFit="1" customWidth="1"/>
    <col min="4611" max="4611" width="10.42578125" style="62" bestFit="1" customWidth="1"/>
    <col min="4612" max="4612" width="10.42578125" style="62" customWidth="1"/>
    <col min="4613" max="4613" width="9.7109375" style="62" bestFit="1" customWidth="1"/>
    <col min="4614" max="4615" width="9.5703125" style="62" bestFit="1" customWidth="1"/>
    <col min="4616" max="4616" width="10.42578125" style="62" bestFit="1" customWidth="1"/>
    <col min="4617" max="4617" width="4.5703125" style="62" customWidth="1"/>
    <col min="4618" max="4618" width="1.85546875" style="62" customWidth="1"/>
    <col min="4619" max="4619" width="7" style="62" bestFit="1" customWidth="1"/>
    <col min="4620" max="4620" width="6.28515625" style="62" customWidth="1"/>
    <col min="4621" max="4621" width="20.42578125" style="62" customWidth="1"/>
    <col min="4622" max="4622" width="6.42578125" style="62" bestFit="1" customWidth="1"/>
    <col min="4623" max="4624" width="8.42578125" style="62"/>
    <col min="4625" max="4625" width="3.28515625" style="62" customWidth="1"/>
    <col min="4626" max="4864" width="8.42578125" style="62"/>
    <col min="4865" max="4865" width="10" style="62" bestFit="1" customWidth="1"/>
    <col min="4866" max="4866" width="44.28515625" style="62" bestFit="1" customWidth="1"/>
    <col min="4867" max="4867" width="10.42578125" style="62" bestFit="1" customWidth="1"/>
    <col min="4868" max="4868" width="10.42578125" style="62" customWidth="1"/>
    <col min="4869" max="4869" width="9.7109375" style="62" bestFit="1" customWidth="1"/>
    <col min="4870" max="4871" width="9.5703125" style="62" bestFit="1" customWidth="1"/>
    <col min="4872" max="4872" width="10.42578125" style="62" bestFit="1" customWidth="1"/>
    <col min="4873" max="4873" width="4.5703125" style="62" customWidth="1"/>
    <col min="4874" max="4874" width="1.85546875" style="62" customWidth="1"/>
    <col min="4875" max="4875" width="7" style="62" bestFit="1" customWidth="1"/>
    <col min="4876" max="4876" width="6.28515625" style="62" customWidth="1"/>
    <col min="4877" max="4877" width="20.42578125" style="62" customWidth="1"/>
    <col min="4878" max="4878" width="6.42578125" style="62" bestFit="1" customWidth="1"/>
    <col min="4879" max="4880" width="8.42578125" style="62"/>
    <col min="4881" max="4881" width="3.28515625" style="62" customWidth="1"/>
    <col min="4882" max="5120" width="8.42578125" style="62"/>
    <col min="5121" max="5121" width="10" style="62" bestFit="1" customWidth="1"/>
    <col min="5122" max="5122" width="44.28515625" style="62" bestFit="1" customWidth="1"/>
    <col min="5123" max="5123" width="10.42578125" style="62" bestFit="1" customWidth="1"/>
    <col min="5124" max="5124" width="10.42578125" style="62" customWidth="1"/>
    <col min="5125" max="5125" width="9.7109375" style="62" bestFit="1" customWidth="1"/>
    <col min="5126" max="5127" width="9.5703125" style="62" bestFit="1" customWidth="1"/>
    <col min="5128" max="5128" width="10.42578125" style="62" bestFit="1" customWidth="1"/>
    <col min="5129" max="5129" width="4.5703125" style="62" customWidth="1"/>
    <col min="5130" max="5130" width="1.85546875" style="62" customWidth="1"/>
    <col min="5131" max="5131" width="7" style="62" bestFit="1" customWidth="1"/>
    <col min="5132" max="5132" width="6.28515625" style="62" customWidth="1"/>
    <col min="5133" max="5133" width="20.42578125" style="62" customWidth="1"/>
    <col min="5134" max="5134" width="6.42578125" style="62" bestFit="1" customWidth="1"/>
    <col min="5135" max="5136" width="8.42578125" style="62"/>
    <col min="5137" max="5137" width="3.28515625" style="62" customWidth="1"/>
    <col min="5138" max="5376" width="8.42578125" style="62"/>
    <col min="5377" max="5377" width="10" style="62" bestFit="1" customWidth="1"/>
    <col min="5378" max="5378" width="44.28515625" style="62" bestFit="1" customWidth="1"/>
    <col min="5379" max="5379" width="10.42578125" style="62" bestFit="1" customWidth="1"/>
    <col min="5380" max="5380" width="10.42578125" style="62" customWidth="1"/>
    <col min="5381" max="5381" width="9.7109375" style="62" bestFit="1" customWidth="1"/>
    <col min="5382" max="5383" width="9.5703125" style="62" bestFit="1" customWidth="1"/>
    <col min="5384" max="5384" width="10.42578125" style="62" bestFit="1" customWidth="1"/>
    <col min="5385" max="5385" width="4.5703125" style="62" customWidth="1"/>
    <col min="5386" max="5386" width="1.85546875" style="62" customWidth="1"/>
    <col min="5387" max="5387" width="7" style="62" bestFit="1" customWidth="1"/>
    <col min="5388" max="5388" width="6.28515625" style="62" customWidth="1"/>
    <col min="5389" max="5389" width="20.42578125" style="62" customWidth="1"/>
    <col min="5390" max="5390" width="6.42578125" style="62" bestFit="1" customWidth="1"/>
    <col min="5391" max="5392" width="8.42578125" style="62"/>
    <col min="5393" max="5393" width="3.28515625" style="62" customWidth="1"/>
    <col min="5394" max="5632" width="8.42578125" style="62"/>
    <col min="5633" max="5633" width="10" style="62" bestFit="1" customWidth="1"/>
    <col min="5634" max="5634" width="44.28515625" style="62" bestFit="1" customWidth="1"/>
    <col min="5635" max="5635" width="10.42578125" style="62" bestFit="1" customWidth="1"/>
    <col min="5636" max="5636" width="10.42578125" style="62" customWidth="1"/>
    <col min="5637" max="5637" width="9.7109375" style="62" bestFit="1" customWidth="1"/>
    <col min="5638" max="5639" width="9.5703125" style="62" bestFit="1" customWidth="1"/>
    <col min="5640" max="5640" width="10.42578125" style="62" bestFit="1" customWidth="1"/>
    <col min="5641" max="5641" width="4.5703125" style="62" customWidth="1"/>
    <col min="5642" max="5642" width="1.85546875" style="62" customWidth="1"/>
    <col min="5643" max="5643" width="7" style="62" bestFit="1" customWidth="1"/>
    <col min="5644" max="5644" width="6.28515625" style="62" customWidth="1"/>
    <col min="5645" max="5645" width="20.42578125" style="62" customWidth="1"/>
    <col min="5646" max="5646" width="6.42578125" style="62" bestFit="1" customWidth="1"/>
    <col min="5647" max="5648" width="8.42578125" style="62"/>
    <col min="5649" max="5649" width="3.28515625" style="62" customWidth="1"/>
    <col min="5650" max="5888" width="8.42578125" style="62"/>
    <col min="5889" max="5889" width="10" style="62" bestFit="1" customWidth="1"/>
    <col min="5890" max="5890" width="44.28515625" style="62" bestFit="1" customWidth="1"/>
    <col min="5891" max="5891" width="10.42578125" style="62" bestFit="1" customWidth="1"/>
    <col min="5892" max="5892" width="10.42578125" style="62" customWidth="1"/>
    <col min="5893" max="5893" width="9.7109375" style="62" bestFit="1" customWidth="1"/>
    <col min="5894" max="5895" width="9.5703125" style="62" bestFit="1" customWidth="1"/>
    <col min="5896" max="5896" width="10.42578125" style="62" bestFit="1" customWidth="1"/>
    <col min="5897" max="5897" width="4.5703125" style="62" customWidth="1"/>
    <col min="5898" max="5898" width="1.85546875" style="62" customWidth="1"/>
    <col min="5899" max="5899" width="7" style="62" bestFit="1" customWidth="1"/>
    <col min="5900" max="5900" width="6.28515625" style="62" customWidth="1"/>
    <col min="5901" max="5901" width="20.42578125" style="62" customWidth="1"/>
    <col min="5902" max="5902" width="6.42578125" style="62" bestFit="1" customWidth="1"/>
    <col min="5903" max="5904" width="8.42578125" style="62"/>
    <col min="5905" max="5905" width="3.28515625" style="62" customWidth="1"/>
    <col min="5906" max="6144" width="8.42578125" style="62"/>
    <col min="6145" max="6145" width="10" style="62" bestFit="1" customWidth="1"/>
    <col min="6146" max="6146" width="44.28515625" style="62" bestFit="1" customWidth="1"/>
    <col min="6147" max="6147" width="10.42578125" style="62" bestFit="1" customWidth="1"/>
    <col min="6148" max="6148" width="10.42578125" style="62" customWidth="1"/>
    <col min="6149" max="6149" width="9.7109375" style="62" bestFit="1" customWidth="1"/>
    <col min="6150" max="6151" width="9.5703125" style="62" bestFit="1" customWidth="1"/>
    <col min="6152" max="6152" width="10.42578125" style="62" bestFit="1" customWidth="1"/>
    <col min="6153" max="6153" width="4.5703125" style="62" customWidth="1"/>
    <col min="6154" max="6154" width="1.85546875" style="62" customWidth="1"/>
    <col min="6155" max="6155" width="7" style="62" bestFit="1" customWidth="1"/>
    <col min="6156" max="6156" width="6.28515625" style="62" customWidth="1"/>
    <col min="6157" max="6157" width="20.42578125" style="62" customWidth="1"/>
    <col min="6158" max="6158" width="6.42578125" style="62" bestFit="1" customWidth="1"/>
    <col min="6159" max="6160" width="8.42578125" style="62"/>
    <col min="6161" max="6161" width="3.28515625" style="62" customWidth="1"/>
    <col min="6162" max="6400" width="8.42578125" style="62"/>
    <col min="6401" max="6401" width="10" style="62" bestFit="1" customWidth="1"/>
    <col min="6402" max="6402" width="44.28515625" style="62" bestFit="1" customWidth="1"/>
    <col min="6403" max="6403" width="10.42578125" style="62" bestFit="1" customWidth="1"/>
    <col min="6404" max="6404" width="10.42578125" style="62" customWidth="1"/>
    <col min="6405" max="6405" width="9.7109375" style="62" bestFit="1" customWidth="1"/>
    <col min="6406" max="6407" width="9.5703125" style="62" bestFit="1" customWidth="1"/>
    <col min="6408" max="6408" width="10.42578125" style="62" bestFit="1" customWidth="1"/>
    <col min="6409" max="6409" width="4.5703125" style="62" customWidth="1"/>
    <col min="6410" max="6410" width="1.85546875" style="62" customWidth="1"/>
    <col min="6411" max="6411" width="7" style="62" bestFit="1" customWidth="1"/>
    <col min="6412" max="6412" width="6.28515625" style="62" customWidth="1"/>
    <col min="6413" max="6413" width="20.42578125" style="62" customWidth="1"/>
    <col min="6414" max="6414" width="6.42578125" style="62" bestFit="1" customWidth="1"/>
    <col min="6415" max="6416" width="8.42578125" style="62"/>
    <col min="6417" max="6417" width="3.28515625" style="62" customWidth="1"/>
    <col min="6418" max="6656" width="8.42578125" style="62"/>
    <col min="6657" max="6657" width="10" style="62" bestFit="1" customWidth="1"/>
    <col min="6658" max="6658" width="44.28515625" style="62" bestFit="1" customWidth="1"/>
    <col min="6659" max="6659" width="10.42578125" style="62" bestFit="1" customWidth="1"/>
    <col min="6660" max="6660" width="10.42578125" style="62" customWidth="1"/>
    <col min="6661" max="6661" width="9.7109375" style="62" bestFit="1" customWidth="1"/>
    <col min="6662" max="6663" width="9.5703125" style="62" bestFit="1" customWidth="1"/>
    <col min="6664" max="6664" width="10.42578125" style="62" bestFit="1" customWidth="1"/>
    <col min="6665" max="6665" width="4.5703125" style="62" customWidth="1"/>
    <col min="6666" max="6666" width="1.85546875" style="62" customWidth="1"/>
    <col min="6667" max="6667" width="7" style="62" bestFit="1" customWidth="1"/>
    <col min="6668" max="6668" width="6.28515625" style="62" customWidth="1"/>
    <col min="6669" max="6669" width="20.42578125" style="62" customWidth="1"/>
    <col min="6670" max="6670" width="6.42578125" style="62" bestFit="1" customWidth="1"/>
    <col min="6671" max="6672" width="8.42578125" style="62"/>
    <col min="6673" max="6673" width="3.28515625" style="62" customWidth="1"/>
    <col min="6674" max="6912" width="8.42578125" style="62"/>
    <col min="6913" max="6913" width="10" style="62" bestFit="1" customWidth="1"/>
    <col min="6914" max="6914" width="44.28515625" style="62" bestFit="1" customWidth="1"/>
    <col min="6915" max="6915" width="10.42578125" style="62" bestFit="1" customWidth="1"/>
    <col min="6916" max="6916" width="10.42578125" style="62" customWidth="1"/>
    <col min="6917" max="6917" width="9.7109375" style="62" bestFit="1" customWidth="1"/>
    <col min="6918" max="6919" width="9.5703125" style="62" bestFit="1" customWidth="1"/>
    <col min="6920" max="6920" width="10.42578125" style="62" bestFit="1" customWidth="1"/>
    <col min="6921" max="6921" width="4.5703125" style="62" customWidth="1"/>
    <col min="6922" max="6922" width="1.85546875" style="62" customWidth="1"/>
    <col min="6923" max="6923" width="7" style="62" bestFit="1" customWidth="1"/>
    <col min="6924" max="6924" width="6.28515625" style="62" customWidth="1"/>
    <col min="6925" max="6925" width="20.42578125" style="62" customWidth="1"/>
    <col min="6926" max="6926" width="6.42578125" style="62" bestFit="1" customWidth="1"/>
    <col min="6927" max="6928" width="8.42578125" style="62"/>
    <col min="6929" max="6929" width="3.28515625" style="62" customWidth="1"/>
    <col min="6930" max="7168" width="8.42578125" style="62"/>
    <col min="7169" max="7169" width="10" style="62" bestFit="1" customWidth="1"/>
    <col min="7170" max="7170" width="44.28515625" style="62" bestFit="1" customWidth="1"/>
    <col min="7171" max="7171" width="10.42578125" style="62" bestFit="1" customWidth="1"/>
    <col min="7172" max="7172" width="10.42578125" style="62" customWidth="1"/>
    <col min="7173" max="7173" width="9.7109375" style="62" bestFit="1" customWidth="1"/>
    <col min="7174" max="7175" width="9.5703125" style="62" bestFit="1" customWidth="1"/>
    <col min="7176" max="7176" width="10.42578125" style="62" bestFit="1" customWidth="1"/>
    <col min="7177" max="7177" width="4.5703125" style="62" customWidth="1"/>
    <col min="7178" max="7178" width="1.85546875" style="62" customWidth="1"/>
    <col min="7179" max="7179" width="7" style="62" bestFit="1" customWidth="1"/>
    <col min="7180" max="7180" width="6.28515625" style="62" customWidth="1"/>
    <col min="7181" max="7181" width="20.42578125" style="62" customWidth="1"/>
    <col min="7182" max="7182" width="6.42578125" style="62" bestFit="1" customWidth="1"/>
    <col min="7183" max="7184" width="8.42578125" style="62"/>
    <col min="7185" max="7185" width="3.28515625" style="62" customWidth="1"/>
    <col min="7186" max="7424" width="8.42578125" style="62"/>
    <col min="7425" max="7425" width="10" style="62" bestFit="1" customWidth="1"/>
    <col min="7426" max="7426" width="44.28515625" style="62" bestFit="1" customWidth="1"/>
    <col min="7427" max="7427" width="10.42578125" style="62" bestFit="1" customWidth="1"/>
    <col min="7428" max="7428" width="10.42578125" style="62" customWidth="1"/>
    <col min="7429" max="7429" width="9.7109375" style="62" bestFit="1" customWidth="1"/>
    <col min="7430" max="7431" width="9.5703125" style="62" bestFit="1" customWidth="1"/>
    <col min="7432" max="7432" width="10.42578125" style="62" bestFit="1" customWidth="1"/>
    <col min="7433" max="7433" width="4.5703125" style="62" customWidth="1"/>
    <col min="7434" max="7434" width="1.85546875" style="62" customWidth="1"/>
    <col min="7435" max="7435" width="7" style="62" bestFit="1" customWidth="1"/>
    <col min="7436" max="7436" width="6.28515625" style="62" customWidth="1"/>
    <col min="7437" max="7437" width="20.42578125" style="62" customWidth="1"/>
    <col min="7438" max="7438" width="6.42578125" style="62" bestFit="1" customWidth="1"/>
    <col min="7439" max="7440" width="8.42578125" style="62"/>
    <col min="7441" max="7441" width="3.28515625" style="62" customWidth="1"/>
    <col min="7442" max="7680" width="8.42578125" style="62"/>
    <col min="7681" max="7681" width="10" style="62" bestFit="1" customWidth="1"/>
    <col min="7682" max="7682" width="44.28515625" style="62" bestFit="1" customWidth="1"/>
    <col min="7683" max="7683" width="10.42578125" style="62" bestFit="1" customWidth="1"/>
    <col min="7684" max="7684" width="10.42578125" style="62" customWidth="1"/>
    <col min="7685" max="7685" width="9.7109375" style="62" bestFit="1" customWidth="1"/>
    <col min="7686" max="7687" width="9.5703125" style="62" bestFit="1" customWidth="1"/>
    <col min="7688" max="7688" width="10.42578125" style="62" bestFit="1" customWidth="1"/>
    <col min="7689" max="7689" width="4.5703125" style="62" customWidth="1"/>
    <col min="7690" max="7690" width="1.85546875" style="62" customWidth="1"/>
    <col min="7691" max="7691" width="7" style="62" bestFit="1" customWidth="1"/>
    <col min="7692" max="7692" width="6.28515625" style="62" customWidth="1"/>
    <col min="7693" max="7693" width="20.42578125" style="62" customWidth="1"/>
    <col min="7694" max="7694" width="6.42578125" style="62" bestFit="1" customWidth="1"/>
    <col min="7695" max="7696" width="8.42578125" style="62"/>
    <col min="7697" max="7697" width="3.28515625" style="62" customWidth="1"/>
    <col min="7698" max="7936" width="8.42578125" style="62"/>
    <col min="7937" max="7937" width="10" style="62" bestFit="1" customWidth="1"/>
    <col min="7938" max="7938" width="44.28515625" style="62" bestFit="1" customWidth="1"/>
    <col min="7939" max="7939" width="10.42578125" style="62" bestFit="1" customWidth="1"/>
    <col min="7940" max="7940" width="10.42578125" style="62" customWidth="1"/>
    <col min="7941" max="7941" width="9.7109375" style="62" bestFit="1" customWidth="1"/>
    <col min="7942" max="7943" width="9.5703125" style="62" bestFit="1" customWidth="1"/>
    <col min="7944" max="7944" width="10.42578125" style="62" bestFit="1" customWidth="1"/>
    <col min="7945" max="7945" width="4.5703125" style="62" customWidth="1"/>
    <col min="7946" max="7946" width="1.85546875" style="62" customWidth="1"/>
    <col min="7947" max="7947" width="7" style="62" bestFit="1" customWidth="1"/>
    <col min="7948" max="7948" width="6.28515625" style="62" customWidth="1"/>
    <col min="7949" max="7949" width="20.42578125" style="62" customWidth="1"/>
    <col min="7950" max="7950" width="6.42578125" style="62" bestFit="1" customWidth="1"/>
    <col min="7951" max="7952" width="8.42578125" style="62"/>
    <col min="7953" max="7953" width="3.28515625" style="62" customWidth="1"/>
    <col min="7954" max="8192" width="8.42578125" style="62"/>
    <col min="8193" max="8193" width="10" style="62" bestFit="1" customWidth="1"/>
    <col min="8194" max="8194" width="44.28515625" style="62" bestFit="1" customWidth="1"/>
    <col min="8195" max="8195" width="10.42578125" style="62" bestFit="1" customWidth="1"/>
    <col min="8196" max="8196" width="10.42578125" style="62" customWidth="1"/>
    <col min="8197" max="8197" width="9.7109375" style="62" bestFit="1" customWidth="1"/>
    <col min="8198" max="8199" width="9.5703125" style="62" bestFit="1" customWidth="1"/>
    <col min="8200" max="8200" width="10.42578125" style="62" bestFit="1" customWidth="1"/>
    <col min="8201" max="8201" width="4.5703125" style="62" customWidth="1"/>
    <col min="8202" max="8202" width="1.85546875" style="62" customWidth="1"/>
    <col min="8203" max="8203" width="7" style="62" bestFit="1" customWidth="1"/>
    <col min="8204" max="8204" width="6.28515625" style="62" customWidth="1"/>
    <col min="8205" max="8205" width="20.42578125" style="62" customWidth="1"/>
    <col min="8206" max="8206" width="6.42578125" style="62" bestFit="1" customWidth="1"/>
    <col min="8207" max="8208" width="8.42578125" style="62"/>
    <col min="8209" max="8209" width="3.28515625" style="62" customWidth="1"/>
    <col min="8210" max="8448" width="8.42578125" style="62"/>
    <col min="8449" max="8449" width="10" style="62" bestFit="1" customWidth="1"/>
    <col min="8450" max="8450" width="44.28515625" style="62" bestFit="1" customWidth="1"/>
    <col min="8451" max="8451" width="10.42578125" style="62" bestFit="1" customWidth="1"/>
    <col min="8452" max="8452" width="10.42578125" style="62" customWidth="1"/>
    <col min="8453" max="8453" width="9.7109375" style="62" bestFit="1" customWidth="1"/>
    <col min="8454" max="8455" width="9.5703125" style="62" bestFit="1" customWidth="1"/>
    <col min="8456" max="8456" width="10.42578125" style="62" bestFit="1" customWidth="1"/>
    <col min="8457" max="8457" width="4.5703125" style="62" customWidth="1"/>
    <col min="8458" max="8458" width="1.85546875" style="62" customWidth="1"/>
    <col min="8459" max="8459" width="7" style="62" bestFit="1" customWidth="1"/>
    <col min="8460" max="8460" width="6.28515625" style="62" customWidth="1"/>
    <col min="8461" max="8461" width="20.42578125" style="62" customWidth="1"/>
    <col min="8462" max="8462" width="6.42578125" style="62" bestFit="1" customWidth="1"/>
    <col min="8463" max="8464" width="8.42578125" style="62"/>
    <col min="8465" max="8465" width="3.28515625" style="62" customWidth="1"/>
    <col min="8466" max="8704" width="8.42578125" style="62"/>
    <col min="8705" max="8705" width="10" style="62" bestFit="1" customWidth="1"/>
    <col min="8706" max="8706" width="44.28515625" style="62" bestFit="1" customWidth="1"/>
    <col min="8707" max="8707" width="10.42578125" style="62" bestFit="1" customWidth="1"/>
    <col min="8708" max="8708" width="10.42578125" style="62" customWidth="1"/>
    <col min="8709" max="8709" width="9.7109375" style="62" bestFit="1" customWidth="1"/>
    <col min="8710" max="8711" width="9.5703125" style="62" bestFit="1" customWidth="1"/>
    <col min="8712" max="8712" width="10.42578125" style="62" bestFit="1" customWidth="1"/>
    <col min="8713" max="8713" width="4.5703125" style="62" customWidth="1"/>
    <col min="8714" max="8714" width="1.85546875" style="62" customWidth="1"/>
    <col min="8715" max="8715" width="7" style="62" bestFit="1" customWidth="1"/>
    <col min="8716" max="8716" width="6.28515625" style="62" customWidth="1"/>
    <col min="8717" max="8717" width="20.42578125" style="62" customWidth="1"/>
    <col min="8718" max="8718" width="6.42578125" style="62" bestFit="1" customWidth="1"/>
    <col min="8719" max="8720" width="8.42578125" style="62"/>
    <col min="8721" max="8721" width="3.28515625" style="62" customWidth="1"/>
    <col min="8722" max="8960" width="8.42578125" style="62"/>
    <col min="8961" max="8961" width="10" style="62" bestFit="1" customWidth="1"/>
    <col min="8962" max="8962" width="44.28515625" style="62" bestFit="1" customWidth="1"/>
    <col min="8963" max="8963" width="10.42578125" style="62" bestFit="1" customWidth="1"/>
    <col min="8964" max="8964" width="10.42578125" style="62" customWidth="1"/>
    <col min="8965" max="8965" width="9.7109375" style="62" bestFit="1" customWidth="1"/>
    <col min="8966" max="8967" width="9.5703125" style="62" bestFit="1" customWidth="1"/>
    <col min="8968" max="8968" width="10.42578125" style="62" bestFit="1" customWidth="1"/>
    <col min="8969" max="8969" width="4.5703125" style="62" customWidth="1"/>
    <col min="8970" max="8970" width="1.85546875" style="62" customWidth="1"/>
    <col min="8971" max="8971" width="7" style="62" bestFit="1" customWidth="1"/>
    <col min="8972" max="8972" width="6.28515625" style="62" customWidth="1"/>
    <col min="8973" max="8973" width="20.42578125" style="62" customWidth="1"/>
    <col min="8974" max="8974" width="6.42578125" style="62" bestFit="1" customWidth="1"/>
    <col min="8975" max="8976" width="8.42578125" style="62"/>
    <col min="8977" max="8977" width="3.28515625" style="62" customWidth="1"/>
    <col min="8978" max="9216" width="8.42578125" style="62"/>
    <col min="9217" max="9217" width="10" style="62" bestFit="1" customWidth="1"/>
    <col min="9218" max="9218" width="44.28515625" style="62" bestFit="1" customWidth="1"/>
    <col min="9219" max="9219" width="10.42578125" style="62" bestFit="1" customWidth="1"/>
    <col min="9220" max="9220" width="10.42578125" style="62" customWidth="1"/>
    <col min="9221" max="9221" width="9.7109375" style="62" bestFit="1" customWidth="1"/>
    <col min="9222" max="9223" width="9.5703125" style="62" bestFit="1" customWidth="1"/>
    <col min="9224" max="9224" width="10.42578125" style="62" bestFit="1" customWidth="1"/>
    <col min="9225" max="9225" width="4.5703125" style="62" customWidth="1"/>
    <col min="9226" max="9226" width="1.85546875" style="62" customWidth="1"/>
    <col min="9227" max="9227" width="7" style="62" bestFit="1" customWidth="1"/>
    <col min="9228" max="9228" width="6.28515625" style="62" customWidth="1"/>
    <col min="9229" max="9229" width="20.42578125" style="62" customWidth="1"/>
    <col min="9230" max="9230" width="6.42578125" style="62" bestFit="1" customWidth="1"/>
    <col min="9231" max="9232" width="8.42578125" style="62"/>
    <col min="9233" max="9233" width="3.28515625" style="62" customWidth="1"/>
    <col min="9234" max="9472" width="8.42578125" style="62"/>
    <col min="9473" max="9473" width="10" style="62" bestFit="1" customWidth="1"/>
    <col min="9474" max="9474" width="44.28515625" style="62" bestFit="1" customWidth="1"/>
    <col min="9475" max="9475" width="10.42578125" style="62" bestFit="1" customWidth="1"/>
    <col min="9476" max="9476" width="10.42578125" style="62" customWidth="1"/>
    <col min="9477" max="9477" width="9.7109375" style="62" bestFit="1" customWidth="1"/>
    <col min="9478" max="9479" width="9.5703125" style="62" bestFit="1" customWidth="1"/>
    <col min="9480" max="9480" width="10.42578125" style="62" bestFit="1" customWidth="1"/>
    <col min="9481" max="9481" width="4.5703125" style="62" customWidth="1"/>
    <col min="9482" max="9482" width="1.85546875" style="62" customWidth="1"/>
    <col min="9483" max="9483" width="7" style="62" bestFit="1" customWidth="1"/>
    <col min="9484" max="9484" width="6.28515625" style="62" customWidth="1"/>
    <col min="9485" max="9485" width="20.42578125" style="62" customWidth="1"/>
    <col min="9486" max="9486" width="6.42578125" style="62" bestFit="1" customWidth="1"/>
    <col min="9487" max="9488" width="8.42578125" style="62"/>
    <col min="9489" max="9489" width="3.28515625" style="62" customWidth="1"/>
    <col min="9490" max="9728" width="8.42578125" style="62"/>
    <col min="9729" max="9729" width="10" style="62" bestFit="1" customWidth="1"/>
    <col min="9730" max="9730" width="44.28515625" style="62" bestFit="1" customWidth="1"/>
    <col min="9731" max="9731" width="10.42578125" style="62" bestFit="1" customWidth="1"/>
    <col min="9732" max="9732" width="10.42578125" style="62" customWidth="1"/>
    <col min="9733" max="9733" width="9.7109375" style="62" bestFit="1" customWidth="1"/>
    <col min="9734" max="9735" width="9.5703125" style="62" bestFit="1" customWidth="1"/>
    <col min="9736" max="9736" width="10.42578125" style="62" bestFit="1" customWidth="1"/>
    <col min="9737" max="9737" width="4.5703125" style="62" customWidth="1"/>
    <col min="9738" max="9738" width="1.85546875" style="62" customWidth="1"/>
    <col min="9739" max="9739" width="7" style="62" bestFit="1" customWidth="1"/>
    <col min="9740" max="9740" width="6.28515625" style="62" customWidth="1"/>
    <col min="9741" max="9741" width="20.42578125" style="62" customWidth="1"/>
    <col min="9742" max="9742" width="6.42578125" style="62" bestFit="1" customWidth="1"/>
    <col min="9743" max="9744" width="8.42578125" style="62"/>
    <col min="9745" max="9745" width="3.28515625" style="62" customWidth="1"/>
    <col min="9746" max="9984" width="8.42578125" style="62"/>
    <col min="9985" max="9985" width="10" style="62" bestFit="1" customWidth="1"/>
    <col min="9986" max="9986" width="44.28515625" style="62" bestFit="1" customWidth="1"/>
    <col min="9987" max="9987" width="10.42578125" style="62" bestFit="1" customWidth="1"/>
    <col min="9988" max="9988" width="10.42578125" style="62" customWidth="1"/>
    <col min="9989" max="9989" width="9.7109375" style="62" bestFit="1" customWidth="1"/>
    <col min="9990" max="9991" width="9.5703125" style="62" bestFit="1" customWidth="1"/>
    <col min="9992" max="9992" width="10.42578125" style="62" bestFit="1" customWidth="1"/>
    <col min="9993" max="9993" width="4.5703125" style="62" customWidth="1"/>
    <col min="9994" max="9994" width="1.85546875" style="62" customWidth="1"/>
    <col min="9995" max="9995" width="7" style="62" bestFit="1" customWidth="1"/>
    <col min="9996" max="9996" width="6.28515625" style="62" customWidth="1"/>
    <col min="9997" max="9997" width="20.42578125" style="62" customWidth="1"/>
    <col min="9998" max="9998" width="6.42578125" style="62" bestFit="1" customWidth="1"/>
    <col min="9999" max="10000" width="8.42578125" style="62"/>
    <col min="10001" max="10001" width="3.28515625" style="62" customWidth="1"/>
    <col min="10002" max="10240" width="8.42578125" style="62"/>
    <col min="10241" max="10241" width="10" style="62" bestFit="1" customWidth="1"/>
    <col min="10242" max="10242" width="44.28515625" style="62" bestFit="1" customWidth="1"/>
    <col min="10243" max="10243" width="10.42578125" style="62" bestFit="1" customWidth="1"/>
    <col min="10244" max="10244" width="10.42578125" style="62" customWidth="1"/>
    <col min="10245" max="10245" width="9.7109375" style="62" bestFit="1" customWidth="1"/>
    <col min="10246" max="10247" width="9.5703125" style="62" bestFit="1" customWidth="1"/>
    <col min="10248" max="10248" width="10.42578125" style="62" bestFit="1" customWidth="1"/>
    <col min="10249" max="10249" width="4.5703125" style="62" customWidth="1"/>
    <col min="10250" max="10250" width="1.85546875" style="62" customWidth="1"/>
    <col min="10251" max="10251" width="7" style="62" bestFit="1" customWidth="1"/>
    <col min="10252" max="10252" width="6.28515625" style="62" customWidth="1"/>
    <col min="10253" max="10253" width="20.42578125" style="62" customWidth="1"/>
    <col min="10254" max="10254" width="6.42578125" style="62" bestFit="1" customWidth="1"/>
    <col min="10255" max="10256" width="8.42578125" style="62"/>
    <col min="10257" max="10257" width="3.28515625" style="62" customWidth="1"/>
    <col min="10258" max="10496" width="8.42578125" style="62"/>
    <col min="10497" max="10497" width="10" style="62" bestFit="1" customWidth="1"/>
    <col min="10498" max="10498" width="44.28515625" style="62" bestFit="1" customWidth="1"/>
    <col min="10499" max="10499" width="10.42578125" style="62" bestFit="1" customWidth="1"/>
    <col min="10500" max="10500" width="10.42578125" style="62" customWidth="1"/>
    <col min="10501" max="10501" width="9.7109375" style="62" bestFit="1" customWidth="1"/>
    <col min="10502" max="10503" width="9.5703125" style="62" bestFit="1" customWidth="1"/>
    <col min="10504" max="10504" width="10.42578125" style="62" bestFit="1" customWidth="1"/>
    <col min="10505" max="10505" width="4.5703125" style="62" customWidth="1"/>
    <col min="10506" max="10506" width="1.85546875" style="62" customWidth="1"/>
    <col min="10507" max="10507" width="7" style="62" bestFit="1" customWidth="1"/>
    <col min="10508" max="10508" width="6.28515625" style="62" customWidth="1"/>
    <col min="10509" max="10509" width="20.42578125" style="62" customWidth="1"/>
    <col min="10510" max="10510" width="6.42578125" style="62" bestFit="1" customWidth="1"/>
    <col min="10511" max="10512" width="8.42578125" style="62"/>
    <col min="10513" max="10513" width="3.28515625" style="62" customWidth="1"/>
    <col min="10514" max="10752" width="8.42578125" style="62"/>
    <col min="10753" max="10753" width="10" style="62" bestFit="1" customWidth="1"/>
    <col min="10754" max="10754" width="44.28515625" style="62" bestFit="1" customWidth="1"/>
    <col min="10755" max="10755" width="10.42578125" style="62" bestFit="1" customWidth="1"/>
    <col min="10756" max="10756" width="10.42578125" style="62" customWidth="1"/>
    <col min="10757" max="10757" width="9.7109375" style="62" bestFit="1" customWidth="1"/>
    <col min="10758" max="10759" width="9.5703125" style="62" bestFit="1" customWidth="1"/>
    <col min="10760" max="10760" width="10.42578125" style="62" bestFit="1" customWidth="1"/>
    <col min="10761" max="10761" width="4.5703125" style="62" customWidth="1"/>
    <col min="10762" max="10762" width="1.85546875" style="62" customWidth="1"/>
    <col min="10763" max="10763" width="7" style="62" bestFit="1" customWidth="1"/>
    <col min="10764" max="10764" width="6.28515625" style="62" customWidth="1"/>
    <col min="10765" max="10765" width="20.42578125" style="62" customWidth="1"/>
    <col min="10766" max="10766" width="6.42578125" style="62" bestFit="1" customWidth="1"/>
    <col min="10767" max="10768" width="8.42578125" style="62"/>
    <col min="10769" max="10769" width="3.28515625" style="62" customWidth="1"/>
    <col min="10770" max="11008" width="8.42578125" style="62"/>
    <col min="11009" max="11009" width="10" style="62" bestFit="1" customWidth="1"/>
    <col min="11010" max="11010" width="44.28515625" style="62" bestFit="1" customWidth="1"/>
    <col min="11011" max="11011" width="10.42578125" style="62" bestFit="1" customWidth="1"/>
    <col min="11012" max="11012" width="10.42578125" style="62" customWidth="1"/>
    <col min="11013" max="11013" width="9.7109375" style="62" bestFit="1" customWidth="1"/>
    <col min="11014" max="11015" width="9.5703125" style="62" bestFit="1" customWidth="1"/>
    <col min="11016" max="11016" width="10.42578125" style="62" bestFit="1" customWidth="1"/>
    <col min="11017" max="11017" width="4.5703125" style="62" customWidth="1"/>
    <col min="11018" max="11018" width="1.85546875" style="62" customWidth="1"/>
    <col min="11019" max="11019" width="7" style="62" bestFit="1" customWidth="1"/>
    <col min="11020" max="11020" width="6.28515625" style="62" customWidth="1"/>
    <col min="11021" max="11021" width="20.42578125" style="62" customWidth="1"/>
    <col min="11022" max="11022" width="6.42578125" style="62" bestFit="1" customWidth="1"/>
    <col min="11023" max="11024" width="8.42578125" style="62"/>
    <col min="11025" max="11025" width="3.28515625" style="62" customWidth="1"/>
    <col min="11026" max="11264" width="8.42578125" style="62"/>
    <col min="11265" max="11265" width="10" style="62" bestFit="1" customWidth="1"/>
    <col min="11266" max="11266" width="44.28515625" style="62" bestFit="1" customWidth="1"/>
    <col min="11267" max="11267" width="10.42578125" style="62" bestFit="1" customWidth="1"/>
    <col min="11268" max="11268" width="10.42578125" style="62" customWidth="1"/>
    <col min="11269" max="11269" width="9.7109375" style="62" bestFit="1" customWidth="1"/>
    <col min="11270" max="11271" width="9.5703125" style="62" bestFit="1" customWidth="1"/>
    <col min="11272" max="11272" width="10.42578125" style="62" bestFit="1" customWidth="1"/>
    <col min="11273" max="11273" width="4.5703125" style="62" customWidth="1"/>
    <col min="11274" max="11274" width="1.85546875" style="62" customWidth="1"/>
    <col min="11275" max="11275" width="7" style="62" bestFit="1" customWidth="1"/>
    <col min="11276" max="11276" width="6.28515625" style="62" customWidth="1"/>
    <col min="11277" max="11277" width="20.42578125" style="62" customWidth="1"/>
    <col min="11278" max="11278" width="6.42578125" style="62" bestFit="1" customWidth="1"/>
    <col min="11279" max="11280" width="8.42578125" style="62"/>
    <col min="11281" max="11281" width="3.28515625" style="62" customWidth="1"/>
    <col min="11282" max="11520" width="8.42578125" style="62"/>
    <col min="11521" max="11521" width="10" style="62" bestFit="1" customWidth="1"/>
    <col min="11522" max="11522" width="44.28515625" style="62" bestFit="1" customWidth="1"/>
    <col min="11523" max="11523" width="10.42578125" style="62" bestFit="1" customWidth="1"/>
    <col min="11524" max="11524" width="10.42578125" style="62" customWidth="1"/>
    <col min="11525" max="11525" width="9.7109375" style="62" bestFit="1" customWidth="1"/>
    <col min="11526" max="11527" width="9.5703125" style="62" bestFit="1" customWidth="1"/>
    <col min="11528" max="11528" width="10.42578125" style="62" bestFit="1" customWidth="1"/>
    <col min="11529" max="11529" width="4.5703125" style="62" customWidth="1"/>
    <col min="11530" max="11530" width="1.85546875" style="62" customWidth="1"/>
    <col min="11531" max="11531" width="7" style="62" bestFit="1" customWidth="1"/>
    <col min="11532" max="11532" width="6.28515625" style="62" customWidth="1"/>
    <col min="11533" max="11533" width="20.42578125" style="62" customWidth="1"/>
    <col min="11534" max="11534" width="6.42578125" style="62" bestFit="1" customWidth="1"/>
    <col min="11535" max="11536" width="8.42578125" style="62"/>
    <col min="11537" max="11537" width="3.28515625" style="62" customWidth="1"/>
    <col min="11538" max="11776" width="8.42578125" style="62"/>
    <col min="11777" max="11777" width="10" style="62" bestFit="1" customWidth="1"/>
    <col min="11778" max="11778" width="44.28515625" style="62" bestFit="1" customWidth="1"/>
    <col min="11779" max="11779" width="10.42578125" style="62" bestFit="1" customWidth="1"/>
    <col min="11780" max="11780" width="10.42578125" style="62" customWidth="1"/>
    <col min="11781" max="11781" width="9.7109375" style="62" bestFit="1" customWidth="1"/>
    <col min="11782" max="11783" width="9.5703125" style="62" bestFit="1" customWidth="1"/>
    <col min="11784" max="11784" width="10.42578125" style="62" bestFit="1" customWidth="1"/>
    <col min="11785" max="11785" width="4.5703125" style="62" customWidth="1"/>
    <col min="11786" max="11786" width="1.85546875" style="62" customWidth="1"/>
    <col min="11787" max="11787" width="7" style="62" bestFit="1" customWidth="1"/>
    <col min="11788" max="11788" width="6.28515625" style="62" customWidth="1"/>
    <col min="11789" max="11789" width="20.42578125" style="62" customWidth="1"/>
    <col min="11790" max="11790" width="6.42578125" style="62" bestFit="1" customWidth="1"/>
    <col min="11791" max="11792" width="8.42578125" style="62"/>
    <col min="11793" max="11793" width="3.28515625" style="62" customWidth="1"/>
    <col min="11794" max="12032" width="8.42578125" style="62"/>
    <col min="12033" max="12033" width="10" style="62" bestFit="1" customWidth="1"/>
    <col min="12034" max="12034" width="44.28515625" style="62" bestFit="1" customWidth="1"/>
    <col min="12035" max="12035" width="10.42578125" style="62" bestFit="1" customWidth="1"/>
    <col min="12036" max="12036" width="10.42578125" style="62" customWidth="1"/>
    <col min="12037" max="12037" width="9.7109375" style="62" bestFit="1" customWidth="1"/>
    <col min="12038" max="12039" width="9.5703125" style="62" bestFit="1" customWidth="1"/>
    <col min="12040" max="12040" width="10.42578125" style="62" bestFit="1" customWidth="1"/>
    <col min="12041" max="12041" width="4.5703125" style="62" customWidth="1"/>
    <col min="12042" max="12042" width="1.85546875" style="62" customWidth="1"/>
    <col min="12043" max="12043" width="7" style="62" bestFit="1" customWidth="1"/>
    <col min="12044" max="12044" width="6.28515625" style="62" customWidth="1"/>
    <col min="12045" max="12045" width="20.42578125" style="62" customWidth="1"/>
    <col min="12046" max="12046" width="6.42578125" style="62" bestFit="1" customWidth="1"/>
    <col min="12047" max="12048" width="8.42578125" style="62"/>
    <col min="12049" max="12049" width="3.28515625" style="62" customWidth="1"/>
    <col min="12050" max="12288" width="8.42578125" style="62"/>
    <col min="12289" max="12289" width="10" style="62" bestFit="1" customWidth="1"/>
    <col min="12290" max="12290" width="44.28515625" style="62" bestFit="1" customWidth="1"/>
    <col min="12291" max="12291" width="10.42578125" style="62" bestFit="1" customWidth="1"/>
    <col min="12292" max="12292" width="10.42578125" style="62" customWidth="1"/>
    <col min="12293" max="12293" width="9.7109375" style="62" bestFit="1" customWidth="1"/>
    <col min="12294" max="12295" width="9.5703125" style="62" bestFit="1" customWidth="1"/>
    <col min="12296" max="12296" width="10.42578125" style="62" bestFit="1" customWidth="1"/>
    <col min="12297" max="12297" width="4.5703125" style="62" customWidth="1"/>
    <col min="12298" max="12298" width="1.85546875" style="62" customWidth="1"/>
    <col min="12299" max="12299" width="7" style="62" bestFit="1" customWidth="1"/>
    <col min="12300" max="12300" width="6.28515625" style="62" customWidth="1"/>
    <col min="12301" max="12301" width="20.42578125" style="62" customWidth="1"/>
    <col min="12302" max="12302" width="6.42578125" style="62" bestFit="1" customWidth="1"/>
    <col min="12303" max="12304" width="8.42578125" style="62"/>
    <col min="12305" max="12305" width="3.28515625" style="62" customWidth="1"/>
    <col min="12306" max="12544" width="8.42578125" style="62"/>
    <col min="12545" max="12545" width="10" style="62" bestFit="1" customWidth="1"/>
    <col min="12546" max="12546" width="44.28515625" style="62" bestFit="1" customWidth="1"/>
    <col min="12547" max="12547" width="10.42578125" style="62" bestFit="1" customWidth="1"/>
    <col min="12548" max="12548" width="10.42578125" style="62" customWidth="1"/>
    <col min="12549" max="12549" width="9.7109375" style="62" bestFit="1" customWidth="1"/>
    <col min="12550" max="12551" width="9.5703125" style="62" bestFit="1" customWidth="1"/>
    <col min="12552" max="12552" width="10.42578125" style="62" bestFit="1" customWidth="1"/>
    <col min="12553" max="12553" width="4.5703125" style="62" customWidth="1"/>
    <col min="12554" max="12554" width="1.85546875" style="62" customWidth="1"/>
    <col min="12555" max="12555" width="7" style="62" bestFit="1" customWidth="1"/>
    <col min="12556" max="12556" width="6.28515625" style="62" customWidth="1"/>
    <col min="12557" max="12557" width="20.42578125" style="62" customWidth="1"/>
    <col min="12558" max="12558" width="6.42578125" style="62" bestFit="1" customWidth="1"/>
    <col min="12559" max="12560" width="8.42578125" style="62"/>
    <col min="12561" max="12561" width="3.28515625" style="62" customWidth="1"/>
    <col min="12562" max="12800" width="8.42578125" style="62"/>
    <col min="12801" max="12801" width="10" style="62" bestFit="1" customWidth="1"/>
    <col min="12802" max="12802" width="44.28515625" style="62" bestFit="1" customWidth="1"/>
    <col min="12803" max="12803" width="10.42578125" style="62" bestFit="1" customWidth="1"/>
    <col min="12804" max="12804" width="10.42578125" style="62" customWidth="1"/>
    <col min="12805" max="12805" width="9.7109375" style="62" bestFit="1" customWidth="1"/>
    <col min="12806" max="12807" width="9.5703125" style="62" bestFit="1" customWidth="1"/>
    <col min="12808" max="12808" width="10.42578125" style="62" bestFit="1" customWidth="1"/>
    <col min="12809" max="12809" width="4.5703125" style="62" customWidth="1"/>
    <col min="12810" max="12810" width="1.85546875" style="62" customWidth="1"/>
    <col min="12811" max="12811" width="7" style="62" bestFit="1" customWidth="1"/>
    <col min="12812" max="12812" width="6.28515625" style="62" customWidth="1"/>
    <col min="12813" max="12813" width="20.42578125" style="62" customWidth="1"/>
    <col min="12814" max="12814" width="6.42578125" style="62" bestFit="1" customWidth="1"/>
    <col min="12815" max="12816" width="8.42578125" style="62"/>
    <col min="12817" max="12817" width="3.28515625" style="62" customWidth="1"/>
    <col min="12818" max="13056" width="8.42578125" style="62"/>
    <col min="13057" max="13057" width="10" style="62" bestFit="1" customWidth="1"/>
    <col min="13058" max="13058" width="44.28515625" style="62" bestFit="1" customWidth="1"/>
    <col min="13059" max="13059" width="10.42578125" style="62" bestFit="1" customWidth="1"/>
    <col min="13060" max="13060" width="10.42578125" style="62" customWidth="1"/>
    <col min="13061" max="13061" width="9.7109375" style="62" bestFit="1" customWidth="1"/>
    <col min="13062" max="13063" width="9.5703125" style="62" bestFit="1" customWidth="1"/>
    <col min="13064" max="13064" width="10.42578125" style="62" bestFit="1" customWidth="1"/>
    <col min="13065" max="13065" width="4.5703125" style="62" customWidth="1"/>
    <col min="13066" max="13066" width="1.85546875" style="62" customWidth="1"/>
    <col min="13067" max="13067" width="7" style="62" bestFit="1" customWidth="1"/>
    <col min="13068" max="13068" width="6.28515625" style="62" customWidth="1"/>
    <col min="13069" max="13069" width="20.42578125" style="62" customWidth="1"/>
    <col min="13070" max="13070" width="6.42578125" style="62" bestFit="1" customWidth="1"/>
    <col min="13071" max="13072" width="8.42578125" style="62"/>
    <col min="13073" max="13073" width="3.28515625" style="62" customWidth="1"/>
    <col min="13074" max="13312" width="8.42578125" style="62"/>
    <col min="13313" max="13313" width="10" style="62" bestFit="1" customWidth="1"/>
    <col min="13314" max="13314" width="44.28515625" style="62" bestFit="1" customWidth="1"/>
    <col min="13315" max="13315" width="10.42578125" style="62" bestFit="1" customWidth="1"/>
    <col min="13316" max="13316" width="10.42578125" style="62" customWidth="1"/>
    <col min="13317" max="13317" width="9.7109375" style="62" bestFit="1" customWidth="1"/>
    <col min="13318" max="13319" width="9.5703125" style="62" bestFit="1" customWidth="1"/>
    <col min="13320" max="13320" width="10.42578125" style="62" bestFit="1" customWidth="1"/>
    <col min="13321" max="13321" width="4.5703125" style="62" customWidth="1"/>
    <col min="13322" max="13322" width="1.85546875" style="62" customWidth="1"/>
    <col min="13323" max="13323" width="7" style="62" bestFit="1" customWidth="1"/>
    <col min="13324" max="13324" width="6.28515625" style="62" customWidth="1"/>
    <col min="13325" max="13325" width="20.42578125" style="62" customWidth="1"/>
    <col min="13326" max="13326" width="6.42578125" style="62" bestFit="1" customWidth="1"/>
    <col min="13327" max="13328" width="8.42578125" style="62"/>
    <col min="13329" max="13329" width="3.28515625" style="62" customWidth="1"/>
    <col min="13330" max="13568" width="8.42578125" style="62"/>
    <col min="13569" max="13569" width="10" style="62" bestFit="1" customWidth="1"/>
    <col min="13570" max="13570" width="44.28515625" style="62" bestFit="1" customWidth="1"/>
    <col min="13571" max="13571" width="10.42578125" style="62" bestFit="1" customWidth="1"/>
    <col min="13572" max="13572" width="10.42578125" style="62" customWidth="1"/>
    <col min="13573" max="13573" width="9.7109375" style="62" bestFit="1" customWidth="1"/>
    <col min="13574" max="13575" width="9.5703125" style="62" bestFit="1" customWidth="1"/>
    <col min="13576" max="13576" width="10.42578125" style="62" bestFit="1" customWidth="1"/>
    <col min="13577" max="13577" width="4.5703125" style="62" customWidth="1"/>
    <col min="13578" max="13578" width="1.85546875" style="62" customWidth="1"/>
    <col min="13579" max="13579" width="7" style="62" bestFit="1" customWidth="1"/>
    <col min="13580" max="13580" width="6.28515625" style="62" customWidth="1"/>
    <col min="13581" max="13581" width="20.42578125" style="62" customWidth="1"/>
    <col min="13582" max="13582" width="6.42578125" style="62" bestFit="1" customWidth="1"/>
    <col min="13583" max="13584" width="8.42578125" style="62"/>
    <col min="13585" max="13585" width="3.28515625" style="62" customWidth="1"/>
    <col min="13586" max="13824" width="8.42578125" style="62"/>
    <col min="13825" max="13825" width="10" style="62" bestFit="1" customWidth="1"/>
    <col min="13826" max="13826" width="44.28515625" style="62" bestFit="1" customWidth="1"/>
    <col min="13827" max="13827" width="10.42578125" style="62" bestFit="1" customWidth="1"/>
    <col min="13828" max="13828" width="10.42578125" style="62" customWidth="1"/>
    <col min="13829" max="13829" width="9.7109375" style="62" bestFit="1" customWidth="1"/>
    <col min="13830" max="13831" width="9.5703125" style="62" bestFit="1" customWidth="1"/>
    <col min="13832" max="13832" width="10.42578125" style="62" bestFit="1" customWidth="1"/>
    <col min="13833" max="13833" width="4.5703125" style="62" customWidth="1"/>
    <col min="13834" max="13834" width="1.85546875" style="62" customWidth="1"/>
    <col min="13835" max="13835" width="7" style="62" bestFit="1" customWidth="1"/>
    <col min="13836" max="13836" width="6.28515625" style="62" customWidth="1"/>
    <col min="13837" max="13837" width="20.42578125" style="62" customWidth="1"/>
    <col min="13838" max="13838" width="6.42578125" style="62" bestFit="1" customWidth="1"/>
    <col min="13839" max="13840" width="8.42578125" style="62"/>
    <col min="13841" max="13841" width="3.28515625" style="62" customWidth="1"/>
    <col min="13842" max="14080" width="8.42578125" style="62"/>
    <col min="14081" max="14081" width="10" style="62" bestFit="1" customWidth="1"/>
    <col min="14082" max="14082" width="44.28515625" style="62" bestFit="1" customWidth="1"/>
    <col min="14083" max="14083" width="10.42578125" style="62" bestFit="1" customWidth="1"/>
    <col min="14084" max="14084" width="10.42578125" style="62" customWidth="1"/>
    <col min="14085" max="14085" width="9.7109375" style="62" bestFit="1" customWidth="1"/>
    <col min="14086" max="14087" width="9.5703125" style="62" bestFit="1" customWidth="1"/>
    <col min="14088" max="14088" width="10.42578125" style="62" bestFit="1" customWidth="1"/>
    <col min="14089" max="14089" width="4.5703125" style="62" customWidth="1"/>
    <col min="14090" max="14090" width="1.85546875" style="62" customWidth="1"/>
    <col min="14091" max="14091" width="7" style="62" bestFit="1" customWidth="1"/>
    <col min="14092" max="14092" width="6.28515625" style="62" customWidth="1"/>
    <col min="14093" max="14093" width="20.42578125" style="62" customWidth="1"/>
    <col min="14094" max="14094" width="6.42578125" style="62" bestFit="1" customWidth="1"/>
    <col min="14095" max="14096" width="8.42578125" style="62"/>
    <col min="14097" max="14097" width="3.28515625" style="62" customWidth="1"/>
    <col min="14098" max="14336" width="8.42578125" style="62"/>
    <col min="14337" max="14337" width="10" style="62" bestFit="1" customWidth="1"/>
    <col min="14338" max="14338" width="44.28515625" style="62" bestFit="1" customWidth="1"/>
    <col min="14339" max="14339" width="10.42578125" style="62" bestFit="1" customWidth="1"/>
    <col min="14340" max="14340" width="10.42578125" style="62" customWidth="1"/>
    <col min="14341" max="14341" width="9.7109375" style="62" bestFit="1" customWidth="1"/>
    <col min="14342" max="14343" width="9.5703125" style="62" bestFit="1" customWidth="1"/>
    <col min="14344" max="14344" width="10.42578125" style="62" bestFit="1" customWidth="1"/>
    <col min="14345" max="14345" width="4.5703125" style="62" customWidth="1"/>
    <col min="14346" max="14346" width="1.85546875" style="62" customWidth="1"/>
    <col min="14347" max="14347" width="7" style="62" bestFit="1" customWidth="1"/>
    <col min="14348" max="14348" width="6.28515625" style="62" customWidth="1"/>
    <col min="14349" max="14349" width="20.42578125" style="62" customWidth="1"/>
    <col min="14350" max="14350" width="6.42578125" style="62" bestFit="1" customWidth="1"/>
    <col min="14351" max="14352" width="8.42578125" style="62"/>
    <col min="14353" max="14353" width="3.28515625" style="62" customWidth="1"/>
    <col min="14354" max="14592" width="8.42578125" style="62"/>
    <col min="14593" max="14593" width="10" style="62" bestFit="1" customWidth="1"/>
    <col min="14594" max="14594" width="44.28515625" style="62" bestFit="1" customWidth="1"/>
    <col min="14595" max="14595" width="10.42578125" style="62" bestFit="1" customWidth="1"/>
    <col min="14596" max="14596" width="10.42578125" style="62" customWidth="1"/>
    <col min="14597" max="14597" width="9.7109375" style="62" bestFit="1" customWidth="1"/>
    <col min="14598" max="14599" width="9.5703125" style="62" bestFit="1" customWidth="1"/>
    <col min="14600" max="14600" width="10.42578125" style="62" bestFit="1" customWidth="1"/>
    <col min="14601" max="14601" width="4.5703125" style="62" customWidth="1"/>
    <col min="14602" max="14602" width="1.85546875" style="62" customWidth="1"/>
    <col min="14603" max="14603" width="7" style="62" bestFit="1" customWidth="1"/>
    <col min="14604" max="14604" width="6.28515625" style="62" customWidth="1"/>
    <col min="14605" max="14605" width="20.42578125" style="62" customWidth="1"/>
    <col min="14606" max="14606" width="6.42578125" style="62" bestFit="1" customWidth="1"/>
    <col min="14607" max="14608" width="8.42578125" style="62"/>
    <col min="14609" max="14609" width="3.28515625" style="62" customWidth="1"/>
    <col min="14610" max="14848" width="8.42578125" style="62"/>
    <col min="14849" max="14849" width="10" style="62" bestFit="1" customWidth="1"/>
    <col min="14850" max="14850" width="44.28515625" style="62" bestFit="1" customWidth="1"/>
    <col min="14851" max="14851" width="10.42578125" style="62" bestFit="1" customWidth="1"/>
    <col min="14852" max="14852" width="10.42578125" style="62" customWidth="1"/>
    <col min="14853" max="14853" width="9.7109375" style="62" bestFit="1" customWidth="1"/>
    <col min="14854" max="14855" width="9.5703125" style="62" bestFit="1" customWidth="1"/>
    <col min="14856" max="14856" width="10.42578125" style="62" bestFit="1" customWidth="1"/>
    <col min="14857" max="14857" width="4.5703125" style="62" customWidth="1"/>
    <col min="14858" max="14858" width="1.85546875" style="62" customWidth="1"/>
    <col min="14859" max="14859" width="7" style="62" bestFit="1" customWidth="1"/>
    <col min="14860" max="14860" width="6.28515625" style="62" customWidth="1"/>
    <col min="14861" max="14861" width="20.42578125" style="62" customWidth="1"/>
    <col min="14862" max="14862" width="6.42578125" style="62" bestFit="1" customWidth="1"/>
    <col min="14863" max="14864" width="8.42578125" style="62"/>
    <col min="14865" max="14865" width="3.28515625" style="62" customWidth="1"/>
    <col min="14866" max="15104" width="8.42578125" style="62"/>
    <col min="15105" max="15105" width="10" style="62" bestFit="1" customWidth="1"/>
    <col min="15106" max="15106" width="44.28515625" style="62" bestFit="1" customWidth="1"/>
    <col min="15107" max="15107" width="10.42578125" style="62" bestFit="1" customWidth="1"/>
    <col min="15108" max="15108" width="10.42578125" style="62" customWidth="1"/>
    <col min="15109" max="15109" width="9.7109375" style="62" bestFit="1" customWidth="1"/>
    <col min="15110" max="15111" width="9.5703125" style="62" bestFit="1" customWidth="1"/>
    <col min="15112" max="15112" width="10.42578125" style="62" bestFit="1" customWidth="1"/>
    <col min="15113" max="15113" width="4.5703125" style="62" customWidth="1"/>
    <col min="15114" max="15114" width="1.85546875" style="62" customWidth="1"/>
    <col min="15115" max="15115" width="7" style="62" bestFit="1" customWidth="1"/>
    <col min="15116" max="15116" width="6.28515625" style="62" customWidth="1"/>
    <col min="15117" max="15117" width="20.42578125" style="62" customWidth="1"/>
    <col min="15118" max="15118" width="6.42578125" style="62" bestFit="1" customWidth="1"/>
    <col min="15119" max="15120" width="8.42578125" style="62"/>
    <col min="15121" max="15121" width="3.28515625" style="62" customWidth="1"/>
    <col min="15122" max="15360" width="8.42578125" style="62"/>
    <col min="15361" max="15361" width="10" style="62" bestFit="1" customWidth="1"/>
    <col min="15362" max="15362" width="44.28515625" style="62" bestFit="1" customWidth="1"/>
    <col min="15363" max="15363" width="10.42578125" style="62" bestFit="1" customWidth="1"/>
    <col min="15364" max="15364" width="10.42578125" style="62" customWidth="1"/>
    <col min="15365" max="15365" width="9.7109375" style="62" bestFit="1" customWidth="1"/>
    <col min="15366" max="15367" width="9.5703125" style="62" bestFit="1" customWidth="1"/>
    <col min="15368" max="15368" width="10.42578125" style="62" bestFit="1" customWidth="1"/>
    <col min="15369" max="15369" width="4.5703125" style="62" customWidth="1"/>
    <col min="15370" max="15370" width="1.85546875" style="62" customWidth="1"/>
    <col min="15371" max="15371" width="7" style="62" bestFit="1" customWidth="1"/>
    <col min="15372" max="15372" width="6.28515625" style="62" customWidth="1"/>
    <col min="15373" max="15373" width="20.42578125" style="62" customWidth="1"/>
    <col min="15374" max="15374" width="6.42578125" style="62" bestFit="1" customWidth="1"/>
    <col min="15375" max="15376" width="8.42578125" style="62"/>
    <col min="15377" max="15377" width="3.28515625" style="62" customWidth="1"/>
    <col min="15378" max="15616" width="8.42578125" style="62"/>
    <col min="15617" max="15617" width="10" style="62" bestFit="1" customWidth="1"/>
    <col min="15618" max="15618" width="44.28515625" style="62" bestFit="1" customWidth="1"/>
    <col min="15619" max="15619" width="10.42578125" style="62" bestFit="1" customWidth="1"/>
    <col min="15620" max="15620" width="10.42578125" style="62" customWidth="1"/>
    <col min="15621" max="15621" width="9.7109375" style="62" bestFit="1" customWidth="1"/>
    <col min="15622" max="15623" width="9.5703125" style="62" bestFit="1" customWidth="1"/>
    <col min="15624" max="15624" width="10.42578125" style="62" bestFit="1" customWidth="1"/>
    <col min="15625" max="15625" width="4.5703125" style="62" customWidth="1"/>
    <col min="15626" max="15626" width="1.85546875" style="62" customWidth="1"/>
    <col min="15627" max="15627" width="7" style="62" bestFit="1" customWidth="1"/>
    <col min="15628" max="15628" width="6.28515625" style="62" customWidth="1"/>
    <col min="15629" max="15629" width="20.42578125" style="62" customWidth="1"/>
    <col min="15630" max="15630" width="6.42578125" style="62" bestFit="1" customWidth="1"/>
    <col min="15631" max="15632" width="8.42578125" style="62"/>
    <col min="15633" max="15633" width="3.28515625" style="62" customWidth="1"/>
    <col min="15634" max="15872" width="8.42578125" style="62"/>
    <col min="15873" max="15873" width="10" style="62" bestFit="1" customWidth="1"/>
    <col min="15874" max="15874" width="44.28515625" style="62" bestFit="1" customWidth="1"/>
    <col min="15875" max="15875" width="10.42578125" style="62" bestFit="1" customWidth="1"/>
    <col min="15876" max="15876" width="10.42578125" style="62" customWidth="1"/>
    <col min="15877" max="15877" width="9.7109375" style="62" bestFit="1" customWidth="1"/>
    <col min="15878" max="15879" width="9.5703125" style="62" bestFit="1" customWidth="1"/>
    <col min="15880" max="15880" width="10.42578125" style="62" bestFit="1" customWidth="1"/>
    <col min="15881" max="15881" width="4.5703125" style="62" customWidth="1"/>
    <col min="15882" max="15882" width="1.85546875" style="62" customWidth="1"/>
    <col min="15883" max="15883" width="7" style="62" bestFit="1" customWidth="1"/>
    <col min="15884" max="15884" width="6.28515625" style="62" customWidth="1"/>
    <col min="15885" max="15885" width="20.42578125" style="62" customWidth="1"/>
    <col min="15886" max="15886" width="6.42578125" style="62" bestFit="1" customWidth="1"/>
    <col min="15887" max="15888" width="8.42578125" style="62"/>
    <col min="15889" max="15889" width="3.28515625" style="62" customWidth="1"/>
    <col min="15890" max="16128" width="8.42578125" style="62"/>
    <col min="16129" max="16129" width="10" style="62" bestFit="1" customWidth="1"/>
    <col min="16130" max="16130" width="44.28515625" style="62" bestFit="1" customWidth="1"/>
    <col min="16131" max="16131" width="10.42578125" style="62" bestFit="1" customWidth="1"/>
    <col min="16132" max="16132" width="10.42578125" style="62" customWidth="1"/>
    <col min="16133" max="16133" width="9.7109375" style="62" bestFit="1" customWidth="1"/>
    <col min="16134" max="16135" width="9.5703125" style="62" bestFit="1" customWidth="1"/>
    <col min="16136" max="16136" width="10.42578125" style="62" bestFit="1" customWidth="1"/>
    <col min="16137" max="16137" width="4.5703125" style="62" customWidth="1"/>
    <col min="16138" max="16138" width="1.85546875" style="62" customWidth="1"/>
    <col min="16139" max="16139" width="7" style="62" bestFit="1" customWidth="1"/>
    <col min="16140" max="16140" width="6.28515625" style="62" customWidth="1"/>
    <col min="16141" max="16141" width="20.42578125" style="62" customWidth="1"/>
    <col min="16142" max="16142" width="6.42578125" style="62" bestFit="1" customWidth="1"/>
    <col min="16143" max="16144" width="8.42578125" style="62"/>
    <col min="16145" max="16145" width="3.28515625" style="62" customWidth="1"/>
    <col min="16146" max="16384" width="8.42578125" style="62"/>
  </cols>
  <sheetData>
    <row r="1" spans="1:10" ht="27.75" customHeight="1" x14ac:dyDescent="0.25">
      <c r="A1" s="57"/>
      <c r="B1" s="57"/>
      <c r="C1" s="57"/>
      <c r="D1" s="57"/>
      <c r="E1" s="58" t="s">
        <v>74</v>
      </c>
      <c r="F1" s="59" t="s">
        <v>75</v>
      </c>
      <c r="G1" s="59" t="s">
        <v>76</v>
      </c>
      <c r="H1" s="59" t="s">
        <v>77</v>
      </c>
      <c r="I1" s="60"/>
    </row>
    <row r="2" spans="1:10" ht="30.75" customHeight="1" x14ac:dyDescent="0.25">
      <c r="A2" s="57"/>
      <c r="B2" s="57"/>
      <c r="C2" s="57"/>
      <c r="D2" s="57"/>
      <c r="E2" s="63">
        <f>IFERROR(O62,"")</f>
        <v>209.85472108843535</v>
      </c>
      <c r="F2" s="63">
        <f>IFERROR(H53,"")</f>
        <v>207.90576000000001</v>
      </c>
      <c r="G2" s="63">
        <f>IFERROR(H54,"")</f>
        <v>1.3738753741496599</v>
      </c>
      <c r="H2" s="63">
        <f>IFERROR(H56,"")</f>
        <v>25.794285714285714</v>
      </c>
      <c r="I2" s="64"/>
    </row>
    <row r="3" spans="1:10" ht="15" customHeight="1" x14ac:dyDescent="0.25">
      <c r="A3" s="57"/>
      <c r="B3" s="57"/>
      <c r="C3" s="57"/>
      <c r="D3" s="57"/>
      <c r="E3" s="57"/>
      <c r="F3" s="65"/>
      <c r="G3" s="65"/>
      <c r="H3" s="65"/>
      <c r="I3" s="65"/>
    </row>
    <row r="4" spans="1:10" ht="24.75" customHeight="1" thickBot="1" x14ac:dyDescent="0.3">
      <c r="A4" s="461"/>
      <c r="B4" s="461"/>
      <c r="C4" s="461"/>
      <c r="D4" s="461"/>
      <c r="E4" s="461"/>
      <c r="F4" s="461"/>
      <c r="G4" s="461"/>
      <c r="H4" s="461"/>
      <c r="I4" s="66"/>
    </row>
    <row r="5" spans="1:10" ht="19.5" customHeight="1" thickBot="1" x14ac:dyDescent="0.3">
      <c r="A5" s="462" t="s">
        <v>78</v>
      </c>
      <c r="B5" s="463"/>
      <c r="C5" s="463"/>
      <c r="D5" s="463"/>
      <c r="E5" s="463"/>
      <c r="F5" s="463"/>
      <c r="G5" s="463"/>
      <c r="H5" s="464"/>
      <c r="I5" s="67"/>
    </row>
    <row r="6" spans="1:10" ht="19.5" thickBot="1" x14ac:dyDescent="0.3">
      <c r="A6" s="67"/>
      <c r="B6" s="67"/>
      <c r="C6" s="67"/>
      <c r="D6" s="67"/>
      <c r="E6" s="67"/>
      <c r="F6" s="465" t="s">
        <v>79</v>
      </c>
      <c r="G6" s="465"/>
      <c r="H6" s="68">
        <f ca="1">TODAY()</f>
        <v>45887</v>
      </c>
      <c r="I6" s="68"/>
    </row>
    <row r="7" spans="1:10" ht="26.25" hidden="1" thickBot="1" x14ac:dyDescent="0.3">
      <c r="A7" s="69" t="s">
        <v>80</v>
      </c>
      <c r="B7" s="70" t="s">
        <v>81</v>
      </c>
      <c r="C7" s="70" t="s">
        <v>80</v>
      </c>
      <c r="D7" s="71" t="s">
        <v>82</v>
      </c>
      <c r="E7" s="71" t="s">
        <v>83</v>
      </c>
      <c r="F7" s="71" t="s">
        <v>84</v>
      </c>
      <c r="G7" s="71" t="s">
        <v>85</v>
      </c>
      <c r="H7" s="72" t="s">
        <v>86</v>
      </c>
      <c r="I7" s="73"/>
    </row>
    <row r="8" spans="1:10" ht="13.5" hidden="1" x14ac:dyDescent="0.25">
      <c r="A8" s="81"/>
      <c r="B8" s="62" t="str">
        <f>IFERROR(VLOOKUP(H8,'[1]Consolidado MP Planta'!$A$2:$M$823,3,0),"")</f>
        <v/>
      </c>
      <c r="C8" s="76">
        <f>+A8</f>
        <v>0</v>
      </c>
      <c r="D8" s="77" t="str">
        <f>IFERROR(VLOOKUP(H8,'[1]Consolidado MP Planta'!$A$2:$M$823,13,0),"")</f>
        <v/>
      </c>
      <c r="E8" s="77" t="str">
        <f>IFERROR(VLOOKUP(H8,'[1]Consolidado MP Planta'!$A$2:$M$823,12,0),"")</f>
        <v/>
      </c>
      <c r="F8" s="77" t="str">
        <f>IFERROR(C8*E8,"")</f>
        <v/>
      </c>
      <c r="G8" s="208" t="str">
        <f t="shared" ref="G8:G14" si="0">IFERROR(F8/$F$66,"")</f>
        <v/>
      </c>
      <c r="H8" s="79"/>
      <c r="I8" s="79"/>
      <c r="J8" s="209"/>
    </row>
    <row r="9" spans="1:10" ht="13.5" hidden="1" x14ac:dyDescent="0.25">
      <c r="A9" s="81"/>
      <c r="B9" s="62" t="str">
        <f>IFERROR(VLOOKUP(H9,'[1]Consolidado MP Planta'!$A$2:$M$823,3,0),"")</f>
        <v/>
      </c>
      <c r="C9" s="76">
        <f t="shared" ref="C9:C14" si="1">+A9</f>
        <v>0</v>
      </c>
      <c r="D9" s="77" t="str">
        <f>IFERROR(VLOOKUP(H9,'[1]Consolidado MP Planta'!$A$2:$M$823,13,0),"")</f>
        <v/>
      </c>
      <c r="E9" s="77" t="str">
        <f>IFERROR(VLOOKUP(H9,'[1]Consolidado MP Planta'!$A$2:$M$823,12,0),"")</f>
        <v/>
      </c>
      <c r="F9" s="77" t="str">
        <f t="shared" ref="F9:F14" si="2">IFERROR(C9*E9,"")</f>
        <v/>
      </c>
      <c r="G9" s="208" t="str">
        <f t="shared" si="0"/>
        <v/>
      </c>
      <c r="H9" s="79"/>
      <c r="I9" s="79"/>
      <c r="J9" s="209"/>
    </row>
    <row r="10" spans="1:10" ht="13.5" hidden="1" x14ac:dyDescent="0.25">
      <c r="A10" s="81"/>
      <c r="B10" s="62" t="str">
        <f>IFERROR(VLOOKUP(H10,'[1]Consolidado MP Planta'!$A$2:$M$823,3,0),"")</f>
        <v/>
      </c>
      <c r="C10" s="76">
        <f t="shared" si="1"/>
        <v>0</v>
      </c>
      <c r="D10" s="77" t="str">
        <f>IFERROR(VLOOKUP(H10,'[1]Consolidado MP Planta'!$A$2:$M$823,13,0),"")</f>
        <v/>
      </c>
      <c r="E10" s="77" t="str">
        <f>IFERROR(VLOOKUP(H10,'[1]Consolidado MP Planta'!$A$2:$M$823,12,0),"")</f>
        <v/>
      </c>
      <c r="F10" s="77" t="str">
        <f t="shared" si="2"/>
        <v/>
      </c>
      <c r="G10" s="208" t="str">
        <f t="shared" si="0"/>
        <v/>
      </c>
      <c r="H10" s="79"/>
      <c r="I10" s="79"/>
      <c r="J10" s="209"/>
    </row>
    <row r="11" spans="1:10" ht="13.5" hidden="1" x14ac:dyDescent="0.25">
      <c r="A11" s="81"/>
      <c r="B11" s="62" t="str">
        <f>IFERROR(VLOOKUP(H11,'[1]Consolidado MP Planta'!$A$2:$M$823,3,0),"")</f>
        <v/>
      </c>
      <c r="C11" s="76">
        <f t="shared" si="1"/>
        <v>0</v>
      </c>
      <c r="D11" s="77" t="str">
        <f>IFERROR(VLOOKUP(H11,'[1]Consolidado MP Planta'!$A$2:$M$823,13,0),"")</f>
        <v/>
      </c>
      <c r="E11" s="77" t="str">
        <f>IFERROR(VLOOKUP(H11,'[1]Consolidado MP Planta'!$A$2:$M$823,12,0),"")</f>
        <v/>
      </c>
      <c r="F11" s="77" t="str">
        <f t="shared" si="2"/>
        <v/>
      </c>
      <c r="G11" s="208" t="str">
        <f t="shared" si="0"/>
        <v/>
      </c>
      <c r="H11" s="79"/>
      <c r="I11" s="79"/>
      <c r="J11" s="209"/>
    </row>
    <row r="12" spans="1:10" ht="13.5" hidden="1" x14ac:dyDescent="0.25">
      <c r="A12" s="81"/>
      <c r="B12" s="62" t="str">
        <f>IFERROR(VLOOKUP(H12,'[1]Consolidado MP Planta'!$A$2:$M$823,3,0),"")</f>
        <v/>
      </c>
      <c r="C12" s="76">
        <f t="shared" si="1"/>
        <v>0</v>
      </c>
      <c r="D12" s="77" t="str">
        <f>IFERROR(VLOOKUP(H12,'[1]Consolidado MP Planta'!$A$2:$M$823,13,0),"")</f>
        <v/>
      </c>
      <c r="E12" s="77" t="str">
        <f>IFERROR(VLOOKUP(H12,'[1]Consolidado MP Planta'!$A$2:$M$823,12,0),"")</f>
        <v/>
      </c>
      <c r="F12" s="77" t="str">
        <f t="shared" si="2"/>
        <v/>
      </c>
      <c r="G12" s="208" t="str">
        <f t="shared" si="0"/>
        <v/>
      </c>
      <c r="H12" s="79"/>
      <c r="I12" s="79"/>
      <c r="J12" s="209"/>
    </row>
    <row r="13" spans="1:10" ht="13.5" hidden="1" x14ac:dyDescent="0.25">
      <c r="A13" s="81"/>
      <c r="B13" s="62" t="str">
        <f>IFERROR(VLOOKUP(H13,'[1]Consolidado MP Planta'!$A$2:$M$823,3,0),"")</f>
        <v/>
      </c>
      <c r="C13" s="76">
        <f t="shared" si="1"/>
        <v>0</v>
      </c>
      <c r="D13" s="77" t="str">
        <f>IFERROR(VLOOKUP(H13,'[1]Consolidado MP Planta'!$A$2:$M$823,13,0),"")</f>
        <v/>
      </c>
      <c r="E13" s="77" t="str">
        <f>IFERROR(VLOOKUP(H13,'[1]Consolidado MP Planta'!$A$2:$M$823,12,0),"")</f>
        <v/>
      </c>
      <c r="F13" s="77" t="str">
        <f t="shared" si="2"/>
        <v/>
      </c>
      <c r="G13" s="208" t="str">
        <f t="shared" si="0"/>
        <v/>
      </c>
      <c r="H13" s="79"/>
      <c r="I13" s="79"/>
      <c r="J13" s="209"/>
    </row>
    <row r="14" spans="1:10" ht="13.5" hidden="1" x14ac:dyDescent="0.25">
      <c r="A14" s="81"/>
      <c r="B14" s="62" t="str">
        <f>IFERROR(VLOOKUP(H14,'[1]Consolidado MP Planta'!$A$2:$M$823,3,0),"")</f>
        <v/>
      </c>
      <c r="C14" s="76">
        <f t="shared" si="1"/>
        <v>0</v>
      </c>
      <c r="D14" s="77" t="str">
        <f>IFERROR(VLOOKUP(H14,'[1]Consolidado MP Planta'!$A$2:$M$823,13,0),"")</f>
        <v/>
      </c>
      <c r="E14" s="77" t="str">
        <f>IFERROR(VLOOKUP(H14,'[1]Consolidado MP Planta'!$A$2:$M$823,12,0),"")</f>
        <v/>
      </c>
      <c r="F14" s="77" t="str">
        <f t="shared" si="2"/>
        <v/>
      </c>
      <c r="G14" s="208" t="str">
        <f t="shared" si="0"/>
        <v/>
      </c>
      <c r="H14" s="79"/>
      <c r="I14" s="79"/>
      <c r="J14" s="209"/>
    </row>
    <row r="15" spans="1:10" ht="14.25" hidden="1" thickBot="1" x14ac:dyDescent="0.3">
      <c r="A15" s="81"/>
      <c r="B15" s="62" t="str">
        <f>IFERROR(VLOOKUP(H15,'[2]ARTICULOS MP PLANTA'!$A$2:$G$589,2,0),"")</f>
        <v/>
      </c>
      <c r="C15" s="76"/>
      <c r="D15" s="77"/>
      <c r="E15" s="77"/>
      <c r="F15" s="77"/>
      <c r="G15" s="208"/>
      <c r="H15" s="79"/>
      <c r="I15" s="79"/>
      <c r="J15" s="209"/>
    </row>
    <row r="16" spans="1:10" ht="26.25" thickBot="1" x14ac:dyDescent="0.3">
      <c r="A16" s="69" t="s">
        <v>80</v>
      </c>
      <c r="B16" s="70" t="s">
        <v>93</v>
      </c>
      <c r="C16" s="70" t="s">
        <v>80</v>
      </c>
      <c r="D16" s="71" t="s">
        <v>82</v>
      </c>
      <c r="E16" s="71" t="s">
        <v>83</v>
      </c>
      <c r="F16" s="71" t="s">
        <v>84</v>
      </c>
      <c r="G16" s="71" t="s">
        <v>85</v>
      </c>
      <c r="H16" s="72" t="s">
        <v>86</v>
      </c>
      <c r="I16" s="73"/>
      <c r="J16" s="209"/>
    </row>
    <row r="17" spans="1:12" ht="13.5" x14ac:dyDescent="0.25">
      <c r="A17" s="81">
        <v>10500</v>
      </c>
      <c r="B17" s="62" t="s">
        <v>139</v>
      </c>
      <c r="C17" s="76">
        <f>+A17</f>
        <v>10500</v>
      </c>
      <c r="D17" s="76" t="s">
        <v>133</v>
      </c>
      <c r="E17" s="77">
        <f>+'Costo Batido'!E70</f>
        <v>1.732548</v>
      </c>
      <c r="F17" s="77">
        <f>IFERROR(E17*C17,"")</f>
        <v>18191.754000000001</v>
      </c>
      <c r="G17" s="208">
        <f t="shared" ref="G17:G24" si="3">IFERROR(F17/$F$66,"")</f>
        <v>0.90054607444021018</v>
      </c>
      <c r="H17" s="79"/>
      <c r="I17" s="79"/>
      <c r="J17" s="209"/>
    </row>
    <row r="18" spans="1:12" ht="13.5" hidden="1" x14ac:dyDescent="0.25">
      <c r="A18" s="81">
        <v>0</v>
      </c>
      <c r="B18" s="62" t="str">
        <f>IFERROR(VLOOKUP(H18,[1]SEMIELABORADOS!$A$2:$M$6000,2,0),"")</f>
        <v>MEZCLA P/ENGRASE MOLDES KILO</v>
      </c>
      <c r="C18" s="76">
        <f t="shared" ref="C18:C24" si="4">+A18</f>
        <v>0</v>
      </c>
      <c r="D18" s="76" t="str">
        <f>IFERROR(VLOOKUP(H18,[1]SEMIELABORADOS!$A$2:$M$6000,6,0),"")</f>
        <v>Gramo</v>
      </c>
      <c r="E18" s="77">
        <v>2.04</v>
      </c>
      <c r="F18" s="77">
        <f t="shared" ref="F18:F24" si="5">IFERROR(E18*C18,"")</f>
        <v>0</v>
      </c>
      <c r="G18" s="208">
        <f t="shared" si="3"/>
        <v>0</v>
      </c>
      <c r="H18" s="79" t="s">
        <v>163</v>
      </c>
      <c r="I18" s="79"/>
      <c r="J18" s="209"/>
    </row>
    <row r="19" spans="1:12" ht="13.5" hidden="1" x14ac:dyDescent="0.25">
      <c r="A19" s="81"/>
      <c r="B19" s="62" t="str">
        <f>IFERROR(VLOOKUP(H19,[1]SEMIELABORADOS!$A$2:$M$6000,2,0),"")</f>
        <v/>
      </c>
      <c r="C19" s="76">
        <f>+A19</f>
        <v>0</v>
      </c>
      <c r="D19" s="76" t="str">
        <f>IFERROR(VLOOKUP(H19,[1]SEMIELABORADOS!$A$2:$M$6000,6,0),"")</f>
        <v/>
      </c>
      <c r="E19" s="77" t="str">
        <f>IFERROR(VLOOKUP(H19,[1]SEMIELABORADOS!$A$2:$H$65536,8,0),"")</f>
        <v/>
      </c>
      <c r="F19" s="77" t="str">
        <f>IFERROR(E19*C19,"")</f>
        <v/>
      </c>
      <c r="G19" s="208" t="str">
        <f t="shared" si="3"/>
        <v/>
      </c>
      <c r="H19" s="79"/>
      <c r="I19" s="79"/>
      <c r="J19" s="209"/>
    </row>
    <row r="20" spans="1:12" ht="13.5" hidden="1" x14ac:dyDescent="0.25">
      <c r="A20" s="81"/>
      <c r="B20" s="62" t="str">
        <f>IFERROR(VLOOKUP(H20,[1]SEMIELABORADOS!$A$2:$M$6000,2,0),"")</f>
        <v/>
      </c>
      <c r="C20" s="76">
        <f>+A20</f>
        <v>0</v>
      </c>
      <c r="D20" s="76" t="str">
        <f>IFERROR(VLOOKUP(H20,[1]SEMIELABORADOS!$A$2:$M$6000,6,0),"")</f>
        <v/>
      </c>
      <c r="E20" s="77" t="str">
        <f>IFERROR(VLOOKUP(H20,[1]SEMIELABORADOS!$A$2:$H$65536,8,0),"")</f>
        <v/>
      </c>
      <c r="F20" s="77" t="str">
        <f>IFERROR(E20*C20,"")</f>
        <v/>
      </c>
      <c r="G20" s="208" t="str">
        <f t="shared" si="3"/>
        <v/>
      </c>
      <c r="H20" s="79"/>
      <c r="I20" s="79"/>
      <c r="J20" s="209"/>
    </row>
    <row r="21" spans="1:12" ht="13.5" hidden="1" x14ac:dyDescent="0.25">
      <c r="A21" s="81"/>
      <c r="B21" s="62" t="str">
        <f>IFERROR(VLOOKUP(H21,[1]SEMIELABORADOS!$A$2:$M$6000,2,0),"")</f>
        <v/>
      </c>
      <c r="C21" s="76">
        <f>+A21</f>
        <v>0</v>
      </c>
      <c r="D21" s="76" t="str">
        <f>IFERROR(VLOOKUP(H21,[1]SEMIELABORADOS!$A$2:$M$6000,6,0),"")</f>
        <v/>
      </c>
      <c r="E21" s="77" t="str">
        <f>IFERROR(VLOOKUP(H21,[1]SEMIELABORADOS!$A$2:$H$65536,8,0),"")</f>
        <v/>
      </c>
      <c r="F21" s="77" t="str">
        <f>IFERROR(E21*C21,"")</f>
        <v/>
      </c>
      <c r="G21" s="208" t="str">
        <f t="shared" si="3"/>
        <v/>
      </c>
      <c r="H21" s="79"/>
      <c r="I21" s="79"/>
      <c r="J21" s="209"/>
    </row>
    <row r="22" spans="1:12" ht="13.5" hidden="1" x14ac:dyDescent="0.25">
      <c r="A22" s="81"/>
      <c r="B22" s="62" t="str">
        <f>IFERROR(VLOOKUP(H22,[1]SEMIELABORADOS!$A$2:$M$6000,2,0),"")</f>
        <v/>
      </c>
      <c r="C22" s="76">
        <f t="shared" si="4"/>
        <v>0</v>
      </c>
      <c r="D22" s="76" t="str">
        <f>IFERROR(VLOOKUP(H22,[1]SEMIELABORADOS!$A$2:$M$6000,6,0),"")</f>
        <v/>
      </c>
      <c r="E22" s="77" t="str">
        <f>IFERROR(VLOOKUP(H22,[1]SEMIELABORADOS!$A$2:$H$65536,8,0),"")</f>
        <v/>
      </c>
      <c r="F22" s="77" t="str">
        <f t="shared" si="5"/>
        <v/>
      </c>
      <c r="G22" s="208" t="str">
        <f t="shared" si="3"/>
        <v/>
      </c>
      <c r="H22" s="79"/>
      <c r="I22" s="79"/>
      <c r="J22" s="209"/>
    </row>
    <row r="23" spans="1:12" ht="13.5" hidden="1" x14ac:dyDescent="0.25">
      <c r="A23" s="81"/>
      <c r="B23" s="62" t="str">
        <f>IFERROR(VLOOKUP(H23,[1]SEMIELABORADOS!$A$2:$M$6000,2,0),"")</f>
        <v/>
      </c>
      <c r="C23" s="76">
        <f t="shared" si="4"/>
        <v>0</v>
      </c>
      <c r="D23" s="76" t="str">
        <f>IFERROR(VLOOKUP(H23,[1]SEMIELABORADOS!$A$2:$M$6000,6,0),"")</f>
        <v/>
      </c>
      <c r="E23" s="77" t="str">
        <f>IFERROR(VLOOKUP(H23,[1]SEMIELABORADOS!$A$2:$H$65536,8,0),"")</f>
        <v/>
      </c>
      <c r="F23" s="77" t="str">
        <f t="shared" si="5"/>
        <v/>
      </c>
      <c r="G23" s="208" t="str">
        <f t="shared" si="3"/>
        <v/>
      </c>
      <c r="H23" s="79"/>
      <c r="I23" s="79"/>
      <c r="J23" s="209"/>
    </row>
    <row r="24" spans="1:12" ht="13.5" hidden="1" x14ac:dyDescent="0.25">
      <c r="A24" s="81"/>
      <c r="B24" s="62" t="str">
        <f>IFERROR(VLOOKUP(H24,[1]SEMIELABORADOS!$A$2:$M$6000,2,0),"")</f>
        <v/>
      </c>
      <c r="C24" s="76">
        <f t="shared" si="4"/>
        <v>0</v>
      </c>
      <c r="D24" s="76" t="str">
        <f>IFERROR(VLOOKUP(H24,[1]SEMIELABORADOS!$A$2:$M$6000,6,0),"")</f>
        <v/>
      </c>
      <c r="E24" s="77" t="str">
        <f>IFERROR(VLOOKUP(H24,[1]SEMIELABORADOS!$A$2:$H$65536,8,0),"")</f>
        <v/>
      </c>
      <c r="F24" s="77" t="str">
        <f t="shared" si="5"/>
        <v/>
      </c>
      <c r="G24" s="208" t="str">
        <f t="shared" si="3"/>
        <v/>
      </c>
      <c r="H24" s="79"/>
      <c r="I24" s="79"/>
      <c r="J24" s="209"/>
    </row>
    <row r="25" spans="1:12" ht="14.25" thickBot="1" x14ac:dyDescent="0.3">
      <c r="A25" s="81"/>
      <c r="C25" s="76"/>
      <c r="D25" s="76"/>
      <c r="E25" s="77"/>
      <c r="F25" s="77"/>
      <c r="G25" s="208"/>
      <c r="H25" s="79"/>
      <c r="I25" s="79"/>
      <c r="J25" s="209"/>
    </row>
    <row r="26" spans="1:12" ht="26.25" hidden="1" thickBot="1" x14ac:dyDescent="0.3">
      <c r="A26" s="69" t="s">
        <v>80</v>
      </c>
      <c r="B26" s="70" t="s">
        <v>45</v>
      </c>
      <c r="C26" s="70" t="s">
        <v>80</v>
      </c>
      <c r="D26" s="71" t="s">
        <v>82</v>
      </c>
      <c r="E26" s="71" t="s">
        <v>83</v>
      </c>
      <c r="F26" s="71" t="s">
        <v>84</v>
      </c>
      <c r="G26" s="71" t="s">
        <v>85</v>
      </c>
      <c r="H26" s="72" t="s">
        <v>86</v>
      </c>
      <c r="I26" s="73"/>
    </row>
    <row r="27" spans="1:12" ht="13.5" hidden="1" x14ac:dyDescent="0.25">
      <c r="A27" s="81">
        <v>0</v>
      </c>
      <c r="B27" s="82" t="str">
        <f>IFERROR(VLOOKUP(H27,'[1]Consolidado MP Planta'!$A$2:$M$823,3,0),"")</f>
        <v>PAPEL ENCERADO 10X10 (CAJA)</v>
      </c>
      <c r="C27" s="76">
        <f t="shared" ref="C27:C32" si="6">+A27</f>
        <v>0</v>
      </c>
      <c r="D27" s="77" t="str">
        <f>IFERROR(VLOOKUP(H27,'[1]Consolidado MP Planta'!$A$2:$M$823,13,0),"")</f>
        <v>Und</v>
      </c>
      <c r="E27" s="77">
        <f>IFERROR(VLOOKUP(H27,'[1]Consolidado MP Planta'!$A$2:$M$823,12,0),"")</f>
        <v>10.641999999999999</v>
      </c>
      <c r="F27" s="77">
        <f t="shared" ref="F27:F32" si="7">IFERROR(C27*E27,"")</f>
        <v>0</v>
      </c>
      <c r="G27" s="208">
        <f t="shared" ref="G27:G32" si="8">IFERROR(F27/$F$66,"")</f>
        <v>0</v>
      </c>
      <c r="H27" s="83" t="s">
        <v>142</v>
      </c>
      <c r="I27" s="83"/>
      <c r="J27" s="209"/>
      <c r="K27" s="455"/>
      <c r="L27" s="455"/>
    </row>
    <row r="28" spans="1:12" ht="13.5" hidden="1" x14ac:dyDescent="0.25">
      <c r="A28" s="81">
        <v>0</v>
      </c>
      <c r="B28" s="82" t="str">
        <f>IFERROR(VLOOKUP(H28,'[1]Consolidado MP Planta'!$A$2:$M$823,3,0),"")</f>
        <v>BOLSA TRANSPARENTE 56X96X1.80 KILO</v>
      </c>
      <c r="C28" s="76">
        <f t="shared" si="6"/>
        <v>0</v>
      </c>
      <c r="D28" s="77" t="str">
        <f>IFERROR(VLOOKUP(H28,'[1]Consolidado MP Planta'!$A$2:$M$823,13,0),"")</f>
        <v>Und</v>
      </c>
      <c r="E28" s="77">
        <f>IFERROR(VLOOKUP(H28,'[1]Consolidado MP Planta'!$A$2:$M$823,12,0),"")</f>
        <v>50</v>
      </c>
      <c r="F28" s="77">
        <f t="shared" si="7"/>
        <v>0</v>
      </c>
      <c r="G28" s="208">
        <f t="shared" si="8"/>
        <v>0</v>
      </c>
      <c r="H28" s="83" t="s">
        <v>164</v>
      </c>
      <c r="I28" s="83"/>
      <c r="J28" s="209"/>
      <c r="K28" s="455"/>
      <c r="L28" s="455"/>
    </row>
    <row r="29" spans="1:12" ht="13.5" hidden="1" x14ac:dyDescent="0.25">
      <c r="A29" s="81">
        <v>0</v>
      </c>
      <c r="B29" s="82" t="str">
        <f>IFERROR(VLOOKUP(H29,'[1]Consolidado MP Planta'!$A$2:$M$823,3,0),"")</f>
        <v>ETIQ.FECHA VENCIMIENTO VERDE (ROLLO)</v>
      </c>
      <c r="C29" s="76">
        <f t="shared" si="6"/>
        <v>0</v>
      </c>
      <c r="D29" s="77" t="str">
        <f>IFERROR(VLOOKUP(H29,'[1]Consolidado MP Planta'!$A$2:$M$823,13,0),"")</f>
        <v>Und</v>
      </c>
      <c r="E29" s="77">
        <f>IFERROR(VLOOKUP(H29,'[1]Consolidado MP Planta'!$A$2:$M$823,12,0),"")</f>
        <v>0.33333333333333331</v>
      </c>
      <c r="F29" s="77">
        <f t="shared" si="7"/>
        <v>0</v>
      </c>
      <c r="G29" s="208">
        <f t="shared" si="8"/>
        <v>0</v>
      </c>
      <c r="H29" s="83" t="s">
        <v>149</v>
      </c>
      <c r="I29" s="83"/>
      <c r="J29" s="209"/>
      <c r="K29" s="455"/>
      <c r="L29" s="455"/>
    </row>
    <row r="30" spans="1:12" ht="13.5" hidden="1" x14ac:dyDescent="0.25">
      <c r="A30" s="81"/>
      <c r="B30" s="82" t="str">
        <f>IFERROR(VLOOKUP(H30,'[1]Consolidado MP Planta'!$A$2:$M$823,3,0),"")</f>
        <v/>
      </c>
      <c r="C30" s="76">
        <f t="shared" si="6"/>
        <v>0</v>
      </c>
      <c r="D30" s="77" t="str">
        <f>IFERROR(VLOOKUP(H30,'[1]Consolidado MP Planta'!$A$2:$M$823,13,0),"")</f>
        <v/>
      </c>
      <c r="E30" s="77" t="str">
        <f>IFERROR(VLOOKUP(H30,'[1]Consolidado MP Planta'!$A$2:$M$823,12,0),"")</f>
        <v/>
      </c>
      <c r="F30" s="77" t="str">
        <f t="shared" si="7"/>
        <v/>
      </c>
      <c r="G30" s="208" t="str">
        <f t="shared" si="8"/>
        <v/>
      </c>
      <c r="H30" s="83"/>
      <c r="I30" s="83"/>
      <c r="J30" s="209"/>
      <c r="K30" s="455"/>
      <c r="L30" s="455"/>
    </row>
    <row r="31" spans="1:12" ht="13.5" hidden="1" x14ac:dyDescent="0.25">
      <c r="A31" s="81"/>
      <c r="B31" s="82" t="str">
        <f>IFERROR(VLOOKUP(H31,'[1]Consolidado MP Planta'!$A$2:$M$823,3,0),"")</f>
        <v/>
      </c>
      <c r="C31" s="76">
        <f t="shared" si="6"/>
        <v>0</v>
      </c>
      <c r="D31" s="77" t="str">
        <f>IFERROR(VLOOKUP(H31,'[1]Consolidado MP Planta'!$A$2:$M$823,13,0),"")</f>
        <v/>
      </c>
      <c r="E31" s="77" t="str">
        <f>IFERROR(VLOOKUP(H31,'[1]Consolidado MP Planta'!$A$2:$M$823,12,0),"")</f>
        <v/>
      </c>
      <c r="F31" s="77" t="str">
        <f t="shared" si="7"/>
        <v/>
      </c>
      <c r="G31" s="208" t="str">
        <f t="shared" si="8"/>
        <v/>
      </c>
      <c r="H31" s="83"/>
      <c r="I31" s="83"/>
      <c r="J31" s="209"/>
      <c r="K31" s="84"/>
      <c r="L31" s="85"/>
    </row>
    <row r="32" spans="1:12" ht="13.5" hidden="1" x14ac:dyDescent="0.25">
      <c r="A32" s="81"/>
      <c r="B32" s="82" t="str">
        <f>IFERROR(VLOOKUP(H32,'[1]Consolidado MP Planta'!$A$2:$M$823,3,0),"")</f>
        <v/>
      </c>
      <c r="C32" s="76">
        <f t="shared" si="6"/>
        <v>0</v>
      </c>
      <c r="D32" s="77" t="str">
        <f>IFERROR(VLOOKUP(H32,'[1]Consolidado MP Planta'!$A$2:$M$823,13,0),"")</f>
        <v/>
      </c>
      <c r="E32" s="77" t="str">
        <f>IFERROR(VLOOKUP(H32,'[1]Consolidado MP Planta'!$A$2:$M$823,12,0),"")</f>
        <v/>
      </c>
      <c r="F32" s="77" t="str">
        <f t="shared" si="7"/>
        <v/>
      </c>
      <c r="G32" s="208" t="str">
        <f t="shared" si="8"/>
        <v/>
      </c>
      <c r="H32" s="83"/>
      <c r="I32" s="83"/>
      <c r="J32" s="209"/>
    </row>
    <row r="33" spans="1:13" ht="14.25" hidden="1" thickBot="1" x14ac:dyDescent="0.3">
      <c r="A33" s="81"/>
      <c r="B33" s="82"/>
      <c r="C33" s="76"/>
      <c r="D33" s="77"/>
      <c r="E33" s="77"/>
      <c r="F33" s="77"/>
      <c r="G33" s="208"/>
      <c r="H33" s="83"/>
      <c r="I33" s="83"/>
      <c r="J33" s="209"/>
    </row>
    <row r="34" spans="1:13" ht="26.25" thickBot="1" x14ac:dyDescent="0.25">
      <c r="A34" s="69" t="s">
        <v>80</v>
      </c>
      <c r="B34" s="70" t="s">
        <v>94</v>
      </c>
      <c r="C34" s="70" t="s">
        <v>80</v>
      </c>
      <c r="D34" s="71" t="s">
        <v>82</v>
      </c>
      <c r="E34" s="71" t="s">
        <v>83</v>
      </c>
      <c r="F34" s="71" t="s">
        <v>84</v>
      </c>
      <c r="G34" s="71" t="s">
        <v>85</v>
      </c>
      <c r="H34" s="72" t="s">
        <v>86</v>
      </c>
      <c r="I34" s="83"/>
      <c r="J34" s="209"/>
    </row>
    <row r="35" spans="1:13" ht="13.5" x14ac:dyDescent="0.25">
      <c r="A35" s="81">
        <v>10500</v>
      </c>
      <c r="B35" s="82" t="s">
        <v>139</v>
      </c>
      <c r="C35" s="76">
        <f>+A35</f>
        <v>10500</v>
      </c>
      <c r="D35" s="77" t="s">
        <v>133</v>
      </c>
      <c r="E35" s="77">
        <f>+'Costo Batido'!E77</f>
        <v>1.1448961451247165E-2</v>
      </c>
      <c r="F35" s="77">
        <f>IFERROR(E35*C35,"")</f>
        <v>120.21409523809524</v>
      </c>
      <c r="G35" s="208">
        <f t="shared" ref="G35:G41" si="9">IFERROR(F35/$F$66,"")</f>
        <v>5.9509562167039103E-3</v>
      </c>
      <c r="H35" s="83"/>
      <c r="I35" s="83"/>
      <c r="J35" s="209"/>
    </row>
    <row r="36" spans="1:13" ht="13.5" hidden="1" x14ac:dyDescent="0.25">
      <c r="A36" s="81">
        <v>0</v>
      </c>
      <c r="B36" s="82" t="str">
        <f>IFERROR(VLOOKUP(H36,[1]SEMIELABORADOS!$A$2:$M$6000,2,0),"")</f>
        <v>MEZCLA P/ENGRASE MOLDES KILO</v>
      </c>
      <c r="C36" s="76">
        <f t="shared" ref="C36:C41" si="10">+A36</f>
        <v>0</v>
      </c>
      <c r="D36" s="77" t="str">
        <f>IFERROR(VLOOKUP(H36,[1]SEMIELABORADOS!$A$2:$M$6000,6,0),"")</f>
        <v>Gramo</v>
      </c>
      <c r="E36" s="77">
        <f>IFERROR(VLOOKUP(H36,[1]SEMIELABORADOS!$A$2:$M$65536,10,0),"")</f>
        <v>2.1536385000000002E-2</v>
      </c>
      <c r="F36" s="77">
        <f t="shared" ref="F36:F41" si="11">IFERROR(E36*C36,"")</f>
        <v>0</v>
      </c>
      <c r="G36" s="208">
        <f t="shared" si="9"/>
        <v>0</v>
      </c>
      <c r="H36" s="83" t="s">
        <v>163</v>
      </c>
      <c r="I36" s="83"/>
      <c r="J36" s="209"/>
    </row>
    <row r="37" spans="1:13" ht="13.5" hidden="1" x14ac:dyDescent="0.25">
      <c r="A37" s="81">
        <f t="shared" ref="A37:A41" si="12">+A19</f>
        <v>0</v>
      </c>
      <c r="B37" s="82" t="str">
        <f>IFERROR(VLOOKUP(H37,[1]SEMIELABORADOS!$A$2:$M$6000,2,0),"")</f>
        <v/>
      </c>
      <c r="C37" s="76">
        <f t="shared" si="10"/>
        <v>0</v>
      </c>
      <c r="D37" s="77" t="str">
        <f>IFERROR(VLOOKUP(H37,[1]SEMIELABORADOS!$A$2:$M$6000,6,0),"")</f>
        <v/>
      </c>
      <c r="E37" s="77" t="str">
        <f>IFERROR(VLOOKUP(H37,[1]SEMIELABORADOS!$A$2:$M$65536,10,0),"")</f>
        <v/>
      </c>
      <c r="F37" s="77" t="str">
        <f t="shared" si="11"/>
        <v/>
      </c>
      <c r="G37" s="208" t="str">
        <f t="shared" si="9"/>
        <v/>
      </c>
      <c r="H37" s="83"/>
      <c r="I37" s="83"/>
      <c r="J37" s="209"/>
    </row>
    <row r="38" spans="1:13" ht="13.5" hidden="1" x14ac:dyDescent="0.25">
      <c r="A38" s="81">
        <f t="shared" si="12"/>
        <v>0</v>
      </c>
      <c r="B38" s="82" t="str">
        <f>IFERROR(VLOOKUP(H38,[1]SEMIELABORADOS!$A$2:$M$6000,2,0),"")</f>
        <v/>
      </c>
      <c r="C38" s="76">
        <f>+A38</f>
        <v>0</v>
      </c>
      <c r="D38" s="77" t="str">
        <f>IFERROR(VLOOKUP(H38,[1]SEMIELABORADOS!$A$2:$M$6000,6,0),"")</f>
        <v/>
      </c>
      <c r="E38" s="77" t="str">
        <f>IFERROR(VLOOKUP(H38,[1]SEMIELABORADOS!$A$2:$M$65536,10,0),"")</f>
        <v/>
      </c>
      <c r="F38" s="77" t="str">
        <f>IFERROR(E38*C38,"")</f>
        <v/>
      </c>
      <c r="G38" s="208" t="str">
        <f t="shared" si="9"/>
        <v/>
      </c>
      <c r="H38" s="83"/>
      <c r="I38" s="83"/>
      <c r="J38" s="209"/>
    </row>
    <row r="39" spans="1:13" ht="13.5" hidden="1" x14ac:dyDescent="0.25">
      <c r="A39" s="81">
        <f t="shared" si="12"/>
        <v>0</v>
      </c>
      <c r="B39" s="82" t="str">
        <f>IFERROR(VLOOKUP(H39,[1]SEMIELABORADOS!$A$2:$M$6000,2,0),"")</f>
        <v/>
      </c>
      <c r="C39" s="76">
        <f>+A39</f>
        <v>0</v>
      </c>
      <c r="D39" s="77" t="str">
        <f>IFERROR(VLOOKUP(H39,[1]SEMIELABORADOS!$A$2:$M$6000,6,0),"")</f>
        <v/>
      </c>
      <c r="E39" s="77" t="str">
        <f>IFERROR(VLOOKUP(H39,[1]SEMIELABORADOS!$A$2:$M$65536,10,0),"")</f>
        <v/>
      </c>
      <c r="F39" s="77" t="str">
        <f>IFERROR(E39*C39,"")</f>
        <v/>
      </c>
      <c r="G39" s="208" t="str">
        <f t="shared" si="9"/>
        <v/>
      </c>
      <c r="H39" s="83"/>
      <c r="I39" s="83"/>
      <c r="J39" s="209"/>
    </row>
    <row r="40" spans="1:13" ht="13.5" hidden="1" x14ac:dyDescent="0.25">
      <c r="A40" s="81">
        <f t="shared" si="12"/>
        <v>0</v>
      </c>
      <c r="B40" s="82" t="str">
        <f>IFERROR(VLOOKUP(H40,[1]SEMIELABORADOS!$A$2:$M$6000,2,0),"")</f>
        <v/>
      </c>
      <c r="C40" s="76">
        <f t="shared" si="10"/>
        <v>0</v>
      </c>
      <c r="D40" s="77" t="str">
        <f>IFERROR(VLOOKUP(H40,[1]SEMIELABORADOS!$A$2:$M$6000,6,0),"")</f>
        <v/>
      </c>
      <c r="E40" s="77" t="str">
        <f>IFERROR(VLOOKUP(H40,[1]SEMIELABORADOS!$A$2:$M$65536,10,0),"")</f>
        <v/>
      </c>
      <c r="F40" s="77" t="str">
        <f t="shared" si="11"/>
        <v/>
      </c>
      <c r="G40" s="208" t="str">
        <f t="shared" si="9"/>
        <v/>
      </c>
      <c r="H40" s="83"/>
      <c r="I40" s="83"/>
      <c r="J40" s="209"/>
    </row>
    <row r="41" spans="1:13" ht="13.5" hidden="1" x14ac:dyDescent="0.25">
      <c r="A41" s="81">
        <f t="shared" si="12"/>
        <v>0</v>
      </c>
      <c r="B41" s="82" t="str">
        <f>IFERROR(VLOOKUP(H41,[1]SEMIELABORADOS!$A$2:$M$6000,2,0),"")</f>
        <v/>
      </c>
      <c r="C41" s="76">
        <f t="shared" si="10"/>
        <v>0</v>
      </c>
      <c r="D41" s="77" t="str">
        <f>IFERROR(VLOOKUP(H41,[1]SEMIELABORADOS!$A$2:$M$6000,6,0),"")</f>
        <v/>
      </c>
      <c r="E41" s="77" t="str">
        <f>IFERROR(VLOOKUP(H41,[1]SEMIELABORADOS!$A$2:$M$65536,10,0),"")</f>
        <v/>
      </c>
      <c r="F41" s="77" t="str">
        <f t="shared" si="11"/>
        <v/>
      </c>
      <c r="G41" s="208" t="str">
        <f t="shared" si="9"/>
        <v/>
      </c>
      <c r="H41" s="83"/>
      <c r="I41" s="83"/>
      <c r="J41" s="209"/>
    </row>
    <row r="42" spans="1:13" ht="14.25" thickBot="1" x14ac:dyDescent="0.3">
      <c r="A42" s="81"/>
      <c r="B42" s="82"/>
      <c r="C42" s="76"/>
      <c r="D42" s="77"/>
      <c r="E42" s="77"/>
      <c r="F42" s="77"/>
      <c r="G42" s="208"/>
      <c r="H42" s="83"/>
      <c r="I42" s="83"/>
      <c r="J42" s="209"/>
    </row>
    <row r="43" spans="1:13" ht="26.25" thickBot="1" x14ac:dyDescent="0.3">
      <c r="A43" s="69" t="s">
        <v>80</v>
      </c>
      <c r="B43" s="70" t="s">
        <v>95</v>
      </c>
      <c r="C43" s="70" t="s">
        <v>80</v>
      </c>
      <c r="D43" s="71" t="s">
        <v>82</v>
      </c>
      <c r="E43" s="71" t="s">
        <v>83</v>
      </c>
      <c r="F43" s="71" t="s">
        <v>84</v>
      </c>
      <c r="G43" s="71" t="s">
        <v>85</v>
      </c>
      <c r="H43" s="72" t="s">
        <v>86</v>
      </c>
      <c r="I43" s="73"/>
      <c r="J43" s="209"/>
    </row>
    <row r="44" spans="1:13" ht="13.5" x14ac:dyDescent="0.25">
      <c r="A44" s="81">
        <f>+A35</f>
        <v>10500</v>
      </c>
      <c r="B44" s="82" t="s">
        <v>139</v>
      </c>
      <c r="C44" s="76">
        <f>+A44</f>
        <v>10500</v>
      </c>
      <c r="D44" s="77" t="s">
        <v>133</v>
      </c>
      <c r="E44" s="77">
        <f>+'Costo Batido'!E75</f>
        <v>6.9714285714285715E-2</v>
      </c>
      <c r="F44" s="77">
        <f>IFERROR(E44*C44,"")</f>
        <v>732</v>
      </c>
      <c r="G44" s="208">
        <f>IFERROR(F44/$F$66,"")</f>
        <v>3.6236182970055215E-2</v>
      </c>
      <c r="H44" s="83"/>
      <c r="I44" s="73"/>
      <c r="J44" s="209"/>
    </row>
    <row r="45" spans="1:13" ht="13.5" hidden="1" x14ac:dyDescent="0.25">
      <c r="A45" s="81">
        <f t="shared" ref="A45:A50" si="13">+A36</f>
        <v>0</v>
      </c>
      <c r="B45" s="82" t="str">
        <f>IFERROR(VLOOKUP(H45,[1]SEMIELABORADOS!$A$2:$M$6000,2,0),"")</f>
        <v>MEZCLA P/ENGRASE MOLDES KILO</v>
      </c>
      <c r="C45" s="76">
        <f t="shared" ref="C45:C50" si="14">+A45</f>
        <v>0</v>
      </c>
      <c r="D45" s="77" t="str">
        <f>IFERROR(VLOOKUP(H45,[1]SEMIELABORADOS!$A$2:$M$6000,6,0),"")</f>
        <v>Gramo</v>
      </c>
      <c r="E45" s="77">
        <f>IFERROR(VLOOKUP(H45,[1]SEMIELABORADOS!$A$2:$M$65536,12,0),"")</f>
        <v>0.25127579955503354</v>
      </c>
      <c r="F45" s="77">
        <f t="shared" ref="F45:F50" si="15">IFERROR(E45*C45,"")</f>
        <v>0</v>
      </c>
      <c r="G45" s="208">
        <f t="shared" ref="G45:G50" si="16">IFERROR(F45/$F$66,"")</f>
        <v>0</v>
      </c>
      <c r="H45" s="83" t="s">
        <v>163</v>
      </c>
      <c r="I45" s="73"/>
      <c r="J45" s="209"/>
      <c r="M45" s="86"/>
    </row>
    <row r="46" spans="1:13" ht="13.5" hidden="1" x14ac:dyDescent="0.25">
      <c r="A46" s="81">
        <f t="shared" si="13"/>
        <v>0</v>
      </c>
      <c r="B46" s="82" t="str">
        <f>IFERROR(VLOOKUP(H46,[1]SEMIELABORADOS!$A$2:$M$6000,2,0),"")</f>
        <v/>
      </c>
      <c r="C46" s="76">
        <f t="shared" si="14"/>
        <v>0</v>
      </c>
      <c r="D46" s="77" t="str">
        <f>IFERROR(VLOOKUP(H46,[1]SEMIELABORADOS!$A$2:$M$6000,6,0),"")</f>
        <v/>
      </c>
      <c r="E46" s="77" t="str">
        <f>IFERROR(VLOOKUP(H46,[1]SEMIELABORADOS!$A$2:$M$65536,12,0),"")</f>
        <v/>
      </c>
      <c r="F46" s="77" t="str">
        <f t="shared" si="15"/>
        <v/>
      </c>
      <c r="G46" s="208" t="str">
        <f t="shared" si="16"/>
        <v/>
      </c>
      <c r="H46" s="83"/>
      <c r="I46" s="73"/>
      <c r="J46" s="209"/>
    </row>
    <row r="47" spans="1:13" ht="13.5" hidden="1" x14ac:dyDescent="0.25">
      <c r="A47" s="81">
        <f t="shared" si="13"/>
        <v>0</v>
      </c>
      <c r="B47" s="82" t="str">
        <f>IFERROR(VLOOKUP(H47,[1]SEMIELABORADOS!$A$2:$M$6000,2,0),"")</f>
        <v/>
      </c>
      <c r="C47" s="76">
        <f t="shared" si="14"/>
        <v>0</v>
      </c>
      <c r="D47" s="77" t="str">
        <f>IFERROR(VLOOKUP(H47,[1]SEMIELABORADOS!$A$2:$M$6000,6,0),"")</f>
        <v/>
      </c>
      <c r="E47" s="77" t="str">
        <f>IFERROR(VLOOKUP(H47,[1]SEMIELABORADOS!$A$2:$M$65536,12,0),"")</f>
        <v/>
      </c>
      <c r="F47" s="77" t="str">
        <f t="shared" si="15"/>
        <v/>
      </c>
      <c r="G47" s="208" t="str">
        <f t="shared" si="16"/>
        <v/>
      </c>
      <c r="H47" s="83"/>
      <c r="I47" s="73"/>
      <c r="J47" s="209"/>
    </row>
    <row r="48" spans="1:13" ht="13.5" hidden="1" x14ac:dyDescent="0.25">
      <c r="A48" s="81">
        <f t="shared" si="13"/>
        <v>0</v>
      </c>
      <c r="B48" s="82" t="str">
        <f>IFERROR(VLOOKUP(H48,[1]SEMIELABORADOS!$A$2:$M$6000,2,0),"")</f>
        <v/>
      </c>
      <c r="C48" s="76">
        <f t="shared" si="14"/>
        <v>0</v>
      </c>
      <c r="D48" s="77" t="str">
        <f>IFERROR(VLOOKUP(H48,[1]SEMIELABORADOS!$A$2:$M$6000,6,0),"")</f>
        <v/>
      </c>
      <c r="E48" s="77" t="str">
        <f>IFERROR(VLOOKUP(H48,[1]SEMIELABORADOS!$A$2:$M$65536,12,0),"")</f>
        <v/>
      </c>
      <c r="F48" s="77" t="str">
        <f t="shared" si="15"/>
        <v/>
      </c>
      <c r="G48" s="208" t="str">
        <f t="shared" si="16"/>
        <v/>
      </c>
      <c r="H48" s="83"/>
      <c r="I48" s="73"/>
      <c r="J48" s="209"/>
    </row>
    <row r="49" spans="1:17" ht="13.5" hidden="1" x14ac:dyDescent="0.25">
      <c r="A49" s="81">
        <f t="shared" si="13"/>
        <v>0</v>
      </c>
      <c r="B49" s="82" t="str">
        <f>IFERROR(VLOOKUP(H49,[1]SEMIELABORADOS!$A$2:$M$6000,2,0),"")</f>
        <v/>
      </c>
      <c r="C49" s="76">
        <f t="shared" si="14"/>
        <v>0</v>
      </c>
      <c r="D49" s="77" t="str">
        <f>IFERROR(VLOOKUP(H49,[1]SEMIELABORADOS!$A$2:$M$6000,6,0),"")</f>
        <v/>
      </c>
      <c r="E49" s="77" t="str">
        <f>IFERROR(VLOOKUP(H49,[1]SEMIELABORADOS!$A$2:$M$65536,12,0),"")</f>
        <v/>
      </c>
      <c r="F49" s="77" t="str">
        <f t="shared" si="15"/>
        <v/>
      </c>
      <c r="G49" s="208" t="str">
        <f t="shared" si="16"/>
        <v/>
      </c>
      <c r="H49" s="83"/>
      <c r="I49" s="73"/>
      <c r="J49" s="209"/>
    </row>
    <row r="50" spans="1:17" ht="13.5" hidden="1" x14ac:dyDescent="0.25">
      <c r="A50" s="81">
        <f t="shared" si="13"/>
        <v>0</v>
      </c>
      <c r="B50" s="82" t="str">
        <f>IFERROR(VLOOKUP(H50,[1]SEMIELABORADOS!$A$2:$M$6000,2,0),"")</f>
        <v/>
      </c>
      <c r="C50" s="76">
        <f t="shared" si="14"/>
        <v>0</v>
      </c>
      <c r="D50" s="77" t="str">
        <f>IFERROR(VLOOKUP(H50,[1]SEMIELABORADOS!$A$2:$M$6000,6,0),"")</f>
        <v/>
      </c>
      <c r="E50" s="77" t="str">
        <f>IFERROR(VLOOKUP(H50,[1]SEMIELABORADOS!$A$2:$M$65536,12,0),"")</f>
        <v/>
      </c>
      <c r="F50" s="77" t="str">
        <f t="shared" si="15"/>
        <v/>
      </c>
      <c r="G50" s="208" t="str">
        <f t="shared" si="16"/>
        <v/>
      </c>
      <c r="H50" s="82"/>
      <c r="I50" s="73"/>
      <c r="J50" s="209"/>
    </row>
    <row r="51" spans="1:17" ht="13.5" x14ac:dyDescent="0.25">
      <c r="A51" s="81">
        <v>1</v>
      </c>
      <c r="B51" s="82" t="s">
        <v>96</v>
      </c>
      <c r="C51" s="76">
        <f>+A51</f>
        <v>1</v>
      </c>
      <c r="D51" s="76" t="s">
        <v>97</v>
      </c>
      <c r="E51" s="77">
        <f>+F65</f>
        <v>1525</v>
      </c>
      <c r="F51" s="77">
        <f>IFERROR(C51*E51,"")</f>
        <v>1525</v>
      </c>
      <c r="G51" s="208">
        <f>IFERROR(F51/$F$66,"")</f>
        <v>7.5492047854281694E-2</v>
      </c>
      <c r="H51" s="87"/>
      <c r="I51" s="87"/>
      <c r="J51" s="209"/>
    </row>
    <row r="52" spans="1:17" ht="14.25" thickBot="1" x14ac:dyDescent="0.3">
      <c r="A52" s="81"/>
      <c r="B52" s="82"/>
      <c r="C52" s="76"/>
      <c r="D52" s="76"/>
      <c r="E52" s="77"/>
      <c r="F52" s="77"/>
      <c r="G52" s="208"/>
      <c r="H52" s="87"/>
      <c r="I52" s="87"/>
      <c r="J52" s="209"/>
    </row>
    <row r="53" spans="1:17" ht="13.5" thickBot="1" x14ac:dyDescent="0.3">
      <c r="A53" s="88"/>
      <c r="B53" s="456" t="s">
        <v>98</v>
      </c>
      <c r="C53" s="456"/>
      <c r="D53" s="456"/>
      <c r="E53" s="456"/>
      <c r="F53" s="90">
        <f>SUM(F8:F14,F17:F24)</f>
        <v>18191.754000000001</v>
      </c>
      <c r="G53" s="208">
        <f>+F53/$F$66</f>
        <v>0.90054607444021018</v>
      </c>
      <c r="H53" s="91">
        <f>+F53/$D$60</f>
        <v>207.90576000000001</v>
      </c>
      <c r="I53" s="91"/>
      <c r="J53" s="214"/>
      <c r="K53" s="93"/>
      <c r="L53" s="93"/>
      <c r="M53" s="93"/>
      <c r="N53" s="93"/>
      <c r="O53" s="93"/>
      <c r="P53" s="93"/>
      <c r="Q53" s="94"/>
    </row>
    <row r="54" spans="1:17" x14ac:dyDescent="0.2">
      <c r="A54" s="88"/>
      <c r="B54" s="456" t="s">
        <v>99</v>
      </c>
      <c r="C54" s="456"/>
      <c r="D54" s="456"/>
      <c r="E54" s="456"/>
      <c r="F54" s="90">
        <f>SUM(F27:F32,F35:F41)</f>
        <v>120.21409523809524</v>
      </c>
      <c r="G54" s="208">
        <f>+F54/$F$66</f>
        <v>5.9509562167039103E-3</v>
      </c>
      <c r="H54" s="91">
        <f>+F54/$D$60</f>
        <v>1.3738753741496599</v>
      </c>
      <c r="I54" s="91"/>
      <c r="J54" s="95"/>
      <c r="K54" s="457" t="s">
        <v>100</v>
      </c>
      <c r="L54" s="458"/>
      <c r="M54" s="458"/>
      <c r="N54" s="458"/>
      <c r="O54" s="96">
        <f>+F55</f>
        <v>18311.968095238095</v>
      </c>
      <c r="P54" s="96"/>
      <c r="Q54" s="97"/>
    </row>
    <row r="55" spans="1:17" x14ac:dyDescent="0.2">
      <c r="A55" s="88"/>
      <c r="B55" s="456" t="s">
        <v>101</v>
      </c>
      <c r="C55" s="456"/>
      <c r="D55" s="456"/>
      <c r="E55" s="456"/>
      <c r="F55" s="90">
        <f>+F53+F54</f>
        <v>18311.968095238095</v>
      </c>
      <c r="G55" s="208">
        <f>+F55/$F$66</f>
        <v>0.90649703065691412</v>
      </c>
      <c r="H55" s="91">
        <f>+F55/$D$60</f>
        <v>209.27963537414965</v>
      </c>
      <c r="I55" s="91"/>
      <c r="J55" s="215"/>
      <c r="K55" s="99"/>
      <c r="M55" s="100" t="s">
        <v>102</v>
      </c>
      <c r="N55" s="101"/>
      <c r="O55" s="96">
        <f>+H56</f>
        <v>25.794285714285714</v>
      </c>
      <c r="P55" s="96"/>
      <c r="Q55" s="97"/>
    </row>
    <row r="56" spans="1:17" ht="13.5" thickBot="1" x14ac:dyDescent="0.25">
      <c r="A56" s="88"/>
      <c r="B56" s="89"/>
      <c r="C56" s="456" t="s">
        <v>103</v>
      </c>
      <c r="D56" s="456"/>
      <c r="E56" s="456"/>
      <c r="F56" s="90">
        <f>SUM(F44:F51)</f>
        <v>2257</v>
      </c>
      <c r="G56" s="208">
        <f>+F56/$F$66</f>
        <v>0.11172823082433692</v>
      </c>
      <c r="H56" s="91">
        <f>+F56/$D$60</f>
        <v>25.794285714285714</v>
      </c>
      <c r="I56" s="91"/>
      <c r="J56" s="215"/>
      <c r="K56" s="99"/>
      <c r="L56" s="99"/>
      <c r="M56" s="99" t="s">
        <v>104</v>
      </c>
      <c r="N56" s="217"/>
      <c r="O56" s="96">
        <f>O54*N56</f>
        <v>0</v>
      </c>
      <c r="P56" s="96"/>
      <c r="Q56" s="97"/>
    </row>
    <row r="57" spans="1:17" ht="13.5" thickBot="1" x14ac:dyDescent="0.25">
      <c r="A57" s="88"/>
      <c r="B57" s="103"/>
      <c r="C57" s="103"/>
      <c r="D57" s="103"/>
      <c r="E57" s="103"/>
      <c r="F57" s="104"/>
      <c r="G57" s="208"/>
      <c r="H57" s="105"/>
      <c r="I57" s="91"/>
      <c r="J57" s="215"/>
      <c r="K57" s="106"/>
      <c r="M57" s="107" t="s">
        <v>105</v>
      </c>
      <c r="N57" s="108"/>
      <c r="O57" s="109">
        <f>SUM(O54:O56)</f>
        <v>18337.762380952379</v>
      </c>
      <c r="P57" s="110"/>
      <c r="Q57" s="97"/>
    </row>
    <row r="58" spans="1:17" x14ac:dyDescent="0.2">
      <c r="B58" s="459" t="s">
        <v>106</v>
      </c>
      <c r="C58" s="459"/>
      <c r="D58" s="111">
        <v>10500</v>
      </c>
      <c r="E58" s="112"/>
      <c r="G58" s="208"/>
      <c r="H58" s="105">
        <f>+H56/61</f>
        <v>0.42285714285714282</v>
      </c>
      <c r="I58" s="113"/>
      <c r="J58" s="215"/>
      <c r="K58" s="106"/>
      <c r="L58" s="99"/>
      <c r="M58" s="99" t="s">
        <v>107</v>
      </c>
      <c r="N58" s="213"/>
      <c r="O58" s="96">
        <f>+H59</f>
        <v>24.525714285714283</v>
      </c>
      <c r="P58" s="96"/>
      <c r="Q58" s="97"/>
    </row>
    <row r="59" spans="1:17" x14ac:dyDescent="0.2">
      <c r="B59" s="459" t="s">
        <v>108</v>
      </c>
      <c r="C59" s="459"/>
      <c r="D59" s="115">
        <v>120</v>
      </c>
      <c r="E59" s="112"/>
      <c r="G59" s="208"/>
      <c r="H59" s="105">
        <f>+H58*58</f>
        <v>24.525714285714283</v>
      </c>
      <c r="I59" s="113"/>
      <c r="J59" s="215"/>
      <c r="K59" s="106"/>
      <c r="L59" s="99"/>
      <c r="M59" s="460" t="s">
        <v>105</v>
      </c>
      <c r="N59" s="460"/>
      <c r="O59" s="96">
        <f>SUM(O57:O58)</f>
        <v>18362.288095238095</v>
      </c>
      <c r="P59" s="96"/>
      <c r="Q59" s="97"/>
    </row>
    <row r="60" spans="1:17" ht="13.5" thickBot="1" x14ac:dyDescent="0.25">
      <c r="B60" s="451" t="s">
        <v>109</v>
      </c>
      <c r="C60" s="451"/>
      <c r="D60" s="111">
        <f>+D58/D59</f>
        <v>87.5</v>
      </c>
      <c r="E60" s="112"/>
      <c r="F60" s="116"/>
      <c r="G60" s="208"/>
      <c r="H60" s="105"/>
      <c r="I60" s="113"/>
      <c r="J60" s="215"/>
      <c r="K60" s="106"/>
      <c r="L60" s="460"/>
      <c r="M60" s="460"/>
      <c r="N60" s="213"/>
      <c r="O60" s="96">
        <f>+O59*N60</f>
        <v>0</v>
      </c>
      <c r="P60" s="96"/>
      <c r="Q60" s="97"/>
    </row>
    <row r="61" spans="1:17" ht="13.5" thickBot="1" x14ac:dyDescent="0.25">
      <c r="B61" s="451" t="s">
        <v>110</v>
      </c>
      <c r="C61" s="451"/>
      <c r="D61" s="117"/>
      <c r="E61" s="112"/>
      <c r="F61" s="116"/>
      <c r="G61" s="208"/>
      <c r="H61" s="105"/>
      <c r="I61" s="113"/>
      <c r="J61" s="215"/>
      <c r="K61" s="452" t="s">
        <v>111</v>
      </c>
      <c r="L61" s="453"/>
      <c r="M61" s="453"/>
      <c r="N61" s="454"/>
      <c r="O61" s="109">
        <f>SUM(O59:O60)</f>
        <v>18362.288095238095</v>
      </c>
      <c r="P61" s="118" t="s">
        <v>112</v>
      </c>
      <c r="Q61" s="97"/>
    </row>
    <row r="62" spans="1:17" ht="13.5" thickBot="1" x14ac:dyDescent="0.25">
      <c r="C62" s="88" t="s">
        <v>113</v>
      </c>
      <c r="D62" s="119"/>
      <c r="E62" s="60" t="s">
        <v>114</v>
      </c>
      <c r="F62" s="120" t="s">
        <v>115</v>
      </c>
      <c r="G62" s="208"/>
      <c r="H62" s="105"/>
      <c r="I62" s="113"/>
      <c r="J62" s="121"/>
      <c r="K62" s="122"/>
      <c r="L62" s="440" t="s">
        <v>116</v>
      </c>
      <c r="M62" s="440"/>
      <c r="N62" s="440"/>
      <c r="O62" s="123">
        <f>+O61/D60</f>
        <v>209.85472108843535</v>
      </c>
      <c r="P62" s="124">
        <f>+O62/D59</f>
        <v>1.748789342403628</v>
      </c>
      <c r="Q62" s="125"/>
    </row>
    <row r="63" spans="1:17" ht="13.5" thickBot="1" x14ac:dyDescent="0.25">
      <c r="B63" s="441" t="s">
        <v>101</v>
      </c>
      <c r="C63" s="441"/>
      <c r="D63" s="441"/>
      <c r="E63" s="210">
        <f>+F63/F63</f>
        <v>1</v>
      </c>
      <c r="F63" s="127">
        <f>SUM(F55)</f>
        <v>18311.968095238095</v>
      </c>
      <c r="G63" s="208">
        <f>+F63/$F$66</f>
        <v>0.90649703065691412</v>
      </c>
      <c r="H63" s="105"/>
      <c r="I63" s="113"/>
      <c r="K63" s="442"/>
      <c r="L63" s="443"/>
      <c r="M63" s="443"/>
      <c r="N63" s="443"/>
      <c r="O63" s="128"/>
      <c r="P63" s="129"/>
    </row>
    <row r="64" spans="1:17" ht="13.5" thickBot="1" x14ac:dyDescent="0.3">
      <c r="B64" s="444" t="s">
        <v>117</v>
      </c>
      <c r="C64" s="444"/>
      <c r="D64" s="444"/>
      <c r="E64" s="130">
        <v>0.02</v>
      </c>
      <c r="F64" s="127">
        <f>+F53*E64</f>
        <v>363.83508</v>
      </c>
      <c r="G64" s="208">
        <f>+F64/$F$66</f>
        <v>1.8010921488804205E-2</v>
      </c>
      <c r="H64" s="91"/>
      <c r="I64" s="113"/>
      <c r="J64" s="216"/>
      <c r="O64" s="132"/>
      <c r="P64" s="89"/>
    </row>
    <row r="65" spans="2:13" ht="13.5" thickBot="1" x14ac:dyDescent="0.3">
      <c r="B65" s="445" t="s">
        <v>118</v>
      </c>
      <c r="C65" s="446"/>
      <c r="D65" s="133">
        <v>25</v>
      </c>
      <c r="E65" s="134">
        <v>61</v>
      </c>
      <c r="F65" s="127">
        <f>+E65*D65</f>
        <v>1525</v>
      </c>
      <c r="G65" s="208">
        <f>+F65/$F$66</f>
        <v>7.5492047854281694E-2</v>
      </c>
      <c r="H65" s="91"/>
      <c r="I65" s="91"/>
      <c r="J65" s="209"/>
    </row>
    <row r="66" spans="2:13" ht="13.5" thickBot="1" x14ac:dyDescent="0.3">
      <c r="B66" s="447" t="s">
        <v>119</v>
      </c>
      <c r="C66" s="448"/>
      <c r="D66" s="448"/>
      <c r="E66" s="449"/>
      <c r="F66" s="104">
        <f>SUM(F63:F65)</f>
        <v>20200.803175238096</v>
      </c>
      <c r="G66" s="208">
        <f>+F66/$F$66</f>
        <v>1</v>
      </c>
      <c r="H66" s="450"/>
      <c r="I66" s="91"/>
      <c r="J66" s="209"/>
      <c r="M66" s="62" t="s">
        <v>161</v>
      </c>
    </row>
    <row r="67" spans="2:13" x14ac:dyDescent="0.25">
      <c r="C67" s="86"/>
      <c r="D67" s="86"/>
      <c r="E67" s="136"/>
      <c r="F67" s="127"/>
      <c r="G67" s="208"/>
      <c r="H67" s="450"/>
      <c r="I67" s="135"/>
      <c r="J67" s="62"/>
      <c r="M67" s="62" t="s">
        <v>162</v>
      </c>
    </row>
    <row r="68" spans="2:13" ht="13.5" thickBot="1" x14ac:dyDescent="0.3">
      <c r="B68" s="435" t="s">
        <v>120</v>
      </c>
      <c r="C68" s="435"/>
      <c r="D68" s="435"/>
      <c r="E68" s="435"/>
      <c r="F68" s="435"/>
      <c r="G68" s="208"/>
      <c r="H68" s="138"/>
      <c r="I68" s="135"/>
      <c r="J68" s="62"/>
    </row>
    <row r="69" spans="2:13" ht="13.5" thickBot="1" x14ac:dyDescent="0.3">
      <c r="B69" s="139" t="s">
        <v>121</v>
      </c>
      <c r="C69" s="140">
        <f>+F53</f>
        <v>18191.754000000001</v>
      </c>
      <c r="D69" s="140">
        <f>+D58</f>
        <v>10500</v>
      </c>
      <c r="E69" s="141">
        <f>+C69/D69</f>
        <v>1.732548</v>
      </c>
      <c r="F69" s="208"/>
      <c r="G69" s="138"/>
      <c r="H69" s="209"/>
      <c r="I69" s="138"/>
      <c r="J69" s="62"/>
    </row>
    <row r="70" spans="2:13" x14ac:dyDescent="0.25">
      <c r="B70" s="142"/>
      <c r="C70" s="143"/>
      <c r="D70" s="144"/>
      <c r="E70" s="127"/>
      <c r="F70" s="208"/>
      <c r="G70" s="138"/>
      <c r="H70" s="209"/>
      <c r="I70" s="209"/>
      <c r="J70" s="62"/>
    </row>
    <row r="71" spans="2:13" x14ac:dyDescent="0.25">
      <c r="B71" s="139" t="s">
        <v>122</v>
      </c>
      <c r="C71" s="140">
        <f>SUM(F63:F64)</f>
        <v>18675.803175238096</v>
      </c>
      <c r="D71" s="140">
        <f>+D58</f>
        <v>10500</v>
      </c>
      <c r="E71" s="145">
        <f>+C71/D71</f>
        <v>1.7786479214512472</v>
      </c>
      <c r="F71" s="208"/>
      <c r="G71" s="138"/>
      <c r="H71" s="209"/>
      <c r="I71" s="209"/>
      <c r="J71" s="62"/>
    </row>
    <row r="72" spans="2:13" x14ac:dyDescent="0.25">
      <c r="B72" s="139"/>
      <c r="C72" s="140"/>
      <c r="D72" s="140"/>
      <c r="E72" s="145"/>
      <c r="F72" s="208"/>
      <c r="G72" s="138"/>
      <c r="H72" s="209"/>
      <c r="I72" s="209"/>
      <c r="J72" s="62"/>
    </row>
    <row r="73" spans="2:13" ht="13.5" thickBot="1" x14ac:dyDescent="0.3">
      <c r="B73" s="139" t="s">
        <v>123</v>
      </c>
      <c r="C73" s="140">
        <f>+F65</f>
        <v>1525</v>
      </c>
      <c r="D73" s="140">
        <f>+D58</f>
        <v>10500</v>
      </c>
      <c r="E73" s="145">
        <f>+C73/D73</f>
        <v>0.14523809523809525</v>
      </c>
      <c r="F73" s="208"/>
      <c r="G73" s="138"/>
      <c r="H73" s="209"/>
      <c r="I73" s="209"/>
      <c r="J73" s="62"/>
    </row>
    <row r="74" spans="2:13" ht="13.5" thickBot="1" x14ac:dyDescent="0.3">
      <c r="B74" s="139" t="s">
        <v>124</v>
      </c>
      <c r="C74" s="140">
        <f>+F56</f>
        <v>2257</v>
      </c>
      <c r="D74" s="140">
        <f>+D73</f>
        <v>10500</v>
      </c>
      <c r="E74" s="141">
        <f>+C74/D74</f>
        <v>0.21495238095238095</v>
      </c>
      <c r="F74" s="208"/>
      <c r="G74" s="138"/>
      <c r="H74" s="209"/>
      <c r="I74" s="209"/>
      <c r="J74" s="62"/>
    </row>
    <row r="75" spans="2:13" ht="13.5" thickBot="1" x14ac:dyDescent="0.3">
      <c r="B75" s="103"/>
      <c r="C75" s="104"/>
      <c r="D75" s="104"/>
      <c r="E75" s="145"/>
      <c r="F75" s="208"/>
      <c r="G75" s="138"/>
      <c r="H75" s="209"/>
      <c r="I75" s="209"/>
      <c r="J75" s="62"/>
    </row>
    <row r="76" spans="2:13" ht="13.5" thickBot="1" x14ac:dyDescent="0.3">
      <c r="B76" s="139" t="s">
        <v>125</v>
      </c>
      <c r="C76" s="140">
        <f>+F54</f>
        <v>120.21409523809524</v>
      </c>
      <c r="D76" s="140">
        <f>+D74</f>
        <v>10500</v>
      </c>
      <c r="E76" s="141">
        <f>+C76/D76</f>
        <v>1.1448961451247165E-2</v>
      </c>
      <c r="F76" s="208"/>
      <c r="G76" s="138"/>
      <c r="H76" s="209"/>
      <c r="I76" s="209"/>
      <c r="J76" s="209"/>
    </row>
    <row r="77" spans="2:13" ht="13.5" thickBot="1" x14ac:dyDescent="0.3">
      <c r="B77" s="103"/>
      <c r="C77" s="104"/>
      <c r="D77" s="104"/>
      <c r="E77" s="145"/>
      <c r="F77" s="208"/>
      <c r="G77" s="138"/>
      <c r="H77" s="209"/>
      <c r="I77" s="209"/>
    </row>
    <row r="78" spans="2:13" ht="13.5" thickBot="1" x14ac:dyDescent="0.3">
      <c r="B78" s="436" t="s">
        <v>126</v>
      </c>
      <c r="C78" s="437"/>
      <c r="D78" s="438"/>
      <c r="E78" s="141">
        <f>+E69+E74</f>
        <v>1.947500380952381</v>
      </c>
      <c r="G78" s="208"/>
      <c r="H78" s="138"/>
      <c r="I78" s="209"/>
      <c r="J78" s="145"/>
    </row>
    <row r="79" spans="2:13" x14ac:dyDescent="0.25">
      <c r="I79" s="138"/>
      <c r="J79" s="62"/>
    </row>
    <row r="80" spans="2:13" ht="13.5" thickBot="1" x14ac:dyDescent="0.3">
      <c r="B80" s="435" t="s">
        <v>127</v>
      </c>
      <c r="C80" s="435"/>
      <c r="D80" s="435"/>
      <c r="E80" s="435"/>
      <c r="F80" s="435"/>
      <c r="G80" s="208"/>
      <c r="H80" s="138"/>
      <c r="J80" s="62"/>
    </row>
    <row r="81" spans="1:10" ht="13.5" thickBot="1" x14ac:dyDescent="0.3">
      <c r="B81" s="139" t="s">
        <v>121</v>
      </c>
      <c r="C81" s="140">
        <f>+C69</f>
        <v>18191.754000000001</v>
      </c>
      <c r="D81" s="140">
        <f>+D60</f>
        <v>87.5</v>
      </c>
      <c r="E81" s="141">
        <f>+C81/D81</f>
        <v>207.90576000000001</v>
      </c>
      <c r="F81" s="208"/>
      <c r="G81" s="138"/>
      <c r="H81" s="209"/>
      <c r="I81" s="138"/>
      <c r="J81" s="62"/>
    </row>
    <row r="82" spans="1:10" x14ac:dyDescent="0.25">
      <c r="B82" s="142"/>
      <c r="C82" s="143"/>
      <c r="D82" s="144"/>
      <c r="E82" s="127"/>
      <c r="F82" s="208"/>
      <c r="G82" s="138"/>
      <c r="H82" s="209"/>
      <c r="I82" s="209"/>
      <c r="J82" s="62"/>
    </row>
    <row r="83" spans="1:10" x14ac:dyDescent="0.25">
      <c r="B83" s="139" t="s">
        <v>122</v>
      </c>
      <c r="C83" s="140">
        <f>+C71</f>
        <v>18675.803175238096</v>
      </c>
      <c r="D83" s="140">
        <f>+D60</f>
        <v>87.5</v>
      </c>
      <c r="E83" s="145">
        <f>+C83/D83</f>
        <v>213.43775057414967</v>
      </c>
      <c r="F83" s="208"/>
      <c r="G83" s="138"/>
      <c r="H83" s="209"/>
      <c r="I83" s="209"/>
      <c r="J83" s="62"/>
    </row>
    <row r="84" spans="1:10" x14ac:dyDescent="0.25">
      <c r="B84" s="139"/>
      <c r="C84" s="140"/>
      <c r="D84" s="140"/>
      <c r="E84" s="145"/>
      <c r="F84" s="208"/>
      <c r="G84" s="138"/>
      <c r="H84" s="209"/>
      <c r="I84" s="209"/>
      <c r="J84" s="62"/>
    </row>
    <row r="85" spans="1:10" ht="13.5" thickBot="1" x14ac:dyDescent="0.3">
      <c r="B85" s="139" t="s">
        <v>124</v>
      </c>
      <c r="C85" s="140">
        <f>+C73</f>
        <v>1525</v>
      </c>
      <c r="D85" s="140">
        <f>+D60</f>
        <v>87.5</v>
      </c>
      <c r="E85" s="145">
        <f>+C85/D85</f>
        <v>17.428571428571427</v>
      </c>
      <c r="F85" s="147"/>
      <c r="G85" s="137"/>
      <c r="H85" s="61"/>
      <c r="I85" s="209"/>
    </row>
    <row r="86" spans="1:10" ht="13.5" thickBot="1" x14ac:dyDescent="0.3">
      <c r="B86" s="139" t="s">
        <v>124</v>
      </c>
      <c r="C86" s="140">
        <f>+C74</f>
        <v>2257</v>
      </c>
      <c r="D86" s="140">
        <f>+D85</f>
        <v>87.5</v>
      </c>
      <c r="E86" s="141">
        <f>+C86/D86</f>
        <v>25.794285714285714</v>
      </c>
      <c r="F86" s="211"/>
      <c r="G86" s="137"/>
      <c r="H86" s="61"/>
      <c r="I86" s="61"/>
    </row>
    <row r="87" spans="1:10" x14ac:dyDescent="0.25">
      <c r="I87" s="61"/>
    </row>
    <row r="88" spans="1:10" x14ac:dyDescent="0.2">
      <c r="A88" s="439"/>
      <c r="B88" s="439"/>
      <c r="C88" s="148"/>
      <c r="D88" s="148"/>
      <c r="E88" s="149"/>
      <c r="G88" s="212"/>
    </row>
    <row r="89" spans="1:10" x14ac:dyDescent="0.2">
      <c r="A89" s="82"/>
      <c r="B89" s="151"/>
      <c r="C89" s="152"/>
      <c r="D89" s="152"/>
      <c r="E89" s="153"/>
      <c r="G89" s="212"/>
    </row>
    <row r="90" spans="1:10" x14ac:dyDescent="0.2">
      <c r="A90" s="82"/>
      <c r="B90" s="151"/>
      <c r="C90" s="154"/>
      <c r="D90" s="154"/>
      <c r="E90" s="82"/>
      <c r="G90" s="212"/>
    </row>
    <row r="91" spans="1:10" x14ac:dyDescent="0.2">
      <c r="A91" s="82"/>
      <c r="B91" s="151"/>
      <c r="C91" s="155"/>
      <c r="D91" s="155"/>
      <c r="E91" s="82"/>
      <c r="G91" s="212"/>
    </row>
  </sheetData>
  <mergeCells count="30">
    <mergeCell ref="A88:B88"/>
    <mergeCell ref="B68:F68"/>
    <mergeCell ref="B80:F80"/>
    <mergeCell ref="B66:E66"/>
    <mergeCell ref="B65:C65"/>
    <mergeCell ref="B78:D78"/>
    <mergeCell ref="K30:L30"/>
    <mergeCell ref="K63:N63"/>
    <mergeCell ref="B53:E53"/>
    <mergeCell ref="L62:N62"/>
    <mergeCell ref="K27:L27"/>
    <mergeCell ref="L60:M60"/>
    <mergeCell ref="M59:N59"/>
    <mergeCell ref="K28:L28"/>
    <mergeCell ref="K29:L29"/>
    <mergeCell ref="K54:N54"/>
    <mergeCell ref="A5:H5"/>
    <mergeCell ref="B54:E54"/>
    <mergeCell ref="F6:G6"/>
    <mergeCell ref="B55:E55"/>
    <mergeCell ref="A4:H4"/>
    <mergeCell ref="H66:H67"/>
    <mergeCell ref="C56:E56"/>
    <mergeCell ref="K61:N61"/>
    <mergeCell ref="B59:C59"/>
    <mergeCell ref="B58:C58"/>
    <mergeCell ref="B60:C60"/>
    <mergeCell ref="B61:C61"/>
    <mergeCell ref="B63:D63"/>
    <mergeCell ref="B64:D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6AAF-B81E-4791-96CA-4B3056239E57}">
  <dimension ref="A1:L28"/>
  <sheetViews>
    <sheetView topLeftCell="A3" workbookViewId="0">
      <selection activeCell="D8" sqref="D8"/>
    </sheetView>
  </sheetViews>
  <sheetFormatPr baseColWidth="10" defaultRowHeight="15" x14ac:dyDescent="0.25"/>
  <cols>
    <col min="2" max="2" width="46.7109375" customWidth="1"/>
  </cols>
  <sheetData>
    <row r="1" spans="1:11" ht="15.75" x14ac:dyDescent="0.25">
      <c r="A1" s="583"/>
      <c r="B1" s="586" t="s">
        <v>0</v>
      </c>
      <c r="C1" s="586"/>
      <c r="D1" s="586"/>
      <c r="E1" s="586"/>
      <c r="F1" s="586"/>
      <c r="G1" s="218" t="s">
        <v>1</v>
      </c>
      <c r="H1" s="219"/>
    </row>
    <row r="2" spans="1:11" ht="16.5" thickBot="1" x14ac:dyDescent="0.3">
      <c r="A2" s="584"/>
      <c r="B2" s="587" t="s">
        <v>2</v>
      </c>
      <c r="C2" s="587"/>
      <c r="D2" s="587"/>
      <c r="E2" s="587"/>
      <c r="F2" s="587"/>
      <c r="G2" s="220" t="s">
        <v>3</v>
      </c>
      <c r="H2" s="221"/>
    </row>
    <row r="3" spans="1:11" ht="18.75" thickBot="1" x14ac:dyDescent="0.3">
      <c r="A3" s="585"/>
      <c r="B3" s="588" t="s">
        <v>165</v>
      </c>
      <c r="C3" s="589"/>
      <c r="D3" s="589"/>
      <c r="E3" s="589"/>
      <c r="F3" s="590"/>
      <c r="G3" s="591" t="s">
        <v>5</v>
      </c>
      <c r="H3" s="594"/>
    </row>
    <row r="4" spans="1:11" x14ac:dyDescent="0.25">
      <c r="A4" s="584"/>
      <c r="B4" s="222" t="s">
        <v>6</v>
      </c>
      <c r="C4" s="596" t="s">
        <v>7</v>
      </c>
      <c r="D4" s="597"/>
      <c r="E4" s="597"/>
      <c r="F4" s="598"/>
      <c r="G4" s="592"/>
      <c r="H4" s="595"/>
    </row>
    <row r="5" spans="1:11" ht="15.75" thickBot="1" x14ac:dyDescent="0.3">
      <c r="A5" s="584"/>
      <c r="B5" s="223" t="s">
        <v>8</v>
      </c>
      <c r="C5" s="599" t="s">
        <v>166</v>
      </c>
      <c r="D5" s="600"/>
      <c r="E5" s="600"/>
      <c r="F5" s="601"/>
      <c r="G5" s="593"/>
      <c r="H5" s="595"/>
    </row>
    <row r="6" spans="1:11" ht="25.5" x14ac:dyDescent="0.25">
      <c r="A6" s="602" t="s">
        <v>10</v>
      </c>
      <c r="B6" s="604" t="s">
        <v>11</v>
      </c>
      <c r="C6" s="604" t="s">
        <v>12</v>
      </c>
      <c r="D6" s="604" t="s">
        <v>13</v>
      </c>
      <c r="E6" s="604"/>
      <c r="F6" s="604" t="s">
        <v>14</v>
      </c>
      <c r="G6" s="604"/>
      <c r="H6" s="224" t="s">
        <v>15</v>
      </c>
    </row>
    <row r="7" spans="1:11" ht="27" thickBot="1" x14ac:dyDescent="0.3">
      <c r="A7" s="603"/>
      <c r="B7" s="605"/>
      <c r="C7" s="605"/>
      <c r="D7" s="225" t="s">
        <v>16</v>
      </c>
      <c r="E7" s="226" t="s">
        <v>17</v>
      </c>
      <c r="F7" s="225" t="s">
        <v>16</v>
      </c>
      <c r="G7" s="226" t="s">
        <v>17</v>
      </c>
      <c r="H7" s="227" t="s">
        <v>18</v>
      </c>
    </row>
    <row r="8" spans="1:11" ht="15.75" thickBot="1" x14ac:dyDescent="0.3">
      <c r="A8" s="233"/>
      <c r="B8" s="182" t="s">
        <v>167</v>
      </c>
      <c r="C8" s="185" t="s">
        <v>168</v>
      </c>
      <c r="D8" s="176">
        <v>855</v>
      </c>
      <c r="E8" s="184" t="s">
        <v>22</v>
      </c>
      <c r="F8" s="176">
        <v>1</v>
      </c>
      <c r="G8" s="185" t="s">
        <v>169</v>
      </c>
      <c r="H8" s="228"/>
    </row>
    <row r="9" spans="1:11" ht="15.75" thickBot="1" x14ac:dyDescent="0.3">
      <c r="A9" s="229"/>
      <c r="B9" s="230" t="s">
        <v>45</v>
      </c>
      <c r="C9" s="185"/>
      <c r="D9" s="176"/>
      <c r="E9" s="184"/>
      <c r="F9" s="231"/>
      <c r="G9" s="185"/>
      <c r="H9" s="232"/>
    </row>
    <row r="10" spans="1:11" x14ac:dyDescent="0.25">
      <c r="A10" s="233" t="s">
        <v>170</v>
      </c>
      <c r="B10" s="182" t="s">
        <v>171</v>
      </c>
      <c r="C10" s="185"/>
      <c r="D10" s="176">
        <v>1</v>
      </c>
      <c r="E10" s="184" t="s">
        <v>172</v>
      </c>
      <c r="F10" s="231"/>
      <c r="G10" s="185"/>
      <c r="H10" s="232"/>
    </row>
    <row r="11" spans="1:11" x14ac:dyDescent="0.25">
      <c r="A11" s="233" t="s">
        <v>173</v>
      </c>
      <c r="B11" s="182" t="s">
        <v>174</v>
      </c>
      <c r="C11" s="185" t="s">
        <v>175</v>
      </c>
      <c r="D11" s="176">
        <v>7</v>
      </c>
      <c r="E11" s="184" t="s">
        <v>145</v>
      </c>
      <c r="F11" s="231"/>
      <c r="G11" s="185"/>
      <c r="H11" s="232"/>
    </row>
    <row r="12" spans="1:11" x14ac:dyDescent="0.25">
      <c r="A12" s="233" t="s">
        <v>176</v>
      </c>
      <c r="B12" s="182" t="s">
        <v>150</v>
      </c>
      <c r="C12" s="185" t="s">
        <v>54</v>
      </c>
      <c r="D12" s="176">
        <v>7</v>
      </c>
      <c r="E12" s="184" t="s">
        <v>145</v>
      </c>
      <c r="F12" s="231"/>
      <c r="G12" s="185"/>
      <c r="H12" s="232"/>
    </row>
    <row r="13" spans="1:11" x14ac:dyDescent="0.25">
      <c r="A13" s="229">
        <v>1959752</v>
      </c>
      <c r="B13" s="234" t="s">
        <v>177</v>
      </c>
      <c r="C13" s="175"/>
      <c r="D13" s="176">
        <v>2</v>
      </c>
      <c r="E13" s="184" t="s">
        <v>148</v>
      </c>
      <c r="F13" s="175"/>
      <c r="G13" s="175"/>
      <c r="H13" s="232"/>
    </row>
    <row r="14" spans="1:11" x14ac:dyDescent="0.25">
      <c r="A14" s="229"/>
      <c r="B14" s="234"/>
      <c r="C14" s="185"/>
      <c r="D14" s="176"/>
      <c r="E14" s="184"/>
      <c r="F14" s="235"/>
      <c r="G14" s="236"/>
      <c r="H14" s="232"/>
    </row>
    <row r="15" spans="1:11" ht="15.75" thickBot="1" x14ac:dyDescent="0.3">
      <c r="B15" s="237"/>
      <c r="C15" s="238"/>
      <c r="D15" s="237"/>
      <c r="E15" s="238"/>
      <c r="H15" s="239"/>
      <c r="K15" s="240"/>
    </row>
    <row r="16" spans="1:11" ht="15.75" thickBot="1" x14ac:dyDescent="0.3">
      <c r="A16" s="241"/>
      <c r="B16" s="242"/>
      <c r="C16" s="243" t="s">
        <v>16</v>
      </c>
      <c r="D16" s="244" t="s">
        <v>57</v>
      </c>
      <c r="E16" s="245"/>
      <c r="F16" s="242"/>
      <c r="G16" s="242"/>
      <c r="H16" s="246"/>
      <c r="K16" s="240"/>
    </row>
    <row r="17" spans="1:12" x14ac:dyDescent="0.25">
      <c r="A17" s="578" t="s">
        <v>58</v>
      </c>
      <c r="B17" s="579"/>
      <c r="C17" s="235">
        <v>800</v>
      </c>
      <c r="D17" s="247" t="s">
        <v>22</v>
      </c>
      <c r="E17" s="580" t="s">
        <v>59</v>
      </c>
      <c r="F17" s="580"/>
      <c r="G17" s="581"/>
      <c r="H17" s="582"/>
      <c r="K17" s="240"/>
    </row>
    <row r="18" spans="1:12" x14ac:dyDescent="0.25">
      <c r="A18" s="622" t="s">
        <v>60</v>
      </c>
      <c r="B18" s="623"/>
      <c r="C18" s="248">
        <v>4</v>
      </c>
      <c r="D18" s="249" t="s">
        <v>178</v>
      </c>
      <c r="E18" s="633" t="s">
        <v>62</v>
      </c>
      <c r="F18" s="633"/>
      <c r="G18" s="626"/>
      <c r="H18" s="627"/>
      <c r="K18" s="240"/>
    </row>
    <row r="19" spans="1:12" x14ac:dyDescent="0.25">
      <c r="A19" s="622" t="s">
        <v>63</v>
      </c>
      <c r="B19" s="623"/>
      <c r="C19" s="248">
        <v>7</v>
      </c>
      <c r="D19" s="248" t="s">
        <v>179</v>
      </c>
      <c r="E19" s="633" t="s">
        <v>65</v>
      </c>
      <c r="F19" s="633"/>
      <c r="G19" s="626"/>
      <c r="H19" s="627"/>
      <c r="K19" s="240"/>
    </row>
    <row r="20" spans="1:12" x14ac:dyDescent="0.25">
      <c r="A20" s="622" t="s">
        <v>66</v>
      </c>
      <c r="B20" s="623"/>
      <c r="C20" s="250">
        <v>115</v>
      </c>
      <c r="D20" s="248" t="s">
        <v>22</v>
      </c>
      <c r="E20" s="624" t="s">
        <v>67</v>
      </c>
      <c r="F20" s="625"/>
      <c r="G20" s="626"/>
      <c r="H20" s="627"/>
      <c r="K20" s="240"/>
      <c r="L20" s="251"/>
    </row>
    <row r="21" spans="1:12" ht="15.75" thickBot="1" x14ac:dyDescent="0.3">
      <c r="A21" s="628" t="s">
        <v>68</v>
      </c>
      <c r="B21" s="629"/>
      <c r="C21" s="252">
        <v>55</v>
      </c>
      <c r="D21" s="253" t="s">
        <v>22</v>
      </c>
      <c r="E21" s="630"/>
      <c r="F21" s="630"/>
      <c r="G21" s="631"/>
      <c r="H21" s="632"/>
      <c r="K21" s="240"/>
    </row>
    <row r="22" spans="1:12" ht="15.75" thickBot="1" x14ac:dyDescent="0.3">
      <c r="A22" s="607" t="s">
        <v>69</v>
      </c>
      <c r="B22" s="608"/>
      <c r="C22" s="608"/>
      <c r="D22" s="608"/>
      <c r="E22" s="608"/>
      <c r="F22" s="608"/>
      <c r="G22" s="608"/>
      <c r="H22" s="609"/>
    </row>
    <row r="23" spans="1:12" x14ac:dyDescent="0.25">
      <c r="A23" s="610" t="s">
        <v>180</v>
      </c>
      <c r="B23" s="611"/>
      <c r="C23" s="611"/>
      <c r="D23" s="611"/>
      <c r="E23" s="611"/>
      <c r="F23" s="611"/>
      <c r="G23" s="611"/>
      <c r="H23" s="612"/>
    </row>
    <row r="24" spans="1:12" x14ac:dyDescent="0.25">
      <c r="A24" s="613" t="s">
        <v>181</v>
      </c>
      <c r="B24" s="614"/>
      <c r="C24" s="614"/>
      <c r="D24" s="614"/>
      <c r="E24" s="614"/>
      <c r="F24" s="614"/>
      <c r="G24" s="614"/>
      <c r="H24" s="615"/>
    </row>
    <row r="25" spans="1:12" x14ac:dyDescent="0.25">
      <c r="A25" s="616" t="s">
        <v>182</v>
      </c>
      <c r="B25" s="617"/>
      <c r="C25" s="617"/>
      <c r="D25" s="617"/>
      <c r="E25" s="617"/>
      <c r="F25" s="617"/>
      <c r="G25" s="617"/>
      <c r="H25" s="618"/>
    </row>
    <row r="26" spans="1:12" ht="15.75" thickBot="1" x14ac:dyDescent="0.3">
      <c r="A26" s="619" t="s">
        <v>183</v>
      </c>
      <c r="B26" s="620"/>
      <c r="C26" s="620"/>
      <c r="D26" s="620"/>
      <c r="E26" s="620"/>
      <c r="F26" s="620"/>
      <c r="G26" s="620"/>
      <c r="H26" s="621"/>
    </row>
    <row r="27" spans="1:12" ht="15.75" thickBot="1" x14ac:dyDescent="0.3">
      <c r="A27" s="607" t="s">
        <v>73</v>
      </c>
      <c r="B27" s="608"/>
      <c r="C27" s="608"/>
      <c r="D27" s="608"/>
      <c r="E27" s="608"/>
      <c r="F27" s="608"/>
      <c r="G27" s="608"/>
      <c r="H27" s="609"/>
    </row>
    <row r="28" spans="1:12" x14ac:dyDescent="0.25">
      <c r="A28" s="606"/>
      <c r="B28" s="606"/>
      <c r="C28" s="606"/>
      <c r="D28" s="606"/>
      <c r="E28" s="606"/>
      <c r="F28" s="606"/>
      <c r="G28" s="606"/>
      <c r="H28" s="606"/>
    </row>
  </sheetData>
  <mergeCells count="35">
    <mergeCell ref="A18:B18"/>
    <mergeCell ref="E18:F18"/>
    <mergeCell ref="G18:H18"/>
    <mergeCell ref="A19:B19"/>
    <mergeCell ref="E19:F19"/>
    <mergeCell ref="G19:H19"/>
    <mergeCell ref="A20:B20"/>
    <mergeCell ref="E20:F20"/>
    <mergeCell ref="G20:H20"/>
    <mergeCell ref="A21:B21"/>
    <mergeCell ref="E21:F21"/>
    <mergeCell ref="G21:H21"/>
    <mergeCell ref="A28:H28"/>
    <mergeCell ref="A27:H27"/>
    <mergeCell ref="A22:H22"/>
    <mergeCell ref="A23:H23"/>
    <mergeCell ref="A24:H24"/>
    <mergeCell ref="A25:H25"/>
    <mergeCell ref="A26:H26"/>
    <mergeCell ref="A17:B17"/>
    <mergeCell ref="E17:F17"/>
    <mergeCell ref="G17:H17"/>
    <mergeCell ref="A1:A5"/>
    <mergeCell ref="B1:F1"/>
    <mergeCell ref="B2:F2"/>
    <mergeCell ref="B3:F3"/>
    <mergeCell ref="G3:G5"/>
    <mergeCell ref="H3:H5"/>
    <mergeCell ref="C4:F4"/>
    <mergeCell ref="C5:F5"/>
    <mergeCell ref="A6:A7"/>
    <mergeCell ref="B6:B7"/>
    <mergeCell ref="C6:C7"/>
    <mergeCell ref="D6:E6"/>
    <mergeCell ref="F6:G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A6A1-B3C3-4678-8F7D-94FAF01222B0}">
  <dimension ref="A1:Q91"/>
  <sheetViews>
    <sheetView topLeftCell="A4" workbookViewId="0">
      <selection activeCell="E44" sqref="E44"/>
    </sheetView>
  </sheetViews>
  <sheetFormatPr baseColWidth="10" defaultColWidth="8.42578125" defaultRowHeight="12.75" x14ac:dyDescent="0.25"/>
  <cols>
    <col min="1" max="1" width="10" style="62" bestFit="1" customWidth="1"/>
    <col min="2" max="2" width="47.28515625" style="62" customWidth="1"/>
    <col min="3" max="3" width="10.42578125" style="62" bestFit="1" customWidth="1"/>
    <col min="4" max="4" width="10.42578125" style="62" customWidth="1"/>
    <col min="5" max="5" width="9.7109375" style="62" bestFit="1" customWidth="1"/>
    <col min="6" max="6" width="9.5703125" style="62" bestFit="1" customWidth="1"/>
    <col min="7" max="7" width="9.5703125" style="211" bestFit="1" customWidth="1"/>
    <col min="8" max="8" width="10.42578125" style="137" bestFit="1" customWidth="1"/>
    <col min="9" max="9" width="4.5703125" style="137" customWidth="1"/>
    <col min="10" max="10" width="1.85546875" style="61" customWidth="1"/>
    <col min="11" max="11" width="7" style="62" bestFit="1" customWidth="1"/>
    <col min="12" max="12" width="6.28515625" style="62" customWidth="1"/>
    <col min="13" max="13" width="20.42578125" style="62" customWidth="1"/>
    <col min="14" max="14" width="6.42578125" style="62" bestFit="1" customWidth="1"/>
    <col min="15" max="16" width="8.42578125" style="62"/>
    <col min="17" max="17" width="3.28515625" style="62" customWidth="1"/>
    <col min="18" max="256" width="8.42578125" style="62"/>
    <col min="257" max="257" width="10" style="62" bestFit="1" customWidth="1"/>
    <col min="258" max="258" width="44.28515625" style="62" bestFit="1" customWidth="1"/>
    <col min="259" max="259" width="10.42578125" style="62" bestFit="1" customWidth="1"/>
    <col min="260" max="260" width="10.42578125" style="62" customWidth="1"/>
    <col min="261" max="261" width="9.7109375" style="62" bestFit="1" customWidth="1"/>
    <col min="262" max="263" width="9.5703125" style="62" bestFit="1" customWidth="1"/>
    <col min="264" max="264" width="10.42578125" style="62" bestFit="1" customWidth="1"/>
    <col min="265" max="265" width="4.5703125" style="62" customWidth="1"/>
    <col min="266" max="266" width="1.85546875" style="62" customWidth="1"/>
    <col min="267" max="267" width="7" style="62" bestFit="1" customWidth="1"/>
    <col min="268" max="268" width="6.28515625" style="62" customWidth="1"/>
    <col min="269" max="269" width="20.42578125" style="62" customWidth="1"/>
    <col min="270" max="270" width="6.42578125" style="62" bestFit="1" customWidth="1"/>
    <col min="271" max="272" width="8.42578125" style="62"/>
    <col min="273" max="273" width="3.28515625" style="62" customWidth="1"/>
    <col min="274" max="512" width="8.42578125" style="62"/>
    <col min="513" max="513" width="10" style="62" bestFit="1" customWidth="1"/>
    <col min="514" max="514" width="44.28515625" style="62" bestFit="1" customWidth="1"/>
    <col min="515" max="515" width="10.42578125" style="62" bestFit="1" customWidth="1"/>
    <col min="516" max="516" width="10.42578125" style="62" customWidth="1"/>
    <col min="517" max="517" width="9.7109375" style="62" bestFit="1" customWidth="1"/>
    <col min="518" max="519" width="9.5703125" style="62" bestFit="1" customWidth="1"/>
    <col min="520" max="520" width="10.42578125" style="62" bestFit="1" customWidth="1"/>
    <col min="521" max="521" width="4.5703125" style="62" customWidth="1"/>
    <col min="522" max="522" width="1.85546875" style="62" customWidth="1"/>
    <col min="523" max="523" width="7" style="62" bestFit="1" customWidth="1"/>
    <col min="524" max="524" width="6.28515625" style="62" customWidth="1"/>
    <col min="525" max="525" width="20.42578125" style="62" customWidth="1"/>
    <col min="526" max="526" width="6.42578125" style="62" bestFit="1" customWidth="1"/>
    <col min="527" max="528" width="8.42578125" style="62"/>
    <col min="529" max="529" width="3.28515625" style="62" customWidth="1"/>
    <col min="530" max="768" width="8.42578125" style="62"/>
    <col min="769" max="769" width="10" style="62" bestFit="1" customWidth="1"/>
    <col min="770" max="770" width="44.28515625" style="62" bestFit="1" customWidth="1"/>
    <col min="771" max="771" width="10.42578125" style="62" bestFit="1" customWidth="1"/>
    <col min="772" max="772" width="10.42578125" style="62" customWidth="1"/>
    <col min="773" max="773" width="9.7109375" style="62" bestFit="1" customWidth="1"/>
    <col min="774" max="775" width="9.5703125" style="62" bestFit="1" customWidth="1"/>
    <col min="776" max="776" width="10.42578125" style="62" bestFit="1" customWidth="1"/>
    <col min="777" max="777" width="4.5703125" style="62" customWidth="1"/>
    <col min="778" max="778" width="1.85546875" style="62" customWidth="1"/>
    <col min="779" max="779" width="7" style="62" bestFit="1" customWidth="1"/>
    <col min="780" max="780" width="6.28515625" style="62" customWidth="1"/>
    <col min="781" max="781" width="20.42578125" style="62" customWidth="1"/>
    <col min="782" max="782" width="6.42578125" style="62" bestFit="1" customWidth="1"/>
    <col min="783" max="784" width="8.42578125" style="62"/>
    <col min="785" max="785" width="3.28515625" style="62" customWidth="1"/>
    <col min="786" max="1024" width="8.42578125" style="62"/>
    <col min="1025" max="1025" width="10" style="62" bestFit="1" customWidth="1"/>
    <col min="1026" max="1026" width="44.28515625" style="62" bestFit="1" customWidth="1"/>
    <col min="1027" max="1027" width="10.42578125" style="62" bestFit="1" customWidth="1"/>
    <col min="1028" max="1028" width="10.42578125" style="62" customWidth="1"/>
    <col min="1029" max="1029" width="9.7109375" style="62" bestFit="1" customWidth="1"/>
    <col min="1030" max="1031" width="9.5703125" style="62" bestFit="1" customWidth="1"/>
    <col min="1032" max="1032" width="10.42578125" style="62" bestFit="1" customWidth="1"/>
    <col min="1033" max="1033" width="4.5703125" style="62" customWidth="1"/>
    <col min="1034" max="1034" width="1.85546875" style="62" customWidth="1"/>
    <col min="1035" max="1035" width="7" style="62" bestFit="1" customWidth="1"/>
    <col min="1036" max="1036" width="6.28515625" style="62" customWidth="1"/>
    <col min="1037" max="1037" width="20.42578125" style="62" customWidth="1"/>
    <col min="1038" max="1038" width="6.42578125" style="62" bestFit="1" customWidth="1"/>
    <col min="1039" max="1040" width="8.42578125" style="62"/>
    <col min="1041" max="1041" width="3.28515625" style="62" customWidth="1"/>
    <col min="1042" max="1280" width="8.42578125" style="62"/>
    <col min="1281" max="1281" width="10" style="62" bestFit="1" customWidth="1"/>
    <col min="1282" max="1282" width="44.28515625" style="62" bestFit="1" customWidth="1"/>
    <col min="1283" max="1283" width="10.42578125" style="62" bestFit="1" customWidth="1"/>
    <col min="1284" max="1284" width="10.42578125" style="62" customWidth="1"/>
    <col min="1285" max="1285" width="9.7109375" style="62" bestFit="1" customWidth="1"/>
    <col min="1286" max="1287" width="9.5703125" style="62" bestFit="1" customWidth="1"/>
    <col min="1288" max="1288" width="10.42578125" style="62" bestFit="1" customWidth="1"/>
    <col min="1289" max="1289" width="4.5703125" style="62" customWidth="1"/>
    <col min="1290" max="1290" width="1.85546875" style="62" customWidth="1"/>
    <col min="1291" max="1291" width="7" style="62" bestFit="1" customWidth="1"/>
    <col min="1292" max="1292" width="6.28515625" style="62" customWidth="1"/>
    <col min="1293" max="1293" width="20.42578125" style="62" customWidth="1"/>
    <col min="1294" max="1294" width="6.42578125" style="62" bestFit="1" customWidth="1"/>
    <col min="1295" max="1296" width="8.42578125" style="62"/>
    <col min="1297" max="1297" width="3.28515625" style="62" customWidth="1"/>
    <col min="1298" max="1536" width="8.42578125" style="62"/>
    <col min="1537" max="1537" width="10" style="62" bestFit="1" customWidth="1"/>
    <col min="1538" max="1538" width="44.28515625" style="62" bestFit="1" customWidth="1"/>
    <col min="1539" max="1539" width="10.42578125" style="62" bestFit="1" customWidth="1"/>
    <col min="1540" max="1540" width="10.42578125" style="62" customWidth="1"/>
    <col min="1541" max="1541" width="9.7109375" style="62" bestFit="1" customWidth="1"/>
    <col min="1542" max="1543" width="9.5703125" style="62" bestFit="1" customWidth="1"/>
    <col min="1544" max="1544" width="10.42578125" style="62" bestFit="1" customWidth="1"/>
    <col min="1545" max="1545" width="4.5703125" style="62" customWidth="1"/>
    <col min="1546" max="1546" width="1.85546875" style="62" customWidth="1"/>
    <col min="1547" max="1547" width="7" style="62" bestFit="1" customWidth="1"/>
    <col min="1548" max="1548" width="6.28515625" style="62" customWidth="1"/>
    <col min="1549" max="1549" width="20.42578125" style="62" customWidth="1"/>
    <col min="1550" max="1550" width="6.42578125" style="62" bestFit="1" customWidth="1"/>
    <col min="1551" max="1552" width="8.42578125" style="62"/>
    <col min="1553" max="1553" width="3.28515625" style="62" customWidth="1"/>
    <col min="1554" max="1792" width="8.42578125" style="62"/>
    <col min="1793" max="1793" width="10" style="62" bestFit="1" customWidth="1"/>
    <col min="1794" max="1794" width="44.28515625" style="62" bestFit="1" customWidth="1"/>
    <col min="1795" max="1795" width="10.42578125" style="62" bestFit="1" customWidth="1"/>
    <col min="1796" max="1796" width="10.42578125" style="62" customWidth="1"/>
    <col min="1797" max="1797" width="9.7109375" style="62" bestFit="1" customWidth="1"/>
    <col min="1798" max="1799" width="9.5703125" style="62" bestFit="1" customWidth="1"/>
    <col min="1800" max="1800" width="10.42578125" style="62" bestFit="1" customWidth="1"/>
    <col min="1801" max="1801" width="4.5703125" style="62" customWidth="1"/>
    <col min="1802" max="1802" width="1.85546875" style="62" customWidth="1"/>
    <col min="1803" max="1803" width="7" style="62" bestFit="1" customWidth="1"/>
    <col min="1804" max="1804" width="6.28515625" style="62" customWidth="1"/>
    <col min="1805" max="1805" width="20.42578125" style="62" customWidth="1"/>
    <col min="1806" max="1806" width="6.42578125" style="62" bestFit="1" customWidth="1"/>
    <col min="1807" max="1808" width="8.42578125" style="62"/>
    <col min="1809" max="1809" width="3.28515625" style="62" customWidth="1"/>
    <col min="1810" max="2048" width="8.42578125" style="62"/>
    <col min="2049" max="2049" width="10" style="62" bestFit="1" customWidth="1"/>
    <col min="2050" max="2050" width="44.28515625" style="62" bestFit="1" customWidth="1"/>
    <col min="2051" max="2051" width="10.42578125" style="62" bestFit="1" customWidth="1"/>
    <col min="2052" max="2052" width="10.42578125" style="62" customWidth="1"/>
    <col min="2053" max="2053" width="9.7109375" style="62" bestFit="1" customWidth="1"/>
    <col min="2054" max="2055" width="9.5703125" style="62" bestFit="1" customWidth="1"/>
    <col min="2056" max="2056" width="10.42578125" style="62" bestFit="1" customWidth="1"/>
    <col min="2057" max="2057" width="4.5703125" style="62" customWidth="1"/>
    <col min="2058" max="2058" width="1.85546875" style="62" customWidth="1"/>
    <col min="2059" max="2059" width="7" style="62" bestFit="1" customWidth="1"/>
    <col min="2060" max="2060" width="6.28515625" style="62" customWidth="1"/>
    <col min="2061" max="2061" width="20.42578125" style="62" customWidth="1"/>
    <col min="2062" max="2062" width="6.42578125" style="62" bestFit="1" customWidth="1"/>
    <col min="2063" max="2064" width="8.42578125" style="62"/>
    <col min="2065" max="2065" width="3.28515625" style="62" customWidth="1"/>
    <col min="2066" max="2304" width="8.42578125" style="62"/>
    <col min="2305" max="2305" width="10" style="62" bestFit="1" customWidth="1"/>
    <col min="2306" max="2306" width="44.28515625" style="62" bestFit="1" customWidth="1"/>
    <col min="2307" max="2307" width="10.42578125" style="62" bestFit="1" customWidth="1"/>
    <col min="2308" max="2308" width="10.42578125" style="62" customWidth="1"/>
    <col min="2309" max="2309" width="9.7109375" style="62" bestFit="1" customWidth="1"/>
    <col min="2310" max="2311" width="9.5703125" style="62" bestFit="1" customWidth="1"/>
    <col min="2312" max="2312" width="10.42578125" style="62" bestFit="1" customWidth="1"/>
    <col min="2313" max="2313" width="4.5703125" style="62" customWidth="1"/>
    <col min="2314" max="2314" width="1.85546875" style="62" customWidth="1"/>
    <col min="2315" max="2315" width="7" style="62" bestFit="1" customWidth="1"/>
    <col min="2316" max="2316" width="6.28515625" style="62" customWidth="1"/>
    <col min="2317" max="2317" width="20.42578125" style="62" customWidth="1"/>
    <col min="2318" max="2318" width="6.42578125" style="62" bestFit="1" customWidth="1"/>
    <col min="2319" max="2320" width="8.42578125" style="62"/>
    <col min="2321" max="2321" width="3.28515625" style="62" customWidth="1"/>
    <col min="2322" max="2560" width="8.42578125" style="62"/>
    <col min="2561" max="2561" width="10" style="62" bestFit="1" customWidth="1"/>
    <col min="2562" max="2562" width="44.28515625" style="62" bestFit="1" customWidth="1"/>
    <col min="2563" max="2563" width="10.42578125" style="62" bestFit="1" customWidth="1"/>
    <col min="2564" max="2564" width="10.42578125" style="62" customWidth="1"/>
    <col min="2565" max="2565" width="9.7109375" style="62" bestFit="1" customWidth="1"/>
    <col min="2566" max="2567" width="9.5703125" style="62" bestFit="1" customWidth="1"/>
    <col min="2568" max="2568" width="10.42578125" style="62" bestFit="1" customWidth="1"/>
    <col min="2569" max="2569" width="4.5703125" style="62" customWidth="1"/>
    <col min="2570" max="2570" width="1.85546875" style="62" customWidth="1"/>
    <col min="2571" max="2571" width="7" style="62" bestFit="1" customWidth="1"/>
    <col min="2572" max="2572" width="6.28515625" style="62" customWidth="1"/>
    <col min="2573" max="2573" width="20.42578125" style="62" customWidth="1"/>
    <col min="2574" max="2574" width="6.42578125" style="62" bestFit="1" customWidth="1"/>
    <col min="2575" max="2576" width="8.42578125" style="62"/>
    <col min="2577" max="2577" width="3.28515625" style="62" customWidth="1"/>
    <col min="2578" max="2816" width="8.42578125" style="62"/>
    <col min="2817" max="2817" width="10" style="62" bestFit="1" customWidth="1"/>
    <col min="2818" max="2818" width="44.28515625" style="62" bestFit="1" customWidth="1"/>
    <col min="2819" max="2819" width="10.42578125" style="62" bestFit="1" customWidth="1"/>
    <col min="2820" max="2820" width="10.42578125" style="62" customWidth="1"/>
    <col min="2821" max="2821" width="9.7109375" style="62" bestFit="1" customWidth="1"/>
    <col min="2822" max="2823" width="9.5703125" style="62" bestFit="1" customWidth="1"/>
    <col min="2824" max="2824" width="10.42578125" style="62" bestFit="1" customWidth="1"/>
    <col min="2825" max="2825" width="4.5703125" style="62" customWidth="1"/>
    <col min="2826" max="2826" width="1.85546875" style="62" customWidth="1"/>
    <col min="2827" max="2827" width="7" style="62" bestFit="1" customWidth="1"/>
    <col min="2828" max="2828" width="6.28515625" style="62" customWidth="1"/>
    <col min="2829" max="2829" width="20.42578125" style="62" customWidth="1"/>
    <col min="2830" max="2830" width="6.42578125" style="62" bestFit="1" customWidth="1"/>
    <col min="2831" max="2832" width="8.42578125" style="62"/>
    <col min="2833" max="2833" width="3.28515625" style="62" customWidth="1"/>
    <col min="2834" max="3072" width="8.42578125" style="62"/>
    <col min="3073" max="3073" width="10" style="62" bestFit="1" customWidth="1"/>
    <col min="3074" max="3074" width="44.28515625" style="62" bestFit="1" customWidth="1"/>
    <col min="3075" max="3075" width="10.42578125" style="62" bestFit="1" customWidth="1"/>
    <col min="3076" max="3076" width="10.42578125" style="62" customWidth="1"/>
    <col min="3077" max="3077" width="9.7109375" style="62" bestFit="1" customWidth="1"/>
    <col min="3078" max="3079" width="9.5703125" style="62" bestFit="1" customWidth="1"/>
    <col min="3080" max="3080" width="10.42578125" style="62" bestFit="1" customWidth="1"/>
    <col min="3081" max="3081" width="4.5703125" style="62" customWidth="1"/>
    <col min="3082" max="3082" width="1.85546875" style="62" customWidth="1"/>
    <col min="3083" max="3083" width="7" style="62" bestFit="1" customWidth="1"/>
    <col min="3084" max="3084" width="6.28515625" style="62" customWidth="1"/>
    <col min="3085" max="3085" width="20.42578125" style="62" customWidth="1"/>
    <col min="3086" max="3086" width="6.42578125" style="62" bestFit="1" customWidth="1"/>
    <col min="3087" max="3088" width="8.42578125" style="62"/>
    <col min="3089" max="3089" width="3.28515625" style="62" customWidth="1"/>
    <col min="3090" max="3328" width="8.42578125" style="62"/>
    <col min="3329" max="3329" width="10" style="62" bestFit="1" customWidth="1"/>
    <col min="3330" max="3330" width="44.28515625" style="62" bestFit="1" customWidth="1"/>
    <col min="3331" max="3331" width="10.42578125" style="62" bestFit="1" customWidth="1"/>
    <col min="3332" max="3332" width="10.42578125" style="62" customWidth="1"/>
    <col min="3333" max="3333" width="9.7109375" style="62" bestFit="1" customWidth="1"/>
    <col min="3334" max="3335" width="9.5703125" style="62" bestFit="1" customWidth="1"/>
    <col min="3336" max="3336" width="10.42578125" style="62" bestFit="1" customWidth="1"/>
    <col min="3337" max="3337" width="4.5703125" style="62" customWidth="1"/>
    <col min="3338" max="3338" width="1.85546875" style="62" customWidth="1"/>
    <col min="3339" max="3339" width="7" style="62" bestFit="1" customWidth="1"/>
    <col min="3340" max="3340" width="6.28515625" style="62" customWidth="1"/>
    <col min="3341" max="3341" width="20.42578125" style="62" customWidth="1"/>
    <col min="3342" max="3342" width="6.42578125" style="62" bestFit="1" customWidth="1"/>
    <col min="3343" max="3344" width="8.42578125" style="62"/>
    <col min="3345" max="3345" width="3.28515625" style="62" customWidth="1"/>
    <col min="3346" max="3584" width="8.42578125" style="62"/>
    <col min="3585" max="3585" width="10" style="62" bestFit="1" customWidth="1"/>
    <col min="3586" max="3586" width="44.28515625" style="62" bestFit="1" customWidth="1"/>
    <col min="3587" max="3587" width="10.42578125" style="62" bestFit="1" customWidth="1"/>
    <col min="3588" max="3588" width="10.42578125" style="62" customWidth="1"/>
    <col min="3589" max="3589" width="9.7109375" style="62" bestFit="1" customWidth="1"/>
    <col min="3590" max="3591" width="9.5703125" style="62" bestFit="1" customWidth="1"/>
    <col min="3592" max="3592" width="10.42578125" style="62" bestFit="1" customWidth="1"/>
    <col min="3593" max="3593" width="4.5703125" style="62" customWidth="1"/>
    <col min="3594" max="3594" width="1.85546875" style="62" customWidth="1"/>
    <col min="3595" max="3595" width="7" style="62" bestFit="1" customWidth="1"/>
    <col min="3596" max="3596" width="6.28515625" style="62" customWidth="1"/>
    <col min="3597" max="3597" width="20.42578125" style="62" customWidth="1"/>
    <col min="3598" max="3598" width="6.42578125" style="62" bestFit="1" customWidth="1"/>
    <col min="3599" max="3600" width="8.42578125" style="62"/>
    <col min="3601" max="3601" width="3.28515625" style="62" customWidth="1"/>
    <col min="3602" max="3840" width="8.42578125" style="62"/>
    <col min="3841" max="3841" width="10" style="62" bestFit="1" customWidth="1"/>
    <col min="3842" max="3842" width="44.28515625" style="62" bestFit="1" customWidth="1"/>
    <col min="3843" max="3843" width="10.42578125" style="62" bestFit="1" customWidth="1"/>
    <col min="3844" max="3844" width="10.42578125" style="62" customWidth="1"/>
    <col min="3845" max="3845" width="9.7109375" style="62" bestFit="1" customWidth="1"/>
    <col min="3846" max="3847" width="9.5703125" style="62" bestFit="1" customWidth="1"/>
    <col min="3848" max="3848" width="10.42578125" style="62" bestFit="1" customWidth="1"/>
    <col min="3849" max="3849" width="4.5703125" style="62" customWidth="1"/>
    <col min="3850" max="3850" width="1.85546875" style="62" customWidth="1"/>
    <col min="3851" max="3851" width="7" style="62" bestFit="1" customWidth="1"/>
    <col min="3852" max="3852" width="6.28515625" style="62" customWidth="1"/>
    <col min="3853" max="3853" width="20.42578125" style="62" customWidth="1"/>
    <col min="3854" max="3854" width="6.42578125" style="62" bestFit="1" customWidth="1"/>
    <col min="3855" max="3856" width="8.42578125" style="62"/>
    <col min="3857" max="3857" width="3.28515625" style="62" customWidth="1"/>
    <col min="3858" max="4096" width="8.42578125" style="62"/>
    <col min="4097" max="4097" width="10" style="62" bestFit="1" customWidth="1"/>
    <col min="4098" max="4098" width="44.28515625" style="62" bestFit="1" customWidth="1"/>
    <col min="4099" max="4099" width="10.42578125" style="62" bestFit="1" customWidth="1"/>
    <col min="4100" max="4100" width="10.42578125" style="62" customWidth="1"/>
    <col min="4101" max="4101" width="9.7109375" style="62" bestFit="1" customWidth="1"/>
    <col min="4102" max="4103" width="9.5703125" style="62" bestFit="1" customWidth="1"/>
    <col min="4104" max="4104" width="10.42578125" style="62" bestFit="1" customWidth="1"/>
    <col min="4105" max="4105" width="4.5703125" style="62" customWidth="1"/>
    <col min="4106" max="4106" width="1.85546875" style="62" customWidth="1"/>
    <col min="4107" max="4107" width="7" style="62" bestFit="1" customWidth="1"/>
    <col min="4108" max="4108" width="6.28515625" style="62" customWidth="1"/>
    <col min="4109" max="4109" width="20.42578125" style="62" customWidth="1"/>
    <col min="4110" max="4110" width="6.42578125" style="62" bestFit="1" customWidth="1"/>
    <col min="4111" max="4112" width="8.42578125" style="62"/>
    <col min="4113" max="4113" width="3.28515625" style="62" customWidth="1"/>
    <col min="4114" max="4352" width="8.42578125" style="62"/>
    <col min="4353" max="4353" width="10" style="62" bestFit="1" customWidth="1"/>
    <col min="4354" max="4354" width="44.28515625" style="62" bestFit="1" customWidth="1"/>
    <col min="4355" max="4355" width="10.42578125" style="62" bestFit="1" customWidth="1"/>
    <col min="4356" max="4356" width="10.42578125" style="62" customWidth="1"/>
    <col min="4357" max="4357" width="9.7109375" style="62" bestFit="1" customWidth="1"/>
    <col min="4358" max="4359" width="9.5703125" style="62" bestFit="1" customWidth="1"/>
    <col min="4360" max="4360" width="10.42578125" style="62" bestFit="1" customWidth="1"/>
    <col min="4361" max="4361" width="4.5703125" style="62" customWidth="1"/>
    <col min="4362" max="4362" width="1.85546875" style="62" customWidth="1"/>
    <col min="4363" max="4363" width="7" style="62" bestFit="1" customWidth="1"/>
    <col min="4364" max="4364" width="6.28515625" style="62" customWidth="1"/>
    <col min="4365" max="4365" width="20.42578125" style="62" customWidth="1"/>
    <col min="4366" max="4366" width="6.42578125" style="62" bestFit="1" customWidth="1"/>
    <col min="4367" max="4368" width="8.42578125" style="62"/>
    <col min="4369" max="4369" width="3.28515625" style="62" customWidth="1"/>
    <col min="4370" max="4608" width="8.42578125" style="62"/>
    <col min="4609" max="4609" width="10" style="62" bestFit="1" customWidth="1"/>
    <col min="4610" max="4610" width="44.28515625" style="62" bestFit="1" customWidth="1"/>
    <col min="4611" max="4611" width="10.42578125" style="62" bestFit="1" customWidth="1"/>
    <col min="4612" max="4612" width="10.42578125" style="62" customWidth="1"/>
    <col min="4613" max="4613" width="9.7109375" style="62" bestFit="1" customWidth="1"/>
    <col min="4614" max="4615" width="9.5703125" style="62" bestFit="1" customWidth="1"/>
    <col min="4616" max="4616" width="10.42578125" style="62" bestFit="1" customWidth="1"/>
    <col min="4617" max="4617" width="4.5703125" style="62" customWidth="1"/>
    <col min="4618" max="4618" width="1.85546875" style="62" customWidth="1"/>
    <col min="4619" max="4619" width="7" style="62" bestFit="1" customWidth="1"/>
    <col min="4620" max="4620" width="6.28515625" style="62" customWidth="1"/>
    <col min="4621" max="4621" width="20.42578125" style="62" customWidth="1"/>
    <col min="4622" max="4622" width="6.42578125" style="62" bestFit="1" customWidth="1"/>
    <col min="4623" max="4624" width="8.42578125" style="62"/>
    <col min="4625" max="4625" width="3.28515625" style="62" customWidth="1"/>
    <col min="4626" max="4864" width="8.42578125" style="62"/>
    <col min="4865" max="4865" width="10" style="62" bestFit="1" customWidth="1"/>
    <col min="4866" max="4866" width="44.28515625" style="62" bestFit="1" customWidth="1"/>
    <col min="4867" max="4867" width="10.42578125" style="62" bestFit="1" customWidth="1"/>
    <col min="4868" max="4868" width="10.42578125" style="62" customWidth="1"/>
    <col min="4869" max="4869" width="9.7109375" style="62" bestFit="1" customWidth="1"/>
    <col min="4870" max="4871" width="9.5703125" style="62" bestFit="1" customWidth="1"/>
    <col min="4872" max="4872" width="10.42578125" style="62" bestFit="1" customWidth="1"/>
    <col min="4873" max="4873" width="4.5703125" style="62" customWidth="1"/>
    <col min="4874" max="4874" width="1.85546875" style="62" customWidth="1"/>
    <col min="4875" max="4875" width="7" style="62" bestFit="1" customWidth="1"/>
    <col min="4876" max="4876" width="6.28515625" style="62" customWidth="1"/>
    <col min="4877" max="4877" width="20.42578125" style="62" customWidth="1"/>
    <col min="4878" max="4878" width="6.42578125" style="62" bestFit="1" customWidth="1"/>
    <col min="4879" max="4880" width="8.42578125" style="62"/>
    <col min="4881" max="4881" width="3.28515625" style="62" customWidth="1"/>
    <col min="4882" max="5120" width="8.42578125" style="62"/>
    <col min="5121" max="5121" width="10" style="62" bestFit="1" customWidth="1"/>
    <col min="5122" max="5122" width="44.28515625" style="62" bestFit="1" customWidth="1"/>
    <col min="5123" max="5123" width="10.42578125" style="62" bestFit="1" customWidth="1"/>
    <col min="5124" max="5124" width="10.42578125" style="62" customWidth="1"/>
    <col min="5125" max="5125" width="9.7109375" style="62" bestFit="1" customWidth="1"/>
    <col min="5126" max="5127" width="9.5703125" style="62" bestFit="1" customWidth="1"/>
    <col min="5128" max="5128" width="10.42578125" style="62" bestFit="1" customWidth="1"/>
    <col min="5129" max="5129" width="4.5703125" style="62" customWidth="1"/>
    <col min="5130" max="5130" width="1.85546875" style="62" customWidth="1"/>
    <col min="5131" max="5131" width="7" style="62" bestFit="1" customWidth="1"/>
    <col min="5132" max="5132" width="6.28515625" style="62" customWidth="1"/>
    <col min="5133" max="5133" width="20.42578125" style="62" customWidth="1"/>
    <col min="5134" max="5134" width="6.42578125" style="62" bestFit="1" customWidth="1"/>
    <col min="5135" max="5136" width="8.42578125" style="62"/>
    <col min="5137" max="5137" width="3.28515625" style="62" customWidth="1"/>
    <col min="5138" max="5376" width="8.42578125" style="62"/>
    <col min="5377" max="5377" width="10" style="62" bestFit="1" customWidth="1"/>
    <col min="5378" max="5378" width="44.28515625" style="62" bestFit="1" customWidth="1"/>
    <col min="5379" max="5379" width="10.42578125" style="62" bestFit="1" customWidth="1"/>
    <col min="5380" max="5380" width="10.42578125" style="62" customWidth="1"/>
    <col min="5381" max="5381" width="9.7109375" style="62" bestFit="1" customWidth="1"/>
    <col min="5382" max="5383" width="9.5703125" style="62" bestFit="1" customWidth="1"/>
    <col min="5384" max="5384" width="10.42578125" style="62" bestFit="1" customWidth="1"/>
    <col min="5385" max="5385" width="4.5703125" style="62" customWidth="1"/>
    <col min="5386" max="5386" width="1.85546875" style="62" customWidth="1"/>
    <col min="5387" max="5387" width="7" style="62" bestFit="1" customWidth="1"/>
    <col min="5388" max="5388" width="6.28515625" style="62" customWidth="1"/>
    <col min="5389" max="5389" width="20.42578125" style="62" customWidth="1"/>
    <col min="5390" max="5390" width="6.42578125" style="62" bestFit="1" customWidth="1"/>
    <col min="5391" max="5392" width="8.42578125" style="62"/>
    <col min="5393" max="5393" width="3.28515625" style="62" customWidth="1"/>
    <col min="5394" max="5632" width="8.42578125" style="62"/>
    <col min="5633" max="5633" width="10" style="62" bestFit="1" customWidth="1"/>
    <col min="5634" max="5634" width="44.28515625" style="62" bestFit="1" customWidth="1"/>
    <col min="5635" max="5635" width="10.42578125" style="62" bestFit="1" customWidth="1"/>
    <col min="5636" max="5636" width="10.42578125" style="62" customWidth="1"/>
    <col min="5637" max="5637" width="9.7109375" style="62" bestFit="1" customWidth="1"/>
    <col min="5638" max="5639" width="9.5703125" style="62" bestFit="1" customWidth="1"/>
    <col min="5640" max="5640" width="10.42578125" style="62" bestFit="1" customWidth="1"/>
    <col min="5641" max="5641" width="4.5703125" style="62" customWidth="1"/>
    <col min="5642" max="5642" width="1.85546875" style="62" customWidth="1"/>
    <col min="5643" max="5643" width="7" style="62" bestFit="1" customWidth="1"/>
    <col min="5644" max="5644" width="6.28515625" style="62" customWidth="1"/>
    <col min="5645" max="5645" width="20.42578125" style="62" customWidth="1"/>
    <col min="5646" max="5646" width="6.42578125" style="62" bestFit="1" customWidth="1"/>
    <col min="5647" max="5648" width="8.42578125" style="62"/>
    <col min="5649" max="5649" width="3.28515625" style="62" customWidth="1"/>
    <col min="5650" max="5888" width="8.42578125" style="62"/>
    <col min="5889" max="5889" width="10" style="62" bestFit="1" customWidth="1"/>
    <col min="5890" max="5890" width="44.28515625" style="62" bestFit="1" customWidth="1"/>
    <col min="5891" max="5891" width="10.42578125" style="62" bestFit="1" customWidth="1"/>
    <col min="5892" max="5892" width="10.42578125" style="62" customWidth="1"/>
    <col min="5893" max="5893" width="9.7109375" style="62" bestFit="1" customWidth="1"/>
    <col min="5894" max="5895" width="9.5703125" style="62" bestFit="1" customWidth="1"/>
    <col min="5896" max="5896" width="10.42578125" style="62" bestFit="1" customWidth="1"/>
    <col min="5897" max="5897" width="4.5703125" style="62" customWidth="1"/>
    <col min="5898" max="5898" width="1.85546875" style="62" customWidth="1"/>
    <col min="5899" max="5899" width="7" style="62" bestFit="1" customWidth="1"/>
    <col min="5900" max="5900" width="6.28515625" style="62" customWidth="1"/>
    <col min="5901" max="5901" width="20.42578125" style="62" customWidth="1"/>
    <col min="5902" max="5902" width="6.42578125" style="62" bestFit="1" customWidth="1"/>
    <col min="5903" max="5904" width="8.42578125" style="62"/>
    <col min="5905" max="5905" width="3.28515625" style="62" customWidth="1"/>
    <col min="5906" max="6144" width="8.42578125" style="62"/>
    <col min="6145" max="6145" width="10" style="62" bestFit="1" customWidth="1"/>
    <col min="6146" max="6146" width="44.28515625" style="62" bestFit="1" customWidth="1"/>
    <col min="6147" max="6147" width="10.42578125" style="62" bestFit="1" customWidth="1"/>
    <col min="6148" max="6148" width="10.42578125" style="62" customWidth="1"/>
    <col min="6149" max="6149" width="9.7109375" style="62" bestFit="1" customWidth="1"/>
    <col min="6150" max="6151" width="9.5703125" style="62" bestFit="1" customWidth="1"/>
    <col min="6152" max="6152" width="10.42578125" style="62" bestFit="1" customWidth="1"/>
    <col min="6153" max="6153" width="4.5703125" style="62" customWidth="1"/>
    <col min="6154" max="6154" width="1.85546875" style="62" customWidth="1"/>
    <col min="6155" max="6155" width="7" style="62" bestFit="1" customWidth="1"/>
    <col min="6156" max="6156" width="6.28515625" style="62" customWidth="1"/>
    <col min="6157" max="6157" width="20.42578125" style="62" customWidth="1"/>
    <col min="6158" max="6158" width="6.42578125" style="62" bestFit="1" customWidth="1"/>
    <col min="6159" max="6160" width="8.42578125" style="62"/>
    <col min="6161" max="6161" width="3.28515625" style="62" customWidth="1"/>
    <col min="6162" max="6400" width="8.42578125" style="62"/>
    <col min="6401" max="6401" width="10" style="62" bestFit="1" customWidth="1"/>
    <col min="6402" max="6402" width="44.28515625" style="62" bestFit="1" customWidth="1"/>
    <col min="6403" max="6403" width="10.42578125" style="62" bestFit="1" customWidth="1"/>
    <col min="6404" max="6404" width="10.42578125" style="62" customWidth="1"/>
    <col min="6405" max="6405" width="9.7109375" style="62" bestFit="1" customWidth="1"/>
    <col min="6406" max="6407" width="9.5703125" style="62" bestFit="1" customWidth="1"/>
    <col min="6408" max="6408" width="10.42578125" style="62" bestFit="1" customWidth="1"/>
    <col min="6409" max="6409" width="4.5703125" style="62" customWidth="1"/>
    <col min="6410" max="6410" width="1.85546875" style="62" customWidth="1"/>
    <col min="6411" max="6411" width="7" style="62" bestFit="1" customWidth="1"/>
    <col min="6412" max="6412" width="6.28515625" style="62" customWidth="1"/>
    <col min="6413" max="6413" width="20.42578125" style="62" customWidth="1"/>
    <col min="6414" max="6414" width="6.42578125" style="62" bestFit="1" customWidth="1"/>
    <col min="6415" max="6416" width="8.42578125" style="62"/>
    <col min="6417" max="6417" width="3.28515625" style="62" customWidth="1"/>
    <col min="6418" max="6656" width="8.42578125" style="62"/>
    <col min="6657" max="6657" width="10" style="62" bestFit="1" customWidth="1"/>
    <col min="6658" max="6658" width="44.28515625" style="62" bestFit="1" customWidth="1"/>
    <col min="6659" max="6659" width="10.42578125" style="62" bestFit="1" customWidth="1"/>
    <col min="6660" max="6660" width="10.42578125" style="62" customWidth="1"/>
    <col min="6661" max="6661" width="9.7109375" style="62" bestFit="1" customWidth="1"/>
    <col min="6662" max="6663" width="9.5703125" style="62" bestFit="1" customWidth="1"/>
    <col min="6664" max="6664" width="10.42578125" style="62" bestFit="1" customWidth="1"/>
    <col min="6665" max="6665" width="4.5703125" style="62" customWidth="1"/>
    <col min="6666" max="6666" width="1.85546875" style="62" customWidth="1"/>
    <col min="6667" max="6667" width="7" style="62" bestFit="1" customWidth="1"/>
    <col min="6668" max="6668" width="6.28515625" style="62" customWidth="1"/>
    <col min="6669" max="6669" width="20.42578125" style="62" customWidth="1"/>
    <col min="6670" max="6670" width="6.42578125" style="62" bestFit="1" customWidth="1"/>
    <col min="6671" max="6672" width="8.42578125" style="62"/>
    <col min="6673" max="6673" width="3.28515625" style="62" customWidth="1"/>
    <col min="6674" max="6912" width="8.42578125" style="62"/>
    <col min="6913" max="6913" width="10" style="62" bestFit="1" customWidth="1"/>
    <col min="6914" max="6914" width="44.28515625" style="62" bestFit="1" customWidth="1"/>
    <col min="6915" max="6915" width="10.42578125" style="62" bestFit="1" customWidth="1"/>
    <col min="6916" max="6916" width="10.42578125" style="62" customWidth="1"/>
    <col min="6917" max="6917" width="9.7109375" style="62" bestFit="1" customWidth="1"/>
    <col min="6918" max="6919" width="9.5703125" style="62" bestFit="1" customWidth="1"/>
    <col min="6920" max="6920" width="10.42578125" style="62" bestFit="1" customWidth="1"/>
    <col min="6921" max="6921" width="4.5703125" style="62" customWidth="1"/>
    <col min="6922" max="6922" width="1.85546875" style="62" customWidth="1"/>
    <col min="6923" max="6923" width="7" style="62" bestFit="1" customWidth="1"/>
    <col min="6924" max="6924" width="6.28515625" style="62" customWidth="1"/>
    <col min="6925" max="6925" width="20.42578125" style="62" customWidth="1"/>
    <col min="6926" max="6926" width="6.42578125" style="62" bestFit="1" customWidth="1"/>
    <col min="6927" max="6928" width="8.42578125" style="62"/>
    <col min="6929" max="6929" width="3.28515625" style="62" customWidth="1"/>
    <col min="6930" max="7168" width="8.42578125" style="62"/>
    <col min="7169" max="7169" width="10" style="62" bestFit="1" customWidth="1"/>
    <col min="7170" max="7170" width="44.28515625" style="62" bestFit="1" customWidth="1"/>
    <col min="7171" max="7171" width="10.42578125" style="62" bestFit="1" customWidth="1"/>
    <col min="7172" max="7172" width="10.42578125" style="62" customWidth="1"/>
    <col min="7173" max="7173" width="9.7109375" style="62" bestFit="1" customWidth="1"/>
    <col min="7174" max="7175" width="9.5703125" style="62" bestFit="1" customWidth="1"/>
    <col min="7176" max="7176" width="10.42578125" style="62" bestFit="1" customWidth="1"/>
    <col min="7177" max="7177" width="4.5703125" style="62" customWidth="1"/>
    <col min="7178" max="7178" width="1.85546875" style="62" customWidth="1"/>
    <col min="7179" max="7179" width="7" style="62" bestFit="1" customWidth="1"/>
    <col min="7180" max="7180" width="6.28515625" style="62" customWidth="1"/>
    <col min="7181" max="7181" width="20.42578125" style="62" customWidth="1"/>
    <col min="7182" max="7182" width="6.42578125" style="62" bestFit="1" customWidth="1"/>
    <col min="7183" max="7184" width="8.42578125" style="62"/>
    <col min="7185" max="7185" width="3.28515625" style="62" customWidth="1"/>
    <col min="7186" max="7424" width="8.42578125" style="62"/>
    <col min="7425" max="7425" width="10" style="62" bestFit="1" customWidth="1"/>
    <col min="7426" max="7426" width="44.28515625" style="62" bestFit="1" customWidth="1"/>
    <col min="7427" max="7427" width="10.42578125" style="62" bestFit="1" customWidth="1"/>
    <col min="7428" max="7428" width="10.42578125" style="62" customWidth="1"/>
    <col min="7429" max="7429" width="9.7109375" style="62" bestFit="1" customWidth="1"/>
    <col min="7430" max="7431" width="9.5703125" style="62" bestFit="1" customWidth="1"/>
    <col min="7432" max="7432" width="10.42578125" style="62" bestFit="1" customWidth="1"/>
    <col min="7433" max="7433" width="4.5703125" style="62" customWidth="1"/>
    <col min="7434" max="7434" width="1.85546875" style="62" customWidth="1"/>
    <col min="7435" max="7435" width="7" style="62" bestFit="1" customWidth="1"/>
    <col min="7436" max="7436" width="6.28515625" style="62" customWidth="1"/>
    <col min="7437" max="7437" width="20.42578125" style="62" customWidth="1"/>
    <col min="7438" max="7438" width="6.42578125" style="62" bestFit="1" customWidth="1"/>
    <col min="7439" max="7440" width="8.42578125" style="62"/>
    <col min="7441" max="7441" width="3.28515625" style="62" customWidth="1"/>
    <col min="7442" max="7680" width="8.42578125" style="62"/>
    <col min="7681" max="7681" width="10" style="62" bestFit="1" customWidth="1"/>
    <col min="7682" max="7682" width="44.28515625" style="62" bestFit="1" customWidth="1"/>
    <col min="7683" max="7683" width="10.42578125" style="62" bestFit="1" customWidth="1"/>
    <col min="7684" max="7684" width="10.42578125" style="62" customWidth="1"/>
    <col min="7685" max="7685" width="9.7109375" style="62" bestFit="1" customWidth="1"/>
    <col min="7686" max="7687" width="9.5703125" style="62" bestFit="1" customWidth="1"/>
    <col min="7688" max="7688" width="10.42578125" style="62" bestFit="1" customWidth="1"/>
    <col min="7689" max="7689" width="4.5703125" style="62" customWidth="1"/>
    <col min="7690" max="7690" width="1.85546875" style="62" customWidth="1"/>
    <col min="7691" max="7691" width="7" style="62" bestFit="1" customWidth="1"/>
    <col min="7692" max="7692" width="6.28515625" style="62" customWidth="1"/>
    <col min="7693" max="7693" width="20.42578125" style="62" customWidth="1"/>
    <col min="7694" max="7694" width="6.42578125" style="62" bestFit="1" customWidth="1"/>
    <col min="7695" max="7696" width="8.42578125" style="62"/>
    <col min="7697" max="7697" width="3.28515625" style="62" customWidth="1"/>
    <col min="7698" max="7936" width="8.42578125" style="62"/>
    <col min="7937" max="7937" width="10" style="62" bestFit="1" customWidth="1"/>
    <col min="7938" max="7938" width="44.28515625" style="62" bestFit="1" customWidth="1"/>
    <col min="7939" max="7939" width="10.42578125" style="62" bestFit="1" customWidth="1"/>
    <col min="7940" max="7940" width="10.42578125" style="62" customWidth="1"/>
    <col min="7941" max="7941" width="9.7109375" style="62" bestFit="1" customWidth="1"/>
    <col min="7942" max="7943" width="9.5703125" style="62" bestFit="1" customWidth="1"/>
    <col min="7944" max="7944" width="10.42578125" style="62" bestFit="1" customWidth="1"/>
    <col min="7945" max="7945" width="4.5703125" style="62" customWidth="1"/>
    <col min="7946" max="7946" width="1.85546875" style="62" customWidth="1"/>
    <col min="7947" max="7947" width="7" style="62" bestFit="1" customWidth="1"/>
    <col min="7948" max="7948" width="6.28515625" style="62" customWidth="1"/>
    <col min="7949" max="7949" width="20.42578125" style="62" customWidth="1"/>
    <col min="7950" max="7950" width="6.42578125" style="62" bestFit="1" customWidth="1"/>
    <col min="7951" max="7952" width="8.42578125" style="62"/>
    <col min="7953" max="7953" width="3.28515625" style="62" customWidth="1"/>
    <col min="7954" max="8192" width="8.42578125" style="62"/>
    <col min="8193" max="8193" width="10" style="62" bestFit="1" customWidth="1"/>
    <col min="8194" max="8194" width="44.28515625" style="62" bestFit="1" customWidth="1"/>
    <col min="8195" max="8195" width="10.42578125" style="62" bestFit="1" customWidth="1"/>
    <col min="8196" max="8196" width="10.42578125" style="62" customWidth="1"/>
    <col min="8197" max="8197" width="9.7109375" style="62" bestFit="1" customWidth="1"/>
    <col min="8198" max="8199" width="9.5703125" style="62" bestFit="1" customWidth="1"/>
    <col min="8200" max="8200" width="10.42578125" style="62" bestFit="1" customWidth="1"/>
    <col min="8201" max="8201" width="4.5703125" style="62" customWidth="1"/>
    <col min="8202" max="8202" width="1.85546875" style="62" customWidth="1"/>
    <col min="8203" max="8203" width="7" style="62" bestFit="1" customWidth="1"/>
    <col min="8204" max="8204" width="6.28515625" style="62" customWidth="1"/>
    <col min="8205" max="8205" width="20.42578125" style="62" customWidth="1"/>
    <col min="8206" max="8206" width="6.42578125" style="62" bestFit="1" customWidth="1"/>
    <col min="8207" max="8208" width="8.42578125" style="62"/>
    <col min="8209" max="8209" width="3.28515625" style="62" customWidth="1"/>
    <col min="8210" max="8448" width="8.42578125" style="62"/>
    <col min="8449" max="8449" width="10" style="62" bestFit="1" customWidth="1"/>
    <col min="8450" max="8450" width="44.28515625" style="62" bestFit="1" customWidth="1"/>
    <col min="8451" max="8451" width="10.42578125" style="62" bestFit="1" customWidth="1"/>
    <col min="8452" max="8452" width="10.42578125" style="62" customWidth="1"/>
    <col min="8453" max="8453" width="9.7109375" style="62" bestFit="1" customWidth="1"/>
    <col min="8454" max="8455" width="9.5703125" style="62" bestFit="1" customWidth="1"/>
    <col min="8456" max="8456" width="10.42578125" style="62" bestFit="1" customWidth="1"/>
    <col min="8457" max="8457" width="4.5703125" style="62" customWidth="1"/>
    <col min="8458" max="8458" width="1.85546875" style="62" customWidth="1"/>
    <col min="8459" max="8459" width="7" style="62" bestFit="1" customWidth="1"/>
    <col min="8460" max="8460" width="6.28515625" style="62" customWidth="1"/>
    <col min="8461" max="8461" width="20.42578125" style="62" customWidth="1"/>
    <col min="8462" max="8462" width="6.42578125" style="62" bestFit="1" customWidth="1"/>
    <col min="8463" max="8464" width="8.42578125" style="62"/>
    <col min="8465" max="8465" width="3.28515625" style="62" customWidth="1"/>
    <col min="8466" max="8704" width="8.42578125" style="62"/>
    <col min="8705" max="8705" width="10" style="62" bestFit="1" customWidth="1"/>
    <col min="8706" max="8706" width="44.28515625" style="62" bestFit="1" customWidth="1"/>
    <col min="8707" max="8707" width="10.42578125" style="62" bestFit="1" customWidth="1"/>
    <col min="8708" max="8708" width="10.42578125" style="62" customWidth="1"/>
    <col min="8709" max="8709" width="9.7109375" style="62" bestFit="1" customWidth="1"/>
    <col min="8710" max="8711" width="9.5703125" style="62" bestFit="1" customWidth="1"/>
    <col min="8712" max="8712" width="10.42578125" style="62" bestFit="1" customWidth="1"/>
    <col min="8713" max="8713" width="4.5703125" style="62" customWidth="1"/>
    <col min="8714" max="8714" width="1.85546875" style="62" customWidth="1"/>
    <col min="8715" max="8715" width="7" style="62" bestFit="1" customWidth="1"/>
    <col min="8716" max="8716" width="6.28515625" style="62" customWidth="1"/>
    <col min="8717" max="8717" width="20.42578125" style="62" customWidth="1"/>
    <col min="8718" max="8718" width="6.42578125" style="62" bestFit="1" customWidth="1"/>
    <col min="8719" max="8720" width="8.42578125" style="62"/>
    <col min="8721" max="8721" width="3.28515625" style="62" customWidth="1"/>
    <col min="8722" max="8960" width="8.42578125" style="62"/>
    <col min="8961" max="8961" width="10" style="62" bestFit="1" customWidth="1"/>
    <col min="8962" max="8962" width="44.28515625" style="62" bestFit="1" customWidth="1"/>
    <col min="8963" max="8963" width="10.42578125" style="62" bestFit="1" customWidth="1"/>
    <col min="8964" max="8964" width="10.42578125" style="62" customWidth="1"/>
    <col min="8965" max="8965" width="9.7109375" style="62" bestFit="1" customWidth="1"/>
    <col min="8966" max="8967" width="9.5703125" style="62" bestFit="1" customWidth="1"/>
    <col min="8968" max="8968" width="10.42578125" style="62" bestFit="1" customWidth="1"/>
    <col min="8969" max="8969" width="4.5703125" style="62" customWidth="1"/>
    <col min="8970" max="8970" width="1.85546875" style="62" customWidth="1"/>
    <col min="8971" max="8971" width="7" style="62" bestFit="1" customWidth="1"/>
    <col min="8972" max="8972" width="6.28515625" style="62" customWidth="1"/>
    <col min="8973" max="8973" width="20.42578125" style="62" customWidth="1"/>
    <col min="8974" max="8974" width="6.42578125" style="62" bestFit="1" customWidth="1"/>
    <col min="8975" max="8976" width="8.42578125" style="62"/>
    <col min="8977" max="8977" width="3.28515625" style="62" customWidth="1"/>
    <col min="8978" max="9216" width="8.42578125" style="62"/>
    <col min="9217" max="9217" width="10" style="62" bestFit="1" customWidth="1"/>
    <col min="9218" max="9218" width="44.28515625" style="62" bestFit="1" customWidth="1"/>
    <col min="9219" max="9219" width="10.42578125" style="62" bestFit="1" customWidth="1"/>
    <col min="9220" max="9220" width="10.42578125" style="62" customWidth="1"/>
    <col min="9221" max="9221" width="9.7109375" style="62" bestFit="1" customWidth="1"/>
    <col min="9222" max="9223" width="9.5703125" style="62" bestFit="1" customWidth="1"/>
    <col min="9224" max="9224" width="10.42578125" style="62" bestFit="1" customWidth="1"/>
    <col min="9225" max="9225" width="4.5703125" style="62" customWidth="1"/>
    <col min="9226" max="9226" width="1.85546875" style="62" customWidth="1"/>
    <col min="9227" max="9227" width="7" style="62" bestFit="1" customWidth="1"/>
    <col min="9228" max="9228" width="6.28515625" style="62" customWidth="1"/>
    <col min="9229" max="9229" width="20.42578125" style="62" customWidth="1"/>
    <col min="9230" max="9230" width="6.42578125" style="62" bestFit="1" customWidth="1"/>
    <col min="9231" max="9232" width="8.42578125" style="62"/>
    <col min="9233" max="9233" width="3.28515625" style="62" customWidth="1"/>
    <col min="9234" max="9472" width="8.42578125" style="62"/>
    <col min="9473" max="9473" width="10" style="62" bestFit="1" customWidth="1"/>
    <col min="9474" max="9474" width="44.28515625" style="62" bestFit="1" customWidth="1"/>
    <col min="9475" max="9475" width="10.42578125" style="62" bestFit="1" customWidth="1"/>
    <col min="9476" max="9476" width="10.42578125" style="62" customWidth="1"/>
    <col min="9477" max="9477" width="9.7109375" style="62" bestFit="1" customWidth="1"/>
    <col min="9478" max="9479" width="9.5703125" style="62" bestFit="1" customWidth="1"/>
    <col min="9480" max="9480" width="10.42578125" style="62" bestFit="1" customWidth="1"/>
    <col min="9481" max="9481" width="4.5703125" style="62" customWidth="1"/>
    <col min="9482" max="9482" width="1.85546875" style="62" customWidth="1"/>
    <col min="9483" max="9483" width="7" style="62" bestFit="1" customWidth="1"/>
    <col min="9484" max="9484" width="6.28515625" style="62" customWidth="1"/>
    <col min="9485" max="9485" width="20.42578125" style="62" customWidth="1"/>
    <col min="9486" max="9486" width="6.42578125" style="62" bestFit="1" customWidth="1"/>
    <col min="9487" max="9488" width="8.42578125" style="62"/>
    <col min="9489" max="9489" width="3.28515625" style="62" customWidth="1"/>
    <col min="9490" max="9728" width="8.42578125" style="62"/>
    <col min="9729" max="9729" width="10" style="62" bestFit="1" customWidth="1"/>
    <col min="9730" max="9730" width="44.28515625" style="62" bestFit="1" customWidth="1"/>
    <col min="9731" max="9731" width="10.42578125" style="62" bestFit="1" customWidth="1"/>
    <col min="9732" max="9732" width="10.42578125" style="62" customWidth="1"/>
    <col min="9733" max="9733" width="9.7109375" style="62" bestFit="1" customWidth="1"/>
    <col min="9734" max="9735" width="9.5703125" style="62" bestFit="1" customWidth="1"/>
    <col min="9736" max="9736" width="10.42578125" style="62" bestFit="1" customWidth="1"/>
    <col min="9737" max="9737" width="4.5703125" style="62" customWidth="1"/>
    <col min="9738" max="9738" width="1.85546875" style="62" customWidth="1"/>
    <col min="9739" max="9739" width="7" style="62" bestFit="1" customWidth="1"/>
    <col min="9740" max="9740" width="6.28515625" style="62" customWidth="1"/>
    <col min="9741" max="9741" width="20.42578125" style="62" customWidth="1"/>
    <col min="9742" max="9742" width="6.42578125" style="62" bestFit="1" customWidth="1"/>
    <col min="9743" max="9744" width="8.42578125" style="62"/>
    <col min="9745" max="9745" width="3.28515625" style="62" customWidth="1"/>
    <col min="9746" max="9984" width="8.42578125" style="62"/>
    <col min="9985" max="9985" width="10" style="62" bestFit="1" customWidth="1"/>
    <col min="9986" max="9986" width="44.28515625" style="62" bestFit="1" customWidth="1"/>
    <col min="9987" max="9987" width="10.42578125" style="62" bestFit="1" customWidth="1"/>
    <col min="9988" max="9988" width="10.42578125" style="62" customWidth="1"/>
    <col min="9989" max="9989" width="9.7109375" style="62" bestFit="1" customWidth="1"/>
    <col min="9990" max="9991" width="9.5703125" style="62" bestFit="1" customWidth="1"/>
    <col min="9992" max="9992" width="10.42578125" style="62" bestFit="1" customWidth="1"/>
    <col min="9993" max="9993" width="4.5703125" style="62" customWidth="1"/>
    <col min="9994" max="9994" width="1.85546875" style="62" customWidth="1"/>
    <col min="9995" max="9995" width="7" style="62" bestFit="1" customWidth="1"/>
    <col min="9996" max="9996" width="6.28515625" style="62" customWidth="1"/>
    <col min="9997" max="9997" width="20.42578125" style="62" customWidth="1"/>
    <col min="9998" max="9998" width="6.42578125" style="62" bestFit="1" customWidth="1"/>
    <col min="9999" max="10000" width="8.42578125" style="62"/>
    <col min="10001" max="10001" width="3.28515625" style="62" customWidth="1"/>
    <col min="10002" max="10240" width="8.42578125" style="62"/>
    <col min="10241" max="10241" width="10" style="62" bestFit="1" customWidth="1"/>
    <col min="10242" max="10242" width="44.28515625" style="62" bestFit="1" customWidth="1"/>
    <col min="10243" max="10243" width="10.42578125" style="62" bestFit="1" customWidth="1"/>
    <col min="10244" max="10244" width="10.42578125" style="62" customWidth="1"/>
    <col min="10245" max="10245" width="9.7109375" style="62" bestFit="1" customWidth="1"/>
    <col min="10246" max="10247" width="9.5703125" style="62" bestFit="1" customWidth="1"/>
    <col min="10248" max="10248" width="10.42578125" style="62" bestFit="1" customWidth="1"/>
    <col min="10249" max="10249" width="4.5703125" style="62" customWidth="1"/>
    <col min="10250" max="10250" width="1.85546875" style="62" customWidth="1"/>
    <col min="10251" max="10251" width="7" style="62" bestFit="1" customWidth="1"/>
    <col min="10252" max="10252" width="6.28515625" style="62" customWidth="1"/>
    <col min="10253" max="10253" width="20.42578125" style="62" customWidth="1"/>
    <col min="10254" max="10254" width="6.42578125" style="62" bestFit="1" customWidth="1"/>
    <col min="10255" max="10256" width="8.42578125" style="62"/>
    <col min="10257" max="10257" width="3.28515625" style="62" customWidth="1"/>
    <col min="10258" max="10496" width="8.42578125" style="62"/>
    <col min="10497" max="10497" width="10" style="62" bestFit="1" customWidth="1"/>
    <col min="10498" max="10498" width="44.28515625" style="62" bestFit="1" customWidth="1"/>
    <col min="10499" max="10499" width="10.42578125" style="62" bestFit="1" customWidth="1"/>
    <col min="10500" max="10500" width="10.42578125" style="62" customWidth="1"/>
    <col min="10501" max="10501" width="9.7109375" style="62" bestFit="1" customWidth="1"/>
    <col min="10502" max="10503" width="9.5703125" style="62" bestFit="1" customWidth="1"/>
    <col min="10504" max="10504" width="10.42578125" style="62" bestFit="1" customWidth="1"/>
    <col min="10505" max="10505" width="4.5703125" style="62" customWidth="1"/>
    <col min="10506" max="10506" width="1.85546875" style="62" customWidth="1"/>
    <col min="10507" max="10507" width="7" style="62" bestFit="1" customWidth="1"/>
    <col min="10508" max="10508" width="6.28515625" style="62" customWidth="1"/>
    <col min="10509" max="10509" width="20.42578125" style="62" customWidth="1"/>
    <col min="10510" max="10510" width="6.42578125" style="62" bestFit="1" customWidth="1"/>
    <col min="10511" max="10512" width="8.42578125" style="62"/>
    <col min="10513" max="10513" width="3.28515625" style="62" customWidth="1"/>
    <col min="10514" max="10752" width="8.42578125" style="62"/>
    <col min="10753" max="10753" width="10" style="62" bestFit="1" customWidth="1"/>
    <col min="10754" max="10754" width="44.28515625" style="62" bestFit="1" customWidth="1"/>
    <col min="10755" max="10755" width="10.42578125" style="62" bestFit="1" customWidth="1"/>
    <col min="10756" max="10756" width="10.42578125" style="62" customWidth="1"/>
    <col min="10757" max="10757" width="9.7109375" style="62" bestFit="1" customWidth="1"/>
    <col min="10758" max="10759" width="9.5703125" style="62" bestFit="1" customWidth="1"/>
    <col min="10760" max="10760" width="10.42578125" style="62" bestFit="1" customWidth="1"/>
    <col min="10761" max="10761" width="4.5703125" style="62" customWidth="1"/>
    <col min="10762" max="10762" width="1.85546875" style="62" customWidth="1"/>
    <col min="10763" max="10763" width="7" style="62" bestFit="1" customWidth="1"/>
    <col min="10764" max="10764" width="6.28515625" style="62" customWidth="1"/>
    <col min="10765" max="10765" width="20.42578125" style="62" customWidth="1"/>
    <col min="10766" max="10766" width="6.42578125" style="62" bestFit="1" customWidth="1"/>
    <col min="10767" max="10768" width="8.42578125" style="62"/>
    <col min="10769" max="10769" width="3.28515625" style="62" customWidth="1"/>
    <col min="10770" max="11008" width="8.42578125" style="62"/>
    <col min="11009" max="11009" width="10" style="62" bestFit="1" customWidth="1"/>
    <col min="11010" max="11010" width="44.28515625" style="62" bestFit="1" customWidth="1"/>
    <col min="11011" max="11011" width="10.42578125" style="62" bestFit="1" customWidth="1"/>
    <col min="11012" max="11012" width="10.42578125" style="62" customWidth="1"/>
    <col min="11013" max="11013" width="9.7109375" style="62" bestFit="1" customWidth="1"/>
    <col min="11014" max="11015" width="9.5703125" style="62" bestFit="1" customWidth="1"/>
    <col min="11016" max="11016" width="10.42578125" style="62" bestFit="1" customWidth="1"/>
    <col min="11017" max="11017" width="4.5703125" style="62" customWidth="1"/>
    <col min="11018" max="11018" width="1.85546875" style="62" customWidth="1"/>
    <col min="11019" max="11019" width="7" style="62" bestFit="1" customWidth="1"/>
    <col min="11020" max="11020" width="6.28515625" style="62" customWidth="1"/>
    <col min="11021" max="11021" width="20.42578125" style="62" customWidth="1"/>
    <col min="11022" max="11022" width="6.42578125" style="62" bestFit="1" customWidth="1"/>
    <col min="11023" max="11024" width="8.42578125" style="62"/>
    <col min="11025" max="11025" width="3.28515625" style="62" customWidth="1"/>
    <col min="11026" max="11264" width="8.42578125" style="62"/>
    <col min="11265" max="11265" width="10" style="62" bestFit="1" customWidth="1"/>
    <col min="11266" max="11266" width="44.28515625" style="62" bestFit="1" customWidth="1"/>
    <col min="11267" max="11267" width="10.42578125" style="62" bestFit="1" customWidth="1"/>
    <col min="11268" max="11268" width="10.42578125" style="62" customWidth="1"/>
    <col min="11269" max="11269" width="9.7109375" style="62" bestFit="1" customWidth="1"/>
    <col min="11270" max="11271" width="9.5703125" style="62" bestFit="1" customWidth="1"/>
    <col min="11272" max="11272" width="10.42578125" style="62" bestFit="1" customWidth="1"/>
    <col min="11273" max="11273" width="4.5703125" style="62" customWidth="1"/>
    <col min="11274" max="11274" width="1.85546875" style="62" customWidth="1"/>
    <col min="11275" max="11275" width="7" style="62" bestFit="1" customWidth="1"/>
    <col min="11276" max="11276" width="6.28515625" style="62" customWidth="1"/>
    <col min="11277" max="11277" width="20.42578125" style="62" customWidth="1"/>
    <col min="11278" max="11278" width="6.42578125" style="62" bestFit="1" customWidth="1"/>
    <col min="11279" max="11280" width="8.42578125" style="62"/>
    <col min="11281" max="11281" width="3.28515625" style="62" customWidth="1"/>
    <col min="11282" max="11520" width="8.42578125" style="62"/>
    <col min="11521" max="11521" width="10" style="62" bestFit="1" customWidth="1"/>
    <col min="11522" max="11522" width="44.28515625" style="62" bestFit="1" customWidth="1"/>
    <col min="11523" max="11523" width="10.42578125" style="62" bestFit="1" customWidth="1"/>
    <col min="11524" max="11524" width="10.42578125" style="62" customWidth="1"/>
    <col min="11525" max="11525" width="9.7109375" style="62" bestFit="1" customWidth="1"/>
    <col min="11526" max="11527" width="9.5703125" style="62" bestFit="1" customWidth="1"/>
    <col min="11528" max="11528" width="10.42578125" style="62" bestFit="1" customWidth="1"/>
    <col min="11529" max="11529" width="4.5703125" style="62" customWidth="1"/>
    <col min="11530" max="11530" width="1.85546875" style="62" customWidth="1"/>
    <col min="11531" max="11531" width="7" style="62" bestFit="1" customWidth="1"/>
    <col min="11532" max="11532" width="6.28515625" style="62" customWidth="1"/>
    <col min="11533" max="11533" width="20.42578125" style="62" customWidth="1"/>
    <col min="11534" max="11534" width="6.42578125" style="62" bestFit="1" customWidth="1"/>
    <col min="11535" max="11536" width="8.42578125" style="62"/>
    <col min="11537" max="11537" width="3.28515625" style="62" customWidth="1"/>
    <col min="11538" max="11776" width="8.42578125" style="62"/>
    <col min="11777" max="11777" width="10" style="62" bestFit="1" customWidth="1"/>
    <col min="11778" max="11778" width="44.28515625" style="62" bestFit="1" customWidth="1"/>
    <col min="11779" max="11779" width="10.42578125" style="62" bestFit="1" customWidth="1"/>
    <col min="11780" max="11780" width="10.42578125" style="62" customWidth="1"/>
    <col min="11781" max="11781" width="9.7109375" style="62" bestFit="1" customWidth="1"/>
    <col min="11782" max="11783" width="9.5703125" style="62" bestFit="1" customWidth="1"/>
    <col min="11784" max="11784" width="10.42578125" style="62" bestFit="1" customWidth="1"/>
    <col min="11785" max="11785" width="4.5703125" style="62" customWidth="1"/>
    <col min="11786" max="11786" width="1.85546875" style="62" customWidth="1"/>
    <col min="11787" max="11787" width="7" style="62" bestFit="1" customWidth="1"/>
    <col min="11788" max="11788" width="6.28515625" style="62" customWidth="1"/>
    <col min="11789" max="11789" width="20.42578125" style="62" customWidth="1"/>
    <col min="11790" max="11790" width="6.42578125" style="62" bestFit="1" customWidth="1"/>
    <col min="11791" max="11792" width="8.42578125" style="62"/>
    <col min="11793" max="11793" width="3.28515625" style="62" customWidth="1"/>
    <col min="11794" max="12032" width="8.42578125" style="62"/>
    <col min="12033" max="12033" width="10" style="62" bestFit="1" customWidth="1"/>
    <col min="12034" max="12034" width="44.28515625" style="62" bestFit="1" customWidth="1"/>
    <col min="12035" max="12035" width="10.42578125" style="62" bestFit="1" customWidth="1"/>
    <col min="12036" max="12036" width="10.42578125" style="62" customWidth="1"/>
    <col min="12037" max="12037" width="9.7109375" style="62" bestFit="1" customWidth="1"/>
    <col min="12038" max="12039" width="9.5703125" style="62" bestFit="1" customWidth="1"/>
    <col min="12040" max="12040" width="10.42578125" style="62" bestFit="1" customWidth="1"/>
    <col min="12041" max="12041" width="4.5703125" style="62" customWidth="1"/>
    <col min="12042" max="12042" width="1.85546875" style="62" customWidth="1"/>
    <col min="12043" max="12043" width="7" style="62" bestFit="1" customWidth="1"/>
    <col min="12044" max="12044" width="6.28515625" style="62" customWidth="1"/>
    <col min="12045" max="12045" width="20.42578125" style="62" customWidth="1"/>
    <col min="12046" max="12046" width="6.42578125" style="62" bestFit="1" customWidth="1"/>
    <col min="12047" max="12048" width="8.42578125" style="62"/>
    <col min="12049" max="12049" width="3.28515625" style="62" customWidth="1"/>
    <col min="12050" max="12288" width="8.42578125" style="62"/>
    <col min="12289" max="12289" width="10" style="62" bestFit="1" customWidth="1"/>
    <col min="12290" max="12290" width="44.28515625" style="62" bestFit="1" customWidth="1"/>
    <col min="12291" max="12291" width="10.42578125" style="62" bestFit="1" customWidth="1"/>
    <col min="12292" max="12292" width="10.42578125" style="62" customWidth="1"/>
    <col min="12293" max="12293" width="9.7109375" style="62" bestFit="1" customWidth="1"/>
    <col min="12294" max="12295" width="9.5703125" style="62" bestFit="1" customWidth="1"/>
    <col min="12296" max="12296" width="10.42578125" style="62" bestFit="1" customWidth="1"/>
    <col min="12297" max="12297" width="4.5703125" style="62" customWidth="1"/>
    <col min="12298" max="12298" width="1.85546875" style="62" customWidth="1"/>
    <col min="12299" max="12299" width="7" style="62" bestFit="1" customWidth="1"/>
    <col min="12300" max="12300" width="6.28515625" style="62" customWidth="1"/>
    <col min="12301" max="12301" width="20.42578125" style="62" customWidth="1"/>
    <col min="12302" max="12302" width="6.42578125" style="62" bestFit="1" customWidth="1"/>
    <col min="12303" max="12304" width="8.42578125" style="62"/>
    <col min="12305" max="12305" width="3.28515625" style="62" customWidth="1"/>
    <col min="12306" max="12544" width="8.42578125" style="62"/>
    <col min="12545" max="12545" width="10" style="62" bestFit="1" customWidth="1"/>
    <col min="12546" max="12546" width="44.28515625" style="62" bestFit="1" customWidth="1"/>
    <col min="12547" max="12547" width="10.42578125" style="62" bestFit="1" customWidth="1"/>
    <col min="12548" max="12548" width="10.42578125" style="62" customWidth="1"/>
    <col min="12549" max="12549" width="9.7109375" style="62" bestFit="1" customWidth="1"/>
    <col min="12550" max="12551" width="9.5703125" style="62" bestFit="1" customWidth="1"/>
    <col min="12552" max="12552" width="10.42578125" style="62" bestFit="1" customWidth="1"/>
    <col min="12553" max="12553" width="4.5703125" style="62" customWidth="1"/>
    <col min="12554" max="12554" width="1.85546875" style="62" customWidth="1"/>
    <col min="12555" max="12555" width="7" style="62" bestFit="1" customWidth="1"/>
    <col min="12556" max="12556" width="6.28515625" style="62" customWidth="1"/>
    <col min="12557" max="12557" width="20.42578125" style="62" customWidth="1"/>
    <col min="12558" max="12558" width="6.42578125" style="62" bestFit="1" customWidth="1"/>
    <col min="12559" max="12560" width="8.42578125" style="62"/>
    <col min="12561" max="12561" width="3.28515625" style="62" customWidth="1"/>
    <col min="12562" max="12800" width="8.42578125" style="62"/>
    <col min="12801" max="12801" width="10" style="62" bestFit="1" customWidth="1"/>
    <col min="12802" max="12802" width="44.28515625" style="62" bestFit="1" customWidth="1"/>
    <col min="12803" max="12803" width="10.42578125" style="62" bestFit="1" customWidth="1"/>
    <col min="12804" max="12804" width="10.42578125" style="62" customWidth="1"/>
    <col min="12805" max="12805" width="9.7109375" style="62" bestFit="1" customWidth="1"/>
    <col min="12806" max="12807" width="9.5703125" style="62" bestFit="1" customWidth="1"/>
    <col min="12808" max="12808" width="10.42578125" style="62" bestFit="1" customWidth="1"/>
    <col min="12809" max="12809" width="4.5703125" style="62" customWidth="1"/>
    <col min="12810" max="12810" width="1.85546875" style="62" customWidth="1"/>
    <col min="12811" max="12811" width="7" style="62" bestFit="1" customWidth="1"/>
    <col min="12812" max="12812" width="6.28515625" style="62" customWidth="1"/>
    <col min="12813" max="12813" width="20.42578125" style="62" customWidth="1"/>
    <col min="12814" max="12814" width="6.42578125" style="62" bestFit="1" customWidth="1"/>
    <col min="12815" max="12816" width="8.42578125" style="62"/>
    <col min="12817" max="12817" width="3.28515625" style="62" customWidth="1"/>
    <col min="12818" max="13056" width="8.42578125" style="62"/>
    <col min="13057" max="13057" width="10" style="62" bestFit="1" customWidth="1"/>
    <col min="13058" max="13058" width="44.28515625" style="62" bestFit="1" customWidth="1"/>
    <col min="13059" max="13059" width="10.42578125" style="62" bestFit="1" customWidth="1"/>
    <col min="13060" max="13060" width="10.42578125" style="62" customWidth="1"/>
    <col min="13061" max="13061" width="9.7109375" style="62" bestFit="1" customWidth="1"/>
    <col min="13062" max="13063" width="9.5703125" style="62" bestFit="1" customWidth="1"/>
    <col min="13064" max="13064" width="10.42578125" style="62" bestFit="1" customWidth="1"/>
    <col min="13065" max="13065" width="4.5703125" style="62" customWidth="1"/>
    <col min="13066" max="13066" width="1.85546875" style="62" customWidth="1"/>
    <col min="13067" max="13067" width="7" style="62" bestFit="1" customWidth="1"/>
    <col min="13068" max="13068" width="6.28515625" style="62" customWidth="1"/>
    <col min="13069" max="13069" width="20.42578125" style="62" customWidth="1"/>
    <col min="13070" max="13070" width="6.42578125" style="62" bestFit="1" customWidth="1"/>
    <col min="13071" max="13072" width="8.42578125" style="62"/>
    <col min="13073" max="13073" width="3.28515625" style="62" customWidth="1"/>
    <col min="13074" max="13312" width="8.42578125" style="62"/>
    <col min="13313" max="13313" width="10" style="62" bestFit="1" customWidth="1"/>
    <col min="13314" max="13314" width="44.28515625" style="62" bestFit="1" customWidth="1"/>
    <col min="13315" max="13315" width="10.42578125" style="62" bestFit="1" customWidth="1"/>
    <col min="13316" max="13316" width="10.42578125" style="62" customWidth="1"/>
    <col min="13317" max="13317" width="9.7109375" style="62" bestFit="1" customWidth="1"/>
    <col min="13318" max="13319" width="9.5703125" style="62" bestFit="1" customWidth="1"/>
    <col min="13320" max="13320" width="10.42578125" style="62" bestFit="1" customWidth="1"/>
    <col min="13321" max="13321" width="4.5703125" style="62" customWidth="1"/>
    <col min="13322" max="13322" width="1.85546875" style="62" customWidth="1"/>
    <col min="13323" max="13323" width="7" style="62" bestFit="1" customWidth="1"/>
    <col min="13324" max="13324" width="6.28515625" style="62" customWidth="1"/>
    <col min="13325" max="13325" width="20.42578125" style="62" customWidth="1"/>
    <col min="13326" max="13326" width="6.42578125" style="62" bestFit="1" customWidth="1"/>
    <col min="13327" max="13328" width="8.42578125" style="62"/>
    <col min="13329" max="13329" width="3.28515625" style="62" customWidth="1"/>
    <col min="13330" max="13568" width="8.42578125" style="62"/>
    <col min="13569" max="13569" width="10" style="62" bestFit="1" customWidth="1"/>
    <col min="13570" max="13570" width="44.28515625" style="62" bestFit="1" customWidth="1"/>
    <col min="13571" max="13571" width="10.42578125" style="62" bestFit="1" customWidth="1"/>
    <col min="13572" max="13572" width="10.42578125" style="62" customWidth="1"/>
    <col min="13573" max="13573" width="9.7109375" style="62" bestFit="1" customWidth="1"/>
    <col min="13574" max="13575" width="9.5703125" style="62" bestFit="1" customWidth="1"/>
    <col min="13576" max="13576" width="10.42578125" style="62" bestFit="1" customWidth="1"/>
    <col min="13577" max="13577" width="4.5703125" style="62" customWidth="1"/>
    <col min="13578" max="13578" width="1.85546875" style="62" customWidth="1"/>
    <col min="13579" max="13579" width="7" style="62" bestFit="1" customWidth="1"/>
    <col min="13580" max="13580" width="6.28515625" style="62" customWidth="1"/>
    <col min="13581" max="13581" width="20.42578125" style="62" customWidth="1"/>
    <col min="13582" max="13582" width="6.42578125" style="62" bestFit="1" customWidth="1"/>
    <col min="13583" max="13584" width="8.42578125" style="62"/>
    <col min="13585" max="13585" width="3.28515625" style="62" customWidth="1"/>
    <col min="13586" max="13824" width="8.42578125" style="62"/>
    <col min="13825" max="13825" width="10" style="62" bestFit="1" customWidth="1"/>
    <col min="13826" max="13826" width="44.28515625" style="62" bestFit="1" customWidth="1"/>
    <col min="13827" max="13827" width="10.42578125" style="62" bestFit="1" customWidth="1"/>
    <col min="13828" max="13828" width="10.42578125" style="62" customWidth="1"/>
    <col min="13829" max="13829" width="9.7109375" style="62" bestFit="1" customWidth="1"/>
    <col min="13830" max="13831" width="9.5703125" style="62" bestFit="1" customWidth="1"/>
    <col min="13832" max="13832" width="10.42578125" style="62" bestFit="1" customWidth="1"/>
    <col min="13833" max="13833" width="4.5703125" style="62" customWidth="1"/>
    <col min="13834" max="13834" width="1.85546875" style="62" customWidth="1"/>
    <col min="13835" max="13835" width="7" style="62" bestFit="1" customWidth="1"/>
    <col min="13836" max="13836" width="6.28515625" style="62" customWidth="1"/>
    <col min="13837" max="13837" width="20.42578125" style="62" customWidth="1"/>
    <col min="13838" max="13838" width="6.42578125" style="62" bestFit="1" customWidth="1"/>
    <col min="13839" max="13840" width="8.42578125" style="62"/>
    <col min="13841" max="13841" width="3.28515625" style="62" customWidth="1"/>
    <col min="13842" max="14080" width="8.42578125" style="62"/>
    <col min="14081" max="14081" width="10" style="62" bestFit="1" customWidth="1"/>
    <col min="14082" max="14082" width="44.28515625" style="62" bestFit="1" customWidth="1"/>
    <col min="14083" max="14083" width="10.42578125" style="62" bestFit="1" customWidth="1"/>
    <col min="14084" max="14084" width="10.42578125" style="62" customWidth="1"/>
    <col min="14085" max="14085" width="9.7109375" style="62" bestFit="1" customWidth="1"/>
    <col min="14086" max="14087" width="9.5703125" style="62" bestFit="1" customWidth="1"/>
    <col min="14088" max="14088" width="10.42578125" style="62" bestFit="1" customWidth="1"/>
    <col min="14089" max="14089" width="4.5703125" style="62" customWidth="1"/>
    <col min="14090" max="14090" width="1.85546875" style="62" customWidth="1"/>
    <col min="14091" max="14091" width="7" style="62" bestFit="1" customWidth="1"/>
    <col min="14092" max="14092" width="6.28515625" style="62" customWidth="1"/>
    <col min="14093" max="14093" width="20.42578125" style="62" customWidth="1"/>
    <col min="14094" max="14094" width="6.42578125" style="62" bestFit="1" customWidth="1"/>
    <col min="14095" max="14096" width="8.42578125" style="62"/>
    <col min="14097" max="14097" width="3.28515625" style="62" customWidth="1"/>
    <col min="14098" max="14336" width="8.42578125" style="62"/>
    <col min="14337" max="14337" width="10" style="62" bestFit="1" customWidth="1"/>
    <col min="14338" max="14338" width="44.28515625" style="62" bestFit="1" customWidth="1"/>
    <col min="14339" max="14339" width="10.42578125" style="62" bestFit="1" customWidth="1"/>
    <col min="14340" max="14340" width="10.42578125" style="62" customWidth="1"/>
    <col min="14341" max="14341" width="9.7109375" style="62" bestFit="1" customWidth="1"/>
    <col min="14342" max="14343" width="9.5703125" style="62" bestFit="1" customWidth="1"/>
    <col min="14344" max="14344" width="10.42578125" style="62" bestFit="1" customWidth="1"/>
    <col min="14345" max="14345" width="4.5703125" style="62" customWidth="1"/>
    <col min="14346" max="14346" width="1.85546875" style="62" customWidth="1"/>
    <col min="14347" max="14347" width="7" style="62" bestFit="1" customWidth="1"/>
    <col min="14348" max="14348" width="6.28515625" style="62" customWidth="1"/>
    <col min="14349" max="14349" width="20.42578125" style="62" customWidth="1"/>
    <col min="14350" max="14350" width="6.42578125" style="62" bestFit="1" customWidth="1"/>
    <col min="14351" max="14352" width="8.42578125" style="62"/>
    <col min="14353" max="14353" width="3.28515625" style="62" customWidth="1"/>
    <col min="14354" max="14592" width="8.42578125" style="62"/>
    <col min="14593" max="14593" width="10" style="62" bestFit="1" customWidth="1"/>
    <col min="14594" max="14594" width="44.28515625" style="62" bestFit="1" customWidth="1"/>
    <col min="14595" max="14595" width="10.42578125" style="62" bestFit="1" customWidth="1"/>
    <col min="14596" max="14596" width="10.42578125" style="62" customWidth="1"/>
    <col min="14597" max="14597" width="9.7109375" style="62" bestFit="1" customWidth="1"/>
    <col min="14598" max="14599" width="9.5703125" style="62" bestFit="1" customWidth="1"/>
    <col min="14600" max="14600" width="10.42578125" style="62" bestFit="1" customWidth="1"/>
    <col min="14601" max="14601" width="4.5703125" style="62" customWidth="1"/>
    <col min="14602" max="14602" width="1.85546875" style="62" customWidth="1"/>
    <col min="14603" max="14603" width="7" style="62" bestFit="1" customWidth="1"/>
    <col min="14604" max="14604" width="6.28515625" style="62" customWidth="1"/>
    <col min="14605" max="14605" width="20.42578125" style="62" customWidth="1"/>
    <col min="14606" max="14606" width="6.42578125" style="62" bestFit="1" customWidth="1"/>
    <col min="14607" max="14608" width="8.42578125" style="62"/>
    <col min="14609" max="14609" width="3.28515625" style="62" customWidth="1"/>
    <col min="14610" max="14848" width="8.42578125" style="62"/>
    <col min="14849" max="14849" width="10" style="62" bestFit="1" customWidth="1"/>
    <col min="14850" max="14850" width="44.28515625" style="62" bestFit="1" customWidth="1"/>
    <col min="14851" max="14851" width="10.42578125" style="62" bestFit="1" customWidth="1"/>
    <col min="14852" max="14852" width="10.42578125" style="62" customWidth="1"/>
    <col min="14853" max="14853" width="9.7109375" style="62" bestFit="1" customWidth="1"/>
    <col min="14854" max="14855" width="9.5703125" style="62" bestFit="1" customWidth="1"/>
    <col min="14856" max="14856" width="10.42578125" style="62" bestFit="1" customWidth="1"/>
    <col min="14857" max="14857" width="4.5703125" style="62" customWidth="1"/>
    <col min="14858" max="14858" width="1.85546875" style="62" customWidth="1"/>
    <col min="14859" max="14859" width="7" style="62" bestFit="1" customWidth="1"/>
    <col min="14860" max="14860" width="6.28515625" style="62" customWidth="1"/>
    <col min="14861" max="14861" width="20.42578125" style="62" customWidth="1"/>
    <col min="14862" max="14862" width="6.42578125" style="62" bestFit="1" customWidth="1"/>
    <col min="14863" max="14864" width="8.42578125" style="62"/>
    <col min="14865" max="14865" width="3.28515625" style="62" customWidth="1"/>
    <col min="14866" max="15104" width="8.42578125" style="62"/>
    <col min="15105" max="15105" width="10" style="62" bestFit="1" customWidth="1"/>
    <col min="15106" max="15106" width="44.28515625" style="62" bestFit="1" customWidth="1"/>
    <col min="15107" max="15107" width="10.42578125" style="62" bestFit="1" customWidth="1"/>
    <col min="15108" max="15108" width="10.42578125" style="62" customWidth="1"/>
    <col min="15109" max="15109" width="9.7109375" style="62" bestFit="1" customWidth="1"/>
    <col min="15110" max="15111" width="9.5703125" style="62" bestFit="1" customWidth="1"/>
    <col min="15112" max="15112" width="10.42578125" style="62" bestFit="1" customWidth="1"/>
    <col min="15113" max="15113" width="4.5703125" style="62" customWidth="1"/>
    <col min="15114" max="15114" width="1.85546875" style="62" customWidth="1"/>
    <col min="15115" max="15115" width="7" style="62" bestFit="1" customWidth="1"/>
    <col min="15116" max="15116" width="6.28515625" style="62" customWidth="1"/>
    <col min="15117" max="15117" width="20.42578125" style="62" customWidth="1"/>
    <col min="15118" max="15118" width="6.42578125" style="62" bestFit="1" customWidth="1"/>
    <col min="15119" max="15120" width="8.42578125" style="62"/>
    <col min="15121" max="15121" width="3.28515625" style="62" customWidth="1"/>
    <col min="15122" max="15360" width="8.42578125" style="62"/>
    <col min="15361" max="15361" width="10" style="62" bestFit="1" customWidth="1"/>
    <col min="15362" max="15362" width="44.28515625" style="62" bestFit="1" customWidth="1"/>
    <col min="15363" max="15363" width="10.42578125" style="62" bestFit="1" customWidth="1"/>
    <col min="15364" max="15364" width="10.42578125" style="62" customWidth="1"/>
    <col min="15365" max="15365" width="9.7109375" style="62" bestFit="1" customWidth="1"/>
    <col min="15366" max="15367" width="9.5703125" style="62" bestFit="1" customWidth="1"/>
    <col min="15368" max="15368" width="10.42578125" style="62" bestFit="1" customWidth="1"/>
    <col min="15369" max="15369" width="4.5703125" style="62" customWidth="1"/>
    <col min="15370" max="15370" width="1.85546875" style="62" customWidth="1"/>
    <col min="15371" max="15371" width="7" style="62" bestFit="1" customWidth="1"/>
    <col min="15372" max="15372" width="6.28515625" style="62" customWidth="1"/>
    <col min="15373" max="15373" width="20.42578125" style="62" customWidth="1"/>
    <col min="15374" max="15374" width="6.42578125" style="62" bestFit="1" customWidth="1"/>
    <col min="15375" max="15376" width="8.42578125" style="62"/>
    <col min="15377" max="15377" width="3.28515625" style="62" customWidth="1"/>
    <col min="15378" max="15616" width="8.42578125" style="62"/>
    <col min="15617" max="15617" width="10" style="62" bestFit="1" customWidth="1"/>
    <col min="15618" max="15618" width="44.28515625" style="62" bestFit="1" customWidth="1"/>
    <col min="15619" max="15619" width="10.42578125" style="62" bestFit="1" customWidth="1"/>
    <col min="15620" max="15620" width="10.42578125" style="62" customWidth="1"/>
    <col min="15621" max="15621" width="9.7109375" style="62" bestFit="1" customWidth="1"/>
    <col min="15622" max="15623" width="9.5703125" style="62" bestFit="1" customWidth="1"/>
    <col min="15624" max="15624" width="10.42578125" style="62" bestFit="1" customWidth="1"/>
    <col min="15625" max="15625" width="4.5703125" style="62" customWidth="1"/>
    <col min="15626" max="15626" width="1.85546875" style="62" customWidth="1"/>
    <col min="15627" max="15627" width="7" style="62" bestFit="1" customWidth="1"/>
    <col min="15628" max="15628" width="6.28515625" style="62" customWidth="1"/>
    <col min="15629" max="15629" width="20.42578125" style="62" customWidth="1"/>
    <col min="15630" max="15630" width="6.42578125" style="62" bestFit="1" customWidth="1"/>
    <col min="15631" max="15632" width="8.42578125" style="62"/>
    <col min="15633" max="15633" width="3.28515625" style="62" customWidth="1"/>
    <col min="15634" max="15872" width="8.42578125" style="62"/>
    <col min="15873" max="15873" width="10" style="62" bestFit="1" customWidth="1"/>
    <col min="15874" max="15874" width="44.28515625" style="62" bestFit="1" customWidth="1"/>
    <col min="15875" max="15875" width="10.42578125" style="62" bestFit="1" customWidth="1"/>
    <col min="15876" max="15876" width="10.42578125" style="62" customWidth="1"/>
    <col min="15877" max="15877" width="9.7109375" style="62" bestFit="1" customWidth="1"/>
    <col min="15878" max="15879" width="9.5703125" style="62" bestFit="1" customWidth="1"/>
    <col min="15880" max="15880" width="10.42578125" style="62" bestFit="1" customWidth="1"/>
    <col min="15881" max="15881" width="4.5703125" style="62" customWidth="1"/>
    <col min="15882" max="15882" width="1.85546875" style="62" customWidth="1"/>
    <col min="15883" max="15883" width="7" style="62" bestFit="1" customWidth="1"/>
    <col min="15884" max="15884" width="6.28515625" style="62" customWidth="1"/>
    <col min="15885" max="15885" width="20.42578125" style="62" customWidth="1"/>
    <col min="15886" max="15886" width="6.42578125" style="62" bestFit="1" customWidth="1"/>
    <col min="15887" max="15888" width="8.42578125" style="62"/>
    <col min="15889" max="15889" width="3.28515625" style="62" customWidth="1"/>
    <col min="15890" max="16128" width="8.42578125" style="62"/>
    <col min="16129" max="16129" width="10" style="62" bestFit="1" customWidth="1"/>
    <col min="16130" max="16130" width="44.28515625" style="62" bestFit="1" customWidth="1"/>
    <col min="16131" max="16131" width="10.42578125" style="62" bestFit="1" customWidth="1"/>
    <col min="16132" max="16132" width="10.42578125" style="62" customWidth="1"/>
    <col min="16133" max="16133" width="9.7109375" style="62" bestFit="1" customWidth="1"/>
    <col min="16134" max="16135" width="9.5703125" style="62" bestFit="1" customWidth="1"/>
    <col min="16136" max="16136" width="10.42578125" style="62" bestFit="1" customWidth="1"/>
    <col min="16137" max="16137" width="4.5703125" style="62" customWidth="1"/>
    <col min="16138" max="16138" width="1.85546875" style="62" customWidth="1"/>
    <col min="16139" max="16139" width="7" style="62" bestFit="1" customWidth="1"/>
    <col min="16140" max="16140" width="6.28515625" style="62" customWidth="1"/>
    <col min="16141" max="16141" width="20.42578125" style="62" customWidth="1"/>
    <col min="16142" max="16142" width="6.42578125" style="62" bestFit="1" customWidth="1"/>
    <col min="16143" max="16144" width="8.42578125" style="62"/>
    <col min="16145" max="16145" width="3.28515625" style="62" customWidth="1"/>
    <col min="16146" max="16384" width="8.42578125" style="62"/>
  </cols>
  <sheetData>
    <row r="1" spans="1:10" ht="27.75" customHeight="1" x14ac:dyDescent="0.25">
      <c r="A1" s="57"/>
      <c r="B1" s="57"/>
      <c r="C1" s="57"/>
      <c r="D1" s="57"/>
      <c r="E1" s="58" t="s">
        <v>74</v>
      </c>
      <c r="F1" s="59" t="s">
        <v>75</v>
      </c>
      <c r="G1" s="59" t="s">
        <v>76</v>
      </c>
      <c r="H1" s="59" t="s">
        <v>77</v>
      </c>
      <c r="I1" s="60"/>
    </row>
    <row r="2" spans="1:10" ht="30.75" customHeight="1" x14ac:dyDescent="0.25">
      <c r="A2" s="57"/>
      <c r="B2" s="57"/>
      <c r="C2" s="57"/>
      <c r="D2" s="57"/>
      <c r="E2" s="63">
        <f>IFERROR(O62,"")</f>
        <v>2134.0078122448981</v>
      </c>
      <c r="F2" s="63">
        <f>IFERROR(H53,"")</f>
        <v>1247.4345600000001</v>
      </c>
      <c r="G2" s="63">
        <f>IFERROR(H54,"")</f>
        <v>108.65325224489796</v>
      </c>
      <c r="H2" s="63">
        <f>IFERROR(H56,"")</f>
        <v>398.7657142857143</v>
      </c>
      <c r="I2" s="64"/>
    </row>
    <row r="3" spans="1:10" ht="15" customHeight="1" x14ac:dyDescent="0.25">
      <c r="A3" s="57"/>
      <c r="B3" s="57"/>
      <c r="C3" s="57"/>
      <c r="D3" s="57"/>
      <c r="E3" s="57"/>
      <c r="F3" s="65"/>
      <c r="G3" s="65"/>
      <c r="H3" s="65"/>
      <c r="I3" s="65"/>
    </row>
    <row r="4" spans="1:10" ht="24.75" customHeight="1" thickBot="1" x14ac:dyDescent="0.3">
      <c r="A4" s="461"/>
      <c r="B4" s="461"/>
      <c r="C4" s="461"/>
      <c r="D4" s="461"/>
      <c r="E4" s="461"/>
      <c r="F4" s="461"/>
      <c r="G4" s="461"/>
      <c r="H4" s="461"/>
      <c r="I4" s="66"/>
    </row>
    <row r="5" spans="1:10" ht="19.5" customHeight="1" thickBot="1" x14ac:dyDescent="0.3">
      <c r="A5" s="462" t="s">
        <v>78</v>
      </c>
      <c r="B5" s="463"/>
      <c r="C5" s="463"/>
      <c r="D5" s="463"/>
      <c r="E5" s="463"/>
      <c r="F5" s="463"/>
      <c r="G5" s="463"/>
      <c r="H5" s="464"/>
      <c r="I5" s="67"/>
    </row>
    <row r="6" spans="1:10" ht="19.5" thickBot="1" x14ac:dyDescent="0.3">
      <c r="A6" s="67"/>
      <c r="B6" s="67"/>
      <c r="C6" s="67"/>
      <c r="D6" s="67"/>
      <c r="E6" s="67"/>
      <c r="F6" s="465" t="s">
        <v>79</v>
      </c>
      <c r="G6" s="465"/>
      <c r="H6" s="68">
        <f ca="1">TODAY()</f>
        <v>45887</v>
      </c>
      <c r="I6" s="68"/>
    </row>
    <row r="7" spans="1:10" ht="26.25" hidden="1" thickBot="1" x14ac:dyDescent="0.3">
      <c r="A7" s="69" t="s">
        <v>80</v>
      </c>
      <c r="B7" s="70" t="s">
        <v>81</v>
      </c>
      <c r="C7" s="70" t="s">
        <v>80</v>
      </c>
      <c r="D7" s="71" t="s">
        <v>82</v>
      </c>
      <c r="E7" s="71" t="s">
        <v>83</v>
      </c>
      <c r="F7" s="71" t="s">
        <v>84</v>
      </c>
      <c r="G7" s="71" t="s">
        <v>85</v>
      </c>
      <c r="H7" s="72" t="s">
        <v>86</v>
      </c>
      <c r="I7" s="73"/>
    </row>
    <row r="8" spans="1:10" ht="13.5" hidden="1" x14ac:dyDescent="0.25">
      <c r="A8" s="81"/>
      <c r="B8" s="62" t="str">
        <f>IFERROR(VLOOKUP(H8,'[1]Consolidado MP Planta'!$A$2:$M$823,3,0),"")</f>
        <v/>
      </c>
      <c r="C8" s="76">
        <f>+A8</f>
        <v>0</v>
      </c>
      <c r="D8" s="77" t="str">
        <f>IFERROR(VLOOKUP(H8,'[1]Consolidado MP Planta'!$A$2:$M$823,13,0),"")</f>
        <v/>
      </c>
      <c r="E8" s="77" t="str">
        <f>IFERROR(VLOOKUP(H8,'[1]Consolidado MP Planta'!$A$2:$M$823,12,0),"")</f>
        <v/>
      </c>
      <c r="F8" s="77" t="str">
        <f>IFERROR(C8*E8,"")</f>
        <v/>
      </c>
      <c r="G8" s="208" t="str">
        <f t="shared" ref="G8:G14" si="0">IFERROR(F8/$F$66,"")</f>
        <v/>
      </c>
      <c r="H8" s="79"/>
      <c r="I8" s="79"/>
      <c r="J8" s="209"/>
    </row>
    <row r="9" spans="1:10" ht="13.5" hidden="1" x14ac:dyDescent="0.25">
      <c r="A9" s="81"/>
      <c r="B9" s="62" t="str">
        <f>IFERROR(VLOOKUP(H9,'[1]Consolidado MP Planta'!$A$2:$M$823,3,0),"")</f>
        <v/>
      </c>
      <c r="C9" s="76">
        <f t="shared" ref="C9:C14" si="1">+A9</f>
        <v>0</v>
      </c>
      <c r="D9" s="77" t="str">
        <f>IFERROR(VLOOKUP(H9,'[1]Consolidado MP Planta'!$A$2:$M$823,13,0),"")</f>
        <v/>
      </c>
      <c r="E9" s="77" t="str">
        <f>IFERROR(VLOOKUP(H9,'[1]Consolidado MP Planta'!$A$2:$M$823,12,0),"")</f>
        <v/>
      </c>
      <c r="F9" s="77" t="str">
        <f t="shared" ref="F9:F14" si="2">IFERROR(C9*E9,"")</f>
        <v/>
      </c>
      <c r="G9" s="208" t="str">
        <f t="shared" si="0"/>
        <v/>
      </c>
      <c r="H9" s="79"/>
      <c r="I9" s="79"/>
      <c r="J9" s="209"/>
    </row>
    <row r="10" spans="1:10" ht="13.5" hidden="1" x14ac:dyDescent="0.25">
      <c r="A10" s="81"/>
      <c r="B10" s="62" t="str">
        <f>IFERROR(VLOOKUP(H10,'[1]Consolidado MP Planta'!$A$2:$M$823,3,0),"")</f>
        <v/>
      </c>
      <c r="C10" s="76">
        <f t="shared" si="1"/>
        <v>0</v>
      </c>
      <c r="D10" s="77" t="str">
        <f>IFERROR(VLOOKUP(H10,'[1]Consolidado MP Planta'!$A$2:$M$823,13,0),"")</f>
        <v/>
      </c>
      <c r="E10" s="77" t="str">
        <f>IFERROR(VLOOKUP(H10,'[1]Consolidado MP Planta'!$A$2:$M$823,12,0),"")</f>
        <v/>
      </c>
      <c r="F10" s="77" t="str">
        <f t="shared" si="2"/>
        <v/>
      </c>
      <c r="G10" s="208" t="str">
        <f t="shared" si="0"/>
        <v/>
      </c>
      <c r="H10" s="79"/>
      <c r="I10" s="79"/>
      <c r="J10" s="209"/>
    </row>
    <row r="11" spans="1:10" ht="13.5" hidden="1" x14ac:dyDescent="0.25">
      <c r="A11" s="81"/>
      <c r="B11" s="62" t="str">
        <f>IFERROR(VLOOKUP(H11,'[1]Consolidado MP Planta'!$A$2:$M$823,3,0),"")</f>
        <v/>
      </c>
      <c r="C11" s="76">
        <f t="shared" si="1"/>
        <v>0</v>
      </c>
      <c r="D11" s="77" t="str">
        <f>IFERROR(VLOOKUP(H11,'[1]Consolidado MP Planta'!$A$2:$M$823,13,0),"")</f>
        <v/>
      </c>
      <c r="E11" s="77" t="str">
        <f>IFERROR(VLOOKUP(H11,'[1]Consolidado MP Planta'!$A$2:$M$823,12,0),"")</f>
        <v/>
      </c>
      <c r="F11" s="77" t="str">
        <f t="shared" si="2"/>
        <v/>
      </c>
      <c r="G11" s="208" t="str">
        <f t="shared" si="0"/>
        <v/>
      </c>
      <c r="H11" s="79"/>
      <c r="I11" s="79"/>
      <c r="J11" s="209"/>
    </row>
    <row r="12" spans="1:10" ht="13.5" hidden="1" x14ac:dyDescent="0.25">
      <c r="A12" s="81"/>
      <c r="B12" s="62" t="str">
        <f>IFERROR(VLOOKUP(H12,'[1]Consolidado MP Planta'!$A$2:$M$823,3,0),"")</f>
        <v/>
      </c>
      <c r="C12" s="76">
        <f t="shared" si="1"/>
        <v>0</v>
      </c>
      <c r="D12" s="77" t="str">
        <f>IFERROR(VLOOKUP(H12,'[1]Consolidado MP Planta'!$A$2:$M$823,13,0),"")</f>
        <v/>
      </c>
      <c r="E12" s="77" t="str">
        <f>IFERROR(VLOOKUP(H12,'[1]Consolidado MP Planta'!$A$2:$M$823,12,0),"")</f>
        <v/>
      </c>
      <c r="F12" s="77" t="str">
        <f t="shared" si="2"/>
        <v/>
      </c>
      <c r="G12" s="208" t="str">
        <f t="shared" si="0"/>
        <v/>
      </c>
      <c r="H12" s="79"/>
      <c r="I12" s="79"/>
      <c r="J12" s="209"/>
    </row>
    <row r="13" spans="1:10" ht="13.5" hidden="1" x14ac:dyDescent="0.25">
      <c r="A13" s="81"/>
      <c r="B13" s="62" t="str">
        <f>IFERROR(VLOOKUP(H13,'[1]Consolidado MP Planta'!$A$2:$M$823,3,0),"")</f>
        <v/>
      </c>
      <c r="C13" s="76">
        <f t="shared" si="1"/>
        <v>0</v>
      </c>
      <c r="D13" s="77" t="str">
        <f>IFERROR(VLOOKUP(H13,'[1]Consolidado MP Planta'!$A$2:$M$823,13,0),"")</f>
        <v/>
      </c>
      <c r="E13" s="77" t="str">
        <f>IFERROR(VLOOKUP(H13,'[1]Consolidado MP Planta'!$A$2:$M$823,12,0),"")</f>
        <v/>
      </c>
      <c r="F13" s="77" t="str">
        <f t="shared" si="2"/>
        <v/>
      </c>
      <c r="G13" s="208" t="str">
        <f t="shared" si="0"/>
        <v/>
      </c>
      <c r="H13" s="79"/>
      <c r="I13" s="79"/>
      <c r="J13" s="209"/>
    </row>
    <row r="14" spans="1:10" ht="13.5" hidden="1" x14ac:dyDescent="0.25">
      <c r="A14" s="81"/>
      <c r="B14" s="62" t="str">
        <f>IFERROR(VLOOKUP(H14,'[1]Consolidado MP Planta'!$A$2:$M$823,3,0),"")</f>
        <v/>
      </c>
      <c r="C14" s="76">
        <f t="shared" si="1"/>
        <v>0</v>
      </c>
      <c r="D14" s="77" t="str">
        <f>IFERROR(VLOOKUP(H14,'[1]Consolidado MP Planta'!$A$2:$M$823,13,0),"")</f>
        <v/>
      </c>
      <c r="E14" s="77" t="str">
        <f>IFERROR(VLOOKUP(H14,'[1]Consolidado MP Planta'!$A$2:$M$823,12,0),"")</f>
        <v/>
      </c>
      <c r="F14" s="77" t="str">
        <f t="shared" si="2"/>
        <v/>
      </c>
      <c r="G14" s="208" t="str">
        <f t="shared" si="0"/>
        <v/>
      </c>
      <c r="H14" s="79"/>
      <c r="I14" s="79"/>
      <c r="J14" s="209"/>
    </row>
    <row r="15" spans="1:10" ht="14.25" hidden="1" thickBot="1" x14ac:dyDescent="0.3">
      <c r="A15" s="81"/>
      <c r="B15" s="62" t="str">
        <f>IFERROR(VLOOKUP(H15,'[2]ARTICULOS MP PLANTA'!$A$2:$G$589,2,0),"")</f>
        <v/>
      </c>
      <c r="C15" s="76"/>
      <c r="D15" s="77"/>
      <c r="E15" s="77"/>
      <c r="F15" s="77"/>
      <c r="G15" s="208"/>
      <c r="H15" s="79"/>
      <c r="I15" s="79"/>
      <c r="J15" s="209"/>
    </row>
    <row r="16" spans="1:10" ht="26.25" thickBot="1" x14ac:dyDescent="0.3">
      <c r="A16" s="69" t="s">
        <v>80</v>
      </c>
      <c r="B16" s="70" t="s">
        <v>93</v>
      </c>
      <c r="C16" s="70" t="s">
        <v>80</v>
      </c>
      <c r="D16" s="71" t="s">
        <v>82</v>
      </c>
      <c r="E16" s="71" t="s">
        <v>83</v>
      </c>
      <c r="F16" s="71" t="s">
        <v>84</v>
      </c>
      <c r="G16" s="71" t="s">
        <v>85</v>
      </c>
      <c r="H16" s="72" t="s">
        <v>86</v>
      </c>
      <c r="I16" s="73"/>
      <c r="J16" s="209"/>
    </row>
    <row r="17" spans="1:12" ht="13.5" x14ac:dyDescent="0.25">
      <c r="A17" s="81">
        <v>6</v>
      </c>
      <c r="B17" s="62" t="s">
        <v>167</v>
      </c>
      <c r="C17" s="76">
        <f>+A17</f>
        <v>6</v>
      </c>
      <c r="D17" s="76" t="s">
        <v>185</v>
      </c>
      <c r="E17" s="77">
        <f>+'Costo Rosquete '!H53</f>
        <v>207.90576000000001</v>
      </c>
      <c r="F17" s="77">
        <f>IFERROR(E17*C17,"")</f>
        <v>1247.4345600000001</v>
      </c>
      <c r="G17" s="208">
        <f t="shared" ref="G17:G24" si="3">IFERROR(F17/$F$66,"")</f>
        <v>0.76763479303731119</v>
      </c>
      <c r="H17" s="79"/>
      <c r="I17" s="79"/>
      <c r="J17" s="209"/>
    </row>
    <row r="18" spans="1:12" ht="13.5" hidden="1" x14ac:dyDescent="0.25">
      <c r="A18" s="81"/>
      <c r="B18" s="62" t="str">
        <f>IFERROR(VLOOKUP(H18,[1]SEMIELABORADOS!$A$2:$M$6000,2,0),"")</f>
        <v/>
      </c>
      <c r="C18" s="76">
        <f t="shared" ref="C18:C24" si="4">+A18</f>
        <v>0</v>
      </c>
      <c r="D18" s="76" t="str">
        <f>IFERROR(VLOOKUP(H18,[1]SEMIELABORADOS!$A$2:$M$6000,6,0),"")</f>
        <v/>
      </c>
      <c r="E18" s="77" t="str">
        <f>IFERROR(VLOOKUP(H18,[1]SEMIELABORADOS!$A$2:$H$65536,8,0),"")</f>
        <v/>
      </c>
      <c r="F18" s="77" t="str">
        <f t="shared" ref="F18:F24" si="5">IFERROR(E18*C18,"")</f>
        <v/>
      </c>
      <c r="G18" s="208" t="str">
        <f t="shared" si="3"/>
        <v/>
      </c>
      <c r="H18" s="79"/>
      <c r="I18" s="79"/>
      <c r="J18" s="209"/>
    </row>
    <row r="19" spans="1:12" ht="13.5" hidden="1" x14ac:dyDescent="0.25">
      <c r="A19" s="81"/>
      <c r="B19" s="62" t="str">
        <f>IFERROR(VLOOKUP(H19,[1]SEMIELABORADOS!$A$2:$M$6000,2,0),"")</f>
        <v/>
      </c>
      <c r="C19" s="76">
        <f>+A19</f>
        <v>0</v>
      </c>
      <c r="D19" s="76" t="str">
        <f>IFERROR(VLOOKUP(H19,[1]SEMIELABORADOS!$A$2:$M$6000,6,0),"")</f>
        <v/>
      </c>
      <c r="E19" s="77" t="str">
        <f>IFERROR(VLOOKUP(H19,[1]SEMIELABORADOS!$A$2:$H$65536,8,0),"")</f>
        <v/>
      </c>
      <c r="F19" s="77" t="str">
        <f>IFERROR(E19*C19,"")</f>
        <v/>
      </c>
      <c r="G19" s="208" t="str">
        <f t="shared" si="3"/>
        <v/>
      </c>
      <c r="H19" s="79"/>
      <c r="I19" s="79"/>
      <c r="J19" s="209"/>
    </row>
    <row r="20" spans="1:12" ht="13.5" hidden="1" x14ac:dyDescent="0.25">
      <c r="A20" s="81"/>
      <c r="B20" s="62" t="str">
        <f>IFERROR(VLOOKUP(H20,[1]SEMIELABORADOS!$A$2:$M$6000,2,0),"")</f>
        <v/>
      </c>
      <c r="C20" s="76">
        <f>+A20</f>
        <v>0</v>
      </c>
      <c r="D20" s="76" t="str">
        <f>IFERROR(VLOOKUP(H20,[1]SEMIELABORADOS!$A$2:$M$6000,6,0),"")</f>
        <v/>
      </c>
      <c r="E20" s="77" t="str">
        <f>IFERROR(VLOOKUP(H20,[1]SEMIELABORADOS!$A$2:$H$65536,8,0),"")</f>
        <v/>
      </c>
      <c r="F20" s="77" t="str">
        <f>IFERROR(E20*C20,"")</f>
        <v/>
      </c>
      <c r="G20" s="208" t="str">
        <f t="shared" si="3"/>
        <v/>
      </c>
      <c r="H20" s="79"/>
      <c r="I20" s="79"/>
      <c r="J20" s="209"/>
    </row>
    <row r="21" spans="1:12" ht="13.5" hidden="1" x14ac:dyDescent="0.25">
      <c r="A21" s="81"/>
      <c r="B21" s="62" t="str">
        <f>IFERROR(VLOOKUP(H21,[1]SEMIELABORADOS!$A$2:$M$6000,2,0),"")</f>
        <v/>
      </c>
      <c r="C21" s="76">
        <f>+A21</f>
        <v>0</v>
      </c>
      <c r="D21" s="76" t="str">
        <f>IFERROR(VLOOKUP(H21,[1]SEMIELABORADOS!$A$2:$M$6000,6,0),"")</f>
        <v/>
      </c>
      <c r="E21" s="77" t="str">
        <f>IFERROR(VLOOKUP(H21,[1]SEMIELABORADOS!$A$2:$H$65536,8,0),"")</f>
        <v/>
      </c>
      <c r="F21" s="77" t="str">
        <f>IFERROR(E21*C21,"")</f>
        <v/>
      </c>
      <c r="G21" s="208" t="str">
        <f t="shared" si="3"/>
        <v/>
      </c>
      <c r="H21" s="79"/>
      <c r="I21" s="79"/>
      <c r="J21" s="209"/>
    </row>
    <row r="22" spans="1:12" ht="13.5" hidden="1" x14ac:dyDescent="0.25">
      <c r="A22" s="81"/>
      <c r="B22" s="62" t="str">
        <f>IFERROR(VLOOKUP(H22,[1]SEMIELABORADOS!$A$2:$M$6000,2,0),"")</f>
        <v/>
      </c>
      <c r="C22" s="76">
        <f t="shared" si="4"/>
        <v>0</v>
      </c>
      <c r="D22" s="76" t="str">
        <f>IFERROR(VLOOKUP(H22,[1]SEMIELABORADOS!$A$2:$M$6000,6,0),"")</f>
        <v/>
      </c>
      <c r="E22" s="77" t="str">
        <f>IFERROR(VLOOKUP(H22,[1]SEMIELABORADOS!$A$2:$H$65536,8,0),"")</f>
        <v/>
      </c>
      <c r="F22" s="77" t="str">
        <f t="shared" si="5"/>
        <v/>
      </c>
      <c r="G22" s="208" t="str">
        <f t="shared" si="3"/>
        <v/>
      </c>
      <c r="H22" s="79"/>
      <c r="I22" s="79"/>
      <c r="J22" s="209"/>
    </row>
    <row r="23" spans="1:12" ht="13.5" hidden="1" x14ac:dyDescent="0.25">
      <c r="A23" s="81"/>
      <c r="B23" s="62" t="str">
        <f>IFERROR(VLOOKUP(H23,[1]SEMIELABORADOS!$A$2:$M$6000,2,0),"")</f>
        <v/>
      </c>
      <c r="C23" s="76">
        <f t="shared" si="4"/>
        <v>0</v>
      </c>
      <c r="D23" s="76" t="str">
        <f>IFERROR(VLOOKUP(H23,[1]SEMIELABORADOS!$A$2:$M$6000,6,0),"")</f>
        <v/>
      </c>
      <c r="E23" s="77" t="str">
        <f>IFERROR(VLOOKUP(H23,[1]SEMIELABORADOS!$A$2:$H$65536,8,0),"")</f>
        <v/>
      </c>
      <c r="F23" s="77" t="str">
        <f t="shared" si="5"/>
        <v/>
      </c>
      <c r="G23" s="208" t="str">
        <f t="shared" si="3"/>
        <v/>
      </c>
      <c r="H23" s="79"/>
      <c r="I23" s="79"/>
      <c r="J23" s="209"/>
    </row>
    <row r="24" spans="1:12" ht="13.5" hidden="1" x14ac:dyDescent="0.25">
      <c r="A24" s="81"/>
      <c r="B24" s="62" t="str">
        <f>IFERROR(VLOOKUP(H24,[1]SEMIELABORADOS!$A$2:$M$6000,2,0),"")</f>
        <v/>
      </c>
      <c r="C24" s="76">
        <f t="shared" si="4"/>
        <v>0</v>
      </c>
      <c r="D24" s="76" t="str">
        <f>IFERROR(VLOOKUP(H24,[1]SEMIELABORADOS!$A$2:$M$6000,6,0),"")</f>
        <v/>
      </c>
      <c r="E24" s="77" t="str">
        <f>IFERROR(VLOOKUP(H24,[1]SEMIELABORADOS!$A$2:$H$65536,8,0),"")</f>
        <v/>
      </c>
      <c r="F24" s="77" t="str">
        <f t="shared" si="5"/>
        <v/>
      </c>
      <c r="G24" s="208" t="str">
        <f t="shared" si="3"/>
        <v/>
      </c>
      <c r="H24" s="79"/>
      <c r="I24" s="79"/>
      <c r="J24" s="209"/>
    </row>
    <row r="25" spans="1:12" ht="14.25" thickBot="1" x14ac:dyDescent="0.3">
      <c r="A25" s="81"/>
      <c r="C25" s="76"/>
      <c r="D25" s="76"/>
      <c r="E25" s="77"/>
      <c r="F25" s="77"/>
      <c r="G25" s="208"/>
      <c r="H25" s="79"/>
      <c r="I25" s="79"/>
      <c r="J25" s="209"/>
    </row>
    <row r="26" spans="1:12" ht="26.25" thickBot="1" x14ac:dyDescent="0.3">
      <c r="A26" s="69" t="s">
        <v>80</v>
      </c>
      <c r="B26" s="70" t="s">
        <v>45</v>
      </c>
      <c r="C26" s="70" t="s">
        <v>80</v>
      </c>
      <c r="D26" s="71" t="s">
        <v>82</v>
      </c>
      <c r="E26" s="71" t="s">
        <v>83</v>
      </c>
      <c r="F26" s="71" t="s">
        <v>84</v>
      </c>
      <c r="G26" s="71" t="s">
        <v>85</v>
      </c>
      <c r="H26" s="72" t="s">
        <v>86</v>
      </c>
      <c r="I26" s="73"/>
    </row>
    <row r="27" spans="1:12" ht="13.5" hidden="1" x14ac:dyDescent="0.25">
      <c r="A27" s="81">
        <v>0</v>
      </c>
      <c r="B27" s="82" t="str">
        <f>IFERROR(VLOOKUP(H27,'[1]Consolidado MP Planta'!$A$2:$M$823,3,0),"")</f>
        <v>LAZOS ROJOS (UND)</v>
      </c>
      <c r="C27" s="76">
        <f t="shared" ref="C27:C32" si="6">+A27</f>
        <v>0</v>
      </c>
      <c r="D27" s="77">
        <v>1</v>
      </c>
      <c r="E27" s="77">
        <v>85</v>
      </c>
      <c r="F27" s="77">
        <f t="shared" ref="F27:F32" si="7">IFERROR(C27*E27,"")</f>
        <v>0</v>
      </c>
      <c r="G27" s="208">
        <f t="shared" ref="G27:G32" si="8">IFERROR(F27/$F$66,"")</f>
        <v>0</v>
      </c>
      <c r="H27" s="83" t="s">
        <v>170</v>
      </c>
      <c r="I27" s="83"/>
      <c r="J27" s="209"/>
      <c r="K27" s="455"/>
      <c r="L27" s="455"/>
    </row>
    <row r="28" spans="1:12" ht="13.5" hidden="1" x14ac:dyDescent="0.25">
      <c r="A28" s="81">
        <v>0</v>
      </c>
      <c r="B28" s="82" t="str">
        <f>IFERROR(VLOOKUP(H28,'[1]Consolidado MP Planta'!$A$2:$M$823,3,0),"")</f>
        <v>BOLSA CELOFAN 6 X 9 (KILO)</v>
      </c>
      <c r="C28" s="76">
        <f t="shared" si="6"/>
        <v>0</v>
      </c>
      <c r="D28" s="77" t="str">
        <f>IFERROR(VLOOKUP(H28,'[1]Consolidado MP Planta'!$A$2:$M$823,13,0),"")</f>
        <v>Unidades</v>
      </c>
      <c r="E28" s="77">
        <v>14.89</v>
      </c>
      <c r="F28" s="77">
        <f t="shared" si="7"/>
        <v>0</v>
      </c>
      <c r="G28" s="208">
        <f t="shared" si="8"/>
        <v>0</v>
      </c>
      <c r="H28" s="83" t="s">
        <v>173</v>
      </c>
      <c r="I28" s="83"/>
      <c r="J28" s="209"/>
      <c r="K28" s="455"/>
      <c r="L28" s="455"/>
    </row>
    <row r="29" spans="1:12" ht="13.5" x14ac:dyDescent="0.25">
      <c r="A29" s="81">
        <v>1</v>
      </c>
      <c r="B29" s="82" t="str">
        <f>IFERROR(VLOOKUP(H29,'[1]Consolidado MP Planta'!$A$2:$M$823,3,0),"")</f>
        <v>ETIQ.FECHA VENCIMIENTO BLANCO (ROLLO)</v>
      </c>
      <c r="C29" s="76">
        <f t="shared" si="6"/>
        <v>1</v>
      </c>
      <c r="D29" s="77" t="str">
        <f>IFERROR(VLOOKUP(H29,'[1]Consolidado MP Planta'!$A$2:$M$823,13,0),"")</f>
        <v>Gramos</v>
      </c>
      <c r="E29" s="77">
        <v>0.33</v>
      </c>
      <c r="F29" s="77">
        <f t="shared" si="7"/>
        <v>0.33</v>
      </c>
      <c r="G29" s="208">
        <f t="shared" si="8"/>
        <v>2.0307236132876795E-4</v>
      </c>
      <c r="H29" s="83" t="s">
        <v>190</v>
      </c>
      <c r="I29" s="83"/>
      <c r="J29" s="209"/>
      <c r="K29" s="455"/>
      <c r="L29" s="455"/>
    </row>
    <row r="30" spans="1:12" ht="13.5" x14ac:dyDescent="0.25">
      <c r="A30" s="81">
        <v>2</v>
      </c>
      <c r="B30" s="82" t="str">
        <f>IFERROR(VLOOKUP(H30,'[1]Consolidado MP Planta'!$A$2:$M$823,3,0),"")</f>
        <v>CAJA BLANCA MEDIANA (PAQ:100 UND)</v>
      </c>
      <c r="C30" s="76">
        <f t="shared" si="6"/>
        <v>2</v>
      </c>
      <c r="D30" s="77" t="str">
        <f>IFERROR(VLOOKUP(H30,'[1]Consolidado MP Planta'!$A$2:$M$823,13,0),"")</f>
        <v>Und</v>
      </c>
      <c r="E30" s="77">
        <v>49.75</v>
      </c>
      <c r="F30" s="77">
        <f t="shared" si="7"/>
        <v>99.5</v>
      </c>
      <c r="G30" s="208">
        <f t="shared" si="8"/>
        <v>6.1229393794583066E-2</v>
      </c>
      <c r="H30" s="83" t="s">
        <v>220</v>
      </c>
      <c r="I30" s="83"/>
      <c r="J30" s="209"/>
      <c r="K30" s="455"/>
      <c r="L30" s="455"/>
    </row>
    <row r="31" spans="1:12" ht="13.5" x14ac:dyDescent="0.25">
      <c r="A31" s="81">
        <v>1</v>
      </c>
      <c r="B31" s="82" t="str">
        <f>IFERROR(VLOOKUP(H31,'[1]Consolidado MP Planta'!$A$2:$M$823,3,0),"")</f>
        <v>ETIQ.BLANCA 1 1/4 * 3/4 (UND)</v>
      </c>
      <c r="C31" s="76">
        <f t="shared" si="6"/>
        <v>1</v>
      </c>
      <c r="D31" s="77" t="str">
        <f>IFERROR(VLOOKUP(H31,'[1]Consolidado MP Planta'!$A$2:$M$823,13,0),"")</f>
        <v>Und</v>
      </c>
      <c r="E31" s="77">
        <f>IFERROR(VLOOKUP(H31,'[1]Consolidado MP Planta'!$A$2:$M$823,12,0),"")</f>
        <v>0.57999999999999996</v>
      </c>
      <c r="F31" s="77">
        <f t="shared" si="7"/>
        <v>0.57999999999999996</v>
      </c>
      <c r="G31" s="208">
        <f t="shared" si="8"/>
        <v>3.5691505930510729E-4</v>
      </c>
      <c r="H31" s="83" t="s">
        <v>221</v>
      </c>
      <c r="I31" s="83"/>
      <c r="J31" s="209"/>
      <c r="K31" s="84"/>
      <c r="L31" s="85"/>
    </row>
    <row r="32" spans="1:12" ht="13.5" x14ac:dyDescent="0.25">
      <c r="A32" s="81"/>
      <c r="B32" s="82" t="str">
        <f>IFERROR(VLOOKUP(H32,'[1]Consolidado MP Planta'!$A$2:$M$823,3,0),"")</f>
        <v/>
      </c>
      <c r="C32" s="76">
        <f t="shared" si="6"/>
        <v>0</v>
      </c>
      <c r="D32" s="77" t="str">
        <f>IFERROR(VLOOKUP(H32,'[1]Consolidado MP Planta'!$A$2:$M$823,13,0),"")</f>
        <v/>
      </c>
      <c r="E32" s="77" t="str">
        <f>IFERROR(VLOOKUP(H32,'[1]Consolidado MP Planta'!$A$2:$M$823,12,0),"")</f>
        <v/>
      </c>
      <c r="F32" s="77" t="str">
        <f t="shared" si="7"/>
        <v/>
      </c>
      <c r="G32" s="208" t="str">
        <f t="shared" si="8"/>
        <v/>
      </c>
      <c r="H32" s="83"/>
      <c r="I32" s="83"/>
      <c r="J32" s="209"/>
    </row>
    <row r="33" spans="1:13" ht="14.25" thickBot="1" x14ac:dyDescent="0.3">
      <c r="A33" s="81"/>
      <c r="B33" s="82"/>
      <c r="C33" s="76"/>
      <c r="D33" s="77"/>
      <c r="E33" s="77"/>
      <c r="F33" s="77"/>
      <c r="G33" s="208"/>
      <c r="H33" s="83"/>
      <c r="I33" s="83"/>
      <c r="J33" s="209"/>
    </row>
    <row r="34" spans="1:13" ht="26.25" thickBot="1" x14ac:dyDescent="0.25">
      <c r="A34" s="69" t="s">
        <v>80</v>
      </c>
      <c r="B34" s="70" t="s">
        <v>94</v>
      </c>
      <c r="C34" s="70" t="s">
        <v>80</v>
      </c>
      <c r="D34" s="71" t="s">
        <v>82</v>
      </c>
      <c r="E34" s="71" t="s">
        <v>83</v>
      </c>
      <c r="F34" s="71" t="s">
        <v>84</v>
      </c>
      <c r="G34" s="71" t="s">
        <v>85</v>
      </c>
      <c r="H34" s="72" t="s">
        <v>86</v>
      </c>
      <c r="I34" s="83"/>
      <c r="J34" s="209"/>
    </row>
    <row r="35" spans="1:13" ht="13.5" x14ac:dyDescent="0.25">
      <c r="A35" s="81">
        <f>+A17</f>
        <v>6</v>
      </c>
      <c r="B35" s="82" t="s">
        <v>167</v>
      </c>
      <c r="C35" s="76">
        <f>+A35</f>
        <v>6</v>
      </c>
      <c r="D35" s="77" t="s">
        <v>184</v>
      </c>
      <c r="E35" s="77">
        <f>+'Costo Rosquete '!H54</f>
        <v>1.3738753741496599</v>
      </c>
      <c r="F35" s="77">
        <f>IFERROR(E35*C35,"")</f>
        <v>8.2432522448979597</v>
      </c>
      <c r="G35" s="208">
        <f t="shared" ref="G35:G41" si="9">IFERROR(F35/$F$66,"")</f>
        <v>5.0726566618184733E-3</v>
      </c>
      <c r="H35" s="83"/>
      <c r="I35" s="83"/>
      <c r="J35" s="209"/>
    </row>
    <row r="36" spans="1:13" ht="13.5" hidden="1" x14ac:dyDescent="0.25">
      <c r="A36" s="81">
        <f t="shared" ref="A36:A41" si="10">+A18</f>
        <v>0</v>
      </c>
      <c r="B36" s="82" t="str">
        <f>IFERROR(VLOOKUP(H36,[1]SEMIELABORADOS!$A$2:$M$6000,2,0),"")</f>
        <v/>
      </c>
      <c r="C36" s="76">
        <f t="shared" ref="C36:C41" si="11">+A36</f>
        <v>0</v>
      </c>
      <c r="D36" s="77" t="str">
        <f>IFERROR(VLOOKUP(H36,[1]SEMIELABORADOS!$A$2:$M$6000,6,0),"")</f>
        <v/>
      </c>
      <c r="E36" s="77" t="str">
        <f>IFERROR(VLOOKUP(H36,[1]SEMIELABORADOS!$A$2:$M$65536,10,0),"")</f>
        <v/>
      </c>
      <c r="F36" s="77" t="str">
        <f t="shared" ref="F36:F41" si="12">IFERROR(E36*C36,"")</f>
        <v/>
      </c>
      <c r="G36" s="208" t="str">
        <f t="shared" si="9"/>
        <v/>
      </c>
      <c r="H36" s="83"/>
      <c r="I36" s="83"/>
      <c r="J36" s="209"/>
    </row>
    <row r="37" spans="1:13" ht="13.5" hidden="1" x14ac:dyDescent="0.25">
      <c r="A37" s="81">
        <f t="shared" si="10"/>
        <v>0</v>
      </c>
      <c r="B37" s="82" t="str">
        <f>IFERROR(VLOOKUP(H37,[1]SEMIELABORADOS!$A$2:$M$6000,2,0),"")</f>
        <v/>
      </c>
      <c r="C37" s="76">
        <f t="shared" si="11"/>
        <v>0</v>
      </c>
      <c r="D37" s="77" t="str">
        <f>IFERROR(VLOOKUP(H37,[1]SEMIELABORADOS!$A$2:$M$6000,6,0),"")</f>
        <v/>
      </c>
      <c r="E37" s="77" t="str">
        <f>IFERROR(VLOOKUP(H37,[1]SEMIELABORADOS!$A$2:$M$65536,10,0),"")</f>
        <v/>
      </c>
      <c r="F37" s="77" t="str">
        <f t="shared" si="12"/>
        <v/>
      </c>
      <c r="G37" s="208" t="str">
        <f t="shared" si="9"/>
        <v/>
      </c>
      <c r="H37" s="83"/>
      <c r="I37" s="83"/>
      <c r="J37" s="209"/>
    </row>
    <row r="38" spans="1:13" ht="13.5" hidden="1" x14ac:dyDescent="0.25">
      <c r="A38" s="81">
        <f t="shared" si="10"/>
        <v>0</v>
      </c>
      <c r="B38" s="82" t="str">
        <f>IFERROR(VLOOKUP(H38,[1]SEMIELABORADOS!$A$2:$M$6000,2,0),"")</f>
        <v/>
      </c>
      <c r="C38" s="76">
        <f>+A38</f>
        <v>0</v>
      </c>
      <c r="D38" s="77" t="str">
        <f>IFERROR(VLOOKUP(H38,[1]SEMIELABORADOS!$A$2:$M$6000,6,0),"")</f>
        <v/>
      </c>
      <c r="E38" s="77" t="str">
        <f>IFERROR(VLOOKUP(H38,[1]SEMIELABORADOS!$A$2:$M$65536,10,0),"")</f>
        <v/>
      </c>
      <c r="F38" s="77" t="str">
        <f>IFERROR(E38*C38,"")</f>
        <v/>
      </c>
      <c r="G38" s="208" t="str">
        <f t="shared" si="9"/>
        <v/>
      </c>
      <c r="H38" s="83"/>
      <c r="I38" s="83"/>
      <c r="J38" s="209"/>
    </row>
    <row r="39" spans="1:13" ht="13.5" hidden="1" x14ac:dyDescent="0.25">
      <c r="A39" s="81">
        <f t="shared" si="10"/>
        <v>0</v>
      </c>
      <c r="B39" s="82" t="str">
        <f>IFERROR(VLOOKUP(H39,[1]SEMIELABORADOS!$A$2:$M$6000,2,0),"")</f>
        <v/>
      </c>
      <c r="C39" s="76">
        <f>+A39</f>
        <v>0</v>
      </c>
      <c r="D39" s="77" t="str">
        <f>IFERROR(VLOOKUP(H39,[1]SEMIELABORADOS!$A$2:$M$6000,6,0),"")</f>
        <v/>
      </c>
      <c r="E39" s="77" t="str">
        <f>IFERROR(VLOOKUP(H39,[1]SEMIELABORADOS!$A$2:$M$65536,10,0),"")</f>
        <v/>
      </c>
      <c r="F39" s="77" t="str">
        <f>IFERROR(E39*C39,"")</f>
        <v/>
      </c>
      <c r="G39" s="208" t="str">
        <f t="shared" si="9"/>
        <v/>
      </c>
      <c r="H39" s="83"/>
      <c r="I39" s="83"/>
      <c r="J39" s="209"/>
    </row>
    <row r="40" spans="1:13" ht="13.5" hidden="1" x14ac:dyDescent="0.25">
      <c r="A40" s="81">
        <f t="shared" si="10"/>
        <v>0</v>
      </c>
      <c r="B40" s="82" t="str">
        <f>IFERROR(VLOOKUP(H40,[1]SEMIELABORADOS!$A$2:$M$6000,2,0),"")</f>
        <v/>
      </c>
      <c r="C40" s="76">
        <f t="shared" si="11"/>
        <v>0</v>
      </c>
      <c r="D40" s="77" t="str">
        <f>IFERROR(VLOOKUP(H40,[1]SEMIELABORADOS!$A$2:$M$6000,6,0),"")</f>
        <v/>
      </c>
      <c r="E40" s="77" t="str">
        <f>IFERROR(VLOOKUP(H40,[1]SEMIELABORADOS!$A$2:$M$65536,10,0),"")</f>
        <v/>
      </c>
      <c r="F40" s="77" t="str">
        <f t="shared" si="12"/>
        <v/>
      </c>
      <c r="G40" s="208" t="str">
        <f t="shared" si="9"/>
        <v/>
      </c>
      <c r="H40" s="83"/>
      <c r="I40" s="83"/>
      <c r="J40" s="209"/>
    </row>
    <row r="41" spans="1:13" ht="13.5" hidden="1" x14ac:dyDescent="0.25">
      <c r="A41" s="81">
        <f t="shared" si="10"/>
        <v>0</v>
      </c>
      <c r="B41" s="82" t="str">
        <f>IFERROR(VLOOKUP(H41,[1]SEMIELABORADOS!$A$2:$M$6000,2,0),"")</f>
        <v/>
      </c>
      <c r="C41" s="76">
        <f t="shared" si="11"/>
        <v>0</v>
      </c>
      <c r="D41" s="77" t="str">
        <f>IFERROR(VLOOKUP(H41,[1]SEMIELABORADOS!$A$2:$M$6000,6,0),"")</f>
        <v/>
      </c>
      <c r="E41" s="77" t="str">
        <f>IFERROR(VLOOKUP(H41,[1]SEMIELABORADOS!$A$2:$M$65536,10,0),"")</f>
        <v/>
      </c>
      <c r="F41" s="77" t="str">
        <f t="shared" si="12"/>
        <v/>
      </c>
      <c r="G41" s="208" t="str">
        <f t="shared" si="9"/>
        <v/>
      </c>
      <c r="H41" s="83"/>
      <c r="I41" s="83"/>
      <c r="J41" s="209"/>
    </row>
    <row r="42" spans="1:13" ht="14.25" thickBot="1" x14ac:dyDescent="0.3">
      <c r="A42" s="81"/>
      <c r="B42" s="82"/>
      <c r="C42" s="76"/>
      <c r="D42" s="77"/>
      <c r="E42" s="77"/>
      <c r="F42" s="77"/>
      <c r="G42" s="208"/>
      <c r="H42" s="83"/>
      <c r="I42" s="83"/>
      <c r="J42" s="209"/>
    </row>
    <row r="43" spans="1:13" ht="26.25" thickBot="1" x14ac:dyDescent="0.3">
      <c r="A43" s="69" t="s">
        <v>80</v>
      </c>
      <c r="B43" s="70" t="s">
        <v>95</v>
      </c>
      <c r="C43" s="70" t="s">
        <v>80</v>
      </c>
      <c r="D43" s="71" t="s">
        <v>82</v>
      </c>
      <c r="E43" s="71" t="s">
        <v>83</v>
      </c>
      <c r="F43" s="71" t="s">
        <v>84</v>
      </c>
      <c r="G43" s="71" t="s">
        <v>85</v>
      </c>
      <c r="H43" s="72" t="s">
        <v>86</v>
      </c>
      <c r="I43" s="73"/>
      <c r="J43" s="209"/>
    </row>
    <row r="44" spans="1:13" ht="13.5" x14ac:dyDescent="0.25">
      <c r="A44" s="81">
        <f>+A35</f>
        <v>6</v>
      </c>
      <c r="B44" s="82" t="s">
        <v>167</v>
      </c>
      <c r="C44" s="76">
        <f>+A44</f>
        <v>6</v>
      </c>
      <c r="D44" s="77" t="s">
        <v>184</v>
      </c>
      <c r="E44" s="77">
        <f>+'Costo Rosquete '!H56</f>
        <v>25.794285714285714</v>
      </c>
      <c r="F44" s="77">
        <f>IFERROR(E44*C44,"")</f>
        <v>154.7657142857143</v>
      </c>
      <c r="G44" s="208">
        <f>IFERROR(F44/$F$66,"")</f>
        <v>9.5238300159798298E-2</v>
      </c>
      <c r="H44" s="83"/>
      <c r="I44" s="73"/>
      <c r="J44" s="209"/>
    </row>
    <row r="45" spans="1:13" ht="13.5" hidden="1" x14ac:dyDescent="0.25">
      <c r="A45" s="81">
        <f t="shared" ref="A45:A50" si="13">+A36</f>
        <v>0</v>
      </c>
      <c r="B45" s="82" t="str">
        <f>IFERROR(VLOOKUP(H45,[1]SEMIELABORADOS!$A$2:$M$6000,2,0),"")</f>
        <v/>
      </c>
      <c r="C45" s="76">
        <f t="shared" ref="C45:C50" si="14">+A45</f>
        <v>0</v>
      </c>
      <c r="D45" s="77" t="str">
        <f>IFERROR(VLOOKUP(H45,[1]SEMIELABORADOS!$A$2:$M$6000,6,0),"")</f>
        <v/>
      </c>
      <c r="E45" s="77" t="str">
        <f>IFERROR(VLOOKUP(H45,[1]SEMIELABORADOS!$A$2:$M$65536,12,0),"")</f>
        <v/>
      </c>
      <c r="F45" s="77" t="str">
        <f t="shared" ref="F45:F50" si="15">IFERROR(E45*C45,"")</f>
        <v/>
      </c>
      <c r="G45" s="208" t="str">
        <f t="shared" ref="G45:G50" si="16">IFERROR(F45/$F$66,"")</f>
        <v/>
      </c>
      <c r="H45" s="83"/>
      <c r="I45" s="73"/>
      <c r="J45" s="209"/>
      <c r="M45" s="86"/>
    </row>
    <row r="46" spans="1:13" ht="13.5" hidden="1" x14ac:dyDescent="0.25">
      <c r="A46" s="81">
        <f t="shared" si="13"/>
        <v>0</v>
      </c>
      <c r="B46" s="82" t="str">
        <f>IFERROR(VLOOKUP(H46,[1]SEMIELABORADOS!$A$2:$M$6000,2,0),"")</f>
        <v/>
      </c>
      <c r="C46" s="76">
        <f t="shared" si="14"/>
        <v>0</v>
      </c>
      <c r="D46" s="77" t="str">
        <f>IFERROR(VLOOKUP(H46,[1]SEMIELABORADOS!$A$2:$M$6000,6,0),"")</f>
        <v/>
      </c>
      <c r="E46" s="77" t="str">
        <f>IFERROR(VLOOKUP(H46,[1]SEMIELABORADOS!$A$2:$M$65536,12,0),"")</f>
        <v/>
      </c>
      <c r="F46" s="77" t="str">
        <f t="shared" si="15"/>
        <v/>
      </c>
      <c r="G46" s="208" t="str">
        <f t="shared" si="16"/>
        <v/>
      </c>
      <c r="H46" s="83"/>
      <c r="I46" s="73"/>
      <c r="J46" s="209"/>
    </row>
    <row r="47" spans="1:13" ht="13.5" hidden="1" x14ac:dyDescent="0.25">
      <c r="A47" s="81">
        <f t="shared" si="13"/>
        <v>0</v>
      </c>
      <c r="B47" s="82" t="str">
        <f>IFERROR(VLOOKUP(H47,[1]SEMIELABORADOS!$A$2:$M$6000,2,0),"")</f>
        <v/>
      </c>
      <c r="C47" s="76">
        <f t="shared" si="14"/>
        <v>0</v>
      </c>
      <c r="D47" s="77" t="str">
        <f>IFERROR(VLOOKUP(H47,[1]SEMIELABORADOS!$A$2:$M$6000,6,0),"")</f>
        <v/>
      </c>
      <c r="E47" s="77" t="str">
        <f>IFERROR(VLOOKUP(H47,[1]SEMIELABORADOS!$A$2:$M$65536,12,0),"")</f>
        <v/>
      </c>
      <c r="F47" s="77" t="str">
        <f t="shared" si="15"/>
        <v/>
      </c>
      <c r="G47" s="208" t="str">
        <f t="shared" si="16"/>
        <v/>
      </c>
      <c r="H47" s="83"/>
      <c r="I47" s="73"/>
      <c r="J47" s="209"/>
    </row>
    <row r="48" spans="1:13" ht="13.5" hidden="1" x14ac:dyDescent="0.25">
      <c r="A48" s="81">
        <f t="shared" si="13"/>
        <v>0</v>
      </c>
      <c r="B48" s="82" t="str">
        <f>IFERROR(VLOOKUP(H48,[1]SEMIELABORADOS!$A$2:$M$6000,2,0),"")</f>
        <v/>
      </c>
      <c r="C48" s="76">
        <f t="shared" si="14"/>
        <v>0</v>
      </c>
      <c r="D48" s="77" t="str">
        <f>IFERROR(VLOOKUP(H48,[1]SEMIELABORADOS!$A$2:$M$6000,6,0),"")</f>
        <v/>
      </c>
      <c r="E48" s="77" t="str">
        <f>IFERROR(VLOOKUP(H48,[1]SEMIELABORADOS!$A$2:$M$65536,12,0),"")</f>
        <v/>
      </c>
      <c r="F48" s="77" t="str">
        <f t="shared" si="15"/>
        <v/>
      </c>
      <c r="G48" s="208" t="str">
        <f t="shared" si="16"/>
        <v/>
      </c>
      <c r="H48" s="83"/>
      <c r="I48" s="73"/>
      <c r="J48" s="209"/>
    </row>
    <row r="49" spans="1:17" ht="13.5" hidden="1" x14ac:dyDescent="0.25">
      <c r="A49" s="81">
        <f t="shared" si="13"/>
        <v>0</v>
      </c>
      <c r="B49" s="82" t="str">
        <f>IFERROR(VLOOKUP(H49,[1]SEMIELABORADOS!$A$2:$M$6000,2,0),"")</f>
        <v/>
      </c>
      <c r="C49" s="76">
        <f t="shared" si="14"/>
        <v>0</v>
      </c>
      <c r="D49" s="77" t="str">
        <f>IFERROR(VLOOKUP(H49,[1]SEMIELABORADOS!$A$2:$M$6000,6,0),"")</f>
        <v/>
      </c>
      <c r="E49" s="77" t="str">
        <f>IFERROR(VLOOKUP(H49,[1]SEMIELABORADOS!$A$2:$M$65536,12,0),"")</f>
        <v/>
      </c>
      <c r="F49" s="77" t="str">
        <f t="shared" si="15"/>
        <v/>
      </c>
      <c r="G49" s="208" t="str">
        <f t="shared" si="16"/>
        <v/>
      </c>
      <c r="H49" s="83"/>
      <c r="I49" s="73"/>
      <c r="J49" s="209"/>
    </row>
    <row r="50" spans="1:17" ht="13.5" hidden="1" x14ac:dyDescent="0.25">
      <c r="A50" s="81">
        <f t="shared" si="13"/>
        <v>0</v>
      </c>
      <c r="B50" s="82" t="str">
        <f>IFERROR(VLOOKUP(H50,[1]SEMIELABORADOS!$A$2:$M$6000,2,0),"")</f>
        <v/>
      </c>
      <c r="C50" s="76">
        <f t="shared" si="14"/>
        <v>0</v>
      </c>
      <c r="D50" s="77" t="str">
        <f>IFERROR(VLOOKUP(H50,[1]SEMIELABORADOS!$A$2:$M$6000,6,0),"")</f>
        <v/>
      </c>
      <c r="E50" s="77" t="str">
        <f>IFERROR(VLOOKUP(H50,[1]SEMIELABORADOS!$A$2:$M$65536,12,0),"")</f>
        <v/>
      </c>
      <c r="F50" s="77" t="str">
        <f t="shared" si="15"/>
        <v/>
      </c>
      <c r="G50" s="208" t="str">
        <f t="shared" si="16"/>
        <v/>
      </c>
      <c r="H50" s="82"/>
      <c r="I50" s="73"/>
      <c r="J50" s="209"/>
    </row>
    <row r="51" spans="1:17" ht="13.5" x14ac:dyDescent="0.25">
      <c r="A51" s="81">
        <v>1</v>
      </c>
      <c r="B51" s="82" t="s">
        <v>96</v>
      </c>
      <c r="C51" s="76">
        <f>+A51</f>
        <v>1</v>
      </c>
      <c r="D51" s="76" t="s">
        <v>97</v>
      </c>
      <c r="E51" s="77">
        <f>+F65</f>
        <v>244</v>
      </c>
      <c r="F51" s="77">
        <f>IFERROR(C51*E51,"")</f>
        <v>244</v>
      </c>
      <c r="G51" s="208">
        <f>IFERROR(F51/$F$66,"")</f>
        <v>0.15015047322490721</v>
      </c>
      <c r="H51" s="87"/>
      <c r="I51" s="87"/>
      <c r="J51" s="209"/>
    </row>
    <row r="52" spans="1:17" ht="14.25" thickBot="1" x14ac:dyDescent="0.3">
      <c r="A52" s="81"/>
      <c r="B52" s="82"/>
      <c r="C52" s="76"/>
      <c r="D52" s="76"/>
      <c r="E52" s="77"/>
      <c r="F52" s="77"/>
      <c r="G52" s="208"/>
      <c r="H52" s="87"/>
      <c r="I52" s="87"/>
      <c r="J52" s="209"/>
    </row>
    <row r="53" spans="1:17" ht="13.5" thickBot="1" x14ac:dyDescent="0.3">
      <c r="A53" s="88"/>
      <c r="B53" s="456" t="s">
        <v>98</v>
      </c>
      <c r="C53" s="456"/>
      <c r="D53" s="456"/>
      <c r="E53" s="456"/>
      <c r="F53" s="90">
        <f>SUM(F8:F14,F17:F24)</f>
        <v>1247.4345600000001</v>
      </c>
      <c r="G53" s="208">
        <f>+F53/$F$66</f>
        <v>0.76763479303731119</v>
      </c>
      <c r="H53" s="91">
        <f>+F53/$D$60</f>
        <v>1247.4345600000001</v>
      </c>
      <c r="I53" s="91"/>
      <c r="J53" s="214"/>
      <c r="K53" s="93"/>
      <c r="L53" s="93"/>
      <c r="M53" s="93"/>
      <c r="N53" s="93"/>
      <c r="O53" s="93"/>
      <c r="P53" s="93"/>
      <c r="Q53" s="94"/>
    </row>
    <row r="54" spans="1:17" x14ac:dyDescent="0.2">
      <c r="A54" s="88"/>
      <c r="B54" s="456" t="s">
        <v>99</v>
      </c>
      <c r="C54" s="456"/>
      <c r="D54" s="456"/>
      <c r="E54" s="456"/>
      <c r="F54" s="90">
        <f>SUM(F27:F32,F35:F41)</f>
        <v>108.65325224489796</v>
      </c>
      <c r="G54" s="208">
        <f>+F54/$F$66</f>
        <v>6.6862037877035416E-2</v>
      </c>
      <c r="H54" s="91">
        <f>+F54/$D$60</f>
        <v>108.65325224489796</v>
      </c>
      <c r="I54" s="91"/>
      <c r="J54" s="95"/>
      <c r="K54" s="457" t="s">
        <v>100</v>
      </c>
      <c r="L54" s="458"/>
      <c r="M54" s="458"/>
      <c r="N54" s="458"/>
      <c r="O54" s="96">
        <f>+F55</f>
        <v>1356.087812244898</v>
      </c>
      <c r="P54" s="96"/>
      <c r="Q54" s="97"/>
    </row>
    <row r="55" spans="1:17" x14ac:dyDescent="0.2">
      <c r="A55" s="88"/>
      <c r="B55" s="456" t="s">
        <v>101</v>
      </c>
      <c r="C55" s="456"/>
      <c r="D55" s="456"/>
      <c r="E55" s="456"/>
      <c r="F55" s="90">
        <f>+F53+F54</f>
        <v>1356.087812244898</v>
      </c>
      <c r="G55" s="208">
        <f>+F55/$F$66</f>
        <v>0.83449683091434657</v>
      </c>
      <c r="H55" s="91">
        <f>+F55/$D$60</f>
        <v>1356.087812244898</v>
      </c>
      <c r="I55" s="91"/>
      <c r="J55" s="215"/>
      <c r="K55" s="99"/>
      <c r="M55" s="100" t="s">
        <v>102</v>
      </c>
      <c r="N55" s="101"/>
      <c r="O55" s="96">
        <f>+F56</f>
        <v>398.7657142857143</v>
      </c>
      <c r="P55" s="96"/>
      <c r="Q55" s="97"/>
    </row>
    <row r="56" spans="1:17" ht="13.5" thickBot="1" x14ac:dyDescent="0.25">
      <c r="A56" s="88"/>
      <c r="B56" s="89"/>
      <c r="C56" s="456" t="s">
        <v>103</v>
      </c>
      <c r="D56" s="456"/>
      <c r="E56" s="456"/>
      <c r="F56" s="90">
        <f>SUM(F44:F51)</f>
        <v>398.7657142857143</v>
      </c>
      <c r="G56" s="208">
        <f>+F56/$F$66</f>
        <v>0.24538877338470552</v>
      </c>
      <c r="H56" s="91">
        <f>+F56/$D$60</f>
        <v>398.7657142857143</v>
      </c>
      <c r="I56" s="91"/>
      <c r="J56" s="215"/>
      <c r="K56" s="99"/>
      <c r="L56" s="99"/>
      <c r="M56" s="99" t="s">
        <v>104</v>
      </c>
      <c r="N56" s="217"/>
      <c r="O56" s="96">
        <f>O54*N56</f>
        <v>0</v>
      </c>
      <c r="P56" s="96"/>
      <c r="Q56" s="97"/>
    </row>
    <row r="57" spans="1:17" ht="13.5" thickBot="1" x14ac:dyDescent="0.25">
      <c r="A57" s="88"/>
      <c r="B57" s="103"/>
      <c r="C57" s="103"/>
      <c r="D57" s="103"/>
      <c r="E57" s="103"/>
      <c r="F57" s="104"/>
      <c r="G57" s="208"/>
      <c r="H57" s="105"/>
      <c r="I57" s="91"/>
      <c r="J57" s="215"/>
      <c r="K57" s="106"/>
      <c r="M57" s="107" t="s">
        <v>105</v>
      </c>
      <c r="N57" s="108"/>
      <c r="O57" s="109">
        <f>SUM(O54:O56)</f>
        <v>1754.8535265306123</v>
      </c>
      <c r="P57" s="110"/>
      <c r="Q57" s="97"/>
    </row>
    <row r="58" spans="1:17" x14ac:dyDescent="0.2">
      <c r="B58" s="459" t="s">
        <v>106</v>
      </c>
      <c r="C58" s="459"/>
      <c r="D58" s="111">
        <v>660</v>
      </c>
      <c r="E58" s="112"/>
      <c r="G58" s="208"/>
      <c r="H58" s="105">
        <f>+F56/61</f>
        <v>6.5371428571428574</v>
      </c>
      <c r="I58" s="113"/>
      <c r="J58" s="215"/>
      <c r="K58" s="106"/>
      <c r="L58" s="99"/>
      <c r="M58" s="99" t="s">
        <v>107</v>
      </c>
      <c r="N58" s="213"/>
      <c r="O58" s="96">
        <f>+H59</f>
        <v>379.15428571428572</v>
      </c>
      <c r="P58" s="96"/>
      <c r="Q58" s="97"/>
    </row>
    <row r="59" spans="1:17" x14ac:dyDescent="0.2">
      <c r="B59" s="459" t="s">
        <v>108</v>
      </c>
      <c r="C59" s="459"/>
      <c r="D59" s="115">
        <v>660</v>
      </c>
      <c r="E59" s="112"/>
      <c r="G59" s="208"/>
      <c r="H59" s="105">
        <f>+H58*58</f>
        <v>379.15428571428572</v>
      </c>
      <c r="I59" s="113"/>
      <c r="J59" s="215"/>
      <c r="K59" s="106"/>
      <c r="L59" s="99"/>
      <c r="M59" s="460" t="s">
        <v>105</v>
      </c>
      <c r="N59" s="460"/>
      <c r="O59" s="96">
        <f>SUM(O57:O58)</f>
        <v>2134.0078122448981</v>
      </c>
      <c r="P59" s="96"/>
      <c r="Q59" s="97"/>
    </row>
    <row r="60" spans="1:17" ht="13.5" thickBot="1" x14ac:dyDescent="0.25">
      <c r="B60" s="451" t="s">
        <v>109</v>
      </c>
      <c r="C60" s="451"/>
      <c r="D60" s="111">
        <f>+D58/D59</f>
        <v>1</v>
      </c>
      <c r="E60" s="112"/>
      <c r="F60" s="116"/>
      <c r="G60" s="208"/>
      <c r="H60" s="105"/>
      <c r="I60" s="113"/>
      <c r="J60" s="215"/>
      <c r="K60" s="106"/>
      <c r="L60" s="460"/>
      <c r="M60" s="460"/>
      <c r="N60" s="213"/>
      <c r="O60" s="96">
        <f>+O59*N60</f>
        <v>0</v>
      </c>
      <c r="P60" s="96"/>
      <c r="Q60" s="97"/>
    </row>
    <row r="61" spans="1:17" ht="13.5" thickBot="1" x14ac:dyDescent="0.25">
      <c r="B61" s="451" t="s">
        <v>110</v>
      </c>
      <c r="C61" s="451"/>
      <c r="D61" s="117"/>
      <c r="E61" s="112"/>
      <c r="F61" s="116"/>
      <c r="G61" s="208"/>
      <c r="H61" s="105"/>
      <c r="I61" s="113"/>
      <c r="J61" s="215"/>
      <c r="K61" s="452" t="s">
        <v>111</v>
      </c>
      <c r="L61" s="453"/>
      <c r="M61" s="453"/>
      <c r="N61" s="454"/>
      <c r="O61" s="109">
        <f>SUM(O59:O60)</f>
        <v>2134.0078122448981</v>
      </c>
      <c r="P61" s="118" t="s">
        <v>112</v>
      </c>
      <c r="Q61" s="97"/>
    </row>
    <row r="62" spans="1:17" ht="13.5" thickBot="1" x14ac:dyDescent="0.25">
      <c r="C62" s="88" t="s">
        <v>113</v>
      </c>
      <c r="D62" s="119"/>
      <c r="E62" s="60" t="s">
        <v>114</v>
      </c>
      <c r="F62" s="120" t="s">
        <v>115</v>
      </c>
      <c r="G62" s="208"/>
      <c r="H62" s="105"/>
      <c r="I62" s="113"/>
      <c r="J62" s="121"/>
      <c r="K62" s="122"/>
      <c r="L62" s="440" t="s">
        <v>116</v>
      </c>
      <c r="M62" s="440"/>
      <c r="N62" s="440"/>
      <c r="O62" s="123">
        <f>+O61/D60</f>
        <v>2134.0078122448981</v>
      </c>
      <c r="P62" s="124">
        <f>+O62/D59</f>
        <v>3.2333451700680276</v>
      </c>
      <c r="Q62" s="125"/>
    </row>
    <row r="63" spans="1:17" ht="13.5" thickBot="1" x14ac:dyDescent="0.25">
      <c r="B63" s="441" t="s">
        <v>101</v>
      </c>
      <c r="C63" s="441"/>
      <c r="D63" s="441"/>
      <c r="E63" s="210">
        <f>+F63/F63</f>
        <v>1</v>
      </c>
      <c r="F63" s="127">
        <f>SUM(F55)</f>
        <v>1356.087812244898</v>
      </c>
      <c r="G63" s="208">
        <f>+F63/$F$66</f>
        <v>0.83449683091434657</v>
      </c>
      <c r="H63" s="105"/>
      <c r="I63" s="113"/>
      <c r="K63" s="442"/>
      <c r="L63" s="443"/>
      <c r="M63" s="443"/>
      <c r="N63" s="443"/>
      <c r="O63" s="128"/>
      <c r="P63" s="129"/>
    </row>
    <row r="64" spans="1:17" ht="13.5" thickBot="1" x14ac:dyDescent="0.3">
      <c r="B64" s="444" t="s">
        <v>117</v>
      </c>
      <c r="C64" s="444"/>
      <c r="D64" s="444"/>
      <c r="E64" s="130">
        <v>0.02</v>
      </c>
      <c r="F64" s="127">
        <f>+F53*E64</f>
        <v>24.948691200000003</v>
      </c>
      <c r="G64" s="208">
        <f>+F64/$F$66</f>
        <v>1.5352695860746224E-2</v>
      </c>
      <c r="H64" s="91"/>
      <c r="I64" s="113"/>
      <c r="J64" s="216"/>
      <c r="O64" s="132"/>
      <c r="P64" s="89"/>
    </row>
    <row r="65" spans="2:15" ht="13.5" thickBot="1" x14ac:dyDescent="0.3">
      <c r="B65" s="445" t="s">
        <v>118</v>
      </c>
      <c r="C65" s="446"/>
      <c r="D65" s="133">
        <v>4</v>
      </c>
      <c r="E65" s="134">
        <v>61</v>
      </c>
      <c r="F65" s="127">
        <f>+E65*D65</f>
        <v>244</v>
      </c>
      <c r="G65" s="208">
        <f>+F65/$F$66</f>
        <v>0.15015047322490721</v>
      </c>
      <c r="H65" s="91"/>
      <c r="I65" s="91"/>
      <c r="J65" s="209"/>
      <c r="O65" s="62">
        <f>+O62/6</f>
        <v>355.667968707483</v>
      </c>
    </row>
    <row r="66" spans="2:15" ht="13.5" thickBot="1" x14ac:dyDescent="0.3">
      <c r="B66" s="447" t="s">
        <v>119</v>
      </c>
      <c r="C66" s="448"/>
      <c r="D66" s="448"/>
      <c r="E66" s="449"/>
      <c r="F66" s="104">
        <f>SUM(F63:F65)</f>
        <v>1625.036503444898</v>
      </c>
      <c r="G66" s="208">
        <f>+F66/$F$66</f>
        <v>1</v>
      </c>
      <c r="H66" s="450"/>
      <c r="I66" s="91"/>
      <c r="J66" s="209"/>
      <c r="M66" s="62" t="s">
        <v>161</v>
      </c>
    </row>
    <row r="67" spans="2:15" x14ac:dyDescent="0.25">
      <c r="C67" s="86"/>
      <c r="D67" s="86"/>
      <c r="E67" s="136"/>
      <c r="F67" s="127"/>
      <c r="G67" s="208"/>
      <c r="H67" s="450"/>
      <c r="I67" s="135"/>
      <c r="J67" s="62"/>
      <c r="M67" s="62" t="s">
        <v>162</v>
      </c>
    </row>
    <row r="68" spans="2:15" ht="13.5" thickBot="1" x14ac:dyDescent="0.3">
      <c r="B68" s="435" t="s">
        <v>120</v>
      </c>
      <c r="C68" s="435"/>
      <c r="D68" s="435"/>
      <c r="E68" s="435"/>
      <c r="F68" s="435"/>
      <c r="G68" s="208"/>
      <c r="H68" s="138"/>
      <c r="I68" s="135"/>
      <c r="J68" s="62"/>
    </row>
    <row r="69" spans="2:15" ht="13.5" thickBot="1" x14ac:dyDescent="0.3">
      <c r="B69" s="139" t="s">
        <v>121</v>
      </c>
      <c r="C69" s="140">
        <f>+F53</f>
        <v>1247.4345600000001</v>
      </c>
      <c r="D69" s="140">
        <f>+D58</f>
        <v>660</v>
      </c>
      <c r="E69" s="141">
        <f>+C69/D69</f>
        <v>1.8900523636363638</v>
      </c>
      <c r="F69" s="208"/>
      <c r="G69" s="138"/>
      <c r="H69" s="209"/>
      <c r="I69" s="138"/>
      <c r="J69" s="62"/>
    </row>
    <row r="70" spans="2:15" x14ac:dyDescent="0.25">
      <c r="B70" s="142"/>
      <c r="C70" s="143"/>
      <c r="D70" s="144"/>
      <c r="E70" s="127"/>
      <c r="F70" s="208"/>
      <c r="G70" s="138"/>
      <c r="H70" s="209"/>
      <c r="I70" s="209"/>
      <c r="J70" s="62"/>
    </row>
    <row r="71" spans="2:15" x14ac:dyDescent="0.25">
      <c r="B71" s="139" t="s">
        <v>122</v>
      </c>
      <c r="C71" s="140">
        <f>SUM(F63:F64)</f>
        <v>1381.036503444898</v>
      </c>
      <c r="D71" s="140">
        <f>+D58</f>
        <v>660</v>
      </c>
      <c r="E71" s="145">
        <f>+C71/D71</f>
        <v>2.0924795506740881</v>
      </c>
      <c r="F71" s="208"/>
      <c r="G71" s="138"/>
      <c r="H71" s="209"/>
      <c r="I71" s="209"/>
      <c r="J71" s="62"/>
    </row>
    <row r="72" spans="2:15" x14ac:dyDescent="0.25">
      <c r="B72" s="139"/>
      <c r="C72" s="140"/>
      <c r="D72" s="140"/>
      <c r="E72" s="145"/>
      <c r="F72" s="208"/>
      <c r="G72" s="138"/>
      <c r="H72" s="209"/>
      <c r="I72" s="209"/>
      <c r="J72" s="62"/>
    </row>
    <row r="73" spans="2:15" ht="13.5" thickBot="1" x14ac:dyDescent="0.3">
      <c r="B73" s="139" t="s">
        <v>123</v>
      </c>
      <c r="C73" s="140">
        <f>+F65</f>
        <v>244</v>
      </c>
      <c r="D73" s="140">
        <f>+D58</f>
        <v>660</v>
      </c>
      <c r="E73" s="145">
        <f>+C73/D73</f>
        <v>0.36969696969696969</v>
      </c>
      <c r="F73" s="208"/>
      <c r="G73" s="138"/>
      <c r="H73" s="209"/>
      <c r="I73" s="209"/>
      <c r="J73" s="62"/>
    </row>
    <row r="74" spans="2:15" ht="13.5" thickBot="1" x14ac:dyDescent="0.3">
      <c r="B74" s="139" t="s">
        <v>124</v>
      </c>
      <c r="C74" s="140">
        <f>+F56</f>
        <v>398.7657142857143</v>
      </c>
      <c r="D74" s="140">
        <f>+D73</f>
        <v>660</v>
      </c>
      <c r="E74" s="141">
        <f>+C74/D74</f>
        <v>0.60419047619047617</v>
      </c>
      <c r="F74" s="208"/>
      <c r="G74" s="138"/>
      <c r="H74" s="209"/>
      <c r="I74" s="209"/>
      <c r="J74" s="62"/>
    </row>
    <row r="75" spans="2:15" ht="13.5" thickBot="1" x14ac:dyDescent="0.3">
      <c r="B75" s="103"/>
      <c r="C75" s="104"/>
      <c r="D75" s="104"/>
      <c r="E75" s="145"/>
      <c r="F75" s="208"/>
      <c r="G75" s="138"/>
      <c r="H75" s="209"/>
      <c r="I75" s="209"/>
      <c r="J75" s="62"/>
    </row>
    <row r="76" spans="2:15" ht="13.5" thickBot="1" x14ac:dyDescent="0.3">
      <c r="B76" s="139" t="s">
        <v>125</v>
      </c>
      <c r="C76" s="140">
        <f>+F54</f>
        <v>108.65325224489796</v>
      </c>
      <c r="D76" s="140">
        <f>+D74</f>
        <v>660</v>
      </c>
      <c r="E76" s="141">
        <f>+C76/D76</f>
        <v>0.1646261397649969</v>
      </c>
      <c r="F76" s="208"/>
      <c r="G76" s="138"/>
      <c r="H76" s="209"/>
      <c r="I76" s="209"/>
      <c r="J76" s="209"/>
    </row>
    <row r="77" spans="2:15" ht="13.5" thickBot="1" x14ac:dyDescent="0.3">
      <c r="B77" s="103"/>
      <c r="C77" s="104"/>
      <c r="D77" s="104"/>
      <c r="E77" s="145"/>
      <c r="F77" s="208"/>
      <c r="G77" s="138"/>
      <c r="H77" s="209"/>
      <c r="I77" s="209"/>
    </row>
    <row r="78" spans="2:15" ht="13.5" thickBot="1" x14ac:dyDescent="0.3">
      <c r="B78" s="436" t="s">
        <v>126</v>
      </c>
      <c r="C78" s="437"/>
      <c r="D78" s="438"/>
      <c r="E78" s="141">
        <f>+E69+E74</f>
        <v>2.4942428398268399</v>
      </c>
      <c r="G78" s="208"/>
      <c r="H78" s="138"/>
      <c r="I78" s="209"/>
      <c r="J78" s="145"/>
    </row>
    <row r="79" spans="2:15" x14ac:dyDescent="0.25">
      <c r="I79" s="138"/>
      <c r="J79" s="62"/>
    </row>
    <row r="80" spans="2:15" ht="13.5" thickBot="1" x14ac:dyDescent="0.3">
      <c r="B80" s="435" t="s">
        <v>127</v>
      </c>
      <c r="C80" s="435"/>
      <c r="D80" s="435"/>
      <c r="E80" s="435"/>
      <c r="F80" s="435"/>
      <c r="G80" s="208"/>
      <c r="H80" s="138"/>
      <c r="J80" s="62"/>
    </row>
    <row r="81" spans="1:10" ht="13.5" thickBot="1" x14ac:dyDescent="0.3">
      <c r="B81" s="139" t="s">
        <v>121</v>
      </c>
      <c r="C81" s="140">
        <f>+C69</f>
        <v>1247.4345600000001</v>
      </c>
      <c r="D81" s="140">
        <f>+D60</f>
        <v>1</v>
      </c>
      <c r="E81" s="141">
        <f>+C81/D81</f>
        <v>1247.4345600000001</v>
      </c>
      <c r="F81" s="208"/>
      <c r="G81" s="138"/>
      <c r="H81" s="209"/>
      <c r="I81" s="138"/>
      <c r="J81" s="62"/>
    </row>
    <row r="82" spans="1:10" x14ac:dyDescent="0.25">
      <c r="B82" s="142"/>
      <c r="C82" s="143"/>
      <c r="D82" s="144"/>
      <c r="E82" s="127"/>
      <c r="F82" s="208"/>
      <c r="G82" s="138"/>
      <c r="H82" s="209"/>
      <c r="I82" s="209"/>
      <c r="J82" s="62"/>
    </row>
    <row r="83" spans="1:10" x14ac:dyDescent="0.25">
      <c r="B83" s="139" t="s">
        <v>122</v>
      </c>
      <c r="C83" s="140">
        <f>+C71</f>
        <v>1381.036503444898</v>
      </c>
      <c r="D83" s="140">
        <f>+D60</f>
        <v>1</v>
      </c>
      <c r="E83" s="145">
        <f>+C83/D83</f>
        <v>1381.036503444898</v>
      </c>
      <c r="F83" s="208"/>
      <c r="G83" s="138"/>
      <c r="H83" s="209"/>
      <c r="I83" s="209"/>
      <c r="J83" s="62"/>
    </row>
    <row r="84" spans="1:10" x14ac:dyDescent="0.25">
      <c r="B84" s="139"/>
      <c r="C84" s="140"/>
      <c r="D84" s="140"/>
      <c r="E84" s="145"/>
      <c r="F84" s="208"/>
      <c r="G84" s="138"/>
      <c r="H84" s="209"/>
      <c r="I84" s="209"/>
      <c r="J84" s="62"/>
    </row>
    <row r="85" spans="1:10" ht="13.5" thickBot="1" x14ac:dyDescent="0.3">
      <c r="B85" s="139" t="s">
        <v>124</v>
      </c>
      <c r="C85" s="140">
        <f>+C73</f>
        <v>244</v>
      </c>
      <c r="D85" s="140">
        <f>+D60</f>
        <v>1</v>
      </c>
      <c r="E85" s="145">
        <f>+C85/D85</f>
        <v>244</v>
      </c>
      <c r="F85" s="147"/>
      <c r="G85" s="137"/>
      <c r="H85" s="61"/>
      <c r="I85" s="209"/>
    </row>
    <row r="86" spans="1:10" ht="13.5" thickBot="1" x14ac:dyDescent="0.3">
      <c r="B86" s="139" t="s">
        <v>124</v>
      </c>
      <c r="C86" s="140">
        <f>+C74</f>
        <v>398.7657142857143</v>
      </c>
      <c r="D86" s="140">
        <f>+D85</f>
        <v>1</v>
      </c>
      <c r="E86" s="141">
        <f>+C86/D86</f>
        <v>398.7657142857143</v>
      </c>
      <c r="F86" s="211"/>
      <c r="G86" s="137"/>
      <c r="H86" s="61"/>
      <c r="I86" s="61"/>
    </row>
    <row r="87" spans="1:10" x14ac:dyDescent="0.25">
      <c r="I87" s="61"/>
    </row>
    <row r="88" spans="1:10" x14ac:dyDescent="0.2">
      <c r="A88" s="439"/>
      <c r="B88" s="439"/>
      <c r="C88" s="148"/>
      <c r="D88" s="148"/>
      <c r="E88" s="149"/>
      <c r="G88" s="212"/>
    </row>
    <row r="89" spans="1:10" x14ac:dyDescent="0.2">
      <c r="A89" s="82"/>
      <c r="B89" s="151"/>
      <c r="C89" s="152"/>
      <c r="D89" s="152"/>
      <c r="E89" s="153"/>
      <c r="G89" s="212"/>
    </row>
    <row r="90" spans="1:10" x14ac:dyDescent="0.2">
      <c r="A90" s="82"/>
      <c r="B90" s="151"/>
      <c r="C90" s="154"/>
      <c r="D90" s="154"/>
      <c r="E90" s="82"/>
      <c r="G90" s="212"/>
    </row>
    <row r="91" spans="1:10" x14ac:dyDescent="0.2">
      <c r="A91" s="82"/>
      <c r="B91" s="151"/>
      <c r="C91" s="155"/>
      <c r="D91" s="155"/>
      <c r="E91" s="82"/>
      <c r="G91" s="21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CDD8-FA63-4D3A-A4BA-0793C19D19DC}">
  <dimension ref="A1:L27"/>
  <sheetViews>
    <sheetView workbookViewId="0">
      <selection activeCell="B12" sqref="B12"/>
    </sheetView>
  </sheetViews>
  <sheetFormatPr baseColWidth="10" defaultRowHeight="15" x14ac:dyDescent="0.25"/>
  <cols>
    <col min="2" max="2" width="43" customWidth="1"/>
  </cols>
  <sheetData>
    <row r="1" spans="1:11" ht="15.75" x14ac:dyDescent="0.25">
      <c r="A1" s="391"/>
      <c r="B1" s="394" t="s">
        <v>0</v>
      </c>
      <c r="C1" s="394"/>
      <c r="D1" s="394"/>
      <c r="E1" s="394"/>
      <c r="F1" s="394"/>
      <c r="G1" s="1" t="s">
        <v>1</v>
      </c>
      <c r="H1" s="284"/>
      <c r="I1" s="254"/>
      <c r="J1" s="254"/>
      <c r="K1" s="254"/>
    </row>
    <row r="2" spans="1:11" ht="16.5" thickBot="1" x14ac:dyDescent="0.3">
      <c r="A2" s="392"/>
      <c r="B2" s="395" t="s">
        <v>2</v>
      </c>
      <c r="C2" s="395"/>
      <c r="D2" s="395"/>
      <c r="E2" s="395"/>
      <c r="F2" s="395"/>
      <c r="G2" s="3" t="s">
        <v>3</v>
      </c>
      <c r="H2" s="4"/>
      <c r="I2" s="254"/>
      <c r="J2" s="254"/>
      <c r="K2" s="254"/>
    </row>
    <row r="3" spans="1:11" ht="18.75" thickBot="1" x14ac:dyDescent="0.3">
      <c r="A3" s="393"/>
      <c r="B3" s="641" t="s">
        <v>186</v>
      </c>
      <c r="C3" s="642"/>
      <c r="D3" s="642"/>
      <c r="E3" s="642"/>
      <c r="F3" s="643"/>
      <c r="G3" s="399" t="s">
        <v>5</v>
      </c>
      <c r="H3" s="379"/>
      <c r="I3" s="254"/>
      <c r="J3" s="254"/>
      <c r="K3" s="254"/>
    </row>
    <row r="4" spans="1:11" x14ac:dyDescent="0.25">
      <c r="A4" s="392"/>
      <c r="B4" s="5" t="s">
        <v>6</v>
      </c>
      <c r="C4" s="381" t="s">
        <v>7</v>
      </c>
      <c r="D4" s="382"/>
      <c r="E4" s="382"/>
      <c r="F4" s="383"/>
      <c r="G4" s="400"/>
      <c r="H4" s="380"/>
      <c r="I4" s="254"/>
      <c r="J4" s="254"/>
      <c r="K4" s="254"/>
    </row>
    <row r="5" spans="1:11" ht="15.75" thickBot="1" x14ac:dyDescent="0.3">
      <c r="A5" s="392"/>
      <c r="B5" s="6" t="s">
        <v>8</v>
      </c>
      <c r="C5" s="384" t="s">
        <v>137</v>
      </c>
      <c r="D5" s="385"/>
      <c r="E5" s="385"/>
      <c r="F5" s="386"/>
      <c r="G5" s="401"/>
      <c r="H5" s="380"/>
      <c r="I5" s="254"/>
      <c r="J5" s="254"/>
      <c r="K5" s="254"/>
    </row>
    <row r="6" spans="1:11" ht="25.5" x14ac:dyDescent="0.25">
      <c r="A6" s="387" t="s">
        <v>10</v>
      </c>
      <c r="B6" s="389" t="s">
        <v>11</v>
      </c>
      <c r="C6" s="389" t="s">
        <v>12</v>
      </c>
      <c r="D6" s="389" t="s">
        <v>13</v>
      </c>
      <c r="E6" s="389"/>
      <c r="F6" s="389" t="s">
        <v>14</v>
      </c>
      <c r="G6" s="389"/>
      <c r="H6" s="7" t="s">
        <v>15</v>
      </c>
      <c r="I6" s="254"/>
      <c r="J6" s="254"/>
      <c r="K6" s="254"/>
    </row>
    <row r="7" spans="1:11" ht="27" thickBot="1" x14ac:dyDescent="0.3">
      <c r="A7" s="413"/>
      <c r="B7" s="416"/>
      <c r="C7" s="416"/>
      <c r="D7" s="10" t="s">
        <v>16</v>
      </c>
      <c r="E7" s="9" t="s">
        <v>17</v>
      </c>
      <c r="F7" s="10" t="s">
        <v>16</v>
      </c>
      <c r="G7" s="9" t="s">
        <v>17</v>
      </c>
      <c r="H7" s="11" t="s">
        <v>18</v>
      </c>
      <c r="I7" s="254"/>
      <c r="J7" s="254"/>
      <c r="K7" s="254"/>
    </row>
    <row r="8" spans="1:11" x14ac:dyDescent="0.25">
      <c r="A8" s="286"/>
      <c r="B8" s="276" t="s">
        <v>187</v>
      </c>
      <c r="C8" s="281" t="s">
        <v>140</v>
      </c>
      <c r="D8" s="285">
        <v>10900</v>
      </c>
      <c r="E8" s="279" t="s">
        <v>22</v>
      </c>
      <c r="F8" s="262"/>
      <c r="G8" s="278"/>
      <c r="H8" s="277"/>
      <c r="I8" s="254"/>
      <c r="J8" s="254"/>
      <c r="K8" s="254"/>
    </row>
    <row r="9" spans="1:11" x14ac:dyDescent="0.25">
      <c r="A9" s="282"/>
      <c r="B9" s="280"/>
      <c r="C9" s="275"/>
      <c r="D9" s="262"/>
      <c r="E9" s="279"/>
      <c r="F9" s="262"/>
      <c r="G9" s="278"/>
      <c r="H9" s="277"/>
      <c r="I9" s="254"/>
      <c r="J9" s="254"/>
      <c r="K9" s="254"/>
    </row>
    <row r="10" spans="1:11" x14ac:dyDescent="0.25">
      <c r="A10" s="286"/>
      <c r="B10" s="276" t="s">
        <v>200</v>
      </c>
      <c r="C10" s="275"/>
      <c r="D10" s="262">
        <v>25</v>
      </c>
      <c r="E10" s="279" t="s">
        <v>155</v>
      </c>
      <c r="F10" s="262"/>
      <c r="G10" s="278"/>
      <c r="H10" s="277"/>
      <c r="I10" s="254"/>
      <c r="J10" s="254"/>
      <c r="K10" s="254"/>
    </row>
    <row r="11" spans="1:11" ht="15.75" x14ac:dyDescent="0.25">
      <c r="A11" s="286" t="s">
        <v>164</v>
      </c>
      <c r="B11" s="276" t="s">
        <v>189</v>
      </c>
      <c r="C11" s="288"/>
      <c r="D11" s="289">
        <v>2</v>
      </c>
      <c r="E11" s="287" t="s">
        <v>155</v>
      </c>
      <c r="F11" s="262"/>
      <c r="G11" s="278"/>
      <c r="H11" s="277"/>
      <c r="I11" s="254"/>
      <c r="J11" s="254"/>
      <c r="K11" s="254"/>
    </row>
    <row r="12" spans="1:11" ht="15.75" x14ac:dyDescent="0.25">
      <c r="A12" s="286" t="s">
        <v>190</v>
      </c>
      <c r="B12" s="276" t="s">
        <v>191</v>
      </c>
      <c r="C12" s="288"/>
      <c r="D12" s="289">
        <v>2</v>
      </c>
      <c r="E12" s="287" t="s">
        <v>155</v>
      </c>
      <c r="F12" s="262"/>
      <c r="G12" s="278"/>
      <c r="H12" s="277"/>
      <c r="I12" s="254"/>
      <c r="J12" s="254"/>
      <c r="K12" s="254"/>
    </row>
    <row r="13" spans="1:11" x14ac:dyDescent="0.25">
      <c r="A13" s="283"/>
      <c r="B13" s="276"/>
      <c r="C13" s="275"/>
      <c r="D13" s="274"/>
      <c r="E13" s="274"/>
      <c r="F13" s="274"/>
      <c r="G13" s="278"/>
      <c r="H13" s="273"/>
      <c r="I13" s="254"/>
      <c r="J13" s="254"/>
      <c r="K13" s="254"/>
    </row>
    <row r="14" spans="1:11" ht="15.75" thickBot="1" x14ac:dyDescent="0.3">
      <c r="A14" s="272"/>
      <c r="B14" s="256"/>
      <c r="C14" s="256"/>
      <c r="D14" s="271"/>
      <c r="E14" s="270"/>
      <c r="F14" s="256"/>
      <c r="G14" s="256"/>
      <c r="H14" s="269"/>
      <c r="I14" s="254"/>
      <c r="J14" s="254"/>
      <c r="K14" s="257">
        <v>740</v>
      </c>
    </row>
    <row r="15" spans="1:11" ht="15.75" thickBot="1" x14ac:dyDescent="0.3">
      <c r="A15" s="268"/>
      <c r="B15" s="264"/>
      <c r="C15" s="267" t="s">
        <v>16</v>
      </c>
      <c r="D15" s="266" t="s">
        <v>57</v>
      </c>
      <c r="E15" s="265"/>
      <c r="F15" s="264"/>
      <c r="G15" s="264"/>
      <c r="H15" s="263"/>
      <c r="I15" s="254"/>
      <c r="J15" s="254"/>
      <c r="K15" s="257"/>
    </row>
    <row r="16" spans="1:11" x14ac:dyDescent="0.25">
      <c r="A16" s="417" t="s">
        <v>58</v>
      </c>
      <c r="B16" s="418"/>
      <c r="C16" s="262">
        <v>10800</v>
      </c>
      <c r="D16" s="261" t="s">
        <v>22</v>
      </c>
      <c r="E16" s="419" t="s">
        <v>59</v>
      </c>
      <c r="F16" s="419"/>
      <c r="G16" s="420" t="s">
        <v>192</v>
      </c>
      <c r="H16" s="421"/>
      <c r="I16" s="254"/>
      <c r="J16" s="254"/>
      <c r="K16" s="257"/>
    </row>
    <row r="17" spans="1:12" x14ac:dyDescent="0.25">
      <c r="A17" s="422" t="s">
        <v>60</v>
      </c>
      <c r="B17" s="423"/>
      <c r="C17" s="260">
        <v>20</v>
      </c>
      <c r="D17" s="260" t="s">
        <v>61</v>
      </c>
      <c r="E17" s="424" t="s">
        <v>62</v>
      </c>
      <c r="F17" s="424"/>
      <c r="G17" s="425" t="s">
        <v>193</v>
      </c>
      <c r="H17" s="426"/>
      <c r="I17" s="254"/>
      <c r="J17" s="254"/>
      <c r="K17" s="257"/>
      <c r="L17" s="254"/>
    </row>
    <row r="18" spans="1:12" x14ac:dyDescent="0.25">
      <c r="A18" s="422" t="s">
        <v>63</v>
      </c>
      <c r="B18" s="423"/>
      <c r="C18" s="260">
        <v>27</v>
      </c>
      <c r="D18" s="260" t="s">
        <v>194</v>
      </c>
      <c r="E18" s="424" t="s">
        <v>65</v>
      </c>
      <c r="F18" s="424"/>
      <c r="G18" s="425" t="s">
        <v>195</v>
      </c>
      <c r="H18" s="426"/>
      <c r="I18" s="254"/>
      <c r="J18" s="254"/>
      <c r="K18" s="257"/>
      <c r="L18" s="254"/>
    </row>
    <row r="19" spans="1:12" x14ac:dyDescent="0.25">
      <c r="A19" s="422" t="s">
        <v>66</v>
      </c>
      <c r="B19" s="423"/>
      <c r="C19" s="260">
        <v>400</v>
      </c>
      <c r="D19" s="260" t="s">
        <v>22</v>
      </c>
      <c r="E19" s="427" t="s">
        <v>67</v>
      </c>
      <c r="F19" s="428"/>
      <c r="G19" s="425"/>
      <c r="H19" s="426"/>
      <c r="I19" s="254"/>
      <c r="J19" s="254"/>
      <c r="K19" s="257"/>
      <c r="L19" s="251"/>
    </row>
    <row r="20" spans="1:12" ht="15.75" thickBot="1" x14ac:dyDescent="0.3">
      <c r="A20" s="429" t="s">
        <v>68</v>
      </c>
      <c r="B20" s="430"/>
      <c r="C20" s="259">
        <v>350</v>
      </c>
      <c r="D20" s="258" t="s">
        <v>22</v>
      </c>
      <c r="E20" s="431"/>
      <c r="F20" s="431"/>
      <c r="G20" s="647"/>
      <c r="H20" s="648"/>
      <c r="I20" s="256"/>
      <c r="J20" s="256"/>
      <c r="K20" s="257"/>
      <c r="L20" s="256"/>
    </row>
    <row r="21" spans="1:12" ht="15.75" thickBot="1" x14ac:dyDescent="0.3">
      <c r="A21" s="432" t="s">
        <v>69</v>
      </c>
      <c r="B21" s="433"/>
      <c r="C21" s="433"/>
      <c r="D21" s="433"/>
      <c r="E21" s="433"/>
      <c r="F21" s="433"/>
      <c r="G21" s="433"/>
      <c r="H21" s="434"/>
      <c r="I21" s="254"/>
      <c r="J21" s="254"/>
      <c r="K21" s="254"/>
      <c r="L21" s="254"/>
    </row>
    <row r="22" spans="1:12" x14ac:dyDescent="0.25">
      <c r="A22" s="635" t="s">
        <v>196</v>
      </c>
      <c r="B22" s="636"/>
      <c r="C22" s="636"/>
      <c r="D22" s="636"/>
      <c r="E22" s="636"/>
      <c r="F22" s="636"/>
      <c r="G22" s="636"/>
      <c r="H22" s="637"/>
      <c r="I22" s="254"/>
      <c r="J22" s="254"/>
      <c r="K22" s="254"/>
      <c r="L22" s="254"/>
    </row>
    <row r="23" spans="1:12" x14ac:dyDescent="0.25">
      <c r="A23" s="638" t="s">
        <v>197</v>
      </c>
      <c r="B23" s="639"/>
      <c r="C23" s="639"/>
      <c r="D23" s="639"/>
      <c r="E23" s="639"/>
      <c r="F23" s="639"/>
      <c r="G23" s="639"/>
      <c r="H23" s="640"/>
      <c r="I23" s="254"/>
      <c r="J23" s="254"/>
      <c r="K23" s="254"/>
      <c r="L23" s="254"/>
    </row>
    <row r="24" spans="1:12" x14ac:dyDescent="0.25">
      <c r="A24" s="644"/>
      <c r="B24" s="645"/>
      <c r="C24" s="645"/>
      <c r="D24" s="645"/>
      <c r="E24" s="645"/>
      <c r="F24" s="645"/>
      <c r="G24" s="645"/>
      <c r="H24" s="646"/>
      <c r="I24" s="254"/>
      <c r="J24" s="254"/>
      <c r="K24" s="254"/>
      <c r="L24" s="254"/>
    </row>
    <row r="25" spans="1:12" ht="15.75" thickBot="1" x14ac:dyDescent="0.3">
      <c r="A25" s="634" t="s">
        <v>198</v>
      </c>
      <c r="B25" s="338"/>
      <c r="C25" s="338"/>
      <c r="D25" s="338"/>
      <c r="E25" s="338"/>
      <c r="F25" s="338"/>
      <c r="G25" s="338"/>
      <c r="H25" s="339"/>
      <c r="I25" s="254"/>
      <c r="J25" s="254"/>
      <c r="K25" s="254"/>
      <c r="L25" s="254"/>
    </row>
    <row r="27" spans="1:12" x14ac:dyDescent="0.25">
      <c r="A27" s="255"/>
      <c r="B27" s="255"/>
      <c r="C27" s="254"/>
      <c r="D27" s="254"/>
      <c r="E27" s="254"/>
      <c r="F27" s="254"/>
      <c r="G27" s="254"/>
      <c r="H27" s="254"/>
      <c r="I27" s="254"/>
      <c r="J27" s="254"/>
      <c r="K27" s="254"/>
      <c r="L27" s="254"/>
    </row>
  </sheetData>
  <mergeCells count="33">
    <mergeCell ref="C6:C7"/>
    <mergeCell ref="D6:E6"/>
    <mergeCell ref="F6:G6"/>
    <mergeCell ref="G3:G5"/>
    <mergeCell ref="G18:H18"/>
    <mergeCell ref="H3:H5"/>
    <mergeCell ref="C4:F4"/>
    <mergeCell ref="C5:F5"/>
    <mergeCell ref="A1:A5"/>
    <mergeCell ref="B1:F1"/>
    <mergeCell ref="B2:F2"/>
    <mergeCell ref="B3:F3"/>
    <mergeCell ref="A24:H24"/>
    <mergeCell ref="G20:H20"/>
    <mergeCell ref="A17:B17"/>
    <mergeCell ref="E17:F17"/>
    <mergeCell ref="G17:H17"/>
    <mergeCell ref="A18:B18"/>
    <mergeCell ref="E18:F18"/>
    <mergeCell ref="A16:B16"/>
    <mergeCell ref="E16:F16"/>
    <mergeCell ref="G16:H16"/>
    <mergeCell ref="A6:A7"/>
    <mergeCell ref="B6:B7"/>
    <mergeCell ref="A25:H25"/>
    <mergeCell ref="A19:B19"/>
    <mergeCell ref="E19:F19"/>
    <mergeCell ref="G19:H19"/>
    <mergeCell ref="A20:B20"/>
    <mergeCell ref="E20:F20"/>
    <mergeCell ref="A21:H21"/>
    <mergeCell ref="A22:H22"/>
    <mergeCell ref="A23:H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AEB5-C770-4DB2-A20D-2B560CE37F81}">
  <dimension ref="A1:Q91"/>
  <sheetViews>
    <sheetView topLeftCell="A27" workbookViewId="0">
      <selection activeCell="N29" sqref="N29"/>
    </sheetView>
  </sheetViews>
  <sheetFormatPr baseColWidth="10" defaultColWidth="8.42578125" defaultRowHeight="12.75" x14ac:dyDescent="0.25"/>
  <cols>
    <col min="1" max="1" width="10" style="62" bestFit="1" customWidth="1"/>
    <col min="2" max="2" width="44.28515625" style="62" bestFit="1" customWidth="1"/>
    <col min="3" max="3" width="10.42578125" style="62" bestFit="1" customWidth="1"/>
    <col min="4" max="4" width="10.42578125" style="62" customWidth="1"/>
    <col min="5" max="5" width="9.7109375" style="62" bestFit="1" customWidth="1"/>
    <col min="6" max="6" width="9.5703125" style="62" bestFit="1" customWidth="1"/>
    <col min="7" max="7" width="9.5703125" style="211" bestFit="1" customWidth="1"/>
    <col min="8" max="8" width="10.42578125" style="137" bestFit="1" customWidth="1"/>
    <col min="9" max="9" width="4.5703125" style="137" customWidth="1"/>
    <col min="10" max="10" width="1.85546875" style="61" customWidth="1"/>
    <col min="11" max="11" width="7" style="62" bestFit="1" customWidth="1"/>
    <col min="12" max="12" width="6.28515625" style="62" customWidth="1"/>
    <col min="13" max="13" width="20.42578125" style="62" customWidth="1"/>
    <col min="14" max="14" width="6.42578125" style="62" bestFit="1" customWidth="1"/>
    <col min="15" max="15" width="8.85546875" style="62" customWidth="1"/>
    <col min="16" max="16" width="8.42578125" style="62"/>
    <col min="17" max="17" width="3.28515625" style="62" customWidth="1"/>
    <col min="18" max="256" width="8.42578125" style="62"/>
    <col min="257" max="257" width="10" style="62" bestFit="1" customWidth="1"/>
    <col min="258" max="258" width="44.28515625" style="62" bestFit="1" customWidth="1"/>
    <col min="259" max="259" width="10.42578125" style="62" bestFit="1" customWidth="1"/>
    <col min="260" max="260" width="10.42578125" style="62" customWidth="1"/>
    <col min="261" max="261" width="9.7109375" style="62" bestFit="1" customWidth="1"/>
    <col min="262" max="263" width="9.5703125" style="62" bestFit="1" customWidth="1"/>
    <col min="264" max="264" width="10.42578125" style="62" bestFit="1" customWidth="1"/>
    <col min="265" max="265" width="4.5703125" style="62" customWidth="1"/>
    <col min="266" max="266" width="1.85546875" style="62" customWidth="1"/>
    <col min="267" max="267" width="7" style="62" bestFit="1" customWidth="1"/>
    <col min="268" max="268" width="6.28515625" style="62" customWidth="1"/>
    <col min="269" max="269" width="20.42578125" style="62" customWidth="1"/>
    <col min="270" max="270" width="6.42578125" style="62" bestFit="1" customWidth="1"/>
    <col min="271" max="272" width="8.42578125" style="62"/>
    <col min="273" max="273" width="3.28515625" style="62" customWidth="1"/>
    <col min="274" max="512" width="8.42578125" style="62"/>
    <col min="513" max="513" width="10" style="62" bestFit="1" customWidth="1"/>
    <col min="514" max="514" width="44.28515625" style="62" bestFit="1" customWidth="1"/>
    <col min="515" max="515" width="10.42578125" style="62" bestFit="1" customWidth="1"/>
    <col min="516" max="516" width="10.42578125" style="62" customWidth="1"/>
    <col min="517" max="517" width="9.7109375" style="62" bestFit="1" customWidth="1"/>
    <col min="518" max="519" width="9.5703125" style="62" bestFit="1" customWidth="1"/>
    <col min="520" max="520" width="10.42578125" style="62" bestFit="1" customWidth="1"/>
    <col min="521" max="521" width="4.5703125" style="62" customWidth="1"/>
    <col min="522" max="522" width="1.85546875" style="62" customWidth="1"/>
    <col min="523" max="523" width="7" style="62" bestFit="1" customWidth="1"/>
    <col min="524" max="524" width="6.28515625" style="62" customWidth="1"/>
    <col min="525" max="525" width="20.42578125" style="62" customWidth="1"/>
    <col min="526" max="526" width="6.42578125" style="62" bestFit="1" customWidth="1"/>
    <col min="527" max="528" width="8.42578125" style="62"/>
    <col min="529" max="529" width="3.28515625" style="62" customWidth="1"/>
    <col min="530" max="768" width="8.42578125" style="62"/>
    <col min="769" max="769" width="10" style="62" bestFit="1" customWidth="1"/>
    <col min="770" max="770" width="44.28515625" style="62" bestFit="1" customWidth="1"/>
    <col min="771" max="771" width="10.42578125" style="62" bestFit="1" customWidth="1"/>
    <col min="772" max="772" width="10.42578125" style="62" customWidth="1"/>
    <col min="773" max="773" width="9.7109375" style="62" bestFit="1" customWidth="1"/>
    <col min="774" max="775" width="9.5703125" style="62" bestFit="1" customWidth="1"/>
    <col min="776" max="776" width="10.42578125" style="62" bestFit="1" customWidth="1"/>
    <col min="777" max="777" width="4.5703125" style="62" customWidth="1"/>
    <col min="778" max="778" width="1.85546875" style="62" customWidth="1"/>
    <col min="779" max="779" width="7" style="62" bestFit="1" customWidth="1"/>
    <col min="780" max="780" width="6.28515625" style="62" customWidth="1"/>
    <col min="781" max="781" width="20.42578125" style="62" customWidth="1"/>
    <col min="782" max="782" width="6.42578125" style="62" bestFit="1" customWidth="1"/>
    <col min="783" max="784" width="8.42578125" style="62"/>
    <col min="785" max="785" width="3.28515625" style="62" customWidth="1"/>
    <col min="786" max="1024" width="8.42578125" style="62"/>
    <col min="1025" max="1025" width="10" style="62" bestFit="1" customWidth="1"/>
    <col min="1026" max="1026" width="44.28515625" style="62" bestFit="1" customWidth="1"/>
    <col min="1027" max="1027" width="10.42578125" style="62" bestFit="1" customWidth="1"/>
    <col min="1028" max="1028" width="10.42578125" style="62" customWidth="1"/>
    <col min="1029" max="1029" width="9.7109375" style="62" bestFit="1" customWidth="1"/>
    <col min="1030" max="1031" width="9.5703125" style="62" bestFit="1" customWidth="1"/>
    <col min="1032" max="1032" width="10.42578125" style="62" bestFit="1" customWidth="1"/>
    <col min="1033" max="1033" width="4.5703125" style="62" customWidth="1"/>
    <col min="1034" max="1034" width="1.85546875" style="62" customWidth="1"/>
    <col min="1035" max="1035" width="7" style="62" bestFit="1" customWidth="1"/>
    <col min="1036" max="1036" width="6.28515625" style="62" customWidth="1"/>
    <col min="1037" max="1037" width="20.42578125" style="62" customWidth="1"/>
    <col min="1038" max="1038" width="6.42578125" style="62" bestFit="1" customWidth="1"/>
    <col min="1039" max="1040" width="8.42578125" style="62"/>
    <col min="1041" max="1041" width="3.28515625" style="62" customWidth="1"/>
    <col min="1042" max="1280" width="8.42578125" style="62"/>
    <col min="1281" max="1281" width="10" style="62" bestFit="1" customWidth="1"/>
    <col min="1282" max="1282" width="44.28515625" style="62" bestFit="1" customWidth="1"/>
    <col min="1283" max="1283" width="10.42578125" style="62" bestFit="1" customWidth="1"/>
    <col min="1284" max="1284" width="10.42578125" style="62" customWidth="1"/>
    <col min="1285" max="1285" width="9.7109375" style="62" bestFit="1" customWidth="1"/>
    <col min="1286" max="1287" width="9.5703125" style="62" bestFit="1" customWidth="1"/>
    <col min="1288" max="1288" width="10.42578125" style="62" bestFit="1" customWidth="1"/>
    <col min="1289" max="1289" width="4.5703125" style="62" customWidth="1"/>
    <col min="1290" max="1290" width="1.85546875" style="62" customWidth="1"/>
    <col min="1291" max="1291" width="7" style="62" bestFit="1" customWidth="1"/>
    <col min="1292" max="1292" width="6.28515625" style="62" customWidth="1"/>
    <col min="1293" max="1293" width="20.42578125" style="62" customWidth="1"/>
    <col min="1294" max="1294" width="6.42578125" style="62" bestFit="1" customWidth="1"/>
    <col min="1295" max="1296" width="8.42578125" style="62"/>
    <col min="1297" max="1297" width="3.28515625" style="62" customWidth="1"/>
    <col min="1298" max="1536" width="8.42578125" style="62"/>
    <col min="1537" max="1537" width="10" style="62" bestFit="1" customWidth="1"/>
    <col min="1538" max="1538" width="44.28515625" style="62" bestFit="1" customWidth="1"/>
    <col min="1539" max="1539" width="10.42578125" style="62" bestFit="1" customWidth="1"/>
    <col min="1540" max="1540" width="10.42578125" style="62" customWidth="1"/>
    <col min="1541" max="1541" width="9.7109375" style="62" bestFit="1" customWidth="1"/>
    <col min="1542" max="1543" width="9.5703125" style="62" bestFit="1" customWidth="1"/>
    <col min="1544" max="1544" width="10.42578125" style="62" bestFit="1" customWidth="1"/>
    <col min="1545" max="1545" width="4.5703125" style="62" customWidth="1"/>
    <col min="1546" max="1546" width="1.85546875" style="62" customWidth="1"/>
    <col min="1547" max="1547" width="7" style="62" bestFit="1" customWidth="1"/>
    <col min="1548" max="1548" width="6.28515625" style="62" customWidth="1"/>
    <col min="1549" max="1549" width="20.42578125" style="62" customWidth="1"/>
    <col min="1550" max="1550" width="6.42578125" style="62" bestFit="1" customWidth="1"/>
    <col min="1551" max="1552" width="8.42578125" style="62"/>
    <col min="1553" max="1553" width="3.28515625" style="62" customWidth="1"/>
    <col min="1554" max="1792" width="8.42578125" style="62"/>
    <col min="1793" max="1793" width="10" style="62" bestFit="1" customWidth="1"/>
    <col min="1794" max="1794" width="44.28515625" style="62" bestFit="1" customWidth="1"/>
    <col min="1795" max="1795" width="10.42578125" style="62" bestFit="1" customWidth="1"/>
    <col min="1796" max="1796" width="10.42578125" style="62" customWidth="1"/>
    <col min="1797" max="1797" width="9.7109375" style="62" bestFit="1" customWidth="1"/>
    <col min="1798" max="1799" width="9.5703125" style="62" bestFit="1" customWidth="1"/>
    <col min="1800" max="1800" width="10.42578125" style="62" bestFit="1" customWidth="1"/>
    <col min="1801" max="1801" width="4.5703125" style="62" customWidth="1"/>
    <col min="1802" max="1802" width="1.85546875" style="62" customWidth="1"/>
    <col min="1803" max="1803" width="7" style="62" bestFit="1" customWidth="1"/>
    <col min="1804" max="1804" width="6.28515625" style="62" customWidth="1"/>
    <col min="1805" max="1805" width="20.42578125" style="62" customWidth="1"/>
    <col min="1806" max="1806" width="6.42578125" style="62" bestFit="1" customWidth="1"/>
    <col min="1807" max="1808" width="8.42578125" style="62"/>
    <col min="1809" max="1809" width="3.28515625" style="62" customWidth="1"/>
    <col min="1810" max="2048" width="8.42578125" style="62"/>
    <col min="2049" max="2049" width="10" style="62" bestFit="1" customWidth="1"/>
    <col min="2050" max="2050" width="44.28515625" style="62" bestFit="1" customWidth="1"/>
    <col min="2051" max="2051" width="10.42578125" style="62" bestFit="1" customWidth="1"/>
    <col min="2052" max="2052" width="10.42578125" style="62" customWidth="1"/>
    <col min="2053" max="2053" width="9.7109375" style="62" bestFit="1" customWidth="1"/>
    <col min="2054" max="2055" width="9.5703125" style="62" bestFit="1" customWidth="1"/>
    <col min="2056" max="2056" width="10.42578125" style="62" bestFit="1" customWidth="1"/>
    <col min="2057" max="2057" width="4.5703125" style="62" customWidth="1"/>
    <col min="2058" max="2058" width="1.85546875" style="62" customWidth="1"/>
    <col min="2059" max="2059" width="7" style="62" bestFit="1" customWidth="1"/>
    <col min="2060" max="2060" width="6.28515625" style="62" customWidth="1"/>
    <col min="2061" max="2061" width="20.42578125" style="62" customWidth="1"/>
    <col min="2062" max="2062" width="6.42578125" style="62" bestFit="1" customWidth="1"/>
    <col min="2063" max="2064" width="8.42578125" style="62"/>
    <col min="2065" max="2065" width="3.28515625" style="62" customWidth="1"/>
    <col min="2066" max="2304" width="8.42578125" style="62"/>
    <col min="2305" max="2305" width="10" style="62" bestFit="1" customWidth="1"/>
    <col min="2306" max="2306" width="44.28515625" style="62" bestFit="1" customWidth="1"/>
    <col min="2307" max="2307" width="10.42578125" style="62" bestFit="1" customWidth="1"/>
    <col min="2308" max="2308" width="10.42578125" style="62" customWidth="1"/>
    <col min="2309" max="2309" width="9.7109375" style="62" bestFit="1" customWidth="1"/>
    <col min="2310" max="2311" width="9.5703125" style="62" bestFit="1" customWidth="1"/>
    <col min="2312" max="2312" width="10.42578125" style="62" bestFit="1" customWidth="1"/>
    <col min="2313" max="2313" width="4.5703125" style="62" customWidth="1"/>
    <col min="2314" max="2314" width="1.85546875" style="62" customWidth="1"/>
    <col min="2315" max="2315" width="7" style="62" bestFit="1" customWidth="1"/>
    <col min="2316" max="2316" width="6.28515625" style="62" customWidth="1"/>
    <col min="2317" max="2317" width="20.42578125" style="62" customWidth="1"/>
    <col min="2318" max="2318" width="6.42578125" style="62" bestFit="1" customWidth="1"/>
    <col min="2319" max="2320" width="8.42578125" style="62"/>
    <col min="2321" max="2321" width="3.28515625" style="62" customWidth="1"/>
    <col min="2322" max="2560" width="8.42578125" style="62"/>
    <col min="2561" max="2561" width="10" style="62" bestFit="1" customWidth="1"/>
    <col min="2562" max="2562" width="44.28515625" style="62" bestFit="1" customWidth="1"/>
    <col min="2563" max="2563" width="10.42578125" style="62" bestFit="1" customWidth="1"/>
    <col min="2564" max="2564" width="10.42578125" style="62" customWidth="1"/>
    <col min="2565" max="2565" width="9.7109375" style="62" bestFit="1" customWidth="1"/>
    <col min="2566" max="2567" width="9.5703125" style="62" bestFit="1" customWidth="1"/>
    <col min="2568" max="2568" width="10.42578125" style="62" bestFit="1" customWidth="1"/>
    <col min="2569" max="2569" width="4.5703125" style="62" customWidth="1"/>
    <col min="2570" max="2570" width="1.85546875" style="62" customWidth="1"/>
    <col min="2571" max="2571" width="7" style="62" bestFit="1" customWidth="1"/>
    <col min="2572" max="2572" width="6.28515625" style="62" customWidth="1"/>
    <col min="2573" max="2573" width="20.42578125" style="62" customWidth="1"/>
    <col min="2574" max="2574" width="6.42578125" style="62" bestFit="1" customWidth="1"/>
    <col min="2575" max="2576" width="8.42578125" style="62"/>
    <col min="2577" max="2577" width="3.28515625" style="62" customWidth="1"/>
    <col min="2578" max="2816" width="8.42578125" style="62"/>
    <col min="2817" max="2817" width="10" style="62" bestFit="1" customWidth="1"/>
    <col min="2818" max="2818" width="44.28515625" style="62" bestFit="1" customWidth="1"/>
    <col min="2819" max="2819" width="10.42578125" style="62" bestFit="1" customWidth="1"/>
    <col min="2820" max="2820" width="10.42578125" style="62" customWidth="1"/>
    <col min="2821" max="2821" width="9.7109375" style="62" bestFit="1" customWidth="1"/>
    <col min="2822" max="2823" width="9.5703125" style="62" bestFit="1" customWidth="1"/>
    <col min="2824" max="2824" width="10.42578125" style="62" bestFit="1" customWidth="1"/>
    <col min="2825" max="2825" width="4.5703125" style="62" customWidth="1"/>
    <col min="2826" max="2826" width="1.85546875" style="62" customWidth="1"/>
    <col min="2827" max="2827" width="7" style="62" bestFit="1" customWidth="1"/>
    <col min="2828" max="2828" width="6.28515625" style="62" customWidth="1"/>
    <col min="2829" max="2829" width="20.42578125" style="62" customWidth="1"/>
    <col min="2830" max="2830" width="6.42578125" style="62" bestFit="1" customWidth="1"/>
    <col min="2831" max="2832" width="8.42578125" style="62"/>
    <col min="2833" max="2833" width="3.28515625" style="62" customWidth="1"/>
    <col min="2834" max="3072" width="8.42578125" style="62"/>
    <col min="3073" max="3073" width="10" style="62" bestFit="1" customWidth="1"/>
    <col min="3074" max="3074" width="44.28515625" style="62" bestFit="1" customWidth="1"/>
    <col min="3075" max="3075" width="10.42578125" style="62" bestFit="1" customWidth="1"/>
    <col min="3076" max="3076" width="10.42578125" style="62" customWidth="1"/>
    <col min="3077" max="3077" width="9.7109375" style="62" bestFit="1" customWidth="1"/>
    <col min="3078" max="3079" width="9.5703125" style="62" bestFit="1" customWidth="1"/>
    <col min="3080" max="3080" width="10.42578125" style="62" bestFit="1" customWidth="1"/>
    <col min="3081" max="3081" width="4.5703125" style="62" customWidth="1"/>
    <col min="3082" max="3082" width="1.85546875" style="62" customWidth="1"/>
    <col min="3083" max="3083" width="7" style="62" bestFit="1" customWidth="1"/>
    <col min="3084" max="3084" width="6.28515625" style="62" customWidth="1"/>
    <col min="3085" max="3085" width="20.42578125" style="62" customWidth="1"/>
    <col min="3086" max="3086" width="6.42578125" style="62" bestFit="1" customWidth="1"/>
    <col min="3087" max="3088" width="8.42578125" style="62"/>
    <col min="3089" max="3089" width="3.28515625" style="62" customWidth="1"/>
    <col min="3090" max="3328" width="8.42578125" style="62"/>
    <col min="3329" max="3329" width="10" style="62" bestFit="1" customWidth="1"/>
    <col min="3330" max="3330" width="44.28515625" style="62" bestFit="1" customWidth="1"/>
    <col min="3331" max="3331" width="10.42578125" style="62" bestFit="1" customWidth="1"/>
    <col min="3332" max="3332" width="10.42578125" style="62" customWidth="1"/>
    <col min="3333" max="3333" width="9.7109375" style="62" bestFit="1" customWidth="1"/>
    <col min="3334" max="3335" width="9.5703125" style="62" bestFit="1" customWidth="1"/>
    <col min="3336" max="3336" width="10.42578125" style="62" bestFit="1" customWidth="1"/>
    <col min="3337" max="3337" width="4.5703125" style="62" customWidth="1"/>
    <col min="3338" max="3338" width="1.85546875" style="62" customWidth="1"/>
    <col min="3339" max="3339" width="7" style="62" bestFit="1" customWidth="1"/>
    <col min="3340" max="3340" width="6.28515625" style="62" customWidth="1"/>
    <col min="3341" max="3341" width="20.42578125" style="62" customWidth="1"/>
    <col min="3342" max="3342" width="6.42578125" style="62" bestFit="1" customWidth="1"/>
    <col min="3343" max="3344" width="8.42578125" style="62"/>
    <col min="3345" max="3345" width="3.28515625" style="62" customWidth="1"/>
    <col min="3346" max="3584" width="8.42578125" style="62"/>
    <col min="3585" max="3585" width="10" style="62" bestFit="1" customWidth="1"/>
    <col min="3586" max="3586" width="44.28515625" style="62" bestFit="1" customWidth="1"/>
    <col min="3587" max="3587" width="10.42578125" style="62" bestFit="1" customWidth="1"/>
    <col min="3588" max="3588" width="10.42578125" style="62" customWidth="1"/>
    <col min="3589" max="3589" width="9.7109375" style="62" bestFit="1" customWidth="1"/>
    <col min="3590" max="3591" width="9.5703125" style="62" bestFit="1" customWidth="1"/>
    <col min="3592" max="3592" width="10.42578125" style="62" bestFit="1" customWidth="1"/>
    <col min="3593" max="3593" width="4.5703125" style="62" customWidth="1"/>
    <col min="3594" max="3594" width="1.85546875" style="62" customWidth="1"/>
    <col min="3595" max="3595" width="7" style="62" bestFit="1" customWidth="1"/>
    <col min="3596" max="3596" width="6.28515625" style="62" customWidth="1"/>
    <col min="3597" max="3597" width="20.42578125" style="62" customWidth="1"/>
    <col min="3598" max="3598" width="6.42578125" style="62" bestFit="1" customWidth="1"/>
    <col min="3599" max="3600" width="8.42578125" style="62"/>
    <col min="3601" max="3601" width="3.28515625" style="62" customWidth="1"/>
    <col min="3602" max="3840" width="8.42578125" style="62"/>
    <col min="3841" max="3841" width="10" style="62" bestFit="1" customWidth="1"/>
    <col min="3842" max="3842" width="44.28515625" style="62" bestFit="1" customWidth="1"/>
    <col min="3843" max="3843" width="10.42578125" style="62" bestFit="1" customWidth="1"/>
    <col min="3844" max="3844" width="10.42578125" style="62" customWidth="1"/>
    <col min="3845" max="3845" width="9.7109375" style="62" bestFit="1" customWidth="1"/>
    <col min="3846" max="3847" width="9.5703125" style="62" bestFit="1" customWidth="1"/>
    <col min="3848" max="3848" width="10.42578125" style="62" bestFit="1" customWidth="1"/>
    <col min="3849" max="3849" width="4.5703125" style="62" customWidth="1"/>
    <col min="3850" max="3850" width="1.85546875" style="62" customWidth="1"/>
    <col min="3851" max="3851" width="7" style="62" bestFit="1" customWidth="1"/>
    <col min="3852" max="3852" width="6.28515625" style="62" customWidth="1"/>
    <col min="3853" max="3853" width="20.42578125" style="62" customWidth="1"/>
    <col min="3854" max="3854" width="6.42578125" style="62" bestFit="1" customWidth="1"/>
    <col min="3855" max="3856" width="8.42578125" style="62"/>
    <col min="3857" max="3857" width="3.28515625" style="62" customWidth="1"/>
    <col min="3858" max="4096" width="8.42578125" style="62"/>
    <col min="4097" max="4097" width="10" style="62" bestFit="1" customWidth="1"/>
    <col min="4098" max="4098" width="44.28515625" style="62" bestFit="1" customWidth="1"/>
    <col min="4099" max="4099" width="10.42578125" style="62" bestFit="1" customWidth="1"/>
    <col min="4100" max="4100" width="10.42578125" style="62" customWidth="1"/>
    <col min="4101" max="4101" width="9.7109375" style="62" bestFit="1" customWidth="1"/>
    <col min="4102" max="4103" width="9.5703125" style="62" bestFit="1" customWidth="1"/>
    <col min="4104" max="4104" width="10.42578125" style="62" bestFit="1" customWidth="1"/>
    <col min="4105" max="4105" width="4.5703125" style="62" customWidth="1"/>
    <col min="4106" max="4106" width="1.85546875" style="62" customWidth="1"/>
    <col min="4107" max="4107" width="7" style="62" bestFit="1" customWidth="1"/>
    <col min="4108" max="4108" width="6.28515625" style="62" customWidth="1"/>
    <col min="4109" max="4109" width="20.42578125" style="62" customWidth="1"/>
    <col min="4110" max="4110" width="6.42578125" style="62" bestFit="1" customWidth="1"/>
    <col min="4111" max="4112" width="8.42578125" style="62"/>
    <col min="4113" max="4113" width="3.28515625" style="62" customWidth="1"/>
    <col min="4114" max="4352" width="8.42578125" style="62"/>
    <col min="4353" max="4353" width="10" style="62" bestFit="1" customWidth="1"/>
    <col min="4354" max="4354" width="44.28515625" style="62" bestFit="1" customWidth="1"/>
    <col min="4355" max="4355" width="10.42578125" style="62" bestFit="1" customWidth="1"/>
    <col min="4356" max="4356" width="10.42578125" style="62" customWidth="1"/>
    <col min="4357" max="4357" width="9.7109375" style="62" bestFit="1" customWidth="1"/>
    <col min="4358" max="4359" width="9.5703125" style="62" bestFit="1" customWidth="1"/>
    <col min="4360" max="4360" width="10.42578125" style="62" bestFit="1" customWidth="1"/>
    <col min="4361" max="4361" width="4.5703125" style="62" customWidth="1"/>
    <col min="4362" max="4362" width="1.85546875" style="62" customWidth="1"/>
    <col min="4363" max="4363" width="7" style="62" bestFit="1" customWidth="1"/>
    <col min="4364" max="4364" width="6.28515625" style="62" customWidth="1"/>
    <col min="4365" max="4365" width="20.42578125" style="62" customWidth="1"/>
    <col min="4366" max="4366" width="6.42578125" style="62" bestFit="1" customWidth="1"/>
    <col min="4367" max="4368" width="8.42578125" style="62"/>
    <col min="4369" max="4369" width="3.28515625" style="62" customWidth="1"/>
    <col min="4370" max="4608" width="8.42578125" style="62"/>
    <col min="4609" max="4609" width="10" style="62" bestFit="1" customWidth="1"/>
    <col min="4610" max="4610" width="44.28515625" style="62" bestFit="1" customWidth="1"/>
    <col min="4611" max="4611" width="10.42578125" style="62" bestFit="1" customWidth="1"/>
    <col min="4612" max="4612" width="10.42578125" style="62" customWidth="1"/>
    <col min="4613" max="4613" width="9.7109375" style="62" bestFit="1" customWidth="1"/>
    <col min="4614" max="4615" width="9.5703125" style="62" bestFit="1" customWidth="1"/>
    <col min="4616" max="4616" width="10.42578125" style="62" bestFit="1" customWidth="1"/>
    <col min="4617" max="4617" width="4.5703125" style="62" customWidth="1"/>
    <col min="4618" max="4618" width="1.85546875" style="62" customWidth="1"/>
    <col min="4619" max="4619" width="7" style="62" bestFit="1" customWidth="1"/>
    <col min="4620" max="4620" width="6.28515625" style="62" customWidth="1"/>
    <col min="4621" max="4621" width="20.42578125" style="62" customWidth="1"/>
    <col min="4622" max="4622" width="6.42578125" style="62" bestFit="1" customWidth="1"/>
    <col min="4623" max="4624" width="8.42578125" style="62"/>
    <col min="4625" max="4625" width="3.28515625" style="62" customWidth="1"/>
    <col min="4626" max="4864" width="8.42578125" style="62"/>
    <col min="4865" max="4865" width="10" style="62" bestFit="1" customWidth="1"/>
    <col min="4866" max="4866" width="44.28515625" style="62" bestFit="1" customWidth="1"/>
    <col min="4867" max="4867" width="10.42578125" style="62" bestFit="1" customWidth="1"/>
    <col min="4868" max="4868" width="10.42578125" style="62" customWidth="1"/>
    <col min="4869" max="4869" width="9.7109375" style="62" bestFit="1" customWidth="1"/>
    <col min="4870" max="4871" width="9.5703125" style="62" bestFit="1" customWidth="1"/>
    <col min="4872" max="4872" width="10.42578125" style="62" bestFit="1" customWidth="1"/>
    <col min="4873" max="4873" width="4.5703125" style="62" customWidth="1"/>
    <col min="4874" max="4874" width="1.85546875" style="62" customWidth="1"/>
    <col min="4875" max="4875" width="7" style="62" bestFit="1" customWidth="1"/>
    <col min="4876" max="4876" width="6.28515625" style="62" customWidth="1"/>
    <col min="4877" max="4877" width="20.42578125" style="62" customWidth="1"/>
    <col min="4878" max="4878" width="6.42578125" style="62" bestFit="1" customWidth="1"/>
    <col min="4879" max="4880" width="8.42578125" style="62"/>
    <col min="4881" max="4881" width="3.28515625" style="62" customWidth="1"/>
    <col min="4882" max="5120" width="8.42578125" style="62"/>
    <col min="5121" max="5121" width="10" style="62" bestFit="1" customWidth="1"/>
    <col min="5122" max="5122" width="44.28515625" style="62" bestFit="1" customWidth="1"/>
    <col min="5123" max="5123" width="10.42578125" style="62" bestFit="1" customWidth="1"/>
    <col min="5124" max="5124" width="10.42578125" style="62" customWidth="1"/>
    <col min="5125" max="5125" width="9.7109375" style="62" bestFit="1" customWidth="1"/>
    <col min="5126" max="5127" width="9.5703125" style="62" bestFit="1" customWidth="1"/>
    <col min="5128" max="5128" width="10.42578125" style="62" bestFit="1" customWidth="1"/>
    <col min="5129" max="5129" width="4.5703125" style="62" customWidth="1"/>
    <col min="5130" max="5130" width="1.85546875" style="62" customWidth="1"/>
    <col min="5131" max="5131" width="7" style="62" bestFit="1" customWidth="1"/>
    <col min="5132" max="5132" width="6.28515625" style="62" customWidth="1"/>
    <col min="5133" max="5133" width="20.42578125" style="62" customWidth="1"/>
    <col min="5134" max="5134" width="6.42578125" style="62" bestFit="1" customWidth="1"/>
    <col min="5135" max="5136" width="8.42578125" style="62"/>
    <col min="5137" max="5137" width="3.28515625" style="62" customWidth="1"/>
    <col min="5138" max="5376" width="8.42578125" style="62"/>
    <col min="5377" max="5377" width="10" style="62" bestFit="1" customWidth="1"/>
    <col min="5378" max="5378" width="44.28515625" style="62" bestFit="1" customWidth="1"/>
    <col min="5379" max="5379" width="10.42578125" style="62" bestFit="1" customWidth="1"/>
    <col min="5380" max="5380" width="10.42578125" style="62" customWidth="1"/>
    <col min="5381" max="5381" width="9.7109375" style="62" bestFit="1" customWidth="1"/>
    <col min="5382" max="5383" width="9.5703125" style="62" bestFit="1" customWidth="1"/>
    <col min="5384" max="5384" width="10.42578125" style="62" bestFit="1" customWidth="1"/>
    <col min="5385" max="5385" width="4.5703125" style="62" customWidth="1"/>
    <col min="5386" max="5386" width="1.85546875" style="62" customWidth="1"/>
    <col min="5387" max="5387" width="7" style="62" bestFit="1" customWidth="1"/>
    <col min="5388" max="5388" width="6.28515625" style="62" customWidth="1"/>
    <col min="5389" max="5389" width="20.42578125" style="62" customWidth="1"/>
    <col min="5390" max="5390" width="6.42578125" style="62" bestFit="1" customWidth="1"/>
    <col min="5391" max="5392" width="8.42578125" style="62"/>
    <col min="5393" max="5393" width="3.28515625" style="62" customWidth="1"/>
    <col min="5394" max="5632" width="8.42578125" style="62"/>
    <col min="5633" max="5633" width="10" style="62" bestFit="1" customWidth="1"/>
    <col min="5634" max="5634" width="44.28515625" style="62" bestFit="1" customWidth="1"/>
    <col min="5635" max="5635" width="10.42578125" style="62" bestFit="1" customWidth="1"/>
    <col min="5636" max="5636" width="10.42578125" style="62" customWidth="1"/>
    <col min="5637" max="5637" width="9.7109375" style="62" bestFit="1" customWidth="1"/>
    <col min="5638" max="5639" width="9.5703125" style="62" bestFit="1" customWidth="1"/>
    <col min="5640" max="5640" width="10.42578125" style="62" bestFit="1" customWidth="1"/>
    <col min="5641" max="5641" width="4.5703125" style="62" customWidth="1"/>
    <col min="5642" max="5642" width="1.85546875" style="62" customWidth="1"/>
    <col min="5643" max="5643" width="7" style="62" bestFit="1" customWidth="1"/>
    <col min="5644" max="5644" width="6.28515625" style="62" customWidth="1"/>
    <col min="5645" max="5645" width="20.42578125" style="62" customWidth="1"/>
    <col min="5646" max="5646" width="6.42578125" style="62" bestFit="1" customWidth="1"/>
    <col min="5647" max="5648" width="8.42578125" style="62"/>
    <col min="5649" max="5649" width="3.28515625" style="62" customWidth="1"/>
    <col min="5650" max="5888" width="8.42578125" style="62"/>
    <col min="5889" max="5889" width="10" style="62" bestFit="1" customWidth="1"/>
    <col min="5890" max="5890" width="44.28515625" style="62" bestFit="1" customWidth="1"/>
    <col min="5891" max="5891" width="10.42578125" style="62" bestFit="1" customWidth="1"/>
    <col min="5892" max="5892" width="10.42578125" style="62" customWidth="1"/>
    <col min="5893" max="5893" width="9.7109375" style="62" bestFit="1" customWidth="1"/>
    <col min="5894" max="5895" width="9.5703125" style="62" bestFit="1" customWidth="1"/>
    <col min="5896" max="5896" width="10.42578125" style="62" bestFit="1" customWidth="1"/>
    <col min="5897" max="5897" width="4.5703125" style="62" customWidth="1"/>
    <col min="5898" max="5898" width="1.85546875" style="62" customWidth="1"/>
    <col min="5899" max="5899" width="7" style="62" bestFit="1" customWidth="1"/>
    <col min="5900" max="5900" width="6.28515625" style="62" customWidth="1"/>
    <col min="5901" max="5901" width="20.42578125" style="62" customWidth="1"/>
    <col min="5902" max="5902" width="6.42578125" style="62" bestFit="1" customWidth="1"/>
    <col min="5903" max="5904" width="8.42578125" style="62"/>
    <col min="5905" max="5905" width="3.28515625" style="62" customWidth="1"/>
    <col min="5906" max="6144" width="8.42578125" style="62"/>
    <col min="6145" max="6145" width="10" style="62" bestFit="1" customWidth="1"/>
    <col min="6146" max="6146" width="44.28515625" style="62" bestFit="1" customWidth="1"/>
    <col min="6147" max="6147" width="10.42578125" style="62" bestFit="1" customWidth="1"/>
    <col min="6148" max="6148" width="10.42578125" style="62" customWidth="1"/>
    <col min="6149" max="6149" width="9.7109375" style="62" bestFit="1" customWidth="1"/>
    <col min="6150" max="6151" width="9.5703125" style="62" bestFit="1" customWidth="1"/>
    <col min="6152" max="6152" width="10.42578125" style="62" bestFit="1" customWidth="1"/>
    <col min="6153" max="6153" width="4.5703125" style="62" customWidth="1"/>
    <col min="6154" max="6154" width="1.85546875" style="62" customWidth="1"/>
    <col min="6155" max="6155" width="7" style="62" bestFit="1" customWidth="1"/>
    <col min="6156" max="6156" width="6.28515625" style="62" customWidth="1"/>
    <col min="6157" max="6157" width="20.42578125" style="62" customWidth="1"/>
    <col min="6158" max="6158" width="6.42578125" style="62" bestFit="1" customWidth="1"/>
    <col min="6159" max="6160" width="8.42578125" style="62"/>
    <col min="6161" max="6161" width="3.28515625" style="62" customWidth="1"/>
    <col min="6162" max="6400" width="8.42578125" style="62"/>
    <col min="6401" max="6401" width="10" style="62" bestFit="1" customWidth="1"/>
    <col min="6402" max="6402" width="44.28515625" style="62" bestFit="1" customWidth="1"/>
    <col min="6403" max="6403" width="10.42578125" style="62" bestFit="1" customWidth="1"/>
    <col min="6404" max="6404" width="10.42578125" style="62" customWidth="1"/>
    <col min="6405" max="6405" width="9.7109375" style="62" bestFit="1" customWidth="1"/>
    <col min="6406" max="6407" width="9.5703125" style="62" bestFit="1" customWidth="1"/>
    <col min="6408" max="6408" width="10.42578125" style="62" bestFit="1" customWidth="1"/>
    <col min="6409" max="6409" width="4.5703125" style="62" customWidth="1"/>
    <col min="6410" max="6410" width="1.85546875" style="62" customWidth="1"/>
    <col min="6411" max="6411" width="7" style="62" bestFit="1" customWidth="1"/>
    <col min="6412" max="6412" width="6.28515625" style="62" customWidth="1"/>
    <col min="6413" max="6413" width="20.42578125" style="62" customWidth="1"/>
    <col min="6414" max="6414" width="6.42578125" style="62" bestFit="1" customWidth="1"/>
    <col min="6415" max="6416" width="8.42578125" style="62"/>
    <col min="6417" max="6417" width="3.28515625" style="62" customWidth="1"/>
    <col min="6418" max="6656" width="8.42578125" style="62"/>
    <col min="6657" max="6657" width="10" style="62" bestFit="1" customWidth="1"/>
    <col min="6658" max="6658" width="44.28515625" style="62" bestFit="1" customWidth="1"/>
    <col min="6659" max="6659" width="10.42578125" style="62" bestFit="1" customWidth="1"/>
    <col min="6660" max="6660" width="10.42578125" style="62" customWidth="1"/>
    <col min="6661" max="6661" width="9.7109375" style="62" bestFit="1" customWidth="1"/>
    <col min="6662" max="6663" width="9.5703125" style="62" bestFit="1" customWidth="1"/>
    <col min="6664" max="6664" width="10.42578125" style="62" bestFit="1" customWidth="1"/>
    <col min="6665" max="6665" width="4.5703125" style="62" customWidth="1"/>
    <col min="6666" max="6666" width="1.85546875" style="62" customWidth="1"/>
    <col min="6667" max="6667" width="7" style="62" bestFit="1" customWidth="1"/>
    <col min="6668" max="6668" width="6.28515625" style="62" customWidth="1"/>
    <col min="6669" max="6669" width="20.42578125" style="62" customWidth="1"/>
    <col min="6670" max="6670" width="6.42578125" style="62" bestFit="1" customWidth="1"/>
    <col min="6671" max="6672" width="8.42578125" style="62"/>
    <col min="6673" max="6673" width="3.28515625" style="62" customWidth="1"/>
    <col min="6674" max="6912" width="8.42578125" style="62"/>
    <col min="6913" max="6913" width="10" style="62" bestFit="1" customWidth="1"/>
    <col min="6914" max="6914" width="44.28515625" style="62" bestFit="1" customWidth="1"/>
    <col min="6915" max="6915" width="10.42578125" style="62" bestFit="1" customWidth="1"/>
    <col min="6916" max="6916" width="10.42578125" style="62" customWidth="1"/>
    <col min="6917" max="6917" width="9.7109375" style="62" bestFit="1" customWidth="1"/>
    <col min="6918" max="6919" width="9.5703125" style="62" bestFit="1" customWidth="1"/>
    <col min="6920" max="6920" width="10.42578125" style="62" bestFit="1" customWidth="1"/>
    <col min="6921" max="6921" width="4.5703125" style="62" customWidth="1"/>
    <col min="6922" max="6922" width="1.85546875" style="62" customWidth="1"/>
    <col min="6923" max="6923" width="7" style="62" bestFit="1" customWidth="1"/>
    <col min="6924" max="6924" width="6.28515625" style="62" customWidth="1"/>
    <col min="6925" max="6925" width="20.42578125" style="62" customWidth="1"/>
    <col min="6926" max="6926" width="6.42578125" style="62" bestFit="1" customWidth="1"/>
    <col min="6927" max="6928" width="8.42578125" style="62"/>
    <col min="6929" max="6929" width="3.28515625" style="62" customWidth="1"/>
    <col min="6930" max="7168" width="8.42578125" style="62"/>
    <col min="7169" max="7169" width="10" style="62" bestFit="1" customWidth="1"/>
    <col min="7170" max="7170" width="44.28515625" style="62" bestFit="1" customWidth="1"/>
    <col min="7171" max="7171" width="10.42578125" style="62" bestFit="1" customWidth="1"/>
    <col min="7172" max="7172" width="10.42578125" style="62" customWidth="1"/>
    <col min="7173" max="7173" width="9.7109375" style="62" bestFit="1" customWidth="1"/>
    <col min="7174" max="7175" width="9.5703125" style="62" bestFit="1" customWidth="1"/>
    <col min="7176" max="7176" width="10.42578125" style="62" bestFit="1" customWidth="1"/>
    <col min="7177" max="7177" width="4.5703125" style="62" customWidth="1"/>
    <col min="7178" max="7178" width="1.85546875" style="62" customWidth="1"/>
    <col min="7179" max="7179" width="7" style="62" bestFit="1" customWidth="1"/>
    <col min="7180" max="7180" width="6.28515625" style="62" customWidth="1"/>
    <col min="7181" max="7181" width="20.42578125" style="62" customWidth="1"/>
    <col min="7182" max="7182" width="6.42578125" style="62" bestFit="1" customWidth="1"/>
    <col min="7183" max="7184" width="8.42578125" style="62"/>
    <col min="7185" max="7185" width="3.28515625" style="62" customWidth="1"/>
    <col min="7186" max="7424" width="8.42578125" style="62"/>
    <col min="7425" max="7425" width="10" style="62" bestFit="1" customWidth="1"/>
    <col min="7426" max="7426" width="44.28515625" style="62" bestFit="1" customWidth="1"/>
    <col min="7427" max="7427" width="10.42578125" style="62" bestFit="1" customWidth="1"/>
    <col min="7428" max="7428" width="10.42578125" style="62" customWidth="1"/>
    <col min="7429" max="7429" width="9.7109375" style="62" bestFit="1" customWidth="1"/>
    <col min="7430" max="7431" width="9.5703125" style="62" bestFit="1" customWidth="1"/>
    <col min="7432" max="7432" width="10.42578125" style="62" bestFit="1" customWidth="1"/>
    <col min="7433" max="7433" width="4.5703125" style="62" customWidth="1"/>
    <col min="7434" max="7434" width="1.85546875" style="62" customWidth="1"/>
    <col min="7435" max="7435" width="7" style="62" bestFit="1" customWidth="1"/>
    <col min="7436" max="7436" width="6.28515625" style="62" customWidth="1"/>
    <col min="7437" max="7437" width="20.42578125" style="62" customWidth="1"/>
    <col min="7438" max="7438" width="6.42578125" style="62" bestFit="1" customWidth="1"/>
    <col min="7439" max="7440" width="8.42578125" style="62"/>
    <col min="7441" max="7441" width="3.28515625" style="62" customWidth="1"/>
    <col min="7442" max="7680" width="8.42578125" style="62"/>
    <col min="7681" max="7681" width="10" style="62" bestFit="1" customWidth="1"/>
    <col min="7682" max="7682" width="44.28515625" style="62" bestFit="1" customWidth="1"/>
    <col min="7683" max="7683" width="10.42578125" style="62" bestFit="1" customWidth="1"/>
    <col min="7684" max="7684" width="10.42578125" style="62" customWidth="1"/>
    <col min="7685" max="7685" width="9.7109375" style="62" bestFit="1" customWidth="1"/>
    <col min="7686" max="7687" width="9.5703125" style="62" bestFit="1" customWidth="1"/>
    <col min="7688" max="7688" width="10.42578125" style="62" bestFit="1" customWidth="1"/>
    <col min="7689" max="7689" width="4.5703125" style="62" customWidth="1"/>
    <col min="7690" max="7690" width="1.85546875" style="62" customWidth="1"/>
    <col min="7691" max="7691" width="7" style="62" bestFit="1" customWidth="1"/>
    <col min="7692" max="7692" width="6.28515625" style="62" customWidth="1"/>
    <col min="7693" max="7693" width="20.42578125" style="62" customWidth="1"/>
    <col min="7694" max="7694" width="6.42578125" style="62" bestFit="1" customWidth="1"/>
    <col min="7695" max="7696" width="8.42578125" style="62"/>
    <col min="7697" max="7697" width="3.28515625" style="62" customWidth="1"/>
    <col min="7698" max="7936" width="8.42578125" style="62"/>
    <col min="7937" max="7937" width="10" style="62" bestFit="1" customWidth="1"/>
    <col min="7938" max="7938" width="44.28515625" style="62" bestFit="1" customWidth="1"/>
    <col min="7939" max="7939" width="10.42578125" style="62" bestFit="1" customWidth="1"/>
    <col min="7940" max="7940" width="10.42578125" style="62" customWidth="1"/>
    <col min="7941" max="7941" width="9.7109375" style="62" bestFit="1" customWidth="1"/>
    <col min="7942" max="7943" width="9.5703125" style="62" bestFit="1" customWidth="1"/>
    <col min="7944" max="7944" width="10.42578125" style="62" bestFit="1" customWidth="1"/>
    <col min="7945" max="7945" width="4.5703125" style="62" customWidth="1"/>
    <col min="7946" max="7946" width="1.85546875" style="62" customWidth="1"/>
    <col min="7947" max="7947" width="7" style="62" bestFit="1" customWidth="1"/>
    <col min="7948" max="7948" width="6.28515625" style="62" customWidth="1"/>
    <col min="7949" max="7949" width="20.42578125" style="62" customWidth="1"/>
    <col min="7950" max="7950" width="6.42578125" style="62" bestFit="1" customWidth="1"/>
    <col min="7951" max="7952" width="8.42578125" style="62"/>
    <col min="7953" max="7953" width="3.28515625" style="62" customWidth="1"/>
    <col min="7954" max="8192" width="8.42578125" style="62"/>
    <col min="8193" max="8193" width="10" style="62" bestFit="1" customWidth="1"/>
    <col min="8194" max="8194" width="44.28515625" style="62" bestFit="1" customWidth="1"/>
    <col min="8195" max="8195" width="10.42578125" style="62" bestFit="1" customWidth="1"/>
    <col min="8196" max="8196" width="10.42578125" style="62" customWidth="1"/>
    <col min="8197" max="8197" width="9.7109375" style="62" bestFit="1" customWidth="1"/>
    <col min="8198" max="8199" width="9.5703125" style="62" bestFit="1" customWidth="1"/>
    <col min="8200" max="8200" width="10.42578125" style="62" bestFit="1" customWidth="1"/>
    <col min="8201" max="8201" width="4.5703125" style="62" customWidth="1"/>
    <col min="8202" max="8202" width="1.85546875" style="62" customWidth="1"/>
    <col min="8203" max="8203" width="7" style="62" bestFit="1" customWidth="1"/>
    <col min="8204" max="8204" width="6.28515625" style="62" customWidth="1"/>
    <col min="8205" max="8205" width="20.42578125" style="62" customWidth="1"/>
    <col min="8206" max="8206" width="6.42578125" style="62" bestFit="1" customWidth="1"/>
    <col min="8207" max="8208" width="8.42578125" style="62"/>
    <col min="8209" max="8209" width="3.28515625" style="62" customWidth="1"/>
    <col min="8210" max="8448" width="8.42578125" style="62"/>
    <col min="8449" max="8449" width="10" style="62" bestFit="1" customWidth="1"/>
    <col min="8450" max="8450" width="44.28515625" style="62" bestFit="1" customWidth="1"/>
    <col min="8451" max="8451" width="10.42578125" style="62" bestFit="1" customWidth="1"/>
    <col min="8452" max="8452" width="10.42578125" style="62" customWidth="1"/>
    <col min="8453" max="8453" width="9.7109375" style="62" bestFit="1" customWidth="1"/>
    <col min="8454" max="8455" width="9.5703125" style="62" bestFit="1" customWidth="1"/>
    <col min="8456" max="8456" width="10.42578125" style="62" bestFit="1" customWidth="1"/>
    <col min="8457" max="8457" width="4.5703125" style="62" customWidth="1"/>
    <col min="8458" max="8458" width="1.85546875" style="62" customWidth="1"/>
    <col min="8459" max="8459" width="7" style="62" bestFit="1" customWidth="1"/>
    <col min="8460" max="8460" width="6.28515625" style="62" customWidth="1"/>
    <col min="8461" max="8461" width="20.42578125" style="62" customWidth="1"/>
    <col min="8462" max="8462" width="6.42578125" style="62" bestFit="1" customWidth="1"/>
    <col min="8463" max="8464" width="8.42578125" style="62"/>
    <col min="8465" max="8465" width="3.28515625" style="62" customWidth="1"/>
    <col min="8466" max="8704" width="8.42578125" style="62"/>
    <col min="8705" max="8705" width="10" style="62" bestFit="1" customWidth="1"/>
    <col min="8706" max="8706" width="44.28515625" style="62" bestFit="1" customWidth="1"/>
    <col min="8707" max="8707" width="10.42578125" style="62" bestFit="1" customWidth="1"/>
    <col min="8708" max="8708" width="10.42578125" style="62" customWidth="1"/>
    <col min="8709" max="8709" width="9.7109375" style="62" bestFit="1" customWidth="1"/>
    <col min="8710" max="8711" width="9.5703125" style="62" bestFit="1" customWidth="1"/>
    <col min="8712" max="8712" width="10.42578125" style="62" bestFit="1" customWidth="1"/>
    <col min="8713" max="8713" width="4.5703125" style="62" customWidth="1"/>
    <col min="8714" max="8714" width="1.85546875" style="62" customWidth="1"/>
    <col min="8715" max="8715" width="7" style="62" bestFit="1" customWidth="1"/>
    <col min="8716" max="8716" width="6.28515625" style="62" customWidth="1"/>
    <col min="8717" max="8717" width="20.42578125" style="62" customWidth="1"/>
    <col min="8718" max="8718" width="6.42578125" style="62" bestFit="1" customWidth="1"/>
    <col min="8719" max="8720" width="8.42578125" style="62"/>
    <col min="8721" max="8721" width="3.28515625" style="62" customWidth="1"/>
    <col min="8722" max="8960" width="8.42578125" style="62"/>
    <col min="8961" max="8961" width="10" style="62" bestFit="1" customWidth="1"/>
    <col min="8962" max="8962" width="44.28515625" style="62" bestFit="1" customWidth="1"/>
    <col min="8963" max="8963" width="10.42578125" style="62" bestFit="1" customWidth="1"/>
    <col min="8964" max="8964" width="10.42578125" style="62" customWidth="1"/>
    <col min="8965" max="8965" width="9.7109375" style="62" bestFit="1" customWidth="1"/>
    <col min="8966" max="8967" width="9.5703125" style="62" bestFit="1" customWidth="1"/>
    <col min="8968" max="8968" width="10.42578125" style="62" bestFit="1" customWidth="1"/>
    <col min="8969" max="8969" width="4.5703125" style="62" customWidth="1"/>
    <col min="8970" max="8970" width="1.85546875" style="62" customWidth="1"/>
    <col min="8971" max="8971" width="7" style="62" bestFit="1" customWidth="1"/>
    <col min="8972" max="8972" width="6.28515625" style="62" customWidth="1"/>
    <col min="8973" max="8973" width="20.42578125" style="62" customWidth="1"/>
    <col min="8974" max="8974" width="6.42578125" style="62" bestFit="1" customWidth="1"/>
    <col min="8975" max="8976" width="8.42578125" style="62"/>
    <col min="8977" max="8977" width="3.28515625" style="62" customWidth="1"/>
    <col min="8978" max="9216" width="8.42578125" style="62"/>
    <col min="9217" max="9217" width="10" style="62" bestFit="1" customWidth="1"/>
    <col min="9218" max="9218" width="44.28515625" style="62" bestFit="1" customWidth="1"/>
    <col min="9219" max="9219" width="10.42578125" style="62" bestFit="1" customWidth="1"/>
    <col min="9220" max="9220" width="10.42578125" style="62" customWidth="1"/>
    <col min="9221" max="9221" width="9.7109375" style="62" bestFit="1" customWidth="1"/>
    <col min="9222" max="9223" width="9.5703125" style="62" bestFit="1" customWidth="1"/>
    <col min="9224" max="9224" width="10.42578125" style="62" bestFit="1" customWidth="1"/>
    <col min="9225" max="9225" width="4.5703125" style="62" customWidth="1"/>
    <col min="9226" max="9226" width="1.85546875" style="62" customWidth="1"/>
    <col min="9227" max="9227" width="7" style="62" bestFit="1" customWidth="1"/>
    <col min="9228" max="9228" width="6.28515625" style="62" customWidth="1"/>
    <col min="9229" max="9229" width="20.42578125" style="62" customWidth="1"/>
    <col min="9230" max="9230" width="6.42578125" style="62" bestFit="1" customWidth="1"/>
    <col min="9231" max="9232" width="8.42578125" style="62"/>
    <col min="9233" max="9233" width="3.28515625" style="62" customWidth="1"/>
    <col min="9234" max="9472" width="8.42578125" style="62"/>
    <col min="9473" max="9473" width="10" style="62" bestFit="1" customWidth="1"/>
    <col min="9474" max="9474" width="44.28515625" style="62" bestFit="1" customWidth="1"/>
    <col min="9475" max="9475" width="10.42578125" style="62" bestFit="1" customWidth="1"/>
    <col min="9476" max="9476" width="10.42578125" style="62" customWidth="1"/>
    <col min="9477" max="9477" width="9.7109375" style="62" bestFit="1" customWidth="1"/>
    <col min="9478" max="9479" width="9.5703125" style="62" bestFit="1" customWidth="1"/>
    <col min="9480" max="9480" width="10.42578125" style="62" bestFit="1" customWidth="1"/>
    <col min="9481" max="9481" width="4.5703125" style="62" customWidth="1"/>
    <col min="9482" max="9482" width="1.85546875" style="62" customWidth="1"/>
    <col min="9483" max="9483" width="7" style="62" bestFit="1" customWidth="1"/>
    <col min="9484" max="9484" width="6.28515625" style="62" customWidth="1"/>
    <col min="9485" max="9485" width="20.42578125" style="62" customWidth="1"/>
    <col min="9486" max="9486" width="6.42578125" style="62" bestFit="1" customWidth="1"/>
    <col min="9487" max="9488" width="8.42578125" style="62"/>
    <col min="9489" max="9489" width="3.28515625" style="62" customWidth="1"/>
    <col min="9490" max="9728" width="8.42578125" style="62"/>
    <col min="9729" max="9729" width="10" style="62" bestFit="1" customWidth="1"/>
    <col min="9730" max="9730" width="44.28515625" style="62" bestFit="1" customWidth="1"/>
    <col min="9731" max="9731" width="10.42578125" style="62" bestFit="1" customWidth="1"/>
    <col min="9732" max="9732" width="10.42578125" style="62" customWidth="1"/>
    <col min="9733" max="9733" width="9.7109375" style="62" bestFit="1" customWidth="1"/>
    <col min="9734" max="9735" width="9.5703125" style="62" bestFit="1" customWidth="1"/>
    <col min="9736" max="9736" width="10.42578125" style="62" bestFit="1" customWidth="1"/>
    <col min="9737" max="9737" width="4.5703125" style="62" customWidth="1"/>
    <col min="9738" max="9738" width="1.85546875" style="62" customWidth="1"/>
    <col min="9739" max="9739" width="7" style="62" bestFit="1" customWidth="1"/>
    <col min="9740" max="9740" width="6.28515625" style="62" customWidth="1"/>
    <col min="9741" max="9741" width="20.42578125" style="62" customWidth="1"/>
    <col min="9742" max="9742" width="6.42578125" style="62" bestFit="1" customWidth="1"/>
    <col min="9743" max="9744" width="8.42578125" style="62"/>
    <col min="9745" max="9745" width="3.28515625" style="62" customWidth="1"/>
    <col min="9746" max="9984" width="8.42578125" style="62"/>
    <col min="9985" max="9985" width="10" style="62" bestFit="1" customWidth="1"/>
    <col min="9986" max="9986" width="44.28515625" style="62" bestFit="1" customWidth="1"/>
    <col min="9987" max="9987" width="10.42578125" style="62" bestFit="1" customWidth="1"/>
    <col min="9988" max="9988" width="10.42578125" style="62" customWidth="1"/>
    <col min="9989" max="9989" width="9.7109375" style="62" bestFit="1" customWidth="1"/>
    <col min="9990" max="9991" width="9.5703125" style="62" bestFit="1" customWidth="1"/>
    <col min="9992" max="9992" width="10.42578125" style="62" bestFit="1" customWidth="1"/>
    <col min="9993" max="9993" width="4.5703125" style="62" customWidth="1"/>
    <col min="9994" max="9994" width="1.85546875" style="62" customWidth="1"/>
    <col min="9995" max="9995" width="7" style="62" bestFit="1" customWidth="1"/>
    <col min="9996" max="9996" width="6.28515625" style="62" customWidth="1"/>
    <col min="9997" max="9997" width="20.42578125" style="62" customWidth="1"/>
    <col min="9998" max="9998" width="6.42578125" style="62" bestFit="1" customWidth="1"/>
    <col min="9999" max="10000" width="8.42578125" style="62"/>
    <col min="10001" max="10001" width="3.28515625" style="62" customWidth="1"/>
    <col min="10002" max="10240" width="8.42578125" style="62"/>
    <col min="10241" max="10241" width="10" style="62" bestFit="1" customWidth="1"/>
    <col min="10242" max="10242" width="44.28515625" style="62" bestFit="1" customWidth="1"/>
    <col min="10243" max="10243" width="10.42578125" style="62" bestFit="1" customWidth="1"/>
    <col min="10244" max="10244" width="10.42578125" style="62" customWidth="1"/>
    <col min="10245" max="10245" width="9.7109375" style="62" bestFit="1" customWidth="1"/>
    <col min="10246" max="10247" width="9.5703125" style="62" bestFit="1" customWidth="1"/>
    <col min="10248" max="10248" width="10.42578125" style="62" bestFit="1" customWidth="1"/>
    <col min="10249" max="10249" width="4.5703125" style="62" customWidth="1"/>
    <col min="10250" max="10250" width="1.85546875" style="62" customWidth="1"/>
    <col min="10251" max="10251" width="7" style="62" bestFit="1" customWidth="1"/>
    <col min="10252" max="10252" width="6.28515625" style="62" customWidth="1"/>
    <col min="10253" max="10253" width="20.42578125" style="62" customWidth="1"/>
    <col min="10254" max="10254" width="6.42578125" style="62" bestFit="1" customWidth="1"/>
    <col min="10255" max="10256" width="8.42578125" style="62"/>
    <col min="10257" max="10257" width="3.28515625" style="62" customWidth="1"/>
    <col min="10258" max="10496" width="8.42578125" style="62"/>
    <col min="10497" max="10497" width="10" style="62" bestFit="1" customWidth="1"/>
    <col min="10498" max="10498" width="44.28515625" style="62" bestFit="1" customWidth="1"/>
    <col min="10499" max="10499" width="10.42578125" style="62" bestFit="1" customWidth="1"/>
    <col min="10500" max="10500" width="10.42578125" style="62" customWidth="1"/>
    <col min="10501" max="10501" width="9.7109375" style="62" bestFit="1" customWidth="1"/>
    <col min="10502" max="10503" width="9.5703125" style="62" bestFit="1" customWidth="1"/>
    <col min="10504" max="10504" width="10.42578125" style="62" bestFit="1" customWidth="1"/>
    <col min="10505" max="10505" width="4.5703125" style="62" customWidth="1"/>
    <col min="10506" max="10506" width="1.85546875" style="62" customWidth="1"/>
    <col min="10507" max="10507" width="7" style="62" bestFit="1" customWidth="1"/>
    <col min="10508" max="10508" width="6.28515625" style="62" customWidth="1"/>
    <col min="10509" max="10509" width="20.42578125" style="62" customWidth="1"/>
    <col min="10510" max="10510" width="6.42578125" style="62" bestFit="1" customWidth="1"/>
    <col min="10511" max="10512" width="8.42578125" style="62"/>
    <col min="10513" max="10513" width="3.28515625" style="62" customWidth="1"/>
    <col min="10514" max="10752" width="8.42578125" style="62"/>
    <col min="10753" max="10753" width="10" style="62" bestFit="1" customWidth="1"/>
    <col min="10754" max="10754" width="44.28515625" style="62" bestFit="1" customWidth="1"/>
    <col min="10755" max="10755" width="10.42578125" style="62" bestFit="1" customWidth="1"/>
    <col min="10756" max="10756" width="10.42578125" style="62" customWidth="1"/>
    <col min="10757" max="10757" width="9.7109375" style="62" bestFit="1" customWidth="1"/>
    <col min="10758" max="10759" width="9.5703125" style="62" bestFit="1" customWidth="1"/>
    <col min="10760" max="10760" width="10.42578125" style="62" bestFit="1" customWidth="1"/>
    <col min="10761" max="10761" width="4.5703125" style="62" customWidth="1"/>
    <col min="10762" max="10762" width="1.85546875" style="62" customWidth="1"/>
    <col min="10763" max="10763" width="7" style="62" bestFit="1" customWidth="1"/>
    <col min="10764" max="10764" width="6.28515625" style="62" customWidth="1"/>
    <col min="10765" max="10765" width="20.42578125" style="62" customWidth="1"/>
    <col min="10766" max="10766" width="6.42578125" style="62" bestFit="1" customWidth="1"/>
    <col min="10767" max="10768" width="8.42578125" style="62"/>
    <col min="10769" max="10769" width="3.28515625" style="62" customWidth="1"/>
    <col min="10770" max="11008" width="8.42578125" style="62"/>
    <col min="11009" max="11009" width="10" style="62" bestFit="1" customWidth="1"/>
    <col min="11010" max="11010" width="44.28515625" style="62" bestFit="1" customWidth="1"/>
    <col min="11011" max="11011" width="10.42578125" style="62" bestFit="1" customWidth="1"/>
    <col min="11012" max="11012" width="10.42578125" style="62" customWidth="1"/>
    <col min="11013" max="11013" width="9.7109375" style="62" bestFit="1" customWidth="1"/>
    <col min="11014" max="11015" width="9.5703125" style="62" bestFit="1" customWidth="1"/>
    <col min="11016" max="11016" width="10.42578125" style="62" bestFit="1" customWidth="1"/>
    <col min="11017" max="11017" width="4.5703125" style="62" customWidth="1"/>
    <col min="11018" max="11018" width="1.85546875" style="62" customWidth="1"/>
    <col min="11019" max="11019" width="7" style="62" bestFit="1" customWidth="1"/>
    <col min="11020" max="11020" width="6.28515625" style="62" customWidth="1"/>
    <col min="11021" max="11021" width="20.42578125" style="62" customWidth="1"/>
    <col min="11022" max="11022" width="6.42578125" style="62" bestFit="1" customWidth="1"/>
    <col min="11023" max="11024" width="8.42578125" style="62"/>
    <col min="11025" max="11025" width="3.28515625" style="62" customWidth="1"/>
    <col min="11026" max="11264" width="8.42578125" style="62"/>
    <col min="11265" max="11265" width="10" style="62" bestFit="1" customWidth="1"/>
    <col min="11266" max="11266" width="44.28515625" style="62" bestFit="1" customWidth="1"/>
    <col min="11267" max="11267" width="10.42578125" style="62" bestFit="1" customWidth="1"/>
    <col min="11268" max="11268" width="10.42578125" style="62" customWidth="1"/>
    <col min="11269" max="11269" width="9.7109375" style="62" bestFit="1" customWidth="1"/>
    <col min="11270" max="11271" width="9.5703125" style="62" bestFit="1" customWidth="1"/>
    <col min="11272" max="11272" width="10.42578125" style="62" bestFit="1" customWidth="1"/>
    <col min="11273" max="11273" width="4.5703125" style="62" customWidth="1"/>
    <col min="11274" max="11274" width="1.85546875" style="62" customWidth="1"/>
    <col min="11275" max="11275" width="7" style="62" bestFit="1" customWidth="1"/>
    <col min="11276" max="11276" width="6.28515625" style="62" customWidth="1"/>
    <col min="11277" max="11277" width="20.42578125" style="62" customWidth="1"/>
    <col min="11278" max="11278" width="6.42578125" style="62" bestFit="1" customWidth="1"/>
    <col min="11279" max="11280" width="8.42578125" style="62"/>
    <col min="11281" max="11281" width="3.28515625" style="62" customWidth="1"/>
    <col min="11282" max="11520" width="8.42578125" style="62"/>
    <col min="11521" max="11521" width="10" style="62" bestFit="1" customWidth="1"/>
    <col min="11522" max="11522" width="44.28515625" style="62" bestFit="1" customWidth="1"/>
    <col min="11523" max="11523" width="10.42578125" style="62" bestFit="1" customWidth="1"/>
    <col min="11524" max="11524" width="10.42578125" style="62" customWidth="1"/>
    <col min="11525" max="11525" width="9.7109375" style="62" bestFit="1" customWidth="1"/>
    <col min="11526" max="11527" width="9.5703125" style="62" bestFit="1" customWidth="1"/>
    <col min="11528" max="11528" width="10.42578125" style="62" bestFit="1" customWidth="1"/>
    <col min="11529" max="11529" width="4.5703125" style="62" customWidth="1"/>
    <col min="11530" max="11530" width="1.85546875" style="62" customWidth="1"/>
    <col min="11531" max="11531" width="7" style="62" bestFit="1" customWidth="1"/>
    <col min="11532" max="11532" width="6.28515625" style="62" customWidth="1"/>
    <col min="11533" max="11533" width="20.42578125" style="62" customWidth="1"/>
    <col min="11534" max="11534" width="6.42578125" style="62" bestFit="1" customWidth="1"/>
    <col min="11535" max="11536" width="8.42578125" style="62"/>
    <col min="11537" max="11537" width="3.28515625" style="62" customWidth="1"/>
    <col min="11538" max="11776" width="8.42578125" style="62"/>
    <col min="11777" max="11777" width="10" style="62" bestFit="1" customWidth="1"/>
    <col min="11778" max="11778" width="44.28515625" style="62" bestFit="1" customWidth="1"/>
    <col min="11779" max="11779" width="10.42578125" style="62" bestFit="1" customWidth="1"/>
    <col min="11780" max="11780" width="10.42578125" style="62" customWidth="1"/>
    <col min="11781" max="11781" width="9.7109375" style="62" bestFit="1" customWidth="1"/>
    <col min="11782" max="11783" width="9.5703125" style="62" bestFit="1" customWidth="1"/>
    <col min="11784" max="11784" width="10.42578125" style="62" bestFit="1" customWidth="1"/>
    <col min="11785" max="11785" width="4.5703125" style="62" customWidth="1"/>
    <col min="11786" max="11786" width="1.85546875" style="62" customWidth="1"/>
    <col min="11787" max="11787" width="7" style="62" bestFit="1" customWidth="1"/>
    <col min="11788" max="11788" width="6.28515625" style="62" customWidth="1"/>
    <col min="11789" max="11789" width="20.42578125" style="62" customWidth="1"/>
    <col min="11790" max="11790" width="6.42578125" style="62" bestFit="1" customWidth="1"/>
    <col min="11791" max="11792" width="8.42578125" style="62"/>
    <col min="11793" max="11793" width="3.28515625" style="62" customWidth="1"/>
    <col min="11794" max="12032" width="8.42578125" style="62"/>
    <col min="12033" max="12033" width="10" style="62" bestFit="1" customWidth="1"/>
    <col min="12034" max="12034" width="44.28515625" style="62" bestFit="1" customWidth="1"/>
    <col min="12035" max="12035" width="10.42578125" style="62" bestFit="1" customWidth="1"/>
    <col min="12036" max="12036" width="10.42578125" style="62" customWidth="1"/>
    <col min="12037" max="12037" width="9.7109375" style="62" bestFit="1" customWidth="1"/>
    <col min="12038" max="12039" width="9.5703125" style="62" bestFit="1" customWidth="1"/>
    <col min="12040" max="12040" width="10.42578125" style="62" bestFit="1" customWidth="1"/>
    <col min="12041" max="12041" width="4.5703125" style="62" customWidth="1"/>
    <col min="12042" max="12042" width="1.85546875" style="62" customWidth="1"/>
    <col min="12043" max="12043" width="7" style="62" bestFit="1" customWidth="1"/>
    <col min="12044" max="12044" width="6.28515625" style="62" customWidth="1"/>
    <col min="12045" max="12045" width="20.42578125" style="62" customWidth="1"/>
    <col min="12046" max="12046" width="6.42578125" style="62" bestFit="1" customWidth="1"/>
    <col min="12047" max="12048" width="8.42578125" style="62"/>
    <col min="12049" max="12049" width="3.28515625" style="62" customWidth="1"/>
    <col min="12050" max="12288" width="8.42578125" style="62"/>
    <col min="12289" max="12289" width="10" style="62" bestFit="1" customWidth="1"/>
    <col min="12290" max="12290" width="44.28515625" style="62" bestFit="1" customWidth="1"/>
    <col min="12291" max="12291" width="10.42578125" style="62" bestFit="1" customWidth="1"/>
    <col min="12292" max="12292" width="10.42578125" style="62" customWidth="1"/>
    <col min="12293" max="12293" width="9.7109375" style="62" bestFit="1" customWidth="1"/>
    <col min="12294" max="12295" width="9.5703125" style="62" bestFit="1" customWidth="1"/>
    <col min="12296" max="12296" width="10.42578125" style="62" bestFit="1" customWidth="1"/>
    <col min="12297" max="12297" width="4.5703125" style="62" customWidth="1"/>
    <col min="12298" max="12298" width="1.85546875" style="62" customWidth="1"/>
    <col min="12299" max="12299" width="7" style="62" bestFit="1" customWidth="1"/>
    <col min="12300" max="12300" width="6.28515625" style="62" customWidth="1"/>
    <col min="12301" max="12301" width="20.42578125" style="62" customWidth="1"/>
    <col min="12302" max="12302" width="6.42578125" style="62" bestFit="1" customWidth="1"/>
    <col min="12303" max="12304" width="8.42578125" style="62"/>
    <col min="12305" max="12305" width="3.28515625" style="62" customWidth="1"/>
    <col min="12306" max="12544" width="8.42578125" style="62"/>
    <col min="12545" max="12545" width="10" style="62" bestFit="1" customWidth="1"/>
    <col min="12546" max="12546" width="44.28515625" style="62" bestFit="1" customWidth="1"/>
    <col min="12547" max="12547" width="10.42578125" style="62" bestFit="1" customWidth="1"/>
    <col min="12548" max="12548" width="10.42578125" style="62" customWidth="1"/>
    <col min="12549" max="12549" width="9.7109375" style="62" bestFit="1" customWidth="1"/>
    <col min="12550" max="12551" width="9.5703125" style="62" bestFit="1" customWidth="1"/>
    <col min="12552" max="12552" width="10.42578125" style="62" bestFit="1" customWidth="1"/>
    <col min="12553" max="12553" width="4.5703125" style="62" customWidth="1"/>
    <col min="12554" max="12554" width="1.85546875" style="62" customWidth="1"/>
    <col min="12555" max="12555" width="7" style="62" bestFit="1" customWidth="1"/>
    <col min="12556" max="12556" width="6.28515625" style="62" customWidth="1"/>
    <col min="12557" max="12557" width="20.42578125" style="62" customWidth="1"/>
    <col min="12558" max="12558" width="6.42578125" style="62" bestFit="1" customWidth="1"/>
    <col min="12559" max="12560" width="8.42578125" style="62"/>
    <col min="12561" max="12561" width="3.28515625" style="62" customWidth="1"/>
    <col min="12562" max="12800" width="8.42578125" style="62"/>
    <col min="12801" max="12801" width="10" style="62" bestFit="1" customWidth="1"/>
    <col min="12802" max="12802" width="44.28515625" style="62" bestFit="1" customWidth="1"/>
    <col min="12803" max="12803" width="10.42578125" style="62" bestFit="1" customWidth="1"/>
    <col min="12804" max="12804" width="10.42578125" style="62" customWidth="1"/>
    <col min="12805" max="12805" width="9.7109375" style="62" bestFit="1" customWidth="1"/>
    <col min="12806" max="12807" width="9.5703125" style="62" bestFit="1" customWidth="1"/>
    <col min="12808" max="12808" width="10.42578125" style="62" bestFit="1" customWidth="1"/>
    <col min="12809" max="12809" width="4.5703125" style="62" customWidth="1"/>
    <col min="12810" max="12810" width="1.85546875" style="62" customWidth="1"/>
    <col min="12811" max="12811" width="7" style="62" bestFit="1" customWidth="1"/>
    <col min="12812" max="12812" width="6.28515625" style="62" customWidth="1"/>
    <col min="12813" max="12813" width="20.42578125" style="62" customWidth="1"/>
    <col min="12814" max="12814" width="6.42578125" style="62" bestFit="1" customWidth="1"/>
    <col min="12815" max="12816" width="8.42578125" style="62"/>
    <col min="12817" max="12817" width="3.28515625" style="62" customWidth="1"/>
    <col min="12818" max="13056" width="8.42578125" style="62"/>
    <col min="13057" max="13057" width="10" style="62" bestFit="1" customWidth="1"/>
    <col min="13058" max="13058" width="44.28515625" style="62" bestFit="1" customWidth="1"/>
    <col min="13059" max="13059" width="10.42578125" style="62" bestFit="1" customWidth="1"/>
    <col min="13060" max="13060" width="10.42578125" style="62" customWidth="1"/>
    <col min="13061" max="13061" width="9.7109375" style="62" bestFit="1" customWidth="1"/>
    <col min="13062" max="13063" width="9.5703125" style="62" bestFit="1" customWidth="1"/>
    <col min="13064" max="13064" width="10.42578125" style="62" bestFit="1" customWidth="1"/>
    <col min="13065" max="13065" width="4.5703125" style="62" customWidth="1"/>
    <col min="13066" max="13066" width="1.85546875" style="62" customWidth="1"/>
    <col min="13067" max="13067" width="7" style="62" bestFit="1" customWidth="1"/>
    <col min="13068" max="13068" width="6.28515625" style="62" customWidth="1"/>
    <col min="13069" max="13069" width="20.42578125" style="62" customWidth="1"/>
    <col min="13070" max="13070" width="6.42578125" style="62" bestFit="1" customWidth="1"/>
    <col min="13071" max="13072" width="8.42578125" style="62"/>
    <col min="13073" max="13073" width="3.28515625" style="62" customWidth="1"/>
    <col min="13074" max="13312" width="8.42578125" style="62"/>
    <col min="13313" max="13313" width="10" style="62" bestFit="1" customWidth="1"/>
    <col min="13314" max="13314" width="44.28515625" style="62" bestFit="1" customWidth="1"/>
    <col min="13315" max="13315" width="10.42578125" style="62" bestFit="1" customWidth="1"/>
    <col min="13316" max="13316" width="10.42578125" style="62" customWidth="1"/>
    <col min="13317" max="13317" width="9.7109375" style="62" bestFit="1" customWidth="1"/>
    <col min="13318" max="13319" width="9.5703125" style="62" bestFit="1" customWidth="1"/>
    <col min="13320" max="13320" width="10.42578125" style="62" bestFit="1" customWidth="1"/>
    <col min="13321" max="13321" width="4.5703125" style="62" customWidth="1"/>
    <col min="13322" max="13322" width="1.85546875" style="62" customWidth="1"/>
    <col min="13323" max="13323" width="7" style="62" bestFit="1" customWidth="1"/>
    <col min="13324" max="13324" width="6.28515625" style="62" customWidth="1"/>
    <col min="13325" max="13325" width="20.42578125" style="62" customWidth="1"/>
    <col min="13326" max="13326" width="6.42578125" style="62" bestFit="1" customWidth="1"/>
    <col min="13327" max="13328" width="8.42578125" style="62"/>
    <col min="13329" max="13329" width="3.28515625" style="62" customWidth="1"/>
    <col min="13330" max="13568" width="8.42578125" style="62"/>
    <col min="13569" max="13569" width="10" style="62" bestFit="1" customWidth="1"/>
    <col min="13570" max="13570" width="44.28515625" style="62" bestFit="1" customWidth="1"/>
    <col min="13571" max="13571" width="10.42578125" style="62" bestFit="1" customWidth="1"/>
    <col min="13572" max="13572" width="10.42578125" style="62" customWidth="1"/>
    <col min="13573" max="13573" width="9.7109375" style="62" bestFit="1" customWidth="1"/>
    <col min="13574" max="13575" width="9.5703125" style="62" bestFit="1" customWidth="1"/>
    <col min="13576" max="13576" width="10.42578125" style="62" bestFit="1" customWidth="1"/>
    <col min="13577" max="13577" width="4.5703125" style="62" customWidth="1"/>
    <col min="13578" max="13578" width="1.85546875" style="62" customWidth="1"/>
    <col min="13579" max="13579" width="7" style="62" bestFit="1" customWidth="1"/>
    <col min="13580" max="13580" width="6.28515625" style="62" customWidth="1"/>
    <col min="13581" max="13581" width="20.42578125" style="62" customWidth="1"/>
    <col min="13582" max="13582" width="6.42578125" style="62" bestFit="1" customWidth="1"/>
    <col min="13583" max="13584" width="8.42578125" style="62"/>
    <col min="13585" max="13585" width="3.28515625" style="62" customWidth="1"/>
    <col min="13586" max="13824" width="8.42578125" style="62"/>
    <col min="13825" max="13825" width="10" style="62" bestFit="1" customWidth="1"/>
    <col min="13826" max="13826" width="44.28515625" style="62" bestFit="1" customWidth="1"/>
    <col min="13827" max="13827" width="10.42578125" style="62" bestFit="1" customWidth="1"/>
    <col min="13828" max="13828" width="10.42578125" style="62" customWidth="1"/>
    <col min="13829" max="13829" width="9.7109375" style="62" bestFit="1" customWidth="1"/>
    <col min="13830" max="13831" width="9.5703125" style="62" bestFit="1" customWidth="1"/>
    <col min="13832" max="13832" width="10.42578125" style="62" bestFit="1" customWidth="1"/>
    <col min="13833" max="13833" width="4.5703125" style="62" customWidth="1"/>
    <col min="13834" max="13834" width="1.85546875" style="62" customWidth="1"/>
    <col min="13835" max="13835" width="7" style="62" bestFit="1" customWidth="1"/>
    <col min="13836" max="13836" width="6.28515625" style="62" customWidth="1"/>
    <col min="13837" max="13837" width="20.42578125" style="62" customWidth="1"/>
    <col min="13838" max="13838" width="6.42578125" style="62" bestFit="1" customWidth="1"/>
    <col min="13839" max="13840" width="8.42578125" style="62"/>
    <col min="13841" max="13841" width="3.28515625" style="62" customWidth="1"/>
    <col min="13842" max="14080" width="8.42578125" style="62"/>
    <col min="14081" max="14081" width="10" style="62" bestFit="1" customWidth="1"/>
    <col min="14082" max="14082" width="44.28515625" style="62" bestFit="1" customWidth="1"/>
    <col min="14083" max="14083" width="10.42578125" style="62" bestFit="1" customWidth="1"/>
    <col min="14084" max="14084" width="10.42578125" style="62" customWidth="1"/>
    <col min="14085" max="14085" width="9.7109375" style="62" bestFit="1" customWidth="1"/>
    <col min="14086" max="14087" width="9.5703125" style="62" bestFit="1" customWidth="1"/>
    <col min="14088" max="14088" width="10.42578125" style="62" bestFit="1" customWidth="1"/>
    <col min="14089" max="14089" width="4.5703125" style="62" customWidth="1"/>
    <col min="14090" max="14090" width="1.85546875" style="62" customWidth="1"/>
    <col min="14091" max="14091" width="7" style="62" bestFit="1" customWidth="1"/>
    <col min="14092" max="14092" width="6.28515625" style="62" customWidth="1"/>
    <col min="14093" max="14093" width="20.42578125" style="62" customWidth="1"/>
    <col min="14094" max="14094" width="6.42578125" style="62" bestFit="1" customWidth="1"/>
    <col min="14095" max="14096" width="8.42578125" style="62"/>
    <col min="14097" max="14097" width="3.28515625" style="62" customWidth="1"/>
    <col min="14098" max="14336" width="8.42578125" style="62"/>
    <col min="14337" max="14337" width="10" style="62" bestFit="1" customWidth="1"/>
    <col min="14338" max="14338" width="44.28515625" style="62" bestFit="1" customWidth="1"/>
    <col min="14339" max="14339" width="10.42578125" style="62" bestFit="1" customWidth="1"/>
    <col min="14340" max="14340" width="10.42578125" style="62" customWidth="1"/>
    <col min="14341" max="14341" width="9.7109375" style="62" bestFit="1" customWidth="1"/>
    <col min="14342" max="14343" width="9.5703125" style="62" bestFit="1" customWidth="1"/>
    <col min="14344" max="14344" width="10.42578125" style="62" bestFit="1" customWidth="1"/>
    <col min="14345" max="14345" width="4.5703125" style="62" customWidth="1"/>
    <col min="14346" max="14346" width="1.85546875" style="62" customWidth="1"/>
    <col min="14347" max="14347" width="7" style="62" bestFit="1" customWidth="1"/>
    <col min="14348" max="14348" width="6.28515625" style="62" customWidth="1"/>
    <col min="14349" max="14349" width="20.42578125" style="62" customWidth="1"/>
    <col min="14350" max="14350" width="6.42578125" style="62" bestFit="1" customWidth="1"/>
    <col min="14351" max="14352" width="8.42578125" style="62"/>
    <col min="14353" max="14353" width="3.28515625" style="62" customWidth="1"/>
    <col min="14354" max="14592" width="8.42578125" style="62"/>
    <col min="14593" max="14593" width="10" style="62" bestFit="1" customWidth="1"/>
    <col min="14594" max="14594" width="44.28515625" style="62" bestFit="1" customWidth="1"/>
    <col min="14595" max="14595" width="10.42578125" style="62" bestFit="1" customWidth="1"/>
    <col min="14596" max="14596" width="10.42578125" style="62" customWidth="1"/>
    <col min="14597" max="14597" width="9.7109375" style="62" bestFit="1" customWidth="1"/>
    <col min="14598" max="14599" width="9.5703125" style="62" bestFit="1" customWidth="1"/>
    <col min="14600" max="14600" width="10.42578125" style="62" bestFit="1" customWidth="1"/>
    <col min="14601" max="14601" width="4.5703125" style="62" customWidth="1"/>
    <col min="14602" max="14602" width="1.85546875" style="62" customWidth="1"/>
    <col min="14603" max="14603" width="7" style="62" bestFit="1" customWidth="1"/>
    <col min="14604" max="14604" width="6.28515625" style="62" customWidth="1"/>
    <col min="14605" max="14605" width="20.42578125" style="62" customWidth="1"/>
    <col min="14606" max="14606" width="6.42578125" style="62" bestFit="1" customWidth="1"/>
    <col min="14607" max="14608" width="8.42578125" style="62"/>
    <col min="14609" max="14609" width="3.28515625" style="62" customWidth="1"/>
    <col min="14610" max="14848" width="8.42578125" style="62"/>
    <col min="14849" max="14849" width="10" style="62" bestFit="1" customWidth="1"/>
    <col min="14850" max="14850" width="44.28515625" style="62" bestFit="1" customWidth="1"/>
    <col min="14851" max="14851" width="10.42578125" style="62" bestFit="1" customWidth="1"/>
    <col min="14852" max="14852" width="10.42578125" style="62" customWidth="1"/>
    <col min="14853" max="14853" width="9.7109375" style="62" bestFit="1" customWidth="1"/>
    <col min="14854" max="14855" width="9.5703125" style="62" bestFit="1" customWidth="1"/>
    <col min="14856" max="14856" width="10.42578125" style="62" bestFit="1" customWidth="1"/>
    <col min="14857" max="14857" width="4.5703125" style="62" customWidth="1"/>
    <col min="14858" max="14858" width="1.85546875" style="62" customWidth="1"/>
    <col min="14859" max="14859" width="7" style="62" bestFit="1" customWidth="1"/>
    <col min="14860" max="14860" width="6.28515625" style="62" customWidth="1"/>
    <col min="14861" max="14861" width="20.42578125" style="62" customWidth="1"/>
    <col min="14862" max="14862" width="6.42578125" style="62" bestFit="1" customWidth="1"/>
    <col min="14863" max="14864" width="8.42578125" style="62"/>
    <col min="14865" max="14865" width="3.28515625" style="62" customWidth="1"/>
    <col min="14866" max="15104" width="8.42578125" style="62"/>
    <col min="15105" max="15105" width="10" style="62" bestFit="1" customWidth="1"/>
    <col min="15106" max="15106" width="44.28515625" style="62" bestFit="1" customWidth="1"/>
    <col min="15107" max="15107" width="10.42578125" style="62" bestFit="1" customWidth="1"/>
    <col min="15108" max="15108" width="10.42578125" style="62" customWidth="1"/>
    <col min="15109" max="15109" width="9.7109375" style="62" bestFit="1" customWidth="1"/>
    <col min="15110" max="15111" width="9.5703125" style="62" bestFit="1" customWidth="1"/>
    <col min="15112" max="15112" width="10.42578125" style="62" bestFit="1" customWidth="1"/>
    <col min="15113" max="15113" width="4.5703125" style="62" customWidth="1"/>
    <col min="15114" max="15114" width="1.85546875" style="62" customWidth="1"/>
    <col min="15115" max="15115" width="7" style="62" bestFit="1" customWidth="1"/>
    <col min="15116" max="15116" width="6.28515625" style="62" customWidth="1"/>
    <col min="15117" max="15117" width="20.42578125" style="62" customWidth="1"/>
    <col min="15118" max="15118" width="6.42578125" style="62" bestFit="1" customWidth="1"/>
    <col min="15119" max="15120" width="8.42578125" style="62"/>
    <col min="15121" max="15121" width="3.28515625" style="62" customWidth="1"/>
    <col min="15122" max="15360" width="8.42578125" style="62"/>
    <col min="15361" max="15361" width="10" style="62" bestFit="1" customWidth="1"/>
    <col min="15362" max="15362" width="44.28515625" style="62" bestFit="1" customWidth="1"/>
    <col min="15363" max="15363" width="10.42578125" style="62" bestFit="1" customWidth="1"/>
    <col min="15364" max="15364" width="10.42578125" style="62" customWidth="1"/>
    <col min="15365" max="15365" width="9.7109375" style="62" bestFit="1" customWidth="1"/>
    <col min="15366" max="15367" width="9.5703125" style="62" bestFit="1" customWidth="1"/>
    <col min="15368" max="15368" width="10.42578125" style="62" bestFit="1" customWidth="1"/>
    <col min="15369" max="15369" width="4.5703125" style="62" customWidth="1"/>
    <col min="15370" max="15370" width="1.85546875" style="62" customWidth="1"/>
    <col min="15371" max="15371" width="7" style="62" bestFit="1" customWidth="1"/>
    <col min="15372" max="15372" width="6.28515625" style="62" customWidth="1"/>
    <col min="15373" max="15373" width="20.42578125" style="62" customWidth="1"/>
    <col min="15374" max="15374" width="6.42578125" style="62" bestFit="1" customWidth="1"/>
    <col min="15375" max="15376" width="8.42578125" style="62"/>
    <col min="15377" max="15377" width="3.28515625" style="62" customWidth="1"/>
    <col min="15378" max="15616" width="8.42578125" style="62"/>
    <col min="15617" max="15617" width="10" style="62" bestFit="1" customWidth="1"/>
    <col min="15618" max="15618" width="44.28515625" style="62" bestFit="1" customWidth="1"/>
    <col min="15619" max="15619" width="10.42578125" style="62" bestFit="1" customWidth="1"/>
    <col min="15620" max="15620" width="10.42578125" style="62" customWidth="1"/>
    <col min="15621" max="15621" width="9.7109375" style="62" bestFit="1" customWidth="1"/>
    <col min="15622" max="15623" width="9.5703125" style="62" bestFit="1" customWidth="1"/>
    <col min="15624" max="15624" width="10.42578125" style="62" bestFit="1" customWidth="1"/>
    <col min="15625" max="15625" width="4.5703125" style="62" customWidth="1"/>
    <col min="15626" max="15626" width="1.85546875" style="62" customWidth="1"/>
    <col min="15627" max="15627" width="7" style="62" bestFit="1" customWidth="1"/>
    <col min="15628" max="15628" width="6.28515625" style="62" customWidth="1"/>
    <col min="15629" max="15629" width="20.42578125" style="62" customWidth="1"/>
    <col min="15630" max="15630" width="6.42578125" style="62" bestFit="1" customWidth="1"/>
    <col min="15631" max="15632" width="8.42578125" style="62"/>
    <col min="15633" max="15633" width="3.28515625" style="62" customWidth="1"/>
    <col min="15634" max="15872" width="8.42578125" style="62"/>
    <col min="15873" max="15873" width="10" style="62" bestFit="1" customWidth="1"/>
    <col min="15874" max="15874" width="44.28515625" style="62" bestFit="1" customWidth="1"/>
    <col min="15875" max="15875" width="10.42578125" style="62" bestFit="1" customWidth="1"/>
    <col min="15876" max="15876" width="10.42578125" style="62" customWidth="1"/>
    <col min="15877" max="15877" width="9.7109375" style="62" bestFit="1" customWidth="1"/>
    <col min="15878" max="15879" width="9.5703125" style="62" bestFit="1" customWidth="1"/>
    <col min="15880" max="15880" width="10.42578125" style="62" bestFit="1" customWidth="1"/>
    <col min="15881" max="15881" width="4.5703125" style="62" customWidth="1"/>
    <col min="15882" max="15882" width="1.85546875" style="62" customWidth="1"/>
    <col min="15883" max="15883" width="7" style="62" bestFit="1" customWidth="1"/>
    <col min="15884" max="15884" width="6.28515625" style="62" customWidth="1"/>
    <col min="15885" max="15885" width="20.42578125" style="62" customWidth="1"/>
    <col min="15886" max="15886" width="6.42578125" style="62" bestFit="1" customWidth="1"/>
    <col min="15887" max="15888" width="8.42578125" style="62"/>
    <col min="15889" max="15889" width="3.28515625" style="62" customWidth="1"/>
    <col min="15890" max="16128" width="8.42578125" style="62"/>
    <col min="16129" max="16129" width="10" style="62" bestFit="1" customWidth="1"/>
    <col min="16130" max="16130" width="44.28515625" style="62" bestFit="1" customWidth="1"/>
    <col min="16131" max="16131" width="10.42578125" style="62" bestFit="1" customWidth="1"/>
    <col min="16132" max="16132" width="10.42578125" style="62" customWidth="1"/>
    <col min="16133" max="16133" width="9.7109375" style="62" bestFit="1" customWidth="1"/>
    <col min="16134" max="16135" width="9.5703125" style="62" bestFit="1" customWidth="1"/>
    <col min="16136" max="16136" width="10.42578125" style="62" bestFit="1" customWidth="1"/>
    <col min="16137" max="16137" width="4.5703125" style="62" customWidth="1"/>
    <col min="16138" max="16138" width="1.85546875" style="62" customWidth="1"/>
    <col min="16139" max="16139" width="7" style="62" bestFit="1" customWidth="1"/>
    <col min="16140" max="16140" width="6.28515625" style="62" customWidth="1"/>
    <col min="16141" max="16141" width="20.42578125" style="62" customWidth="1"/>
    <col min="16142" max="16142" width="6.42578125" style="62" bestFit="1" customWidth="1"/>
    <col min="16143" max="16144" width="8.42578125" style="62"/>
    <col min="16145" max="16145" width="3.28515625" style="62" customWidth="1"/>
    <col min="16146" max="16384" width="8.42578125" style="62"/>
  </cols>
  <sheetData>
    <row r="1" spans="1:10" ht="27.75" customHeight="1" x14ac:dyDescent="0.25">
      <c r="A1" s="57"/>
      <c r="B1" s="57"/>
      <c r="C1" s="57"/>
      <c r="D1" s="57"/>
      <c r="E1" s="58" t="s">
        <v>74</v>
      </c>
      <c r="F1" s="59" t="s">
        <v>75</v>
      </c>
      <c r="G1" s="59" t="s">
        <v>76</v>
      </c>
      <c r="H1" s="59" t="s">
        <v>77</v>
      </c>
      <c r="I1" s="60"/>
    </row>
    <row r="2" spans="1:10" ht="30.75" customHeight="1" x14ac:dyDescent="0.25">
      <c r="A2" s="57"/>
      <c r="B2" s="57"/>
      <c r="C2" s="57"/>
      <c r="D2" s="57"/>
      <c r="E2" s="63">
        <f>IFERROR(O62,"")</f>
        <v>945.67161283278745</v>
      </c>
      <c r="F2" s="63">
        <f>IFERROR(H53,"")</f>
        <v>699.43604444444441</v>
      </c>
      <c r="G2" s="63">
        <f>IFERROR(H54,"")</f>
        <v>103.18371653649113</v>
      </c>
      <c r="H2" s="63">
        <f>IFERROR(H56,"")</f>
        <v>73.329100529100529</v>
      </c>
      <c r="I2" s="64"/>
    </row>
    <row r="3" spans="1:10" ht="15" customHeight="1" x14ac:dyDescent="0.25">
      <c r="A3" s="57"/>
      <c r="B3" s="57"/>
      <c r="C3" s="57"/>
      <c r="D3" s="57"/>
      <c r="E3" s="57"/>
      <c r="F3" s="65"/>
      <c r="G3" s="65"/>
      <c r="H3" s="65"/>
      <c r="I3" s="65"/>
    </row>
    <row r="4" spans="1:10" ht="24.75" customHeight="1" thickBot="1" x14ac:dyDescent="0.3">
      <c r="A4" s="461"/>
      <c r="B4" s="461"/>
      <c r="C4" s="461"/>
      <c r="D4" s="461"/>
      <c r="E4" s="461"/>
      <c r="F4" s="461"/>
      <c r="G4" s="461"/>
      <c r="H4" s="461"/>
      <c r="I4" s="66"/>
    </row>
    <row r="5" spans="1:10" ht="19.5" customHeight="1" thickBot="1" x14ac:dyDescent="0.3">
      <c r="A5" s="462" t="s">
        <v>78</v>
      </c>
      <c r="B5" s="463"/>
      <c r="C5" s="463"/>
      <c r="D5" s="463"/>
      <c r="E5" s="463"/>
      <c r="F5" s="463"/>
      <c r="G5" s="463"/>
      <c r="H5" s="464"/>
      <c r="I5" s="67"/>
    </row>
    <row r="6" spans="1:10" ht="19.5" thickBot="1" x14ac:dyDescent="0.3">
      <c r="A6" s="67"/>
      <c r="B6" s="67"/>
      <c r="C6" s="67"/>
      <c r="D6" s="67"/>
      <c r="E6" s="67"/>
      <c r="F6" s="465" t="s">
        <v>79</v>
      </c>
      <c r="G6" s="465"/>
      <c r="H6" s="68">
        <f ca="1">TODAY()</f>
        <v>45887</v>
      </c>
      <c r="I6" s="68"/>
    </row>
    <row r="7" spans="1:10" ht="26.25" hidden="1" thickBot="1" x14ac:dyDescent="0.3">
      <c r="A7" s="69" t="s">
        <v>80</v>
      </c>
      <c r="B7" s="70" t="s">
        <v>81</v>
      </c>
      <c r="C7" s="70" t="s">
        <v>80</v>
      </c>
      <c r="D7" s="71" t="s">
        <v>82</v>
      </c>
      <c r="E7" s="71" t="s">
        <v>83</v>
      </c>
      <c r="F7" s="71" t="s">
        <v>84</v>
      </c>
      <c r="G7" s="71" t="s">
        <v>85</v>
      </c>
      <c r="H7" s="72" t="s">
        <v>86</v>
      </c>
      <c r="I7" s="73"/>
    </row>
    <row r="8" spans="1:10" ht="13.5" hidden="1" x14ac:dyDescent="0.25">
      <c r="A8" s="81"/>
      <c r="B8" s="62" t="str">
        <f>IFERROR(VLOOKUP(H8,'[1]Consolidado MP Planta'!$A$2:$M$823,3,0),"")</f>
        <v/>
      </c>
      <c r="C8" s="76">
        <f>+A8</f>
        <v>0</v>
      </c>
      <c r="D8" s="77" t="str">
        <f>IFERROR(VLOOKUP(H8,'[1]Consolidado MP Planta'!$A$2:$M$823,13,0),"")</f>
        <v/>
      </c>
      <c r="E8" s="77" t="str">
        <f>IFERROR(VLOOKUP(H8,'[1]Consolidado MP Planta'!$A$2:$M$823,12,0),"")</f>
        <v/>
      </c>
      <c r="F8" s="77" t="str">
        <f>IFERROR(C8*E8,"")</f>
        <v/>
      </c>
      <c r="G8" s="208" t="str">
        <f t="shared" ref="G8:G14" si="0">IFERROR(F8/$F$66,"")</f>
        <v/>
      </c>
      <c r="H8" s="79"/>
      <c r="I8" s="79"/>
      <c r="J8" s="209"/>
    </row>
    <row r="9" spans="1:10" ht="13.5" hidden="1" x14ac:dyDescent="0.25">
      <c r="A9" s="81"/>
      <c r="B9" s="62" t="str">
        <f>IFERROR(VLOOKUP(H9,'[1]Consolidado MP Planta'!$A$2:$M$823,3,0),"")</f>
        <v/>
      </c>
      <c r="C9" s="76">
        <f t="shared" ref="C9:C14" si="1">+A9</f>
        <v>0</v>
      </c>
      <c r="D9" s="77" t="str">
        <f>IFERROR(VLOOKUP(H9,'[1]Consolidado MP Planta'!$A$2:$M$823,13,0),"")</f>
        <v/>
      </c>
      <c r="E9" s="77" t="str">
        <f>IFERROR(VLOOKUP(H9,'[1]Consolidado MP Planta'!$A$2:$M$823,12,0),"")</f>
        <v/>
      </c>
      <c r="F9" s="77" t="str">
        <f t="shared" ref="F9:F14" si="2">IFERROR(C9*E9,"")</f>
        <v/>
      </c>
      <c r="G9" s="208" t="str">
        <f t="shared" si="0"/>
        <v/>
      </c>
      <c r="H9" s="79"/>
      <c r="I9" s="79"/>
      <c r="J9" s="209"/>
    </row>
    <row r="10" spans="1:10" ht="13.5" hidden="1" x14ac:dyDescent="0.25">
      <c r="A10" s="81"/>
      <c r="B10" s="62" t="str">
        <f>IFERROR(VLOOKUP(H10,'[1]Consolidado MP Planta'!$A$2:$M$823,3,0),"")</f>
        <v/>
      </c>
      <c r="C10" s="76">
        <f t="shared" si="1"/>
        <v>0</v>
      </c>
      <c r="D10" s="77" t="str">
        <f>IFERROR(VLOOKUP(H10,'[1]Consolidado MP Planta'!$A$2:$M$823,13,0),"")</f>
        <v/>
      </c>
      <c r="E10" s="77" t="str">
        <f>IFERROR(VLOOKUP(H10,'[1]Consolidado MP Planta'!$A$2:$M$823,12,0),"")</f>
        <v/>
      </c>
      <c r="F10" s="77" t="str">
        <f t="shared" si="2"/>
        <v/>
      </c>
      <c r="G10" s="208" t="str">
        <f t="shared" si="0"/>
        <v/>
      </c>
      <c r="H10" s="79"/>
      <c r="I10" s="79"/>
      <c r="J10" s="209"/>
    </row>
    <row r="11" spans="1:10" ht="13.5" hidden="1" x14ac:dyDescent="0.25">
      <c r="A11" s="81"/>
      <c r="B11" s="62" t="str">
        <f>IFERROR(VLOOKUP(H11,'[1]Consolidado MP Planta'!$A$2:$M$823,3,0),"")</f>
        <v/>
      </c>
      <c r="C11" s="76">
        <f t="shared" si="1"/>
        <v>0</v>
      </c>
      <c r="D11" s="77" t="str">
        <f>IFERROR(VLOOKUP(H11,'[1]Consolidado MP Planta'!$A$2:$M$823,13,0),"")</f>
        <v/>
      </c>
      <c r="E11" s="77" t="str">
        <f>IFERROR(VLOOKUP(H11,'[1]Consolidado MP Planta'!$A$2:$M$823,12,0),"")</f>
        <v/>
      </c>
      <c r="F11" s="77" t="str">
        <f t="shared" si="2"/>
        <v/>
      </c>
      <c r="G11" s="208" t="str">
        <f t="shared" si="0"/>
        <v/>
      </c>
      <c r="H11" s="79"/>
      <c r="I11" s="79"/>
      <c r="J11" s="209"/>
    </row>
    <row r="12" spans="1:10" ht="13.5" hidden="1" x14ac:dyDescent="0.25">
      <c r="A12" s="81"/>
      <c r="B12" s="62" t="str">
        <f>IFERROR(VLOOKUP(H12,'[1]Consolidado MP Planta'!$A$2:$M$823,3,0),"")</f>
        <v/>
      </c>
      <c r="C12" s="76">
        <f t="shared" si="1"/>
        <v>0</v>
      </c>
      <c r="D12" s="77" t="str">
        <f>IFERROR(VLOOKUP(H12,'[1]Consolidado MP Planta'!$A$2:$M$823,13,0),"")</f>
        <v/>
      </c>
      <c r="E12" s="77" t="str">
        <f>IFERROR(VLOOKUP(H12,'[1]Consolidado MP Planta'!$A$2:$M$823,12,0),"")</f>
        <v/>
      </c>
      <c r="F12" s="77" t="str">
        <f t="shared" si="2"/>
        <v/>
      </c>
      <c r="G12" s="208" t="str">
        <f t="shared" si="0"/>
        <v/>
      </c>
      <c r="H12" s="79"/>
      <c r="I12" s="79"/>
      <c r="J12" s="209"/>
    </row>
    <row r="13" spans="1:10" ht="13.5" hidden="1" x14ac:dyDescent="0.25">
      <c r="A13" s="81"/>
      <c r="B13" s="62" t="str">
        <f>IFERROR(VLOOKUP(H13,'[1]Consolidado MP Planta'!$A$2:$M$823,3,0),"")</f>
        <v/>
      </c>
      <c r="C13" s="76">
        <f t="shared" si="1"/>
        <v>0</v>
      </c>
      <c r="D13" s="77" t="str">
        <f>IFERROR(VLOOKUP(H13,'[1]Consolidado MP Planta'!$A$2:$M$823,13,0),"")</f>
        <v/>
      </c>
      <c r="E13" s="77" t="str">
        <f>IFERROR(VLOOKUP(H13,'[1]Consolidado MP Planta'!$A$2:$M$823,12,0),"")</f>
        <v/>
      </c>
      <c r="F13" s="77" t="str">
        <f t="shared" si="2"/>
        <v/>
      </c>
      <c r="G13" s="208" t="str">
        <f t="shared" si="0"/>
        <v/>
      </c>
      <c r="H13" s="79"/>
      <c r="I13" s="79"/>
      <c r="J13" s="209"/>
    </row>
    <row r="14" spans="1:10" ht="13.5" hidden="1" x14ac:dyDescent="0.25">
      <c r="A14" s="81"/>
      <c r="B14" s="62" t="str">
        <f>IFERROR(VLOOKUP(H14,'[1]Consolidado MP Planta'!$A$2:$M$823,3,0),"")</f>
        <v/>
      </c>
      <c r="C14" s="76">
        <f t="shared" si="1"/>
        <v>0</v>
      </c>
      <c r="D14" s="77" t="str">
        <f>IFERROR(VLOOKUP(H14,'[1]Consolidado MP Planta'!$A$2:$M$823,13,0),"")</f>
        <v/>
      </c>
      <c r="E14" s="77" t="str">
        <f>IFERROR(VLOOKUP(H14,'[1]Consolidado MP Planta'!$A$2:$M$823,12,0),"")</f>
        <v/>
      </c>
      <c r="F14" s="77" t="str">
        <f t="shared" si="2"/>
        <v/>
      </c>
      <c r="G14" s="208" t="str">
        <f t="shared" si="0"/>
        <v/>
      </c>
      <c r="H14" s="79"/>
      <c r="I14" s="79"/>
      <c r="J14" s="209"/>
    </row>
    <row r="15" spans="1:10" ht="14.25" hidden="1" thickBot="1" x14ac:dyDescent="0.3">
      <c r="A15" s="81"/>
      <c r="B15" s="62" t="str">
        <f>IFERROR(VLOOKUP(H15,'[2]ARTICULOS MP PLANTA'!$A$2:$G$589,2,0),"")</f>
        <v/>
      </c>
      <c r="C15" s="76"/>
      <c r="D15" s="77"/>
      <c r="E15" s="77"/>
      <c r="F15" s="77"/>
      <c r="G15" s="208"/>
      <c r="H15" s="79"/>
      <c r="I15" s="79"/>
      <c r="J15" s="209"/>
    </row>
    <row r="16" spans="1:10" ht="26.25" thickBot="1" x14ac:dyDescent="0.3">
      <c r="A16" s="69" t="s">
        <v>80</v>
      </c>
      <c r="B16" s="70" t="s">
        <v>93</v>
      </c>
      <c r="C16" s="70" t="s">
        <v>80</v>
      </c>
      <c r="D16" s="71" t="s">
        <v>82</v>
      </c>
      <c r="E16" s="71" t="s">
        <v>83</v>
      </c>
      <c r="F16" s="71" t="s">
        <v>84</v>
      </c>
      <c r="G16" s="71" t="s">
        <v>85</v>
      </c>
      <c r="H16" s="72" t="s">
        <v>86</v>
      </c>
      <c r="I16" s="73"/>
      <c r="J16" s="209"/>
    </row>
    <row r="17" spans="1:12" ht="13.5" x14ac:dyDescent="0.25">
      <c r="A17" s="81">
        <v>10900</v>
      </c>
      <c r="B17" s="62" t="s">
        <v>187</v>
      </c>
      <c r="C17" s="76">
        <f>+A17</f>
        <v>10900</v>
      </c>
      <c r="D17" s="76" t="s">
        <v>133</v>
      </c>
      <c r="E17" s="77">
        <f>+'Costo Batido'!E70</f>
        <v>1.732548</v>
      </c>
      <c r="F17" s="77">
        <f>IFERROR(E17*C17,"")</f>
        <v>18884.7732</v>
      </c>
      <c r="G17" s="208">
        <f t="shared" ref="G17:G24" si="3">IFERROR(F17/$F$66,"")</f>
        <v>0.81160499453960178</v>
      </c>
      <c r="H17" s="79"/>
      <c r="I17" s="79"/>
      <c r="J17" s="209"/>
    </row>
    <row r="18" spans="1:12" ht="13.5" hidden="1" x14ac:dyDescent="0.25">
      <c r="A18" s="81"/>
      <c r="B18" s="62" t="str">
        <f>IFERROR(VLOOKUP(H18,[1]SEMIELABORADOS!$A$2:$M$6000,2,0),"")</f>
        <v/>
      </c>
      <c r="C18" s="76">
        <f t="shared" ref="C18:C24" si="4">+A18</f>
        <v>0</v>
      </c>
      <c r="D18" s="76" t="str">
        <f>IFERROR(VLOOKUP(H18,[1]SEMIELABORADOS!$A$2:$M$6000,6,0),"")</f>
        <v/>
      </c>
      <c r="E18" s="77" t="str">
        <f>IFERROR(VLOOKUP(H18,[1]SEMIELABORADOS!$A$2:$H$65536,8,0),"")</f>
        <v/>
      </c>
      <c r="F18" s="77" t="str">
        <f t="shared" ref="F18:F24" si="5">IFERROR(E18*C18,"")</f>
        <v/>
      </c>
      <c r="G18" s="208" t="str">
        <f t="shared" si="3"/>
        <v/>
      </c>
      <c r="H18" s="79"/>
      <c r="I18" s="79"/>
      <c r="J18" s="209"/>
    </row>
    <row r="19" spans="1:12" ht="13.5" hidden="1" x14ac:dyDescent="0.25">
      <c r="A19" s="81"/>
      <c r="B19" s="62" t="str">
        <f>IFERROR(VLOOKUP(H19,[1]SEMIELABORADOS!$A$2:$M$6000,2,0),"")</f>
        <v/>
      </c>
      <c r="C19" s="76">
        <f>+A19</f>
        <v>0</v>
      </c>
      <c r="D19" s="76" t="str">
        <f>IFERROR(VLOOKUP(H19,[1]SEMIELABORADOS!$A$2:$M$6000,6,0),"")</f>
        <v/>
      </c>
      <c r="E19" s="77" t="str">
        <f>IFERROR(VLOOKUP(H19,[1]SEMIELABORADOS!$A$2:$H$65536,8,0),"")</f>
        <v/>
      </c>
      <c r="F19" s="77" t="str">
        <f>IFERROR(E19*C19,"")</f>
        <v/>
      </c>
      <c r="G19" s="208" t="str">
        <f t="shared" si="3"/>
        <v/>
      </c>
      <c r="H19" s="79"/>
      <c r="I19" s="79"/>
      <c r="J19" s="209"/>
    </row>
    <row r="20" spans="1:12" ht="13.5" hidden="1" x14ac:dyDescent="0.25">
      <c r="A20" s="81"/>
      <c r="B20" s="62" t="str">
        <f>IFERROR(VLOOKUP(H20,[1]SEMIELABORADOS!$A$2:$M$6000,2,0),"")</f>
        <v/>
      </c>
      <c r="C20" s="76">
        <f>+A20</f>
        <v>0</v>
      </c>
      <c r="D20" s="76" t="str">
        <f>IFERROR(VLOOKUP(H20,[1]SEMIELABORADOS!$A$2:$M$6000,6,0),"")</f>
        <v/>
      </c>
      <c r="E20" s="77" t="str">
        <f>IFERROR(VLOOKUP(H20,[1]SEMIELABORADOS!$A$2:$H$65536,8,0),"")</f>
        <v/>
      </c>
      <c r="F20" s="77" t="str">
        <f>IFERROR(E20*C20,"")</f>
        <v/>
      </c>
      <c r="G20" s="208" t="str">
        <f t="shared" si="3"/>
        <v/>
      </c>
      <c r="H20" s="79"/>
      <c r="I20" s="79"/>
      <c r="J20" s="209"/>
    </row>
    <row r="21" spans="1:12" ht="13.5" hidden="1" x14ac:dyDescent="0.25">
      <c r="A21" s="81"/>
      <c r="B21" s="62" t="str">
        <f>IFERROR(VLOOKUP(H21,[1]SEMIELABORADOS!$A$2:$M$6000,2,0),"")</f>
        <v/>
      </c>
      <c r="C21" s="76">
        <f>+A21</f>
        <v>0</v>
      </c>
      <c r="D21" s="76" t="str">
        <f>IFERROR(VLOOKUP(H21,[1]SEMIELABORADOS!$A$2:$M$6000,6,0),"")</f>
        <v/>
      </c>
      <c r="E21" s="77" t="str">
        <f>IFERROR(VLOOKUP(H21,[1]SEMIELABORADOS!$A$2:$H$65536,8,0),"")</f>
        <v/>
      </c>
      <c r="F21" s="77" t="str">
        <f>IFERROR(E21*C21,"")</f>
        <v/>
      </c>
      <c r="G21" s="208" t="str">
        <f t="shared" si="3"/>
        <v/>
      </c>
      <c r="H21" s="79"/>
      <c r="I21" s="79"/>
      <c r="J21" s="209"/>
    </row>
    <row r="22" spans="1:12" ht="13.5" hidden="1" x14ac:dyDescent="0.25">
      <c r="A22" s="81"/>
      <c r="B22" s="62" t="str">
        <f>IFERROR(VLOOKUP(H22,[1]SEMIELABORADOS!$A$2:$M$6000,2,0),"")</f>
        <v/>
      </c>
      <c r="C22" s="76">
        <f t="shared" si="4"/>
        <v>0</v>
      </c>
      <c r="D22" s="76" t="str">
        <f>IFERROR(VLOOKUP(H22,[1]SEMIELABORADOS!$A$2:$M$6000,6,0),"")</f>
        <v/>
      </c>
      <c r="E22" s="77" t="str">
        <f>IFERROR(VLOOKUP(H22,[1]SEMIELABORADOS!$A$2:$H$65536,8,0),"")</f>
        <v/>
      </c>
      <c r="F22" s="77" t="str">
        <f t="shared" si="5"/>
        <v/>
      </c>
      <c r="G22" s="208" t="str">
        <f t="shared" si="3"/>
        <v/>
      </c>
      <c r="H22" s="79"/>
      <c r="I22" s="79"/>
      <c r="J22" s="209"/>
    </row>
    <row r="23" spans="1:12" ht="13.5" hidden="1" x14ac:dyDescent="0.25">
      <c r="A23" s="81"/>
      <c r="B23" s="62" t="str">
        <f>IFERROR(VLOOKUP(H23,[1]SEMIELABORADOS!$A$2:$M$6000,2,0),"")</f>
        <v/>
      </c>
      <c r="C23" s="76">
        <f t="shared" si="4"/>
        <v>0</v>
      </c>
      <c r="D23" s="76" t="str">
        <f>IFERROR(VLOOKUP(H23,[1]SEMIELABORADOS!$A$2:$M$6000,6,0),"")</f>
        <v/>
      </c>
      <c r="E23" s="77" t="str">
        <f>IFERROR(VLOOKUP(H23,[1]SEMIELABORADOS!$A$2:$H$65536,8,0),"")</f>
        <v/>
      </c>
      <c r="F23" s="77" t="str">
        <f t="shared" si="5"/>
        <v/>
      </c>
      <c r="G23" s="208" t="str">
        <f t="shared" si="3"/>
        <v/>
      </c>
      <c r="H23" s="79"/>
      <c r="I23" s="79"/>
      <c r="J23" s="209"/>
    </row>
    <row r="24" spans="1:12" ht="13.5" hidden="1" x14ac:dyDescent="0.25">
      <c r="A24" s="81"/>
      <c r="B24" s="62" t="str">
        <f>IFERROR(VLOOKUP(H24,[1]SEMIELABORADOS!$A$2:$M$6000,2,0),"")</f>
        <v/>
      </c>
      <c r="C24" s="76">
        <f t="shared" si="4"/>
        <v>0</v>
      </c>
      <c r="D24" s="76" t="str">
        <f>IFERROR(VLOOKUP(H24,[1]SEMIELABORADOS!$A$2:$M$6000,6,0),"")</f>
        <v/>
      </c>
      <c r="E24" s="77" t="str">
        <f>IFERROR(VLOOKUP(H24,[1]SEMIELABORADOS!$A$2:$H$65536,8,0),"")</f>
        <v/>
      </c>
      <c r="F24" s="77" t="str">
        <f t="shared" si="5"/>
        <v/>
      </c>
      <c r="G24" s="208" t="str">
        <f t="shared" si="3"/>
        <v/>
      </c>
      <c r="H24" s="79"/>
      <c r="I24" s="79"/>
      <c r="J24" s="209"/>
    </row>
    <row r="25" spans="1:12" ht="14.25" thickBot="1" x14ac:dyDescent="0.3">
      <c r="A25" s="81"/>
      <c r="C25" s="76"/>
      <c r="D25" s="76"/>
      <c r="E25" s="77"/>
      <c r="F25" s="77"/>
      <c r="G25" s="208"/>
      <c r="H25" s="79"/>
      <c r="I25" s="79"/>
      <c r="J25" s="209"/>
    </row>
    <row r="26" spans="1:12" ht="26.25" thickBot="1" x14ac:dyDescent="0.3">
      <c r="A26" s="69" t="s">
        <v>80</v>
      </c>
      <c r="B26" s="70" t="s">
        <v>45</v>
      </c>
      <c r="C26" s="70" t="s">
        <v>80</v>
      </c>
      <c r="D26" s="71" t="s">
        <v>82</v>
      </c>
      <c r="E26" s="71" t="s">
        <v>83</v>
      </c>
      <c r="F26" s="71" t="s">
        <v>84</v>
      </c>
      <c r="G26" s="71" t="s">
        <v>85</v>
      </c>
      <c r="H26" s="72" t="s">
        <v>86</v>
      </c>
      <c r="I26" s="73"/>
    </row>
    <row r="27" spans="1:12" ht="13.5" x14ac:dyDescent="0.25">
      <c r="A27" s="81">
        <v>25</v>
      </c>
      <c r="B27" s="82" t="s">
        <v>200</v>
      </c>
      <c r="C27" s="76">
        <f t="shared" ref="C27:C32" si="6">+A27</f>
        <v>25</v>
      </c>
      <c r="D27" s="77" t="s">
        <v>199</v>
      </c>
      <c r="E27" s="77">
        <v>102.42</v>
      </c>
      <c r="F27" s="77">
        <f t="shared" ref="F27:F32" si="7">IFERROR(C27*E27,"")</f>
        <v>2560.5</v>
      </c>
      <c r="G27" s="208">
        <f t="shared" ref="G27:G32" si="8">IFERROR(F27/$F$66,"")</f>
        <v>0.11004180810170652</v>
      </c>
      <c r="H27" s="83" t="s">
        <v>188</v>
      </c>
      <c r="I27" s="83"/>
      <c r="J27" s="209"/>
      <c r="K27" s="455"/>
      <c r="L27" s="455"/>
    </row>
    <row r="28" spans="1:12" ht="13.5" x14ac:dyDescent="0.25">
      <c r="A28" s="81">
        <v>2</v>
      </c>
      <c r="B28" s="82" t="str">
        <f>IFERROR(VLOOKUP(H28,'[1]Consolidado MP Planta'!$A$2:$M$823,3,0),"")</f>
        <v>BOLSA TRANSPARENTE 56X96X1.80 KILO</v>
      </c>
      <c r="C28" s="76">
        <f t="shared" si="6"/>
        <v>2</v>
      </c>
      <c r="D28" s="77" t="str">
        <f>IFERROR(VLOOKUP(H28,'[1]Consolidado MP Planta'!$A$2:$M$823,13,0),"")</f>
        <v>Und</v>
      </c>
      <c r="E28" s="77">
        <f>IFERROR(VLOOKUP(H28,'[1]Consolidado MP Planta'!$A$2:$M$823,12,0),"")</f>
        <v>50</v>
      </c>
      <c r="F28" s="77">
        <f t="shared" si="7"/>
        <v>100</v>
      </c>
      <c r="G28" s="208">
        <f t="shared" si="8"/>
        <v>4.2976687405470232E-3</v>
      </c>
      <c r="H28" s="83" t="s">
        <v>164</v>
      </c>
      <c r="I28" s="83"/>
      <c r="J28" s="209"/>
      <c r="K28" s="455"/>
      <c r="L28" s="455"/>
    </row>
    <row r="29" spans="1:12" ht="13.5" x14ac:dyDescent="0.25">
      <c r="A29" s="81">
        <v>2</v>
      </c>
      <c r="B29" s="82" t="str">
        <f>IFERROR(VLOOKUP(H29,'[1]Consolidado MP Planta'!$A$2:$M$823,3,0),"")</f>
        <v>ETIQ.FECHA VENCIMIENTO BLANCO (ROLLO)</v>
      </c>
      <c r="C29" s="76">
        <f t="shared" si="6"/>
        <v>2</v>
      </c>
      <c r="D29" s="77" t="str">
        <f>IFERROR(VLOOKUP(H29,'[1]Consolidado MP Planta'!$A$2:$M$823,13,0),"")</f>
        <v>Gramos</v>
      </c>
      <c r="E29" s="77">
        <f>IFERROR(VLOOKUP(H29,'[1]Consolidado MP Planta'!$A$2:$M$823,12,0),"")</f>
        <v>0.33333333333333331</v>
      </c>
      <c r="F29" s="77">
        <f t="shared" si="7"/>
        <v>0.66666666666666663</v>
      </c>
      <c r="G29" s="208">
        <f t="shared" si="8"/>
        <v>2.8651124936980152E-5</v>
      </c>
      <c r="H29" s="83" t="s">
        <v>190</v>
      </c>
      <c r="I29" s="83"/>
      <c r="J29" s="209"/>
      <c r="K29" s="455"/>
      <c r="L29" s="455"/>
    </row>
    <row r="30" spans="1:12" ht="13.5" hidden="1" x14ac:dyDescent="0.25">
      <c r="A30" s="81"/>
      <c r="B30" s="82" t="str">
        <f>IFERROR(VLOOKUP(H30,'[1]Consolidado MP Planta'!$A$2:$M$823,3,0),"")</f>
        <v/>
      </c>
      <c r="C30" s="76">
        <f t="shared" si="6"/>
        <v>0</v>
      </c>
      <c r="D30" s="77" t="str">
        <f>IFERROR(VLOOKUP(H30,'[1]Consolidado MP Planta'!$A$2:$M$823,13,0),"")</f>
        <v/>
      </c>
      <c r="E30" s="77" t="str">
        <f>IFERROR(VLOOKUP(H30,'[1]Consolidado MP Planta'!$A$2:$M$823,12,0),"")</f>
        <v/>
      </c>
      <c r="F30" s="77" t="str">
        <f t="shared" si="7"/>
        <v/>
      </c>
      <c r="G30" s="208" t="str">
        <f t="shared" si="8"/>
        <v/>
      </c>
      <c r="H30" s="83"/>
      <c r="I30" s="83"/>
      <c r="J30" s="209"/>
      <c r="K30" s="455"/>
      <c r="L30" s="455"/>
    </row>
    <row r="31" spans="1:12" ht="13.5" hidden="1" x14ac:dyDescent="0.25">
      <c r="A31" s="81"/>
      <c r="B31" s="82" t="str">
        <f>IFERROR(VLOOKUP(H31,'[1]Consolidado MP Planta'!$A$2:$M$823,3,0),"")</f>
        <v/>
      </c>
      <c r="C31" s="76">
        <f t="shared" si="6"/>
        <v>0</v>
      </c>
      <c r="D31" s="77" t="str">
        <f>IFERROR(VLOOKUP(H31,'[1]Consolidado MP Planta'!$A$2:$M$823,13,0),"")</f>
        <v/>
      </c>
      <c r="E31" s="77" t="str">
        <f>IFERROR(VLOOKUP(H31,'[1]Consolidado MP Planta'!$A$2:$M$823,12,0),"")</f>
        <v/>
      </c>
      <c r="F31" s="77" t="str">
        <f t="shared" si="7"/>
        <v/>
      </c>
      <c r="G31" s="208" t="str">
        <f t="shared" si="8"/>
        <v/>
      </c>
      <c r="H31" s="83"/>
      <c r="I31" s="83"/>
      <c r="J31" s="209"/>
      <c r="K31" s="84"/>
      <c r="L31" s="85"/>
    </row>
    <row r="32" spans="1:12" ht="13.5" hidden="1" x14ac:dyDescent="0.25">
      <c r="A32" s="81"/>
      <c r="B32" s="82" t="str">
        <f>IFERROR(VLOOKUP(H32,'[1]Consolidado MP Planta'!$A$2:$M$823,3,0),"")</f>
        <v/>
      </c>
      <c r="C32" s="76">
        <f t="shared" si="6"/>
        <v>0</v>
      </c>
      <c r="D32" s="77" t="str">
        <f>IFERROR(VLOOKUP(H32,'[1]Consolidado MP Planta'!$A$2:$M$823,13,0),"")</f>
        <v/>
      </c>
      <c r="E32" s="77" t="str">
        <f>IFERROR(VLOOKUP(H32,'[1]Consolidado MP Planta'!$A$2:$M$823,12,0),"")</f>
        <v/>
      </c>
      <c r="F32" s="77" t="str">
        <f t="shared" si="7"/>
        <v/>
      </c>
      <c r="G32" s="208" t="str">
        <f t="shared" si="8"/>
        <v/>
      </c>
      <c r="H32" s="83"/>
      <c r="I32" s="83"/>
      <c r="J32" s="209"/>
    </row>
    <row r="33" spans="1:13" ht="14.25" thickBot="1" x14ac:dyDescent="0.3">
      <c r="A33" s="81"/>
      <c r="B33" s="82"/>
      <c r="C33" s="76"/>
      <c r="D33" s="77"/>
      <c r="E33" s="77"/>
      <c r="F33" s="77"/>
      <c r="G33" s="208"/>
      <c r="H33" s="83"/>
      <c r="I33" s="83"/>
      <c r="J33" s="209"/>
    </row>
    <row r="34" spans="1:13" ht="26.25" thickBot="1" x14ac:dyDescent="0.25">
      <c r="A34" s="69" t="s">
        <v>80</v>
      </c>
      <c r="B34" s="70" t="s">
        <v>94</v>
      </c>
      <c r="C34" s="70" t="s">
        <v>80</v>
      </c>
      <c r="D34" s="71" t="s">
        <v>82</v>
      </c>
      <c r="E34" s="71" t="s">
        <v>83</v>
      </c>
      <c r="F34" s="71" t="s">
        <v>84</v>
      </c>
      <c r="G34" s="71" t="s">
        <v>85</v>
      </c>
      <c r="H34" s="72" t="s">
        <v>86</v>
      </c>
      <c r="I34" s="83"/>
      <c r="J34" s="209"/>
    </row>
    <row r="35" spans="1:13" ht="13.5" x14ac:dyDescent="0.25">
      <c r="A35" s="81">
        <f>+A17</f>
        <v>10900</v>
      </c>
      <c r="B35" s="82" t="s">
        <v>187</v>
      </c>
      <c r="C35" s="76">
        <f>+A35</f>
        <v>10900</v>
      </c>
      <c r="D35" s="76" t="s">
        <v>133</v>
      </c>
      <c r="E35" s="77">
        <f>+'Costo Batido'!E77</f>
        <v>1.1448961451247165E-2</v>
      </c>
      <c r="F35" s="77">
        <f>IFERROR(E35*C35,"")</f>
        <v>124.7936798185941</v>
      </c>
      <c r="G35" s="208">
        <f t="shared" ref="G35:G41" si="9">IFERROR(F35/$F$66,"")</f>
        <v>5.3632189677420578E-3</v>
      </c>
      <c r="H35" s="83"/>
      <c r="I35" s="83"/>
      <c r="J35" s="209"/>
    </row>
    <row r="36" spans="1:13" ht="13.5" hidden="1" x14ac:dyDescent="0.25">
      <c r="A36" s="81">
        <f t="shared" ref="A36:A41" si="10">+A18</f>
        <v>0</v>
      </c>
      <c r="B36" s="82" t="str">
        <f>IFERROR(VLOOKUP(H36,[1]SEMIELABORADOS!$A$2:$M$6000,2,0),"")</f>
        <v/>
      </c>
      <c r="C36" s="76">
        <f t="shared" ref="C36:C41" si="11">+A36</f>
        <v>0</v>
      </c>
      <c r="D36" s="77" t="str">
        <f>IFERROR(VLOOKUP(H36,[1]SEMIELABORADOS!$A$2:$M$6000,6,0),"")</f>
        <v/>
      </c>
      <c r="E36" s="77" t="str">
        <f>IFERROR(VLOOKUP(H36,[1]SEMIELABORADOS!$A$2:$M$65536,10,0),"")</f>
        <v/>
      </c>
      <c r="F36" s="77" t="str">
        <f t="shared" ref="F36:F41" si="12">IFERROR(E36*C36,"")</f>
        <v/>
      </c>
      <c r="G36" s="208" t="str">
        <f t="shared" si="9"/>
        <v/>
      </c>
      <c r="H36" s="83"/>
      <c r="I36" s="83"/>
      <c r="J36" s="209"/>
    </row>
    <row r="37" spans="1:13" ht="13.5" hidden="1" x14ac:dyDescent="0.25">
      <c r="A37" s="81">
        <f t="shared" si="10"/>
        <v>0</v>
      </c>
      <c r="B37" s="82" t="str">
        <f>IFERROR(VLOOKUP(H37,[1]SEMIELABORADOS!$A$2:$M$6000,2,0),"")</f>
        <v/>
      </c>
      <c r="C37" s="76">
        <f t="shared" si="11"/>
        <v>0</v>
      </c>
      <c r="D37" s="77" t="str">
        <f>IFERROR(VLOOKUP(H37,[1]SEMIELABORADOS!$A$2:$M$6000,6,0),"")</f>
        <v/>
      </c>
      <c r="E37" s="77" t="str">
        <f>IFERROR(VLOOKUP(H37,[1]SEMIELABORADOS!$A$2:$M$65536,10,0),"")</f>
        <v/>
      </c>
      <c r="F37" s="77" t="str">
        <f t="shared" si="12"/>
        <v/>
      </c>
      <c r="G37" s="208" t="str">
        <f t="shared" si="9"/>
        <v/>
      </c>
      <c r="H37" s="83"/>
      <c r="I37" s="83"/>
      <c r="J37" s="209"/>
    </row>
    <row r="38" spans="1:13" ht="13.5" hidden="1" x14ac:dyDescent="0.25">
      <c r="A38" s="81">
        <f t="shared" si="10"/>
        <v>0</v>
      </c>
      <c r="B38" s="82" t="str">
        <f>IFERROR(VLOOKUP(H38,[1]SEMIELABORADOS!$A$2:$M$6000,2,0),"")</f>
        <v/>
      </c>
      <c r="C38" s="76">
        <f>+A38</f>
        <v>0</v>
      </c>
      <c r="D38" s="77" t="str">
        <f>IFERROR(VLOOKUP(H38,[1]SEMIELABORADOS!$A$2:$M$6000,6,0),"")</f>
        <v/>
      </c>
      <c r="E38" s="77" t="str">
        <f>IFERROR(VLOOKUP(H38,[1]SEMIELABORADOS!$A$2:$M$65536,10,0),"")</f>
        <v/>
      </c>
      <c r="F38" s="77" t="str">
        <f>IFERROR(E38*C38,"")</f>
        <v/>
      </c>
      <c r="G38" s="208" t="str">
        <f t="shared" si="9"/>
        <v/>
      </c>
      <c r="H38" s="83"/>
      <c r="I38" s="83"/>
      <c r="J38" s="209"/>
    </row>
    <row r="39" spans="1:13" ht="13.5" hidden="1" x14ac:dyDescent="0.25">
      <c r="A39" s="81">
        <f t="shared" si="10"/>
        <v>0</v>
      </c>
      <c r="B39" s="82" t="str">
        <f>IFERROR(VLOOKUP(H39,[1]SEMIELABORADOS!$A$2:$M$6000,2,0),"")</f>
        <v/>
      </c>
      <c r="C39" s="76">
        <f>+A39</f>
        <v>0</v>
      </c>
      <c r="D39" s="77" t="str">
        <f>IFERROR(VLOOKUP(H39,[1]SEMIELABORADOS!$A$2:$M$6000,6,0),"")</f>
        <v/>
      </c>
      <c r="E39" s="77" t="str">
        <f>IFERROR(VLOOKUP(H39,[1]SEMIELABORADOS!$A$2:$M$65536,10,0),"")</f>
        <v/>
      </c>
      <c r="F39" s="77" t="str">
        <f>IFERROR(E39*C39,"")</f>
        <v/>
      </c>
      <c r="G39" s="208" t="str">
        <f t="shared" si="9"/>
        <v/>
      </c>
      <c r="H39" s="83"/>
      <c r="I39" s="83"/>
      <c r="J39" s="209"/>
    </row>
    <row r="40" spans="1:13" ht="13.5" hidden="1" x14ac:dyDescent="0.25">
      <c r="A40" s="81">
        <f t="shared" si="10"/>
        <v>0</v>
      </c>
      <c r="B40" s="82" t="str">
        <f>IFERROR(VLOOKUP(H40,[1]SEMIELABORADOS!$A$2:$M$6000,2,0),"")</f>
        <v/>
      </c>
      <c r="C40" s="76">
        <f t="shared" si="11"/>
        <v>0</v>
      </c>
      <c r="D40" s="77" t="str">
        <f>IFERROR(VLOOKUP(H40,[1]SEMIELABORADOS!$A$2:$M$6000,6,0),"")</f>
        <v/>
      </c>
      <c r="E40" s="77" t="str">
        <f>IFERROR(VLOOKUP(H40,[1]SEMIELABORADOS!$A$2:$M$65536,10,0),"")</f>
        <v/>
      </c>
      <c r="F40" s="77" t="str">
        <f t="shared" si="12"/>
        <v/>
      </c>
      <c r="G40" s="208" t="str">
        <f t="shared" si="9"/>
        <v/>
      </c>
      <c r="H40" s="83"/>
      <c r="I40" s="83"/>
      <c r="J40" s="209"/>
    </row>
    <row r="41" spans="1:13" ht="13.5" hidden="1" x14ac:dyDescent="0.25">
      <c r="A41" s="81">
        <f t="shared" si="10"/>
        <v>0</v>
      </c>
      <c r="B41" s="82" t="str">
        <f>IFERROR(VLOOKUP(H41,[1]SEMIELABORADOS!$A$2:$M$6000,2,0),"")</f>
        <v/>
      </c>
      <c r="C41" s="76">
        <f t="shared" si="11"/>
        <v>0</v>
      </c>
      <c r="D41" s="77" t="str">
        <f>IFERROR(VLOOKUP(H41,[1]SEMIELABORADOS!$A$2:$M$6000,6,0),"")</f>
        <v/>
      </c>
      <c r="E41" s="77" t="str">
        <f>IFERROR(VLOOKUP(H41,[1]SEMIELABORADOS!$A$2:$M$65536,10,0),"")</f>
        <v/>
      </c>
      <c r="F41" s="77" t="str">
        <f t="shared" si="12"/>
        <v/>
      </c>
      <c r="G41" s="208" t="str">
        <f t="shared" si="9"/>
        <v/>
      </c>
      <c r="H41" s="83"/>
      <c r="I41" s="83"/>
      <c r="J41" s="209"/>
    </row>
    <row r="42" spans="1:13" ht="14.25" thickBot="1" x14ac:dyDescent="0.3">
      <c r="A42" s="81"/>
      <c r="B42" s="82"/>
      <c r="C42" s="76"/>
      <c r="D42" s="77"/>
      <c r="E42" s="77"/>
      <c r="F42" s="77"/>
      <c r="G42" s="208"/>
      <c r="H42" s="83"/>
      <c r="I42" s="83"/>
      <c r="J42" s="209"/>
    </row>
    <row r="43" spans="1:13" ht="26.25" thickBot="1" x14ac:dyDescent="0.3">
      <c r="A43" s="69" t="s">
        <v>80</v>
      </c>
      <c r="B43" s="70" t="s">
        <v>95</v>
      </c>
      <c r="C43" s="70" t="s">
        <v>80</v>
      </c>
      <c r="D43" s="71" t="s">
        <v>82</v>
      </c>
      <c r="E43" s="71" t="s">
        <v>83</v>
      </c>
      <c r="F43" s="71" t="s">
        <v>84</v>
      </c>
      <c r="G43" s="71" t="s">
        <v>85</v>
      </c>
      <c r="H43" s="72" t="s">
        <v>86</v>
      </c>
      <c r="I43" s="73"/>
      <c r="J43" s="209"/>
    </row>
    <row r="44" spans="1:13" ht="13.5" x14ac:dyDescent="0.25">
      <c r="A44" s="81">
        <f>+A35</f>
        <v>10900</v>
      </c>
      <c r="B44" s="82" t="s">
        <v>187</v>
      </c>
      <c r="C44" s="76">
        <f>+A44</f>
        <v>10900</v>
      </c>
      <c r="D44" s="77" t="s">
        <v>133</v>
      </c>
      <c r="E44" s="77">
        <f>+'Costo Batido'!E75</f>
        <v>6.9714285714285715E-2</v>
      </c>
      <c r="F44" s="77">
        <f>IFERROR(E44*C44,"")</f>
        <v>759.88571428571424</v>
      </c>
      <c r="G44" s="208">
        <f>IFERROR(F44/$F$66,"")</f>
        <v>3.2657370806739604E-2</v>
      </c>
      <c r="H44" s="83"/>
      <c r="I44" s="73"/>
      <c r="J44" s="209"/>
    </row>
    <row r="45" spans="1:13" ht="13.5" hidden="1" x14ac:dyDescent="0.25">
      <c r="A45" s="81">
        <f t="shared" ref="A45:A50" si="13">+A36</f>
        <v>0</v>
      </c>
      <c r="B45" s="82" t="str">
        <f>IFERROR(VLOOKUP(H45,[1]SEMIELABORADOS!$A$2:$M$6000,2,0),"")</f>
        <v/>
      </c>
      <c r="C45" s="76">
        <f t="shared" ref="C45:C50" si="14">+A45</f>
        <v>0</v>
      </c>
      <c r="D45" s="77" t="str">
        <f>IFERROR(VLOOKUP(H45,[1]SEMIELABORADOS!$A$2:$M$6000,6,0),"")</f>
        <v/>
      </c>
      <c r="E45" s="77" t="str">
        <f>IFERROR(VLOOKUP(H45,[1]SEMIELABORADOS!$A$2:$M$65536,12,0),"")</f>
        <v/>
      </c>
      <c r="F45" s="77" t="str">
        <f t="shared" ref="F45:F50" si="15">IFERROR(E45*C45,"")</f>
        <v/>
      </c>
      <c r="G45" s="208" t="str">
        <f t="shared" ref="G45:G50" si="16">IFERROR(F45/$F$66,"")</f>
        <v/>
      </c>
      <c r="H45" s="83"/>
      <c r="I45" s="73"/>
      <c r="J45" s="209"/>
      <c r="M45" s="86"/>
    </row>
    <row r="46" spans="1:13" ht="13.5" hidden="1" x14ac:dyDescent="0.25">
      <c r="A46" s="81">
        <f t="shared" si="13"/>
        <v>0</v>
      </c>
      <c r="B46" s="82" t="str">
        <f>IFERROR(VLOOKUP(H46,[1]SEMIELABORADOS!$A$2:$M$6000,2,0),"")</f>
        <v/>
      </c>
      <c r="C46" s="76">
        <f t="shared" si="14"/>
        <v>0</v>
      </c>
      <c r="D46" s="77" t="str">
        <f>IFERROR(VLOOKUP(H46,[1]SEMIELABORADOS!$A$2:$M$6000,6,0),"")</f>
        <v/>
      </c>
      <c r="E46" s="77" t="str">
        <f>IFERROR(VLOOKUP(H46,[1]SEMIELABORADOS!$A$2:$M$65536,12,0),"")</f>
        <v/>
      </c>
      <c r="F46" s="77" t="str">
        <f t="shared" si="15"/>
        <v/>
      </c>
      <c r="G46" s="208" t="str">
        <f t="shared" si="16"/>
        <v/>
      </c>
      <c r="H46" s="83"/>
      <c r="I46" s="73"/>
      <c r="J46" s="209"/>
    </row>
    <row r="47" spans="1:13" ht="13.5" hidden="1" x14ac:dyDescent="0.25">
      <c r="A47" s="81">
        <f t="shared" si="13"/>
        <v>0</v>
      </c>
      <c r="B47" s="82" t="str">
        <f>IFERROR(VLOOKUP(H47,[1]SEMIELABORADOS!$A$2:$M$6000,2,0),"")</f>
        <v/>
      </c>
      <c r="C47" s="76">
        <f t="shared" si="14"/>
        <v>0</v>
      </c>
      <c r="D47" s="77" t="str">
        <f>IFERROR(VLOOKUP(H47,[1]SEMIELABORADOS!$A$2:$M$6000,6,0),"")</f>
        <v/>
      </c>
      <c r="E47" s="77" t="str">
        <f>IFERROR(VLOOKUP(H47,[1]SEMIELABORADOS!$A$2:$M$65536,12,0),"")</f>
        <v/>
      </c>
      <c r="F47" s="77" t="str">
        <f t="shared" si="15"/>
        <v/>
      </c>
      <c r="G47" s="208" t="str">
        <f t="shared" si="16"/>
        <v/>
      </c>
      <c r="H47" s="83"/>
      <c r="I47" s="73"/>
      <c r="J47" s="209"/>
    </row>
    <row r="48" spans="1:13" ht="13.5" hidden="1" x14ac:dyDescent="0.25">
      <c r="A48" s="81">
        <f t="shared" si="13"/>
        <v>0</v>
      </c>
      <c r="B48" s="82" t="str">
        <f>IFERROR(VLOOKUP(H48,[1]SEMIELABORADOS!$A$2:$M$6000,2,0),"")</f>
        <v/>
      </c>
      <c r="C48" s="76">
        <f t="shared" si="14"/>
        <v>0</v>
      </c>
      <c r="D48" s="77" t="str">
        <f>IFERROR(VLOOKUP(H48,[1]SEMIELABORADOS!$A$2:$M$6000,6,0),"")</f>
        <v/>
      </c>
      <c r="E48" s="77" t="str">
        <f>IFERROR(VLOOKUP(H48,[1]SEMIELABORADOS!$A$2:$M$65536,12,0),"")</f>
        <v/>
      </c>
      <c r="F48" s="77" t="str">
        <f t="shared" si="15"/>
        <v/>
      </c>
      <c r="G48" s="208" t="str">
        <f t="shared" si="16"/>
        <v/>
      </c>
      <c r="H48" s="83"/>
      <c r="I48" s="73"/>
      <c r="J48" s="209"/>
    </row>
    <row r="49" spans="1:17" ht="13.5" hidden="1" x14ac:dyDescent="0.25">
      <c r="A49" s="81">
        <f t="shared" si="13"/>
        <v>0</v>
      </c>
      <c r="B49" s="82" t="str">
        <f>IFERROR(VLOOKUP(H49,[1]SEMIELABORADOS!$A$2:$M$6000,2,0),"")</f>
        <v/>
      </c>
      <c r="C49" s="76">
        <f t="shared" si="14"/>
        <v>0</v>
      </c>
      <c r="D49" s="77" t="str">
        <f>IFERROR(VLOOKUP(H49,[1]SEMIELABORADOS!$A$2:$M$6000,6,0),"")</f>
        <v/>
      </c>
      <c r="E49" s="77" t="str">
        <f>IFERROR(VLOOKUP(H49,[1]SEMIELABORADOS!$A$2:$M$65536,12,0),"")</f>
        <v/>
      </c>
      <c r="F49" s="77" t="str">
        <f t="shared" si="15"/>
        <v/>
      </c>
      <c r="G49" s="208" t="str">
        <f t="shared" si="16"/>
        <v/>
      </c>
      <c r="H49" s="83"/>
      <c r="I49" s="73"/>
      <c r="J49" s="209"/>
    </row>
    <row r="50" spans="1:17" ht="13.5" hidden="1" x14ac:dyDescent="0.25">
      <c r="A50" s="81">
        <f t="shared" si="13"/>
        <v>0</v>
      </c>
      <c r="B50" s="82" t="str">
        <f>IFERROR(VLOOKUP(H50,[1]SEMIELABORADOS!$A$2:$M$6000,2,0),"")</f>
        <v/>
      </c>
      <c r="C50" s="76">
        <f t="shared" si="14"/>
        <v>0</v>
      </c>
      <c r="D50" s="77" t="str">
        <f>IFERROR(VLOOKUP(H50,[1]SEMIELABORADOS!$A$2:$M$6000,6,0),"")</f>
        <v/>
      </c>
      <c r="E50" s="77" t="str">
        <f>IFERROR(VLOOKUP(H50,[1]SEMIELABORADOS!$A$2:$M$65536,12,0),"")</f>
        <v/>
      </c>
      <c r="F50" s="77" t="str">
        <f t="shared" si="15"/>
        <v/>
      </c>
      <c r="G50" s="208" t="str">
        <f t="shared" si="16"/>
        <v/>
      </c>
      <c r="H50" s="82"/>
      <c r="I50" s="73"/>
      <c r="J50" s="209"/>
    </row>
    <row r="51" spans="1:17" ht="13.5" x14ac:dyDescent="0.25">
      <c r="A51" s="81">
        <v>1</v>
      </c>
      <c r="B51" s="82" t="s">
        <v>96</v>
      </c>
      <c r="C51" s="76">
        <f>+A51</f>
        <v>1</v>
      </c>
      <c r="D51" s="76" t="s">
        <v>97</v>
      </c>
      <c r="E51" s="77">
        <f>+F65</f>
        <v>1220</v>
      </c>
      <c r="F51" s="77">
        <f>IFERROR(C51*E51,"")</f>
        <v>1220</v>
      </c>
      <c r="G51" s="208">
        <f>IFERROR(F51/$F$66,"")</f>
        <v>5.2431558634673685E-2</v>
      </c>
      <c r="H51" s="87"/>
      <c r="I51" s="87"/>
      <c r="J51" s="209"/>
    </row>
    <row r="52" spans="1:17" ht="14.25" thickBot="1" x14ac:dyDescent="0.3">
      <c r="A52" s="81"/>
      <c r="B52" s="82"/>
      <c r="C52" s="76"/>
      <c r="D52" s="76"/>
      <c r="E52" s="77"/>
      <c r="F52" s="77"/>
      <c r="G52" s="208"/>
      <c r="H52" s="87"/>
      <c r="I52" s="87"/>
      <c r="J52" s="209"/>
    </row>
    <row r="53" spans="1:17" ht="13.5" thickBot="1" x14ac:dyDescent="0.3">
      <c r="A53" s="88"/>
      <c r="B53" s="456" t="s">
        <v>98</v>
      </c>
      <c r="C53" s="456"/>
      <c r="D53" s="456"/>
      <c r="E53" s="456"/>
      <c r="F53" s="90">
        <f>SUM(F8:F14,F17:F24)</f>
        <v>18884.7732</v>
      </c>
      <c r="G53" s="208">
        <f>+F53/$F$66</f>
        <v>0.81160499453960178</v>
      </c>
      <c r="H53" s="91">
        <f>+F53/$D$60</f>
        <v>699.43604444444441</v>
      </c>
      <c r="I53" s="91"/>
      <c r="J53" s="214"/>
      <c r="K53" s="93"/>
      <c r="L53" s="93"/>
      <c r="M53" s="93"/>
      <c r="N53" s="93"/>
      <c r="O53" s="93"/>
      <c r="P53" s="93"/>
      <c r="Q53" s="94"/>
    </row>
    <row r="54" spans="1:17" x14ac:dyDescent="0.2">
      <c r="A54" s="88"/>
      <c r="B54" s="456" t="s">
        <v>99</v>
      </c>
      <c r="C54" s="456"/>
      <c r="D54" s="456"/>
      <c r="E54" s="456"/>
      <c r="F54" s="90">
        <f>SUM(F27:F32,F35:F41)</f>
        <v>2785.9603464852607</v>
      </c>
      <c r="G54" s="208">
        <f>+F54/$F$66</f>
        <v>0.11973134693493259</v>
      </c>
      <c r="H54" s="91">
        <f>+F54/$D$60</f>
        <v>103.18371653649113</v>
      </c>
      <c r="I54" s="91"/>
      <c r="J54" s="95"/>
      <c r="K54" s="457" t="s">
        <v>100</v>
      </c>
      <c r="L54" s="458"/>
      <c r="M54" s="458"/>
      <c r="N54" s="458"/>
      <c r="O54" s="96">
        <f>+F55</f>
        <v>21670.733546485259</v>
      </c>
      <c r="P54" s="96"/>
      <c r="Q54" s="97"/>
    </row>
    <row r="55" spans="1:17" x14ac:dyDescent="0.2">
      <c r="A55" s="88"/>
      <c r="B55" s="456" t="s">
        <v>101</v>
      </c>
      <c r="C55" s="456"/>
      <c r="D55" s="456"/>
      <c r="E55" s="456"/>
      <c r="F55" s="90">
        <f>+F53+F54</f>
        <v>21670.733546485259</v>
      </c>
      <c r="G55" s="208">
        <f>+F55/$F$66</f>
        <v>0.93133634147453426</v>
      </c>
      <c r="H55" s="91">
        <f>+F55/$D$60</f>
        <v>802.61976098093555</v>
      </c>
      <c r="I55" s="91"/>
      <c r="J55" s="215"/>
      <c r="K55" s="99"/>
      <c r="M55" s="100" t="s">
        <v>102</v>
      </c>
      <c r="N55" s="101"/>
      <c r="O55" s="96">
        <f>+F56</f>
        <v>1979.8857142857141</v>
      </c>
      <c r="P55" s="96"/>
      <c r="Q55" s="97"/>
    </row>
    <row r="56" spans="1:17" ht="13.5" thickBot="1" x14ac:dyDescent="0.25">
      <c r="A56" s="88"/>
      <c r="B56" s="89"/>
      <c r="C56" s="456" t="s">
        <v>103</v>
      </c>
      <c r="D56" s="456"/>
      <c r="E56" s="456"/>
      <c r="F56" s="90">
        <f>SUM(F44:F51)</f>
        <v>1979.8857142857141</v>
      </c>
      <c r="G56" s="208">
        <f>+F56/$F$66</f>
        <v>8.5088929441413289E-2</v>
      </c>
      <c r="H56" s="91">
        <f>+F56/$D$60</f>
        <v>73.329100529100529</v>
      </c>
      <c r="I56" s="91"/>
      <c r="J56" s="215"/>
      <c r="K56" s="99"/>
      <c r="L56" s="99"/>
      <c r="M56" s="99" t="s">
        <v>104</v>
      </c>
      <c r="N56" s="217"/>
      <c r="O56" s="96">
        <f>O54*N56</f>
        <v>0</v>
      </c>
      <c r="P56" s="96"/>
      <c r="Q56" s="97"/>
    </row>
    <row r="57" spans="1:17" ht="13.5" thickBot="1" x14ac:dyDescent="0.25">
      <c r="A57" s="88"/>
      <c r="B57" s="103"/>
      <c r="C57" s="103"/>
      <c r="D57" s="103"/>
      <c r="E57" s="103"/>
      <c r="F57" s="104"/>
      <c r="G57" s="208"/>
      <c r="H57" s="105"/>
      <c r="I57" s="91"/>
      <c r="J57" s="215"/>
      <c r="K57" s="106"/>
      <c r="M57" s="107" t="s">
        <v>105</v>
      </c>
      <c r="N57" s="108"/>
      <c r="O57" s="109">
        <f>SUM(O54:O56)</f>
        <v>23650.619260770975</v>
      </c>
      <c r="P57" s="110"/>
      <c r="Q57" s="97"/>
    </row>
    <row r="58" spans="1:17" x14ac:dyDescent="0.2">
      <c r="B58" s="459" t="s">
        <v>106</v>
      </c>
      <c r="C58" s="459"/>
      <c r="D58" s="111">
        <v>10800</v>
      </c>
      <c r="E58" s="112"/>
      <c r="G58" s="208"/>
      <c r="H58" s="105">
        <f>+F56/61</f>
        <v>32.457142857142856</v>
      </c>
      <c r="I58" s="113"/>
      <c r="J58" s="215"/>
      <c r="K58" s="106"/>
      <c r="L58" s="99"/>
      <c r="M58" s="99" t="s">
        <v>107</v>
      </c>
      <c r="N58" s="213"/>
      <c r="O58" s="96">
        <f>+H59</f>
        <v>1882.5142857142855</v>
      </c>
      <c r="P58" s="96"/>
      <c r="Q58" s="97"/>
    </row>
    <row r="59" spans="1:17" x14ac:dyDescent="0.2">
      <c r="B59" s="459" t="s">
        <v>108</v>
      </c>
      <c r="C59" s="459"/>
      <c r="D59" s="115">
        <v>400</v>
      </c>
      <c r="E59" s="112"/>
      <c r="G59" s="208"/>
      <c r="H59" s="105">
        <f>+H58*58</f>
        <v>1882.5142857142855</v>
      </c>
      <c r="I59" s="113"/>
      <c r="J59" s="215"/>
      <c r="K59" s="106"/>
      <c r="L59" s="99"/>
      <c r="M59" s="460" t="s">
        <v>105</v>
      </c>
      <c r="N59" s="460"/>
      <c r="O59" s="96">
        <f>SUM(O57:O58)</f>
        <v>25533.13354648526</v>
      </c>
      <c r="P59" s="96"/>
      <c r="Q59" s="97"/>
    </row>
    <row r="60" spans="1:17" ht="13.5" thickBot="1" x14ac:dyDescent="0.25">
      <c r="B60" s="451" t="s">
        <v>109</v>
      </c>
      <c r="C60" s="451"/>
      <c r="D60" s="111">
        <f>+D58/D59</f>
        <v>27</v>
      </c>
      <c r="E60" s="112"/>
      <c r="F60" s="116"/>
      <c r="G60" s="208"/>
      <c r="H60" s="105"/>
      <c r="I60" s="113"/>
      <c r="J60" s="215"/>
      <c r="K60" s="106"/>
      <c r="L60" s="460"/>
      <c r="M60" s="460"/>
      <c r="N60" s="213"/>
      <c r="O60" s="96">
        <f>+O59*N60</f>
        <v>0</v>
      </c>
      <c r="P60" s="96"/>
      <c r="Q60" s="97"/>
    </row>
    <row r="61" spans="1:17" ht="13.5" thickBot="1" x14ac:dyDescent="0.25">
      <c r="B61" s="451" t="s">
        <v>110</v>
      </c>
      <c r="C61" s="451"/>
      <c r="D61" s="117"/>
      <c r="E61" s="112"/>
      <c r="F61" s="116"/>
      <c r="G61" s="208"/>
      <c r="H61" s="105"/>
      <c r="I61" s="113"/>
      <c r="J61" s="215"/>
      <c r="K61" s="452" t="s">
        <v>111</v>
      </c>
      <c r="L61" s="453"/>
      <c r="M61" s="453"/>
      <c r="N61" s="454"/>
      <c r="O61" s="109">
        <f>SUM(O59:O60)</f>
        <v>25533.13354648526</v>
      </c>
      <c r="P61" s="118" t="s">
        <v>112</v>
      </c>
      <c r="Q61" s="97"/>
    </row>
    <row r="62" spans="1:17" ht="13.5" thickBot="1" x14ac:dyDescent="0.25">
      <c r="C62" s="88" t="s">
        <v>113</v>
      </c>
      <c r="D62" s="119"/>
      <c r="E62" s="60" t="s">
        <v>114</v>
      </c>
      <c r="F62" s="120" t="s">
        <v>115</v>
      </c>
      <c r="G62" s="208"/>
      <c r="H62" s="105"/>
      <c r="I62" s="113"/>
      <c r="J62" s="121"/>
      <c r="K62" s="122"/>
      <c r="L62" s="440" t="s">
        <v>116</v>
      </c>
      <c r="M62" s="440"/>
      <c r="N62" s="440"/>
      <c r="O62" s="123">
        <f>+O61/D60</f>
        <v>945.67161283278745</v>
      </c>
      <c r="P62" s="124">
        <f>+O62/D59</f>
        <v>2.3641790320819687</v>
      </c>
      <c r="Q62" s="125"/>
    </row>
    <row r="63" spans="1:17" ht="13.5" thickBot="1" x14ac:dyDescent="0.25">
      <c r="B63" s="441" t="s">
        <v>101</v>
      </c>
      <c r="C63" s="441"/>
      <c r="D63" s="441"/>
      <c r="E63" s="210">
        <f>+F63/F63</f>
        <v>1</v>
      </c>
      <c r="F63" s="127">
        <f>SUM(F55)</f>
        <v>21670.733546485259</v>
      </c>
      <c r="G63" s="208">
        <f>+F63/$F$66</f>
        <v>0.93133634147453426</v>
      </c>
      <c r="H63" s="105"/>
      <c r="I63" s="113"/>
      <c r="K63" s="442"/>
      <c r="L63" s="443"/>
      <c r="M63" s="443"/>
      <c r="N63" s="443"/>
      <c r="O63" s="128"/>
      <c r="P63" s="129"/>
    </row>
    <row r="64" spans="1:17" ht="13.5" thickBot="1" x14ac:dyDescent="0.3">
      <c r="B64" s="444" t="s">
        <v>117</v>
      </c>
      <c r="C64" s="444"/>
      <c r="D64" s="444"/>
      <c r="E64" s="130">
        <v>0.02</v>
      </c>
      <c r="F64" s="127">
        <f>+F53*E64</f>
        <v>377.69546400000002</v>
      </c>
      <c r="G64" s="208">
        <f>+F64/$F$66</f>
        <v>1.6232099890792037E-2</v>
      </c>
      <c r="H64" s="91"/>
      <c r="I64" s="113"/>
      <c r="J64" s="216"/>
      <c r="O64" s="132"/>
      <c r="P64" s="89"/>
    </row>
    <row r="65" spans="2:13" ht="13.5" thickBot="1" x14ac:dyDescent="0.3">
      <c r="B65" s="445" t="s">
        <v>118</v>
      </c>
      <c r="C65" s="446"/>
      <c r="D65" s="133">
        <v>20</v>
      </c>
      <c r="E65" s="134">
        <v>61</v>
      </c>
      <c r="F65" s="127">
        <f>+E65*D65</f>
        <v>1220</v>
      </c>
      <c r="G65" s="208">
        <f>+F65/$F$66</f>
        <v>5.2431558634673685E-2</v>
      </c>
      <c r="H65" s="91"/>
      <c r="I65" s="91"/>
      <c r="J65" s="209"/>
    </row>
    <row r="66" spans="2:13" ht="13.5" thickBot="1" x14ac:dyDescent="0.3">
      <c r="B66" s="447" t="s">
        <v>119</v>
      </c>
      <c r="C66" s="448"/>
      <c r="D66" s="448"/>
      <c r="E66" s="449"/>
      <c r="F66" s="104">
        <f>SUM(F63:F65)</f>
        <v>23268.429010485259</v>
      </c>
      <c r="G66" s="208">
        <f>+F66/$F$66</f>
        <v>1</v>
      </c>
      <c r="H66" s="450"/>
      <c r="I66" s="91"/>
      <c r="J66" s="209"/>
      <c r="M66" s="62" t="s">
        <v>161</v>
      </c>
    </row>
    <row r="67" spans="2:13" x14ac:dyDescent="0.25">
      <c r="C67" s="86"/>
      <c r="D67" s="86"/>
      <c r="E67" s="136"/>
      <c r="F67" s="127"/>
      <c r="G67" s="208"/>
      <c r="H67" s="450"/>
      <c r="I67" s="135"/>
      <c r="J67" s="62"/>
      <c r="M67" s="62" t="s">
        <v>162</v>
      </c>
    </row>
    <row r="68" spans="2:13" ht="13.5" thickBot="1" x14ac:dyDescent="0.3">
      <c r="B68" s="435" t="s">
        <v>120</v>
      </c>
      <c r="C68" s="435"/>
      <c r="D68" s="435"/>
      <c r="E68" s="435"/>
      <c r="F68" s="435"/>
      <c r="G68" s="208"/>
      <c r="H68" s="138"/>
      <c r="I68" s="135"/>
      <c r="J68" s="62"/>
    </row>
    <row r="69" spans="2:13" ht="13.5" thickBot="1" x14ac:dyDescent="0.3">
      <c r="B69" s="139" t="s">
        <v>121</v>
      </c>
      <c r="C69" s="140">
        <f>+F53</f>
        <v>18884.7732</v>
      </c>
      <c r="D69" s="140">
        <f>+D58</f>
        <v>10800</v>
      </c>
      <c r="E69" s="141">
        <f>+C69/D69</f>
        <v>1.7485901111111111</v>
      </c>
      <c r="F69" s="208"/>
      <c r="G69" s="138"/>
      <c r="H69" s="209"/>
      <c r="I69" s="138"/>
      <c r="J69" s="62"/>
    </row>
    <row r="70" spans="2:13" x14ac:dyDescent="0.25">
      <c r="B70" s="142"/>
      <c r="C70" s="143"/>
      <c r="D70" s="144"/>
      <c r="E70" s="127"/>
      <c r="F70" s="208"/>
      <c r="G70" s="138"/>
      <c r="H70" s="209"/>
      <c r="I70" s="209"/>
      <c r="J70" s="62"/>
    </row>
    <row r="71" spans="2:13" x14ac:dyDescent="0.25">
      <c r="B71" s="139" t="s">
        <v>122</v>
      </c>
      <c r="C71" s="140">
        <f>SUM(F63:F64)</f>
        <v>22048.429010485259</v>
      </c>
      <c r="D71" s="140">
        <f>+D58</f>
        <v>10800</v>
      </c>
      <c r="E71" s="145">
        <f>+C71/D71</f>
        <v>2.0415212046745612</v>
      </c>
      <c r="F71" s="208"/>
      <c r="G71" s="138"/>
      <c r="H71" s="209"/>
      <c r="I71" s="209"/>
      <c r="J71" s="62"/>
    </row>
    <row r="72" spans="2:13" x14ac:dyDescent="0.25">
      <c r="B72" s="139"/>
      <c r="C72" s="140"/>
      <c r="D72" s="140"/>
      <c r="E72" s="145"/>
      <c r="F72" s="208"/>
      <c r="G72" s="138"/>
      <c r="H72" s="209"/>
      <c r="I72" s="209"/>
      <c r="J72" s="62"/>
    </row>
    <row r="73" spans="2:13" ht="13.5" thickBot="1" x14ac:dyDescent="0.3">
      <c r="B73" s="139" t="s">
        <v>123</v>
      </c>
      <c r="C73" s="140">
        <f>+F65</f>
        <v>1220</v>
      </c>
      <c r="D73" s="140">
        <f>+D58</f>
        <v>10800</v>
      </c>
      <c r="E73" s="145">
        <f>+C73/D73</f>
        <v>0.11296296296296296</v>
      </c>
      <c r="F73" s="208"/>
      <c r="G73" s="138"/>
      <c r="H73" s="209"/>
      <c r="I73" s="209"/>
      <c r="J73" s="62"/>
    </row>
    <row r="74" spans="2:13" ht="13.5" thickBot="1" x14ac:dyDescent="0.3">
      <c r="B74" s="139" t="s">
        <v>124</v>
      </c>
      <c r="C74" s="140">
        <f>+F56</f>
        <v>1979.8857142857141</v>
      </c>
      <c r="D74" s="140">
        <f>+D73</f>
        <v>10800</v>
      </c>
      <c r="E74" s="141">
        <f>+C74/D74</f>
        <v>0.1833227513227513</v>
      </c>
      <c r="F74" s="208"/>
      <c r="G74" s="138"/>
      <c r="H74" s="209"/>
      <c r="I74" s="209"/>
      <c r="J74" s="62"/>
    </row>
    <row r="75" spans="2:13" ht="13.5" thickBot="1" x14ac:dyDescent="0.3">
      <c r="B75" s="103"/>
      <c r="C75" s="104"/>
      <c r="D75" s="104"/>
      <c r="E75" s="145"/>
      <c r="F75" s="208"/>
      <c r="G75" s="138"/>
      <c r="H75" s="209"/>
      <c r="I75" s="209"/>
      <c r="J75" s="62"/>
    </row>
    <row r="76" spans="2:13" ht="13.5" thickBot="1" x14ac:dyDescent="0.3">
      <c r="B76" s="139" t="s">
        <v>125</v>
      </c>
      <c r="C76" s="140">
        <f>+F54</f>
        <v>2785.9603464852607</v>
      </c>
      <c r="D76" s="140">
        <f>+D74</f>
        <v>10800</v>
      </c>
      <c r="E76" s="141">
        <f>+C76/D76</f>
        <v>0.25795929134122786</v>
      </c>
      <c r="F76" s="208"/>
      <c r="G76" s="138"/>
      <c r="H76" s="209"/>
      <c r="I76" s="209"/>
      <c r="J76" s="209"/>
    </row>
    <row r="77" spans="2:13" ht="13.5" thickBot="1" x14ac:dyDescent="0.3">
      <c r="B77" s="103"/>
      <c r="C77" s="104"/>
      <c r="D77" s="104"/>
      <c r="E77" s="145"/>
      <c r="F77" s="208"/>
      <c r="G77" s="138"/>
      <c r="H77" s="209"/>
      <c r="I77" s="209"/>
    </row>
    <row r="78" spans="2:13" ht="13.5" thickBot="1" x14ac:dyDescent="0.3">
      <c r="B78" s="436" t="s">
        <v>126</v>
      </c>
      <c r="C78" s="437"/>
      <c r="D78" s="438"/>
      <c r="E78" s="141">
        <f>+E69+E74</f>
        <v>1.9319128624338624</v>
      </c>
      <c r="G78" s="208"/>
      <c r="H78" s="138"/>
      <c r="I78" s="209"/>
      <c r="J78" s="145"/>
    </row>
    <row r="79" spans="2:13" x14ac:dyDescent="0.25">
      <c r="I79" s="138"/>
      <c r="J79" s="62"/>
    </row>
    <row r="80" spans="2:13" ht="13.5" thickBot="1" x14ac:dyDescent="0.3">
      <c r="B80" s="435" t="s">
        <v>127</v>
      </c>
      <c r="C80" s="435"/>
      <c r="D80" s="435"/>
      <c r="E80" s="435"/>
      <c r="F80" s="435"/>
      <c r="G80" s="208"/>
      <c r="H80" s="138"/>
      <c r="J80" s="62"/>
    </row>
    <row r="81" spans="1:10" ht="13.5" thickBot="1" x14ac:dyDescent="0.3">
      <c r="B81" s="139" t="s">
        <v>121</v>
      </c>
      <c r="C81" s="140">
        <f>+C69</f>
        <v>18884.7732</v>
      </c>
      <c r="D81" s="140">
        <f>+D60</f>
        <v>27</v>
      </c>
      <c r="E81" s="141">
        <f>+C81/D81</f>
        <v>699.43604444444441</v>
      </c>
      <c r="F81" s="208"/>
      <c r="G81" s="138"/>
      <c r="H81" s="209"/>
      <c r="I81" s="138"/>
      <c r="J81" s="62"/>
    </row>
    <row r="82" spans="1:10" x14ac:dyDescent="0.25">
      <c r="B82" s="142"/>
      <c r="C82" s="143"/>
      <c r="D82" s="144"/>
      <c r="E82" s="127"/>
      <c r="F82" s="208"/>
      <c r="G82" s="138"/>
      <c r="H82" s="209"/>
      <c r="I82" s="209"/>
      <c r="J82" s="62"/>
    </row>
    <row r="83" spans="1:10" x14ac:dyDescent="0.25">
      <c r="B83" s="139" t="s">
        <v>122</v>
      </c>
      <c r="C83" s="140">
        <f>+C71</f>
        <v>22048.429010485259</v>
      </c>
      <c r="D83" s="140">
        <f>+D60</f>
        <v>27</v>
      </c>
      <c r="E83" s="145">
        <f>+C83/D83</f>
        <v>816.60848186982446</v>
      </c>
      <c r="F83" s="208"/>
      <c r="G83" s="138"/>
      <c r="H83" s="209"/>
      <c r="I83" s="209"/>
      <c r="J83" s="62"/>
    </row>
    <row r="84" spans="1:10" x14ac:dyDescent="0.25">
      <c r="B84" s="139"/>
      <c r="C84" s="140"/>
      <c r="D84" s="140"/>
      <c r="E84" s="145"/>
      <c r="F84" s="208"/>
      <c r="G84" s="138"/>
      <c r="H84" s="209"/>
      <c r="I84" s="209"/>
      <c r="J84" s="62"/>
    </row>
    <row r="85" spans="1:10" ht="13.5" thickBot="1" x14ac:dyDescent="0.3">
      <c r="B85" s="139" t="s">
        <v>124</v>
      </c>
      <c r="C85" s="140">
        <f>+C73</f>
        <v>1220</v>
      </c>
      <c r="D85" s="140">
        <f>+D60</f>
        <v>27</v>
      </c>
      <c r="E85" s="145">
        <f>+C85/D85</f>
        <v>45.185185185185183</v>
      </c>
      <c r="F85" s="147"/>
      <c r="G85" s="137"/>
      <c r="H85" s="61"/>
      <c r="I85" s="209"/>
    </row>
    <row r="86" spans="1:10" ht="13.5" thickBot="1" x14ac:dyDescent="0.3">
      <c r="B86" s="139" t="s">
        <v>124</v>
      </c>
      <c r="C86" s="140">
        <f>+C74</f>
        <v>1979.8857142857141</v>
      </c>
      <c r="D86" s="140">
        <f>+D85</f>
        <v>27</v>
      </c>
      <c r="E86" s="141">
        <f>+C86/D86</f>
        <v>73.329100529100529</v>
      </c>
      <c r="F86" s="211"/>
      <c r="G86" s="137"/>
      <c r="H86" s="61"/>
      <c r="I86" s="61"/>
    </row>
    <row r="87" spans="1:10" x14ac:dyDescent="0.25">
      <c r="I87" s="61"/>
    </row>
    <row r="88" spans="1:10" x14ac:dyDescent="0.2">
      <c r="A88" s="439"/>
      <c r="B88" s="439"/>
      <c r="C88" s="148"/>
      <c r="D88" s="148"/>
      <c r="E88" s="149"/>
      <c r="G88" s="212"/>
    </row>
    <row r="89" spans="1:10" x14ac:dyDescent="0.2">
      <c r="A89" s="82"/>
      <c r="B89" s="151"/>
      <c r="C89" s="152"/>
      <c r="D89" s="152"/>
      <c r="E89" s="153"/>
      <c r="G89" s="212"/>
    </row>
    <row r="90" spans="1:10" x14ac:dyDescent="0.2">
      <c r="A90" s="82"/>
      <c r="B90" s="151"/>
      <c r="C90" s="154"/>
      <c r="D90" s="154"/>
      <c r="E90" s="82"/>
      <c r="G90" s="212"/>
    </row>
    <row r="91" spans="1:10" x14ac:dyDescent="0.2">
      <c r="A91" s="82"/>
      <c r="B91" s="151"/>
      <c r="C91" s="155"/>
      <c r="D91" s="155"/>
      <c r="E91" s="82"/>
      <c r="G91" s="212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948B478-B363-4DB7-B701-A5E9696E1AD8}"/>
</file>

<file path=customXml/itemProps2.xml><?xml version="1.0" encoding="utf-8"?>
<ds:datastoreItem xmlns:ds="http://schemas.openxmlformats.org/officeDocument/2006/customXml" ds:itemID="{AE94B38E-09DC-4CDF-97FE-13315CD88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083ACC-C247-48DD-90B3-5C5860693B1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Premezcla Batido Zanahoria </vt:lpstr>
      <vt:lpstr>Hoja1</vt:lpstr>
      <vt:lpstr>Costo Premezcla </vt:lpstr>
      <vt:lpstr>Batido Zanahoria y Yogurt</vt:lpstr>
      <vt:lpstr>Costo Batido</vt:lpstr>
      <vt:lpstr>QQ Zanahoria 900 g</vt:lpstr>
      <vt:lpstr>Costo Rosquete </vt:lpstr>
      <vt:lpstr>Empaque QQ seco 7 porc</vt:lpstr>
      <vt:lpstr>Costo Empaque QQ sec</vt:lpstr>
      <vt:lpstr>QQ ZANAH MOLD RECT</vt:lpstr>
      <vt:lpstr>COSTO QQ ZANAH MOLD 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2025-08-18T19:39:31Z</cp:lastPrinted>
  <dcterms:created xsi:type="dcterms:W3CDTF">2023-07-20T18:21:17Z</dcterms:created>
  <dcterms:modified xsi:type="dcterms:W3CDTF">2025-08-18T19:44:21Z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
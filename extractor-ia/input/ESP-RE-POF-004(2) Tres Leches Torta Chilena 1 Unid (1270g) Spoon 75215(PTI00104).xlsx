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4" documentId="8_{5A49FBB8-5CAA-43E7-84D8-36663F2DDBBC}" xr6:coauthVersionLast="47" xr6:coauthVersionMax="47" xr10:uidLastSave="{9219A37F-4172-4FF8-A743-71EF541B1B60}"/>
  <bookViews>
    <workbookView xWindow="-108" yWindow="-108" windowWidth="23256" windowHeight="12456" xr2:uid="{37B9439E-2D42-40CB-8924-44B2AEE02D1F}"/>
  </bookViews>
  <sheets>
    <sheet name="Hoja1" sheetId="15" r:id="rId1"/>
    <sheet name="COSTO" sheetId="13" state="hidden" r:id="rId2"/>
    <sheet name="PRECIO" sheetId="14" state="hidden" r:id="rId3"/>
  </sheets>
  <externalReferences>
    <externalReference r:id="rId4"/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4" l="1"/>
  <c r="D6" i="14"/>
  <c r="D87" i="13"/>
  <c r="D77" i="13"/>
  <c r="D78" i="13"/>
  <c r="D80" i="13"/>
  <c r="D75" i="13"/>
  <c r="D73" i="13"/>
  <c r="F69" i="13"/>
  <c r="C77" i="13"/>
  <c r="D64" i="13"/>
  <c r="D89" i="13"/>
  <c r="D90" i="13"/>
  <c r="C55" i="13"/>
  <c r="E54" i="13"/>
  <c r="D54" i="13"/>
  <c r="B54" i="13"/>
  <c r="E53" i="13"/>
  <c r="F53" i="13"/>
  <c r="D53" i="13"/>
  <c r="B53" i="13"/>
  <c r="E52" i="13"/>
  <c r="D52" i="13"/>
  <c r="B52" i="13"/>
  <c r="E51" i="13"/>
  <c r="D51" i="13"/>
  <c r="B51" i="13"/>
  <c r="E50" i="13"/>
  <c r="D50" i="13"/>
  <c r="B50" i="13"/>
  <c r="E49" i="13"/>
  <c r="F49" i="13" s="1"/>
  <c r="D49" i="13"/>
  <c r="B49" i="13"/>
  <c r="E48" i="13"/>
  <c r="D48" i="13"/>
  <c r="B48" i="13"/>
  <c r="E45" i="13"/>
  <c r="F45" i="13" s="1"/>
  <c r="D45" i="13"/>
  <c r="B45" i="13"/>
  <c r="A45" i="13"/>
  <c r="C45" i="13"/>
  <c r="E44" i="13"/>
  <c r="F44" i="13" s="1"/>
  <c r="D44" i="13"/>
  <c r="B44" i="13"/>
  <c r="A44" i="13"/>
  <c r="C44" i="13"/>
  <c r="E43" i="13"/>
  <c r="F43" i="13" s="1"/>
  <c r="D43" i="13"/>
  <c r="C43" i="13"/>
  <c r="B43" i="13"/>
  <c r="A43" i="13"/>
  <c r="A52" i="13"/>
  <c r="C52" i="13"/>
  <c r="E42" i="13"/>
  <c r="D42" i="13"/>
  <c r="B42" i="13"/>
  <c r="A42" i="13"/>
  <c r="C42" i="13"/>
  <c r="E41" i="13"/>
  <c r="D41" i="13"/>
  <c r="B41" i="13"/>
  <c r="A41" i="13"/>
  <c r="C41" i="13"/>
  <c r="E40" i="13"/>
  <c r="F40" i="13" s="1"/>
  <c r="D40" i="13"/>
  <c r="B40" i="13"/>
  <c r="A40" i="13"/>
  <c r="C40" i="13"/>
  <c r="E39" i="13"/>
  <c r="D39" i="13"/>
  <c r="B39" i="13"/>
  <c r="A39" i="13"/>
  <c r="A48" i="13"/>
  <c r="C48" i="13"/>
  <c r="E36" i="13"/>
  <c r="F36" i="13" s="1"/>
  <c r="D36" i="13"/>
  <c r="C36" i="13"/>
  <c r="B36" i="13"/>
  <c r="E35" i="13"/>
  <c r="F35" i="13"/>
  <c r="D35" i="13"/>
  <c r="C35" i="13"/>
  <c r="B35" i="13"/>
  <c r="E34" i="13"/>
  <c r="F34" i="13"/>
  <c r="D34" i="13"/>
  <c r="C34" i="13"/>
  <c r="B34" i="13"/>
  <c r="E33" i="13"/>
  <c r="F33" i="13"/>
  <c r="D33" i="13"/>
  <c r="C33" i="13"/>
  <c r="B33" i="13"/>
  <c r="E32" i="13"/>
  <c r="F32" i="13"/>
  <c r="D32" i="13"/>
  <c r="C32" i="13"/>
  <c r="B32" i="13"/>
  <c r="E31" i="13"/>
  <c r="F31" i="13"/>
  <c r="D31" i="13"/>
  <c r="C31" i="13"/>
  <c r="B31" i="13"/>
  <c r="E30" i="13"/>
  <c r="F30" i="13" s="1"/>
  <c r="D30" i="13"/>
  <c r="C30" i="13"/>
  <c r="B30" i="13"/>
  <c r="E29" i="13"/>
  <c r="F29" i="13"/>
  <c r="D29" i="13"/>
  <c r="C29" i="13"/>
  <c r="B29" i="13"/>
  <c r="E28" i="13"/>
  <c r="F28" i="13" s="1"/>
  <c r="D28" i="13"/>
  <c r="C28" i="13"/>
  <c r="B28" i="13"/>
  <c r="E27" i="13"/>
  <c r="F27" i="13"/>
  <c r="D27" i="13"/>
  <c r="C27" i="13"/>
  <c r="B27" i="13"/>
  <c r="E24" i="13"/>
  <c r="F24" i="13" s="1"/>
  <c r="D24" i="13"/>
  <c r="C24" i="13"/>
  <c r="B24" i="13"/>
  <c r="E23" i="13"/>
  <c r="F23" i="13" s="1"/>
  <c r="D23" i="13"/>
  <c r="C23" i="13"/>
  <c r="B23" i="13"/>
  <c r="E22" i="13"/>
  <c r="F22" i="13" s="1"/>
  <c r="D22" i="13"/>
  <c r="C22" i="13"/>
  <c r="B22" i="13"/>
  <c r="E21" i="13"/>
  <c r="F21" i="13"/>
  <c r="D21" i="13"/>
  <c r="C21" i="13"/>
  <c r="B21" i="13"/>
  <c r="E20" i="13"/>
  <c r="D20" i="13"/>
  <c r="C20" i="13"/>
  <c r="B20" i="13"/>
  <c r="D19" i="13"/>
  <c r="C19" i="13"/>
  <c r="B19" i="13"/>
  <c r="E18" i="13"/>
  <c r="F18" i="13"/>
  <c r="D18" i="13"/>
  <c r="C18" i="13"/>
  <c r="B18" i="13"/>
  <c r="E17" i="13"/>
  <c r="D17" i="13"/>
  <c r="C17" i="13"/>
  <c r="B17" i="13"/>
  <c r="B15" i="13"/>
  <c r="E14" i="13"/>
  <c r="F14" i="13"/>
  <c r="D14" i="13"/>
  <c r="C14" i="13"/>
  <c r="B14" i="13"/>
  <c r="E13" i="13"/>
  <c r="D13" i="13"/>
  <c r="C13" i="13"/>
  <c r="B13" i="13"/>
  <c r="E12" i="13"/>
  <c r="F12" i="13" s="1"/>
  <c r="D12" i="13"/>
  <c r="C12" i="13"/>
  <c r="B12" i="13"/>
  <c r="E11" i="13"/>
  <c r="D11" i="13"/>
  <c r="C11" i="13"/>
  <c r="B11" i="13"/>
  <c r="E10" i="13"/>
  <c r="F10" i="13"/>
  <c r="D10" i="13"/>
  <c r="C10" i="13"/>
  <c r="B10" i="13"/>
  <c r="E9" i="13"/>
  <c r="D9" i="13"/>
  <c r="C9" i="13"/>
  <c r="B9" i="13"/>
  <c r="E8" i="13"/>
  <c r="F8" i="13" s="1"/>
  <c r="D8" i="13"/>
  <c r="C8" i="13"/>
  <c r="B8" i="13"/>
  <c r="H6" i="13"/>
  <c r="F9" i="13"/>
  <c r="F11" i="13"/>
  <c r="F13" i="13"/>
  <c r="F48" i="13"/>
  <c r="F42" i="13"/>
  <c r="F52" i="13"/>
  <c r="F17" i="13"/>
  <c r="F20" i="13"/>
  <c r="A51" i="13"/>
  <c r="C51" i="13"/>
  <c r="C39" i="13"/>
  <c r="F39" i="13"/>
  <c r="F41" i="13"/>
  <c r="F51" i="13"/>
  <c r="C89" i="13"/>
  <c r="E89" i="13"/>
  <c r="E77" i="13"/>
  <c r="A50" i="13"/>
  <c r="C50" i="13"/>
  <c r="F50" i="13"/>
  <c r="A54" i="13"/>
  <c r="C54" i="13"/>
  <c r="F54" i="13"/>
  <c r="E55" i="13"/>
  <c r="F55" i="13"/>
  <c r="D85" i="13"/>
  <c r="A49" i="13"/>
  <c r="C49" i="13"/>
  <c r="A53" i="13"/>
  <c r="C53" i="13"/>
  <c r="E19" i="13"/>
  <c r="F19" i="13"/>
  <c r="F58" i="13" l="1"/>
  <c r="F57" i="13"/>
  <c r="F60" i="13"/>
  <c r="C73" i="13" l="1"/>
  <c r="F68" i="13"/>
  <c r="F59" i="13"/>
  <c r="H57" i="13"/>
  <c r="C80" i="13"/>
  <c r="E80" i="13" s="1"/>
  <c r="H58" i="13"/>
  <c r="H60" i="13"/>
  <c r="C78" i="13"/>
  <c r="O59" i="13"/>
  <c r="G2" i="13" l="1"/>
  <c r="E9" i="14"/>
  <c r="F9" i="14" s="1"/>
  <c r="H2" i="13"/>
  <c r="F16" i="14"/>
  <c r="E78" i="13"/>
  <c r="C90" i="13"/>
  <c r="E90" i="13" s="1"/>
  <c r="F67" i="13"/>
  <c r="H59" i="13"/>
  <c r="O58" i="13"/>
  <c r="E73" i="13"/>
  <c r="E82" i="13" s="1"/>
  <c r="C85" i="13"/>
  <c r="E85" i="13" s="1"/>
  <c r="F2" i="13"/>
  <c r="E6" i="14"/>
  <c r="F6" i="14" s="1"/>
  <c r="F11" i="14" l="1"/>
  <c r="E67" i="13"/>
  <c r="F70" i="13"/>
  <c r="G67" i="13" s="1"/>
  <c r="C75" i="13"/>
  <c r="O60" i="13"/>
  <c r="O61" i="13" s="1"/>
  <c r="F18" i="14"/>
  <c r="F12" i="14"/>
  <c r="O62" i="13" l="1"/>
  <c r="O63" i="13" s="1"/>
  <c r="E75" i="13"/>
  <c r="C87" i="13"/>
  <c r="E87" i="13" s="1"/>
  <c r="G55" i="13"/>
  <c r="G32" i="13"/>
  <c r="G51" i="13"/>
  <c r="G9" i="13"/>
  <c r="G10" i="13"/>
  <c r="G69" i="13"/>
  <c r="G35" i="13"/>
  <c r="G27" i="13"/>
  <c r="G70" i="13"/>
  <c r="G13" i="13"/>
  <c r="G17" i="13"/>
  <c r="G52" i="13"/>
  <c r="G31" i="13"/>
  <c r="G54" i="13"/>
  <c r="G21" i="13"/>
  <c r="G41" i="13"/>
  <c r="G45" i="13"/>
  <c r="G28" i="13"/>
  <c r="G24" i="13"/>
  <c r="G53" i="13"/>
  <c r="G18" i="13"/>
  <c r="G30" i="13"/>
  <c r="G42" i="13"/>
  <c r="G36" i="13"/>
  <c r="G44" i="13"/>
  <c r="G12" i="13"/>
  <c r="G50" i="13"/>
  <c r="G20" i="13"/>
  <c r="G23" i="13"/>
  <c r="G43" i="13"/>
  <c r="G49" i="13"/>
  <c r="G14" i="13"/>
  <c r="G48" i="13"/>
  <c r="G39" i="13"/>
  <c r="G29" i="13"/>
  <c r="G22" i="13"/>
  <c r="G33" i="13"/>
  <c r="G34" i="13"/>
  <c r="G19" i="13"/>
  <c r="G11" i="13"/>
  <c r="G40" i="13"/>
  <c r="G8" i="13"/>
  <c r="G57" i="13"/>
  <c r="G60" i="13"/>
  <c r="G58" i="13"/>
  <c r="G68" i="13"/>
  <c r="G59" i="13"/>
  <c r="F13" i="14"/>
  <c r="O64" i="13" l="1"/>
  <c r="O65" i="13" s="1"/>
  <c r="O66" i="13" s="1"/>
  <c r="F15" i="14"/>
  <c r="P66" i="13" l="1"/>
  <c r="E2" i="13"/>
  <c r="F17" i="14"/>
  <c r="F19" i="14"/>
  <c r="F20" i="14" l="1"/>
  <c r="F21" i="14" l="1"/>
  <c r="F23" i="14" l="1"/>
  <c r="F22" i="14"/>
  <c r="G19" i="14"/>
  <c r="F27" i="14" l="1"/>
  <c r="G23" i="14"/>
  <c r="G16" i="14"/>
  <c r="G9" i="14"/>
  <c r="G6" i="14"/>
  <c r="G18" i="14"/>
  <c r="G12" i="14"/>
  <c r="G11" i="14"/>
  <c r="G13" i="14"/>
  <c r="G15" i="14"/>
  <c r="G17" i="14"/>
  <c r="G20" i="14"/>
  <c r="G22" i="14"/>
  <c r="G21" i="14"/>
  <c r="F29" i="14" l="1"/>
  <c r="F28" i="14"/>
  <c r="F30" i="14" l="1"/>
  <c r="F31" i="14" s="1"/>
  <c r="F34" i="14" l="1"/>
  <c r="F35" i="14" s="1"/>
  <c r="F32" i="14"/>
  <c r="G29" i="14"/>
  <c r="H29" i="14"/>
</calcChain>
</file>

<file path=xl/sharedStrings.xml><?xml version="1.0" encoding="utf-8"?>
<sst xmlns="http://schemas.openxmlformats.org/spreadsheetml/2006/main" count="281" uniqueCount="180">
  <si>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</si>
  <si>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</si>
  <si>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</si>
  <si>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</si>
  <si>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</si>
  <si>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</si>
  <si>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</si>
  <si>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</si>
  <si>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</si>
  <si>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</si>
  <si>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</si>
  <si>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</si>
  <si>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</si>
  <si>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</si>
  <si>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</si>
  <si>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</si>
  <si>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</si>
  <si>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</si>
  <si>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</si>
  <si>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</si>
  <si>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</si>
  <si>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</si>
  <si>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</si>
  <si>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</si>
  <si>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EMPAQUE</t>
  </si>
  <si>
    <t>SERVICIOS DE PASTELERIA S.A.</t>
  </si>
  <si>
    <t>1112431</t>
  </si>
  <si>
    <t>Decoración</t>
  </si>
  <si>
    <t>Ensamble</t>
  </si>
  <si>
    <t>0702012</t>
  </si>
  <si>
    <t>ETIQ.FECHA VENCIMIENTO</t>
  </si>
  <si>
    <t>1950705</t>
  </si>
  <si>
    <t>1950682</t>
  </si>
  <si>
    <t>CONTEN. LBH 692 PRALINE (200 unds)</t>
  </si>
  <si>
    <t xml:space="preserve"> </t>
  </si>
  <si>
    <t>ROSQUETE TRES LECHES 188g peso crudo</t>
  </si>
  <si>
    <t>MEZCLA TRES LECHES CON CREMA DE DULCE LECHE</t>
  </si>
  <si>
    <t>ETIQ.BLANCA 1 1/4 * 3/4</t>
  </si>
  <si>
    <t>0702069</t>
  </si>
  <si>
    <t>ETIQUETA BLANCA 2 5/8X1 15/16 PRE BLANCA</t>
  </si>
  <si>
    <t>0702123</t>
  </si>
  <si>
    <t>60100024</t>
  </si>
  <si>
    <t>ud</t>
  </si>
  <si>
    <t>min</t>
  </si>
  <si>
    <t>907000028</t>
  </si>
  <si>
    <t>903000028</t>
  </si>
  <si>
    <t>903000134</t>
  </si>
  <si>
    <t>907000003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</si>
  <si>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</si>
  <si>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</si>
  <si>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</si>
  <si>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</si>
  <si>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</si>
  <si>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</si>
  <si>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</si>
  <si>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</si>
  <si>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</si>
  <si>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</si>
  <si>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</si>
  <si>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</si>
  <si>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</si>
  <si>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</si>
  <si>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702175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</si>
  <si>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</si>
  <si>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</si>
  <si>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</si>
  <si>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</si>
  <si>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</si>
  <si>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</si>
  <si>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</si>
  <si>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</si>
  <si>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</si>
  <si>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</si>
  <si>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</si>
  <si>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</si>
  <si>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</si>
  <si>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</si>
  <si>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</si>
  <si>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</si>
  <si>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</si>
  <si>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</si>
  <si>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UND</t>
  </si>
  <si>
    <t>PRECIO DE VENTA PLANTA A LOCAL</t>
  </si>
  <si>
    <t>GR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</si>
  <si>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</si>
  <si>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</si>
  <si>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</si>
  <si>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</si>
  <si>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</si>
  <si>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</si>
  <si>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</si>
  <si>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</si>
  <si>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</si>
  <si>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</si>
  <si>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</si>
  <si>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</si>
  <si>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</si>
  <si>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</si>
  <si>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ESTRUCTURA DE COSTOS</t>
  </si>
  <si>
    <t>INDUSTRIA</t>
  </si>
  <si>
    <t>COSTO
 UNITARIO</t>
  </si>
  <si>
    <t>TOTAL
 COSTO</t>
  </si>
  <si>
    <t>% PREC. 
DEFINIDO</t>
  </si>
  <si>
    <t>CÓDIGOS</t>
  </si>
  <si>
    <t>SPOON</t>
  </si>
  <si>
    <t>EMPAQUE PLANTA</t>
  </si>
  <si>
    <t>PLANTA</t>
  </si>
  <si>
    <t xml:space="preserve">TOTAL MATERIA PRIMA </t>
  </si>
  <si>
    <t xml:space="preserve">TOTAL EMPAQUE </t>
  </si>
  <si>
    <t>Planta</t>
  </si>
  <si>
    <t xml:space="preserve">DESECHO </t>
  </si>
  <si>
    <t>GAF</t>
  </si>
  <si>
    <t>CAMIONES</t>
  </si>
  <si>
    <t>LOGISTICA</t>
  </si>
  <si>
    <t>Costo</t>
  </si>
  <si>
    <t>% Margen</t>
  </si>
  <si>
    <t>COSTO TOTAL</t>
  </si>
  <si>
    <t>MARK UP LOCAL</t>
  </si>
  <si>
    <t>PRECIO VENTA SIN IMP</t>
  </si>
  <si>
    <t>PRECIO VENTA IVI</t>
  </si>
  <si>
    <t>MARGEN SUPERMERCADO</t>
  </si>
  <si>
    <t>PRECIO IVI</t>
  </si>
  <si>
    <t xml:space="preserve">Esteban Ramírez S. / Costos </t>
  </si>
  <si>
    <t xml:space="preserve">Tres leches Torta Chilena </t>
  </si>
  <si>
    <t>11400066</t>
  </si>
  <si>
    <t>MANJAR DE LECHE CONDENSADA ( 6 KG )</t>
  </si>
  <si>
    <t>BOQUILLA 22</t>
  </si>
  <si>
    <t>BOLSA 12x18 TRANSP (KILO)</t>
  </si>
  <si>
    <t>702007</t>
  </si>
  <si>
    <t>1950702</t>
  </si>
  <si>
    <t>96344</t>
  </si>
  <si>
    <t>CREMA DE DULCE DE LECHE</t>
  </si>
  <si>
    <t>ETIQUETA POSTRES (ROLLO: 250 UND)</t>
  </si>
  <si>
    <t>60100084</t>
  </si>
  <si>
    <t>ETIPLAS</t>
  </si>
  <si>
    <t>Tres Leches Torta Chilena 1 Unid (1270g) Spoon 75215(PTI00104)</t>
  </si>
  <si>
    <t>SE00307</t>
  </si>
  <si>
    <t>SE00035</t>
  </si>
  <si>
    <t>MP10007</t>
  </si>
  <si>
    <t>SE00308</t>
  </si>
  <si>
    <t>SE00032</t>
  </si>
  <si>
    <t>EM10004</t>
  </si>
  <si>
    <t>EM10016</t>
  </si>
  <si>
    <t>EM10076</t>
  </si>
  <si>
    <t>EM10249</t>
  </si>
  <si>
    <t>EM10011</t>
  </si>
  <si>
    <t>EM10002</t>
  </si>
  <si>
    <t>EM10124</t>
  </si>
  <si>
    <t>Javier Tong, Chef</t>
  </si>
  <si>
    <t>Esteban Cartin, Gte Manufactura</t>
  </si>
  <si>
    <t>AREA QUE PRODUCE:</t>
  </si>
  <si>
    <t xml:space="preserve">AREA QUE EMPACA: </t>
  </si>
  <si>
    <t># Código Netsuite</t>
  </si>
  <si>
    <t>FAS</t>
  </si>
  <si>
    <t>1/4 ROSQUETE</t>
  </si>
  <si>
    <t>NESTLE</t>
  </si>
  <si>
    <t>CHILENA PARA 3 LECHES ENSAMBLADA</t>
  </si>
  <si>
    <t>1/2 PLANCHA</t>
  </si>
  <si>
    <t>ENCREMAR</t>
  </si>
  <si>
    <t>Empaque</t>
  </si>
  <si>
    <t>CEMUSA</t>
  </si>
  <si>
    <t>ETIPLAST</t>
  </si>
  <si>
    <t>PLASTICOS P</t>
  </si>
  <si>
    <t>MAYCA</t>
  </si>
  <si>
    <t>ETIQUETA BLANCA R-153</t>
  </si>
  <si>
    <t>Tiempo de Horneo:</t>
  </si>
  <si>
    <t>Temperatura de Horneo:</t>
  </si>
  <si>
    <t>PROCEDIMIENTO DE PREPARACION DE LA  RECETA</t>
  </si>
  <si>
    <t>CONTROL DE CAMBIOS</t>
  </si>
  <si>
    <t>Postres</t>
  </si>
  <si>
    <t>ESP-RE-POF-004</t>
  </si>
  <si>
    <t xml:space="preserve">1.- Utilizar 1/4 de plancha de tres leches campero, colocarlo en contenedor y agregar el manjar </t>
  </si>
  <si>
    <t xml:space="preserve">2, - Bañar con la mezcla de dulce de leche </t>
  </si>
  <si>
    <t>3,.- Utilizar 1/3 de la chilena y colocarlos sobre el manjar.</t>
  </si>
  <si>
    <t xml:space="preserve">4.- Encremar lizo sobre la chilena con 100g de crema con dulce de leche. </t>
  </si>
  <si>
    <t xml:space="preserve">6.- Realizar un colocho con la boquilla 22 al borde en doble linea con la crema con manjar. </t>
  </si>
  <si>
    <t>5, Hacer hilos con una bolsa 12*18, con el manjar de manera cruzada .</t>
  </si>
  <si>
    <t xml:space="preserve">7.- Etiquetar con fecha de vencimiento, nombre del producto, etiqueta postres y lote. </t>
  </si>
  <si>
    <t>2, Actualización procedimeinto y pesos finales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</si>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</sst>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00"/>
    <numFmt numFmtId="168" formatCode="[$-409]d\-mmm\-yy;@"/>
    <numFmt numFmtId="169" formatCode="0.0%"/>
    <numFmt numFmtId="170" formatCode="_-* #,##0.0\ _€_-;\-* #,##0.0\ _€_-;_-* &quot;-&quot;??\ _€_-;_-@_-"/>
    <numFmt numFmtId="171" formatCode="0.0"/>
    <numFmt numFmtId="172" formatCode="_(* #,##0.000_);_(* \(#,##0.000\);_(* &quot;-&quot;??_);_(@_)"/>
  </numFmts>
  <fonts count="57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sz val="1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Times New Roman"/>
      <family val="1"/>
    </font>
    <font>
      <b/>
      <sz val="8"/>
      <name val="Times New Roman"/>
      <family val="1"/>
    </font>
    <font>
      <sz val="9"/>
      <color indexed="12"/>
      <name val="Times New Roman"/>
      <family val="1"/>
    </font>
    <font>
      <b/>
      <sz val="9"/>
      <color indexed="60"/>
      <name val="Times New Roman"/>
      <family val="1"/>
    </font>
    <font>
      <b/>
      <sz val="9"/>
      <color indexed="62"/>
      <name val="Times New Roman"/>
      <family val="1"/>
    </font>
    <font>
      <b/>
      <sz val="9"/>
      <color indexed="53"/>
      <name val="Times New Roman"/>
      <family val="1"/>
    </font>
    <font>
      <sz val="9"/>
      <color indexed="19"/>
      <name val="Times New Roman"/>
      <family val="1"/>
    </font>
    <font>
      <b/>
      <sz val="9"/>
      <color indexed="19"/>
      <name val="Times New Roman"/>
      <family val="1"/>
    </font>
    <font>
      <b/>
      <sz val="8"/>
      <color indexed="17"/>
      <name val="Times New Roman"/>
      <family val="1"/>
    </font>
    <font>
      <b/>
      <sz val="8"/>
      <color indexed="12"/>
      <name val="Times New Roman"/>
      <family val="1"/>
    </font>
    <font>
      <sz val="11"/>
      <color theme="1"/>
      <name val="Calibri"/>
      <family val="2"/>
      <scheme val="minor"/>
    </font>
    <font>
      <b/>
      <sz val="9"/>
      <color rgb="FFFF0000"/>
      <name val="Times New Roman"/>
      <family val="1"/>
    </font>
    <font>
      <b/>
      <sz val="9"/>
      <color theme="6" tint="-0.249977111117893"/>
      <name val="Times New Roman"/>
      <family val="1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14"/>
      <color theme="1"/>
      <name val="Century Gothic"/>
      <family val="2"/>
    </font>
    <font>
      <sz val="14"/>
      <color theme="1"/>
      <name val="Calibri"/>
      <family val="2"/>
      <scheme val="minor"/>
    </font>
    <font>
      <sz val="14"/>
      <color indexed="8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2" fillId="0" borderId="0"/>
    <xf numFmtId="9" fontId="5" fillId="0" borderId="0" applyFont="0" applyFill="0" applyBorder="0" applyAlignment="0" applyProtection="0"/>
    <xf numFmtId="0" fontId="44" fillId="0" borderId="0"/>
  </cellStyleXfs>
  <cellXfs count="358">
    <xf numFmtId="0" fontId="0" fillId="0" borderId="0" xfId="0"/>
    <xf numFmtId="0" fontId="4" fillId="9" borderId="0" xfId="0" applyFont="1" applyFill="1" applyAlignment="1">
      <alignment vertical="center"/>
    </xf>
    <xf numFmtId="0" fontId="6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6" fontId="6" fillId="0" borderId="1" xfId="1" applyFont="1" applyFill="1" applyBorder="1" applyAlignment="1">
      <alignment horizontal="center" vertical="center"/>
    </xf>
    <xf numFmtId="166" fontId="6" fillId="0" borderId="0" xfId="1" applyFont="1" applyFill="1" applyBorder="1" applyAlignment="1">
      <alignment horizontal="center" vertical="center"/>
    </xf>
    <xf numFmtId="166" fontId="9" fillId="0" borderId="0" xfId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8" fontId="12" fillId="0" borderId="0" xfId="0" applyNumberFormat="1" applyFont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13" fillId="0" borderId="0" xfId="0" applyNumberFormat="1" applyFont="1" applyAlignment="1">
      <alignment horizontal="center"/>
    </xf>
    <xf numFmtId="4" fontId="13" fillId="0" borderId="0" xfId="2" applyNumberFormat="1" applyFont="1" applyFill="1" applyAlignment="1">
      <alignment horizontal="center" vertical="center"/>
    </xf>
    <xf numFmtId="4" fontId="6" fillId="0" borderId="0" xfId="2" applyNumberFormat="1" applyFont="1" applyFill="1" applyAlignment="1">
      <alignment horizontal="center" vertical="center"/>
    </xf>
    <xf numFmtId="10" fontId="6" fillId="0" borderId="0" xfId="5" applyNumberFormat="1" applyFont="1" applyFill="1" applyAlignment="1">
      <alignment vertical="center"/>
    </xf>
    <xf numFmtId="49" fontId="6" fillId="0" borderId="0" xfId="0" applyNumberFormat="1" applyFont="1" applyAlignment="1">
      <alignment horizontal="center" vertical="center"/>
    </xf>
    <xf numFmtId="10" fontId="8" fillId="0" borderId="0" xfId="5" applyNumberFormat="1" applyFont="1" applyFill="1" applyAlignment="1">
      <alignment vertical="center"/>
    </xf>
    <xf numFmtId="0" fontId="4" fillId="0" borderId="0" xfId="0" applyFont="1"/>
    <xf numFmtId="49" fontId="6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49" fontId="1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4" fontId="6" fillId="0" borderId="0" xfId="1" applyNumberFormat="1" applyFont="1" applyFill="1" applyAlignment="1">
      <alignment vertical="center"/>
    </xf>
    <xf numFmtId="166" fontId="15" fillId="0" borderId="0" xfId="1" applyFont="1" applyFill="1" applyAlignment="1">
      <alignment horizontal="center" vertical="center"/>
    </xf>
    <xf numFmtId="10" fontId="8" fillId="4" borderId="19" xfId="5" applyNumberFormat="1" applyFont="1" applyFill="1" applyBorder="1" applyAlignment="1">
      <alignment vertical="center"/>
    </xf>
    <xf numFmtId="0" fontId="4" fillId="4" borderId="20" xfId="0" applyFont="1" applyFill="1" applyBorder="1" applyAlignment="1">
      <alignment vertical="center"/>
    </xf>
    <xf numFmtId="0" fontId="4" fillId="4" borderId="19" xfId="0" applyFont="1" applyFill="1" applyBorder="1" applyAlignment="1">
      <alignment vertical="center"/>
    </xf>
    <xf numFmtId="166" fontId="15" fillId="4" borderId="21" xfId="1" applyFont="1" applyFill="1" applyBorder="1" applyAlignment="1">
      <alignment horizontal="center" vertical="center"/>
    </xf>
    <xf numFmtId="166" fontId="17" fillId="0" borderId="0" xfId="1" applyFont="1" applyFill="1" applyBorder="1" applyAlignment="1">
      <alignment horizontal="right"/>
    </xf>
    <xf numFmtId="0" fontId="4" fillId="4" borderId="21" xfId="0" applyFont="1" applyFill="1" applyBorder="1" applyAlignment="1">
      <alignment vertical="center"/>
    </xf>
    <xf numFmtId="10" fontId="8" fillId="4" borderId="21" xfId="5" applyNumberFormat="1" applyFont="1" applyFill="1" applyBorder="1" applyAlignment="1">
      <alignment vertical="center"/>
    </xf>
    <xf numFmtId="0" fontId="16" fillId="0" borderId="0" xfId="0" applyFont="1" applyAlignment="1">
      <alignment horizontal="right"/>
    </xf>
    <xf numFmtId="9" fontId="45" fillId="0" borderId="0" xfId="5" applyFont="1" applyFill="1" applyAlignment="1">
      <alignment horizontal="center"/>
    </xf>
    <xf numFmtId="0" fontId="15" fillId="0" borderId="0" xfId="0" applyFont="1" applyAlignment="1">
      <alignment horizontal="right" vertical="center"/>
    </xf>
    <xf numFmtId="4" fontId="15" fillId="0" borderId="0" xfId="1" applyNumberFormat="1" applyFont="1" applyFill="1" applyAlignment="1">
      <alignment vertical="center"/>
    </xf>
    <xf numFmtId="4" fontId="15" fillId="0" borderId="0" xfId="2" applyNumberFormat="1" applyFont="1" applyAlignment="1">
      <alignment horizontal="center" vertical="center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19" fillId="0" borderId="22" xfId="0" applyFont="1" applyBorder="1" applyAlignment="1">
      <alignment horizontal="right"/>
    </xf>
    <xf numFmtId="166" fontId="20" fillId="5" borderId="10" xfId="1" applyFont="1" applyFill="1" applyBorder="1" applyAlignment="1">
      <alignment horizontal="right"/>
    </xf>
    <xf numFmtId="166" fontId="20" fillId="0" borderId="0" xfId="1" applyFont="1" applyFill="1" applyBorder="1" applyAlignment="1">
      <alignment horizontal="right"/>
    </xf>
    <xf numFmtId="166" fontId="6" fillId="0" borderId="1" xfId="1" applyFont="1" applyFill="1" applyBorder="1" applyAlignment="1">
      <alignment vertical="center"/>
    </xf>
    <xf numFmtId="0" fontId="21" fillId="0" borderId="0" xfId="0" applyFont="1" applyAlignment="1">
      <alignment horizontal="left" vertical="center"/>
    </xf>
    <xf numFmtId="4" fontId="15" fillId="0" borderId="0" xfId="2" applyNumberFormat="1" applyFont="1" applyFill="1" applyAlignment="1">
      <alignment horizontal="center" vertical="center"/>
    </xf>
    <xf numFmtId="10" fontId="22" fillId="0" borderId="0" xfId="5" applyNumberFormat="1" applyFont="1" applyFill="1" applyAlignment="1">
      <alignment horizontal="right"/>
    </xf>
    <xf numFmtId="170" fontId="6" fillId="4" borderId="1" xfId="1" applyNumberFormat="1" applyFont="1" applyFill="1" applyBorder="1" applyAlignment="1">
      <alignment vertical="center"/>
    </xf>
    <xf numFmtId="4" fontId="4" fillId="0" borderId="0" xfId="0" applyNumberFormat="1" applyFont="1" applyAlignment="1">
      <alignment horizontal="center" vertical="center"/>
    </xf>
    <xf numFmtId="166" fontId="6" fillId="6" borderId="1" xfId="1" applyFont="1" applyFill="1" applyBorder="1" applyAlignment="1">
      <alignment vertical="center"/>
    </xf>
    <xf numFmtId="166" fontId="23" fillId="0" borderId="0" xfId="0" applyNumberFormat="1" applyFont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8" fillId="4" borderId="23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2" fontId="22" fillId="0" borderId="0" xfId="1" applyNumberFormat="1" applyFont="1" applyFill="1" applyBorder="1" applyAlignment="1">
      <alignment horizontal="center"/>
    </xf>
    <xf numFmtId="2" fontId="19" fillId="0" borderId="0" xfId="1" applyNumberFormat="1" applyFont="1" applyFill="1" applyBorder="1" applyAlignment="1">
      <alignment horizontal="center"/>
    </xf>
    <xf numFmtId="0" fontId="4" fillId="4" borderId="23" xfId="0" applyFont="1" applyFill="1" applyBorder="1" applyAlignment="1">
      <alignment vertical="center"/>
    </xf>
    <xf numFmtId="10" fontId="4" fillId="0" borderId="0" xfId="5" applyNumberFormat="1" applyFont="1" applyFill="1" applyAlignment="1">
      <alignment vertical="center"/>
    </xf>
    <xf numFmtId="4" fontId="4" fillId="0" borderId="0" xfId="1" applyNumberFormat="1" applyFont="1" applyFill="1" applyAlignment="1">
      <alignment vertical="center"/>
    </xf>
    <xf numFmtId="166" fontId="20" fillId="4" borderId="20" xfId="1" applyFont="1" applyFill="1" applyBorder="1" applyAlignment="1">
      <alignment horizontal="right"/>
    </xf>
    <xf numFmtId="0" fontId="6" fillId="4" borderId="24" xfId="0" applyFont="1" applyFill="1" applyBorder="1" applyAlignment="1">
      <alignment horizontal="right" vertical="center"/>
    </xf>
    <xf numFmtId="10" fontId="26" fillId="0" borderId="0" xfId="1" applyNumberFormat="1" applyFont="1" applyFill="1" applyAlignment="1">
      <alignment vertical="center"/>
    </xf>
    <xf numFmtId="10" fontId="8" fillId="0" borderId="0" xfId="5" applyNumberFormat="1" applyFont="1" applyFill="1" applyBorder="1" applyAlignment="1">
      <alignment vertical="center"/>
    </xf>
    <xf numFmtId="166" fontId="27" fillId="0" borderId="0" xfId="0" applyNumberFormat="1" applyFont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166" fontId="28" fillId="0" borderId="0" xfId="1" applyFont="1" applyFill="1" applyAlignment="1">
      <alignment vertical="center"/>
    </xf>
    <xf numFmtId="4" fontId="29" fillId="0" borderId="0" xfId="2" applyNumberFormat="1" applyFont="1" applyFill="1" applyAlignment="1">
      <alignment horizontal="center" vertical="center" wrapText="1"/>
    </xf>
    <xf numFmtId="166" fontId="4" fillId="0" borderId="0" xfId="1" applyFont="1" applyFill="1" applyAlignment="1">
      <alignment vertical="center"/>
    </xf>
    <xf numFmtId="9" fontId="4" fillId="0" borderId="0" xfId="1" applyNumberFormat="1" applyFont="1" applyFill="1" applyAlignment="1">
      <alignment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4" fontId="14" fillId="0" borderId="0" xfId="1" applyNumberFormat="1" applyFont="1" applyFill="1" applyAlignment="1">
      <alignment vertical="center"/>
    </xf>
    <xf numFmtId="4" fontId="6" fillId="7" borderId="10" xfId="1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66" fontId="30" fillId="0" borderId="0" xfId="1" applyFont="1" applyFill="1" applyAlignment="1">
      <alignment vertical="center"/>
    </xf>
    <xf numFmtId="9" fontId="30" fillId="0" borderId="0" xfId="1" applyNumberFormat="1" applyFont="1" applyFill="1" applyAlignment="1">
      <alignment vertical="center"/>
    </xf>
    <xf numFmtId="4" fontId="6" fillId="0" borderId="0" xfId="1" applyNumberFormat="1" applyFont="1" applyFill="1" applyAlignment="1">
      <alignment horizontal="center" vertical="center"/>
    </xf>
    <xf numFmtId="10" fontId="23" fillId="0" borderId="0" xfId="5" applyNumberFormat="1" applyFont="1" applyFill="1" applyAlignment="1">
      <alignment vertical="center"/>
    </xf>
    <xf numFmtId="166" fontId="23" fillId="0" borderId="0" xfId="1" applyFont="1" applyFill="1" applyBorder="1" applyAlignment="1">
      <alignment vertical="center"/>
    </xf>
    <xf numFmtId="4" fontId="4" fillId="0" borderId="0" xfId="0" applyNumberFormat="1" applyFont="1" applyAlignment="1">
      <alignment horizontal="center"/>
    </xf>
    <xf numFmtId="166" fontId="4" fillId="0" borderId="0" xfId="1" applyFont="1" applyFill="1" applyBorder="1"/>
    <xf numFmtId="10" fontId="23" fillId="0" borderId="0" xfId="5" applyNumberFormat="1" applyFont="1" applyFill="1" applyBorder="1" applyAlignment="1">
      <alignment vertical="center"/>
    </xf>
    <xf numFmtId="0" fontId="23" fillId="0" borderId="0" xfId="0" applyFont="1" applyAlignment="1">
      <alignment horizontal="right"/>
    </xf>
    <xf numFmtId="166" fontId="4" fillId="0" borderId="0" xfId="1" applyFont="1" applyFill="1" applyBorder="1" applyAlignment="1">
      <alignment horizontal="center"/>
    </xf>
    <xf numFmtId="9" fontId="33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center"/>
    </xf>
    <xf numFmtId="166" fontId="6" fillId="0" borderId="0" xfId="0" applyNumberFormat="1" applyFont="1"/>
    <xf numFmtId="0" fontId="21" fillId="0" borderId="0" xfId="0" applyFont="1"/>
    <xf numFmtId="0" fontId="7" fillId="0" borderId="25" xfId="0" applyFont="1" applyBorder="1" applyAlignment="1">
      <alignment horizontal="center" vertical="center" wrapText="1"/>
    </xf>
    <xf numFmtId="0" fontId="35" fillId="5" borderId="1" xfId="0" applyFont="1" applyFill="1" applyBorder="1" applyAlignment="1">
      <alignment horizontal="center"/>
    </xf>
    <xf numFmtId="0" fontId="35" fillId="5" borderId="1" xfId="0" applyFont="1" applyFill="1" applyBorder="1" applyAlignment="1">
      <alignment horizont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166" fontId="20" fillId="0" borderId="0" xfId="1" applyFont="1"/>
    <xf numFmtId="4" fontId="20" fillId="0" borderId="0" xfId="1" applyNumberFormat="1" applyFont="1" applyAlignment="1">
      <alignment horizontal="right"/>
    </xf>
    <xf numFmtId="9" fontId="20" fillId="0" borderId="0" xfId="5" applyFont="1" applyAlignment="1">
      <alignment horizontal="right"/>
    </xf>
    <xf numFmtId="49" fontId="20" fillId="0" borderId="0" xfId="2" applyNumberFormat="1" applyFont="1" applyAlignment="1">
      <alignment horizontal="center"/>
    </xf>
    <xf numFmtId="0" fontId="17" fillId="0" borderId="0" xfId="0" applyFont="1"/>
    <xf numFmtId="166" fontId="36" fillId="0" borderId="0" xfId="1" applyFont="1" applyFill="1" applyBorder="1" applyAlignment="1">
      <alignment horizontal="center"/>
    </xf>
    <xf numFmtId="0" fontId="36" fillId="0" borderId="0" xfId="0" applyFont="1"/>
    <xf numFmtId="4" fontId="36" fillId="0" borderId="0" xfId="2" applyNumberFormat="1" applyFont="1" applyFill="1" applyBorder="1"/>
    <xf numFmtId="4" fontId="36" fillId="0" borderId="0" xfId="2" applyNumberFormat="1" applyFont="1" applyFill="1" applyBorder="1" applyAlignment="1">
      <alignment horizontal="right"/>
    </xf>
    <xf numFmtId="9" fontId="18" fillId="0" borderId="0" xfId="5" applyFont="1" applyFill="1"/>
    <xf numFmtId="49" fontId="36" fillId="0" borderId="0" xfId="2" applyNumberFormat="1" applyFont="1" applyFill="1" applyBorder="1" applyAlignment="1">
      <alignment horizontal="center"/>
    </xf>
    <xf numFmtId="9" fontId="20" fillId="0" borderId="0" xfId="5" applyFont="1" applyFill="1" applyAlignment="1">
      <alignment vertical="center"/>
    </xf>
    <xf numFmtId="166" fontId="17" fillId="0" borderId="26" xfId="1" applyFont="1" applyFill="1" applyBorder="1" applyAlignment="1">
      <alignment horizontal="right"/>
    </xf>
    <xf numFmtId="9" fontId="18" fillId="0" borderId="0" xfId="1" applyNumberFormat="1" applyFont="1" applyFill="1" applyBorder="1"/>
    <xf numFmtId="4" fontId="18" fillId="0" borderId="0" xfId="1" applyNumberFormat="1" applyFont="1" applyFill="1" applyBorder="1" applyAlignment="1">
      <alignment horizontal="right"/>
    </xf>
    <xf numFmtId="10" fontId="17" fillId="0" borderId="0" xfId="5" applyNumberFormat="1" applyFont="1" applyFill="1" applyAlignment="1">
      <alignment horizontal="right"/>
    </xf>
    <xf numFmtId="0" fontId="18" fillId="0" borderId="0" xfId="0" applyFont="1" applyAlignment="1">
      <alignment horizontal="center"/>
    </xf>
    <xf numFmtId="10" fontId="20" fillId="0" borderId="0" xfId="5" applyNumberFormat="1" applyFont="1" applyFill="1" applyBorder="1" applyAlignment="1">
      <alignment horizontal="right"/>
    </xf>
    <xf numFmtId="169" fontId="22" fillId="0" borderId="0" xfId="1" applyNumberFormat="1" applyFont="1" applyFill="1"/>
    <xf numFmtId="0" fontId="20" fillId="0" borderId="0" xfId="5" applyNumberFormat="1" applyFont="1" applyFill="1" applyAlignment="1">
      <alignment vertical="center"/>
    </xf>
    <xf numFmtId="2" fontId="18" fillId="0" borderId="0" xfId="0" applyNumberFormat="1" applyFont="1" applyAlignment="1">
      <alignment horizontal="center"/>
    </xf>
    <xf numFmtId="0" fontId="37" fillId="0" borderId="0" xfId="0" applyFont="1" applyAlignment="1">
      <alignment horizontal="right"/>
    </xf>
    <xf numFmtId="10" fontId="20" fillId="0" borderId="0" xfId="5" applyNumberFormat="1" applyFont="1" applyFill="1"/>
    <xf numFmtId="0" fontId="17" fillId="4" borderId="20" xfId="0" applyFont="1" applyFill="1" applyBorder="1"/>
    <xf numFmtId="0" fontId="17" fillId="0" borderId="27" xfId="0" applyFont="1" applyBorder="1" applyAlignment="1">
      <alignment horizontal="right"/>
    </xf>
    <xf numFmtId="10" fontId="19" fillId="0" borderId="0" xfId="5" applyNumberFormat="1" applyFont="1" applyFill="1" applyBorder="1"/>
    <xf numFmtId="166" fontId="20" fillId="9" borderId="0" xfId="1" applyFont="1" applyFill="1" applyBorder="1" applyAlignment="1">
      <alignment horizontal="right"/>
    </xf>
    <xf numFmtId="10" fontId="20" fillId="0" borderId="0" xfId="5" applyNumberFormat="1" applyFont="1" applyFill="1" applyAlignment="1">
      <alignment vertical="center"/>
    </xf>
    <xf numFmtId="9" fontId="18" fillId="0" borderId="0" xfId="5" applyFont="1" applyFill="1" applyAlignment="1">
      <alignment horizontal="center"/>
    </xf>
    <xf numFmtId="2" fontId="39" fillId="0" borderId="0" xfId="0" applyNumberFormat="1" applyFont="1" applyAlignment="1">
      <alignment horizontal="center"/>
    </xf>
    <xf numFmtId="10" fontId="40" fillId="0" borderId="0" xfId="5" applyNumberFormat="1" applyFont="1" applyFill="1" applyAlignment="1">
      <alignment horizontal="right"/>
    </xf>
    <xf numFmtId="10" fontId="41" fillId="0" borderId="0" xfId="5" applyNumberFormat="1" applyFont="1" applyFill="1" applyAlignment="1">
      <alignment horizontal="right"/>
    </xf>
    <xf numFmtId="3" fontId="20" fillId="3" borderId="10" xfId="0" applyNumberFormat="1" applyFont="1" applyFill="1" applyBorder="1" applyAlignment="1">
      <alignment horizontal="center"/>
    </xf>
    <xf numFmtId="10" fontId="19" fillId="0" borderId="0" xfId="5" applyNumberFormat="1" applyFont="1" applyFill="1" applyAlignment="1">
      <alignment horizontal="right"/>
    </xf>
    <xf numFmtId="1" fontId="19" fillId="0" borderId="0" xfId="0" applyNumberFormat="1" applyFont="1" applyAlignment="1">
      <alignment horizontal="center"/>
    </xf>
    <xf numFmtId="166" fontId="22" fillId="0" borderId="0" xfId="0" applyNumberFormat="1" applyFont="1" applyAlignment="1">
      <alignment horizontal="right"/>
    </xf>
    <xf numFmtId="10" fontId="19" fillId="0" borderId="0" xfId="5" applyNumberFormat="1" applyFont="1" applyFill="1"/>
    <xf numFmtId="0" fontId="17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10" fontId="42" fillId="0" borderId="0" xfId="5" applyNumberFormat="1" applyFont="1" applyFill="1"/>
    <xf numFmtId="0" fontId="43" fillId="0" borderId="0" xfId="0" applyFont="1" applyAlignment="1">
      <alignment horizontal="center"/>
    </xf>
    <xf numFmtId="0" fontId="3" fillId="2" borderId="13" xfId="4" applyFont="1" applyFill="1" applyBorder="1" applyAlignment="1">
      <alignment horizontal="right"/>
    </xf>
    <xf numFmtId="0" fontId="48" fillId="2" borderId="2" xfId="4" applyFont="1" applyFill="1" applyBorder="1" applyAlignment="1">
      <alignment horizontal="center"/>
    </xf>
    <xf numFmtId="0" fontId="3" fillId="2" borderId="1" xfId="4" applyFont="1" applyFill="1" applyBorder="1" applyAlignment="1">
      <alignment horizontal="right"/>
    </xf>
    <xf numFmtId="49" fontId="48" fillId="2" borderId="7" xfId="4" applyNumberFormat="1" applyFont="1" applyFill="1" applyBorder="1" applyAlignment="1">
      <alignment horizontal="center"/>
    </xf>
    <xf numFmtId="0" fontId="48" fillId="2" borderId="5" xfId="4" applyFont="1" applyFill="1" applyBorder="1" applyAlignment="1">
      <alignment horizontal="right"/>
    </xf>
    <xf numFmtId="0" fontId="48" fillId="2" borderId="1" xfId="4" applyFont="1" applyFill="1" applyBorder="1" applyAlignment="1">
      <alignment horizontal="right"/>
    </xf>
    <xf numFmtId="14" fontId="49" fillId="2" borderId="0" xfId="4" applyNumberFormat="1" applyFont="1" applyFill="1" applyAlignment="1">
      <alignment horizontal="center" vertical="center" wrapText="1"/>
    </xf>
    <xf numFmtId="0" fontId="3" fillId="3" borderId="2" xfId="3" applyFont="1" applyFill="1" applyBorder="1" applyAlignment="1">
      <alignment horizontal="center" vertical="center" wrapText="1"/>
    </xf>
    <xf numFmtId="1" fontId="3" fillId="3" borderId="3" xfId="3" applyNumberFormat="1" applyFont="1" applyFill="1" applyBorder="1" applyAlignment="1">
      <alignment horizontal="center"/>
    </xf>
    <xf numFmtId="1" fontId="3" fillId="3" borderId="3" xfId="3" applyNumberFormat="1" applyFont="1" applyFill="1" applyBorder="1" applyAlignment="1">
      <alignment horizontal="center" wrapText="1"/>
    </xf>
    <xf numFmtId="0" fontId="3" fillId="3" borderId="4" xfId="3" applyFont="1" applyFill="1" applyBorder="1" applyAlignment="1">
      <alignment horizontal="center"/>
    </xf>
    <xf numFmtId="0" fontId="50" fillId="0" borderId="14" xfId="3" applyFont="1" applyBorder="1" applyAlignment="1">
      <alignment horizontal="center" vertical="center"/>
    </xf>
    <xf numFmtId="0" fontId="50" fillId="0" borderId="8" xfId="3" applyFont="1" applyBorder="1" applyAlignment="1">
      <alignment horizontal="center" vertical="center"/>
    </xf>
    <xf numFmtId="0" fontId="51" fillId="0" borderId="1" xfId="3" applyFont="1" applyBorder="1" applyAlignment="1">
      <alignment vertical="center"/>
    </xf>
    <xf numFmtId="0" fontId="50" fillId="0" borderId="1" xfId="3" applyFont="1" applyBorder="1" applyAlignment="1">
      <alignment horizontal="center" vertical="center"/>
    </xf>
    <xf numFmtId="1" fontId="50" fillId="0" borderId="1" xfId="3" applyNumberFormat="1" applyFont="1" applyBorder="1" applyAlignment="1">
      <alignment horizontal="center"/>
    </xf>
    <xf numFmtId="1" fontId="50" fillId="0" borderId="1" xfId="3" applyNumberFormat="1" applyFont="1" applyBorder="1" applyAlignment="1">
      <alignment horizontal="center" wrapText="1"/>
    </xf>
    <xf numFmtId="0" fontId="52" fillId="0" borderId="7" xfId="3" applyFont="1" applyBorder="1" applyAlignment="1">
      <alignment horizontal="center"/>
    </xf>
    <xf numFmtId="49" fontId="52" fillId="0" borderId="1" xfId="3" applyNumberFormat="1" applyFont="1" applyBorder="1" applyAlignment="1">
      <alignment horizontal="center"/>
    </xf>
    <xf numFmtId="0" fontId="52" fillId="0" borderId="1" xfId="3" applyFont="1" applyBorder="1" applyAlignment="1">
      <alignment horizontal="left"/>
    </xf>
    <xf numFmtId="0" fontId="52" fillId="0" borderId="1" xfId="3" applyFont="1" applyBorder="1" applyAlignment="1">
      <alignment horizontal="center"/>
    </xf>
    <xf numFmtId="1" fontId="52" fillId="0" borderId="1" xfId="3" applyNumberFormat="1" applyFont="1" applyBorder="1" applyAlignment="1">
      <alignment horizontal="center" wrapText="1"/>
    </xf>
    <xf numFmtId="0" fontId="48" fillId="0" borderId="5" xfId="0" applyFont="1" applyBorder="1" applyAlignment="1">
      <alignment horizontal="center" wrapText="1"/>
    </xf>
    <xf numFmtId="12" fontId="48" fillId="0" borderId="5" xfId="0" applyNumberFormat="1" applyFont="1" applyBorder="1" applyAlignment="1">
      <alignment horizontal="center"/>
    </xf>
    <xf numFmtId="0" fontId="53" fillId="0" borderId="1" xfId="0" applyFont="1" applyBorder="1" applyAlignment="1">
      <alignment horizontal="center"/>
    </xf>
    <xf numFmtId="0" fontId="53" fillId="9" borderId="1" xfId="0" applyFont="1" applyFill="1" applyBorder="1"/>
    <xf numFmtId="1" fontId="52" fillId="0" borderId="1" xfId="3" applyNumberFormat="1" applyFont="1" applyBorder="1" applyAlignment="1">
      <alignment horizontal="center"/>
    </xf>
    <xf numFmtId="0" fontId="53" fillId="0" borderId="1" xfId="3" applyFont="1" applyBorder="1" applyAlignment="1">
      <alignment horizontal="center"/>
    </xf>
    <xf numFmtId="0" fontId="53" fillId="9" borderId="1" xfId="3" applyFont="1" applyFill="1" applyBorder="1" applyAlignment="1">
      <alignment horizontal="left"/>
    </xf>
    <xf numFmtId="0" fontId="48" fillId="0" borderId="1" xfId="0" applyFont="1" applyBorder="1" applyAlignment="1">
      <alignment horizontal="center"/>
    </xf>
    <xf numFmtId="1" fontId="53" fillId="0" borderId="1" xfId="0" applyNumberFormat="1" applyFont="1" applyBorder="1"/>
    <xf numFmtId="0" fontId="53" fillId="0" borderId="1" xfId="0" applyFont="1" applyBorder="1"/>
    <xf numFmtId="0" fontId="48" fillId="9" borderId="1" xfId="3" applyFont="1" applyFill="1" applyBorder="1" applyAlignment="1">
      <alignment horizontal="center"/>
    </xf>
    <xf numFmtId="49" fontId="52" fillId="0" borderId="14" xfId="3" applyNumberFormat="1" applyFont="1" applyBorder="1" applyAlignment="1">
      <alignment horizontal="center"/>
    </xf>
    <xf numFmtId="49" fontId="52" fillId="0" borderId="8" xfId="3" applyNumberFormat="1" applyFont="1" applyBorder="1" applyAlignment="1">
      <alignment horizontal="center"/>
    </xf>
    <xf numFmtId="0" fontId="50" fillId="9" borderId="1" xfId="3" applyFont="1" applyFill="1" applyBorder="1" applyAlignment="1">
      <alignment horizontal="left"/>
    </xf>
    <xf numFmtId="171" fontId="52" fillId="0" borderId="1" xfId="3" applyNumberFormat="1" applyFont="1" applyBorder="1" applyAlignment="1">
      <alignment horizontal="center"/>
    </xf>
    <xf numFmtId="0" fontId="54" fillId="9" borderId="14" xfId="0" applyFont="1" applyFill="1" applyBorder="1" applyAlignment="1">
      <alignment horizontal="center"/>
    </xf>
    <xf numFmtId="0" fontId="54" fillId="9" borderId="52" xfId="0" applyFont="1" applyFill="1" applyBorder="1" applyAlignment="1">
      <alignment horizontal="center"/>
    </xf>
    <xf numFmtId="0" fontId="54" fillId="9" borderId="5" xfId="0" applyFont="1" applyFill="1" applyBorder="1"/>
    <xf numFmtId="0" fontId="48" fillId="9" borderId="8" xfId="0" applyFont="1" applyFill="1" applyBorder="1" applyAlignment="1">
      <alignment horizontal="center"/>
    </xf>
    <xf numFmtId="1" fontId="48" fillId="9" borderId="5" xfId="0" applyNumberFormat="1" applyFont="1" applyFill="1" applyBorder="1" applyAlignment="1">
      <alignment horizontal="center"/>
    </xf>
    <xf numFmtId="1" fontId="48" fillId="9" borderId="5" xfId="0" applyNumberFormat="1" applyFont="1" applyFill="1" applyBorder="1" applyAlignment="1">
      <alignment horizontal="center" wrapText="1"/>
    </xf>
    <xf numFmtId="49" fontId="48" fillId="9" borderId="5" xfId="0" applyNumberFormat="1" applyFont="1" applyFill="1" applyBorder="1" applyAlignment="1">
      <alignment horizontal="center"/>
    </xf>
    <xf numFmtId="1" fontId="48" fillId="9" borderId="1" xfId="3" applyNumberFormat="1" applyFont="1" applyFill="1" applyBorder="1" applyAlignment="1">
      <alignment horizontal="center"/>
    </xf>
    <xf numFmtId="1" fontId="48" fillId="9" borderId="1" xfId="3" applyNumberFormat="1" applyFont="1" applyFill="1" applyBorder="1" applyAlignment="1">
      <alignment horizontal="center" wrapText="1"/>
    </xf>
    <xf numFmtId="1" fontId="48" fillId="9" borderId="1" xfId="0" applyNumberFormat="1" applyFont="1" applyFill="1" applyBorder="1" applyAlignment="1">
      <alignment horizontal="center"/>
    </xf>
    <xf numFmtId="0" fontId="53" fillId="0" borderId="0" xfId="0" applyFont="1" applyAlignment="1">
      <alignment horizontal="center"/>
    </xf>
    <xf numFmtId="0" fontId="53" fillId="0" borderId="0" xfId="0" applyFont="1"/>
    <xf numFmtId="16" fontId="48" fillId="9" borderId="1" xfId="0" applyNumberFormat="1" applyFont="1" applyFill="1" applyBorder="1" applyAlignment="1">
      <alignment horizontal="center"/>
    </xf>
    <xf numFmtId="0" fontId="48" fillId="2" borderId="1" xfId="0" applyFont="1" applyFill="1" applyBorder="1" applyAlignment="1">
      <alignment horizontal="center"/>
    </xf>
    <xf numFmtId="1" fontId="48" fillId="0" borderId="5" xfId="0" applyNumberFormat="1" applyFont="1" applyBorder="1" applyAlignment="1">
      <alignment horizontal="center" wrapText="1"/>
    </xf>
    <xf numFmtId="16" fontId="48" fillId="0" borderId="1" xfId="0" applyNumberFormat="1" applyFont="1" applyBorder="1" applyAlignment="1">
      <alignment horizontal="center"/>
    </xf>
    <xf numFmtId="1" fontId="48" fillId="0" borderId="5" xfId="0" applyNumberFormat="1" applyFont="1" applyBorder="1" applyAlignment="1">
      <alignment horizontal="center"/>
    </xf>
    <xf numFmtId="1" fontId="48" fillId="0" borderId="1" xfId="0" applyNumberFormat="1" applyFont="1" applyBorder="1" applyAlignment="1">
      <alignment horizontal="center"/>
    </xf>
    <xf numFmtId="1" fontId="48" fillId="0" borderId="1" xfId="0" applyNumberFormat="1" applyFont="1" applyBorder="1" applyAlignment="1">
      <alignment horizontal="center" wrapText="1"/>
    </xf>
    <xf numFmtId="49" fontId="50" fillId="0" borderId="15" xfId="3" applyNumberFormat="1" applyFont="1" applyBorder="1" applyAlignment="1">
      <alignment horizontal="center"/>
    </xf>
    <xf numFmtId="49" fontId="50" fillId="0" borderId="29" xfId="3" applyNumberFormat="1" applyFont="1" applyBorder="1" applyAlignment="1">
      <alignment horizontal="center"/>
    </xf>
    <xf numFmtId="0" fontId="51" fillId="9" borderId="1" xfId="3" applyFont="1" applyFill="1" applyBorder="1" applyAlignment="1">
      <alignment vertical="center"/>
    </xf>
    <xf numFmtId="0" fontId="50" fillId="0" borderId="8" xfId="3" applyFont="1" applyBorder="1" applyAlignment="1">
      <alignment horizontal="center"/>
    </xf>
    <xf numFmtId="171" fontId="50" fillId="0" borderId="1" xfId="3" applyNumberFormat="1" applyFont="1" applyBorder="1" applyAlignment="1">
      <alignment horizontal="center"/>
    </xf>
    <xf numFmtId="49" fontId="52" fillId="0" borderId="1" xfId="0" applyNumberFormat="1" applyFont="1" applyBorder="1" applyAlignment="1">
      <alignment horizontal="center"/>
    </xf>
    <xf numFmtId="49" fontId="52" fillId="0" borderId="1" xfId="0" applyNumberFormat="1" applyFont="1" applyBorder="1"/>
    <xf numFmtId="0" fontId="52" fillId="0" borderId="1" xfId="0" applyFont="1" applyBorder="1" applyAlignment="1">
      <alignment horizontal="center"/>
    </xf>
    <xf numFmtId="1" fontId="52" fillId="0" borderId="1" xfId="0" applyNumberFormat="1" applyFont="1" applyBorder="1" applyAlignment="1">
      <alignment horizontal="center"/>
    </xf>
    <xf numFmtId="1" fontId="52" fillId="0" borderId="1" xfId="0" applyNumberFormat="1" applyFont="1" applyBorder="1" applyAlignment="1">
      <alignment horizontal="center" wrapText="1"/>
    </xf>
    <xf numFmtId="172" fontId="3" fillId="9" borderId="1" xfId="1" applyNumberFormat="1" applyFont="1" applyFill="1" applyBorder="1" applyAlignment="1">
      <alignment horizontal="center"/>
    </xf>
    <xf numFmtId="0" fontId="55" fillId="0" borderId="1" xfId="6" applyFont="1" applyBorder="1" applyAlignment="1">
      <alignment horizontal="center"/>
    </xf>
    <xf numFmtId="0" fontId="55" fillId="0" borderId="1" xfId="6" applyFont="1" applyBorder="1" applyAlignment="1">
      <alignment horizontal="left"/>
    </xf>
    <xf numFmtId="16" fontId="52" fillId="0" borderId="1" xfId="0" applyNumberFormat="1" applyFont="1" applyBorder="1" applyAlignment="1">
      <alignment horizontal="center"/>
    </xf>
    <xf numFmtId="0" fontId="53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left" vertical="center"/>
    </xf>
    <xf numFmtId="12" fontId="52" fillId="0" borderId="1" xfId="3" applyNumberFormat="1" applyFont="1" applyBorder="1" applyAlignment="1">
      <alignment horizontal="center"/>
    </xf>
    <xf numFmtId="0" fontId="48" fillId="0" borderId="1" xfId="0" quotePrefix="1" applyFont="1" applyBorder="1" applyAlignment="1">
      <alignment horizontal="center"/>
    </xf>
    <xf numFmtId="0" fontId="48" fillId="0" borderId="1" xfId="0" quotePrefix="1" applyFont="1" applyBorder="1"/>
    <xf numFmtId="49" fontId="52" fillId="0" borderId="1" xfId="3" applyNumberFormat="1" applyFont="1" applyBorder="1"/>
    <xf numFmtId="49" fontId="56" fillId="2" borderId="30" xfId="3" applyNumberFormat="1" applyFont="1" applyFill="1" applyBorder="1" applyAlignment="1">
      <alignment horizontal="center" vertical="center"/>
    </xf>
    <xf numFmtId="49" fontId="56" fillId="2" borderId="0" xfId="3" applyNumberFormat="1" applyFont="1" applyFill="1" applyAlignment="1">
      <alignment horizontal="center" vertical="center"/>
    </xf>
    <xf numFmtId="0" fontId="48" fillId="2" borderId="0" xfId="3" applyFont="1" applyFill="1"/>
    <xf numFmtId="1" fontId="48" fillId="2" borderId="0" xfId="3" applyNumberFormat="1" applyFont="1" applyFill="1" applyAlignment="1">
      <alignment horizontal="center"/>
    </xf>
    <xf numFmtId="167" fontId="48" fillId="2" borderId="0" xfId="3" applyNumberFormat="1" applyFont="1" applyFill="1" applyAlignment="1">
      <alignment horizontal="center" wrapText="1"/>
    </xf>
    <xf numFmtId="0" fontId="48" fillId="2" borderId="22" xfId="3" applyFont="1" applyFill="1" applyBorder="1" applyAlignment="1">
      <alignment horizontal="center"/>
    </xf>
    <xf numFmtId="0" fontId="48" fillId="3" borderId="44" xfId="3" applyFont="1" applyFill="1" applyBorder="1" applyAlignment="1">
      <alignment horizontal="center"/>
    </xf>
    <xf numFmtId="0" fontId="48" fillId="3" borderId="20" xfId="3" applyFont="1" applyFill="1" applyBorder="1" applyAlignment="1">
      <alignment horizontal="center"/>
    </xf>
    <xf numFmtId="0" fontId="48" fillId="3" borderId="20" xfId="3" applyFont="1" applyFill="1" applyBorder="1"/>
    <xf numFmtId="0" fontId="3" fillId="3" borderId="20" xfId="3" applyFont="1" applyFill="1" applyBorder="1" applyAlignment="1">
      <alignment horizontal="center"/>
    </xf>
    <xf numFmtId="1" fontId="3" fillId="3" borderId="20" xfId="3" applyNumberFormat="1" applyFont="1" applyFill="1" applyBorder="1" applyAlignment="1">
      <alignment horizontal="center"/>
    </xf>
    <xf numFmtId="167" fontId="48" fillId="3" borderId="20" xfId="3" applyNumberFormat="1" applyFont="1" applyFill="1" applyBorder="1" applyAlignment="1">
      <alignment horizontal="center" wrapText="1"/>
    </xf>
    <xf numFmtId="0" fontId="48" fillId="3" borderId="24" xfId="3" applyFont="1" applyFill="1" applyBorder="1" applyAlignment="1">
      <alignment horizontal="center"/>
    </xf>
    <xf numFmtId="0" fontId="48" fillId="0" borderId="9" xfId="0" applyFont="1" applyBorder="1" applyAlignment="1">
      <alignment horizontal="center"/>
    </xf>
    <xf numFmtId="1" fontId="48" fillId="0" borderId="3" xfId="0" applyNumberFormat="1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14" fontId="48" fillId="2" borderId="35" xfId="4" applyNumberFormat="1" applyFont="1" applyFill="1" applyBorder="1" applyAlignment="1">
      <alignment horizontal="center" vertical="center" wrapText="1"/>
    </xf>
    <xf numFmtId="14" fontId="48" fillId="2" borderId="36" xfId="4" applyNumberFormat="1" applyFont="1" applyFill="1" applyBorder="1" applyAlignment="1">
      <alignment horizontal="center" vertical="center" wrapText="1"/>
    </xf>
    <xf numFmtId="14" fontId="48" fillId="2" borderId="6" xfId="4" applyNumberFormat="1" applyFont="1" applyFill="1" applyBorder="1" applyAlignment="1">
      <alignment horizontal="center" vertical="center" wrapText="1"/>
    </xf>
    <xf numFmtId="0" fontId="48" fillId="2" borderId="37" xfId="4" applyFont="1" applyFill="1" applyBorder="1" applyAlignment="1">
      <alignment horizontal="left"/>
    </xf>
    <xf numFmtId="0" fontId="48" fillId="2" borderId="38" xfId="4" applyFont="1" applyFill="1" applyBorder="1" applyAlignment="1">
      <alignment horizontal="left"/>
    </xf>
    <xf numFmtId="0" fontId="48" fillId="2" borderId="39" xfId="4" applyFont="1" applyFill="1" applyBorder="1" applyAlignment="1">
      <alignment horizontal="left"/>
    </xf>
    <xf numFmtId="0" fontId="48" fillId="2" borderId="28" xfId="4" applyFont="1" applyFill="1" applyBorder="1" applyAlignment="1">
      <alignment horizontal="left"/>
    </xf>
    <xf numFmtId="0" fontId="48" fillId="2" borderId="29" xfId="4" applyFont="1" applyFill="1" applyBorder="1" applyAlignment="1">
      <alignment horizontal="left"/>
    </xf>
    <xf numFmtId="0" fontId="48" fillId="2" borderId="8" xfId="4" applyFont="1" applyFill="1" applyBorder="1" applyAlignment="1">
      <alignment horizontal="left"/>
    </xf>
    <xf numFmtId="0" fontId="48" fillId="2" borderId="11" xfId="4" applyFont="1" applyFill="1" applyBorder="1" applyAlignment="1">
      <alignment horizontal="center"/>
    </xf>
    <xf numFmtId="0" fontId="48" fillId="2" borderId="12" xfId="4" applyFont="1" applyFill="1" applyBorder="1" applyAlignment="1">
      <alignment horizontal="center"/>
    </xf>
    <xf numFmtId="0" fontId="48" fillId="2" borderId="30" xfId="4" applyFont="1" applyFill="1" applyBorder="1" applyAlignment="1">
      <alignment horizontal="center"/>
    </xf>
    <xf numFmtId="0" fontId="48" fillId="2" borderId="0" xfId="4" applyFont="1" applyFill="1" applyAlignment="1">
      <alignment horizontal="center"/>
    </xf>
    <xf numFmtId="0" fontId="48" fillId="2" borderId="49" xfId="4" applyFont="1" applyFill="1" applyBorder="1" applyAlignment="1">
      <alignment horizontal="center"/>
    </xf>
    <xf numFmtId="0" fontId="48" fillId="2" borderId="25" xfId="4" applyFont="1" applyFill="1" applyBorder="1" applyAlignment="1">
      <alignment horizontal="center"/>
    </xf>
    <xf numFmtId="0" fontId="3" fillId="2" borderId="13" xfId="4" applyFont="1" applyFill="1" applyBorder="1" applyAlignment="1">
      <alignment horizontal="center"/>
    </xf>
    <xf numFmtId="0" fontId="3" fillId="2" borderId="40" xfId="4" applyFont="1" applyFill="1" applyBorder="1" applyAlignment="1">
      <alignment horizontal="center"/>
    </xf>
    <xf numFmtId="0" fontId="3" fillId="2" borderId="41" xfId="4" applyFont="1" applyFill="1" applyBorder="1" applyAlignment="1">
      <alignment horizontal="center"/>
    </xf>
    <xf numFmtId="0" fontId="3" fillId="2" borderId="42" xfId="4" applyFont="1" applyFill="1" applyBorder="1" applyAlignment="1">
      <alignment horizontal="center"/>
    </xf>
    <xf numFmtId="0" fontId="3" fillId="5" borderId="44" xfId="4" applyFont="1" applyFill="1" applyBorder="1" applyAlignment="1">
      <alignment horizontal="center" vertical="center" wrapText="1"/>
    </xf>
    <xf numFmtId="0" fontId="3" fillId="5" borderId="20" xfId="4" applyFont="1" applyFill="1" applyBorder="1" applyAlignment="1">
      <alignment horizontal="center" vertical="center" wrapText="1"/>
    </xf>
    <xf numFmtId="0" fontId="3" fillId="5" borderId="24" xfId="4" applyFont="1" applyFill="1" applyBorder="1" applyAlignment="1">
      <alignment horizontal="center" vertical="center" wrapText="1"/>
    </xf>
    <xf numFmtId="0" fontId="3" fillId="2" borderId="32" xfId="4" applyFont="1" applyFill="1" applyBorder="1" applyAlignment="1">
      <alignment horizontal="right" vertical="top" wrapText="1"/>
    </xf>
    <xf numFmtId="0" fontId="3" fillId="2" borderId="33" xfId="4" applyFont="1" applyFill="1" applyBorder="1" applyAlignment="1">
      <alignment horizontal="right" vertical="top" wrapText="1"/>
    </xf>
    <xf numFmtId="0" fontId="3" fillId="2" borderId="34" xfId="4" applyFont="1" applyFill="1" applyBorder="1" applyAlignment="1">
      <alignment horizontal="right" vertical="top" wrapText="1"/>
    </xf>
    <xf numFmtId="0" fontId="47" fillId="2" borderId="0" xfId="4" applyFont="1" applyFill="1" applyAlignment="1">
      <alignment horizontal="right"/>
    </xf>
    <xf numFmtId="0" fontId="49" fillId="2" borderId="27" xfId="4" applyFont="1" applyFill="1" applyBorder="1" applyAlignment="1">
      <alignment horizontal="center"/>
    </xf>
    <xf numFmtId="0" fontId="47" fillId="2" borderId="0" xfId="4" applyFont="1" applyFill="1"/>
    <xf numFmtId="0" fontId="3" fillId="3" borderId="50" xfId="3" applyFont="1" applyFill="1" applyBorder="1" applyAlignment="1">
      <alignment horizontal="center" vertical="center"/>
    </xf>
    <xf numFmtId="0" fontId="3" fillId="3" borderId="51" xfId="3" applyFont="1" applyFill="1" applyBorder="1" applyAlignment="1">
      <alignment horizontal="center" vertical="center"/>
    </xf>
    <xf numFmtId="0" fontId="3" fillId="3" borderId="50" xfId="3" applyFont="1" applyFill="1" applyBorder="1" applyAlignment="1">
      <alignment horizontal="center" vertical="center" wrapText="1"/>
    </xf>
    <xf numFmtId="0" fontId="3" fillId="3" borderId="51" xfId="3" applyFont="1" applyFill="1" applyBorder="1" applyAlignment="1">
      <alignment horizontal="center" vertical="center" wrapText="1"/>
    </xf>
    <xf numFmtId="0" fontId="3" fillId="3" borderId="13" xfId="3" applyFont="1" applyFill="1" applyBorder="1" applyAlignment="1">
      <alignment horizontal="center" vertical="center"/>
    </xf>
    <xf numFmtId="0" fontId="3" fillId="3" borderId="3" xfId="3" applyFont="1" applyFill="1" applyBorder="1" applyAlignment="1">
      <alignment horizontal="center" vertical="center"/>
    </xf>
    <xf numFmtId="0" fontId="3" fillId="0" borderId="49" xfId="3" applyFont="1" applyBorder="1" applyAlignment="1">
      <alignment horizontal="right"/>
    </xf>
    <xf numFmtId="0" fontId="3" fillId="0" borderId="25" xfId="3" applyFont="1" applyBorder="1" applyAlignment="1">
      <alignment horizontal="right"/>
    </xf>
    <xf numFmtId="0" fontId="3" fillId="0" borderId="52" xfId="3" applyFont="1" applyBorder="1" applyAlignment="1">
      <alignment horizontal="right"/>
    </xf>
    <xf numFmtId="167" fontId="48" fillId="0" borderId="5" xfId="3" applyNumberFormat="1" applyFont="1" applyBorder="1" applyAlignment="1">
      <alignment horizontal="right"/>
    </xf>
    <xf numFmtId="0" fontId="48" fillId="2" borderId="9" xfId="3" applyFont="1" applyFill="1" applyBorder="1" applyAlignment="1">
      <alignment horizontal="center"/>
    </xf>
    <xf numFmtId="0" fontId="48" fillId="2" borderId="53" xfId="3" applyFont="1" applyFill="1" applyBorder="1" applyAlignment="1">
      <alignment horizontal="center"/>
    </xf>
    <xf numFmtId="0" fontId="3" fillId="0" borderId="15" xfId="3" applyFont="1" applyBorder="1" applyAlignment="1">
      <alignment horizontal="right"/>
    </xf>
    <xf numFmtId="0" fontId="3" fillId="0" borderId="29" xfId="3" applyFont="1" applyBorder="1" applyAlignment="1">
      <alignment horizontal="right"/>
    </xf>
    <xf numFmtId="0" fontId="3" fillId="0" borderId="8" xfId="3" applyFont="1" applyBorder="1" applyAlignment="1">
      <alignment horizontal="right"/>
    </xf>
    <xf numFmtId="0" fontId="48" fillId="0" borderId="1" xfId="3" applyFont="1" applyBorder="1" applyAlignment="1">
      <alignment horizontal="right"/>
    </xf>
    <xf numFmtId="167" fontId="48" fillId="0" borderId="28" xfId="3" applyNumberFormat="1" applyFont="1" applyBorder="1" applyAlignment="1">
      <alignment horizontal="center"/>
    </xf>
    <xf numFmtId="167" fontId="48" fillId="0" borderId="43" xfId="3" applyNumberFormat="1" applyFont="1" applyBorder="1" applyAlignment="1">
      <alignment horizontal="center"/>
    </xf>
    <xf numFmtId="0" fontId="48" fillId="0" borderId="15" xfId="0" applyFont="1" applyBorder="1" applyAlignment="1">
      <alignment horizontal="left"/>
    </xf>
    <xf numFmtId="0" fontId="48" fillId="0" borderId="29" xfId="0" applyFont="1" applyBorder="1" applyAlignment="1">
      <alignment horizontal="left"/>
    </xf>
    <xf numFmtId="0" fontId="48" fillId="0" borderId="43" xfId="0" applyFont="1" applyBorder="1" applyAlignment="1">
      <alignment horizontal="left"/>
    </xf>
    <xf numFmtId="167" fontId="48" fillId="0" borderId="28" xfId="3" applyNumberFormat="1" applyFont="1" applyBorder="1" applyAlignment="1">
      <alignment horizontal="right" wrapText="1"/>
    </xf>
    <xf numFmtId="167" fontId="48" fillId="0" borderId="8" xfId="3" applyNumberFormat="1" applyFont="1" applyBorder="1" applyAlignment="1">
      <alignment horizontal="right" wrapText="1"/>
    </xf>
    <xf numFmtId="167" fontId="48" fillId="0" borderId="28" xfId="0" applyNumberFormat="1" applyFont="1" applyBorder="1" applyAlignment="1">
      <alignment horizontal="center" wrapText="1"/>
    </xf>
    <xf numFmtId="167" fontId="48" fillId="0" borderId="43" xfId="0" applyNumberFormat="1" applyFont="1" applyBorder="1" applyAlignment="1">
      <alignment horizontal="center" wrapText="1"/>
    </xf>
    <xf numFmtId="0" fontId="3" fillId="0" borderId="51" xfId="3" applyFont="1" applyBorder="1" applyAlignment="1">
      <alignment horizontal="right"/>
    </xf>
    <xf numFmtId="0" fontId="3" fillId="0" borderId="42" xfId="3" applyFont="1" applyBorder="1" applyAlignment="1">
      <alignment horizontal="right"/>
    </xf>
    <xf numFmtId="0" fontId="3" fillId="0" borderId="3" xfId="3" applyFont="1" applyBorder="1" applyAlignment="1">
      <alignment horizontal="right"/>
    </xf>
    <xf numFmtId="0" fontId="48" fillId="0" borderId="3" xfId="3" applyFont="1" applyBorder="1" applyAlignment="1">
      <alignment horizontal="right"/>
    </xf>
    <xf numFmtId="0" fontId="3" fillId="3" borderId="44" xfId="3" applyFont="1" applyFill="1" applyBorder="1" applyAlignment="1">
      <alignment horizontal="left"/>
    </xf>
    <xf numFmtId="0" fontId="3" fillId="3" borderId="20" xfId="3" applyFont="1" applyFill="1" applyBorder="1" applyAlignment="1">
      <alignment horizontal="left"/>
    </xf>
    <xf numFmtId="0" fontId="3" fillId="3" borderId="24" xfId="3" applyFont="1" applyFill="1" applyBorder="1" applyAlignment="1">
      <alignment horizontal="left"/>
    </xf>
    <xf numFmtId="0" fontId="48" fillId="0" borderId="45" xfId="0" applyFont="1" applyBorder="1" applyAlignment="1">
      <alignment horizontal="left"/>
    </xf>
    <xf numFmtId="0" fontId="48" fillId="0" borderId="38" xfId="0" applyFont="1" applyBorder="1" applyAlignment="1">
      <alignment horizontal="left"/>
    </xf>
    <xf numFmtId="0" fontId="48" fillId="0" borderId="46" xfId="0" applyFont="1" applyBorder="1" applyAlignment="1">
      <alignment horizontal="left"/>
    </xf>
    <xf numFmtId="0" fontId="50" fillId="0" borderId="15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50" fillId="0" borderId="43" xfId="0" applyFont="1" applyBorder="1" applyAlignment="1">
      <alignment horizontal="left"/>
    </xf>
    <xf numFmtId="0" fontId="3" fillId="11" borderId="54" xfId="4" applyFont="1" applyFill="1" applyBorder="1" applyAlignment="1">
      <alignment horizontal="center"/>
    </xf>
    <xf numFmtId="0" fontId="3" fillId="11" borderId="12" xfId="4" applyFont="1" applyFill="1" applyBorder="1" applyAlignment="1">
      <alignment horizontal="center"/>
    </xf>
    <xf numFmtId="0" fontId="48" fillId="2" borderId="55" xfId="4" applyFont="1" applyFill="1" applyBorder="1" applyAlignment="1">
      <alignment horizontal="left"/>
    </xf>
    <xf numFmtId="0" fontId="48" fillId="2" borderId="0" xfId="4" applyFont="1" applyFill="1" applyAlignment="1">
      <alignment horizontal="left"/>
    </xf>
    <xf numFmtId="0" fontId="48" fillId="0" borderId="15" xfId="0" applyFont="1" applyBorder="1" applyAlignment="1">
      <alignment horizontal="left" wrapText="1"/>
    </xf>
    <xf numFmtId="0" fontId="48" fillId="0" borderId="29" xfId="0" applyFont="1" applyBorder="1" applyAlignment="1">
      <alignment horizontal="left" wrapText="1"/>
    </xf>
    <xf numFmtId="0" fontId="48" fillId="0" borderId="43" xfId="0" applyFont="1" applyBorder="1" applyAlignment="1">
      <alignment horizontal="left" wrapText="1"/>
    </xf>
    <xf numFmtId="0" fontId="3" fillId="0" borderId="49" xfId="3" applyFont="1" applyBorder="1" applyAlignment="1">
      <alignment horizontal="left" wrapText="1"/>
    </xf>
    <xf numFmtId="0" fontId="3" fillId="0" borderId="25" xfId="3" applyFont="1" applyBorder="1" applyAlignment="1">
      <alignment horizontal="left" wrapText="1"/>
    </xf>
    <xf numFmtId="0" fontId="3" fillId="0" borderId="53" xfId="3" applyFont="1" applyBorder="1" applyAlignment="1">
      <alignment horizontal="left" wrapText="1"/>
    </xf>
    <xf numFmtId="0" fontId="15" fillId="0" borderId="0" xfId="0" applyFont="1" applyAlignment="1">
      <alignment horizontal="center" vertical="center"/>
    </xf>
    <xf numFmtId="0" fontId="31" fillId="0" borderId="44" xfId="0" applyFont="1" applyBorder="1" applyAlignment="1">
      <alignment horizontal="right" vertical="center"/>
    </xf>
    <xf numFmtId="0" fontId="31" fillId="0" borderId="20" xfId="0" applyFont="1" applyBorder="1" applyAlignment="1">
      <alignment horizontal="right" vertical="center"/>
    </xf>
    <xf numFmtId="0" fontId="31" fillId="0" borderId="24" xfId="0" applyFont="1" applyBorder="1" applyAlignment="1">
      <alignment horizontal="right" vertical="center"/>
    </xf>
    <xf numFmtId="0" fontId="32" fillId="0" borderId="0" xfId="0" applyFont="1" applyAlignment="1">
      <alignment horizontal="right"/>
    </xf>
    <xf numFmtId="0" fontId="22" fillId="0" borderId="27" xfId="0" applyFont="1" applyBorder="1" applyAlignment="1">
      <alignment horizontal="right"/>
    </xf>
    <xf numFmtId="0" fontId="15" fillId="0" borderId="0" xfId="0" applyFont="1" applyAlignment="1">
      <alignment horizontal="right" vertical="center"/>
    </xf>
    <xf numFmtId="0" fontId="20" fillId="4" borderId="44" xfId="0" applyFont="1" applyFill="1" applyBorder="1" applyAlignment="1">
      <alignment horizontal="right"/>
    </xf>
    <xf numFmtId="0" fontId="20" fillId="4" borderId="20" xfId="0" applyFont="1" applyFill="1" applyBorder="1" applyAlignment="1">
      <alignment horizontal="right"/>
    </xf>
    <xf numFmtId="0" fontId="4" fillId="0" borderId="0" xfId="0" applyFont="1" applyAlignment="1">
      <alignment horizontal="right" vertical="center"/>
    </xf>
    <xf numFmtId="0" fontId="6" fillId="0" borderId="27" xfId="0" applyFont="1" applyBorder="1" applyAlignment="1">
      <alignment horizontal="right" vertical="center"/>
    </xf>
    <xf numFmtId="0" fontId="6" fillId="0" borderId="31" xfId="0" applyFont="1" applyBorder="1" applyAlignment="1">
      <alignment horizontal="right" vertical="center"/>
    </xf>
    <xf numFmtId="0" fontId="6" fillId="8" borderId="44" xfId="0" applyFont="1" applyFill="1" applyBorder="1" applyAlignment="1">
      <alignment horizontal="right" vertical="center"/>
    </xf>
    <xf numFmtId="0" fontId="6" fillId="8" borderId="20" xfId="0" applyFont="1" applyFill="1" applyBorder="1" applyAlignment="1">
      <alignment horizontal="right" vertical="center"/>
    </xf>
    <xf numFmtId="0" fontId="6" fillId="8" borderId="24" xfId="0" applyFont="1" applyFill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4" fontId="29" fillId="0" borderId="0" xfId="2" applyNumberFormat="1" applyFont="1" applyFill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0" fontId="16" fillId="0" borderId="0" xfId="0" applyFont="1" applyAlignment="1">
      <alignment horizontal="right"/>
    </xf>
    <xf numFmtId="0" fontId="23" fillId="0" borderId="1" xfId="0" applyFont="1" applyBorder="1" applyAlignment="1">
      <alignment horizontal="right" vertical="center"/>
    </xf>
    <xf numFmtId="0" fontId="24" fillId="0" borderId="30" xfId="0" applyFont="1" applyBorder="1" applyAlignment="1">
      <alignment horizontal="right"/>
    </xf>
    <xf numFmtId="0" fontId="24" fillId="0" borderId="0" xfId="0" applyFont="1" applyAlignment="1">
      <alignment horizontal="right"/>
    </xf>
    <xf numFmtId="0" fontId="24" fillId="0" borderId="22" xfId="0" applyFont="1" applyBorder="1" applyAlignment="1">
      <alignment horizontal="right"/>
    </xf>
    <xf numFmtId="0" fontId="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right"/>
    </xf>
    <xf numFmtId="0" fontId="16" fillId="0" borderId="12" xfId="0" applyFont="1" applyBorder="1" applyAlignment="1">
      <alignment horizontal="right"/>
    </xf>
    <xf numFmtId="0" fontId="10" fillId="0" borderId="27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right" vertical="center" wrapText="1"/>
    </xf>
    <xf numFmtId="0" fontId="7" fillId="4" borderId="44" xfId="0" applyFont="1" applyFill="1" applyBorder="1" applyAlignment="1">
      <alignment horizontal="right"/>
    </xf>
    <xf numFmtId="0" fontId="7" fillId="4" borderId="20" xfId="0" applyFont="1" applyFill="1" applyBorder="1" applyAlignment="1">
      <alignment horizontal="right"/>
    </xf>
    <xf numFmtId="0" fontId="38" fillId="0" borderId="0" xfId="0" applyFont="1" applyAlignment="1">
      <alignment horizontal="right"/>
    </xf>
    <xf numFmtId="0" fontId="46" fillId="0" borderId="0" xfId="0" applyFont="1" applyAlignment="1">
      <alignment horizontal="right"/>
    </xf>
    <xf numFmtId="0" fontId="38" fillId="0" borderId="27" xfId="0" applyFont="1" applyBorder="1" applyAlignment="1">
      <alignment horizontal="right"/>
    </xf>
    <xf numFmtId="0" fontId="17" fillId="4" borderId="44" xfId="0" applyFont="1" applyFill="1" applyBorder="1" applyAlignment="1">
      <alignment horizontal="center"/>
    </xf>
    <xf numFmtId="0" fontId="17" fillId="4" borderId="20" xfId="0" applyFont="1" applyFill="1" applyBorder="1" applyAlignment="1">
      <alignment horizontal="center"/>
    </xf>
    <xf numFmtId="0" fontId="38" fillId="0" borderId="12" xfId="0" applyFont="1" applyBorder="1" applyAlignment="1">
      <alignment horizontal="right"/>
    </xf>
    <xf numFmtId="0" fontId="19" fillId="0" borderId="0" xfId="0" applyFont="1" applyAlignment="1">
      <alignment horizontal="right"/>
    </xf>
    <xf numFmtId="0" fontId="19" fillId="0" borderId="22" xfId="0" applyFont="1" applyBorder="1" applyAlignment="1">
      <alignment horizontal="right"/>
    </xf>
    <xf numFmtId="0" fontId="34" fillId="0" borderId="44" xfId="0" applyFont="1" applyBorder="1" applyAlignment="1">
      <alignment horizontal="center"/>
    </xf>
    <xf numFmtId="0" fontId="34" fillId="0" borderId="20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0" borderId="47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right" vertical="center" wrapText="1"/>
    </xf>
  </cellXfs>
  <cellStyles count="7">
    <cellStyle name="Millares" xfId="1" builtinId="3"/>
    <cellStyle name="Millares [0]" xfId="2" builtinId="6"/>
    <cellStyle name="Normal" xfId="0" builtinId="0"/>
    <cellStyle name="Normal 2" xfId="3" xr:uid="{2D25AA09-6A28-4755-95C9-0E43401C51B1}"/>
    <cellStyle name="Normal 3" xfId="6" xr:uid="{46173A79-E9F1-4E67-9E21-B6690825D0A6}"/>
    <cellStyle name="Normal_CRITERIOS DE EVALUACION PT DE GB 2 2" xfId="4" xr:uid="{EA5CA62F-409F-43B8-8DCE-EC6DBE0FBB5F}"/>
    <cellStyle name="Porcentaje 2" xfId="5" xr:uid="{7381BD44-01AD-4B0E-B31B-6B331D6BB4F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arodriguez/Desktop/recetas%20icg%20proyecto/Prueba%20Alejandro.xls" TargetMode="External"/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COSTOS%202013/LISTA%20COSTOS%20ALE.xls" TargetMode="External"/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eramirez/AppData/Local/Microsoft/Windows/INetCache/Content.Outlook/PI8WNOAL/Copia%20de%20ESP-RE-POS-051(02)%20Tres%20leches%20%20Chilena%20Ensamble%20800g%2096295.xlsx" TargetMode="External"/><Relationship Id="rId1" Type="http://schemas.openxmlformats.org/officeDocument/2006/relationships/externalLinkPath" Target="/Users/eramirez/AppData/Local/Microsoft/Windows/INetCache/Content.Outlook/PI8WNOAL/Copia%20de%20ESP-RE-POS-051(02)%20Tres%20leches%20%20Chilena%20Ensamble%20800g%209629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</sheetNames>
    <sheetDataSet>
      <sheetData sheetId="0" refreshError="1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315302</v>
          </cell>
          <cell r="K2">
            <v>454</v>
          </cell>
          <cell r="L2">
            <v>5.4669603524229071</v>
          </cell>
          <cell r="M2" t="str">
            <v>Gramos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>
            <v>317520</v>
          </cell>
          <cell r="K3">
            <v>70</v>
          </cell>
          <cell r="L3">
            <v>14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750</v>
          </cell>
          <cell r="J4">
            <v>540075</v>
          </cell>
          <cell r="K4">
            <v>24</v>
          </cell>
          <cell r="L4">
            <v>31.25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1898515.5</v>
          </cell>
          <cell r="K5">
            <v>1000</v>
          </cell>
          <cell r="L5">
            <v>3.8069999999999999</v>
          </cell>
          <cell r="M5" t="str">
            <v>Gramos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900</v>
          </cell>
          <cell r="J6">
            <v>63200</v>
          </cell>
          <cell r="K6">
            <v>1000</v>
          </cell>
          <cell r="L6">
            <v>0.9</v>
          </cell>
          <cell r="M6" t="str">
            <v>Gramos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2210</v>
          </cell>
          <cell r="J7">
            <v>233308</v>
          </cell>
          <cell r="K7">
            <v>1000</v>
          </cell>
          <cell r="L7">
            <v>2.21</v>
          </cell>
          <cell r="M7" t="str">
            <v>Gramos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1872</v>
          </cell>
          <cell r="J8">
            <v>24718527</v>
          </cell>
          <cell r="K8">
            <v>1000</v>
          </cell>
          <cell r="L8">
            <v>1.8720000000000001</v>
          </cell>
          <cell r="M8" t="str">
            <v>Gramos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1231</v>
          </cell>
          <cell r="J9">
            <v>3706917.5</v>
          </cell>
          <cell r="K9">
            <v>1000</v>
          </cell>
          <cell r="L9">
            <v>1.2310000000000001</v>
          </cell>
          <cell r="M9" t="str">
            <v>Gramos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1489160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450795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>
            <v>4500</v>
          </cell>
          <cell r="L12" t="e">
            <v>#DIV/0!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571255.26</v>
          </cell>
          <cell r="K13">
            <v>1000</v>
          </cell>
          <cell r="L13">
            <v>1.0289999999999999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2493524.1854854398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15/06/2020</v>
          </cell>
          <cell r="I15">
            <v>359</v>
          </cell>
          <cell r="J15">
            <v>674311</v>
          </cell>
          <cell r="K15">
            <v>100</v>
          </cell>
          <cell r="L15">
            <v>3.59</v>
          </cell>
          <cell r="M15" t="str">
            <v>Gramos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687</v>
          </cell>
          <cell r="J16">
            <v>2805241</v>
          </cell>
          <cell r="K16">
            <v>250</v>
          </cell>
          <cell r="L16">
            <v>2.7480000000000002</v>
          </cell>
          <cell r="M16" t="str">
            <v>Gramos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2051</v>
          </cell>
          <cell r="J17">
            <v>672366.75</v>
          </cell>
          <cell r="K17">
            <v>250</v>
          </cell>
          <cell r="L17">
            <v>8.2040000000000006</v>
          </cell>
          <cell r="M17" t="str">
            <v>Gramos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15/06/2020</v>
          </cell>
          <cell r="I18">
            <v>1464.7</v>
          </cell>
          <cell r="J18">
            <v>2879884</v>
          </cell>
          <cell r="K18">
            <v>500</v>
          </cell>
          <cell r="L18">
            <v>2.9294000000000002</v>
          </cell>
          <cell r="M18" t="str">
            <v>Gramos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12/06/2020</v>
          </cell>
          <cell r="I19">
            <v>2425</v>
          </cell>
          <cell r="J19">
            <v>10100125</v>
          </cell>
          <cell r="K19">
            <v>1000</v>
          </cell>
          <cell r="L19">
            <v>2.4249999999999998</v>
          </cell>
          <cell r="M19" t="str">
            <v>Gramos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12/03/2020</v>
          </cell>
          <cell r="I20">
            <v>900</v>
          </cell>
          <cell r="J20">
            <v>2778460</v>
          </cell>
          <cell r="K20">
            <v>1000</v>
          </cell>
          <cell r="L20">
            <v>0.9</v>
          </cell>
          <cell r="M20" t="str">
            <v>Gramos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15/06/2020</v>
          </cell>
          <cell r="I21">
            <v>3335</v>
          </cell>
          <cell r="J21">
            <v>2070810</v>
          </cell>
          <cell r="K21">
            <v>1000</v>
          </cell>
          <cell r="L21">
            <v>3.335</v>
          </cell>
          <cell r="M21" t="str">
            <v>Gramos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  <cell r="H22" t="str">
            <v>08/06/2020</v>
          </cell>
          <cell r="I22">
            <v>3416</v>
          </cell>
          <cell r="J22">
            <v>347345</v>
          </cell>
          <cell r="K22">
            <v>2840</v>
          </cell>
          <cell r="L22">
            <v>1.2028169014084507</v>
          </cell>
          <cell r="M22" t="str">
            <v>Gramos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  <cell r="H23" t="str">
            <v>15/06/2020</v>
          </cell>
          <cell r="I23">
            <v>1121.7</v>
          </cell>
          <cell r="J23">
            <v>6620073</v>
          </cell>
          <cell r="K23">
            <v>500</v>
          </cell>
          <cell r="L23">
            <v>2.2434000000000003</v>
          </cell>
          <cell r="M23" t="str">
            <v>Gramos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  <cell r="H24" t="str">
            <v>15/06/2020</v>
          </cell>
          <cell r="I24">
            <v>224.91</v>
          </cell>
          <cell r="J24">
            <v>8672705</v>
          </cell>
          <cell r="K24">
            <v>1</v>
          </cell>
          <cell r="L24">
            <v>224.91</v>
          </cell>
          <cell r="M24" t="str">
            <v>und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  <cell r="H25" t="str">
            <v>08/06/2020</v>
          </cell>
          <cell r="I25">
            <v>90646.25</v>
          </cell>
          <cell r="J25">
            <v>1528712.75</v>
          </cell>
          <cell r="K25">
            <v>25000</v>
          </cell>
          <cell r="L25">
            <v>3.6258499999999998</v>
          </cell>
          <cell r="M25" t="str">
            <v>Gramos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15/06/2020</v>
          </cell>
          <cell r="I26">
            <v>1046.5</v>
          </cell>
          <cell r="J26">
            <v>19549245</v>
          </cell>
          <cell r="K26">
            <v>500</v>
          </cell>
          <cell r="L26">
            <v>2.093</v>
          </cell>
          <cell r="M26" t="str">
            <v>Gramos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13/06/2020</v>
          </cell>
          <cell r="I27">
            <v>893.8</v>
          </cell>
          <cell r="J27">
            <v>2798220</v>
          </cell>
          <cell r="K27">
            <v>500</v>
          </cell>
          <cell r="L27">
            <v>1.7875999999999999</v>
          </cell>
          <cell r="M27" t="str">
            <v>Gramos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  <cell r="H28" t="str">
            <v>08/06/2020</v>
          </cell>
          <cell r="I28">
            <v>2000</v>
          </cell>
          <cell r="J28">
            <v>6988200</v>
          </cell>
          <cell r="K28">
            <v>1000</v>
          </cell>
          <cell r="L28">
            <v>2</v>
          </cell>
          <cell r="M28" t="str">
            <v>Gramos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1584.1</v>
          </cell>
          <cell r="J29">
            <v>3500103</v>
          </cell>
          <cell r="K29">
            <v>1000</v>
          </cell>
          <cell r="L29">
            <v>1.5840999999999998</v>
          </cell>
          <cell r="M29" t="str">
            <v>Gramos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  <cell r="H30" t="str">
            <v>15/06/2020</v>
          </cell>
          <cell r="I30">
            <v>680</v>
          </cell>
          <cell r="J30">
            <v>13077711.15</v>
          </cell>
          <cell r="K30">
            <v>1000</v>
          </cell>
          <cell r="L30">
            <v>0.68</v>
          </cell>
          <cell r="M30" t="str">
            <v>Gramos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  <cell r="H31" t="str">
            <v>15/06/2020</v>
          </cell>
          <cell r="I31">
            <v>1841</v>
          </cell>
          <cell r="J31">
            <v>5168379.5</v>
          </cell>
          <cell r="K31">
            <v>1000</v>
          </cell>
          <cell r="L31">
            <v>1.841</v>
          </cell>
          <cell r="M31" t="str">
            <v>Gramos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  <cell r="H32" t="str">
            <v>13/06/2020</v>
          </cell>
          <cell r="I32">
            <v>615</v>
          </cell>
          <cell r="J32">
            <v>226705</v>
          </cell>
          <cell r="K32">
            <v>1000</v>
          </cell>
          <cell r="L32">
            <v>0.61499999999999999</v>
          </cell>
          <cell r="M32" t="str">
            <v>Gramos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  <cell r="H33" t="str">
            <v>04/06/2020</v>
          </cell>
          <cell r="I33">
            <v>1020</v>
          </cell>
          <cell r="J33">
            <v>30325</v>
          </cell>
          <cell r="K33">
            <v>1000</v>
          </cell>
          <cell r="L33">
            <v>1.02</v>
          </cell>
          <cell r="M33" t="str">
            <v>Gramos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14/05/2020</v>
          </cell>
          <cell r="I34">
            <v>575</v>
          </cell>
          <cell r="J34">
            <v>96024.946139795007</v>
          </cell>
          <cell r="K34">
            <v>1000</v>
          </cell>
          <cell r="L34">
            <v>0.57499999999999996</v>
          </cell>
          <cell r="M34" t="str">
            <v>Gramos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5251</v>
          </cell>
          <cell r="J35">
            <v>1577342</v>
          </cell>
          <cell r="K35">
            <v>1000</v>
          </cell>
          <cell r="L35">
            <v>5.2510000000000003</v>
          </cell>
          <cell r="M35" t="str">
            <v>Gramos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  <cell r="H36" t="str">
            <v>11/06/2020</v>
          </cell>
          <cell r="I36">
            <v>2472.6666666666702</v>
          </cell>
          <cell r="J36">
            <v>1159264.8</v>
          </cell>
          <cell r="K36">
            <v>200</v>
          </cell>
          <cell r="L36">
            <v>12.363333333333351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16/06/2020</v>
          </cell>
          <cell r="I37">
            <v>1500</v>
          </cell>
          <cell r="J37">
            <v>507000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  <cell r="H38" t="str">
            <v>04/06/2020</v>
          </cell>
          <cell r="I38">
            <v>1500</v>
          </cell>
          <cell r="J38">
            <v>109500</v>
          </cell>
          <cell r="K38">
            <v>1000</v>
          </cell>
          <cell r="L38">
            <v>1.5</v>
          </cell>
          <cell r="M38" t="str">
            <v>Gramos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30/05/2020</v>
          </cell>
          <cell r="I39">
            <v>1474</v>
          </cell>
          <cell r="J39">
            <v>1891646.5</v>
          </cell>
          <cell r="K39">
            <v>1000</v>
          </cell>
          <cell r="L39">
            <v>1.474</v>
          </cell>
          <cell r="M39" t="str">
            <v>Gramos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  <cell r="H40" t="str">
            <v>16/06/2020</v>
          </cell>
          <cell r="I40">
            <v>5500</v>
          </cell>
          <cell r="J40">
            <v>57750</v>
          </cell>
          <cell r="K40">
            <v>1000</v>
          </cell>
          <cell r="L40">
            <v>5.5</v>
          </cell>
          <cell r="M40" t="str">
            <v>Gramos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08/06/2020</v>
          </cell>
          <cell r="I41">
            <v>17623</v>
          </cell>
          <cell r="J41">
            <v>2152118</v>
          </cell>
          <cell r="K41">
            <v>250</v>
          </cell>
          <cell r="L41">
            <v>70.492000000000004</v>
          </cell>
          <cell r="M41" t="str">
            <v>UND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  <cell r="H42" t="str">
            <v>15/06/2020</v>
          </cell>
          <cell r="I42">
            <v>24141</v>
          </cell>
          <cell r="J42">
            <v>63585505</v>
          </cell>
          <cell r="K42">
            <v>50</v>
          </cell>
          <cell r="L42">
            <v>482.82</v>
          </cell>
          <cell r="M42" t="str">
            <v>UND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  <cell r="H43" t="str">
            <v>08/06/2020</v>
          </cell>
          <cell r="I43">
            <v>2211</v>
          </cell>
          <cell r="J43">
            <v>55091</v>
          </cell>
          <cell r="K43">
            <v>141</v>
          </cell>
          <cell r="L43">
            <v>15.680851063829786</v>
          </cell>
          <cell r="M43" t="str">
            <v>Gramos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13/06/2020</v>
          </cell>
          <cell r="I44">
            <v>5900</v>
          </cell>
          <cell r="J44">
            <v>20504863.039999999</v>
          </cell>
          <cell r="K44">
            <v>1000</v>
          </cell>
          <cell r="L44">
            <v>5.9</v>
          </cell>
          <cell r="M44" t="str">
            <v>Gramos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02/06/2020</v>
          </cell>
          <cell r="I45">
            <v>2195</v>
          </cell>
          <cell r="J45">
            <v>192501.5</v>
          </cell>
          <cell r="K45">
            <v>1000</v>
          </cell>
          <cell r="L45">
            <v>2.1949999999999998</v>
          </cell>
          <cell r="M45" t="str">
            <v>Gramos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30/05/2020</v>
          </cell>
          <cell r="I46">
            <v>3495</v>
          </cell>
          <cell r="J46">
            <v>2800623</v>
          </cell>
          <cell r="K46">
            <v>1000</v>
          </cell>
          <cell r="L46">
            <v>3.4950000000000001</v>
          </cell>
          <cell r="M46" t="str">
            <v>Gramos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PAQ</v>
          </cell>
          <cell r="G47">
            <v>500</v>
          </cell>
          <cell r="H47" t="str">
            <v>21/03/2020</v>
          </cell>
          <cell r="I47">
            <v>234</v>
          </cell>
          <cell r="J47">
            <v>31260.731194690299</v>
          </cell>
          <cell r="K47">
            <v>1000</v>
          </cell>
          <cell r="L47" t="e">
            <v>#DIV/0!</v>
          </cell>
          <cell r="M47" t="str">
            <v>Gramos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28/12/2019</v>
          </cell>
          <cell r="I48">
            <v>4995</v>
          </cell>
          <cell r="J48">
            <v>4235000</v>
          </cell>
          <cell r="K48">
            <v>1000</v>
          </cell>
          <cell r="L48">
            <v>4.9950000000000001</v>
          </cell>
          <cell r="M48" t="str">
            <v>Gramos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04/06/2020</v>
          </cell>
          <cell r="I49">
            <v>2190</v>
          </cell>
          <cell r="J49">
            <v>734416.5</v>
          </cell>
          <cell r="K49">
            <v>1000</v>
          </cell>
          <cell r="L49">
            <v>2.19</v>
          </cell>
          <cell r="M49" t="str">
            <v>Gramos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13/06/2020</v>
          </cell>
          <cell r="I50">
            <v>3395</v>
          </cell>
          <cell r="J50">
            <v>6855255.7999999998</v>
          </cell>
          <cell r="K50">
            <v>1000</v>
          </cell>
          <cell r="L50">
            <v>3.395</v>
          </cell>
          <cell r="M50" t="str">
            <v>Gramos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  <cell r="H51" t="str">
            <v>13/04/2020</v>
          </cell>
          <cell r="I51">
            <v>4395</v>
          </cell>
          <cell r="J51">
            <v>441314.5</v>
          </cell>
          <cell r="K51">
            <v>1000</v>
          </cell>
          <cell r="L51">
            <v>4.3949999999999996</v>
          </cell>
          <cell r="M51" t="str">
            <v>Gramos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18/02/2020</v>
          </cell>
          <cell r="I52">
            <v>3775</v>
          </cell>
          <cell r="J52">
            <v>168742.5</v>
          </cell>
          <cell r="K52">
            <v>1000</v>
          </cell>
          <cell r="L52">
            <v>3.7749999999999999</v>
          </cell>
          <cell r="M52" t="str">
            <v>Gramos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06/05/2020</v>
          </cell>
          <cell r="I53">
            <v>3550</v>
          </cell>
          <cell r="J53">
            <v>478540</v>
          </cell>
          <cell r="K53">
            <v>1000</v>
          </cell>
          <cell r="L53">
            <v>3.55</v>
          </cell>
          <cell r="M53" t="str">
            <v>Gramos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21/05/2020</v>
          </cell>
          <cell r="I54">
            <v>3550</v>
          </cell>
          <cell r="J54">
            <v>324115</v>
          </cell>
          <cell r="K54">
            <v>1000</v>
          </cell>
          <cell r="L54">
            <v>3.55</v>
          </cell>
          <cell r="M54" t="str">
            <v>Gramos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15/06/2020</v>
          </cell>
          <cell r="I55">
            <v>2360</v>
          </cell>
          <cell r="J55">
            <v>45151624</v>
          </cell>
          <cell r="K55">
            <v>1000</v>
          </cell>
          <cell r="L55">
            <v>2.36</v>
          </cell>
          <cell r="M55" t="str">
            <v>Gramos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  <cell r="H56" t="str">
            <v>17/12/2019</v>
          </cell>
          <cell r="I56">
            <v>1545</v>
          </cell>
          <cell r="J56">
            <v>461491.5</v>
          </cell>
          <cell r="K56">
            <v>1000</v>
          </cell>
          <cell r="L56">
            <v>1.5449999999999999</v>
          </cell>
          <cell r="M56" t="str">
            <v>Gramos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06/06/2020</v>
          </cell>
          <cell r="I57">
            <v>3790</v>
          </cell>
          <cell r="J57">
            <v>530535</v>
          </cell>
          <cell r="K57">
            <v>1000</v>
          </cell>
          <cell r="L57">
            <v>3.79</v>
          </cell>
          <cell r="M57" t="str">
            <v>Gramos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  <cell r="H58" t="str">
            <v>15/06/2020</v>
          </cell>
          <cell r="I58">
            <v>75611</v>
          </cell>
          <cell r="J58">
            <v>23543600.5</v>
          </cell>
          <cell r="K58">
            <v>25000</v>
          </cell>
          <cell r="L58">
            <v>3.0244399999999998</v>
          </cell>
          <cell r="M58" t="str">
            <v>Gramos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  <cell r="H59" t="str">
            <v>15/06/2020</v>
          </cell>
          <cell r="I59">
            <v>7622</v>
          </cell>
          <cell r="J59">
            <v>17034100.631700002</v>
          </cell>
          <cell r="K59">
            <v>1000</v>
          </cell>
          <cell r="L59">
            <v>7.6219999999999999</v>
          </cell>
          <cell r="M59" t="str">
            <v>Gramos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  <cell r="H60" t="str">
            <v>15/06/2020</v>
          </cell>
          <cell r="I60">
            <v>18359</v>
          </cell>
          <cell r="J60">
            <v>6151530</v>
          </cell>
          <cell r="K60">
            <v>2000</v>
          </cell>
          <cell r="L60">
            <v>9.1795000000000009</v>
          </cell>
          <cell r="M60" t="str">
            <v>Gramos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18/05/2020</v>
          </cell>
          <cell r="I61">
            <v>10763.6526908</v>
          </cell>
          <cell r="J61">
            <v>9185385.2526387908</v>
          </cell>
          <cell r="K61">
            <v>1000</v>
          </cell>
          <cell r="L61">
            <v>10.763652690799999</v>
          </cell>
          <cell r="M61" t="str">
            <v>Gramos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  <cell r="H62" t="str">
            <v>15/06/2020</v>
          </cell>
          <cell r="I62">
            <v>4000</v>
          </cell>
          <cell r="J62">
            <v>969039.38242799998</v>
          </cell>
          <cell r="K62">
            <v>1000</v>
          </cell>
          <cell r="L62">
            <v>4</v>
          </cell>
          <cell r="M62" t="str">
            <v>Gramos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  <cell r="H63" t="str">
            <v>12/06/2020</v>
          </cell>
          <cell r="I63">
            <v>65957</v>
          </cell>
          <cell r="J63">
            <v>1253207</v>
          </cell>
          <cell r="K63">
            <v>25000</v>
          </cell>
          <cell r="L63">
            <v>2.63828</v>
          </cell>
          <cell r="M63" t="str">
            <v>Gramos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  <cell r="H64" t="str">
            <v>15/06/2020</v>
          </cell>
          <cell r="I64">
            <v>7890</v>
          </cell>
          <cell r="J64">
            <v>91229916</v>
          </cell>
          <cell r="K64">
            <v>4000</v>
          </cell>
          <cell r="L64">
            <v>1.9724999999999999</v>
          </cell>
          <cell r="M64" t="str">
            <v>Gramos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  <cell r="H65" t="str">
            <v>15/06/2020</v>
          </cell>
          <cell r="I65">
            <v>23473</v>
          </cell>
          <cell r="J65">
            <v>13742988</v>
          </cell>
          <cell r="K65">
            <v>12000</v>
          </cell>
          <cell r="L65">
            <v>1.9560833333333334</v>
          </cell>
          <cell r="M65" t="str">
            <v>Gramos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  <cell r="H66" t="str">
            <v>15/06/2020</v>
          </cell>
          <cell r="I66">
            <v>4335</v>
          </cell>
          <cell r="J66">
            <v>5596424.7000000002</v>
          </cell>
          <cell r="K66">
            <v>500</v>
          </cell>
          <cell r="L66">
            <v>8.67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  <cell r="H67" t="str">
            <v>13/04/2020</v>
          </cell>
          <cell r="I67" t="e">
            <v>#N/A</v>
          </cell>
          <cell r="J67">
            <v>3089612.2996</v>
          </cell>
          <cell r="K67">
            <v>10000</v>
          </cell>
          <cell r="L67" t="e">
            <v>#N/A</v>
          </cell>
          <cell r="M67" t="str">
            <v>Mililitros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04/05/2020</v>
          </cell>
          <cell r="I68" t="e">
            <v>#N/A</v>
          </cell>
          <cell r="J68">
            <v>5559301.8899999997</v>
          </cell>
          <cell r="K68">
            <v>1000</v>
          </cell>
          <cell r="L68" t="e">
            <v>#N/A</v>
          </cell>
          <cell r="M68" t="str">
            <v>Gramos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21/03/2020</v>
          </cell>
          <cell r="I69">
            <v>13719</v>
          </cell>
          <cell r="J69">
            <v>123600</v>
          </cell>
          <cell r="K69">
            <v>5000</v>
          </cell>
          <cell r="L69">
            <v>2.7437999999999998</v>
          </cell>
          <cell r="M69" t="str">
            <v>Gramos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23/03/2020</v>
          </cell>
          <cell r="I70" t="e">
            <v>#N/A</v>
          </cell>
          <cell r="J70">
            <v>1008592</v>
          </cell>
          <cell r="K70">
            <v>1000</v>
          </cell>
          <cell r="L70" t="e">
            <v>#N/A</v>
          </cell>
          <cell r="M70" t="str">
            <v>Gramos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12/06/2020</v>
          </cell>
          <cell r="I71">
            <v>7341</v>
          </cell>
          <cell r="J71">
            <v>1548951</v>
          </cell>
          <cell r="K71">
            <v>5000</v>
          </cell>
          <cell r="L71">
            <v>1.4681999999999999</v>
          </cell>
          <cell r="M71" t="str">
            <v>Gramos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16/06/2020</v>
          </cell>
          <cell r="I72">
            <v>3697</v>
          </cell>
          <cell r="J72">
            <v>174281903.68000001</v>
          </cell>
          <cell r="K72">
            <v>1000</v>
          </cell>
          <cell r="L72">
            <v>3.6970000000000001</v>
          </cell>
          <cell r="M72" t="str">
            <v>Gramos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27267702.25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04/05/2020</v>
          </cell>
          <cell r="I74" t="e">
            <v>#N/A</v>
          </cell>
          <cell r="J74">
            <v>6154064.5999999996</v>
          </cell>
          <cell r="K74">
            <v>1000</v>
          </cell>
          <cell r="L74" t="e">
            <v>#N/A</v>
          </cell>
          <cell r="M74" t="str">
            <v>Gramos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15/06/2020</v>
          </cell>
          <cell r="I75">
            <v>3335</v>
          </cell>
          <cell r="J75">
            <v>33770243.350000001</v>
          </cell>
          <cell r="K75">
            <v>1000</v>
          </cell>
          <cell r="L75">
            <v>3.335</v>
          </cell>
          <cell r="M75" t="str">
            <v>Gramos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04/05/2020</v>
          </cell>
          <cell r="I76" t="e">
            <v>#N/A</v>
          </cell>
          <cell r="J76">
            <v>16008094.18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11/05/2020</v>
          </cell>
          <cell r="I77" t="e">
            <v>#N/A</v>
          </cell>
          <cell r="J77">
            <v>177190.8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06/05/2020</v>
          </cell>
          <cell r="I78" t="e">
            <v>#N/A</v>
          </cell>
          <cell r="J78">
            <v>4618424</v>
          </cell>
          <cell r="K78">
            <v>1000</v>
          </cell>
          <cell r="L78" t="e">
            <v>#N/A</v>
          </cell>
          <cell r="M78" t="str">
            <v>Gramos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03/03/2020</v>
          </cell>
          <cell r="I79">
            <v>895</v>
          </cell>
          <cell r="J79">
            <v>4475</v>
          </cell>
          <cell r="K79">
            <v>395</v>
          </cell>
          <cell r="L79">
            <v>2.2658227848101267</v>
          </cell>
          <cell r="M79" t="str">
            <v>Gramos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  <cell r="H80" t="str">
            <v>10/06/2020</v>
          </cell>
          <cell r="I80">
            <v>39012</v>
          </cell>
          <cell r="J80">
            <v>1716753</v>
          </cell>
          <cell r="K80">
            <v>9520</v>
          </cell>
          <cell r="L80">
            <v>4.0978991596638652</v>
          </cell>
          <cell r="M80" t="str">
            <v>Gramos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  <cell r="H81" t="str">
            <v>09/06/2020</v>
          </cell>
          <cell r="I81">
            <v>10515.04</v>
          </cell>
          <cell r="J81">
            <v>2586690</v>
          </cell>
          <cell r="K81">
            <v>15000</v>
          </cell>
          <cell r="L81">
            <v>0.70100266666666677</v>
          </cell>
          <cell r="M81" t="str">
            <v>Gramos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  <cell r="H82" t="str">
            <v>11/06/2020</v>
          </cell>
          <cell r="I82">
            <v>11395.5</v>
          </cell>
          <cell r="J82">
            <v>3790548</v>
          </cell>
          <cell r="K82">
            <v>25000</v>
          </cell>
          <cell r="L82">
            <v>0.45582</v>
          </cell>
          <cell r="M82" t="str">
            <v>Gramos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  <cell r="H83" t="str">
            <v>10/06/2020</v>
          </cell>
          <cell r="I83">
            <v>3240</v>
          </cell>
          <cell r="J83">
            <v>194400</v>
          </cell>
          <cell r="K83">
            <v>5000</v>
          </cell>
          <cell r="L83">
            <v>0.64800000000000002</v>
          </cell>
          <cell r="M83" t="str">
            <v>Gramos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  <cell r="H84" t="str">
            <v>06/05/2020</v>
          </cell>
          <cell r="I84">
            <v>6130.3</v>
          </cell>
          <cell r="J84">
            <v>114770.258</v>
          </cell>
          <cell r="K84">
            <v>1000</v>
          </cell>
          <cell r="L84">
            <v>6.1303000000000001</v>
          </cell>
          <cell r="M84" t="str">
            <v>Gramos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  <cell r="H85" t="str">
            <v>18/05/2020</v>
          </cell>
          <cell r="I85">
            <v>5</v>
          </cell>
          <cell r="J85">
            <v>152402.6</v>
          </cell>
          <cell r="K85">
            <v>1000</v>
          </cell>
          <cell r="L85">
            <v>5.0000000000000001E-3</v>
          </cell>
          <cell r="M85" t="str">
            <v>Gramos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15/06/2020</v>
          </cell>
          <cell r="I86">
            <v>63226</v>
          </cell>
          <cell r="J86">
            <v>4412088.2621999998</v>
          </cell>
          <cell r="K86">
            <v>11340</v>
          </cell>
          <cell r="L86">
            <v>5.5754850088183421</v>
          </cell>
          <cell r="M86" t="str">
            <v>Gramos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  <cell r="H87" t="str">
            <v>24/12/2019</v>
          </cell>
          <cell r="I87">
            <v>69003</v>
          </cell>
          <cell r="J87">
            <v>199956.51</v>
          </cell>
          <cell r="K87">
            <v>12000</v>
          </cell>
          <cell r="L87">
            <v>5.7502500000000003</v>
          </cell>
          <cell r="M87" t="str">
            <v>Gramos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  <cell r="H88" t="str">
            <v>12/06/2020</v>
          </cell>
          <cell r="I88">
            <v>17094</v>
          </cell>
          <cell r="J88">
            <v>7899141</v>
          </cell>
          <cell r="K88">
            <v>21600</v>
          </cell>
          <cell r="L88">
            <v>0.79138888888888892</v>
          </cell>
          <cell r="M88" t="str">
            <v>Gramos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  <cell r="H89" t="str">
            <v>05/06/2020</v>
          </cell>
          <cell r="I89">
            <v>1788</v>
          </cell>
          <cell r="J89">
            <v>337932</v>
          </cell>
          <cell r="K89">
            <v>2000</v>
          </cell>
          <cell r="L89">
            <v>0.89400000000000002</v>
          </cell>
          <cell r="M89" t="str">
            <v>Gramos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11/12/2019</v>
          </cell>
          <cell r="I90">
            <v>28020</v>
          </cell>
          <cell r="J90">
            <v>8685</v>
          </cell>
          <cell r="K90">
            <v>10000</v>
          </cell>
          <cell r="L90">
            <v>2.802</v>
          </cell>
          <cell r="M90" t="str">
            <v>Gramos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  <cell r="H91" t="str">
            <v>16/01/2020</v>
          </cell>
          <cell r="I91">
            <v>34.5</v>
          </cell>
          <cell r="J91">
            <v>273906.8</v>
          </cell>
          <cell r="K91">
            <v>10000</v>
          </cell>
          <cell r="L91">
            <v>3.4499999999999999E-3</v>
          </cell>
          <cell r="M91" t="str">
            <v>Gramos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15/06/2020</v>
          </cell>
          <cell r="I92">
            <v>4.5</v>
          </cell>
          <cell r="J92">
            <v>1337134.875</v>
          </cell>
          <cell r="K92">
            <v>1000</v>
          </cell>
          <cell r="L92">
            <v>4.4999999999999997E-3</v>
          </cell>
          <cell r="M92" t="str">
            <v>Gramos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3.5640000000000001</v>
          </cell>
          <cell r="J93">
            <v>519080.4</v>
          </cell>
          <cell r="K93">
            <v>1000</v>
          </cell>
          <cell r="L93">
            <v>3.5639999999999999E-3</v>
          </cell>
          <cell r="M93" t="str">
            <v>Gramos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  <cell r="H94" t="str">
            <v>13/06/2020</v>
          </cell>
          <cell r="I94">
            <v>2798.76</v>
          </cell>
          <cell r="J94">
            <v>69138.75</v>
          </cell>
          <cell r="K94">
            <v>1000</v>
          </cell>
          <cell r="L94">
            <v>2.7987600000000001</v>
          </cell>
          <cell r="M94" t="str">
            <v>Gramos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  <cell r="H95" t="str">
            <v>27/02/2020</v>
          </cell>
          <cell r="I95">
            <v>16860</v>
          </cell>
          <cell r="J95">
            <v>-17420</v>
          </cell>
          <cell r="K95">
            <v>10000</v>
          </cell>
          <cell r="L95">
            <v>1.6859999999999999</v>
          </cell>
          <cell r="M95" t="str">
            <v>Gramos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  <cell r="H96" t="str">
            <v>15/06/2020</v>
          </cell>
          <cell r="I96">
            <v>9071</v>
          </cell>
          <cell r="J96">
            <v>2766655</v>
          </cell>
          <cell r="K96">
            <v>1000</v>
          </cell>
          <cell r="L96">
            <v>9.0709999999999997</v>
          </cell>
          <cell r="M96" t="str">
            <v>Gramos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  <cell r="H97" t="str">
            <v>11/06/2020</v>
          </cell>
          <cell r="I97">
            <v>11791.5</v>
          </cell>
          <cell r="J97">
            <v>3951255</v>
          </cell>
          <cell r="K97">
            <v>25000</v>
          </cell>
          <cell r="L97">
            <v>0.47166000000000002</v>
          </cell>
          <cell r="M97" t="str">
            <v>Gramos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03/06/2020</v>
          </cell>
          <cell r="I98">
            <v>2975.52</v>
          </cell>
          <cell r="J98">
            <v>4815998.8683120003</v>
          </cell>
          <cell r="K98">
            <v>4500</v>
          </cell>
          <cell r="L98">
            <v>0.66122666666666663</v>
          </cell>
          <cell r="M98" t="str">
            <v>Gramos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13/06/2020</v>
          </cell>
          <cell r="I99">
            <v>9072</v>
          </cell>
          <cell r="J99">
            <v>7831509</v>
          </cell>
          <cell r="K99">
            <v>800</v>
          </cell>
          <cell r="L99">
            <v>11.34</v>
          </cell>
          <cell r="M99" t="str">
            <v>Gramos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  <cell r="H100" t="str">
            <v>15/06/2020</v>
          </cell>
          <cell r="I100">
            <v>59.43</v>
          </cell>
          <cell r="J100">
            <v>356811.77260000003</v>
          </cell>
          <cell r="K100">
            <v>13600</v>
          </cell>
          <cell r="L100">
            <v>4.3698529411764706E-3</v>
          </cell>
          <cell r="M100" t="str">
            <v>Gramos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  <cell r="H101" t="str">
            <v>04/06/2020</v>
          </cell>
          <cell r="I101" t="e">
            <v>#N/A</v>
          </cell>
          <cell r="J101">
            <v>736200</v>
          </cell>
          <cell r="K101">
            <v>1000</v>
          </cell>
          <cell r="L101" t="e">
            <v>#N/A</v>
          </cell>
          <cell r="M101" t="str">
            <v>Gramos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09/06/2020</v>
          </cell>
          <cell r="I102">
            <v>30803</v>
          </cell>
          <cell r="J102">
            <v>1456502.3298484399</v>
          </cell>
          <cell r="K102">
            <v>25000</v>
          </cell>
          <cell r="L102">
            <v>1.2321200000000001</v>
          </cell>
          <cell r="M102" t="str">
            <v>Gramos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15/06/2020</v>
          </cell>
          <cell r="I103">
            <v>40212</v>
          </cell>
          <cell r="J103">
            <v>85754003</v>
          </cell>
          <cell r="K103">
            <v>22680</v>
          </cell>
          <cell r="L103">
            <v>1.7730158730158729</v>
          </cell>
          <cell r="M103" t="str">
            <v>Gramos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  <cell r="H104" t="str">
            <v>05/05/2020</v>
          </cell>
          <cell r="I104">
            <v>27500</v>
          </cell>
          <cell r="J104">
            <v>7039625</v>
          </cell>
          <cell r="K104">
            <v>25000</v>
          </cell>
          <cell r="L104">
            <v>1.1000000000000001</v>
          </cell>
          <cell r="M104" t="str">
            <v>Gramos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  <cell r="H105" t="str">
            <v>15/06/2020</v>
          </cell>
          <cell r="I105">
            <v>231.2</v>
          </cell>
          <cell r="J105">
            <v>4417154.608</v>
          </cell>
          <cell r="K105">
            <v>13600</v>
          </cell>
          <cell r="L105">
            <v>1.6999999999999998E-2</v>
          </cell>
          <cell r="M105" t="str">
            <v>Gramos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16/06/2020</v>
          </cell>
          <cell r="I106">
            <v>1700</v>
          </cell>
          <cell r="J106">
            <v>4845000</v>
          </cell>
          <cell r="K106">
            <v>1000</v>
          </cell>
          <cell r="L106">
            <v>1.7</v>
          </cell>
          <cell r="M106" t="str">
            <v>Gramos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02/06/2020</v>
          </cell>
          <cell r="I107">
            <v>100220</v>
          </cell>
          <cell r="J107">
            <v>741420</v>
          </cell>
          <cell r="K107">
            <v>20000</v>
          </cell>
          <cell r="L107">
            <v>5.0110000000000001</v>
          </cell>
          <cell r="M107" t="str">
            <v>Gramos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09/12/2019</v>
          </cell>
          <cell r="I108" t="e">
            <v>#N/A</v>
          </cell>
          <cell r="J108">
            <v>-192776.6</v>
          </cell>
          <cell r="K108">
            <v>22670</v>
          </cell>
          <cell r="L108" t="e">
            <v>#N/A</v>
          </cell>
          <cell r="M108" t="str">
            <v>Gramos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  <cell r="H109" t="str">
            <v>13/06/2020</v>
          </cell>
          <cell r="I109">
            <v>18350</v>
          </cell>
          <cell r="J109">
            <v>2923700</v>
          </cell>
          <cell r="K109">
            <v>10000</v>
          </cell>
          <cell r="L109">
            <v>1.835</v>
          </cell>
          <cell r="M109" t="str">
            <v>Gramos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  <cell r="H110" t="str">
            <v>18/05/2020</v>
          </cell>
          <cell r="I110">
            <v>5672.74</v>
          </cell>
          <cell r="J110">
            <v>70471.695999999996</v>
          </cell>
          <cell r="K110">
            <v>1000</v>
          </cell>
          <cell r="L110">
            <v>5.6727400000000001</v>
          </cell>
          <cell r="M110" t="str">
            <v>Gramos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  <cell r="H111" t="str">
            <v>13/06/2020</v>
          </cell>
          <cell r="I111">
            <v>1075</v>
          </cell>
          <cell r="J111">
            <v>14004660</v>
          </cell>
          <cell r="K111">
            <v>1000</v>
          </cell>
          <cell r="L111">
            <v>1.075</v>
          </cell>
          <cell r="M111" t="str">
            <v>Gramos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19517</v>
          </cell>
          <cell r="J112">
            <v>7006603</v>
          </cell>
          <cell r="K112">
            <v>50000</v>
          </cell>
          <cell r="L112">
            <v>0.39034000000000002</v>
          </cell>
          <cell r="M112" t="str">
            <v>Gramos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26/05/2020</v>
          </cell>
          <cell r="I113">
            <v>21982</v>
          </cell>
          <cell r="J113">
            <v>998702</v>
          </cell>
          <cell r="K113">
            <v>50000</v>
          </cell>
          <cell r="L113">
            <v>0.43963999999999998</v>
          </cell>
          <cell r="M113" t="str">
            <v>Gramos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  <cell r="H114" t="str">
            <v>03/06/2020</v>
          </cell>
          <cell r="I114">
            <v>2048.79</v>
          </cell>
          <cell r="J114">
            <v>18608776.419998001</v>
          </cell>
          <cell r="K114">
            <v>1000</v>
          </cell>
          <cell r="L114">
            <v>2.0487899999999999</v>
          </cell>
          <cell r="M114" t="str">
            <v>Gramos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  <cell r="H115" t="str">
            <v>10/06/2020</v>
          </cell>
          <cell r="I115">
            <v>1327.4333329999999</v>
          </cell>
          <cell r="J115">
            <v>3376990.399152</v>
          </cell>
          <cell r="K115">
            <v>500</v>
          </cell>
          <cell r="L115">
            <v>2.6548666659999998</v>
          </cell>
          <cell r="M115" t="str">
            <v>Gramos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  <cell r="H116" t="str">
            <v>02/03/2020</v>
          </cell>
          <cell r="I116">
            <v>132334.38</v>
          </cell>
          <cell r="J116">
            <v>854318</v>
          </cell>
          <cell r="K116">
            <v>25000</v>
          </cell>
          <cell r="L116">
            <v>5.2933751999999998</v>
          </cell>
          <cell r="M116" t="str">
            <v>Gramos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19301.21</v>
          </cell>
          <cell r="J117">
            <v>538675.61450000003</v>
          </cell>
          <cell r="K117">
            <v>2500</v>
          </cell>
          <cell r="L117">
            <v>7.7204839999999999</v>
          </cell>
          <cell r="M117" t="str">
            <v>Gramos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  <cell r="H118" t="str">
            <v>01/06/2020</v>
          </cell>
          <cell r="I118">
            <v>4766.87</v>
          </cell>
          <cell r="J118">
            <v>151710.125</v>
          </cell>
          <cell r="K118">
            <v>2500</v>
          </cell>
          <cell r="L118">
            <v>1.9067479999999999</v>
          </cell>
          <cell r="M118" t="str">
            <v>Gramos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  <cell r="H119" t="str">
            <v>13/06/2020</v>
          </cell>
          <cell r="I119">
            <v>4458</v>
          </cell>
          <cell r="J119">
            <v>3446988</v>
          </cell>
          <cell r="K119">
            <v>1000</v>
          </cell>
          <cell r="L119">
            <v>4.4580000000000002</v>
          </cell>
          <cell r="M119" t="str">
            <v>Gramos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  <cell r="H120" t="str">
            <v>01/06/2020</v>
          </cell>
          <cell r="I120">
            <v>1783.73</v>
          </cell>
          <cell r="J120">
            <v>33116.695</v>
          </cell>
          <cell r="K120">
            <v>2500</v>
          </cell>
          <cell r="L120">
            <v>0.71349200000000002</v>
          </cell>
          <cell r="M120" t="str">
            <v>Gramos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23/05/2020</v>
          </cell>
          <cell r="I121">
            <v>3060</v>
          </cell>
          <cell r="J121">
            <v>37726</v>
          </cell>
          <cell r="K121">
            <v>1000</v>
          </cell>
          <cell r="L121">
            <v>3.06</v>
          </cell>
          <cell r="M121" t="str">
            <v>Gramos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  <cell r="H122" t="str">
            <v>19/03/2020</v>
          </cell>
          <cell r="I122">
            <v>2869</v>
          </cell>
          <cell r="J122">
            <v>115062</v>
          </cell>
          <cell r="K122">
            <v>454</v>
          </cell>
          <cell r="L122">
            <v>6.319383259911894</v>
          </cell>
          <cell r="M122" t="str">
            <v>Gramos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  <cell r="H123" t="str">
            <v>05/06/2020</v>
          </cell>
          <cell r="I123">
            <v>1845</v>
          </cell>
          <cell r="J123">
            <v>1115324</v>
          </cell>
          <cell r="K123">
            <v>1000</v>
          </cell>
          <cell r="L123">
            <v>1.845</v>
          </cell>
          <cell r="M123" t="str">
            <v>Gramos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  <cell r="H124" t="str">
            <v>28/05/2020</v>
          </cell>
          <cell r="I124">
            <v>6398</v>
          </cell>
          <cell r="J124">
            <v>2211472</v>
          </cell>
          <cell r="K124">
            <v>780</v>
          </cell>
          <cell r="L124">
            <v>6.9721794871794867</v>
          </cell>
          <cell r="M124" t="str">
            <v>Gramos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21/05/2020</v>
          </cell>
          <cell r="I125">
            <v>29615</v>
          </cell>
          <cell r="J125">
            <v>296123.5</v>
          </cell>
          <cell r="K125">
            <v>5000</v>
          </cell>
          <cell r="L125">
            <v>5.923</v>
          </cell>
          <cell r="M125" t="str">
            <v>Gramos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  <cell r="H126" t="str">
            <v>03/06/2020</v>
          </cell>
          <cell r="I126">
            <v>2798</v>
          </cell>
          <cell r="J126">
            <v>33602</v>
          </cell>
          <cell r="K126">
            <v>340</v>
          </cell>
          <cell r="L126">
            <v>8.2294117647058815</v>
          </cell>
          <cell r="M126" t="str">
            <v>Gramos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  <cell r="H127" t="str">
            <v>27/05/2020</v>
          </cell>
          <cell r="I127">
            <v>30225</v>
          </cell>
          <cell r="J127">
            <v>851602.34424759995</v>
          </cell>
          <cell r="K127">
            <v>15000</v>
          </cell>
          <cell r="L127">
            <v>2.0150000000000001</v>
          </cell>
          <cell r="M127" t="str">
            <v>Gramos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  <cell r="H128" t="str">
            <v>05/06/2020</v>
          </cell>
          <cell r="I128">
            <v>3684</v>
          </cell>
          <cell r="J128">
            <v>1661484</v>
          </cell>
          <cell r="K128">
            <v>480</v>
          </cell>
          <cell r="L128">
            <v>6.5237499999999997</v>
          </cell>
          <cell r="M128" t="str">
            <v>Gramos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47385</v>
          </cell>
          <cell r="J129">
            <v>142145.54999999999</v>
          </cell>
          <cell r="K129">
            <v>5000</v>
          </cell>
          <cell r="L129">
            <v>9.4770000000000003</v>
          </cell>
          <cell r="M129" t="str">
            <v>Gramos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21/05/2020</v>
          </cell>
          <cell r="I130">
            <v>41469</v>
          </cell>
          <cell r="J130">
            <v>290297.71000000002</v>
          </cell>
          <cell r="K130">
            <v>3000</v>
          </cell>
          <cell r="L130">
            <v>13.823</v>
          </cell>
          <cell r="M130" t="str">
            <v>Gramos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  <cell r="H131" t="str">
            <v>12/06/2020</v>
          </cell>
          <cell r="I131">
            <v>0.39</v>
          </cell>
          <cell r="J131">
            <v>553800</v>
          </cell>
          <cell r="K131">
            <v>1</v>
          </cell>
          <cell r="L131">
            <v>0.39</v>
          </cell>
          <cell r="M131" t="str">
            <v>Und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25/03/2020</v>
          </cell>
          <cell r="I132">
            <v>180</v>
          </cell>
          <cell r="J132">
            <v>27720</v>
          </cell>
          <cell r="K132">
            <v>900</v>
          </cell>
          <cell r="L132">
            <v>0.2</v>
          </cell>
          <cell r="M132" t="str">
            <v>Und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12/06/2020</v>
          </cell>
          <cell r="I133">
            <v>180</v>
          </cell>
          <cell r="J133">
            <v>19620</v>
          </cell>
          <cell r="K133">
            <v>900</v>
          </cell>
          <cell r="L133">
            <v>0.2</v>
          </cell>
          <cell r="M133" t="str">
            <v>Und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28/04/2020</v>
          </cell>
          <cell r="I134">
            <v>180</v>
          </cell>
          <cell r="J134">
            <v>8100</v>
          </cell>
          <cell r="K134">
            <v>900</v>
          </cell>
          <cell r="L134">
            <v>0.2</v>
          </cell>
          <cell r="M134" t="str">
            <v>Und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25/03/2020</v>
          </cell>
          <cell r="I135">
            <v>180</v>
          </cell>
          <cell r="J135">
            <v>4500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31/01/2020</v>
          </cell>
          <cell r="I136">
            <v>180</v>
          </cell>
          <cell r="J136">
            <v>18000</v>
          </cell>
          <cell r="K136">
            <v>900</v>
          </cell>
          <cell r="L136">
            <v>0.2</v>
          </cell>
          <cell r="M136" t="str">
            <v>Und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180</v>
          </cell>
          <cell r="J137">
            <v>10080</v>
          </cell>
          <cell r="K137">
            <v>900</v>
          </cell>
          <cell r="L137">
            <v>0.2</v>
          </cell>
          <cell r="M137" t="str">
            <v>Und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  <cell r="H138" t="str">
            <v>12/06/2020</v>
          </cell>
          <cell r="I138">
            <v>157</v>
          </cell>
          <cell r="J138">
            <v>229220</v>
          </cell>
          <cell r="K138">
            <v>900</v>
          </cell>
          <cell r="L138">
            <v>0.17444444444444446</v>
          </cell>
          <cell r="M138" t="str">
            <v>Und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07/05/2020</v>
          </cell>
          <cell r="I139">
            <v>47.024999999999999</v>
          </cell>
          <cell r="J139">
            <v>1669387.5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07/04/2020</v>
          </cell>
          <cell r="I140">
            <v>47.024999999999999</v>
          </cell>
          <cell r="J140">
            <v>376200</v>
          </cell>
          <cell r="K140">
            <v>1</v>
          </cell>
          <cell r="L140">
            <v>47.024999999999999</v>
          </cell>
          <cell r="M140" t="str">
            <v>Und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04/03/2020</v>
          </cell>
          <cell r="I141">
            <v>47.024999999999999</v>
          </cell>
          <cell r="J141">
            <v>493762.5</v>
          </cell>
          <cell r="K141">
            <v>1</v>
          </cell>
          <cell r="L141">
            <v>47.024999999999999</v>
          </cell>
          <cell r="M141" t="str">
            <v>Und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12/06/2020</v>
          </cell>
          <cell r="I142">
            <v>200</v>
          </cell>
          <cell r="J142">
            <v>18000</v>
          </cell>
          <cell r="K142">
            <v>900</v>
          </cell>
          <cell r="L142">
            <v>0.22222222222222221</v>
          </cell>
          <cell r="M142" t="str">
            <v>Und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20/12/2019</v>
          </cell>
          <cell r="I143">
            <v>200</v>
          </cell>
          <cell r="J143">
            <v>10000</v>
          </cell>
          <cell r="K143">
            <v>900</v>
          </cell>
          <cell r="L143">
            <v>0.22222222222222221</v>
          </cell>
          <cell r="M143" t="str">
            <v>Und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15200</v>
          </cell>
          <cell r="K144">
            <v>900</v>
          </cell>
          <cell r="L144">
            <v>0.22222222222222221</v>
          </cell>
          <cell r="M144" t="str">
            <v>Und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12/06/2020</v>
          </cell>
          <cell r="I145">
            <v>200</v>
          </cell>
          <cell r="J145">
            <v>4000</v>
          </cell>
          <cell r="K145">
            <v>900</v>
          </cell>
          <cell r="L145">
            <v>0.22222222222222221</v>
          </cell>
          <cell r="M145" t="str">
            <v>Und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20/12/2019</v>
          </cell>
          <cell r="I146">
            <v>200</v>
          </cell>
          <cell r="J146">
            <v>10000</v>
          </cell>
          <cell r="K146">
            <v>900</v>
          </cell>
          <cell r="L146">
            <v>0.22222222222222221</v>
          </cell>
          <cell r="M146" t="str">
            <v>Und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12/06/2020</v>
          </cell>
          <cell r="I147">
            <v>1.7949999999999999</v>
          </cell>
          <cell r="J147">
            <v>840060</v>
          </cell>
          <cell r="K147">
            <v>1</v>
          </cell>
          <cell r="L147">
            <v>1.7949999999999999</v>
          </cell>
          <cell r="M147" t="str">
            <v>Und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28/04/2020</v>
          </cell>
          <cell r="I148">
            <v>0.57999999999999996</v>
          </cell>
          <cell r="J148">
            <v>775460</v>
          </cell>
          <cell r="K148">
            <v>1</v>
          </cell>
          <cell r="L148">
            <v>0.57999999999999996</v>
          </cell>
          <cell r="M148" t="str">
            <v>Und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25/02/2020</v>
          </cell>
          <cell r="I149">
            <v>4.3230000000000004</v>
          </cell>
          <cell r="J149">
            <v>220473</v>
          </cell>
          <cell r="K149">
            <v>1</v>
          </cell>
          <cell r="L149">
            <v>4.3230000000000004</v>
          </cell>
          <cell r="M149" t="str">
            <v>Und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12/06/2020</v>
          </cell>
          <cell r="I150">
            <v>12.188000000000001</v>
          </cell>
          <cell r="J150">
            <v>1469928</v>
          </cell>
          <cell r="K150">
            <v>1</v>
          </cell>
          <cell r="L150">
            <v>12.188000000000001</v>
          </cell>
          <cell r="M150" t="str">
            <v>Und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08/06/2020</v>
          </cell>
          <cell r="I151">
            <v>5</v>
          </cell>
          <cell r="J151">
            <v>345000</v>
          </cell>
          <cell r="K151">
            <v>1</v>
          </cell>
          <cell r="L151">
            <v>5</v>
          </cell>
          <cell r="M151" t="str">
            <v>Und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12/06/2020</v>
          </cell>
          <cell r="I152">
            <v>2.1280000000000001</v>
          </cell>
          <cell r="J152">
            <v>2157792</v>
          </cell>
          <cell r="K152">
            <v>1</v>
          </cell>
          <cell r="L152">
            <v>2.1280000000000001</v>
          </cell>
          <cell r="M152" t="str">
            <v>Und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24/03/2020</v>
          </cell>
          <cell r="I153">
            <v>25</v>
          </cell>
          <cell r="J153">
            <v>245000</v>
          </cell>
          <cell r="K153">
            <v>1</v>
          </cell>
          <cell r="L153">
            <v>25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13/03/2020</v>
          </cell>
          <cell r="I154">
            <v>25</v>
          </cell>
          <cell r="J154">
            <v>245000</v>
          </cell>
          <cell r="K154">
            <v>1</v>
          </cell>
          <cell r="L154">
            <v>25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06/03/2020</v>
          </cell>
          <cell r="I155">
            <v>32</v>
          </cell>
          <cell r="J155">
            <v>160000</v>
          </cell>
          <cell r="K155">
            <v>1</v>
          </cell>
          <cell r="L155">
            <v>32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  <cell r="H156" t="str">
            <v>20/02/2020</v>
          </cell>
          <cell r="I156">
            <v>25</v>
          </cell>
          <cell r="J156">
            <v>75000</v>
          </cell>
          <cell r="K156">
            <v>1</v>
          </cell>
          <cell r="L156">
            <v>25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12/06/2020</v>
          </cell>
          <cell r="I157">
            <v>551</v>
          </cell>
          <cell r="J157">
            <v>200013</v>
          </cell>
          <cell r="K157">
            <v>1000</v>
          </cell>
          <cell r="L157">
            <v>0.55100000000000005</v>
          </cell>
          <cell r="M157" t="str">
            <v>Und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  <cell r="H158" t="str">
            <v>14/01/2020</v>
          </cell>
          <cell r="I158">
            <v>8000</v>
          </cell>
          <cell r="J158">
            <v>240000</v>
          </cell>
          <cell r="K158">
            <v>1000</v>
          </cell>
          <cell r="L158">
            <v>8</v>
          </cell>
          <cell r="M158" t="str">
            <v>und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  <cell r="H159" t="str">
            <v>24/03/2020</v>
          </cell>
          <cell r="I159">
            <v>15</v>
          </cell>
          <cell r="J159">
            <v>427500</v>
          </cell>
          <cell r="K159">
            <v>1</v>
          </cell>
          <cell r="L159">
            <v>15</v>
          </cell>
          <cell r="M159" t="str">
            <v>Und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  <cell r="H160" t="str">
            <v>12/06/2020</v>
          </cell>
          <cell r="I160">
            <v>6000</v>
          </cell>
          <cell r="J160">
            <v>1283700</v>
          </cell>
          <cell r="K160">
            <v>1000</v>
          </cell>
          <cell r="L160">
            <v>6</v>
          </cell>
          <cell r="M160" t="str">
            <v>Und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12/06/2020</v>
          </cell>
          <cell r="I161">
            <v>47.024999999999999</v>
          </cell>
          <cell r="J161">
            <v>6583500</v>
          </cell>
          <cell r="K161">
            <v>1</v>
          </cell>
          <cell r="L161">
            <v>47.024999999999999</v>
          </cell>
          <cell r="M161" t="str">
            <v>Und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02/06/2020</v>
          </cell>
          <cell r="I162">
            <v>32.49</v>
          </cell>
          <cell r="J162">
            <v>1938969</v>
          </cell>
          <cell r="K162">
            <v>1</v>
          </cell>
          <cell r="L162">
            <v>32.49</v>
          </cell>
          <cell r="M162" t="str">
            <v>Und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  <cell r="H163" t="str">
            <v>12/06/2020</v>
          </cell>
          <cell r="I163">
            <v>1750</v>
          </cell>
          <cell r="J163">
            <v>5875400</v>
          </cell>
          <cell r="K163">
            <v>10000</v>
          </cell>
          <cell r="L163">
            <v>0.17499999999999999</v>
          </cell>
          <cell r="M163" t="str">
            <v>Cm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19/05/2020</v>
          </cell>
          <cell r="I164">
            <v>1100</v>
          </cell>
          <cell r="J164">
            <v>272800</v>
          </cell>
          <cell r="K164">
            <v>1</v>
          </cell>
          <cell r="L164" t="e">
            <v>#DIV/0!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10/06/2020</v>
          </cell>
          <cell r="I165">
            <v>1000</v>
          </cell>
          <cell r="J165">
            <v>2036750</v>
          </cell>
          <cell r="K165">
            <v>790</v>
          </cell>
          <cell r="L165">
            <v>1.2658227848101267</v>
          </cell>
          <cell r="M165" t="str">
            <v>Gramos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  <cell r="H166" t="str">
            <v>26/05/2020</v>
          </cell>
          <cell r="I166">
            <v>6534</v>
          </cell>
          <cell r="J166">
            <v>78650</v>
          </cell>
          <cell r="K166">
            <v>5000</v>
          </cell>
          <cell r="L166">
            <v>1.3068</v>
          </cell>
          <cell r="M166" t="str">
            <v>Gramos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  <cell r="H167" t="str">
            <v>15/06/2020</v>
          </cell>
          <cell r="I167">
            <v>2000</v>
          </cell>
          <cell r="J167">
            <v>9303669.4550000001</v>
          </cell>
          <cell r="K167">
            <v>1000</v>
          </cell>
          <cell r="L167">
            <v>2</v>
          </cell>
          <cell r="M167" t="str">
            <v>Gramos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  <cell r="H168" t="str">
            <v>15/06/2020</v>
          </cell>
          <cell r="I168">
            <v>1496.74</v>
          </cell>
          <cell r="J168">
            <v>961140.45</v>
          </cell>
          <cell r="K168">
            <v>36</v>
          </cell>
          <cell r="L168">
            <v>41.576111111111111</v>
          </cell>
          <cell r="M168" t="str">
            <v>und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  <cell r="H169" t="str">
            <v>07/01/2020</v>
          </cell>
          <cell r="I169">
            <v>8091</v>
          </cell>
          <cell r="J169">
            <v>-31480</v>
          </cell>
          <cell r="K169">
            <v>420</v>
          </cell>
          <cell r="L169">
            <v>19.264285714285716</v>
          </cell>
          <cell r="M169" t="str">
            <v>Und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  <cell r="H170" t="str">
            <v>01/06/2020</v>
          </cell>
          <cell r="I170" t="e">
            <v>#N/A</v>
          </cell>
          <cell r="J170">
            <v>761983.2</v>
          </cell>
          <cell r="K170">
            <v>1000</v>
          </cell>
          <cell r="L170" t="e">
            <v>#N/A</v>
          </cell>
          <cell r="M170" t="str">
            <v>Gramos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  <cell r="H171" t="str">
            <v>08/02/2020</v>
          </cell>
          <cell r="I171" t="e">
            <v>#N/A</v>
          </cell>
          <cell r="J171">
            <v>288782</v>
          </cell>
          <cell r="K171">
            <v>8.61</v>
          </cell>
          <cell r="L171" t="e">
            <v>#N/A</v>
          </cell>
          <cell r="M171" t="str">
            <v>Und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  <cell r="H172" t="str">
            <v>08/06/2020</v>
          </cell>
          <cell r="I172">
            <v>7697</v>
          </cell>
          <cell r="J172">
            <v>657558.06000000006</v>
          </cell>
          <cell r="K172">
            <v>12000</v>
          </cell>
          <cell r="L172">
            <v>0.64141666666666663</v>
          </cell>
          <cell r="M172" t="str">
            <v>Mililitros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  <cell r="H173" t="str">
            <v>21/05/2020</v>
          </cell>
          <cell r="I173" t="e">
            <v>#N/A</v>
          </cell>
          <cell r="J173">
            <v>98362</v>
          </cell>
          <cell r="K173">
            <v>1</v>
          </cell>
          <cell r="L173" t="e">
            <v>#N/A</v>
          </cell>
          <cell r="M173" t="str">
            <v>Cm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  <cell r="H174" t="str">
            <v>26/05/2020</v>
          </cell>
          <cell r="I174">
            <v>32000</v>
          </cell>
          <cell r="J174">
            <v>320000</v>
          </cell>
          <cell r="K174">
            <v>1000</v>
          </cell>
          <cell r="L174" t="e">
            <v>#DIV/0!</v>
          </cell>
          <cell r="M174" t="str">
            <v>Und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  <cell r="H175" t="str">
            <v>19/05/2020</v>
          </cell>
          <cell r="I175">
            <v>3150</v>
          </cell>
          <cell r="J175">
            <v>352800</v>
          </cell>
          <cell r="K175">
            <v>10</v>
          </cell>
          <cell r="L175">
            <v>315</v>
          </cell>
          <cell r="M175" t="str">
            <v>Gramos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13/06/2020</v>
          </cell>
          <cell r="I176">
            <v>10500</v>
          </cell>
          <cell r="J176">
            <v>3159855</v>
          </cell>
          <cell r="K176">
            <v>5000</v>
          </cell>
          <cell r="L176">
            <v>2.1</v>
          </cell>
          <cell r="M176" t="str">
            <v>Mililitros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12/06/2020</v>
          </cell>
          <cell r="I177">
            <v>3230</v>
          </cell>
          <cell r="J177">
            <v>532950</v>
          </cell>
          <cell r="K177">
            <v>3785</v>
          </cell>
          <cell r="L177">
            <v>0.8533685601056803</v>
          </cell>
          <cell r="M177" t="str">
            <v>Mililitros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06/06/2020</v>
          </cell>
          <cell r="I178">
            <v>10473</v>
          </cell>
          <cell r="J178">
            <v>135101.70000000001</v>
          </cell>
          <cell r="K178">
            <v>3785</v>
          </cell>
          <cell r="L178">
            <v>2.7669749009247027</v>
          </cell>
          <cell r="M178" t="str">
            <v>Mililitros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  <cell r="H179" t="str">
            <v>15/06/2020</v>
          </cell>
          <cell r="I179">
            <v>7303</v>
          </cell>
          <cell r="J179">
            <v>2786574</v>
          </cell>
          <cell r="K179">
            <v>3700</v>
          </cell>
          <cell r="L179">
            <v>1.9737837837837837</v>
          </cell>
          <cell r="M179" t="str">
            <v>Mililitros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  <cell r="H180" t="str">
            <v>05/06/2020</v>
          </cell>
          <cell r="I180">
            <v>6488.05</v>
          </cell>
          <cell r="J180">
            <v>412876.1</v>
          </cell>
          <cell r="K180">
            <v>1000</v>
          </cell>
          <cell r="L180">
            <v>6.4880500000000003</v>
          </cell>
          <cell r="M180" t="str">
            <v>Gramos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23/03/2020</v>
          </cell>
          <cell r="I181">
            <v>19694.740000000002</v>
          </cell>
          <cell r="J181">
            <v>136000</v>
          </cell>
          <cell r="K181">
            <v>5000</v>
          </cell>
          <cell r="L181">
            <v>3.9389480000000003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12/06/2020</v>
          </cell>
          <cell r="I182">
            <v>11231</v>
          </cell>
          <cell r="J182">
            <v>3115050</v>
          </cell>
          <cell r="K182">
            <v>2900</v>
          </cell>
          <cell r="L182">
            <v>3.8727586206896554</v>
          </cell>
          <cell r="M182" t="str">
            <v>Gramos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25/02/2020</v>
          </cell>
          <cell r="I183">
            <v>1691</v>
          </cell>
          <cell r="J183">
            <v>59185</v>
          </cell>
          <cell r="K183">
            <v>681</v>
          </cell>
          <cell r="L183">
            <v>2.4831130690161527</v>
          </cell>
          <cell r="M183" t="str">
            <v>Gramos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  <cell r="H184" t="str">
            <v>10/12/2019</v>
          </cell>
          <cell r="I184">
            <v>15467</v>
          </cell>
          <cell r="J184">
            <v>15161</v>
          </cell>
          <cell r="K184">
            <v>1000</v>
          </cell>
          <cell r="L184" t="e">
            <v>#DIV/0!</v>
          </cell>
          <cell r="M184" t="str">
            <v>Und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20/03/2020</v>
          </cell>
          <cell r="I185">
            <v>17839.66</v>
          </cell>
          <cell r="J185">
            <v>656624.36562000006</v>
          </cell>
          <cell r="K185">
            <v>5000</v>
          </cell>
          <cell r="L185">
            <v>3.5679319999999999</v>
          </cell>
          <cell r="M185" t="str">
            <v>Mililitros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26/05/2020</v>
          </cell>
          <cell r="I186">
            <v>15950</v>
          </cell>
          <cell r="J186">
            <v>17123097.48</v>
          </cell>
          <cell r="K186">
            <v>1000</v>
          </cell>
          <cell r="L186">
            <v>15.95</v>
          </cell>
          <cell r="M186" t="str">
            <v>Mililitros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18/05/2020</v>
          </cell>
          <cell r="I187">
            <v>17839.66</v>
          </cell>
          <cell r="J187">
            <v>3840762.8402100001</v>
          </cell>
          <cell r="K187">
            <v>5000</v>
          </cell>
          <cell r="L187">
            <v>3.5679319999999999</v>
          </cell>
          <cell r="M187" t="str">
            <v>Mililitros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  <cell r="H188" t="str">
            <v>17/12/2019</v>
          </cell>
          <cell r="I188" t="e">
            <v>#N/A</v>
          </cell>
          <cell r="J188">
            <v>506856</v>
          </cell>
          <cell r="K188">
            <v>3120</v>
          </cell>
          <cell r="L188" t="e">
            <v>#N/A</v>
          </cell>
          <cell r="M188" t="str">
            <v>Gramos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  <cell r="H189" t="str">
            <v>12/06/2020</v>
          </cell>
          <cell r="I189">
            <v>20768</v>
          </cell>
          <cell r="J189">
            <v>2352183.6800000002</v>
          </cell>
          <cell r="K189">
            <v>250</v>
          </cell>
          <cell r="L189">
            <v>83.072000000000003</v>
          </cell>
          <cell r="M189" t="str">
            <v>Mililitros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12/06/2020</v>
          </cell>
          <cell r="I190">
            <v>4183</v>
          </cell>
          <cell r="J190">
            <v>589499</v>
          </cell>
          <cell r="K190">
            <v>944</v>
          </cell>
          <cell r="L190">
            <v>4.4311440677966099</v>
          </cell>
          <cell r="M190" t="str">
            <v>Gramos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03/06/2020</v>
          </cell>
          <cell r="I191">
            <v>4106</v>
          </cell>
          <cell r="J191">
            <v>718858</v>
          </cell>
          <cell r="K191">
            <v>2980</v>
          </cell>
          <cell r="L191">
            <v>1.3778523489932886</v>
          </cell>
          <cell r="M191" t="str">
            <v>Mililitros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25/05/2020</v>
          </cell>
          <cell r="I192">
            <v>6500</v>
          </cell>
          <cell r="J192">
            <v>9699853.8000000007</v>
          </cell>
          <cell r="K192">
            <v>4100</v>
          </cell>
          <cell r="L192">
            <v>1.5853658536585367</v>
          </cell>
          <cell r="M192" t="str">
            <v>Gramos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17/03/2020</v>
          </cell>
          <cell r="I193" t="e">
            <v>#N/A</v>
          </cell>
          <cell r="J193">
            <v>54866</v>
          </cell>
          <cell r="K193">
            <v>3785</v>
          </cell>
          <cell r="L193" t="e">
            <v>#DIV/0!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18/05/2020</v>
          </cell>
          <cell r="I194">
            <v>16139</v>
          </cell>
          <cell r="J194">
            <v>125352</v>
          </cell>
          <cell r="K194">
            <v>2232</v>
          </cell>
          <cell r="L194" t="e">
            <v>#DIV/0!</v>
          </cell>
          <cell r="M194" t="str">
            <v>Gramos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3061</v>
          </cell>
          <cell r="J195">
            <v>306100</v>
          </cell>
          <cell r="K195">
            <v>1600</v>
          </cell>
          <cell r="L195">
            <v>1.913125</v>
          </cell>
          <cell r="M195" t="str">
            <v>Gramos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12/06/2020</v>
          </cell>
          <cell r="I196">
            <v>4415</v>
          </cell>
          <cell r="J196">
            <v>410773</v>
          </cell>
          <cell r="K196">
            <v>1000</v>
          </cell>
          <cell r="L196">
            <v>4.415</v>
          </cell>
          <cell r="M196" t="str">
            <v>Mililitros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07/05/2020</v>
          </cell>
          <cell r="I197">
            <v>1819</v>
          </cell>
          <cell r="J197">
            <v>54017</v>
          </cell>
          <cell r="K197">
            <v>1000</v>
          </cell>
          <cell r="L197">
            <v>1.819</v>
          </cell>
          <cell r="M197" t="str">
            <v>Mililitros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09/06/2020</v>
          </cell>
          <cell r="I198">
            <v>1393</v>
          </cell>
          <cell r="J198">
            <v>693946</v>
          </cell>
          <cell r="K198">
            <v>1000</v>
          </cell>
          <cell r="L198">
            <v>1.393</v>
          </cell>
          <cell r="M198" t="str">
            <v>Gramos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  <cell r="H199" t="str">
            <v>15/06/2020</v>
          </cell>
          <cell r="I199">
            <v>1786</v>
          </cell>
          <cell r="J199">
            <v>47780858</v>
          </cell>
          <cell r="K199">
            <v>1000</v>
          </cell>
          <cell r="L199">
            <v>1.786</v>
          </cell>
          <cell r="M199" t="str">
            <v>Mililitros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  <cell r="H200" t="str">
            <v>28/05/2020</v>
          </cell>
          <cell r="I200">
            <v>1335</v>
          </cell>
          <cell r="J200">
            <v>1312230</v>
          </cell>
          <cell r="K200">
            <v>1000</v>
          </cell>
          <cell r="L200">
            <v>1.335</v>
          </cell>
          <cell r="M200" t="str">
            <v>Gramos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13/06/2020</v>
          </cell>
          <cell r="I201">
            <v>4505</v>
          </cell>
          <cell r="J201">
            <v>398505.53399999999</v>
          </cell>
          <cell r="K201">
            <v>820</v>
          </cell>
          <cell r="L201">
            <v>5.4939024390243905</v>
          </cell>
          <cell r="M201" t="str">
            <v>Gramos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30/05/2020</v>
          </cell>
          <cell r="I202">
            <v>13430</v>
          </cell>
          <cell r="J202">
            <v>577387.57999999996</v>
          </cell>
          <cell r="K202">
            <v>700</v>
          </cell>
          <cell r="L202">
            <v>19.185714285714287</v>
          </cell>
          <cell r="M202" t="str">
            <v>Gramos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  <cell r="H203" t="str">
            <v>15/06/2020</v>
          </cell>
          <cell r="I203">
            <v>11335</v>
          </cell>
          <cell r="J203">
            <v>177602244</v>
          </cell>
          <cell r="K203">
            <v>4500</v>
          </cell>
          <cell r="L203">
            <v>2.5188888888888887</v>
          </cell>
          <cell r="M203" t="str">
            <v>Gramos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14/12/2019</v>
          </cell>
          <cell r="I204">
            <v>6906</v>
          </cell>
          <cell r="J204">
            <v>523068</v>
          </cell>
          <cell r="K204">
            <v>1700</v>
          </cell>
          <cell r="L204">
            <v>4.0623529411764707</v>
          </cell>
          <cell r="M204" t="str">
            <v>Gramos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  <cell r="H205" t="str">
            <v>12/06/2020</v>
          </cell>
          <cell r="I205">
            <v>2027</v>
          </cell>
          <cell r="J205">
            <v>1122011</v>
          </cell>
          <cell r="K205">
            <v>2200</v>
          </cell>
          <cell r="L205">
            <v>0.92136363636363638</v>
          </cell>
          <cell r="M205" t="str">
            <v>Gramos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  <cell r="H206" t="str">
            <v>05/06/2020</v>
          </cell>
          <cell r="I206">
            <v>3402.67</v>
          </cell>
          <cell r="J206">
            <v>48030.55</v>
          </cell>
          <cell r="K206">
            <v>1000</v>
          </cell>
          <cell r="L206">
            <v>3.4026700000000001</v>
          </cell>
          <cell r="M206" t="str">
            <v>Gramos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  <cell r="H207" t="str">
            <v>15/06/2020</v>
          </cell>
          <cell r="I207">
            <v>9243</v>
          </cell>
          <cell r="J207">
            <v>27309984</v>
          </cell>
          <cell r="K207">
            <v>1000</v>
          </cell>
          <cell r="L207">
            <v>9.2430000000000003</v>
          </cell>
          <cell r="M207" t="str">
            <v>Gramos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  <cell r="H208" t="str">
            <v>07/05/2020</v>
          </cell>
          <cell r="I208">
            <v>22340</v>
          </cell>
          <cell r="J208">
            <v>4088220</v>
          </cell>
          <cell r="K208">
            <v>5000</v>
          </cell>
          <cell r="L208">
            <v>4.468</v>
          </cell>
          <cell r="M208" t="str">
            <v>Gramos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15/06/2020</v>
          </cell>
          <cell r="I209">
            <v>15818</v>
          </cell>
          <cell r="J209">
            <v>12127980</v>
          </cell>
          <cell r="K209">
            <v>4500</v>
          </cell>
          <cell r="L209">
            <v>3.5151111111111111</v>
          </cell>
          <cell r="M209" t="str">
            <v>Gramos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  <cell r="H210" t="str">
            <v>15/06/2020</v>
          </cell>
          <cell r="I210">
            <v>30786</v>
          </cell>
          <cell r="J210">
            <v>29193952</v>
          </cell>
          <cell r="K210">
            <v>25000</v>
          </cell>
          <cell r="L210">
            <v>1.2314400000000001</v>
          </cell>
          <cell r="M210" t="str">
            <v>Gramos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  <cell r="H211" t="str">
            <v>27/02/2020</v>
          </cell>
          <cell r="I211">
            <v>10000</v>
          </cell>
          <cell r="J211">
            <v>-250560</v>
          </cell>
          <cell r="K211">
            <v>1000</v>
          </cell>
          <cell r="L211">
            <v>10</v>
          </cell>
          <cell r="M211" t="str">
            <v>Gramos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  <cell r="H212" t="str">
            <v>03/06/2020</v>
          </cell>
          <cell r="I212">
            <v>9380</v>
          </cell>
          <cell r="J212">
            <v>835920.09600000002</v>
          </cell>
          <cell r="K212">
            <v>2500</v>
          </cell>
          <cell r="L212">
            <v>3.7519999999999998</v>
          </cell>
          <cell r="M212" t="str">
            <v>Gramos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65148</v>
          </cell>
          <cell r="K213">
            <v>1000</v>
          </cell>
          <cell r="L213" t="e">
            <v>#N/A</v>
          </cell>
          <cell r="M213" t="str">
            <v>Gramos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  <cell r="H214" t="str">
            <v>21/12/2019</v>
          </cell>
          <cell r="I214" t="e">
            <v>#N/A</v>
          </cell>
          <cell r="J214">
            <v>21716</v>
          </cell>
          <cell r="K214">
            <v>1000</v>
          </cell>
          <cell r="L214" t="e">
            <v>#N/A</v>
          </cell>
          <cell r="M214" t="str">
            <v>Gramos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15/06/2020</v>
          </cell>
          <cell r="I215">
            <v>23234</v>
          </cell>
          <cell r="J215">
            <v>7135379</v>
          </cell>
          <cell r="K215">
            <v>25000</v>
          </cell>
          <cell r="L215">
            <v>0.92935999999999996</v>
          </cell>
          <cell r="M215" t="str">
            <v>Gramos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  <cell r="H216" t="str">
            <v>16/01/2020</v>
          </cell>
          <cell r="I216" t="e">
            <v>#N/A</v>
          </cell>
          <cell r="J216">
            <v>161664</v>
          </cell>
          <cell r="K216">
            <v>12500</v>
          </cell>
          <cell r="L216" t="e">
            <v>#N/A</v>
          </cell>
          <cell r="M216" t="str">
            <v>Gramos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15/06/2020</v>
          </cell>
          <cell r="I217">
            <v>2411</v>
          </cell>
          <cell r="J217">
            <v>18779279</v>
          </cell>
          <cell r="K217">
            <v>1000</v>
          </cell>
          <cell r="L217">
            <v>2.411</v>
          </cell>
          <cell r="M217" t="str">
            <v>Gramos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09/06/2020</v>
          </cell>
          <cell r="I218">
            <v>1485.75</v>
          </cell>
          <cell r="J218">
            <v>1710735</v>
          </cell>
          <cell r="K218">
            <v>465</v>
          </cell>
          <cell r="L218">
            <v>3.1951612903225808</v>
          </cell>
          <cell r="M218" t="str">
            <v>Gramos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  <cell r="H219" t="str">
            <v>21/03/2020</v>
          </cell>
          <cell r="I219">
            <v>1510</v>
          </cell>
          <cell r="J219">
            <v>115735</v>
          </cell>
          <cell r="K219">
            <v>1000</v>
          </cell>
          <cell r="L219">
            <v>1.51</v>
          </cell>
          <cell r="M219" t="str">
            <v>Gramos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  <cell r="H220" t="str">
            <v>06/06/2020</v>
          </cell>
          <cell r="I220">
            <v>3461</v>
          </cell>
          <cell r="J220">
            <v>142937.921</v>
          </cell>
          <cell r="K220">
            <v>4500</v>
          </cell>
          <cell r="L220" t="e">
            <v>#DIV/0!</v>
          </cell>
          <cell r="M220" t="str">
            <v>Gramos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  <cell r="H221" t="str">
            <v>12/12/2019</v>
          </cell>
          <cell r="I221">
            <v>1685</v>
          </cell>
          <cell r="J221">
            <v>6740</v>
          </cell>
          <cell r="K221">
            <v>1000</v>
          </cell>
          <cell r="L221">
            <v>1.6850000000000001</v>
          </cell>
          <cell r="M221" t="str">
            <v>Gramos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  <cell r="H222" t="str">
            <v>01/06/2020</v>
          </cell>
          <cell r="I222">
            <v>18034</v>
          </cell>
          <cell r="J222">
            <v>77796598</v>
          </cell>
          <cell r="K222">
            <v>13600</v>
          </cell>
          <cell r="L222">
            <v>1.3260294117647058</v>
          </cell>
          <cell r="M222" t="str">
            <v>Gramos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11/06/2020</v>
          </cell>
          <cell r="I223">
            <v>4400</v>
          </cell>
          <cell r="J223">
            <v>8690000</v>
          </cell>
          <cell r="K223">
            <v>2000</v>
          </cell>
          <cell r="L223">
            <v>2.2000000000000002</v>
          </cell>
          <cell r="M223" t="str">
            <v>Gramos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  <cell r="H224" t="str">
            <v>08/06/2020</v>
          </cell>
          <cell r="I224">
            <v>433431.12959999999</v>
          </cell>
          <cell r="J224">
            <v>3324053.3755999999</v>
          </cell>
          <cell r="K224">
            <v>22680</v>
          </cell>
          <cell r="L224">
            <v>19.110720000000001</v>
          </cell>
          <cell r="M224" t="str">
            <v>Gramos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05/06/2020</v>
          </cell>
          <cell r="I225" t="e">
            <v>#N/A</v>
          </cell>
          <cell r="J225">
            <v>169812</v>
          </cell>
          <cell r="K225">
            <v>750</v>
          </cell>
          <cell r="L225" t="e">
            <v>#N/A</v>
          </cell>
          <cell r="M225" t="str">
            <v>Gramos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  <cell r="H226" t="str">
            <v>20/02/2020</v>
          </cell>
          <cell r="I226" t="e">
            <v>#N/A</v>
          </cell>
          <cell r="J226">
            <v>71672</v>
          </cell>
          <cell r="K226">
            <v>750</v>
          </cell>
          <cell r="L226" t="e">
            <v>#N/A</v>
          </cell>
          <cell r="M226" t="str">
            <v>Gramos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  <cell r="H227" t="str">
            <v>12/06/2020</v>
          </cell>
          <cell r="I227">
            <v>18000</v>
          </cell>
          <cell r="J227">
            <v>3321360</v>
          </cell>
          <cell r="K227">
            <v>150</v>
          </cell>
          <cell r="L227">
            <v>120</v>
          </cell>
          <cell r="M227" t="str">
            <v>Und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10080</v>
          </cell>
          <cell r="J228">
            <v>7205999.9800000004</v>
          </cell>
          <cell r="K228">
            <v>240</v>
          </cell>
          <cell r="L228">
            <v>42</v>
          </cell>
          <cell r="M228" t="str">
            <v>Und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  <cell r="H229" t="str">
            <v>12/06/2020</v>
          </cell>
          <cell r="I229">
            <v>23000</v>
          </cell>
          <cell r="J229">
            <v>5152000</v>
          </cell>
          <cell r="K229">
            <v>200</v>
          </cell>
          <cell r="L229">
            <v>115</v>
          </cell>
          <cell r="M229" t="str">
            <v>Und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  <cell r="H230" t="str">
            <v>26/05/2020</v>
          </cell>
          <cell r="I230">
            <v>10500</v>
          </cell>
          <cell r="J230">
            <v>1806000</v>
          </cell>
          <cell r="K230">
            <v>150</v>
          </cell>
          <cell r="L230">
            <v>70</v>
          </cell>
          <cell r="M230" t="str">
            <v>Und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  <cell r="H231" t="str">
            <v>12/06/2020</v>
          </cell>
          <cell r="I231" t="e">
            <v>#N/A</v>
          </cell>
          <cell r="J231">
            <v>7440000</v>
          </cell>
          <cell r="K231">
            <v>10000</v>
          </cell>
          <cell r="L231" t="e">
            <v>#DIV/0!</v>
          </cell>
          <cell r="M231" t="str">
            <v>Gramos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  <cell r="H232" t="str">
            <v>25/05/2020</v>
          </cell>
          <cell r="I232">
            <v>5323.04</v>
          </cell>
          <cell r="J232">
            <v>4499299.5599999996</v>
          </cell>
          <cell r="K232">
            <v>2000</v>
          </cell>
          <cell r="L232">
            <v>2.6615199999999999</v>
          </cell>
          <cell r="M232" t="str">
            <v>Gramos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08/06/2020</v>
          </cell>
          <cell r="I233">
            <v>14975</v>
          </cell>
          <cell r="J233">
            <v>3519125</v>
          </cell>
          <cell r="K233">
            <v>25</v>
          </cell>
          <cell r="L233">
            <v>599</v>
          </cell>
          <cell r="M233" t="str">
            <v>Gramos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12/06/2020</v>
          </cell>
          <cell r="I234">
            <v>12946</v>
          </cell>
          <cell r="J234">
            <v>8019999</v>
          </cell>
          <cell r="K234">
            <v>150</v>
          </cell>
          <cell r="L234">
            <v>86.306666666666672</v>
          </cell>
          <cell r="M234" t="str">
            <v>Und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03/12/2019</v>
          </cell>
          <cell r="I235" t="e">
            <v>#N/A</v>
          </cell>
          <cell r="J235">
            <v>-13914</v>
          </cell>
          <cell r="K235">
            <v>240</v>
          </cell>
          <cell r="L235" t="e">
            <v>#N/A</v>
          </cell>
          <cell r="M235" t="str">
            <v>Gramos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09/06/2020</v>
          </cell>
          <cell r="I236" t="e">
            <v>#N/A</v>
          </cell>
          <cell r="J236">
            <v>115631.25</v>
          </cell>
          <cell r="K236">
            <v>1000</v>
          </cell>
          <cell r="L236" t="e">
            <v>#N/A</v>
          </cell>
          <cell r="M236" t="str">
            <v>Gramos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  <cell r="H237" t="str">
            <v>10/06/2020</v>
          </cell>
          <cell r="I237">
            <v>25491.79</v>
          </cell>
          <cell r="J237">
            <v>2162094.4</v>
          </cell>
          <cell r="K237">
            <v>1000</v>
          </cell>
          <cell r="L237">
            <v>25.491790000000002</v>
          </cell>
          <cell r="M237" t="str">
            <v>Gramos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  <cell r="H238" t="str">
            <v>29/04/2020</v>
          </cell>
          <cell r="I238">
            <v>33757.9</v>
          </cell>
          <cell r="J238">
            <v>1414766.1</v>
          </cell>
          <cell r="K238">
            <v>5000</v>
          </cell>
          <cell r="L238">
            <v>6.7515800000000006</v>
          </cell>
          <cell r="M238" t="str">
            <v>Gramos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  <cell r="H239" t="str">
            <v>13/06/2020</v>
          </cell>
          <cell r="I239">
            <v>61710</v>
          </cell>
          <cell r="J239">
            <v>1390770</v>
          </cell>
          <cell r="K239">
            <v>17000</v>
          </cell>
          <cell r="L239">
            <v>3.63</v>
          </cell>
          <cell r="M239" t="str">
            <v>Gramos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  <cell r="H240" t="str">
            <v>22/04/2020</v>
          </cell>
          <cell r="I240">
            <v>135625</v>
          </cell>
          <cell r="J240">
            <v>125818</v>
          </cell>
          <cell r="K240">
            <v>25000</v>
          </cell>
          <cell r="L240">
            <v>5.4249999999999998</v>
          </cell>
          <cell r="M240" t="str">
            <v>Gramos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  <cell r="H241" t="str">
            <v>06/04/2020</v>
          </cell>
          <cell r="I241">
            <v>471.95</v>
          </cell>
          <cell r="J241">
            <v>34950.9</v>
          </cell>
          <cell r="K241">
            <v>150</v>
          </cell>
          <cell r="L241" t="e">
            <v>#DIV/0!</v>
          </cell>
          <cell r="M241" t="str">
            <v>Und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  <cell r="H242" t="str">
            <v>26/02/2020</v>
          </cell>
          <cell r="I242">
            <v>26466</v>
          </cell>
          <cell r="J242">
            <v>34998.012000000002</v>
          </cell>
          <cell r="K242">
            <v>1000</v>
          </cell>
          <cell r="L242">
            <v>26.466000000000001</v>
          </cell>
          <cell r="M242" t="str">
            <v>Gramos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  <cell r="H243" t="str">
            <v>03/02/2020</v>
          </cell>
          <cell r="I243" t="e">
            <v>#N/A</v>
          </cell>
          <cell r="J243">
            <v>433225</v>
          </cell>
          <cell r="K243">
            <v>1000</v>
          </cell>
          <cell r="L243" t="e">
            <v>#N/A</v>
          </cell>
          <cell r="M243" t="str">
            <v>Gramos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  <cell r="H244" t="str">
            <v>30/05/2020</v>
          </cell>
          <cell r="I244" t="e">
            <v>#N/A</v>
          </cell>
          <cell r="J244">
            <v>453722.5</v>
          </cell>
          <cell r="K244">
            <v>1000</v>
          </cell>
          <cell r="L244" t="e">
            <v>#N/A</v>
          </cell>
          <cell r="M244" t="str">
            <v>Gramos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  <cell r="H245" t="str">
            <v>06/06/2020</v>
          </cell>
          <cell r="I245">
            <v>3995</v>
          </cell>
          <cell r="J245">
            <v>2467482.5</v>
          </cell>
          <cell r="K245">
            <v>1000</v>
          </cell>
          <cell r="L245">
            <v>3.9950000000000001</v>
          </cell>
          <cell r="M245" t="str">
            <v>Gramos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07/03/2020</v>
          </cell>
          <cell r="I246">
            <v>5690</v>
          </cell>
          <cell r="J246">
            <v>281086</v>
          </cell>
          <cell r="K246">
            <v>1000</v>
          </cell>
          <cell r="L246">
            <v>5.69</v>
          </cell>
          <cell r="M246" t="str">
            <v>Gramos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18/05/2020</v>
          </cell>
          <cell r="I247">
            <v>1850</v>
          </cell>
          <cell r="J247">
            <v>415245</v>
          </cell>
          <cell r="K247">
            <v>1000</v>
          </cell>
          <cell r="L247">
            <v>1.85</v>
          </cell>
          <cell r="M247" t="str">
            <v>Gramos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06/06/2020</v>
          </cell>
          <cell r="I248">
            <v>3990</v>
          </cell>
          <cell r="J248">
            <v>427728</v>
          </cell>
          <cell r="K248">
            <v>1000</v>
          </cell>
          <cell r="L248">
            <v>3.99</v>
          </cell>
          <cell r="M248" t="str">
            <v>Gramos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  <cell r="H249" t="str">
            <v>04/02/2020</v>
          </cell>
          <cell r="I249" t="e">
            <v>#N/A</v>
          </cell>
          <cell r="J249">
            <v>43900</v>
          </cell>
          <cell r="K249">
            <v>1000</v>
          </cell>
          <cell r="L249" t="e">
            <v>#N/A</v>
          </cell>
          <cell r="M249" t="str">
            <v>Gramos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30/05/2020</v>
          </cell>
          <cell r="I250">
            <v>5953</v>
          </cell>
          <cell r="J250">
            <v>340200</v>
          </cell>
          <cell r="K250">
            <v>3785</v>
          </cell>
          <cell r="L250">
            <v>1.5727873183619552</v>
          </cell>
          <cell r="M250" t="str">
            <v>Und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13/06/2020</v>
          </cell>
          <cell r="I251">
            <v>923</v>
          </cell>
          <cell r="J251">
            <v>109150</v>
          </cell>
          <cell r="K251">
            <v>1000</v>
          </cell>
          <cell r="L251">
            <v>0.92300000000000004</v>
          </cell>
          <cell r="M251" t="str">
            <v>Gramos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02/06/2020</v>
          </cell>
          <cell r="I252">
            <v>1384</v>
          </cell>
          <cell r="J252">
            <v>140784</v>
          </cell>
          <cell r="K252">
            <v>1000</v>
          </cell>
          <cell r="L252" t="e">
            <v>#DIV/0!</v>
          </cell>
          <cell r="M252" t="str">
            <v>Gramos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05/05/2020</v>
          </cell>
          <cell r="I253">
            <v>2080</v>
          </cell>
          <cell r="J253">
            <v>477672</v>
          </cell>
          <cell r="K253">
            <v>1000</v>
          </cell>
          <cell r="L253">
            <v>2.08</v>
          </cell>
          <cell r="M253" t="str">
            <v>Gramos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 t="e">
            <v>#N/A</v>
          </cell>
          <cell r="J254">
            <v>7800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06/06/2020</v>
          </cell>
          <cell r="I255">
            <v>2620</v>
          </cell>
          <cell r="J255">
            <v>604591.19999999995</v>
          </cell>
          <cell r="K255">
            <v>1000</v>
          </cell>
          <cell r="L255">
            <v>2.62</v>
          </cell>
          <cell r="M255" t="str">
            <v>Gramos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  <cell r="H256" t="str">
            <v>15/06/2020</v>
          </cell>
          <cell r="I256">
            <v>12950</v>
          </cell>
          <cell r="J256">
            <v>14730778.949999999</v>
          </cell>
          <cell r="K256">
            <v>5000</v>
          </cell>
          <cell r="L256">
            <v>2.59</v>
          </cell>
          <cell r="M256" t="str">
            <v>Gramos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  <cell r="H257" t="str">
            <v>12/06/2020</v>
          </cell>
          <cell r="I257">
            <v>3228.98</v>
          </cell>
          <cell r="J257">
            <v>319822.88</v>
          </cell>
          <cell r="K257">
            <v>460</v>
          </cell>
          <cell r="L257">
            <v>7.0195217391304352</v>
          </cell>
          <cell r="M257" t="str">
            <v>Gramos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  <cell r="H258" t="str">
            <v>19/05/2020</v>
          </cell>
          <cell r="I258">
            <v>7000</v>
          </cell>
          <cell r="J258">
            <v>7000000</v>
          </cell>
          <cell r="K258">
            <v>100</v>
          </cell>
          <cell r="L258">
            <v>70</v>
          </cell>
          <cell r="M258" t="str">
            <v>Gramos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  <cell r="H259" t="str">
            <v>09/06/2020</v>
          </cell>
          <cell r="I259">
            <v>1500</v>
          </cell>
          <cell r="J259">
            <v>10113901.710000001</v>
          </cell>
          <cell r="K259">
            <v>150</v>
          </cell>
          <cell r="L259">
            <v>10</v>
          </cell>
          <cell r="M259" t="str">
            <v>Gramos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  <cell r="H260" t="str">
            <v>17/02/2020</v>
          </cell>
          <cell r="I260">
            <v>69403</v>
          </cell>
          <cell r="J260">
            <v>128841.75</v>
          </cell>
          <cell r="K260">
            <v>25000</v>
          </cell>
          <cell r="L260">
            <v>2.7761200000000001</v>
          </cell>
          <cell r="M260" t="str">
            <v>Gramos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  <cell r="H261" t="str">
            <v>10/06/2020</v>
          </cell>
          <cell r="I261">
            <v>28400</v>
          </cell>
          <cell r="J261">
            <v>269800</v>
          </cell>
          <cell r="K261">
            <v>3785</v>
          </cell>
          <cell r="L261" t="e">
            <v>#DIV/0!</v>
          </cell>
          <cell r="M261" t="str">
            <v>Und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  <cell r="H262" t="str">
            <v>29/05/2020</v>
          </cell>
          <cell r="I262">
            <v>5725</v>
          </cell>
          <cell r="J262">
            <v>280900</v>
          </cell>
          <cell r="K262">
            <v>100</v>
          </cell>
          <cell r="L262">
            <v>57.25</v>
          </cell>
          <cell r="M262" t="str">
            <v>Gramos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  <cell r="H263" t="str">
            <v>16/06/2020</v>
          </cell>
          <cell r="I263">
            <v>44000</v>
          </cell>
          <cell r="J263">
            <v>3594896.4</v>
          </cell>
          <cell r="K263">
            <v>200</v>
          </cell>
          <cell r="L263">
            <v>220</v>
          </cell>
          <cell r="M263" t="str">
            <v>Und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  <cell r="H264" t="str">
            <v>12/06/2020</v>
          </cell>
          <cell r="I264">
            <v>45124</v>
          </cell>
          <cell r="J264">
            <v>10522469</v>
          </cell>
          <cell r="K264">
            <v>200</v>
          </cell>
          <cell r="L264">
            <v>225.62</v>
          </cell>
          <cell r="M264" t="str">
            <v>Und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121</v>
          </cell>
          <cell r="J265">
            <v>20646000</v>
          </cell>
          <cell r="K265">
            <v>1</v>
          </cell>
          <cell r="L265">
            <v>121</v>
          </cell>
          <cell r="M265" t="str">
            <v>Und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12/06/2020</v>
          </cell>
          <cell r="I266">
            <v>115</v>
          </cell>
          <cell r="J266">
            <v>1785000</v>
          </cell>
          <cell r="K266">
            <v>1</v>
          </cell>
          <cell r="L266">
            <v>115</v>
          </cell>
          <cell r="M266" t="str">
            <v>Und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  <cell r="H267" t="str">
            <v>15/06/2020</v>
          </cell>
          <cell r="I267">
            <v>128</v>
          </cell>
          <cell r="J267">
            <v>22087500</v>
          </cell>
          <cell r="K267">
            <v>1</v>
          </cell>
          <cell r="L267">
            <v>128</v>
          </cell>
          <cell r="M267" t="str">
            <v>Und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  <cell r="H268" t="str">
            <v>18/05/2020</v>
          </cell>
          <cell r="I268">
            <v>1500</v>
          </cell>
          <cell r="J268">
            <v>4622030</v>
          </cell>
          <cell r="K268">
            <v>125</v>
          </cell>
          <cell r="L268">
            <v>12</v>
          </cell>
          <cell r="M268" t="str">
            <v>Und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  <cell r="H269" t="str">
            <v>14/02/2020</v>
          </cell>
          <cell r="I269" t="e">
            <v>#N/A</v>
          </cell>
          <cell r="J269">
            <v>70000</v>
          </cell>
          <cell r="K269">
            <v>100</v>
          </cell>
          <cell r="L269" t="e">
            <v>#N/A</v>
          </cell>
          <cell r="M269" t="str">
            <v>Gramos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  <cell r="H270" t="str">
            <v>05/06/2020</v>
          </cell>
          <cell r="I270">
            <v>1500</v>
          </cell>
          <cell r="J270">
            <v>1041600</v>
          </cell>
          <cell r="K270">
            <v>500</v>
          </cell>
          <cell r="L270" t="e">
            <v>#DIV/0!</v>
          </cell>
          <cell r="M270" t="str">
            <v>Gramos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3941000</v>
          </cell>
          <cell r="K271">
            <v>200</v>
          </cell>
          <cell r="L271">
            <v>7.5</v>
          </cell>
          <cell r="M271" t="str">
            <v>Und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  <cell r="H272" t="str">
            <v>09/06/2020</v>
          </cell>
          <cell r="I272">
            <v>1500</v>
          </cell>
          <cell r="J272">
            <v>2252040</v>
          </cell>
          <cell r="K272">
            <v>42</v>
          </cell>
          <cell r="L272">
            <v>35.714285714285715</v>
          </cell>
          <cell r="M272" t="str">
            <v>Und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  <cell r="H273" t="str">
            <v>31/03/2020</v>
          </cell>
          <cell r="I273" t="e">
            <v>#N/A</v>
          </cell>
          <cell r="J273">
            <v>4109.7</v>
          </cell>
          <cell r="K273">
            <v>500</v>
          </cell>
          <cell r="L273" t="e">
            <v>#DIV/0!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  <cell r="H274" t="str">
            <v>19/05/2020</v>
          </cell>
          <cell r="I274">
            <v>23908</v>
          </cell>
          <cell r="J274">
            <v>528978</v>
          </cell>
          <cell r="K274">
            <v>200</v>
          </cell>
          <cell r="L274">
            <v>119.54</v>
          </cell>
          <cell r="M274" t="str">
            <v>Und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  <cell r="H275" t="str">
            <v>27/03/2020</v>
          </cell>
          <cell r="I275">
            <v>1827</v>
          </cell>
          <cell r="J275">
            <v>993337.70429999998</v>
          </cell>
          <cell r="K275">
            <v>1</v>
          </cell>
          <cell r="L275">
            <v>1827</v>
          </cell>
          <cell r="M275" t="str">
            <v>Und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27/03/2020</v>
          </cell>
          <cell r="I276">
            <v>4300</v>
          </cell>
          <cell r="J276">
            <v>1828000</v>
          </cell>
          <cell r="K276">
            <v>100</v>
          </cell>
          <cell r="L276">
            <v>43</v>
          </cell>
          <cell r="M276" t="str">
            <v>Und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12/06/2020</v>
          </cell>
          <cell r="I277">
            <v>2625</v>
          </cell>
          <cell r="J277">
            <v>2000425</v>
          </cell>
          <cell r="K277">
            <v>100</v>
          </cell>
          <cell r="L277">
            <v>26.25</v>
          </cell>
          <cell r="M277" t="str">
            <v>Und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  <cell r="H278" t="str">
            <v>15/06/2020</v>
          </cell>
          <cell r="I278">
            <v>7.9</v>
          </cell>
          <cell r="J278">
            <v>3320965.1200000001</v>
          </cell>
          <cell r="K278">
            <v>1000</v>
          </cell>
          <cell r="L278">
            <v>7.9000000000000008E-3</v>
          </cell>
          <cell r="M278" t="str">
            <v>Und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16/12/2019</v>
          </cell>
          <cell r="I279" t="e">
            <v>#N/A</v>
          </cell>
          <cell r="J279">
            <v>16789</v>
          </cell>
          <cell r="K279">
            <v>1</v>
          </cell>
          <cell r="L279" t="e">
            <v>#N/A</v>
          </cell>
          <cell r="M279" t="str">
            <v>Und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18/04/2020</v>
          </cell>
          <cell r="I280">
            <v>2976.7</v>
          </cell>
          <cell r="J280">
            <v>101204.3</v>
          </cell>
          <cell r="K280">
            <v>500</v>
          </cell>
          <cell r="L280">
            <v>5.9533999999999994</v>
          </cell>
          <cell r="M280" t="str">
            <v>Und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12/06/2020</v>
          </cell>
          <cell r="I281">
            <v>9911</v>
          </cell>
          <cell r="J281">
            <v>3459500</v>
          </cell>
          <cell r="K281">
            <v>1000</v>
          </cell>
          <cell r="L281" t="e">
            <v>#DIV/0!</v>
          </cell>
          <cell r="M281" t="str">
            <v>Gramos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  <cell r="H282" t="str">
            <v>15/06/2020</v>
          </cell>
          <cell r="I282">
            <v>19.61</v>
          </cell>
          <cell r="J282">
            <v>571200</v>
          </cell>
          <cell r="K282">
            <v>1</v>
          </cell>
          <cell r="L282">
            <v>19.61</v>
          </cell>
          <cell r="M282" t="str">
            <v>Und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15/06/2020</v>
          </cell>
          <cell r="I283">
            <v>53318</v>
          </cell>
          <cell r="J283">
            <v>5748232</v>
          </cell>
          <cell r="K283">
            <v>250</v>
          </cell>
          <cell r="L283">
            <v>213.27199999999999</v>
          </cell>
          <cell r="M283" t="str">
            <v>Und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  <cell r="H284" t="str">
            <v>16/01/2020</v>
          </cell>
          <cell r="I284">
            <v>16934</v>
          </cell>
          <cell r="J284">
            <v>29729</v>
          </cell>
          <cell r="K284">
            <v>10000</v>
          </cell>
          <cell r="L284">
            <v>1.6934</v>
          </cell>
          <cell r="M284" t="str">
            <v>Cm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  <cell r="H285" t="str">
            <v>29/04/2020</v>
          </cell>
          <cell r="I285">
            <v>29</v>
          </cell>
          <cell r="J285">
            <v>464000</v>
          </cell>
          <cell r="K285">
            <v>1</v>
          </cell>
          <cell r="L285">
            <v>29</v>
          </cell>
          <cell r="M285" t="str">
            <v>Und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17/03/2020</v>
          </cell>
          <cell r="I286">
            <v>3021</v>
          </cell>
          <cell r="J286">
            <v>58556</v>
          </cell>
          <cell r="K286">
            <v>500</v>
          </cell>
          <cell r="L286">
            <v>6.0419999999999998</v>
          </cell>
          <cell r="M286" t="str">
            <v>Und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  <cell r="H287" t="str">
            <v>05/06/2020</v>
          </cell>
          <cell r="I287">
            <v>1850</v>
          </cell>
          <cell r="J287">
            <v>2997000</v>
          </cell>
          <cell r="K287">
            <v>1</v>
          </cell>
          <cell r="L287" t="e">
            <v>#DIV/0!</v>
          </cell>
          <cell r="M287" t="str">
            <v>Gramos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29/05/2020</v>
          </cell>
          <cell r="I288">
            <v>4024</v>
          </cell>
          <cell r="J288">
            <v>366184</v>
          </cell>
          <cell r="K288">
            <v>50</v>
          </cell>
          <cell r="L288">
            <v>80.48</v>
          </cell>
          <cell r="M288" t="str">
            <v>Und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85</v>
          </cell>
          <cell r="J289">
            <v>7007000</v>
          </cell>
          <cell r="K289">
            <v>1</v>
          </cell>
          <cell r="L289">
            <v>85</v>
          </cell>
          <cell r="M289" t="str">
            <v>Und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  <cell r="H290" t="str">
            <v>12/06/2020</v>
          </cell>
          <cell r="I290">
            <v>180</v>
          </cell>
          <cell r="J290">
            <v>4587000</v>
          </cell>
          <cell r="K290">
            <v>1</v>
          </cell>
          <cell r="L290">
            <v>180</v>
          </cell>
          <cell r="M290" t="str">
            <v>Und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  <cell r="H291" t="str">
            <v>11/06/2020</v>
          </cell>
          <cell r="I291">
            <v>42025</v>
          </cell>
          <cell r="J291">
            <v>20101598</v>
          </cell>
          <cell r="K291">
            <v>50</v>
          </cell>
          <cell r="L291">
            <v>840.5</v>
          </cell>
          <cell r="M291" t="str">
            <v>Und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  <cell r="H292" t="str">
            <v>20/03/2020</v>
          </cell>
          <cell r="I292">
            <v>238</v>
          </cell>
          <cell r="J292">
            <v>890400</v>
          </cell>
          <cell r="K292">
            <v>1</v>
          </cell>
          <cell r="L292">
            <v>238</v>
          </cell>
          <cell r="M292" t="str">
            <v>Und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05/06/2020</v>
          </cell>
          <cell r="I293">
            <v>5725</v>
          </cell>
          <cell r="J293">
            <v>312700</v>
          </cell>
          <cell r="K293">
            <v>100</v>
          </cell>
          <cell r="L293">
            <v>57.25</v>
          </cell>
          <cell r="M293" t="str">
            <v>Und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45650</v>
          </cell>
          <cell r="J294">
            <v>664000</v>
          </cell>
          <cell r="K294">
            <v>1000</v>
          </cell>
          <cell r="L294">
            <v>45.65</v>
          </cell>
          <cell r="M294" t="str">
            <v>Und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18/05/2020</v>
          </cell>
          <cell r="I295">
            <v>39500</v>
          </cell>
          <cell r="J295">
            <v>276500</v>
          </cell>
          <cell r="K295">
            <v>2000</v>
          </cell>
          <cell r="L295">
            <v>19.75</v>
          </cell>
          <cell r="M295" t="str">
            <v>Und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24/03/2020</v>
          </cell>
          <cell r="I296" t="e">
            <v>#N/A</v>
          </cell>
          <cell r="J296">
            <v>3369214.8</v>
          </cell>
          <cell r="K296">
            <v>70</v>
          </cell>
          <cell r="L296" t="e">
            <v>#N/A</v>
          </cell>
          <cell r="M296" t="str">
            <v>Und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  <cell r="H297" t="str">
            <v>10/06/2020</v>
          </cell>
          <cell r="I297">
            <v>4874.5600000000004</v>
          </cell>
          <cell r="J297">
            <v>1975979.19</v>
          </cell>
          <cell r="K297">
            <v>100</v>
          </cell>
          <cell r="L297">
            <v>48.745600000000003</v>
          </cell>
          <cell r="M297" t="str">
            <v>Gramos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  <cell r="H298" t="str">
            <v>04/06/2020</v>
          </cell>
          <cell r="I298">
            <v>20840</v>
          </cell>
          <cell r="J298">
            <v>228916</v>
          </cell>
          <cell r="K298">
            <v>250</v>
          </cell>
          <cell r="L298">
            <v>83.36</v>
          </cell>
          <cell r="M298" t="str">
            <v>Und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10/03/2020</v>
          </cell>
          <cell r="I299">
            <v>61.02</v>
          </cell>
          <cell r="J299">
            <v>346850</v>
          </cell>
          <cell r="K299">
            <v>1</v>
          </cell>
          <cell r="L299">
            <v>61.02</v>
          </cell>
          <cell r="M299" t="str">
            <v>Und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  <cell r="H300" t="str">
            <v>25/02/2020</v>
          </cell>
          <cell r="I300">
            <v>29.945</v>
          </cell>
          <cell r="J300">
            <v>179670</v>
          </cell>
          <cell r="K300">
            <v>1</v>
          </cell>
          <cell r="L300" t="e">
            <v>#DIV/0!</v>
          </cell>
          <cell r="M300" t="str">
            <v>Gramos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  <cell r="H301" t="str">
            <v>27/02/2020</v>
          </cell>
          <cell r="I301">
            <v>4874.5600000000004</v>
          </cell>
          <cell r="J301">
            <v>202491.50200000001</v>
          </cell>
          <cell r="K301">
            <v>334</v>
          </cell>
          <cell r="L301">
            <v>14.594491017964073</v>
          </cell>
          <cell r="M301" t="str">
            <v>Unidades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  <cell r="H302" t="str">
            <v>23/03/2020</v>
          </cell>
          <cell r="I302">
            <v>15040</v>
          </cell>
          <cell r="J302">
            <v>57152</v>
          </cell>
          <cell r="K302">
            <v>500</v>
          </cell>
          <cell r="L302">
            <v>30.08</v>
          </cell>
          <cell r="M302" t="str">
            <v>Und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  <cell r="H303" t="str">
            <v>23/03/2020</v>
          </cell>
          <cell r="I303">
            <v>1400</v>
          </cell>
          <cell r="J303">
            <v>840000</v>
          </cell>
          <cell r="K303">
            <v>334</v>
          </cell>
          <cell r="L303">
            <v>4.1916167664670656</v>
          </cell>
          <cell r="M303" t="str">
            <v>Und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02/06/2020</v>
          </cell>
          <cell r="I304">
            <v>40470</v>
          </cell>
          <cell r="J304">
            <v>894387</v>
          </cell>
          <cell r="K304">
            <v>200</v>
          </cell>
          <cell r="L304">
            <v>202.35</v>
          </cell>
          <cell r="M304" t="str">
            <v>Und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29/05/2020</v>
          </cell>
          <cell r="I305">
            <v>76.406666666666695</v>
          </cell>
          <cell r="J305">
            <v>322554</v>
          </cell>
          <cell r="K305">
            <v>1</v>
          </cell>
          <cell r="L305">
            <v>76.406666666666695</v>
          </cell>
          <cell r="M305" t="str">
            <v>Und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591.32000000000005</v>
          </cell>
          <cell r="J306">
            <v>391729</v>
          </cell>
          <cell r="K306">
            <v>100</v>
          </cell>
          <cell r="L306">
            <v>5.9132000000000007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  <cell r="H307" t="str">
            <v>05/06/2020</v>
          </cell>
          <cell r="I307">
            <v>1500</v>
          </cell>
          <cell r="J307">
            <v>1995000</v>
          </cell>
          <cell r="K307">
            <v>28</v>
          </cell>
          <cell r="L307">
            <v>53.571428571428569</v>
          </cell>
          <cell r="M307" t="str">
            <v>Und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  <cell r="H308" t="str">
            <v>15/06/2020</v>
          </cell>
          <cell r="I308">
            <v>36</v>
          </cell>
          <cell r="J308">
            <v>1194600</v>
          </cell>
          <cell r="K308">
            <v>1</v>
          </cell>
          <cell r="L308">
            <v>36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11/06/2020</v>
          </cell>
          <cell r="I309">
            <v>24795</v>
          </cell>
          <cell r="J309">
            <v>365821</v>
          </cell>
          <cell r="K309">
            <v>20</v>
          </cell>
          <cell r="L309">
            <v>1239.75</v>
          </cell>
          <cell r="M309" t="str">
            <v>Und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  <cell r="H310" t="str">
            <v>30/04/2020</v>
          </cell>
          <cell r="I310">
            <v>28880</v>
          </cell>
          <cell r="J310">
            <v>456960</v>
          </cell>
          <cell r="K310">
            <v>480</v>
          </cell>
          <cell r="L310">
            <v>60.166666666666664</v>
          </cell>
          <cell r="M310" t="str">
            <v>Gramos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  <cell r="H311" t="str">
            <v>01/02/2020</v>
          </cell>
          <cell r="I311">
            <v>4402</v>
          </cell>
          <cell r="J311">
            <v>117504</v>
          </cell>
          <cell r="K311">
            <v>1000</v>
          </cell>
          <cell r="L311">
            <v>4.4020000000000001</v>
          </cell>
          <cell r="M311" t="str">
            <v>Und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95.6</v>
          </cell>
          <cell r="J312">
            <v>539500</v>
          </cell>
          <cell r="K312">
            <v>1</v>
          </cell>
          <cell r="L312">
            <v>95.6</v>
          </cell>
          <cell r="M312" t="str">
            <v>Und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05/06/2020</v>
          </cell>
          <cell r="I313">
            <v>66</v>
          </cell>
          <cell r="J313">
            <v>387400</v>
          </cell>
          <cell r="K313">
            <v>1</v>
          </cell>
          <cell r="L313">
            <v>66</v>
          </cell>
          <cell r="M313" t="str">
            <v>Und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  <cell r="H314" t="str">
            <v>15/06/2020</v>
          </cell>
          <cell r="I314">
            <v>87.968000000000004</v>
          </cell>
          <cell r="J314">
            <v>2341465</v>
          </cell>
          <cell r="K314">
            <v>250</v>
          </cell>
          <cell r="L314">
            <v>0.35187200000000002</v>
          </cell>
          <cell r="M314" t="str">
            <v>Und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10/06/2020</v>
          </cell>
          <cell r="I315">
            <v>498</v>
          </cell>
          <cell r="J315">
            <v>59926500</v>
          </cell>
          <cell r="K315">
            <v>1</v>
          </cell>
          <cell r="L315">
            <v>498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  <cell r="H316" t="str">
            <v>20/05/2020</v>
          </cell>
          <cell r="I316">
            <v>195</v>
          </cell>
          <cell r="J316">
            <v>897250</v>
          </cell>
          <cell r="K316">
            <v>1</v>
          </cell>
          <cell r="L316">
            <v>195</v>
          </cell>
          <cell r="M316" t="str">
            <v>Und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22/05/2020</v>
          </cell>
          <cell r="I317">
            <v>4361</v>
          </cell>
          <cell r="J317">
            <v>364143.5</v>
          </cell>
          <cell r="K317">
            <v>100</v>
          </cell>
          <cell r="L317">
            <v>43.61</v>
          </cell>
          <cell r="M317" t="str">
            <v>Und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  <cell r="H318" t="str">
            <v>27/12/2019</v>
          </cell>
          <cell r="I318" t="e">
            <v>#N/A</v>
          </cell>
          <cell r="J318">
            <v>2490</v>
          </cell>
          <cell r="K318">
            <v>100</v>
          </cell>
          <cell r="L318" t="e">
            <v>#N/A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  <cell r="H319" t="str">
            <v>09/03/2020</v>
          </cell>
          <cell r="I319" t="e">
            <v>#N/A</v>
          </cell>
          <cell r="J319">
            <v>400608</v>
          </cell>
          <cell r="K319">
            <v>600</v>
          </cell>
          <cell r="L319" t="e">
            <v>#N/A</v>
          </cell>
          <cell r="M319" t="str">
            <v>Und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25/05/2020</v>
          </cell>
          <cell r="I320">
            <v>4402</v>
          </cell>
          <cell r="J320">
            <v>316854.15999999997</v>
          </cell>
          <cell r="K320">
            <v>378</v>
          </cell>
          <cell r="L320">
            <v>11.645502645502646</v>
          </cell>
          <cell r="M320" t="str">
            <v>Und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22/04/2020</v>
          </cell>
          <cell r="I321">
            <v>486</v>
          </cell>
          <cell r="J321">
            <v>303450</v>
          </cell>
          <cell r="K321">
            <v>1</v>
          </cell>
          <cell r="L321">
            <v>486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  <cell r="H322" t="str">
            <v>13/03/2020</v>
          </cell>
          <cell r="I322">
            <v>31800</v>
          </cell>
          <cell r="J322">
            <v>190800</v>
          </cell>
          <cell r="K322">
            <v>600</v>
          </cell>
          <cell r="L322">
            <v>53</v>
          </cell>
          <cell r="M322" t="str">
            <v>Und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15/05/2020</v>
          </cell>
          <cell r="I323">
            <v>85</v>
          </cell>
          <cell r="J323">
            <v>2772000</v>
          </cell>
          <cell r="K323">
            <v>1</v>
          </cell>
          <cell r="L323">
            <v>85</v>
          </cell>
          <cell r="M323" t="str">
            <v>Und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12/06/2020</v>
          </cell>
          <cell r="I324">
            <v>121</v>
          </cell>
          <cell r="J324">
            <v>10744800</v>
          </cell>
          <cell r="K324">
            <v>1</v>
          </cell>
          <cell r="L324">
            <v>121</v>
          </cell>
          <cell r="M324" t="str">
            <v>Und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10/06/2020</v>
          </cell>
          <cell r="I325">
            <v>598</v>
          </cell>
          <cell r="J325">
            <v>1309000</v>
          </cell>
          <cell r="K325">
            <v>1</v>
          </cell>
          <cell r="L325">
            <v>598</v>
          </cell>
          <cell r="M325" t="str">
            <v>Und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16/06/2020</v>
          </cell>
          <cell r="I326">
            <v>12340</v>
          </cell>
          <cell r="J326">
            <v>9782532</v>
          </cell>
          <cell r="K326">
            <v>200</v>
          </cell>
          <cell r="L326">
            <v>61.7</v>
          </cell>
          <cell r="M326" t="str">
            <v>Und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29/05/2020</v>
          </cell>
          <cell r="I327" t="e">
            <v>#N/A</v>
          </cell>
          <cell r="J327">
            <v>505000</v>
          </cell>
          <cell r="K327">
            <v>1500</v>
          </cell>
          <cell r="L327" t="e">
            <v>#N/A</v>
          </cell>
          <cell r="M327" t="str">
            <v>Und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12/06/2020</v>
          </cell>
          <cell r="I328">
            <v>348</v>
          </cell>
          <cell r="J328">
            <v>1694580</v>
          </cell>
          <cell r="K328">
            <v>1</v>
          </cell>
          <cell r="L328">
            <v>348</v>
          </cell>
          <cell r="M328" t="str">
            <v>Und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  <cell r="H329" t="str">
            <v>12/06/2020</v>
          </cell>
          <cell r="I329">
            <v>17520</v>
          </cell>
          <cell r="J329">
            <v>17001749</v>
          </cell>
          <cell r="K329">
            <v>900</v>
          </cell>
          <cell r="L329">
            <v>19.466666666666665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  <cell r="H330" t="str">
            <v>15/04/2020</v>
          </cell>
          <cell r="I330">
            <v>104940</v>
          </cell>
          <cell r="J330">
            <v>623693.4</v>
          </cell>
          <cell r="K330">
            <v>13600</v>
          </cell>
          <cell r="L330">
            <v>7.716176470588235</v>
          </cell>
          <cell r="M330" t="str">
            <v>Gramos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  <cell r="H331" t="str">
            <v>16/06/2020</v>
          </cell>
          <cell r="I331">
            <v>600</v>
          </cell>
          <cell r="J331">
            <v>1907748</v>
          </cell>
          <cell r="K331">
            <v>1000</v>
          </cell>
          <cell r="L331">
            <v>0.6</v>
          </cell>
          <cell r="M331" t="str">
            <v>Gramos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  <cell r="H332" t="str">
            <v>15/06/2020</v>
          </cell>
          <cell r="I332">
            <v>1560</v>
          </cell>
          <cell r="J332">
            <v>25324</v>
          </cell>
          <cell r="K332">
            <v>1000</v>
          </cell>
          <cell r="L332">
            <v>1.56</v>
          </cell>
          <cell r="M332" t="str">
            <v>Und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  <cell r="H333" t="str">
            <v>12/06/2020</v>
          </cell>
          <cell r="I333">
            <v>25.8</v>
          </cell>
          <cell r="J333">
            <v>2591660</v>
          </cell>
          <cell r="K333">
            <v>1</v>
          </cell>
          <cell r="L333">
            <v>25.8</v>
          </cell>
          <cell r="M333" t="str">
            <v>Und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  <cell r="H334" t="str">
            <v>19/03/2020</v>
          </cell>
          <cell r="I334">
            <v>3056.2</v>
          </cell>
          <cell r="J334">
            <v>434084</v>
          </cell>
          <cell r="K334">
            <v>1000</v>
          </cell>
          <cell r="L334">
            <v>3.0562</v>
          </cell>
          <cell r="M334" t="str">
            <v>Gramos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  <cell r="H335" t="str">
            <v>05/06/2020</v>
          </cell>
          <cell r="I335">
            <v>4700</v>
          </cell>
          <cell r="J335">
            <v>1203200</v>
          </cell>
          <cell r="K335">
            <v>25000</v>
          </cell>
          <cell r="L335">
            <v>0.188</v>
          </cell>
          <cell r="M335" t="str">
            <v>Gramos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  <cell r="H336" t="str">
            <v>15/06/2020</v>
          </cell>
          <cell r="I336">
            <v>20027</v>
          </cell>
          <cell r="J336">
            <v>1827059</v>
          </cell>
          <cell r="K336">
            <v>350</v>
          </cell>
          <cell r="L336">
            <v>57.22</v>
          </cell>
          <cell r="M336" t="str">
            <v>Und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  <cell r="H337" t="str">
            <v>13/06/2020</v>
          </cell>
          <cell r="I337">
            <v>3151.8</v>
          </cell>
          <cell r="J337">
            <v>8126601.1200000001</v>
          </cell>
          <cell r="K337">
            <v>2500</v>
          </cell>
          <cell r="L337">
            <v>1.2607200000000001</v>
          </cell>
          <cell r="M337" t="str">
            <v>Gramos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  <cell r="H338" t="str">
            <v>17/03/2020</v>
          </cell>
          <cell r="I338" t="e">
            <v>#N/A</v>
          </cell>
          <cell r="J338">
            <v>206856</v>
          </cell>
          <cell r="K338">
            <v>1000</v>
          </cell>
          <cell r="L338" t="e">
            <v>#N/A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21/03/2020</v>
          </cell>
          <cell r="I339">
            <v>4151.3999999999996</v>
          </cell>
          <cell r="J339">
            <v>48820.464</v>
          </cell>
          <cell r="K339">
            <v>850</v>
          </cell>
          <cell r="L339">
            <v>4.8839999999999995</v>
          </cell>
          <cell r="M339" t="str">
            <v>Mililitros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12/05/2020</v>
          </cell>
          <cell r="I340">
            <v>15230</v>
          </cell>
          <cell r="J340">
            <v>29572</v>
          </cell>
          <cell r="K340">
            <v>2500</v>
          </cell>
          <cell r="L340">
            <v>6.0919999999999996</v>
          </cell>
          <cell r="M340" t="str">
            <v>Gramos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  <cell r="H341" t="str">
            <v>12/06/2020</v>
          </cell>
          <cell r="I341">
            <v>3461</v>
          </cell>
          <cell r="J341">
            <v>2277584</v>
          </cell>
          <cell r="K341">
            <v>3000</v>
          </cell>
          <cell r="L341">
            <v>1.1536666666666666</v>
          </cell>
          <cell r="M341" t="str">
            <v>Gramos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08/06/2020</v>
          </cell>
          <cell r="I342">
            <v>686</v>
          </cell>
          <cell r="J342">
            <v>1640912</v>
          </cell>
          <cell r="K342">
            <v>500</v>
          </cell>
          <cell r="L342">
            <v>1.3720000000000001</v>
          </cell>
          <cell r="M342" t="str">
            <v>Gramos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  <cell r="H343" t="str">
            <v>08/06/2020</v>
          </cell>
          <cell r="I343">
            <v>2238</v>
          </cell>
          <cell r="J343">
            <v>349128</v>
          </cell>
          <cell r="K343">
            <v>2500</v>
          </cell>
          <cell r="L343">
            <v>0.8952</v>
          </cell>
          <cell r="M343" t="str">
            <v>Gramos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04/01/2020</v>
          </cell>
          <cell r="I344" t="e">
            <v>#N/A</v>
          </cell>
          <cell r="J344">
            <v>18601</v>
          </cell>
          <cell r="K344">
            <v>680</v>
          </cell>
          <cell r="L344" t="e">
            <v>#N/A</v>
          </cell>
          <cell r="M344" t="str">
            <v>Gramos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9861.5</v>
          </cell>
          <cell r="J345">
            <v>572472</v>
          </cell>
          <cell r="K345">
            <v>3780</v>
          </cell>
          <cell r="L345">
            <v>2.6088624338624338</v>
          </cell>
          <cell r="M345" t="str">
            <v>Mililitros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08/06/2020</v>
          </cell>
          <cell r="I346">
            <v>17014</v>
          </cell>
          <cell r="J346">
            <v>977498</v>
          </cell>
          <cell r="K346">
            <v>15880</v>
          </cell>
          <cell r="L346">
            <v>1.0714105793450881</v>
          </cell>
          <cell r="M346" t="str">
            <v>Mililitros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  <cell r="H347" t="str">
            <v>15/06/2020</v>
          </cell>
          <cell r="I347">
            <v>21354</v>
          </cell>
          <cell r="J347">
            <v>39057825</v>
          </cell>
          <cell r="K347">
            <v>17000</v>
          </cell>
          <cell r="L347">
            <v>1.2561176470588236</v>
          </cell>
          <cell r="M347" t="str">
            <v>Mililitros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19/03/2020</v>
          </cell>
          <cell r="I348">
            <v>3396</v>
          </cell>
          <cell r="J348">
            <v>142115</v>
          </cell>
          <cell r="K348">
            <v>3785</v>
          </cell>
          <cell r="L348">
            <v>0.89722589167767508</v>
          </cell>
          <cell r="M348" t="str">
            <v>Mililitros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01/06/2020</v>
          </cell>
          <cell r="I349">
            <v>1552</v>
          </cell>
          <cell r="J349">
            <v>1642880</v>
          </cell>
          <cell r="K349">
            <v>2000</v>
          </cell>
          <cell r="L349">
            <v>0.77600000000000002</v>
          </cell>
          <cell r="M349" t="str">
            <v>Gramos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04/06/2020</v>
          </cell>
          <cell r="I350">
            <v>2729</v>
          </cell>
          <cell r="J350">
            <v>693166</v>
          </cell>
          <cell r="K350">
            <v>1800</v>
          </cell>
          <cell r="L350">
            <v>1.5161111111111112</v>
          </cell>
          <cell r="M350" t="str">
            <v>Gramos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  <cell r="H351" t="str">
            <v>05/06/2020</v>
          </cell>
          <cell r="I351">
            <v>15600</v>
          </cell>
          <cell r="J351">
            <v>10280400</v>
          </cell>
          <cell r="K351">
            <v>1500</v>
          </cell>
          <cell r="L351">
            <v>10.4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10/02/2020</v>
          </cell>
          <cell r="I352" t="e">
            <v>#N/A</v>
          </cell>
          <cell r="J352">
            <v>6014</v>
          </cell>
          <cell r="K352">
            <v>425</v>
          </cell>
          <cell r="L352" t="e">
            <v>#N/A</v>
          </cell>
          <cell r="M352" t="str">
            <v>Mililitros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  <cell r="H353" t="str">
            <v>28/01/2020</v>
          </cell>
          <cell r="I353">
            <v>2542.11</v>
          </cell>
          <cell r="J353">
            <v>873264</v>
          </cell>
          <cell r="K353">
            <v>250</v>
          </cell>
          <cell r="L353">
            <v>10.16844</v>
          </cell>
          <cell r="M353" t="str">
            <v>Mililitros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1684.21</v>
          </cell>
          <cell r="J354">
            <v>2302800</v>
          </cell>
          <cell r="K354">
            <v>390</v>
          </cell>
          <cell r="L354">
            <v>4.31848717948718</v>
          </cell>
          <cell r="M354" t="str">
            <v>Gramos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08/06/2020</v>
          </cell>
          <cell r="I355">
            <v>237.916666666667</v>
          </cell>
          <cell r="J355">
            <v>95955.999999999796</v>
          </cell>
          <cell r="K355">
            <v>500</v>
          </cell>
          <cell r="L355">
            <v>0.475833333333334</v>
          </cell>
          <cell r="M355" t="str">
            <v>Gramos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  <cell r="H356" t="str">
            <v>13/06/2020</v>
          </cell>
          <cell r="I356">
            <v>1902.3</v>
          </cell>
          <cell r="J356">
            <v>188155.69403399999</v>
          </cell>
          <cell r="K356">
            <v>250</v>
          </cell>
          <cell r="L356">
            <v>7.6091999999999995</v>
          </cell>
          <cell r="M356" t="str">
            <v>Gramos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  <cell r="H357" t="str">
            <v>30/03/2020</v>
          </cell>
          <cell r="I357">
            <v>81.710833333333298</v>
          </cell>
          <cell r="J357">
            <v>7110</v>
          </cell>
          <cell r="K357">
            <v>1</v>
          </cell>
          <cell r="L357">
            <v>81.710833333333298</v>
          </cell>
          <cell r="M357" t="str">
            <v>UND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16/06/2020</v>
          </cell>
          <cell r="I358">
            <v>1050</v>
          </cell>
          <cell r="J358">
            <v>2802900</v>
          </cell>
          <cell r="K358">
            <v>50</v>
          </cell>
          <cell r="L358">
            <v>21</v>
          </cell>
          <cell r="M358" t="str">
            <v>Mililitros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  <cell r="H359" t="str">
            <v>24/03/2020</v>
          </cell>
          <cell r="I359">
            <v>11945.85</v>
          </cell>
          <cell r="J359">
            <v>1983011.1</v>
          </cell>
          <cell r="K359">
            <v>2000</v>
          </cell>
          <cell r="L359">
            <v>5.972925</v>
          </cell>
          <cell r="M359" t="str">
            <v>Mililitros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  <cell r="H360" t="str">
            <v>18/05/2020</v>
          </cell>
          <cell r="I360" t="e">
            <v>#N/A</v>
          </cell>
          <cell r="J360">
            <v>1210</v>
          </cell>
          <cell r="K360">
            <v>250</v>
          </cell>
          <cell r="L360" t="e">
            <v>#N/A</v>
          </cell>
          <cell r="M360" t="str">
            <v>Mililitros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19/05/2020</v>
          </cell>
          <cell r="I361">
            <v>495.83333333333297</v>
          </cell>
          <cell r="J361">
            <v>234529.16666666701</v>
          </cell>
          <cell r="K361">
            <v>180</v>
          </cell>
          <cell r="L361">
            <v>2.7546296296296275</v>
          </cell>
          <cell r="M361" t="str">
            <v>Gramos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  <cell r="H362" t="str">
            <v>10/12/2019</v>
          </cell>
          <cell r="I362">
            <v>1190</v>
          </cell>
          <cell r="J362">
            <v>1190</v>
          </cell>
          <cell r="K362">
            <v>900</v>
          </cell>
          <cell r="L362">
            <v>1.3222222222222222</v>
          </cell>
          <cell r="M362" t="str">
            <v>Gramos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28/05/2020</v>
          </cell>
          <cell r="I363">
            <v>10961</v>
          </cell>
          <cell r="J363">
            <v>111636</v>
          </cell>
          <cell r="K363">
            <v>1820</v>
          </cell>
          <cell r="L363">
            <v>6.0225274725274724</v>
          </cell>
          <cell r="M363" t="str">
            <v>Gramos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  <cell r="H364" t="str">
            <v>15/06/2020</v>
          </cell>
          <cell r="I364">
            <v>2654.86</v>
          </cell>
          <cell r="J364">
            <v>748560.14</v>
          </cell>
          <cell r="K364">
            <v>1500</v>
          </cell>
          <cell r="L364" t="e">
            <v>#DIV/0!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  <cell r="H365" t="str">
            <v>02/06/2020</v>
          </cell>
          <cell r="I365">
            <v>3375</v>
          </cell>
          <cell r="J365">
            <v>1220915</v>
          </cell>
          <cell r="K365">
            <v>3140</v>
          </cell>
          <cell r="L365">
            <v>1.0748407643312101</v>
          </cell>
          <cell r="M365" t="str">
            <v>Gramos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15/06/2020</v>
          </cell>
          <cell r="I366">
            <v>923</v>
          </cell>
          <cell r="J366">
            <v>3289572</v>
          </cell>
          <cell r="K366">
            <v>250</v>
          </cell>
          <cell r="L366" t="e">
            <v>#DIV/0!</v>
          </cell>
          <cell r="M366" t="str">
            <v>Mililitros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  <cell r="H367" t="str">
            <v>25/03/2020</v>
          </cell>
          <cell r="I367" t="e">
            <v>#N/A</v>
          </cell>
          <cell r="J367">
            <v>1437433.64</v>
          </cell>
          <cell r="K367">
            <v>40</v>
          </cell>
          <cell r="L367" t="e">
            <v>#N/A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01/06/2020</v>
          </cell>
          <cell r="I368">
            <v>1655</v>
          </cell>
          <cell r="J368">
            <v>26480</v>
          </cell>
          <cell r="K368">
            <v>1000</v>
          </cell>
          <cell r="L368">
            <v>1.655</v>
          </cell>
          <cell r="M368" t="str">
            <v>Gramos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16/06/2020</v>
          </cell>
          <cell r="I369">
            <v>550</v>
          </cell>
          <cell r="J369">
            <v>240350</v>
          </cell>
          <cell r="K369">
            <v>200</v>
          </cell>
          <cell r="L369">
            <v>2.75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18/01/2020</v>
          </cell>
          <cell r="I370">
            <v>2680</v>
          </cell>
          <cell r="J370">
            <v>1624350</v>
          </cell>
          <cell r="K370">
            <v>48</v>
          </cell>
          <cell r="L370" t="e">
            <v>#DIV/0!</v>
          </cell>
          <cell r="M370" t="str">
            <v>und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  <cell r="H371" t="str">
            <v>15/06/2020</v>
          </cell>
          <cell r="I371" t="e">
            <v>#N/A</v>
          </cell>
          <cell r="J371">
            <v>1308846.6599999999</v>
          </cell>
          <cell r="K371">
            <v>70</v>
          </cell>
          <cell r="L371" t="e">
            <v>#N/A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24/03/2020</v>
          </cell>
          <cell r="I372">
            <v>4950</v>
          </cell>
          <cell r="J372">
            <v>89100</v>
          </cell>
          <cell r="K372">
            <v>2270</v>
          </cell>
          <cell r="L372">
            <v>2.1806167400881056</v>
          </cell>
          <cell r="M372" t="str">
            <v>Gramos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  <cell r="H373" t="str">
            <v>05/06/2020</v>
          </cell>
          <cell r="I373">
            <v>35050.199999999997</v>
          </cell>
          <cell r="J373">
            <v>199789.16</v>
          </cell>
          <cell r="K373">
            <v>50000</v>
          </cell>
          <cell r="L373">
            <v>0.70100399999999996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  <cell r="H374" t="str">
            <v>28/05/2020</v>
          </cell>
          <cell r="I374" t="e">
            <v>#N/A</v>
          </cell>
          <cell r="J374">
            <v>6855429</v>
          </cell>
          <cell r="K374">
            <v>1800</v>
          </cell>
          <cell r="L374" t="e">
            <v>#N/A</v>
          </cell>
          <cell r="M374" t="str">
            <v>Gramos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  <cell r="H375" t="str">
            <v>08/02/2020</v>
          </cell>
          <cell r="I375" t="e">
            <v>#N/A</v>
          </cell>
          <cell r="J375">
            <v>3253080</v>
          </cell>
          <cell r="K375">
            <v>900</v>
          </cell>
          <cell r="L375" t="e">
            <v>#N/A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  <cell r="H376" t="str">
            <v>15/02/2020</v>
          </cell>
          <cell r="I376">
            <v>10076</v>
          </cell>
          <cell r="J376">
            <v>2977120</v>
          </cell>
          <cell r="K376">
            <v>4000</v>
          </cell>
          <cell r="L376">
            <v>2.1411500000000001</v>
          </cell>
          <cell r="M376" t="str">
            <v>Gramos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17/03/2020</v>
          </cell>
          <cell r="I377">
            <v>21501</v>
          </cell>
          <cell r="J377">
            <v>1655577</v>
          </cell>
          <cell r="K377">
            <v>5160</v>
          </cell>
          <cell r="L377" t="e">
            <v>#DIV/0!</v>
          </cell>
          <cell r="M377" t="str">
            <v>Gramos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  <cell r="H378" t="str">
            <v>12/06/2020</v>
          </cell>
          <cell r="I378">
            <v>6196</v>
          </cell>
          <cell r="J378">
            <v>118042</v>
          </cell>
          <cell r="K378">
            <v>4000</v>
          </cell>
          <cell r="L378">
            <v>1.5489999999999999</v>
          </cell>
          <cell r="M378" t="str">
            <v>Gramos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  <cell r="H379" t="str">
            <v>15/06/2020</v>
          </cell>
          <cell r="I379">
            <v>13881</v>
          </cell>
          <cell r="J379">
            <v>7828884</v>
          </cell>
          <cell r="K379">
            <v>12000</v>
          </cell>
          <cell r="L379" t="e">
            <v>#DIV/0!</v>
          </cell>
          <cell r="M379" t="str">
            <v>Gramos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  <cell r="H380" t="str">
            <v>21/03/2020</v>
          </cell>
          <cell r="I380" t="e">
            <v>#N/A</v>
          </cell>
          <cell r="J380">
            <v>440629</v>
          </cell>
          <cell r="K380">
            <v>40</v>
          </cell>
          <cell r="L380" t="e">
            <v>#N/A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  <cell r="H381" t="str">
            <v>14/12/2019</v>
          </cell>
          <cell r="I381" t="e">
            <v>#N/A</v>
          </cell>
          <cell r="J381">
            <v>2400</v>
          </cell>
          <cell r="K381">
            <v>368</v>
          </cell>
          <cell r="L381" t="e">
            <v>#N/A</v>
          </cell>
          <cell r="M381" t="str">
            <v>Gramos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  <cell r="H382" t="str">
            <v>17/03/2020</v>
          </cell>
          <cell r="I382">
            <v>59242</v>
          </cell>
          <cell r="J382">
            <v>473936</v>
          </cell>
          <cell r="K382">
            <v>25000</v>
          </cell>
          <cell r="L382">
            <v>2.3696799999999998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  <cell r="H383" t="str">
            <v>16/03/2020</v>
          </cell>
          <cell r="I383">
            <v>1215</v>
          </cell>
          <cell r="J383">
            <v>277020</v>
          </cell>
          <cell r="K383">
            <v>3785</v>
          </cell>
          <cell r="L383">
            <v>0.32100396301188905</v>
          </cell>
          <cell r="M383" t="str">
            <v>und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05/02/2020</v>
          </cell>
          <cell r="I384" t="e">
            <v>#N/A</v>
          </cell>
          <cell r="J384">
            <v>108166.53</v>
          </cell>
          <cell r="K384">
            <v>25000</v>
          </cell>
          <cell r="L384" t="e">
            <v>#N/A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19/03/2020</v>
          </cell>
          <cell r="I385" t="e">
            <v>#N/A</v>
          </cell>
          <cell r="J385">
            <v>1062072</v>
          </cell>
          <cell r="K385">
            <v>10000</v>
          </cell>
          <cell r="L385" t="e">
            <v>#N/A</v>
          </cell>
          <cell r="M385" t="str">
            <v>Gramos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21/05/2020</v>
          </cell>
          <cell r="I386" t="e">
            <v>#N/A</v>
          </cell>
          <cell r="J386">
            <v>11000000</v>
          </cell>
          <cell r="K386">
            <v>2000</v>
          </cell>
          <cell r="L386" t="e">
            <v>#N/A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  <cell r="H387" t="str">
            <v>23/04/2020</v>
          </cell>
          <cell r="I387">
            <v>2353</v>
          </cell>
          <cell r="J387">
            <v>491777</v>
          </cell>
          <cell r="K387">
            <v>4000</v>
          </cell>
          <cell r="L387">
            <v>0.58825000000000005</v>
          </cell>
          <cell r="M387" t="str">
            <v>Gramos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14/01/2020</v>
          </cell>
          <cell r="I388" t="e">
            <v>#N/A</v>
          </cell>
          <cell r="J388">
            <v>45580.53</v>
          </cell>
          <cell r="K388">
            <v>5000</v>
          </cell>
          <cell r="L388" t="e">
            <v>#DIV/0!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14/01/2020</v>
          </cell>
          <cell r="I389" t="e">
            <v>#N/A</v>
          </cell>
          <cell r="J389">
            <v>7292.8847999999998</v>
          </cell>
          <cell r="K389">
            <v>1000</v>
          </cell>
          <cell r="L389" t="e">
            <v>#N/A</v>
          </cell>
          <cell r="M389" t="str">
            <v>Gramos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  <cell r="H390" t="str">
            <v>13/06/2020</v>
          </cell>
          <cell r="I390">
            <v>3450</v>
          </cell>
          <cell r="J390">
            <v>11360850</v>
          </cell>
          <cell r="K390">
            <v>3000</v>
          </cell>
          <cell r="L390">
            <v>1.1499999999999999</v>
          </cell>
          <cell r="M390" t="str">
            <v>Gramos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10/06/2020</v>
          </cell>
          <cell r="I391" t="e">
            <v>#N/A</v>
          </cell>
          <cell r="J391">
            <v>65386.74</v>
          </cell>
          <cell r="K391">
            <v>1000</v>
          </cell>
          <cell r="L391" t="e">
            <v>#N/A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  <cell r="H392" t="str">
            <v>06/06/2020</v>
          </cell>
          <cell r="I392">
            <v>4000</v>
          </cell>
          <cell r="J392">
            <v>2368000</v>
          </cell>
          <cell r="K392">
            <v>3785</v>
          </cell>
          <cell r="L392">
            <v>1.0568031704095113</v>
          </cell>
          <cell r="M392" t="str">
            <v>Gramos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27/03/2020</v>
          </cell>
          <cell r="I393">
            <v>4415.5</v>
          </cell>
          <cell r="J393">
            <v>37748.471599999997</v>
          </cell>
          <cell r="K393">
            <v>1000</v>
          </cell>
          <cell r="L393" t="e">
            <v>#DIV/0!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21/05/2020</v>
          </cell>
          <cell r="I394">
            <v>3398</v>
          </cell>
          <cell r="J394">
            <v>499506</v>
          </cell>
          <cell r="K394">
            <v>1000</v>
          </cell>
          <cell r="L394">
            <v>3.3980000000000001</v>
          </cell>
          <cell r="M394" t="str">
            <v>Gramos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  <cell r="H395" t="str">
            <v>15/06/2020</v>
          </cell>
          <cell r="I395" t="e">
            <v>#N/A</v>
          </cell>
          <cell r="J395">
            <v>86564.758000000002</v>
          </cell>
          <cell r="K395">
            <v>300</v>
          </cell>
          <cell r="L395" t="e">
            <v>#N/A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26/05/2020</v>
          </cell>
          <cell r="I396" t="e">
            <v>#N/A</v>
          </cell>
          <cell r="J396">
            <v>91375.902000000002</v>
          </cell>
          <cell r="K396">
            <v>1000</v>
          </cell>
          <cell r="L396" t="e">
            <v>#N/A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  <cell r="H397" t="str">
            <v>16/01/2020</v>
          </cell>
          <cell r="I397">
            <v>18503.636363599999</v>
          </cell>
          <cell r="J397">
            <v>342740</v>
          </cell>
          <cell r="K397">
            <v>18000</v>
          </cell>
          <cell r="L397">
            <v>1.0279797979777776</v>
          </cell>
          <cell r="M397" t="str">
            <v>Gramos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  <cell r="H398" t="str">
            <v>17/01/2020</v>
          </cell>
          <cell r="I398" t="e">
            <v>#N/A</v>
          </cell>
          <cell r="J398">
            <v>12080.88</v>
          </cell>
          <cell r="K398">
            <v>1000</v>
          </cell>
          <cell r="L398" t="e">
            <v>#N/A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  <cell r="H399" t="str">
            <v>15/06/2020</v>
          </cell>
          <cell r="I399">
            <v>4000.82</v>
          </cell>
          <cell r="J399">
            <v>2753865.9993500002</v>
          </cell>
          <cell r="K399">
            <v>1000</v>
          </cell>
          <cell r="L399">
            <v>4.00082</v>
          </cell>
          <cell r="M399" t="str">
            <v>Gramos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  <cell r="H400" t="str">
            <v>15/06/2020</v>
          </cell>
          <cell r="I400">
            <v>4000</v>
          </cell>
          <cell r="J400">
            <v>1642244</v>
          </cell>
          <cell r="K400">
            <v>1000</v>
          </cell>
          <cell r="L400">
            <v>4</v>
          </cell>
          <cell r="M400" t="str">
            <v>Gramos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  <cell r="H401" t="str">
            <v>15/06/2020</v>
          </cell>
          <cell r="I401" t="e">
            <v>#N/A</v>
          </cell>
          <cell r="J401">
            <v>6502696</v>
          </cell>
          <cell r="K401">
            <v>5000</v>
          </cell>
          <cell r="L401" t="e">
            <v>#N/A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  <cell r="H402" t="str">
            <v>13/06/2020</v>
          </cell>
          <cell r="I402">
            <v>11386.01</v>
          </cell>
          <cell r="J402">
            <v>314301.25</v>
          </cell>
          <cell r="K402">
            <v>25000</v>
          </cell>
          <cell r="L402">
            <v>0.45544040000000002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  <cell r="H403" t="str">
            <v>19/03/2020</v>
          </cell>
          <cell r="I403">
            <v>3211</v>
          </cell>
          <cell r="J403">
            <v>471043</v>
          </cell>
          <cell r="K403">
            <v>1000</v>
          </cell>
          <cell r="L403">
            <v>3.2109999999999999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  <cell r="H404" t="str">
            <v>18/04/2020</v>
          </cell>
          <cell r="I404">
            <v>1056</v>
          </cell>
          <cell r="J404">
            <v>1000032</v>
          </cell>
          <cell r="K404">
            <v>210</v>
          </cell>
          <cell r="L404">
            <v>5.0285714285714285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  <cell r="H405" t="str">
            <v>11/06/2020</v>
          </cell>
          <cell r="I405">
            <v>9809</v>
          </cell>
          <cell r="J405">
            <v>10866702.539999999</v>
          </cell>
          <cell r="K405">
            <v>3785</v>
          </cell>
          <cell r="L405">
            <v>2.591545574636724</v>
          </cell>
          <cell r="M405" t="str">
            <v>Mililitros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  <cell r="H406" t="str">
            <v>27/03/2020</v>
          </cell>
          <cell r="I406" t="e">
            <v>#N/A</v>
          </cell>
          <cell r="J406">
            <v>122648.158</v>
          </cell>
          <cell r="K406">
            <v>5000</v>
          </cell>
          <cell r="L406" t="e">
            <v>#N/A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18/04/2020</v>
          </cell>
          <cell r="I407">
            <v>9320.5400000000009</v>
          </cell>
          <cell r="J407">
            <v>203491.24</v>
          </cell>
          <cell r="K407">
            <v>1000</v>
          </cell>
          <cell r="L407" t="e">
            <v>#DIV/0!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  <cell r="H408" t="str">
            <v>06/04/2020</v>
          </cell>
          <cell r="I408">
            <v>2465</v>
          </cell>
          <cell r="J408">
            <v>105995</v>
          </cell>
          <cell r="K408">
            <v>1000</v>
          </cell>
          <cell r="L408">
            <v>2.4649999999999999</v>
          </cell>
          <cell r="M408" t="str">
            <v>Gramos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28/05/2020</v>
          </cell>
          <cell r="I409" t="e">
            <v>#N/A</v>
          </cell>
          <cell r="J409">
            <v>243405</v>
          </cell>
          <cell r="K409">
            <v>40</v>
          </cell>
          <cell r="L409" t="e">
            <v>#N/A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  <cell r="H410" t="str">
            <v>16/06/2020</v>
          </cell>
          <cell r="I410" t="e">
            <v>#N/A</v>
          </cell>
          <cell r="J410">
            <v>1093125</v>
          </cell>
          <cell r="K410">
            <v>2500</v>
          </cell>
          <cell r="L410" t="e">
            <v>#N/A</v>
          </cell>
          <cell r="M410" t="str">
            <v>Gramos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  <cell r="H411" t="str">
            <v>15/06/2020</v>
          </cell>
          <cell r="I411">
            <v>11616</v>
          </cell>
          <cell r="J411">
            <v>418176</v>
          </cell>
          <cell r="K411">
            <v>1000</v>
          </cell>
          <cell r="L411" t="e">
            <v>#DIV/0!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  <cell r="H412" t="str">
            <v>15/06/2020</v>
          </cell>
          <cell r="I412" t="e">
            <v>#N/A</v>
          </cell>
          <cell r="J412">
            <v>154715</v>
          </cell>
          <cell r="K412">
            <v>1000</v>
          </cell>
          <cell r="L412" t="e">
            <v>#N/A</v>
          </cell>
          <cell r="M412" t="str">
            <v>Gramos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  <cell r="H413" t="str">
            <v>22/02/2020</v>
          </cell>
          <cell r="I413">
            <v>2742</v>
          </cell>
          <cell r="J413">
            <v>228580</v>
          </cell>
          <cell r="K413">
            <v>1000</v>
          </cell>
          <cell r="L413">
            <v>2.742</v>
          </cell>
          <cell r="M413" t="str">
            <v>Gramos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  <cell r="H414" t="str">
            <v>17/01/2020</v>
          </cell>
          <cell r="I414" t="e">
            <v>#N/A</v>
          </cell>
          <cell r="J414">
            <v>30236.46</v>
          </cell>
          <cell r="K414">
            <v>1000</v>
          </cell>
          <cell r="L414" t="e">
            <v>#DIV/0!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  <cell r="H415" t="str">
            <v>15/06/2020</v>
          </cell>
          <cell r="I415" t="e">
            <v>#N/A</v>
          </cell>
          <cell r="J415">
            <v>4881824.2538999999</v>
          </cell>
          <cell r="K415">
            <v>1000</v>
          </cell>
          <cell r="L415" t="e">
            <v>#N/A</v>
          </cell>
          <cell r="M415" t="str">
            <v>Gramos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  <cell r="H416" t="str">
            <v>04/06/2020</v>
          </cell>
          <cell r="I416" t="e">
            <v>#N/A</v>
          </cell>
          <cell r="J416">
            <v>11799520</v>
          </cell>
          <cell r="K416">
            <v>1000</v>
          </cell>
          <cell r="L416" t="e">
            <v>#N/A</v>
          </cell>
          <cell r="M416" t="str">
            <v>Gramos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  <cell r="H417" t="str">
            <v>25/05/2020</v>
          </cell>
          <cell r="I417" t="e">
            <v>#N/A</v>
          </cell>
          <cell r="J417">
            <v>1086785</v>
          </cell>
          <cell r="K417">
            <v>210</v>
          </cell>
          <cell r="L417" t="e">
            <v>#N/A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  <cell r="H418" t="str">
            <v>23/01/2020</v>
          </cell>
          <cell r="I418" t="e">
            <v>#N/A</v>
          </cell>
          <cell r="J418">
            <v>180900</v>
          </cell>
          <cell r="K418">
            <v>3785</v>
          </cell>
          <cell r="L418" t="e">
            <v>#N/A</v>
          </cell>
          <cell r="M418" t="str">
            <v>Mililitros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  <cell r="H419" t="str">
            <v>27/03/2020</v>
          </cell>
          <cell r="I419">
            <v>4995</v>
          </cell>
          <cell r="J419">
            <v>384291</v>
          </cell>
          <cell r="K419">
            <v>2300</v>
          </cell>
          <cell r="L419">
            <v>2.1717391304347826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  <cell r="H420" t="str">
            <v>30/05/2020</v>
          </cell>
          <cell r="I420" t="e">
            <v>#N/A</v>
          </cell>
          <cell r="J420">
            <v>103751</v>
          </cell>
          <cell r="K420">
            <v>3780</v>
          </cell>
          <cell r="L420" t="e">
            <v>#DIV/0!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  <cell r="H421" t="str">
            <v>16/06/2020</v>
          </cell>
          <cell r="I421">
            <v>600</v>
          </cell>
          <cell r="J421">
            <v>445826</v>
          </cell>
          <cell r="K421">
            <v>1000</v>
          </cell>
          <cell r="L421">
            <v>0.6</v>
          </cell>
          <cell r="M421" t="str">
            <v>Gramos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  <cell r="H422" t="str">
            <v>28/05/2020</v>
          </cell>
          <cell r="I422">
            <v>8428</v>
          </cell>
          <cell r="J422">
            <v>225246</v>
          </cell>
          <cell r="K422">
            <v>3785</v>
          </cell>
          <cell r="L422">
            <v>2.2266842800528401</v>
          </cell>
          <cell r="M422" t="str">
            <v>Gramos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17/01/2020</v>
          </cell>
          <cell r="I423" t="e">
            <v>#N/A</v>
          </cell>
          <cell r="J423">
            <v>108692</v>
          </cell>
          <cell r="K423">
            <v>2500</v>
          </cell>
          <cell r="L423" t="e">
            <v>#N/A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02/05/2020</v>
          </cell>
          <cell r="I424">
            <v>7500</v>
          </cell>
          <cell r="J424">
            <v>690000</v>
          </cell>
          <cell r="K424">
            <v>1000</v>
          </cell>
          <cell r="L424" t="e">
            <v>#DIV/0!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  <cell r="H425" t="str">
            <v>13/05/2020</v>
          </cell>
          <cell r="I425">
            <v>41400</v>
          </cell>
          <cell r="J425">
            <v>703800</v>
          </cell>
          <cell r="L425" t="e">
            <v>#DIV/0!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08/06/2020</v>
          </cell>
          <cell r="I426">
            <v>1940</v>
          </cell>
          <cell r="J426">
            <v>3021599</v>
          </cell>
          <cell r="K426">
            <v>1000</v>
          </cell>
          <cell r="L426">
            <v>1.94</v>
          </cell>
          <cell r="M426" t="str">
            <v>Gramos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  <cell r="H427" t="str">
            <v>01/06/2020</v>
          </cell>
          <cell r="I427">
            <v>9356.44</v>
          </cell>
          <cell r="J427">
            <v>1944798.98</v>
          </cell>
          <cell r="K427">
            <v>2000</v>
          </cell>
          <cell r="L427">
            <v>4.6782200000000005</v>
          </cell>
          <cell r="M427" t="str">
            <v>Gramos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  <cell r="H428" t="str">
            <v>08/06/2020</v>
          </cell>
          <cell r="I428">
            <v>28976</v>
          </cell>
          <cell r="J428">
            <v>1766787</v>
          </cell>
          <cell r="K428">
            <v>1000</v>
          </cell>
          <cell r="L428" t="e">
            <v>#DIV/0!</v>
          </cell>
          <cell r="M428" t="str">
            <v>Gramos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  <cell r="H429" t="str">
            <v>10/06/2020</v>
          </cell>
          <cell r="I429">
            <v>30491</v>
          </cell>
          <cell r="J429">
            <v>779169</v>
          </cell>
          <cell r="K429">
            <v>10432</v>
          </cell>
          <cell r="L429">
            <v>2.9228335889570554</v>
          </cell>
          <cell r="M429" t="str">
            <v>Gramos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  <cell r="H430" t="str">
            <v>26/03/2020</v>
          </cell>
          <cell r="I430">
            <v>1100</v>
          </cell>
          <cell r="J430">
            <v>4104000</v>
          </cell>
          <cell r="K430">
            <v>1000</v>
          </cell>
          <cell r="L430" t="e">
            <v>#DIV/0!</v>
          </cell>
          <cell r="M430" t="str">
            <v>Gramos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  <cell r="H431" t="str">
            <v>13/06/2020</v>
          </cell>
          <cell r="I431">
            <v>1000</v>
          </cell>
          <cell r="J431">
            <v>103500</v>
          </cell>
          <cell r="K431">
            <v>1000</v>
          </cell>
          <cell r="L431">
            <v>1</v>
          </cell>
          <cell r="M431" t="str">
            <v>Gramos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  <cell r="H432" t="str">
            <v>16/04/2020</v>
          </cell>
          <cell r="I432">
            <v>4419.3999999999996</v>
          </cell>
          <cell r="J432">
            <v>247151</v>
          </cell>
          <cell r="K432">
            <v>3785</v>
          </cell>
          <cell r="L432">
            <v>1.1676089828269485</v>
          </cell>
          <cell r="M432" t="str">
            <v>Mililitros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  <cell r="H433" t="str">
            <v>21/01/2020</v>
          </cell>
          <cell r="I433" t="e">
            <v>#N/A</v>
          </cell>
          <cell r="J433">
            <v>37850</v>
          </cell>
          <cell r="K433">
            <v>1000</v>
          </cell>
          <cell r="L433" t="e">
            <v>#N/A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25/05/2020</v>
          </cell>
          <cell r="I434" t="e">
            <v>#N/A</v>
          </cell>
          <cell r="J434">
            <v>637794</v>
          </cell>
          <cell r="K434">
            <v>25000</v>
          </cell>
          <cell r="L434" t="e">
            <v>#N/A</v>
          </cell>
          <cell r="M434" t="str">
            <v>Gramos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  <cell r="H435" t="str">
            <v>18/05/2020</v>
          </cell>
          <cell r="I435">
            <v>24010</v>
          </cell>
          <cell r="J435">
            <v>425191</v>
          </cell>
          <cell r="K435">
            <v>3785</v>
          </cell>
          <cell r="L435" t="e">
            <v>#DIV/0!</v>
          </cell>
          <cell r="M435" t="str">
            <v>Gramos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  <cell r="H436" t="str">
            <v>28/01/2020</v>
          </cell>
          <cell r="I436">
            <v>9429</v>
          </cell>
          <cell r="J436">
            <v>43700</v>
          </cell>
          <cell r="K436">
            <v>3700</v>
          </cell>
          <cell r="L436" t="e">
            <v>#DIV/0!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  <cell r="H437" t="str">
            <v>30/12/2019</v>
          </cell>
          <cell r="I437">
            <v>5777.3329999999996</v>
          </cell>
          <cell r="J437">
            <v>86659.994999999995</v>
          </cell>
          <cell r="K437">
            <v>1000</v>
          </cell>
          <cell r="L437">
            <v>5.7773329999999996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26/02/2020</v>
          </cell>
          <cell r="I438">
            <v>6050</v>
          </cell>
          <cell r="J438">
            <v>18338.999999999902</v>
          </cell>
          <cell r="K438">
            <v>60</v>
          </cell>
          <cell r="L438" t="e">
            <v>#DIV/0!</v>
          </cell>
          <cell r="M438" t="str">
            <v>Unidad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  <cell r="H439" t="str">
            <v>29/04/2020</v>
          </cell>
          <cell r="I439">
            <v>1250</v>
          </cell>
          <cell r="J439">
            <v>5000</v>
          </cell>
          <cell r="K439">
            <v>1000</v>
          </cell>
          <cell r="L439">
            <v>1.25</v>
          </cell>
          <cell r="M439" t="str">
            <v>Gramos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  <cell r="H440" t="str">
            <v>19/12/2019</v>
          </cell>
          <cell r="I440">
            <v>19540</v>
          </cell>
          <cell r="J440">
            <v>19540</v>
          </cell>
          <cell r="K440">
            <v>10000</v>
          </cell>
          <cell r="L440">
            <v>1.954</v>
          </cell>
          <cell r="M440" t="str">
            <v>Gramos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  <cell r="H441" t="str">
            <v>09/06/2020</v>
          </cell>
          <cell r="I441" t="e">
            <v>#N/A</v>
          </cell>
          <cell r="J441">
            <v>22844268.359999999</v>
          </cell>
          <cell r="K441">
            <v>4000</v>
          </cell>
          <cell r="L441" t="e">
            <v>#DIV/0!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16/06/2020</v>
          </cell>
          <cell r="I442" t="e">
            <v>#N/A</v>
          </cell>
          <cell r="J442">
            <v>1875300</v>
          </cell>
          <cell r="K442">
            <v>2000</v>
          </cell>
          <cell r="L442" t="e">
            <v>#N/A</v>
          </cell>
          <cell r="M442" t="str">
            <v>Gramos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  <cell r="H443" t="str">
            <v>09/05/2020</v>
          </cell>
          <cell r="I443">
            <v>6000</v>
          </cell>
          <cell r="J443">
            <v>610000</v>
          </cell>
          <cell r="K443">
            <v>1000</v>
          </cell>
          <cell r="L443">
            <v>6</v>
          </cell>
          <cell r="M443" t="str">
            <v>Gramos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15/06/2020</v>
          </cell>
          <cell r="I444" t="e">
            <v>#N/A</v>
          </cell>
          <cell r="J444">
            <v>75900</v>
          </cell>
          <cell r="K444">
            <v>1000</v>
          </cell>
          <cell r="L444" t="e">
            <v>#N/A</v>
          </cell>
          <cell r="M444" t="str">
            <v>Gramos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  <cell r="H445" t="str">
            <v>15/06/2020</v>
          </cell>
          <cell r="I445">
            <v>1167</v>
          </cell>
          <cell r="J445">
            <v>1303817.7250000001</v>
          </cell>
          <cell r="K445">
            <v>500</v>
          </cell>
          <cell r="L445">
            <v>2.3340000000000001</v>
          </cell>
          <cell r="M445" t="str">
            <v>Gramos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  <cell r="H446" t="str">
            <v>17/01/2020</v>
          </cell>
          <cell r="I446">
            <v>2295</v>
          </cell>
          <cell r="J446">
            <v>34425</v>
          </cell>
          <cell r="K446">
            <v>1000</v>
          </cell>
          <cell r="L446">
            <v>2.2949999999999999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  <cell r="H447" t="str">
            <v>21/04/2020</v>
          </cell>
          <cell r="I447">
            <v>4000</v>
          </cell>
          <cell r="J447">
            <v>132000</v>
          </cell>
          <cell r="K447">
            <v>3785</v>
          </cell>
          <cell r="L447">
            <v>1.0568031704095113</v>
          </cell>
          <cell r="M447" t="str">
            <v>Mililitros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18/05/2020</v>
          </cell>
          <cell r="I448">
            <v>3841</v>
          </cell>
          <cell r="J448">
            <v>26166</v>
          </cell>
          <cell r="L448" t="e">
            <v>#DIV/0!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D449" t="str">
            <v>10100249</v>
          </cell>
          <cell r="E449" t="str">
            <v>MATERIAS PRIMAS PLANTA</v>
          </cell>
          <cell r="F449" t="str">
            <v>1 PAQUETE</v>
          </cell>
          <cell r="G449">
            <v>500</v>
          </cell>
          <cell r="H449" t="str">
            <v>05/06/2020</v>
          </cell>
          <cell r="I449" t="e">
            <v>#N/A</v>
          </cell>
          <cell r="J449">
            <v>765653.66</v>
          </cell>
          <cell r="K449">
            <v>1000</v>
          </cell>
          <cell r="L449" t="e">
            <v>#N/A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24/03/2020</v>
          </cell>
          <cell r="I450">
            <v>5625</v>
          </cell>
          <cell r="J450">
            <v>30594</v>
          </cell>
          <cell r="K450">
            <v>1</v>
          </cell>
          <cell r="L450">
            <v>5625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03/03/2020</v>
          </cell>
          <cell r="I451" t="e">
            <v>#N/A</v>
          </cell>
          <cell r="J451">
            <v>23007</v>
          </cell>
          <cell r="K451">
            <v>1</v>
          </cell>
          <cell r="L451" t="e">
            <v>#N/A</v>
          </cell>
          <cell r="M451" t="str">
            <v>Unidad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14/03/2020</v>
          </cell>
          <cell r="I452">
            <v>5099</v>
          </cell>
          <cell r="J452">
            <v>20396</v>
          </cell>
          <cell r="K452">
            <v>1</v>
          </cell>
          <cell r="L452">
            <v>5099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  <cell r="H453" t="str">
            <v>19/03/2020</v>
          </cell>
          <cell r="I453">
            <v>6334</v>
          </cell>
          <cell r="J453">
            <v>35583</v>
          </cell>
          <cell r="K453">
            <v>1</v>
          </cell>
          <cell r="L453">
            <v>6334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  <cell r="H454" t="str">
            <v>07/03/2020</v>
          </cell>
          <cell r="I454">
            <v>5626</v>
          </cell>
          <cell r="J454">
            <v>25495</v>
          </cell>
          <cell r="K454">
            <v>1</v>
          </cell>
          <cell r="L454">
            <v>5626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  <cell r="H455" t="str">
            <v>20/02/2020</v>
          </cell>
          <cell r="I455" t="e">
            <v>#N/A</v>
          </cell>
          <cell r="J455">
            <v>98364</v>
          </cell>
          <cell r="K455">
            <v>20000</v>
          </cell>
          <cell r="L455" t="e">
            <v>#N/A</v>
          </cell>
          <cell r="M455" t="str">
            <v>Gramos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  <cell r="H456" t="str">
            <v>16/04/2020</v>
          </cell>
          <cell r="I456">
            <v>1088.4614999999999</v>
          </cell>
          <cell r="J456">
            <v>9810</v>
          </cell>
          <cell r="K456">
            <v>400</v>
          </cell>
          <cell r="L456">
            <v>2.7211537499999996</v>
          </cell>
          <cell r="M456" t="str">
            <v>Gramos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  <cell r="H457" t="str">
            <v>03/06/2020</v>
          </cell>
          <cell r="I457" t="e">
            <v>#N/A</v>
          </cell>
          <cell r="J457">
            <v>28320</v>
          </cell>
          <cell r="K457">
            <v>106</v>
          </cell>
          <cell r="L457" t="e">
            <v>#N/A</v>
          </cell>
          <cell r="M457" t="str">
            <v>Gramos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  <cell r="H458" t="str">
            <v>15/06/2020</v>
          </cell>
          <cell r="I458">
            <v>2931</v>
          </cell>
          <cell r="J458">
            <v>990902.7</v>
          </cell>
          <cell r="K458">
            <v>3785</v>
          </cell>
          <cell r="L458">
            <v>0.77437252311756932</v>
          </cell>
          <cell r="M458" t="str">
            <v>Mililitros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24/03/2020</v>
          </cell>
          <cell r="I459">
            <v>4971.33</v>
          </cell>
          <cell r="J459">
            <v>1503938.67</v>
          </cell>
          <cell r="K459">
            <v>800</v>
          </cell>
          <cell r="L459">
            <v>6.2141624999999996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  <cell r="H460" t="str">
            <v>30/04/2020</v>
          </cell>
          <cell r="I460">
            <v>4680</v>
          </cell>
          <cell r="J460">
            <v>32760</v>
          </cell>
          <cell r="K460">
            <v>3785</v>
          </cell>
          <cell r="L460" t="e">
            <v>#DIV/0!</v>
          </cell>
          <cell r="M460" t="str">
            <v>Mililitros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19/05/2020</v>
          </cell>
          <cell r="I461">
            <v>2142</v>
          </cell>
          <cell r="J461">
            <v>589050</v>
          </cell>
          <cell r="L461" t="e">
            <v>#DIV/0!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05/06/2020</v>
          </cell>
          <cell r="I462">
            <v>1</v>
          </cell>
          <cell r="J462">
            <v>765653.66</v>
          </cell>
          <cell r="K462">
            <v>1000</v>
          </cell>
          <cell r="L462" t="e">
            <v>#DIV/0!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24/03/2020</v>
          </cell>
          <cell r="I463">
            <v>2142</v>
          </cell>
          <cell r="J463">
            <v>374850</v>
          </cell>
          <cell r="K463">
            <v>1</v>
          </cell>
          <cell r="L463" t="e">
            <v>#DIV/0!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07/02/2020</v>
          </cell>
          <cell r="I464" t="e">
            <v>#N/A</v>
          </cell>
          <cell r="J464">
            <v>107100</v>
          </cell>
          <cell r="K464">
            <v>1</v>
          </cell>
          <cell r="L464" t="e">
            <v>#N/A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12/06/2020</v>
          </cell>
          <cell r="I465">
            <v>2142</v>
          </cell>
          <cell r="J465">
            <v>569772</v>
          </cell>
          <cell r="K465">
            <v>1</v>
          </cell>
          <cell r="L465" t="e">
            <v>#DIV/0!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2142</v>
          </cell>
          <cell r="J466">
            <v>240210</v>
          </cell>
          <cell r="K466">
            <v>1</v>
          </cell>
          <cell r="L466" t="e">
            <v>#DIV/0!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28/01/2020</v>
          </cell>
          <cell r="I467">
            <v>2142</v>
          </cell>
          <cell r="J467">
            <v>158400</v>
          </cell>
          <cell r="K467">
            <v>1</v>
          </cell>
          <cell r="L467" t="e">
            <v>#DIV/0!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  <cell r="H468" t="str">
            <v>24/03/2020</v>
          </cell>
          <cell r="I468">
            <v>5500</v>
          </cell>
          <cell r="J468">
            <v>2942500</v>
          </cell>
          <cell r="K468">
            <v>1000</v>
          </cell>
          <cell r="L468">
            <v>5.5</v>
          </cell>
          <cell r="M468" t="str">
            <v>Gramos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  <cell r="H469" t="str">
            <v>16/12/2019</v>
          </cell>
          <cell r="I469">
            <v>6500</v>
          </cell>
          <cell r="J469">
            <v>195000</v>
          </cell>
          <cell r="K469">
            <v>1000</v>
          </cell>
          <cell r="L469">
            <v>6.5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  <cell r="H470" t="str">
            <v>20/05/2020</v>
          </cell>
          <cell r="I470">
            <v>10200</v>
          </cell>
          <cell r="J470">
            <v>656880</v>
          </cell>
          <cell r="K470">
            <v>1000</v>
          </cell>
          <cell r="L470">
            <v>10.199999999999999</v>
          </cell>
          <cell r="M470" t="str">
            <v>Mililitros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02/12/2019</v>
          </cell>
          <cell r="I471" t="e">
            <v>#N/A</v>
          </cell>
          <cell r="J471">
            <v>207360</v>
          </cell>
          <cell r="K471">
            <v>350</v>
          </cell>
          <cell r="L471" t="e">
            <v>#N/A</v>
          </cell>
          <cell r="M471" t="str">
            <v>Mililitros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  <cell r="H472" t="str">
            <v>13/06/2020</v>
          </cell>
          <cell r="I472">
            <v>859</v>
          </cell>
          <cell r="J472">
            <v>441354.2</v>
          </cell>
          <cell r="K472">
            <v>1000</v>
          </cell>
          <cell r="L472">
            <v>0.85899999999999999</v>
          </cell>
          <cell r="M472" t="str">
            <v>Gramos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  <cell r="H473" t="str">
            <v>13/06/2020</v>
          </cell>
          <cell r="I473">
            <v>8376.3906666599996</v>
          </cell>
          <cell r="J473">
            <v>5612132.9965679897</v>
          </cell>
          <cell r="K473">
            <v>3100</v>
          </cell>
          <cell r="L473" t="e">
            <v>#DIV/0!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  <cell r="H474" t="str">
            <v>19/05/2020</v>
          </cell>
          <cell r="I474">
            <v>1950</v>
          </cell>
          <cell r="J474">
            <v>1047150</v>
          </cell>
          <cell r="K474">
            <v>500</v>
          </cell>
          <cell r="L474" t="e">
            <v>#DIV/0!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  <cell r="H475" t="str">
            <v>24/12/2019</v>
          </cell>
          <cell r="I475">
            <v>2800</v>
          </cell>
          <cell r="J475">
            <v>504560</v>
          </cell>
          <cell r="K475">
            <v>1000</v>
          </cell>
          <cell r="L475" t="e">
            <v>#DIV/0!</v>
          </cell>
          <cell r="M475" t="str">
            <v>Gramos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  <cell r="H476" t="str">
            <v>24/03/2020</v>
          </cell>
          <cell r="I476" t="e">
            <v>#N/A</v>
          </cell>
          <cell r="J476">
            <v>12367468.800000001</v>
          </cell>
          <cell r="K476">
            <v>13600</v>
          </cell>
          <cell r="L476" t="e">
            <v>#DIV/0!</v>
          </cell>
          <cell r="M476" t="str">
            <v>Gramos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28/05/2020</v>
          </cell>
          <cell r="I477">
            <v>750</v>
          </cell>
          <cell r="J477">
            <v>1913044.8024500001</v>
          </cell>
          <cell r="K477">
            <v>250</v>
          </cell>
          <cell r="L477" t="e">
            <v>#DIV/0!</v>
          </cell>
          <cell r="M477" t="str">
            <v>Gramos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06/04/2020</v>
          </cell>
          <cell r="I478" t="e">
            <v>#N/A</v>
          </cell>
          <cell r="J478">
            <v>278906</v>
          </cell>
          <cell r="K478">
            <v>1000</v>
          </cell>
          <cell r="L478" t="e">
            <v>#DIV/0!</v>
          </cell>
          <cell r="M478" t="str">
            <v>Gramos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  <cell r="H479" t="str">
            <v>13/06/2020</v>
          </cell>
          <cell r="I479">
            <v>9982</v>
          </cell>
          <cell r="J479">
            <v>4657651.1043894002</v>
          </cell>
          <cell r="K479">
            <v>2000</v>
          </cell>
          <cell r="L479" t="e">
            <v>#DIV/0!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  <cell r="H480" t="str">
            <v>03/12/2019</v>
          </cell>
          <cell r="I480">
            <v>6455</v>
          </cell>
          <cell r="J480">
            <v>-508012.04220000003</v>
          </cell>
          <cell r="K480">
            <v>1000</v>
          </cell>
          <cell r="L480" t="e">
            <v>#DIV/0!</v>
          </cell>
          <cell r="M480" t="str">
            <v>Gramos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  <cell r="H481" t="str">
            <v>11/06/2020</v>
          </cell>
          <cell r="I481">
            <v>3747.06</v>
          </cell>
          <cell r="J481">
            <v>26260116.5</v>
          </cell>
          <cell r="K481">
            <v>1000</v>
          </cell>
          <cell r="L481">
            <v>3.7470599999999998</v>
          </cell>
          <cell r="M481" t="str">
            <v>Gramos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  <cell r="H482" t="str">
            <v>05/03/2020</v>
          </cell>
          <cell r="I482">
            <v>4700</v>
          </cell>
          <cell r="J482">
            <v>40000</v>
          </cell>
          <cell r="K482">
            <v>1000</v>
          </cell>
          <cell r="L482">
            <v>4.7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  <cell r="H483" t="str">
            <v>01/04/2020</v>
          </cell>
          <cell r="I483" t="e">
            <v>#N/A</v>
          </cell>
          <cell r="J483">
            <v>6215817.5</v>
          </cell>
          <cell r="K483">
            <v>1000</v>
          </cell>
          <cell r="L483" t="e">
            <v>#N/A</v>
          </cell>
          <cell r="M483" t="str">
            <v>Gramos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  <cell r="H484" t="str">
            <v>20/05/2020</v>
          </cell>
          <cell r="I484">
            <v>2295</v>
          </cell>
          <cell r="J484">
            <v>523007.1</v>
          </cell>
          <cell r="K484">
            <v>1000</v>
          </cell>
          <cell r="L484">
            <v>2.2949999999999999</v>
          </cell>
          <cell r="M484" t="str">
            <v>Gramos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10/06/2020</v>
          </cell>
          <cell r="I485" t="e">
            <v>#N/A</v>
          </cell>
          <cell r="J485">
            <v>120794.4</v>
          </cell>
          <cell r="K485">
            <v>250</v>
          </cell>
          <cell r="L485" t="e">
            <v>#N/A</v>
          </cell>
          <cell r="M485" t="str">
            <v>Gramos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  <cell r="H486" t="str">
            <v>02/01/2020</v>
          </cell>
          <cell r="I486" t="e">
            <v>#N/A</v>
          </cell>
          <cell r="J486">
            <v>2211732.5</v>
          </cell>
          <cell r="K486">
            <v>1000</v>
          </cell>
          <cell r="L486" t="e">
            <v>#N/A</v>
          </cell>
          <cell r="M486" t="str">
            <v>Gramos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12/06/2020</v>
          </cell>
          <cell r="I487">
            <v>1294.6500000000001</v>
          </cell>
          <cell r="J487">
            <v>7145980.2000000002</v>
          </cell>
          <cell r="K487">
            <v>250</v>
          </cell>
          <cell r="L487">
            <v>5.1786000000000003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  <cell r="H488" t="str">
            <v>04/02/2020</v>
          </cell>
          <cell r="I488" t="e">
            <v>#N/A</v>
          </cell>
          <cell r="J488">
            <v>1769289.3504000001</v>
          </cell>
          <cell r="K488">
            <v>170</v>
          </cell>
          <cell r="L488" t="e">
            <v>#N/A</v>
          </cell>
          <cell r="M488" t="str">
            <v>Gramos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13/06/2020</v>
          </cell>
          <cell r="I489">
            <v>5835</v>
          </cell>
          <cell r="J489">
            <v>5227767.1780000003</v>
          </cell>
          <cell r="K489">
            <v>1000</v>
          </cell>
          <cell r="L489">
            <v>5.835</v>
          </cell>
          <cell r="M489" t="str">
            <v>Gramos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  <cell r="H490" t="str">
            <v>15/06/2020</v>
          </cell>
          <cell r="I490" t="e">
            <v>#N/A</v>
          </cell>
          <cell r="J490">
            <v>7926295</v>
          </cell>
          <cell r="K490">
            <v>1000</v>
          </cell>
          <cell r="L490" t="e">
            <v>#N/A</v>
          </cell>
          <cell r="M490" t="str">
            <v>Gramos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  <cell r="H491" t="str">
            <v>19/12/2019</v>
          </cell>
          <cell r="I491">
            <v>1042</v>
          </cell>
          <cell r="J491">
            <v>585604</v>
          </cell>
          <cell r="K491">
            <v>400</v>
          </cell>
          <cell r="L491">
            <v>2.605</v>
          </cell>
          <cell r="M491" t="str">
            <v>Gramos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18/01/2020</v>
          </cell>
          <cell r="I492">
            <v>2.968</v>
          </cell>
          <cell r="J492">
            <v>26710.2</v>
          </cell>
          <cell r="K492">
            <v>250</v>
          </cell>
          <cell r="L492">
            <v>1.1872000000000001E-2</v>
          </cell>
          <cell r="M492" t="str">
            <v>Gramos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  <cell r="H493" t="str">
            <v>04/06/2020</v>
          </cell>
          <cell r="I493">
            <v>1450</v>
          </cell>
          <cell r="J493">
            <v>404405</v>
          </cell>
          <cell r="K493">
            <v>1000</v>
          </cell>
          <cell r="L493">
            <v>1.45</v>
          </cell>
          <cell r="M493" t="str">
            <v>Gramos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  <cell r="H494" t="str">
            <v>13/06/2020</v>
          </cell>
          <cell r="I494" t="e">
            <v>#N/A</v>
          </cell>
          <cell r="J494">
            <v>1064960</v>
          </cell>
          <cell r="K494">
            <v>600</v>
          </cell>
          <cell r="L494" t="e">
            <v>#N/A</v>
          </cell>
          <cell r="M494" t="str">
            <v>Gramos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13/05/2020</v>
          </cell>
          <cell r="I495">
            <v>2400</v>
          </cell>
          <cell r="J495">
            <v>64800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13/05/2020</v>
          </cell>
          <cell r="I496">
            <v>2400</v>
          </cell>
          <cell r="J496">
            <v>98400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03/06/2020</v>
          </cell>
          <cell r="I497">
            <v>2400</v>
          </cell>
          <cell r="J497">
            <v>201600</v>
          </cell>
          <cell r="K497">
            <v>130</v>
          </cell>
          <cell r="L497">
            <v>18.46153846153846</v>
          </cell>
          <cell r="M497" t="str">
            <v>Mililitros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31200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24/03/2020</v>
          </cell>
          <cell r="I499">
            <v>2400</v>
          </cell>
          <cell r="J499">
            <v>76800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93600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25/05/2020</v>
          </cell>
          <cell r="I501">
            <v>2400</v>
          </cell>
          <cell r="J501">
            <v>24000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  <cell r="H502" t="str">
            <v>03/06/2020</v>
          </cell>
          <cell r="I502">
            <v>2400</v>
          </cell>
          <cell r="J502">
            <v>93600</v>
          </cell>
          <cell r="K502">
            <v>130</v>
          </cell>
          <cell r="L502">
            <v>18.46153846153846</v>
          </cell>
          <cell r="M502" t="str">
            <v>Mililitros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  <cell r="H503" t="str">
            <v>13/05/2020</v>
          </cell>
          <cell r="I503">
            <v>2400</v>
          </cell>
          <cell r="J503">
            <v>40800</v>
          </cell>
          <cell r="K503">
            <v>130</v>
          </cell>
          <cell r="L503">
            <v>18.46153846153846</v>
          </cell>
          <cell r="M503" t="str">
            <v>Mililitros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  <cell r="H504" t="str">
            <v>28/05/2020</v>
          </cell>
          <cell r="I504">
            <v>5935.78</v>
          </cell>
          <cell r="J504">
            <v>38501.17</v>
          </cell>
          <cell r="K504">
            <v>1000</v>
          </cell>
          <cell r="L504">
            <v>5.9357799999999994</v>
          </cell>
          <cell r="M504" t="str">
            <v>Mililitros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  <cell r="H505" t="str">
            <v>05/03/2020</v>
          </cell>
          <cell r="I505">
            <v>28940.63</v>
          </cell>
          <cell r="J505">
            <v>92610.016000000003</v>
          </cell>
          <cell r="K505">
            <v>1000</v>
          </cell>
          <cell r="L505">
            <v>28.940630000000002</v>
          </cell>
          <cell r="M505" t="str">
            <v>Gramos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  <cell r="H506" t="str">
            <v>25/05/2020</v>
          </cell>
          <cell r="I506">
            <v>2252</v>
          </cell>
          <cell r="J506">
            <v>107974</v>
          </cell>
          <cell r="K506">
            <v>43</v>
          </cell>
          <cell r="L506">
            <v>52.372093023255815</v>
          </cell>
          <cell r="M506" t="str">
            <v>Gramos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  <cell r="H507" t="str">
            <v>12/06/2020</v>
          </cell>
          <cell r="I507">
            <v>1810</v>
          </cell>
          <cell r="J507">
            <v>2296890</v>
          </cell>
          <cell r="K507">
            <v>680</v>
          </cell>
          <cell r="L507">
            <v>2.6617647058823528</v>
          </cell>
          <cell r="M507" t="str">
            <v>Gramos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25/05/2020</v>
          </cell>
          <cell r="I508">
            <v>5838</v>
          </cell>
          <cell r="J508">
            <v>344442</v>
          </cell>
          <cell r="K508">
            <v>100</v>
          </cell>
          <cell r="L508">
            <v>58.38</v>
          </cell>
          <cell r="M508" t="str">
            <v>Und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  <cell r="H509" t="str">
            <v>01/06/2020</v>
          </cell>
          <cell r="I509">
            <v>15265</v>
          </cell>
          <cell r="J509">
            <v>580070</v>
          </cell>
          <cell r="K509">
            <v>215</v>
          </cell>
          <cell r="L509">
            <v>71</v>
          </cell>
          <cell r="M509" t="str">
            <v>Und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03/12/2019</v>
          </cell>
          <cell r="I510" t="e">
            <v>#N/A</v>
          </cell>
          <cell r="J510">
            <v>-206593.5</v>
          </cell>
          <cell r="K510">
            <v>215</v>
          </cell>
          <cell r="L510" t="e">
            <v>#N/A</v>
          </cell>
          <cell r="M510" t="str">
            <v>Und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15/06/2020</v>
          </cell>
          <cell r="I511">
            <v>700</v>
          </cell>
          <cell r="J511">
            <v>471100</v>
          </cell>
          <cell r="K511">
            <v>130</v>
          </cell>
          <cell r="L511" t="e">
            <v>#DIV/0!</v>
          </cell>
          <cell r="M511" t="str">
            <v>Mililitros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11/02/2020</v>
          </cell>
          <cell r="I512">
            <v>8000</v>
          </cell>
          <cell r="J512">
            <v>2436.95999999998</v>
          </cell>
          <cell r="K512">
            <v>200</v>
          </cell>
          <cell r="L512">
            <v>40</v>
          </cell>
          <cell r="M512" t="str">
            <v>Und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  <cell r="H513" t="str">
            <v>01/02/2020</v>
          </cell>
          <cell r="I513" t="e">
            <v>#N/A</v>
          </cell>
          <cell r="J513">
            <v>128450</v>
          </cell>
          <cell r="K513">
            <v>2270</v>
          </cell>
          <cell r="L513" t="e">
            <v>#N/A</v>
          </cell>
          <cell r="M513" t="str">
            <v>Gramos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  <cell r="H514" t="str">
            <v>04/04/2020</v>
          </cell>
          <cell r="I514" t="e">
            <v>#N/A</v>
          </cell>
          <cell r="J514">
            <v>2721180</v>
          </cell>
          <cell r="K514">
            <v>996</v>
          </cell>
          <cell r="L514" t="e">
            <v>#N/A</v>
          </cell>
          <cell r="M514" t="str">
            <v>Mililitros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31/01/2020</v>
          </cell>
          <cell r="I515" t="e">
            <v>#N/A</v>
          </cell>
          <cell r="J515">
            <v>237080</v>
          </cell>
          <cell r="K515">
            <v>312</v>
          </cell>
          <cell r="L515" t="e">
            <v>#N/A</v>
          </cell>
          <cell r="M515" t="str">
            <v>Und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16/06/2020</v>
          </cell>
          <cell r="I516" t="e">
            <v>#N/A</v>
          </cell>
          <cell r="J516">
            <v>758908</v>
          </cell>
          <cell r="K516">
            <v>650</v>
          </cell>
          <cell r="L516" t="e">
            <v>#N/A</v>
          </cell>
          <cell r="M516" t="str">
            <v>Mililitros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11/02/2020</v>
          </cell>
          <cell r="I517" t="e">
            <v>#N/A</v>
          </cell>
          <cell r="J517">
            <v>88000</v>
          </cell>
          <cell r="K517">
            <v>1500</v>
          </cell>
          <cell r="L517" t="e">
            <v>#N/A</v>
          </cell>
          <cell r="M517" t="str">
            <v>Mililitros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  <cell r="H518" t="str">
            <v>27/03/2020</v>
          </cell>
          <cell r="I518" t="e">
            <v>#N/A</v>
          </cell>
          <cell r="J518">
            <v>360351.12</v>
          </cell>
          <cell r="K518">
            <v>1000</v>
          </cell>
          <cell r="L518" t="e">
            <v>#N/A</v>
          </cell>
          <cell r="M518" t="str">
            <v>Gramos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  <cell r="H519" t="str">
            <v>16/03/2020</v>
          </cell>
          <cell r="I519" t="e">
            <v>#N/A</v>
          </cell>
          <cell r="J519">
            <v>585590.19999999995</v>
          </cell>
          <cell r="K519">
            <v>330</v>
          </cell>
          <cell r="L519" t="e">
            <v>#N/A</v>
          </cell>
          <cell r="M519" t="str">
            <v>Gramos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  <cell r="H520" t="str">
            <v>13/06/2020</v>
          </cell>
          <cell r="I520" t="e">
            <v>#N/A</v>
          </cell>
          <cell r="J520">
            <v>85000</v>
          </cell>
          <cell r="K520">
            <v>25</v>
          </cell>
          <cell r="L520" t="e">
            <v>#N/A</v>
          </cell>
          <cell r="M520" t="str">
            <v>Gramos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08/06/2020</v>
          </cell>
          <cell r="I521">
            <v>1900</v>
          </cell>
          <cell r="J521">
            <v>248000</v>
          </cell>
          <cell r="K521">
            <v>1000</v>
          </cell>
          <cell r="L521">
            <v>1.9</v>
          </cell>
          <cell r="M521" t="str">
            <v>Gramos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15/06/2020</v>
          </cell>
          <cell r="I522">
            <v>536.5</v>
          </cell>
          <cell r="J522">
            <v>303888</v>
          </cell>
          <cell r="K522">
            <v>100</v>
          </cell>
          <cell r="L522">
            <v>5.3650000000000002</v>
          </cell>
          <cell r="M522" t="str">
            <v>Und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30/05/2020</v>
          </cell>
          <cell r="I523">
            <v>2307</v>
          </cell>
          <cell r="J523">
            <v>536556</v>
          </cell>
          <cell r="K523">
            <v>2000</v>
          </cell>
          <cell r="L523">
            <v>1.1535</v>
          </cell>
          <cell r="M523" t="str">
            <v>Gramos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3241</v>
          </cell>
          <cell r="J524">
            <v>6158740</v>
          </cell>
          <cell r="K524">
            <v>2000</v>
          </cell>
          <cell r="L524" t="e">
            <v>#DIV/0!</v>
          </cell>
          <cell r="M524" t="str">
            <v>Gramos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2518</v>
          </cell>
          <cell r="J525">
            <v>139685</v>
          </cell>
          <cell r="K525">
            <v>2000</v>
          </cell>
          <cell r="L525">
            <v>1.2589999999999999</v>
          </cell>
          <cell r="M525" t="str">
            <v>Und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13/06/2020</v>
          </cell>
          <cell r="I526">
            <v>3641</v>
          </cell>
          <cell r="J526">
            <v>7125201</v>
          </cell>
          <cell r="K526">
            <v>2000</v>
          </cell>
          <cell r="L526">
            <v>1.8205</v>
          </cell>
          <cell r="M526" t="str">
            <v>Gramos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  <cell r="H527" t="str">
            <v>06/06/2020</v>
          </cell>
          <cell r="I527">
            <v>3450</v>
          </cell>
          <cell r="J527">
            <v>289800</v>
          </cell>
          <cell r="K527">
            <v>2000</v>
          </cell>
          <cell r="L527">
            <v>1.7250000000000001</v>
          </cell>
          <cell r="M527" t="str">
            <v>Gramos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06/06/2020</v>
          </cell>
          <cell r="I528">
            <v>4150</v>
          </cell>
          <cell r="J528">
            <v>33200</v>
          </cell>
          <cell r="K528">
            <v>2000</v>
          </cell>
          <cell r="L528">
            <v>2.0750000000000002</v>
          </cell>
          <cell r="M528" t="str">
            <v>Gramos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06/06/2020</v>
          </cell>
          <cell r="I529">
            <v>3651</v>
          </cell>
          <cell r="J529">
            <v>65890</v>
          </cell>
          <cell r="K529">
            <v>2000</v>
          </cell>
          <cell r="L529">
            <v>1.8254999999999999</v>
          </cell>
          <cell r="M529" t="str">
            <v>Gramos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15/06/2020</v>
          </cell>
          <cell r="I530">
            <v>428</v>
          </cell>
          <cell r="J530">
            <v>1940724</v>
          </cell>
          <cell r="K530">
            <v>500</v>
          </cell>
          <cell r="L530">
            <v>0.85599999999999998</v>
          </cell>
          <cell r="M530" t="str">
            <v>Gramos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  <cell r="H531" t="str">
            <v>15/06/2020</v>
          </cell>
          <cell r="I531">
            <v>875</v>
          </cell>
          <cell r="J531">
            <v>3815000</v>
          </cell>
          <cell r="K531">
            <v>300</v>
          </cell>
          <cell r="L531" t="e">
            <v>#DIV/0!</v>
          </cell>
          <cell r="M531" t="str">
            <v>Gramos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28/05/2020</v>
          </cell>
          <cell r="I532">
            <v>780</v>
          </cell>
          <cell r="J532">
            <v>149760</v>
          </cell>
          <cell r="K532">
            <v>200</v>
          </cell>
          <cell r="L532">
            <v>3.9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15/06/2020</v>
          </cell>
          <cell r="I533">
            <v>521.20000000000005</v>
          </cell>
          <cell r="J533">
            <v>986944.5</v>
          </cell>
          <cell r="K533">
            <v>100</v>
          </cell>
          <cell r="L533">
            <v>5.2120000000000006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1046.5</v>
          </cell>
          <cell r="J534">
            <v>8700228</v>
          </cell>
          <cell r="K534">
            <v>500</v>
          </cell>
          <cell r="L534">
            <v>2.093</v>
          </cell>
          <cell r="M534" t="str">
            <v>Gramos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30/05/2020</v>
          </cell>
          <cell r="I535">
            <v>580</v>
          </cell>
          <cell r="J535">
            <v>48140</v>
          </cell>
          <cell r="K535">
            <v>200</v>
          </cell>
          <cell r="L535">
            <v>2.9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308</v>
          </cell>
          <cell r="J536">
            <v>748292</v>
          </cell>
          <cell r="K536">
            <v>32</v>
          </cell>
          <cell r="L536">
            <v>9.625</v>
          </cell>
          <cell r="M536" t="str">
            <v>Gramos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15/06/2020</v>
          </cell>
          <cell r="I537">
            <v>449.1</v>
          </cell>
          <cell r="J537">
            <v>1627715</v>
          </cell>
          <cell r="K537">
            <v>250</v>
          </cell>
          <cell r="L537">
            <v>1.7964</v>
          </cell>
          <cell r="M537" t="str">
            <v>Gramos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15/06/2020</v>
          </cell>
          <cell r="I538">
            <v>907.8</v>
          </cell>
          <cell r="J538">
            <v>2752850</v>
          </cell>
          <cell r="K538">
            <v>100</v>
          </cell>
          <cell r="L538">
            <v>9.0779999999999994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16/06/2020</v>
          </cell>
          <cell r="I539">
            <v>450</v>
          </cell>
          <cell r="J539">
            <v>8591850</v>
          </cell>
          <cell r="K539">
            <v>200</v>
          </cell>
          <cell r="L539">
            <v>2.25</v>
          </cell>
          <cell r="M539" t="str">
            <v>Gramos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750</v>
          </cell>
          <cell r="J540">
            <v>3714750</v>
          </cell>
          <cell r="K540">
            <v>150</v>
          </cell>
          <cell r="L540">
            <v>5</v>
          </cell>
          <cell r="M540" t="str">
            <v>Gramos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  <cell r="H541" t="str">
            <v>15/06/2020</v>
          </cell>
          <cell r="I541">
            <v>2200</v>
          </cell>
          <cell r="J541">
            <v>46930219.75</v>
          </cell>
          <cell r="K541">
            <v>1000</v>
          </cell>
          <cell r="L541">
            <v>2.2000000000000002</v>
          </cell>
          <cell r="M541" t="str">
            <v>Gramos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  <cell r="H542" t="str">
            <v>16/06/2020</v>
          </cell>
          <cell r="I542">
            <v>400</v>
          </cell>
          <cell r="J542">
            <v>1774000</v>
          </cell>
          <cell r="K542">
            <v>200</v>
          </cell>
          <cell r="L542">
            <v>2</v>
          </cell>
          <cell r="M542" t="str">
            <v>Gramos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15/06/2020</v>
          </cell>
          <cell r="I543">
            <v>1149</v>
          </cell>
          <cell r="J543">
            <v>360673.03</v>
          </cell>
          <cell r="K543">
            <v>1000</v>
          </cell>
          <cell r="L543">
            <v>1.149</v>
          </cell>
          <cell r="M543" t="str">
            <v>Gramos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  <cell r="H544" t="str">
            <v>08/06/2020</v>
          </cell>
          <cell r="I544">
            <v>11277</v>
          </cell>
          <cell r="J544">
            <v>1762256</v>
          </cell>
          <cell r="K544">
            <v>3785</v>
          </cell>
          <cell r="L544">
            <v>2.9793923381770147</v>
          </cell>
          <cell r="M544" t="str">
            <v>Gramos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  <cell r="H545" t="str">
            <v>13/06/2020</v>
          </cell>
          <cell r="I545">
            <v>700</v>
          </cell>
          <cell r="J545">
            <v>4873295.5</v>
          </cell>
          <cell r="K545">
            <v>1000</v>
          </cell>
          <cell r="L545">
            <v>0.7</v>
          </cell>
          <cell r="M545" t="str">
            <v>Gramos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  <cell r="H546" t="str">
            <v>23/03/2020</v>
          </cell>
          <cell r="I546">
            <v>1950</v>
          </cell>
          <cell r="J546">
            <v>222300</v>
          </cell>
          <cell r="K546">
            <v>1000</v>
          </cell>
          <cell r="L546">
            <v>1.95</v>
          </cell>
          <cell r="M546" t="str">
            <v>Gramos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  <cell r="H547" t="str">
            <v>13/03/2020</v>
          </cell>
          <cell r="I547">
            <v>76</v>
          </cell>
          <cell r="J547">
            <v>103500</v>
          </cell>
          <cell r="K547">
            <v>1</v>
          </cell>
          <cell r="L547">
            <v>76</v>
          </cell>
          <cell r="M547" t="str">
            <v>Gramos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  <cell r="H548" t="str">
            <v>07/01/2020</v>
          </cell>
          <cell r="I548" t="e">
            <v>#N/A</v>
          </cell>
          <cell r="J548">
            <v>37282</v>
          </cell>
          <cell r="K548">
            <v>0</v>
          </cell>
          <cell r="L548" t="e">
            <v>#N/A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  <cell r="H549" t="str">
            <v>20/03/2020</v>
          </cell>
          <cell r="I549">
            <v>6880</v>
          </cell>
          <cell r="J549">
            <v>363436.83</v>
          </cell>
          <cell r="K549">
            <v>120</v>
          </cell>
          <cell r="L549">
            <v>57.333333333333336</v>
          </cell>
          <cell r="M549" t="str">
            <v>Und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12/06/2020</v>
          </cell>
          <cell r="I550">
            <v>2050</v>
          </cell>
          <cell r="J550">
            <v>811800</v>
          </cell>
          <cell r="K550">
            <v>10</v>
          </cell>
          <cell r="L550">
            <v>205</v>
          </cell>
          <cell r="M550" t="str">
            <v>Und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2400</v>
          </cell>
          <cell r="J551">
            <v>2815200</v>
          </cell>
          <cell r="K551">
            <v>20</v>
          </cell>
          <cell r="L551">
            <v>120</v>
          </cell>
          <cell r="M551" t="str">
            <v>Und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15/06/2020</v>
          </cell>
          <cell r="I552">
            <v>950</v>
          </cell>
          <cell r="J552">
            <v>27599400</v>
          </cell>
          <cell r="K552">
            <v>5</v>
          </cell>
          <cell r="L552">
            <v>190</v>
          </cell>
          <cell r="M552" t="str">
            <v>Und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  <cell r="H553" t="str">
            <v>15/06/2020</v>
          </cell>
          <cell r="I553">
            <v>845</v>
          </cell>
          <cell r="J553">
            <v>1928290</v>
          </cell>
          <cell r="K553">
            <v>5</v>
          </cell>
          <cell r="L553">
            <v>169</v>
          </cell>
          <cell r="M553" t="str">
            <v>Und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  <cell r="H554" t="str">
            <v>13/06/2020</v>
          </cell>
          <cell r="I554">
            <v>24875</v>
          </cell>
          <cell r="J554">
            <v>21460050</v>
          </cell>
          <cell r="K554">
            <v>25000</v>
          </cell>
          <cell r="L554">
            <v>0.995</v>
          </cell>
          <cell r="M554" t="str">
            <v>Gramos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  <cell r="H555" t="str">
            <v>13/06/2020</v>
          </cell>
          <cell r="I555">
            <v>25100</v>
          </cell>
          <cell r="J555">
            <v>11264000</v>
          </cell>
          <cell r="K555">
            <v>20000</v>
          </cell>
          <cell r="L555">
            <v>1.2549999999999999</v>
          </cell>
          <cell r="M555" t="str">
            <v>Gramos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  <cell r="H556" t="str">
            <v>15/06/2020</v>
          </cell>
          <cell r="I556">
            <v>910</v>
          </cell>
          <cell r="J556">
            <v>8372000</v>
          </cell>
          <cell r="K556">
            <v>5</v>
          </cell>
          <cell r="L556">
            <v>182</v>
          </cell>
          <cell r="M556" t="str">
            <v>Gramos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  <cell r="H557" t="str">
            <v>07/01/2020</v>
          </cell>
          <cell r="I557" t="e">
            <v>#N/A</v>
          </cell>
          <cell r="J557">
            <v>130200</v>
          </cell>
          <cell r="K557">
            <v>20</v>
          </cell>
          <cell r="L557" t="e">
            <v>#N/A</v>
          </cell>
          <cell r="M557" t="str">
            <v>Gramos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  <cell r="H558" t="str">
            <v>15/06/2020</v>
          </cell>
          <cell r="I558">
            <v>2200</v>
          </cell>
          <cell r="J558">
            <v>12086800</v>
          </cell>
          <cell r="K558">
            <v>10</v>
          </cell>
          <cell r="L558">
            <v>220</v>
          </cell>
          <cell r="M558" t="str">
            <v>Gramos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12/06/2020</v>
          </cell>
          <cell r="I559">
            <v>13486</v>
          </cell>
          <cell r="J559">
            <v>18096624</v>
          </cell>
          <cell r="K559">
            <v>25000</v>
          </cell>
          <cell r="L559">
            <v>0.53944000000000003</v>
          </cell>
          <cell r="M559" t="str">
            <v>Gramos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  <cell r="H560" t="str">
            <v>02/06/2020</v>
          </cell>
          <cell r="I560">
            <v>6480</v>
          </cell>
          <cell r="J560">
            <v>401920</v>
          </cell>
          <cell r="K560">
            <v>1</v>
          </cell>
          <cell r="L560" t="e">
            <v>#DIV/0!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  <cell r="H561" t="str">
            <v>15/02/2020</v>
          </cell>
          <cell r="I561" t="e">
            <v>#N/A</v>
          </cell>
          <cell r="J561">
            <v>232500</v>
          </cell>
          <cell r="K561">
            <v>25000</v>
          </cell>
          <cell r="L561" t="e">
            <v>#N/A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  <cell r="H562" t="str">
            <v>11/05/2020</v>
          </cell>
          <cell r="I562">
            <v>27590</v>
          </cell>
          <cell r="J562">
            <v>277946</v>
          </cell>
          <cell r="K562">
            <v>22600</v>
          </cell>
          <cell r="L562">
            <v>1.2207964601769912</v>
          </cell>
          <cell r="M562" t="str">
            <v>Und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  <cell r="H563" t="str">
            <v>15/06/2020</v>
          </cell>
          <cell r="I563" t="e">
            <v>#N/A</v>
          </cell>
          <cell r="J563">
            <v>3106350</v>
          </cell>
          <cell r="K563">
            <v>10</v>
          </cell>
          <cell r="L563" t="e">
            <v>#N/A</v>
          </cell>
          <cell r="M563" t="str">
            <v>Und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  <cell r="H564" t="str">
            <v>15/06/2020</v>
          </cell>
          <cell r="I564" t="e">
            <v>#N/A</v>
          </cell>
          <cell r="J564">
            <v>1677715</v>
          </cell>
          <cell r="K564">
            <v>2267</v>
          </cell>
          <cell r="L564" t="e">
            <v>#N/A</v>
          </cell>
          <cell r="M564" t="str">
            <v>Gramos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  <cell r="H565" t="str">
            <v>15/06/2020</v>
          </cell>
          <cell r="I565">
            <v>2310.375</v>
          </cell>
          <cell r="J565">
            <v>36673958.286337502</v>
          </cell>
          <cell r="K565">
            <v>30</v>
          </cell>
          <cell r="L565">
            <v>77.012500000000003</v>
          </cell>
          <cell r="M565" t="str">
            <v>Und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  <cell r="H566" t="str">
            <v>21/02/2020</v>
          </cell>
          <cell r="I566">
            <v>9250</v>
          </cell>
          <cell r="J566">
            <v>86950</v>
          </cell>
          <cell r="K566">
            <v>5000</v>
          </cell>
          <cell r="L566">
            <v>1.85</v>
          </cell>
          <cell r="M566" t="str">
            <v>Gramos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  <cell r="H567" t="str">
            <v>15/06/2020</v>
          </cell>
          <cell r="I567">
            <v>680</v>
          </cell>
          <cell r="J567">
            <v>2934200</v>
          </cell>
          <cell r="K567">
            <v>4</v>
          </cell>
          <cell r="L567">
            <v>170</v>
          </cell>
          <cell r="M567" t="str">
            <v>Gramos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  <cell r="H568" t="str">
            <v>05/03/2020</v>
          </cell>
          <cell r="I568" t="e">
            <v>#N/A</v>
          </cell>
          <cell r="J568">
            <v>332766</v>
          </cell>
          <cell r="K568">
            <v>8340</v>
          </cell>
          <cell r="L568" t="e">
            <v>#N/A</v>
          </cell>
          <cell r="M568" t="str">
            <v>Gramos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  <cell r="H569" t="str">
            <v>05/05/2020</v>
          </cell>
          <cell r="I569" t="e">
            <v>#N/A</v>
          </cell>
          <cell r="J569">
            <v>104229.3</v>
          </cell>
          <cell r="K569">
            <v>500</v>
          </cell>
          <cell r="L569" t="e">
            <v>#N/A</v>
          </cell>
          <cell r="M569" t="str">
            <v>Gramos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2039</v>
          </cell>
          <cell r="J570">
            <v>1331693.257</v>
          </cell>
          <cell r="K570">
            <v>160</v>
          </cell>
          <cell r="L570">
            <v>12.74375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  <cell r="H571" t="str">
            <v>15/06/2020</v>
          </cell>
          <cell r="I571">
            <v>9124</v>
          </cell>
          <cell r="J571">
            <v>5706832.0599999996</v>
          </cell>
          <cell r="K571">
            <v>3000</v>
          </cell>
          <cell r="L571">
            <v>3.0413333333333332</v>
          </cell>
          <cell r="M571" t="str">
            <v>Gramos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9152</v>
          </cell>
          <cell r="J572">
            <v>17136970</v>
          </cell>
          <cell r="K572">
            <v>4000</v>
          </cell>
          <cell r="L572">
            <v>2.2879999999999998</v>
          </cell>
          <cell r="M572" t="str">
            <v>Gramos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  <cell r="H573" t="str">
            <v>15/06/2020</v>
          </cell>
          <cell r="I573">
            <v>9838</v>
          </cell>
          <cell r="J573">
            <v>17275874</v>
          </cell>
          <cell r="K573">
            <v>4000</v>
          </cell>
          <cell r="L573">
            <v>2.4594999999999998</v>
          </cell>
          <cell r="M573" t="str">
            <v>Gramos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  <cell r="H574" t="str">
            <v>15/06/2020</v>
          </cell>
          <cell r="I574">
            <v>6966</v>
          </cell>
          <cell r="J574">
            <v>49828274</v>
          </cell>
          <cell r="K574">
            <v>4000</v>
          </cell>
          <cell r="L574">
            <v>1.7415</v>
          </cell>
          <cell r="M574" t="str">
            <v>Gramos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  <cell r="H575" t="str">
            <v>12/06/2020</v>
          </cell>
          <cell r="I575">
            <v>9273</v>
          </cell>
          <cell r="J575">
            <v>24276714</v>
          </cell>
          <cell r="K575">
            <v>4500</v>
          </cell>
          <cell r="L575">
            <v>1.7515666666666665</v>
          </cell>
          <cell r="M575" t="str">
            <v>Gramos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  <cell r="H576" t="str">
            <v>12/06/2020</v>
          </cell>
          <cell r="I576">
            <v>2945</v>
          </cell>
          <cell r="J576">
            <v>1514352.35</v>
          </cell>
          <cell r="K576">
            <v>200</v>
          </cell>
          <cell r="L576">
            <v>14.725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  <cell r="H577" t="str">
            <v>15/06/2020</v>
          </cell>
          <cell r="I577">
            <v>43392</v>
          </cell>
          <cell r="J577">
            <v>139062184</v>
          </cell>
          <cell r="K577">
            <v>18960</v>
          </cell>
          <cell r="L577">
            <v>2.2886075949367091</v>
          </cell>
          <cell r="M577" t="str">
            <v>Gramos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  <cell r="H578" t="str">
            <v>03/06/2020</v>
          </cell>
          <cell r="I578">
            <v>1750</v>
          </cell>
          <cell r="J578">
            <v>2600500</v>
          </cell>
          <cell r="K578">
            <v>1000</v>
          </cell>
          <cell r="L578">
            <v>1.75</v>
          </cell>
          <cell r="M578" t="str">
            <v>Gramos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  <cell r="H579" t="str">
            <v>15/06/2020</v>
          </cell>
          <cell r="I579">
            <v>6825</v>
          </cell>
          <cell r="J579">
            <v>5919593.6299999999</v>
          </cell>
          <cell r="K579">
            <v>2000</v>
          </cell>
          <cell r="L579">
            <v>3.4125000000000001</v>
          </cell>
          <cell r="M579" t="str">
            <v>Gramos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15/06/2020</v>
          </cell>
          <cell r="I580">
            <v>21499</v>
          </cell>
          <cell r="J580">
            <v>78277859</v>
          </cell>
          <cell r="K580">
            <v>11000</v>
          </cell>
          <cell r="L580">
            <v>1.6612863636363635</v>
          </cell>
          <cell r="M580" t="str">
            <v>Gramos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15/06/2020</v>
          </cell>
          <cell r="I581">
            <v>2031</v>
          </cell>
          <cell r="J581">
            <v>11352679.880000001</v>
          </cell>
          <cell r="K581">
            <v>3785</v>
          </cell>
          <cell r="L581">
            <v>0.53659180977542931</v>
          </cell>
          <cell r="M581" t="str">
            <v>Mililitros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  <cell r="H582" t="str">
            <v>28/05/2020</v>
          </cell>
          <cell r="I582">
            <v>3705</v>
          </cell>
          <cell r="J582">
            <v>274351</v>
          </cell>
          <cell r="K582">
            <v>52</v>
          </cell>
          <cell r="L582">
            <v>71.25</v>
          </cell>
          <cell r="M582" t="str">
            <v>Und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12/06/2020</v>
          </cell>
          <cell r="I583">
            <v>2271.3333333333298</v>
          </cell>
          <cell r="J583">
            <v>547614</v>
          </cell>
          <cell r="K583">
            <v>1000</v>
          </cell>
          <cell r="L583">
            <v>2.2713333333333297</v>
          </cell>
          <cell r="M583" t="str">
            <v>Gramos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  <cell r="H584" t="str">
            <v>06/03/2020</v>
          </cell>
          <cell r="I584">
            <v>5805</v>
          </cell>
          <cell r="J584">
            <v>141960</v>
          </cell>
          <cell r="K584">
            <v>3030</v>
          </cell>
          <cell r="L584">
            <v>1.9158415841584158</v>
          </cell>
          <cell r="M584" t="str">
            <v>Gramos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14/05/2020</v>
          </cell>
          <cell r="I585" t="e">
            <v>#N/A</v>
          </cell>
          <cell r="J585">
            <v>917390</v>
          </cell>
          <cell r="K585">
            <v>250</v>
          </cell>
          <cell r="L585" t="e">
            <v>#N/A</v>
          </cell>
          <cell r="M585" t="str">
            <v>Gramos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  <cell r="H586" t="str">
            <v>19/05/2020</v>
          </cell>
          <cell r="I586" t="e">
            <v>#N/A</v>
          </cell>
          <cell r="J586">
            <v>6886797</v>
          </cell>
          <cell r="K586">
            <v>25000</v>
          </cell>
          <cell r="L586" t="e">
            <v>#N/A</v>
          </cell>
          <cell r="M586" t="str">
            <v>Gramos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  <cell r="H587" t="str">
            <v>02/03/2020</v>
          </cell>
          <cell r="I587" t="e">
            <v>#N/A</v>
          </cell>
          <cell r="J587">
            <v>43041.599999999999</v>
          </cell>
          <cell r="K587">
            <v>500</v>
          </cell>
          <cell r="L587" t="e">
            <v>#N/A</v>
          </cell>
          <cell r="M587" t="str">
            <v>Gramos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  <cell r="H588" t="str">
            <v>13/06/2020</v>
          </cell>
          <cell r="I588">
            <v>7365</v>
          </cell>
          <cell r="J588">
            <v>3317075</v>
          </cell>
          <cell r="K588">
            <v>5000</v>
          </cell>
          <cell r="L588">
            <v>1.4730000000000001</v>
          </cell>
          <cell r="M588" t="str">
            <v>Gramos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  <cell r="H589" t="str">
            <v>30/03/2020</v>
          </cell>
          <cell r="I589">
            <v>20686.18</v>
          </cell>
          <cell r="J589">
            <v>33022.788999999997</v>
          </cell>
          <cell r="K589">
            <v>1000</v>
          </cell>
          <cell r="L589">
            <v>20.68618</v>
          </cell>
          <cell r="M589" t="str">
            <v>Gramos</v>
          </cell>
        </row>
        <row r="590">
          <cell r="A590" t="str">
            <v>11900001</v>
          </cell>
          <cell r="B590">
            <v>9601</v>
          </cell>
          <cell r="C590" t="str">
            <v>NUEZ PECANA QUEBRADURA (CAJA:10 Kg)</v>
          </cell>
          <cell r="D590" t="str">
            <v>11900001</v>
          </cell>
          <cell r="E590" t="str">
            <v>MATERIAS PRIMAS PLANTA</v>
          </cell>
          <cell r="F590" t="str">
            <v>1 CAJA</v>
          </cell>
          <cell r="G590">
            <v>500</v>
          </cell>
          <cell r="H590" t="str">
            <v>08/06/2020</v>
          </cell>
          <cell r="I590">
            <v>104876</v>
          </cell>
          <cell r="J590">
            <v>6504425.5999999996</v>
          </cell>
          <cell r="K590">
            <v>10000</v>
          </cell>
          <cell r="L590">
            <v>10.4876</v>
          </cell>
          <cell r="M590" t="str">
            <v>Gramos</v>
          </cell>
        </row>
        <row r="591">
          <cell r="A591" t="str">
            <v>11900010</v>
          </cell>
          <cell r="B591">
            <v>11431</v>
          </cell>
          <cell r="C591" t="str">
            <v>NUEZ PECANA PICADA (CAJA:13.6KG)</v>
          </cell>
          <cell r="D591" t="str">
            <v>11900010</v>
          </cell>
          <cell r="E591" t="str">
            <v>MATERIAS PRIMAS PLANTA</v>
          </cell>
          <cell r="F591" t="str">
            <v>1 CAJA</v>
          </cell>
          <cell r="G591">
            <v>500</v>
          </cell>
          <cell r="H591" t="str">
            <v>05/05/2020</v>
          </cell>
          <cell r="I591" t="e">
            <v>#N/A</v>
          </cell>
          <cell r="J591">
            <v>132343.50399999999</v>
          </cell>
          <cell r="K591">
            <v>13600</v>
          </cell>
          <cell r="L591" t="e">
            <v>#N/A</v>
          </cell>
          <cell r="M591" t="str">
            <v>Gramos</v>
          </cell>
        </row>
        <row r="592">
          <cell r="A592" t="str">
            <v>11900016</v>
          </cell>
          <cell r="B592">
            <v>15551</v>
          </cell>
          <cell r="C592" t="str">
            <v>AJONJOLI NEGRO (UND:454 G)</v>
          </cell>
          <cell r="D592" t="str">
            <v>11900016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15/06/2020</v>
          </cell>
          <cell r="I592">
            <v>2893</v>
          </cell>
          <cell r="J592">
            <v>64249</v>
          </cell>
          <cell r="K592">
            <v>454</v>
          </cell>
          <cell r="L592">
            <v>6.3722466960352424</v>
          </cell>
          <cell r="M592" t="str">
            <v>Gramos</v>
          </cell>
        </row>
        <row r="593">
          <cell r="A593" t="str">
            <v>12000003</v>
          </cell>
          <cell r="B593">
            <v>9618</v>
          </cell>
          <cell r="C593" t="str">
            <v>CREMA VERSATIE (UND: L)</v>
          </cell>
          <cell r="D593" t="str">
            <v>12000003</v>
          </cell>
          <cell r="E593" t="str">
            <v>MATERIAS PRIMAS PLANTA</v>
          </cell>
          <cell r="F593" t="str">
            <v>1 UND</v>
          </cell>
          <cell r="G593">
            <v>500</v>
          </cell>
          <cell r="H593" t="str">
            <v>15/06/2020</v>
          </cell>
          <cell r="I593">
            <v>1780</v>
          </cell>
          <cell r="J593">
            <v>18113920</v>
          </cell>
          <cell r="K593">
            <v>1000</v>
          </cell>
          <cell r="L593">
            <v>1.78</v>
          </cell>
          <cell r="M593" t="str">
            <v>Mililitros</v>
          </cell>
        </row>
        <row r="594">
          <cell r="A594" t="str">
            <v>12100006</v>
          </cell>
          <cell r="B594">
            <v>8134</v>
          </cell>
          <cell r="C594" t="str">
            <v>CHOCOLATE GUAYABITA (PAQ=36 UND)</v>
          </cell>
          <cell r="D594" t="str">
            <v>12100006</v>
          </cell>
          <cell r="E594" t="str">
            <v>MATERIAS PRIMAS PLANTA</v>
          </cell>
          <cell r="F594" t="str">
            <v>1 PAQ</v>
          </cell>
          <cell r="G594">
            <v>500</v>
          </cell>
          <cell r="H594" t="str">
            <v>30/03/2020</v>
          </cell>
          <cell r="I594">
            <v>1809</v>
          </cell>
          <cell r="J594">
            <v>1131570</v>
          </cell>
          <cell r="K594">
            <v>3785</v>
          </cell>
          <cell r="L594" t="e">
            <v>#DIV/0!</v>
          </cell>
          <cell r="M594" t="str">
            <v>Mililitros</v>
          </cell>
        </row>
        <row r="595">
          <cell r="A595" t="str">
            <v>12300004</v>
          </cell>
          <cell r="B595">
            <v>12690</v>
          </cell>
          <cell r="C595" t="str">
            <v>PURE PAPA KFC 24/22.05OZ (CAJA)</v>
          </cell>
          <cell r="D595" t="str">
            <v>12300004</v>
          </cell>
          <cell r="E595" t="str">
            <v>MATERIAS PRIMAS PLANTA</v>
          </cell>
          <cell r="F595" t="str">
            <v>1 CAJA</v>
          </cell>
          <cell r="G595">
            <v>500</v>
          </cell>
          <cell r="H595" t="str">
            <v>02/06/2020</v>
          </cell>
          <cell r="I595" t="e">
            <v>#N/A</v>
          </cell>
          <cell r="J595">
            <v>287388</v>
          </cell>
          <cell r="K595">
            <v>52</v>
          </cell>
          <cell r="L595" t="e">
            <v>#N/A</v>
          </cell>
          <cell r="M595" t="str">
            <v>Und</v>
          </cell>
        </row>
        <row r="596">
          <cell r="A596" t="str">
            <v>12300005</v>
          </cell>
          <cell r="B596">
            <v>5280</v>
          </cell>
          <cell r="C596" t="str">
            <v>SALSA AJI AMARILLO (UND:160 ML)</v>
          </cell>
          <cell r="D596" t="str">
            <v>12300005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18/05/2020</v>
          </cell>
          <cell r="I596">
            <v>1206.1300000000001</v>
          </cell>
          <cell r="J596">
            <v>108016.1</v>
          </cell>
          <cell r="K596">
            <v>160</v>
          </cell>
          <cell r="L596">
            <v>7.5383125000000009</v>
          </cell>
          <cell r="M596" t="str">
            <v>Gramos</v>
          </cell>
        </row>
        <row r="597">
          <cell r="A597" t="str">
            <v>19508791</v>
          </cell>
          <cell r="B597">
            <v>12759</v>
          </cell>
          <cell r="C597" t="str">
            <v>BANDEJA PLAST 3 DIV (CAJA:250 UND)</v>
          </cell>
          <cell r="D597" t="str">
            <v>19508791</v>
          </cell>
          <cell r="E597" t="str">
            <v>EMPAQUES PLANTA</v>
          </cell>
          <cell r="F597" t="str">
            <v>1 CAJA</v>
          </cell>
          <cell r="G597">
            <v>500</v>
          </cell>
          <cell r="H597" t="str">
            <v>03/06/2020</v>
          </cell>
          <cell r="I597" t="e">
            <v>#N/A</v>
          </cell>
          <cell r="J597">
            <v>289872</v>
          </cell>
          <cell r="K597">
            <v>250</v>
          </cell>
          <cell r="L597" t="e">
            <v>#N/A</v>
          </cell>
          <cell r="M597" t="str">
            <v>Gramos</v>
          </cell>
        </row>
        <row r="598">
          <cell r="A598" t="str">
            <v>20200036</v>
          </cell>
          <cell r="B598">
            <v>12480</v>
          </cell>
          <cell r="C598" t="str">
            <v>GALLETA PARA DECORAR MENU INFANTIL</v>
          </cell>
          <cell r="D598" t="str">
            <v>20200036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15/06/2020</v>
          </cell>
          <cell r="I598">
            <v>625</v>
          </cell>
          <cell r="J598">
            <v>4748125</v>
          </cell>
          <cell r="K598">
            <v>250</v>
          </cell>
          <cell r="L598" t="e">
            <v>#DIV/0!</v>
          </cell>
        </row>
        <row r="599">
          <cell r="A599" t="str">
            <v>20300005</v>
          </cell>
          <cell r="B599">
            <v>11503</v>
          </cell>
          <cell r="C599" t="str">
            <v>CUP CAKE FONDANT  (UND)</v>
          </cell>
          <cell r="D599" t="str">
            <v>20300005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>
            <v>500</v>
          </cell>
          <cell r="J599">
            <v>860715</v>
          </cell>
          <cell r="K599">
            <v>1</v>
          </cell>
          <cell r="L599">
            <v>500</v>
          </cell>
        </row>
        <row r="600">
          <cell r="A600" t="str">
            <v>20300007</v>
          </cell>
          <cell r="B600">
            <v>12615</v>
          </cell>
          <cell r="C600" t="str">
            <v>CUCHARA CHOCOLATE BELGA (CAJA:20 UND)</v>
          </cell>
          <cell r="D600" t="str">
            <v>20300007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12/06/2020</v>
          </cell>
          <cell r="I600">
            <v>13000</v>
          </cell>
          <cell r="J600">
            <v>715000</v>
          </cell>
          <cell r="K600">
            <v>20</v>
          </cell>
          <cell r="L600">
            <v>650</v>
          </cell>
        </row>
        <row r="601">
          <cell r="A601" t="str">
            <v>20300008</v>
          </cell>
          <cell r="B601">
            <v>12481</v>
          </cell>
          <cell r="C601" t="str">
            <v>GALLETA DE FIGURA BOLSA</v>
          </cell>
          <cell r="D601" t="str">
            <v>20300008</v>
          </cell>
          <cell r="E601" t="str">
            <v>MATERIAS PRIMAS PLANTA</v>
          </cell>
          <cell r="F601" t="str">
            <v>1 UND</v>
          </cell>
          <cell r="G601">
            <v>500</v>
          </cell>
          <cell r="H601" t="str">
            <v>13/06/2020</v>
          </cell>
          <cell r="I601" t="e">
            <v>#N/A</v>
          </cell>
          <cell r="J601">
            <v>1606060.5</v>
          </cell>
          <cell r="K601">
            <v>5000</v>
          </cell>
          <cell r="L601" t="e">
            <v>#N/A</v>
          </cell>
          <cell r="M601" t="str">
            <v>Gramos</v>
          </cell>
        </row>
        <row r="602">
          <cell r="A602" t="str">
            <v>20400022</v>
          </cell>
          <cell r="B602">
            <v>11409</v>
          </cell>
          <cell r="C602" t="str">
            <v>CAJETA GRANDE (CAJA:6 UND)</v>
          </cell>
          <cell r="D602" t="str">
            <v>20400022</v>
          </cell>
          <cell r="E602" t="str">
            <v>MATERIAS PRIMAS PLANTA</v>
          </cell>
          <cell r="F602" t="str">
            <v>1 CAJA</v>
          </cell>
          <cell r="G602">
            <v>500</v>
          </cell>
          <cell r="H602" t="str">
            <v>16/06/2020</v>
          </cell>
          <cell r="I602" t="e">
            <v>#N/A</v>
          </cell>
          <cell r="J602">
            <v>9483060</v>
          </cell>
          <cell r="K602">
            <v>1000</v>
          </cell>
          <cell r="L602" t="e">
            <v>#N/A</v>
          </cell>
          <cell r="M602" t="str">
            <v>Gramos</v>
          </cell>
        </row>
        <row r="603">
          <cell r="A603" t="str">
            <v>20400051</v>
          </cell>
          <cell r="B603">
            <v>13081</v>
          </cell>
          <cell r="C603" t="str">
            <v>CROCANTE DE NUEZ (CAJA:6 UND)</v>
          </cell>
          <cell r="D603" t="str">
            <v>20400051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15/06/2020</v>
          </cell>
          <cell r="I603">
            <v>3510</v>
          </cell>
          <cell r="J603">
            <v>7371360</v>
          </cell>
          <cell r="K603">
            <v>10000</v>
          </cell>
          <cell r="L603" t="e">
            <v>#DIV/0!</v>
          </cell>
          <cell r="M603" t="str">
            <v>Gramos</v>
          </cell>
        </row>
        <row r="604">
          <cell r="A604" t="str">
            <v>20400118</v>
          </cell>
          <cell r="B604">
            <v>16622</v>
          </cell>
          <cell r="C604" t="str">
            <v>EMPANIZADOR DE POLLO (PAQ:KILO) COMEDOR</v>
          </cell>
          <cell r="D604" t="str">
            <v>20400118</v>
          </cell>
          <cell r="E604" t="str">
            <v>MATERIAS PRIMAS PLANTA</v>
          </cell>
          <cell r="F604" t="str">
            <v>1 PAQUETE</v>
          </cell>
          <cell r="G604">
            <v>500</v>
          </cell>
          <cell r="H604" t="str">
            <v>05/06/2020</v>
          </cell>
          <cell r="I604">
            <v>2057</v>
          </cell>
          <cell r="J604">
            <v>5715</v>
          </cell>
          <cell r="K604">
            <v>1000</v>
          </cell>
          <cell r="L604">
            <v>2.0569999999999999</v>
          </cell>
          <cell r="M604" t="str">
            <v>Gramos</v>
          </cell>
        </row>
        <row r="605">
          <cell r="A605" t="str">
            <v>20400120</v>
          </cell>
          <cell r="B605">
            <v>16632</v>
          </cell>
          <cell r="C605" t="str">
            <v>CHOCO SNICKERS ALMENDRA (CJ:24 Paq)COMED</v>
          </cell>
          <cell r="D605" t="str">
            <v>20400120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>
            <v>11216</v>
          </cell>
          <cell r="J605">
            <v>22567</v>
          </cell>
          <cell r="K605">
            <v>454</v>
          </cell>
          <cell r="L605" t="e">
            <v>#DIV/0!</v>
          </cell>
          <cell r="M605" t="str">
            <v>Gramos</v>
          </cell>
        </row>
        <row r="606">
          <cell r="A606" t="str">
            <v>20400121</v>
          </cell>
          <cell r="B606">
            <v>16633</v>
          </cell>
          <cell r="C606" t="str">
            <v>CHOCOLATE SNICKERS (CAJA:48 PAQ) COMEDOR</v>
          </cell>
          <cell r="D606" t="str">
            <v>20400121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11216</v>
          </cell>
          <cell r="K606">
            <v>1000</v>
          </cell>
          <cell r="L606" t="e">
            <v>#DIV/0!</v>
          </cell>
          <cell r="M606" t="str">
            <v>Mililitros</v>
          </cell>
        </row>
        <row r="607">
          <cell r="A607" t="str">
            <v>20400122</v>
          </cell>
          <cell r="B607">
            <v>16634</v>
          </cell>
          <cell r="C607" t="str">
            <v>CHOCOLATE M&amp;M ( CAJA:36 PAQ ) COMEDOR</v>
          </cell>
          <cell r="D607" t="str">
            <v>20400122</v>
          </cell>
          <cell r="E607" t="str">
            <v>MATERIAS PRIMAS PLANTA</v>
          </cell>
          <cell r="F607" t="str">
            <v>1 CAJA</v>
          </cell>
          <cell r="G607">
            <v>500</v>
          </cell>
          <cell r="H607" t="str">
            <v>05/06/2020</v>
          </cell>
          <cell r="I607" t="e">
            <v>#N/A</v>
          </cell>
          <cell r="J607">
            <v>15322</v>
          </cell>
          <cell r="K607">
            <v>1000</v>
          </cell>
          <cell r="L607" t="e">
            <v>#N/A</v>
          </cell>
          <cell r="M607" t="str">
            <v>Mililitros</v>
          </cell>
        </row>
        <row r="608">
          <cell r="A608" t="str">
            <v>20400123</v>
          </cell>
          <cell r="B608">
            <v>16635</v>
          </cell>
          <cell r="C608" t="str">
            <v>CHOCOLATE M&amp;M PEANUT (CJ:48 PAQ ) COMEDO</v>
          </cell>
          <cell r="D608" t="str">
            <v>20400123</v>
          </cell>
          <cell r="E608" t="str">
            <v>MATERIAS PRIMAS PLANTA</v>
          </cell>
          <cell r="F608" t="str">
            <v>1 CAJA</v>
          </cell>
          <cell r="G608">
            <v>500</v>
          </cell>
          <cell r="H608" t="str">
            <v>05/06/2020</v>
          </cell>
          <cell r="I608">
            <v>22567</v>
          </cell>
          <cell r="J608">
            <v>22567</v>
          </cell>
          <cell r="L608" t="e">
            <v>#DIV/0!</v>
          </cell>
        </row>
        <row r="609">
          <cell r="A609" t="str">
            <v>20400124</v>
          </cell>
          <cell r="B609">
            <v>16636</v>
          </cell>
          <cell r="C609" t="str">
            <v>MAYONESA ( UNIDAD ) COMEDOR</v>
          </cell>
          <cell r="D609" t="str">
            <v>20400124</v>
          </cell>
          <cell r="E609" t="str">
            <v>MATERIAS PRIMAS PLANTA</v>
          </cell>
          <cell r="F609" t="str">
            <v>1 UND</v>
          </cell>
          <cell r="G609">
            <v>500</v>
          </cell>
          <cell r="H609" t="str">
            <v>15/06/2020</v>
          </cell>
          <cell r="I609">
            <v>8074</v>
          </cell>
          <cell r="J609">
            <v>72666</v>
          </cell>
          <cell r="K609">
            <v>160</v>
          </cell>
          <cell r="L609" t="e">
            <v>#DIV/0!</v>
          </cell>
        </row>
        <row r="610">
          <cell r="A610" t="str">
            <v>20400125</v>
          </cell>
          <cell r="B610">
            <v>16637</v>
          </cell>
          <cell r="C610" t="str">
            <v>CHILERA ( UNIDAD ) COMEDOR</v>
          </cell>
          <cell r="D610" t="str">
            <v>20400125</v>
          </cell>
          <cell r="E610" t="str">
            <v>MATERIAS PRIMAS PLANTA</v>
          </cell>
          <cell r="F610" t="str">
            <v>1 UND</v>
          </cell>
          <cell r="G610">
            <v>500</v>
          </cell>
          <cell r="H610" t="str">
            <v>15/06/2020</v>
          </cell>
          <cell r="I610">
            <v>2657</v>
          </cell>
          <cell r="J610">
            <v>5172</v>
          </cell>
          <cell r="K610">
            <v>250</v>
          </cell>
          <cell r="L610" t="e">
            <v>#DIV/0!</v>
          </cell>
        </row>
        <row r="611">
          <cell r="A611" t="str">
            <v>20400134</v>
          </cell>
          <cell r="B611">
            <v>16646</v>
          </cell>
          <cell r="C611" t="str">
            <v>PLATANO VERDE LIMON PRO (PAQ:24 UND)COME</v>
          </cell>
          <cell r="D611" t="str">
            <v>20400134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09/06/2020</v>
          </cell>
          <cell r="I611" t="e">
            <v>#N/A</v>
          </cell>
          <cell r="J611">
            <v>11525</v>
          </cell>
          <cell r="K611">
            <v>24</v>
          </cell>
          <cell r="L611" t="e">
            <v>#N/A</v>
          </cell>
        </row>
        <row r="612">
          <cell r="A612" t="str">
            <v>20400135</v>
          </cell>
          <cell r="B612">
            <v>16647</v>
          </cell>
          <cell r="C612" t="str">
            <v>PLATANO MADURO NAT PRO (PAQ:24 UND)COMED</v>
          </cell>
          <cell r="D612" t="str">
            <v>20400135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05/06/2020</v>
          </cell>
          <cell r="I612" t="e">
            <v>#N/A</v>
          </cell>
          <cell r="J612">
            <v>11906</v>
          </cell>
          <cell r="K612">
            <v>24</v>
          </cell>
          <cell r="L612" t="e">
            <v>#N/A</v>
          </cell>
        </row>
        <row r="613">
          <cell r="A613" t="str">
            <v>20400136</v>
          </cell>
          <cell r="B613">
            <v>16648</v>
          </cell>
          <cell r="C613" t="str">
            <v>YUCA CREMA Y CEBOLLA (PAQ:24 UND)COMEDOR</v>
          </cell>
          <cell r="D613" t="str">
            <v>20400136</v>
          </cell>
          <cell r="E613" t="str">
            <v>MATERIAS PRIMAS PLANTA</v>
          </cell>
          <cell r="F613" t="str">
            <v>1 PAQUETE</v>
          </cell>
          <cell r="G613">
            <v>500</v>
          </cell>
          <cell r="H613" t="str">
            <v>05/06/2020</v>
          </cell>
          <cell r="I613" t="e">
            <v>#N/A</v>
          </cell>
          <cell r="J613">
            <v>7557</v>
          </cell>
          <cell r="K613">
            <v>24</v>
          </cell>
          <cell r="L613" t="e">
            <v>#N/A</v>
          </cell>
        </row>
        <row r="614">
          <cell r="A614" t="str">
            <v>20400137</v>
          </cell>
          <cell r="B614">
            <v>16649</v>
          </cell>
          <cell r="C614" t="str">
            <v>YUCA CON SAL (PAQ: 24 UND) COMEDOR</v>
          </cell>
          <cell r="D614" t="str">
            <v>20400137</v>
          </cell>
          <cell r="E614" t="str">
            <v>MATERIAS PRIMAS PLANTA</v>
          </cell>
          <cell r="F614" t="str">
            <v>1 PAQUETE</v>
          </cell>
          <cell r="G614">
            <v>500</v>
          </cell>
          <cell r="H614" t="str">
            <v>08/06/2020</v>
          </cell>
          <cell r="I614" t="e">
            <v>#N/A</v>
          </cell>
          <cell r="J614">
            <v>7557</v>
          </cell>
          <cell r="K614">
            <v>24</v>
          </cell>
          <cell r="L614" t="e">
            <v>#N/A</v>
          </cell>
        </row>
        <row r="615">
          <cell r="A615" t="str">
            <v>50100028</v>
          </cell>
          <cell r="B615">
            <v>15349</v>
          </cell>
          <cell r="C615" t="str">
            <v>BANDEJA ALUM 34*25 108 ONZ 394 (CJ:100)</v>
          </cell>
          <cell r="D615" t="str">
            <v>50100028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30/05/2020</v>
          </cell>
          <cell r="I615">
            <v>38609</v>
          </cell>
          <cell r="J615">
            <v>419131</v>
          </cell>
          <cell r="K615">
            <v>100</v>
          </cell>
          <cell r="L615" t="e">
            <v>#DIV/0!</v>
          </cell>
        </row>
        <row r="616">
          <cell r="A616" t="str">
            <v>50100031</v>
          </cell>
          <cell r="B616">
            <v>15825</v>
          </cell>
          <cell r="C616" t="str">
            <v>RECIPIENTE DELI DARNEL 24OZ (CAJA:225 U)</v>
          </cell>
          <cell r="D616" t="str">
            <v>50100031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05/05/2020</v>
          </cell>
          <cell r="I616">
            <v>25300</v>
          </cell>
          <cell r="J616">
            <v>48070</v>
          </cell>
          <cell r="K616">
            <v>225</v>
          </cell>
          <cell r="L616" t="e">
            <v>#DIV/0!</v>
          </cell>
        </row>
        <row r="617">
          <cell r="A617" t="str">
            <v>50100035</v>
          </cell>
          <cell r="B617">
            <v>15893</v>
          </cell>
          <cell r="C617" t="str">
            <v>TAPA CONT ALUMINIO 16 ONZ (CAJA:500 UND)</v>
          </cell>
          <cell r="D617" t="str">
            <v>50100035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23/03/2020</v>
          </cell>
          <cell r="I617" t="e">
            <v>#N/A</v>
          </cell>
          <cell r="J617">
            <v>130948</v>
          </cell>
          <cell r="K617">
            <v>500</v>
          </cell>
          <cell r="L617" t="e">
            <v>#N/A</v>
          </cell>
        </row>
        <row r="618">
          <cell r="A618" t="str">
            <v>50100036</v>
          </cell>
          <cell r="B618">
            <v>15894</v>
          </cell>
          <cell r="C618" t="str">
            <v>MOLDE ALUMINIO 16 ONZ (CAJA:500 UND)</v>
          </cell>
          <cell r="D618" t="str">
            <v>50100036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23/03/2020</v>
          </cell>
          <cell r="I618" t="e">
            <v>#N/A</v>
          </cell>
          <cell r="J618">
            <v>180215</v>
          </cell>
          <cell r="K618">
            <v>500</v>
          </cell>
          <cell r="L618" t="e">
            <v>#N/A</v>
          </cell>
        </row>
        <row r="619">
          <cell r="A619" t="str">
            <v>50100037</v>
          </cell>
          <cell r="B619">
            <v>16462</v>
          </cell>
          <cell r="C619" t="str">
            <v>MOLDE ALUMINIO RED 2058 (CAJA:500 UND)</v>
          </cell>
          <cell r="D619" t="str">
            <v>50100037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34500</v>
          </cell>
          <cell r="J619">
            <v>345000</v>
          </cell>
          <cell r="K619">
            <v>500</v>
          </cell>
          <cell r="L619" t="e">
            <v>#DIV/0!</v>
          </cell>
        </row>
        <row r="620">
          <cell r="A620" t="str">
            <v>50100038</v>
          </cell>
          <cell r="B620">
            <v>16465</v>
          </cell>
          <cell r="C620" t="str">
            <v>TAPA MOLDE ALUMINIO RED 2058 (CAJA:500u)</v>
          </cell>
          <cell r="D620" t="str">
            <v>20400122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15/06/2020</v>
          </cell>
          <cell r="I620">
            <v>15750</v>
          </cell>
          <cell r="J620">
            <v>50970.15</v>
          </cell>
          <cell r="K620">
            <v>500</v>
          </cell>
          <cell r="L620" t="e">
            <v>#DIV/0!</v>
          </cell>
        </row>
        <row r="621">
          <cell r="A621" t="str">
            <v>50100038</v>
          </cell>
          <cell r="B621">
            <v>16464</v>
          </cell>
          <cell r="C621" t="str">
            <v>TAPA MOLDE ALUMINIO RED 2058 (CAJA:500u)</v>
          </cell>
          <cell r="D621" t="str">
            <v>50100038</v>
          </cell>
          <cell r="E621" t="str">
            <v>EMPAQUES PLANTA</v>
          </cell>
          <cell r="F621" t="str">
            <v>1 CAJA</v>
          </cell>
          <cell r="G621">
            <v>500</v>
          </cell>
          <cell r="H621" t="str">
            <v>13/06/2020</v>
          </cell>
          <cell r="I621">
            <v>15750</v>
          </cell>
          <cell r="J621">
            <v>157500</v>
          </cell>
          <cell r="K621">
            <v>500</v>
          </cell>
          <cell r="L621" t="e">
            <v>#DIV/0!</v>
          </cell>
        </row>
        <row r="622">
          <cell r="A622" t="str">
            <v>50200002</v>
          </cell>
          <cell r="B622">
            <v>16480</v>
          </cell>
          <cell r="C622" t="str">
            <v>BANDEJA ALUMINIO 18X14 (CAJA: 600 UND)</v>
          </cell>
          <cell r="D622" t="str">
            <v>50200002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13/06/2020</v>
          </cell>
          <cell r="I622">
            <v>85</v>
          </cell>
          <cell r="J622">
            <v>102000</v>
          </cell>
          <cell r="K622">
            <v>600</v>
          </cell>
          <cell r="L622" t="e">
            <v>#DIV/0!</v>
          </cell>
        </row>
        <row r="623">
          <cell r="A623" t="str">
            <v>50200003</v>
          </cell>
          <cell r="B623">
            <v>16482</v>
          </cell>
          <cell r="C623" t="str">
            <v>TAPA ALUMINIO 18X14 (CAJA: 600 UND)</v>
          </cell>
          <cell r="D623" t="str">
            <v>50200003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13/06/2020</v>
          </cell>
          <cell r="I623">
            <v>73</v>
          </cell>
          <cell r="J623">
            <v>87600</v>
          </cell>
          <cell r="K623">
            <v>600</v>
          </cell>
          <cell r="L623" t="e">
            <v>#DIV/0!</v>
          </cell>
        </row>
        <row r="624">
          <cell r="A624" t="str">
            <v>50400003</v>
          </cell>
          <cell r="B624">
            <v>11379</v>
          </cell>
          <cell r="C624" t="str">
            <v>CAJA MUSMANNI #2 (UND)</v>
          </cell>
          <cell r="D624" t="str">
            <v>50400003</v>
          </cell>
          <cell r="E624" t="str">
            <v>EMPAQUES PLANTA</v>
          </cell>
          <cell r="F624" t="str">
            <v>1 UND</v>
          </cell>
          <cell r="G624">
            <v>500</v>
          </cell>
          <cell r="H624" t="str">
            <v>10/06/2020</v>
          </cell>
          <cell r="I624">
            <v>205</v>
          </cell>
          <cell r="J624">
            <v>1303185</v>
          </cell>
          <cell r="K624">
            <v>1</v>
          </cell>
          <cell r="L624">
            <v>205</v>
          </cell>
          <cell r="M624" t="str">
            <v>Und</v>
          </cell>
        </row>
        <row r="625">
          <cell r="A625" t="str">
            <v>50400014</v>
          </cell>
          <cell r="B625">
            <v>15527</v>
          </cell>
          <cell r="C625" t="str">
            <v>CAJA PEQUEÑA OFFICE BREAK (CAJA:625 UND)</v>
          </cell>
          <cell r="D625" t="str">
            <v>50400014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15/06/2020</v>
          </cell>
          <cell r="I625">
            <v>43437.5</v>
          </cell>
          <cell r="J625">
            <v>7175625</v>
          </cell>
          <cell r="K625">
            <v>625</v>
          </cell>
          <cell r="L625">
            <v>69.5</v>
          </cell>
        </row>
        <row r="626">
          <cell r="A626" t="str">
            <v>50400015</v>
          </cell>
          <cell r="B626">
            <v>15528</v>
          </cell>
          <cell r="C626" t="str">
            <v>CAJA MEDIANA OFFICE BREAK (CAJA:400 UND)</v>
          </cell>
          <cell r="D626" t="str">
            <v>50400015</v>
          </cell>
          <cell r="E626" t="str">
            <v>EMPAQUES PLANTA</v>
          </cell>
          <cell r="F626" t="str">
            <v>1 CAJA</v>
          </cell>
          <cell r="G626">
            <v>500</v>
          </cell>
          <cell r="H626" t="str">
            <v>15/06/2020</v>
          </cell>
          <cell r="I626">
            <v>34000</v>
          </cell>
          <cell r="J626">
            <v>3349600</v>
          </cell>
          <cell r="K626">
            <v>400</v>
          </cell>
          <cell r="L626">
            <v>85</v>
          </cell>
        </row>
        <row r="627">
          <cell r="A627" t="str">
            <v>50400016</v>
          </cell>
          <cell r="B627">
            <v>15529</v>
          </cell>
          <cell r="C627" t="str">
            <v>CAJA GRANDE OFFICE BREAK (CAJA:280 UND)</v>
          </cell>
          <cell r="D627" t="str">
            <v>50400016</v>
          </cell>
          <cell r="E627" t="str">
            <v>EMPAQUES PLANTA</v>
          </cell>
          <cell r="F627" t="str">
            <v>1 CAJA</v>
          </cell>
          <cell r="G627">
            <v>500</v>
          </cell>
          <cell r="H627" t="str">
            <v>08/05/2020</v>
          </cell>
          <cell r="I627">
            <v>32760</v>
          </cell>
          <cell r="J627">
            <v>2260440</v>
          </cell>
          <cell r="K627">
            <v>280</v>
          </cell>
          <cell r="L627">
            <v>117</v>
          </cell>
        </row>
        <row r="628">
          <cell r="A628" t="str">
            <v>50400017</v>
          </cell>
          <cell r="B628">
            <v>15530</v>
          </cell>
          <cell r="C628" t="str">
            <v>CAJA PORCION OFFICE BREAK (CAJA:950 UND)</v>
          </cell>
          <cell r="D628" t="str">
            <v>50400017</v>
          </cell>
          <cell r="E628" t="str">
            <v>EMPAQUES PLANTA</v>
          </cell>
          <cell r="F628" t="str">
            <v>1 CAJA</v>
          </cell>
          <cell r="G628">
            <v>500</v>
          </cell>
          <cell r="H628" t="str">
            <v>27/05/2020</v>
          </cell>
          <cell r="I628">
            <v>56050</v>
          </cell>
          <cell r="J628">
            <v>4253340</v>
          </cell>
          <cell r="K628">
            <v>950</v>
          </cell>
          <cell r="L628">
            <v>59</v>
          </cell>
        </row>
        <row r="629">
          <cell r="A629" t="str">
            <v>50500003</v>
          </cell>
          <cell r="B629">
            <v>12118</v>
          </cell>
          <cell r="C629" t="str">
            <v>CANDELA CARITAS COLORES (UND)</v>
          </cell>
          <cell r="D629" t="str">
            <v>50500003</v>
          </cell>
          <cell r="E629" t="str">
            <v>EMPAQUES PLANTA</v>
          </cell>
          <cell r="F629" t="str">
            <v>1 UND</v>
          </cell>
          <cell r="G629">
            <v>500</v>
          </cell>
          <cell r="H629" t="str">
            <v>23/05/2020</v>
          </cell>
          <cell r="I629">
            <v>765</v>
          </cell>
          <cell r="J629">
            <v>419624.5</v>
          </cell>
          <cell r="K629">
            <v>1</v>
          </cell>
          <cell r="L629">
            <v>765</v>
          </cell>
        </row>
        <row r="630">
          <cell r="A630" t="str">
            <v>50500004</v>
          </cell>
          <cell r="B630">
            <v>12119</v>
          </cell>
          <cell r="C630" t="str">
            <v>CANDELA GLOBOS SURTIDO COLORES (UND)</v>
          </cell>
          <cell r="D630" t="str">
            <v>50500004</v>
          </cell>
          <cell r="E630" t="str">
            <v>EMPAQUES PLANTA</v>
          </cell>
          <cell r="F630" t="str">
            <v>1 UND</v>
          </cell>
          <cell r="G630">
            <v>500</v>
          </cell>
          <cell r="H630" t="str">
            <v>08/06/2020</v>
          </cell>
          <cell r="I630">
            <v>725</v>
          </cell>
          <cell r="J630">
            <v>609187.5</v>
          </cell>
          <cell r="K630">
            <v>1</v>
          </cell>
          <cell r="L630">
            <v>725</v>
          </cell>
        </row>
        <row r="631">
          <cell r="A631" t="str">
            <v>50500005</v>
          </cell>
          <cell r="B631">
            <v>12120</v>
          </cell>
          <cell r="C631" t="str">
            <v>CANDELA FELIZ ESCARCHA SURTIDA (UND)</v>
          </cell>
          <cell r="D631" t="str">
            <v>50500005</v>
          </cell>
          <cell r="E631" t="str">
            <v>EMPAQUES PLANTA</v>
          </cell>
          <cell r="F631" t="str">
            <v>1 UND</v>
          </cell>
          <cell r="G631">
            <v>500</v>
          </cell>
          <cell r="H631" t="str">
            <v>08/06/2020</v>
          </cell>
          <cell r="I631">
            <v>750</v>
          </cell>
          <cell r="J631">
            <v>467827.5</v>
          </cell>
          <cell r="K631">
            <v>500</v>
          </cell>
          <cell r="L631" t="e">
            <v>#DIV/0!</v>
          </cell>
        </row>
        <row r="632">
          <cell r="A632" t="str">
            <v>50600003</v>
          </cell>
          <cell r="B632">
            <v>15524</v>
          </cell>
          <cell r="C632" t="str">
            <v>CAPSULA # 5 BLANCA (PAQ:1000 UND)</v>
          </cell>
          <cell r="D632" t="str">
            <v>50600003</v>
          </cell>
          <cell r="E632" t="str">
            <v>EMPAQUES PLANTA</v>
          </cell>
          <cell r="F632" t="str">
            <v>1 PAQUETE</v>
          </cell>
          <cell r="G632">
            <v>500</v>
          </cell>
          <cell r="H632" t="str">
            <v>27/12/2019</v>
          </cell>
          <cell r="I632">
            <v>8600</v>
          </cell>
          <cell r="J632">
            <v>1462000</v>
          </cell>
          <cell r="K632">
            <v>1000</v>
          </cell>
          <cell r="L632">
            <v>8.6</v>
          </cell>
        </row>
        <row r="633">
          <cell r="A633" t="str">
            <v>50700006</v>
          </cell>
          <cell r="B633">
            <v>11250</v>
          </cell>
          <cell r="C633" t="str">
            <v xml:space="preserve">CONTENEDOR FOAM KFC 8OZ (CAJA:1000 UND) </v>
          </cell>
          <cell r="D633" t="str">
            <v>50700006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10/06/2020</v>
          </cell>
          <cell r="I633">
            <v>26392</v>
          </cell>
          <cell r="J633">
            <v>1395911</v>
          </cell>
          <cell r="K633">
            <v>1000</v>
          </cell>
          <cell r="L633">
            <v>26.391999999999999</v>
          </cell>
          <cell r="M633" t="str">
            <v>Und</v>
          </cell>
        </row>
        <row r="634">
          <cell r="A634" t="str">
            <v>50700007</v>
          </cell>
          <cell r="B634">
            <v>12723</v>
          </cell>
          <cell r="C634" t="str">
            <v>TAPA PLAST CONT KFC 4-8-16OZ (CAJA:1000)</v>
          </cell>
          <cell r="D634" t="str">
            <v>50700007</v>
          </cell>
          <cell r="E634" t="str">
            <v>EMPAQUES PLANTA</v>
          </cell>
          <cell r="F634" t="str">
            <v>1 CAJA</v>
          </cell>
          <cell r="G634">
            <v>500</v>
          </cell>
          <cell r="H634" t="str">
            <v>10/06/2020</v>
          </cell>
          <cell r="I634">
            <v>15140</v>
          </cell>
          <cell r="J634">
            <v>804095</v>
          </cell>
          <cell r="K634">
            <v>1000</v>
          </cell>
          <cell r="L634">
            <v>15.14</v>
          </cell>
          <cell r="M634" t="str">
            <v>Und</v>
          </cell>
        </row>
        <row r="635">
          <cell r="A635" t="str">
            <v>50700016</v>
          </cell>
          <cell r="B635">
            <v>5810</v>
          </cell>
          <cell r="C635" t="str">
            <v>CONT.24 ONZ.TAPA PLANA (CAJA:200 UND)</v>
          </cell>
          <cell r="D635" t="str">
            <v>50700016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14/02/2020</v>
          </cell>
          <cell r="I635" t="e">
            <v>#N/A</v>
          </cell>
          <cell r="J635">
            <v>137598</v>
          </cell>
          <cell r="K635">
            <v>200</v>
          </cell>
          <cell r="L635" t="e">
            <v>#N/A</v>
          </cell>
          <cell r="M635" t="str">
            <v>Und</v>
          </cell>
        </row>
        <row r="636">
          <cell r="A636" t="str">
            <v>50700028</v>
          </cell>
          <cell r="B636">
            <v>13581</v>
          </cell>
          <cell r="C636" t="str">
            <v>CONTENEDOR PLAS SUFLE 1 OZ (PAQ:200 UND)</v>
          </cell>
          <cell r="D636" t="str">
            <v>50700028</v>
          </cell>
          <cell r="E636" t="str">
            <v>EMPAQUES PLANTA</v>
          </cell>
          <cell r="F636" t="str">
            <v>1 PAQUETE</v>
          </cell>
          <cell r="G636">
            <v>500</v>
          </cell>
          <cell r="H636" t="str">
            <v>15/06/2020</v>
          </cell>
          <cell r="I636">
            <v>1320.32</v>
          </cell>
          <cell r="J636">
            <v>481672</v>
          </cell>
          <cell r="K636">
            <v>200</v>
          </cell>
          <cell r="L636">
            <v>6.6015999999999995</v>
          </cell>
        </row>
        <row r="637">
          <cell r="A637" t="str">
            <v>50700029</v>
          </cell>
          <cell r="B637">
            <v>14055</v>
          </cell>
          <cell r="C637" t="str">
            <v>CONTENEDOR SUFLE 2 ONZ (PAQ:200 UND)</v>
          </cell>
          <cell r="D637" t="str">
            <v>50700029</v>
          </cell>
          <cell r="E637" t="str">
            <v>EMPAQUES PLANTA</v>
          </cell>
          <cell r="F637" t="str">
            <v>1 PAQUETE</v>
          </cell>
          <cell r="G637">
            <v>500</v>
          </cell>
          <cell r="H637" t="str">
            <v>21/05/2020</v>
          </cell>
          <cell r="I637">
            <v>1615.9166666666699</v>
          </cell>
          <cell r="J637">
            <v>723651.12919999904</v>
          </cell>
          <cell r="K637">
            <v>200</v>
          </cell>
          <cell r="L637">
            <v>8.0795833333333498</v>
          </cell>
          <cell r="M637" t="str">
            <v>Und</v>
          </cell>
        </row>
        <row r="638">
          <cell r="A638" t="str">
            <v>50700039</v>
          </cell>
          <cell r="B638">
            <v>15135</v>
          </cell>
          <cell r="C638" t="str">
            <v>TAPA UNIVERL POLI BOTE 16PP (CJ:500 UND)</v>
          </cell>
          <cell r="D638" t="str">
            <v>50700039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12/06/2020</v>
          </cell>
          <cell r="I638">
            <v>10825.22</v>
          </cell>
          <cell r="J638">
            <v>411358.36</v>
          </cell>
          <cell r="K638">
            <v>500</v>
          </cell>
          <cell r="L638">
            <v>21.65044</v>
          </cell>
          <cell r="M638" t="str">
            <v>Und</v>
          </cell>
        </row>
        <row r="639">
          <cell r="A639" t="str">
            <v>50700040</v>
          </cell>
          <cell r="B639">
            <v>15136</v>
          </cell>
          <cell r="C639" t="str">
            <v>CONTENEDOR PLAST 4 OZ (CAJA: 15 PAQ)</v>
          </cell>
          <cell r="D639" t="str">
            <v>50700040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19/03/2020</v>
          </cell>
          <cell r="I639">
            <v>51805</v>
          </cell>
          <cell r="J639">
            <v>490168</v>
          </cell>
          <cell r="K639">
            <v>400</v>
          </cell>
          <cell r="L639" t="e">
            <v>#DIV/0!</v>
          </cell>
        </row>
        <row r="640">
          <cell r="A640" t="str">
            <v>50700042</v>
          </cell>
          <cell r="B640">
            <v>15147</v>
          </cell>
          <cell r="C640" t="str">
            <v>CONT COSTILLA BASE DOMO OP3 (CJ:250 UND)</v>
          </cell>
          <cell r="D640" t="str">
            <v>50700042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04/06/2020</v>
          </cell>
          <cell r="I640">
            <v>23825.1</v>
          </cell>
          <cell r="J640">
            <v>1834532.7</v>
          </cell>
          <cell r="K640">
            <v>250</v>
          </cell>
          <cell r="L640">
            <v>95.300399999999996</v>
          </cell>
        </row>
        <row r="641">
          <cell r="A641" t="str">
            <v>50700043</v>
          </cell>
          <cell r="B641">
            <v>15157</v>
          </cell>
          <cell r="C641" t="str">
            <v>BISAGRA P/PASTEL ROSCA (CAJA: 180 UND)</v>
          </cell>
          <cell r="D641" t="str">
            <v>50700043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21/05/2020</v>
          </cell>
          <cell r="I641">
            <v>39375.800000000003</v>
          </cell>
          <cell r="J641">
            <v>826891.8</v>
          </cell>
          <cell r="K641">
            <v>180</v>
          </cell>
          <cell r="L641">
            <v>218.75444444444446</v>
          </cell>
        </row>
        <row r="642">
          <cell r="A642" t="str">
            <v>50700044</v>
          </cell>
          <cell r="B642">
            <v>15311</v>
          </cell>
          <cell r="C642" t="str">
            <v>CONTENEDOR POLIPROP 8 ONZ (CJ:500 UND)</v>
          </cell>
          <cell r="D642" t="str">
            <v>50700044</v>
          </cell>
          <cell r="E642" t="str">
            <v>EMPAQUES PLANTA</v>
          </cell>
          <cell r="F642" t="str">
            <v>1 CAJA</v>
          </cell>
          <cell r="G642">
            <v>500</v>
          </cell>
          <cell r="H642" t="str">
            <v>12/06/2020</v>
          </cell>
          <cell r="I642">
            <v>16576.87</v>
          </cell>
          <cell r="J642">
            <v>580190.44999999995</v>
          </cell>
          <cell r="K642">
            <v>500</v>
          </cell>
          <cell r="L642">
            <v>33.153739999999999</v>
          </cell>
        </row>
        <row r="643">
          <cell r="A643" t="str">
            <v>50700045</v>
          </cell>
          <cell r="B643">
            <v>15390</v>
          </cell>
          <cell r="C643" t="str">
            <v>BISAGRA 6 MANTECADA 24*16*8 (CJ:250 UND)</v>
          </cell>
          <cell r="D643" t="str">
            <v>50700045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20/02/2020</v>
          </cell>
          <cell r="I643" t="e">
            <v>#N/A</v>
          </cell>
          <cell r="J643">
            <v>287699.59999999998</v>
          </cell>
          <cell r="K643">
            <v>250</v>
          </cell>
          <cell r="L643" t="e">
            <v>#N/A</v>
          </cell>
        </row>
        <row r="644">
          <cell r="A644" t="str">
            <v>51000003</v>
          </cell>
          <cell r="B644">
            <v>9473</v>
          </cell>
          <cell r="C644" t="str">
            <v>ORLA 14.5" (UND)</v>
          </cell>
          <cell r="D644" t="str">
            <v>51000003</v>
          </cell>
          <cell r="E644" t="str">
            <v>EMPAQUES PLANTA</v>
          </cell>
          <cell r="F644" t="str">
            <v>1 UND</v>
          </cell>
          <cell r="G644">
            <v>500</v>
          </cell>
          <cell r="H644" t="str">
            <v>20/03/2020</v>
          </cell>
          <cell r="I644">
            <v>305</v>
          </cell>
          <cell r="J644">
            <v>48800</v>
          </cell>
          <cell r="K644">
            <v>1</v>
          </cell>
          <cell r="L644">
            <v>305</v>
          </cell>
          <cell r="M644" t="str">
            <v>Und</v>
          </cell>
        </row>
        <row r="645">
          <cell r="A645" t="str">
            <v>51100018</v>
          </cell>
          <cell r="B645">
            <v>14562</v>
          </cell>
          <cell r="C645" t="str">
            <v>PAPEL ENCERADO 12X12 (PAQ:1000 UND)</v>
          </cell>
          <cell r="D645" t="str">
            <v>51100018</v>
          </cell>
          <cell r="E645" t="str">
            <v>EMPAQUES PLANTA</v>
          </cell>
          <cell r="F645" t="str">
            <v>1 PAQUETE</v>
          </cell>
          <cell r="G645">
            <v>500</v>
          </cell>
          <cell r="H645" t="str">
            <v>19/05/2020</v>
          </cell>
          <cell r="I645">
            <v>14092.2</v>
          </cell>
          <cell r="J645">
            <v>1556080.58</v>
          </cell>
          <cell r="K645">
            <v>1000</v>
          </cell>
          <cell r="L645">
            <v>14.0922</v>
          </cell>
        </row>
        <row r="646">
          <cell r="A646" t="str">
            <v>51400001</v>
          </cell>
          <cell r="B646">
            <v>10089</v>
          </cell>
          <cell r="C646" t="str">
            <v>QUEQUERA RECTANGULAR 1/2 (CAJA:35 UND)</v>
          </cell>
          <cell r="D646" t="str">
            <v>51400001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05/06/2020</v>
          </cell>
          <cell r="I646">
            <v>42933</v>
          </cell>
          <cell r="J646">
            <v>4768739</v>
          </cell>
          <cell r="K646">
            <v>35</v>
          </cell>
          <cell r="L646">
            <v>1226.6571428571428</v>
          </cell>
          <cell r="M646" t="str">
            <v>Und</v>
          </cell>
        </row>
        <row r="647">
          <cell r="A647" t="str">
            <v>51400015</v>
          </cell>
          <cell r="B647">
            <v>12720</v>
          </cell>
          <cell r="C647" t="str">
            <v>QUEQUERA CHILENA (CAJA:50 UND)</v>
          </cell>
          <cell r="D647" t="str">
            <v>51400015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10/06/2020</v>
          </cell>
          <cell r="I647">
            <v>25542</v>
          </cell>
          <cell r="J647">
            <v>11750797</v>
          </cell>
          <cell r="K647">
            <v>50</v>
          </cell>
          <cell r="L647">
            <v>510.84</v>
          </cell>
          <cell r="M647" t="str">
            <v>Und</v>
          </cell>
        </row>
        <row r="648">
          <cell r="A648" t="str">
            <v>51400016</v>
          </cell>
          <cell r="B648">
            <v>12721</v>
          </cell>
          <cell r="C648" t="str">
            <v>DOMO QUEQUERA 8" ALTA (CAJA:100 UND)</v>
          </cell>
          <cell r="D648" t="str">
            <v>51400016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18595</v>
          </cell>
          <cell r="J648">
            <v>17157345</v>
          </cell>
          <cell r="K648">
            <v>100</v>
          </cell>
          <cell r="L648">
            <v>185.95</v>
          </cell>
          <cell r="M648" t="str">
            <v>Und</v>
          </cell>
        </row>
        <row r="649">
          <cell r="A649" t="str">
            <v>51400017</v>
          </cell>
          <cell r="B649">
            <v>12722</v>
          </cell>
          <cell r="C649" t="str">
            <v>BASE QUEQUERA 8" ALTA (CAJA:200 UND)</v>
          </cell>
          <cell r="D649" t="str">
            <v>51400017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08/06/2020</v>
          </cell>
          <cell r="I649">
            <v>22127</v>
          </cell>
          <cell r="J649">
            <v>10305846</v>
          </cell>
          <cell r="K649">
            <v>200</v>
          </cell>
          <cell r="L649">
            <v>110.63500000000001</v>
          </cell>
          <cell r="M649" t="str">
            <v>Und</v>
          </cell>
        </row>
        <row r="650">
          <cell r="A650" t="str">
            <v>51400020</v>
          </cell>
          <cell r="B650">
            <v>14983</v>
          </cell>
          <cell r="C650" t="str">
            <v>BURBUJA I-3 ALTA (CAJA:250 UND)</v>
          </cell>
          <cell r="D650" t="str">
            <v>51400020</v>
          </cell>
          <cell r="E650" t="str">
            <v>EMPAQUES PLANTA</v>
          </cell>
          <cell r="F650" t="str">
            <v>1 CAJA</v>
          </cell>
          <cell r="G650">
            <v>500</v>
          </cell>
          <cell r="H650" t="str">
            <v>12/06/2020</v>
          </cell>
          <cell r="I650">
            <v>7528.32</v>
          </cell>
          <cell r="J650">
            <v>2731062.91</v>
          </cell>
          <cell r="K650">
            <v>250</v>
          </cell>
          <cell r="L650">
            <v>30.11328</v>
          </cell>
        </row>
        <row r="651">
          <cell r="A651" t="str">
            <v>51400021</v>
          </cell>
          <cell r="B651">
            <v>15022</v>
          </cell>
          <cell r="C651" t="str">
            <v>QUEQUERA RED C/BASE ALTA 9" (CAJA:100 U)</v>
          </cell>
          <cell r="D651" t="str">
            <v>51400021</v>
          </cell>
          <cell r="E651" t="str">
            <v>EMPAQUES PLANTA</v>
          </cell>
          <cell r="F651" t="str">
            <v>1 CAJA</v>
          </cell>
          <cell r="G651">
            <v>500</v>
          </cell>
          <cell r="H651" t="str">
            <v>12/06/2020</v>
          </cell>
          <cell r="I651">
            <v>36645</v>
          </cell>
          <cell r="J651">
            <v>5598080</v>
          </cell>
          <cell r="K651">
            <v>100</v>
          </cell>
          <cell r="L651">
            <v>366.45</v>
          </cell>
          <cell r="M651" t="str">
            <v>Und</v>
          </cell>
        </row>
        <row r="652">
          <cell r="A652" t="str">
            <v>51400022</v>
          </cell>
          <cell r="B652">
            <v>15028</v>
          </cell>
          <cell r="C652" t="str">
            <v>BOWL FIBRA 24 ONZ COMPOST (PAQ:125 UND)</v>
          </cell>
          <cell r="D652" t="str">
            <v>51400022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27/05/2020</v>
          </cell>
          <cell r="I652">
            <v>23.75</v>
          </cell>
          <cell r="J652">
            <v>2392240.3612500001</v>
          </cell>
          <cell r="K652">
            <v>125</v>
          </cell>
          <cell r="L652">
            <v>0.19</v>
          </cell>
        </row>
        <row r="653">
          <cell r="A653" t="str">
            <v>51400023</v>
          </cell>
          <cell r="B653">
            <v>15029</v>
          </cell>
          <cell r="C653" t="str">
            <v>BOWL FIBRA 32 ONZ COMPOST (PAQ:125 UND)</v>
          </cell>
          <cell r="D653" t="str">
            <v>51400023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29/05/2020</v>
          </cell>
          <cell r="I653">
            <v>25.5</v>
          </cell>
          <cell r="J653">
            <v>3410514.33</v>
          </cell>
          <cell r="K653">
            <v>125</v>
          </cell>
          <cell r="L653">
            <v>0.20399999999999999</v>
          </cell>
        </row>
        <row r="654">
          <cell r="A654" t="str">
            <v>51400024</v>
          </cell>
          <cell r="B654">
            <v>15030</v>
          </cell>
          <cell r="C654" t="str">
            <v>TAPA  BOWL 16/24/32 ONZ (PAQ:125 UND)</v>
          </cell>
          <cell r="D654" t="str">
            <v>51400024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08/06/2020</v>
          </cell>
          <cell r="I654">
            <v>17.125</v>
          </cell>
          <cell r="J654">
            <v>3564964.1575000002</v>
          </cell>
          <cell r="K654">
            <v>125</v>
          </cell>
          <cell r="L654">
            <v>0.13700000000000001</v>
          </cell>
        </row>
        <row r="655">
          <cell r="A655" t="str">
            <v>51400025</v>
          </cell>
          <cell r="B655">
            <v>15031</v>
          </cell>
          <cell r="C655" t="str">
            <v>BANDEJA FIBRA 2 DIVISIONES (PAQ:50 UND)</v>
          </cell>
          <cell r="D655" t="str">
            <v>51400025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11/06/2020</v>
          </cell>
          <cell r="I655">
            <v>9.4</v>
          </cell>
          <cell r="J655">
            <v>410722.1</v>
          </cell>
          <cell r="K655">
            <v>50</v>
          </cell>
          <cell r="L655">
            <v>0.188</v>
          </cell>
        </row>
        <row r="656">
          <cell r="A656" t="str">
            <v>51400026</v>
          </cell>
          <cell r="B656">
            <v>15032</v>
          </cell>
          <cell r="C656" t="str">
            <v>BANDEJA FIBRA 3 DIVISIONES (PAQ:50 UND)</v>
          </cell>
          <cell r="D656" t="str">
            <v>51400026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11/06/2020</v>
          </cell>
          <cell r="I656">
            <v>11.15</v>
          </cell>
          <cell r="J656">
            <v>3316155.06</v>
          </cell>
          <cell r="K656">
            <v>50</v>
          </cell>
          <cell r="L656">
            <v>0.223</v>
          </cell>
        </row>
        <row r="657">
          <cell r="A657" t="str">
            <v>51400027</v>
          </cell>
          <cell r="B657">
            <v>15033</v>
          </cell>
          <cell r="C657" t="str">
            <v>TAPA BOWL SOPA 8 ONZ (PAQ:50 UND)</v>
          </cell>
          <cell r="D657" t="str">
            <v>51400027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09/06/2020</v>
          </cell>
          <cell r="I657">
            <v>4.8499999999999996</v>
          </cell>
          <cell r="J657">
            <v>1387204.9750000001</v>
          </cell>
          <cell r="K657">
            <v>50</v>
          </cell>
          <cell r="L657">
            <v>9.6999999999999989E-2</v>
          </cell>
          <cell r="M657" t="str">
            <v>Und</v>
          </cell>
        </row>
        <row r="658">
          <cell r="A658" t="str">
            <v>51400028</v>
          </cell>
          <cell r="B658">
            <v>15034</v>
          </cell>
          <cell r="C658" t="str">
            <v>BOWL FIBRA SOPA 16 ONZ (PAQ:50 UND)</v>
          </cell>
          <cell r="D658" t="str">
            <v>51400028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27/03/2020</v>
          </cell>
          <cell r="I658">
            <v>7.65</v>
          </cell>
          <cell r="J658">
            <v>716800.41</v>
          </cell>
          <cell r="K658">
            <v>50</v>
          </cell>
          <cell r="L658">
            <v>0.153</v>
          </cell>
        </row>
        <row r="659">
          <cell r="A659" t="str">
            <v>51400029</v>
          </cell>
          <cell r="B659">
            <v>15035</v>
          </cell>
          <cell r="C659" t="str">
            <v>BOWL FIBRA 16 ONZ COMPOST (PAQ:125 UND)</v>
          </cell>
          <cell r="D659" t="str">
            <v>51400029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03/06/2020</v>
          </cell>
          <cell r="I659">
            <v>16.5</v>
          </cell>
          <cell r="J659">
            <v>457503.11</v>
          </cell>
          <cell r="K659">
            <v>125</v>
          </cell>
          <cell r="L659">
            <v>0.13200000000000001</v>
          </cell>
          <cell r="M659" t="str">
            <v>Und</v>
          </cell>
        </row>
        <row r="660">
          <cell r="A660" t="str">
            <v>51400030</v>
          </cell>
          <cell r="B660">
            <v>15036</v>
          </cell>
          <cell r="C660" t="str">
            <v>TAPA FIBRA BANDEJA 2 DIV (PAQ:50 UND)</v>
          </cell>
          <cell r="D660" t="str">
            <v>51400030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11/06/2020</v>
          </cell>
          <cell r="I660">
            <v>7.85</v>
          </cell>
          <cell r="J660">
            <v>310445.8</v>
          </cell>
          <cell r="K660">
            <v>50</v>
          </cell>
          <cell r="L660">
            <v>0.157</v>
          </cell>
          <cell r="M660" t="str">
            <v>Und</v>
          </cell>
        </row>
        <row r="661">
          <cell r="A661" t="str">
            <v>51400031</v>
          </cell>
          <cell r="B661">
            <v>15037</v>
          </cell>
          <cell r="C661" t="str">
            <v>TAPA FIBRA BANDEJA 3 DIV  (PAQ:50 UND)</v>
          </cell>
          <cell r="D661" t="str">
            <v>51400031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13/06/2020</v>
          </cell>
          <cell r="I661">
            <v>9.75</v>
          </cell>
          <cell r="J661">
            <v>2781826.4</v>
          </cell>
          <cell r="K661">
            <v>50</v>
          </cell>
          <cell r="L661">
            <v>0.19500000000000001</v>
          </cell>
          <cell r="M661" t="str">
            <v>Und</v>
          </cell>
        </row>
        <row r="662">
          <cell r="A662" t="str">
            <v>51400032</v>
          </cell>
          <cell r="B662">
            <v>15038</v>
          </cell>
          <cell r="C662" t="str">
            <v>BOWL FIBRA SOPA 12 ONZ (PAQ:50 UND)</v>
          </cell>
          <cell r="D662" t="str">
            <v>51400032</v>
          </cell>
          <cell r="E662" t="str">
            <v>EMPAQUES PLANTA</v>
          </cell>
          <cell r="F662" t="str">
            <v>1 PAQUETE</v>
          </cell>
          <cell r="G662">
            <v>500</v>
          </cell>
          <cell r="H662" t="str">
            <v>08/06/2020</v>
          </cell>
          <cell r="I662">
            <v>6.85</v>
          </cell>
          <cell r="J662">
            <v>387817.10200000001</v>
          </cell>
          <cell r="K662">
            <v>50</v>
          </cell>
          <cell r="L662">
            <v>0.13699999999999998</v>
          </cell>
          <cell r="M662" t="str">
            <v>Und</v>
          </cell>
        </row>
        <row r="663">
          <cell r="A663" t="str">
            <v>51400033</v>
          </cell>
          <cell r="B663">
            <v>15039</v>
          </cell>
          <cell r="C663" t="str">
            <v>TAPA BOWL SOPA 12/16/32 ONZ (PAQ:50 UND)</v>
          </cell>
          <cell r="D663" t="str">
            <v>51400033</v>
          </cell>
          <cell r="E663" t="str">
            <v>EMPAQUES PLANTA</v>
          </cell>
          <cell r="F663" t="str">
            <v>1 PAQUETE</v>
          </cell>
          <cell r="G663">
            <v>500</v>
          </cell>
          <cell r="H663" t="str">
            <v>09/06/2020</v>
          </cell>
          <cell r="I663">
            <v>94.147000000000006</v>
          </cell>
          <cell r="J663">
            <v>791423.76</v>
          </cell>
          <cell r="K663">
            <v>50</v>
          </cell>
          <cell r="L663">
            <v>1.8829400000000001</v>
          </cell>
          <cell r="M663" t="str">
            <v>Und</v>
          </cell>
        </row>
        <row r="664">
          <cell r="A664" t="str">
            <v>51400034</v>
          </cell>
          <cell r="B664">
            <v>15040</v>
          </cell>
          <cell r="C664" t="str">
            <v>BOWL FIBRA SOPA 8 ONZ (PAQ:50 UND)</v>
          </cell>
          <cell r="D664" t="str">
            <v>51400034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08/06/2020</v>
          </cell>
          <cell r="I664">
            <v>5.35</v>
          </cell>
          <cell r="J664">
            <v>1337529.96</v>
          </cell>
          <cell r="K664">
            <v>50</v>
          </cell>
          <cell r="L664">
            <v>0.107</v>
          </cell>
          <cell r="M664" t="str">
            <v>Und</v>
          </cell>
        </row>
        <row r="665">
          <cell r="A665" t="str">
            <v>51400035</v>
          </cell>
          <cell r="B665">
            <v>15369</v>
          </cell>
          <cell r="C665" t="str">
            <v>QUEQUERA PLAST RED 12" ALTA (CJ:50 UND)</v>
          </cell>
          <cell r="D665" t="str">
            <v>51400035</v>
          </cell>
          <cell r="E665" t="str">
            <v>EMPAQUES PLANTA</v>
          </cell>
          <cell r="F665" t="str">
            <v>1 CAJA</v>
          </cell>
          <cell r="G665">
            <v>500</v>
          </cell>
          <cell r="H665" t="str">
            <v>08/06/2020</v>
          </cell>
          <cell r="I665">
            <v>52578</v>
          </cell>
          <cell r="J665">
            <v>4879679</v>
          </cell>
          <cell r="K665">
            <v>50</v>
          </cell>
          <cell r="L665">
            <v>1051.56</v>
          </cell>
          <cell r="M665" t="str">
            <v>Und</v>
          </cell>
        </row>
        <row r="666">
          <cell r="A666" t="str">
            <v>51400036</v>
          </cell>
          <cell r="B666">
            <v>15383</v>
          </cell>
          <cell r="C666" t="str">
            <v>QUEQUERA PLAST RECT 48*13*11 (CJ:25 UND)</v>
          </cell>
          <cell r="D666" t="str">
            <v>51400036</v>
          </cell>
          <cell r="E666" t="str">
            <v>EMPAQUES PLANTA</v>
          </cell>
          <cell r="F666" t="str">
            <v>1 CAJA</v>
          </cell>
          <cell r="G666">
            <v>500</v>
          </cell>
          <cell r="H666" t="str">
            <v>21/03/2020</v>
          </cell>
          <cell r="I666">
            <v>34082</v>
          </cell>
          <cell r="J666">
            <v>537868</v>
          </cell>
          <cell r="K666">
            <v>25</v>
          </cell>
          <cell r="L666">
            <v>1363.28</v>
          </cell>
        </row>
        <row r="667">
          <cell r="A667" t="str">
            <v>51500012</v>
          </cell>
          <cell r="B667">
            <v>12129</v>
          </cell>
          <cell r="C667" t="str">
            <v>VASO BIODEGRADABLE 12 ONZ (PAQ:25 UND)</v>
          </cell>
          <cell r="D667" t="str">
            <v>51500012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10/06/2020</v>
          </cell>
          <cell r="I667">
            <v>1510.35</v>
          </cell>
          <cell r="J667">
            <v>1438464</v>
          </cell>
          <cell r="K667">
            <v>25</v>
          </cell>
          <cell r="L667">
            <v>60.413999999999994</v>
          </cell>
        </row>
        <row r="668">
          <cell r="A668" t="str">
            <v>51500013</v>
          </cell>
          <cell r="B668">
            <v>12130</v>
          </cell>
          <cell r="C668" t="str">
            <v>TAPA VASO BIODEGR 12,16 onz (PAQ:50 UND)</v>
          </cell>
          <cell r="D668" t="str">
            <v>51500013</v>
          </cell>
          <cell r="E668" t="str">
            <v>EMPAQUES PLANTA</v>
          </cell>
          <cell r="F668" t="str">
            <v>1 PAQ</v>
          </cell>
          <cell r="G668">
            <v>500</v>
          </cell>
          <cell r="H668" t="str">
            <v>21/05/2020</v>
          </cell>
          <cell r="I668">
            <v>924</v>
          </cell>
          <cell r="J668">
            <v>377774</v>
          </cell>
          <cell r="K668">
            <v>50</v>
          </cell>
          <cell r="L668">
            <v>18.48</v>
          </cell>
        </row>
        <row r="669">
          <cell r="A669" t="str">
            <v>51500014</v>
          </cell>
          <cell r="B669">
            <v>12131</v>
          </cell>
          <cell r="C669" t="str">
            <v>VASO BIODEGRADABLE 8 onz (PAQ:25 UND)</v>
          </cell>
          <cell r="D669" t="str">
            <v>51500014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15/06/2020</v>
          </cell>
          <cell r="I669">
            <v>1703.25</v>
          </cell>
          <cell r="J669">
            <v>2114002</v>
          </cell>
          <cell r="K669">
            <v>25</v>
          </cell>
          <cell r="L669">
            <v>68.13</v>
          </cell>
        </row>
        <row r="670">
          <cell r="A670" t="str">
            <v>51500015</v>
          </cell>
          <cell r="B670">
            <v>12132</v>
          </cell>
          <cell r="C670" t="str">
            <v>TAPA VASO BIO 8 ONZ (PAQ:50 UND)</v>
          </cell>
          <cell r="D670" t="str">
            <v>51500015</v>
          </cell>
          <cell r="E670" t="str">
            <v>EMPAQUES PLANTA</v>
          </cell>
          <cell r="F670" t="str">
            <v>1 PAQUETE</v>
          </cell>
          <cell r="G670">
            <v>500</v>
          </cell>
          <cell r="H670" t="str">
            <v>04/06/2020</v>
          </cell>
          <cell r="I670">
            <v>990.1</v>
          </cell>
          <cell r="J670">
            <v>478177</v>
          </cell>
          <cell r="K670">
            <v>50</v>
          </cell>
          <cell r="L670">
            <v>19.802</v>
          </cell>
        </row>
        <row r="671">
          <cell r="A671" t="str">
            <v>51500032</v>
          </cell>
          <cell r="B671">
            <v>14054</v>
          </cell>
          <cell r="C671" t="str">
            <v>TAPA SUFLE 1,5-2-2,5 (PAQ:100 UND)</v>
          </cell>
          <cell r="D671" t="str">
            <v>51500032</v>
          </cell>
          <cell r="E671" t="str">
            <v>EMPAQUES PLANTA</v>
          </cell>
          <cell r="F671" t="str">
            <v>1 PAQUETE</v>
          </cell>
          <cell r="G671">
            <v>500</v>
          </cell>
          <cell r="H671" t="str">
            <v>30/04/2020</v>
          </cell>
          <cell r="I671">
            <v>824.04166666666697</v>
          </cell>
          <cell r="J671">
            <v>1415119.5730000001</v>
          </cell>
          <cell r="K671">
            <v>100</v>
          </cell>
          <cell r="L671">
            <v>8.2404166666666701</v>
          </cell>
        </row>
        <row r="672">
          <cell r="A672" t="str">
            <v>51500033</v>
          </cell>
          <cell r="B672">
            <v>15232</v>
          </cell>
          <cell r="C672" t="str">
            <v>VASO PLASTICO FABRIK 9 ONZ (CAJA:20 PAQ)</v>
          </cell>
          <cell r="D672" t="str">
            <v>51500033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07/05/2020</v>
          </cell>
          <cell r="I672" t="e">
            <v>#N/A</v>
          </cell>
          <cell r="J672">
            <v>233143</v>
          </cell>
          <cell r="K672">
            <v>125</v>
          </cell>
          <cell r="L672" t="e">
            <v>#N/A</v>
          </cell>
        </row>
        <row r="673">
          <cell r="A673" t="str">
            <v>51500034</v>
          </cell>
          <cell r="B673">
            <v>15233</v>
          </cell>
          <cell r="C673" t="str">
            <v>TAPA PLAST DOMO SUND POLAR 9 (CJ:10 PAQ)</v>
          </cell>
          <cell r="D673" t="str">
            <v>51500034</v>
          </cell>
          <cell r="E673" t="str">
            <v>EMPAQUES PLANTA</v>
          </cell>
          <cell r="F673" t="str">
            <v>1 CAJA</v>
          </cell>
          <cell r="G673">
            <v>500</v>
          </cell>
          <cell r="H673" t="str">
            <v>04/05/2020</v>
          </cell>
          <cell r="I673" t="e">
            <v>#N/A</v>
          </cell>
          <cell r="J673">
            <v>75615</v>
          </cell>
          <cell r="K673">
            <v>50</v>
          </cell>
          <cell r="L673" t="e">
            <v>#N/A</v>
          </cell>
        </row>
        <row r="674">
          <cell r="A674" t="str">
            <v>51500035</v>
          </cell>
          <cell r="B674">
            <v>15350</v>
          </cell>
          <cell r="C674" t="str">
            <v>TAPA DOMO PLAST BAND ALUM 394 (CJ:100)</v>
          </cell>
          <cell r="D674" t="str">
            <v>51500035</v>
          </cell>
          <cell r="E674" t="str">
            <v>EMPAQUES PLANTA</v>
          </cell>
          <cell r="F674" t="str">
            <v>1 CAJA</v>
          </cell>
          <cell r="G674">
            <v>500</v>
          </cell>
          <cell r="H674" t="str">
            <v>27/04/2020</v>
          </cell>
          <cell r="I674">
            <v>25840</v>
          </cell>
          <cell r="J674">
            <v>304844</v>
          </cell>
          <cell r="K674">
            <v>100</v>
          </cell>
          <cell r="L674">
            <v>258.39999999999998</v>
          </cell>
        </row>
        <row r="675">
          <cell r="A675" t="str">
            <v>51500036</v>
          </cell>
          <cell r="B675">
            <v>15853</v>
          </cell>
          <cell r="C675" t="str">
            <v xml:space="preserve">TAPA PLAN S/HOYO 9/12/20 (CJ:10 PAQ ) </v>
          </cell>
          <cell r="D675" t="str">
            <v>51500036</v>
          </cell>
          <cell r="E675" t="str">
            <v>EMPAQUES PLANTA</v>
          </cell>
          <cell r="F675" t="str">
            <v>1 CAJA</v>
          </cell>
          <cell r="G675">
            <v>500</v>
          </cell>
          <cell r="H675" t="str">
            <v>30/04/2020</v>
          </cell>
          <cell r="I675" t="e">
            <v>#N/A</v>
          </cell>
          <cell r="J675">
            <v>174684</v>
          </cell>
          <cell r="K675">
            <v>50</v>
          </cell>
          <cell r="L675" t="e">
            <v>#N/A</v>
          </cell>
        </row>
        <row r="676">
          <cell r="A676" t="str">
            <v>51600004</v>
          </cell>
          <cell r="B676">
            <v>9469</v>
          </cell>
          <cell r="C676" t="str">
            <v>LAZOS ROJOS (UND)</v>
          </cell>
          <cell r="D676" t="str">
            <v>51600004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03/06/2020</v>
          </cell>
          <cell r="I676">
            <v>20</v>
          </cell>
          <cell r="J676">
            <v>342800</v>
          </cell>
          <cell r="K676">
            <v>1</v>
          </cell>
          <cell r="L676">
            <v>20</v>
          </cell>
        </row>
        <row r="677">
          <cell r="A677" t="str">
            <v>51600006</v>
          </cell>
          <cell r="B677">
            <v>11828</v>
          </cell>
          <cell r="C677" t="str">
            <v>ROLLO CINTA RASO 45 MTS COLOR ORO (UND)</v>
          </cell>
          <cell r="D677" t="str">
            <v>51600006</v>
          </cell>
          <cell r="E677" t="str">
            <v>EMPAQUES PLANTA</v>
          </cell>
          <cell r="F677" t="str">
            <v>1 UND</v>
          </cell>
          <cell r="G677">
            <v>500</v>
          </cell>
          <cell r="H677" t="str">
            <v>06/01/2020</v>
          </cell>
          <cell r="I677" t="e">
            <v>#N/A</v>
          </cell>
          <cell r="J677">
            <v>11900</v>
          </cell>
          <cell r="K677">
            <v>50</v>
          </cell>
          <cell r="L677" t="e">
            <v>#N/A</v>
          </cell>
        </row>
        <row r="678">
          <cell r="A678" t="str">
            <v>51600014</v>
          </cell>
          <cell r="B678">
            <v>9667</v>
          </cell>
          <cell r="C678" t="str">
            <v>ROLLO DE CINTA DE RASO DE 45MTS COLOR FU</v>
          </cell>
          <cell r="D678" t="str">
            <v>51600014</v>
          </cell>
          <cell r="E678" t="str">
            <v>EMPAQUES PLANTA</v>
          </cell>
          <cell r="F678" t="str">
            <v>1 ROLLO</v>
          </cell>
          <cell r="G678">
            <v>500</v>
          </cell>
          <cell r="H678" t="str">
            <v>23/03/2020</v>
          </cell>
          <cell r="I678" t="e">
            <v>#N/A</v>
          </cell>
          <cell r="J678">
            <v>17850</v>
          </cell>
          <cell r="K678">
            <v>45000</v>
          </cell>
          <cell r="L678" t="e">
            <v>#N/A</v>
          </cell>
        </row>
        <row r="679">
          <cell r="A679" t="str">
            <v>51600015</v>
          </cell>
          <cell r="B679">
            <v>13573</v>
          </cell>
          <cell r="C679" t="str">
            <v>CINTA TRANS 1X40 (DELGADA)</v>
          </cell>
          <cell r="D679" t="str">
            <v>51600015</v>
          </cell>
          <cell r="E679" t="str">
            <v>EMPAQUES PLANTA</v>
          </cell>
          <cell r="F679" t="str">
            <v>1 UND</v>
          </cell>
          <cell r="G679">
            <v>500</v>
          </cell>
          <cell r="H679" t="str">
            <v>07/02/2020</v>
          </cell>
          <cell r="I679" t="e">
            <v>#N/A</v>
          </cell>
          <cell r="J679">
            <v>54720</v>
          </cell>
          <cell r="K679">
            <v>25</v>
          </cell>
          <cell r="L679" t="e">
            <v>#N/A</v>
          </cell>
        </row>
        <row r="680">
          <cell r="A680" t="str">
            <v>51600022</v>
          </cell>
          <cell r="B680">
            <v>15567</v>
          </cell>
          <cell r="C680" t="str">
            <v>ROLLO SELLO SEGURIDAD ROJO (ROLLO)</v>
          </cell>
          <cell r="D680" t="str">
            <v>51600022</v>
          </cell>
          <cell r="E680" t="str">
            <v>ETIQUETAS PLANTA</v>
          </cell>
          <cell r="F680" t="str">
            <v>1 ROLLO</v>
          </cell>
          <cell r="G680">
            <v>500</v>
          </cell>
          <cell r="H680" t="str">
            <v>12/06/2020</v>
          </cell>
          <cell r="I680">
            <v>12500</v>
          </cell>
          <cell r="J680">
            <v>883200</v>
          </cell>
          <cell r="K680">
            <v>25</v>
          </cell>
          <cell r="L680" t="e">
            <v>#DIV/0!</v>
          </cell>
        </row>
        <row r="681">
          <cell r="A681" t="str">
            <v>51600026</v>
          </cell>
          <cell r="B681">
            <v>16289</v>
          </cell>
          <cell r="C681" t="str">
            <v>BANDEJA FIBRA 10X7.5X1.5 (PAQ:50 UND)</v>
          </cell>
          <cell r="D681" t="str">
            <v>51600026</v>
          </cell>
          <cell r="E681" t="str">
            <v>EMPAQUES PLANTA</v>
          </cell>
          <cell r="F681" t="str">
            <v>1 PAQUETE</v>
          </cell>
          <cell r="G681">
            <v>500</v>
          </cell>
          <cell r="H681" t="str">
            <v>01/06/2020</v>
          </cell>
          <cell r="I681">
            <v>10.75</v>
          </cell>
          <cell r="J681">
            <v>570299.19999999995</v>
          </cell>
          <cell r="K681">
            <v>50</v>
          </cell>
          <cell r="L681">
            <v>0.215</v>
          </cell>
        </row>
        <row r="682">
          <cell r="A682" t="str">
            <v>51600027</v>
          </cell>
          <cell r="B682">
            <v>16292</v>
          </cell>
          <cell r="C682" t="str">
            <v>TAPA TRANSPARENT 10X7.5X1.5 (PAQ:50 UND)</v>
          </cell>
          <cell r="D682" t="str">
            <v>51600027</v>
          </cell>
          <cell r="E682" t="str">
            <v>EMPAQUES PLANTA</v>
          </cell>
          <cell r="F682" t="str">
            <v>1 PAQUETE</v>
          </cell>
          <cell r="G682">
            <v>500</v>
          </cell>
          <cell r="H682" t="str">
            <v>17/03/2020</v>
          </cell>
          <cell r="I682">
            <v>16.149999999999999</v>
          </cell>
          <cell r="J682">
            <v>660677.12</v>
          </cell>
          <cell r="K682">
            <v>50</v>
          </cell>
          <cell r="L682">
            <v>0.32299999999999995</v>
          </cell>
        </row>
        <row r="683">
          <cell r="A683" t="str">
            <v>60100001</v>
          </cell>
          <cell r="B683">
            <v>10459</v>
          </cell>
          <cell r="C683" t="str">
            <v>ETIQUETA LOGO MUSMANNI (UND)</v>
          </cell>
          <cell r="D683" t="str">
            <v>60100001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21/05/2020</v>
          </cell>
          <cell r="I683">
            <v>5</v>
          </cell>
          <cell r="J683">
            <v>117500</v>
          </cell>
          <cell r="K683">
            <v>1</v>
          </cell>
          <cell r="L683">
            <v>5</v>
          </cell>
        </row>
        <row r="684">
          <cell r="A684" t="str">
            <v>60100007</v>
          </cell>
          <cell r="B684">
            <v>10898</v>
          </cell>
          <cell r="C684" t="str">
            <v>ETiQUETA BLANCA  R-17 (UND)</v>
          </cell>
          <cell r="D684" t="str">
            <v>60100007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02/01/2020</v>
          </cell>
          <cell r="I684">
            <v>3.2</v>
          </cell>
          <cell r="J684">
            <v>224000</v>
          </cell>
          <cell r="K684">
            <v>1</v>
          </cell>
          <cell r="L684">
            <v>3.2</v>
          </cell>
        </row>
        <row r="685">
          <cell r="A685" t="str">
            <v>60100010</v>
          </cell>
          <cell r="B685">
            <v>11570</v>
          </cell>
          <cell r="C685" t="str">
            <v>ETIQUETA ROJA LETRA ALERJENO (UND)</v>
          </cell>
          <cell r="D685" t="str">
            <v>60100010</v>
          </cell>
          <cell r="E685" t="str">
            <v>ETIQUETAS PLANTA</v>
          </cell>
          <cell r="F685" t="str">
            <v>1 UND</v>
          </cell>
          <cell r="G685">
            <v>500</v>
          </cell>
          <cell r="H685" t="str">
            <v>02/06/2020</v>
          </cell>
          <cell r="I685">
            <v>3.6</v>
          </cell>
          <cell r="J685">
            <v>635328</v>
          </cell>
          <cell r="K685">
            <v>1</v>
          </cell>
          <cell r="L685">
            <v>3.6</v>
          </cell>
          <cell r="M685" t="str">
            <v>Und</v>
          </cell>
        </row>
        <row r="686">
          <cell r="A686" t="str">
            <v>60100011</v>
          </cell>
          <cell r="B686">
            <v>11571</v>
          </cell>
          <cell r="C686" t="str">
            <v>ETIQ TORTA GENERICA BUCCA GRANDE (UND)</v>
          </cell>
          <cell r="D686" t="str">
            <v>60100011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15/05/2020</v>
          </cell>
          <cell r="I686">
            <v>43.5</v>
          </cell>
          <cell r="J686">
            <v>1241820</v>
          </cell>
          <cell r="K686">
            <v>1</v>
          </cell>
          <cell r="L686" t="e">
            <v>#DIV/0!</v>
          </cell>
          <cell r="M686" t="str">
            <v>Und</v>
          </cell>
        </row>
        <row r="687">
          <cell r="A687" t="str">
            <v>60100013</v>
          </cell>
          <cell r="B687">
            <v>12920</v>
          </cell>
          <cell r="C687" t="str">
            <v>ETIQ CIRCULO BUCCA DULCE (UND)</v>
          </cell>
          <cell r="D687" t="str">
            <v>60100013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17/01/2020</v>
          </cell>
          <cell r="I687">
            <v>3.5</v>
          </cell>
          <cell r="J687">
            <v>17500</v>
          </cell>
          <cell r="K687">
            <v>1</v>
          </cell>
          <cell r="L687">
            <v>3.5</v>
          </cell>
          <cell r="M687" t="str">
            <v>Und</v>
          </cell>
        </row>
        <row r="688">
          <cell r="A688" t="str">
            <v>60100014</v>
          </cell>
          <cell r="B688">
            <v>9489</v>
          </cell>
          <cell r="C688" t="str">
            <v>ETIQUETA LOGO SPOON DORADO (ROLLO:1000)</v>
          </cell>
          <cell r="D688" t="str">
            <v>60100014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04/02/2020</v>
          </cell>
          <cell r="I688">
            <v>6000</v>
          </cell>
          <cell r="J688">
            <v>300000</v>
          </cell>
          <cell r="K688">
            <v>1000</v>
          </cell>
          <cell r="L688">
            <v>6</v>
          </cell>
        </row>
        <row r="689">
          <cell r="A689" t="str">
            <v>60100023</v>
          </cell>
          <cell r="B689">
            <v>9210</v>
          </cell>
          <cell r="C689" t="str">
            <v>ETIQ APP SPOONERS CARD CUADRADA (UND)</v>
          </cell>
          <cell r="D689" t="str">
            <v>60100023</v>
          </cell>
          <cell r="E689" t="str">
            <v>ETIQUETAS PLANTA</v>
          </cell>
          <cell r="F689" t="str">
            <v>1 UND</v>
          </cell>
          <cell r="G689">
            <v>500</v>
          </cell>
          <cell r="H689" t="str">
            <v>02/06/2020</v>
          </cell>
          <cell r="I689">
            <v>5.6</v>
          </cell>
          <cell r="J689">
            <v>738440</v>
          </cell>
          <cell r="K689">
            <v>1</v>
          </cell>
          <cell r="L689" t="e">
            <v>#DIV/0!</v>
          </cell>
        </row>
        <row r="690">
          <cell r="A690" t="str">
            <v>60100024</v>
          </cell>
          <cell r="B690">
            <v>9211</v>
          </cell>
          <cell r="C690" t="str">
            <v>ETIQ CIRCULO APP SPOONERS CARD (UND)</v>
          </cell>
          <cell r="D690" t="str">
            <v>60100024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02/06/2020</v>
          </cell>
          <cell r="I690">
            <v>4</v>
          </cell>
          <cell r="J690">
            <v>422040</v>
          </cell>
          <cell r="K690">
            <v>1</v>
          </cell>
          <cell r="L690" t="e">
            <v>#DIV/0!</v>
          </cell>
          <cell r="M690" t="str">
            <v>Und</v>
          </cell>
        </row>
        <row r="691">
          <cell r="A691" t="str">
            <v>60100026</v>
          </cell>
          <cell r="B691">
            <v>11509</v>
          </cell>
          <cell r="C691" t="str">
            <v>LOGO OVALADO SPOON GRANDE (ROLLO:1000 U)</v>
          </cell>
          <cell r="D691" t="str">
            <v>60100026</v>
          </cell>
          <cell r="E691" t="str">
            <v>ETIQUETAS PLANTA</v>
          </cell>
          <cell r="F691" t="str">
            <v>1 ROLLO</v>
          </cell>
          <cell r="G691">
            <v>500</v>
          </cell>
          <cell r="H691" t="str">
            <v>12/06/2020</v>
          </cell>
          <cell r="I691">
            <v>3961</v>
          </cell>
          <cell r="J691">
            <v>231784.2</v>
          </cell>
          <cell r="K691">
            <v>1000</v>
          </cell>
          <cell r="L691">
            <v>3.9609999999999999</v>
          </cell>
          <cell r="M691" t="str">
            <v>Und</v>
          </cell>
        </row>
        <row r="692">
          <cell r="A692" t="str">
            <v>60100027</v>
          </cell>
          <cell r="B692">
            <v>11511</v>
          </cell>
          <cell r="C692" t="str">
            <v>LOGO OVALADO SPOON PEQ  (ROLLO:1000 U)</v>
          </cell>
          <cell r="D692" t="str">
            <v>60100027</v>
          </cell>
          <cell r="E692" t="str">
            <v>ETIQUETAS PLANTA</v>
          </cell>
          <cell r="F692" t="str">
            <v>1 ROLLO</v>
          </cell>
          <cell r="G692">
            <v>500</v>
          </cell>
          <cell r="H692" t="str">
            <v>15/06/2020</v>
          </cell>
          <cell r="I692">
            <v>992</v>
          </cell>
          <cell r="J692">
            <v>11544</v>
          </cell>
          <cell r="K692">
            <v>1000</v>
          </cell>
          <cell r="L692">
            <v>0.99199999999999999</v>
          </cell>
          <cell r="M692" t="str">
            <v>Und</v>
          </cell>
        </row>
        <row r="693">
          <cell r="A693" t="str">
            <v>60100044</v>
          </cell>
          <cell r="B693">
            <v>15128</v>
          </cell>
          <cell r="C693" t="str">
            <v>ETIQUETA RP CIRCULO (UND)</v>
          </cell>
          <cell r="D693" t="str">
            <v>60100044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06/02/2020</v>
          </cell>
          <cell r="I693">
            <v>4.0179999999999998</v>
          </cell>
          <cell r="J693">
            <v>1615236</v>
          </cell>
          <cell r="K693">
            <v>1</v>
          </cell>
          <cell r="L693" t="e">
            <v>#DIV/0!</v>
          </cell>
        </row>
        <row r="694">
          <cell r="A694" t="str">
            <v>60100046</v>
          </cell>
          <cell r="B694">
            <v>15481</v>
          </cell>
          <cell r="C694" t="str">
            <v>ETIQUETA ROMPOPE (UND)</v>
          </cell>
          <cell r="D694" t="str">
            <v>60100046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18/12/2019</v>
          </cell>
          <cell r="I694">
            <v>94</v>
          </cell>
          <cell r="J694">
            <v>45000</v>
          </cell>
          <cell r="K694">
            <v>1</v>
          </cell>
          <cell r="L694">
            <v>94</v>
          </cell>
        </row>
        <row r="695">
          <cell r="A695" t="str">
            <v>60100047</v>
          </cell>
          <cell r="B695">
            <v>15611</v>
          </cell>
          <cell r="C695" t="str">
            <v>ETIQUETA TE CHAI FRENTE (UND)</v>
          </cell>
          <cell r="D695" t="str">
            <v>60100047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09/12/2019</v>
          </cell>
          <cell r="I695">
            <v>42</v>
          </cell>
          <cell r="J695">
            <v>440580</v>
          </cell>
          <cell r="K695">
            <v>1</v>
          </cell>
          <cell r="L695">
            <v>42</v>
          </cell>
        </row>
        <row r="696">
          <cell r="A696" t="str">
            <v>60100048</v>
          </cell>
          <cell r="B696">
            <v>15612</v>
          </cell>
          <cell r="C696" t="str">
            <v>ETIQUETA TE CHAI REVERSO (UND)</v>
          </cell>
          <cell r="D696" t="str">
            <v>60100048</v>
          </cell>
          <cell r="E696" t="str">
            <v>ETIQUETAS PLANTA</v>
          </cell>
          <cell r="F696" t="str">
            <v>1 UND</v>
          </cell>
          <cell r="G696">
            <v>500</v>
          </cell>
          <cell r="H696" t="str">
            <v>09/12/2019</v>
          </cell>
          <cell r="I696">
            <v>39</v>
          </cell>
          <cell r="J696">
            <v>428220</v>
          </cell>
          <cell r="K696">
            <v>1</v>
          </cell>
          <cell r="L696">
            <v>39</v>
          </cell>
        </row>
        <row r="697">
          <cell r="A697" t="str">
            <v>60100049</v>
          </cell>
          <cell r="B697">
            <v>16178</v>
          </cell>
          <cell r="C697" t="str">
            <v>ETIQUETA DATA VARIABLE (UND)</v>
          </cell>
          <cell r="D697" t="str">
            <v>60100049</v>
          </cell>
          <cell r="E697" t="str">
            <v>ETIQUETAS PLANTA</v>
          </cell>
          <cell r="F697" t="str">
            <v>1 UND</v>
          </cell>
          <cell r="G697">
            <v>500</v>
          </cell>
          <cell r="H697" t="str">
            <v>28/02/2020</v>
          </cell>
          <cell r="I697">
            <v>7.0144399999999996</v>
          </cell>
          <cell r="J697">
            <v>265075.6876</v>
          </cell>
          <cell r="K697">
            <v>1</v>
          </cell>
          <cell r="L697">
            <v>7.0144399999999996</v>
          </cell>
        </row>
        <row r="698">
          <cell r="A698" t="str">
            <v>60100050</v>
          </cell>
          <cell r="B698">
            <v>16179</v>
          </cell>
          <cell r="C698" t="str">
            <v>ETIQUETA TE LLEVA A LA PLAYA (UND)</v>
          </cell>
          <cell r="D698" t="str">
            <v>60100050</v>
          </cell>
          <cell r="E698" t="str">
            <v>ETIQUETAS PLANTA</v>
          </cell>
          <cell r="F698" t="str">
            <v>1 UND</v>
          </cell>
          <cell r="G698">
            <v>500</v>
          </cell>
          <cell r="H698" t="str">
            <v>28/02/2020</v>
          </cell>
          <cell r="I698">
            <v>5.8</v>
          </cell>
          <cell r="J698">
            <v>219240</v>
          </cell>
          <cell r="K698">
            <v>1</v>
          </cell>
          <cell r="L698">
            <v>5.8</v>
          </cell>
          <cell r="M698" t="str">
            <v>Und</v>
          </cell>
        </row>
        <row r="699">
          <cell r="A699" t="str">
            <v>60100051</v>
          </cell>
          <cell r="B699">
            <v>16441</v>
          </cell>
          <cell r="C699" t="str">
            <v xml:space="preserve">ETIQ. JUNTOS A LA DISTANCIA(ROLLO:500 U </v>
          </cell>
          <cell r="D699" t="str">
            <v>60100051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02/06/2020</v>
          </cell>
          <cell r="I699">
            <v>8800</v>
          </cell>
          <cell r="J699">
            <v>712617.4</v>
          </cell>
          <cell r="K699">
            <v>500</v>
          </cell>
          <cell r="L699">
            <v>17.600000000000001</v>
          </cell>
          <cell r="M699" t="str">
            <v>Und</v>
          </cell>
        </row>
        <row r="700">
          <cell r="A700" t="str">
            <v>60100052</v>
          </cell>
          <cell r="B700">
            <v>16442</v>
          </cell>
          <cell r="C700" t="str">
            <v>ETIQ. PRONTO VOLVEREMOS JUNTOS (ROLLO)</v>
          </cell>
          <cell r="D700" t="str">
            <v>60100052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12/05/2020</v>
          </cell>
          <cell r="I700">
            <v>3000</v>
          </cell>
          <cell r="J700">
            <v>735617.4</v>
          </cell>
          <cell r="K700">
            <v>1</v>
          </cell>
          <cell r="L700" t="e">
            <v>#DIV/0!</v>
          </cell>
          <cell r="M700" t="str">
            <v>Und</v>
          </cell>
        </row>
        <row r="701">
          <cell r="A701" t="str">
            <v>60100053</v>
          </cell>
          <cell r="B701">
            <v>16443</v>
          </cell>
          <cell r="C701" t="str">
            <v>ETIQ. DESINFECTAR CELULAR (ROLLO: 500 U)</v>
          </cell>
          <cell r="D701" t="str">
            <v>60100053</v>
          </cell>
          <cell r="E701" t="str">
            <v>ETIQUETAS PLANTA</v>
          </cell>
          <cell r="F701" t="str">
            <v>1 ROLLO</v>
          </cell>
          <cell r="G701">
            <v>500</v>
          </cell>
          <cell r="H701" t="str">
            <v>11/05/2020</v>
          </cell>
          <cell r="I701">
            <v>5.8</v>
          </cell>
          <cell r="J701">
            <v>693817.4</v>
          </cell>
          <cell r="K701">
            <v>500</v>
          </cell>
          <cell r="L701">
            <v>1.1599999999999999E-2</v>
          </cell>
          <cell r="M701" t="str">
            <v>Und</v>
          </cell>
        </row>
        <row r="702">
          <cell r="A702" t="str">
            <v>60100054</v>
          </cell>
          <cell r="B702">
            <v>16444</v>
          </cell>
          <cell r="C702" t="str">
            <v>ETIQ. RECUERDE LAVAR MANOS (ROLLO:500 U)</v>
          </cell>
          <cell r="D702" t="str">
            <v>60100054</v>
          </cell>
          <cell r="E702" t="str">
            <v>ETIQUETAS PLANTA</v>
          </cell>
          <cell r="F702" t="str">
            <v>1 ROLLO</v>
          </cell>
          <cell r="G702">
            <v>500</v>
          </cell>
          <cell r="H702" t="str">
            <v>11/05/2020</v>
          </cell>
          <cell r="I702">
            <v>5.8</v>
          </cell>
          <cell r="J702">
            <v>713377.4</v>
          </cell>
          <cell r="K702">
            <v>500</v>
          </cell>
          <cell r="L702">
            <v>1.1599999999999999E-2</v>
          </cell>
          <cell r="M702" t="str">
            <v>Und</v>
          </cell>
        </row>
        <row r="703">
          <cell r="A703" t="str">
            <v>60100055</v>
          </cell>
          <cell r="B703">
            <v>16500</v>
          </cell>
          <cell r="C703" t="str">
            <v>STICKER TORTA KAHLUA (ROLLO: 1000 UND)</v>
          </cell>
          <cell r="D703" t="str">
            <v>60100055</v>
          </cell>
          <cell r="E703" t="str">
            <v>ETIQUETAS PLANTA</v>
          </cell>
          <cell r="F703" t="str">
            <v>1 ROLLO</v>
          </cell>
          <cell r="G703">
            <v>500</v>
          </cell>
          <cell r="H703" t="str">
            <v>08/05/2020</v>
          </cell>
          <cell r="I703">
            <v>16000</v>
          </cell>
          <cell r="J703">
            <v>80000</v>
          </cell>
          <cell r="K703">
            <v>1000</v>
          </cell>
          <cell r="L703">
            <v>16</v>
          </cell>
          <cell r="M703" t="str">
            <v>Und</v>
          </cell>
        </row>
        <row r="704">
          <cell r="A704" t="str">
            <v>101000015</v>
          </cell>
          <cell r="B704">
            <v>5245</v>
          </cell>
          <cell r="C704" t="str">
            <v>AZUCAR REFINADA VICTORIA (PAQ:1 K)</v>
          </cell>
          <cell r="D704" t="str">
            <v>101000015</v>
          </cell>
          <cell r="E704" t="str">
            <v>MATERIAS PRIMAS PLANTA</v>
          </cell>
          <cell r="F704" t="str">
            <v>1 PAQUETE</v>
          </cell>
          <cell r="G704">
            <v>500</v>
          </cell>
          <cell r="H704" t="str">
            <v>09/06/2020</v>
          </cell>
          <cell r="I704">
            <v>691.16666666666697</v>
          </cell>
          <cell r="J704">
            <v>11736010</v>
          </cell>
          <cell r="K704">
            <v>1000</v>
          </cell>
          <cell r="L704">
            <v>0.69116666666666693</v>
          </cell>
          <cell r="M704" t="str">
            <v>Gramos</v>
          </cell>
        </row>
        <row r="705">
          <cell r="A705" t="str">
            <v>101000073</v>
          </cell>
          <cell r="B705">
            <v>5303</v>
          </cell>
          <cell r="C705" t="str">
            <v>AZUCAR GLASS MOLIDA (PAQ: 4 K)</v>
          </cell>
          <cell r="D705" t="str">
            <v>101000073</v>
          </cell>
          <cell r="E705" t="str">
            <v>MATERIAS PRIMAS PLANTA</v>
          </cell>
          <cell r="F705" t="str">
            <v>1 PAQUETE</v>
          </cell>
          <cell r="G705">
            <v>500</v>
          </cell>
          <cell r="H705" t="str">
            <v>15/06/2020</v>
          </cell>
          <cell r="I705">
            <v>6526</v>
          </cell>
          <cell r="J705">
            <v>8519676</v>
          </cell>
          <cell r="K705">
            <v>4000</v>
          </cell>
          <cell r="L705">
            <v>1.6315</v>
          </cell>
          <cell r="M705" t="str">
            <v>Gramos</v>
          </cell>
        </row>
        <row r="706">
          <cell r="A706" t="str">
            <v>101000104</v>
          </cell>
          <cell r="B706">
            <v>7077</v>
          </cell>
          <cell r="C706" t="str">
            <v>SALSA OSTION PANDA (UND:5LBS)</v>
          </cell>
          <cell r="D706" t="str">
            <v>101000104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24/03/2020</v>
          </cell>
          <cell r="I706">
            <v>4995</v>
          </cell>
          <cell r="J706">
            <v>375030</v>
          </cell>
          <cell r="K706">
            <v>2268</v>
          </cell>
          <cell r="L706">
            <v>2.2023809523809526</v>
          </cell>
          <cell r="M706" t="str">
            <v>Mililitros</v>
          </cell>
        </row>
        <row r="707">
          <cell r="A707" t="str">
            <v>101000114</v>
          </cell>
          <cell r="B707">
            <v>7087</v>
          </cell>
          <cell r="C707" t="str">
            <v>MAIZ DULCE GALON MONACO (UND:2.5K)</v>
          </cell>
          <cell r="D707" t="str">
            <v>101000114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28/01/2020</v>
          </cell>
          <cell r="I707" t="e">
            <v>#N/A</v>
          </cell>
          <cell r="J707">
            <v>239416</v>
          </cell>
          <cell r="K707">
            <v>2500</v>
          </cell>
          <cell r="L707" t="e">
            <v>#N/A</v>
          </cell>
          <cell r="M707" t="str">
            <v>Und</v>
          </cell>
        </row>
        <row r="708">
          <cell r="A708" t="str">
            <v>102000024</v>
          </cell>
          <cell r="B708">
            <v>5353</v>
          </cell>
          <cell r="C708" t="str">
            <v>MEZCLA BEBIDA MARACUYA (UND:946ML)</v>
          </cell>
          <cell r="D708" t="str">
            <v>102000024</v>
          </cell>
          <cell r="E708" t="str">
            <v>MATERIAS PRIMAS PLANTA</v>
          </cell>
          <cell r="F708" t="str">
            <v>1 UND</v>
          </cell>
          <cell r="G708">
            <v>500</v>
          </cell>
          <cell r="H708" t="str">
            <v>04/02/2020</v>
          </cell>
          <cell r="I708">
            <v>3164</v>
          </cell>
          <cell r="J708">
            <v>6070</v>
          </cell>
          <cell r="K708">
            <v>946</v>
          </cell>
          <cell r="L708">
            <v>3.3446088794926006</v>
          </cell>
          <cell r="M708" t="str">
            <v>Mililitros</v>
          </cell>
        </row>
        <row r="709">
          <cell r="A709" t="str">
            <v>102000028</v>
          </cell>
          <cell r="B709">
            <v>5357</v>
          </cell>
          <cell r="C709" t="str">
            <v>JUGO DE NARANJA NATURAL (UND:3.785 L)</v>
          </cell>
          <cell r="D709" t="str">
            <v>102000028</v>
          </cell>
          <cell r="E709" t="str">
            <v>MATERIAS PRIMAS PLANTA</v>
          </cell>
          <cell r="F709" t="str">
            <v>1 UND</v>
          </cell>
          <cell r="G709">
            <v>500</v>
          </cell>
          <cell r="H709" t="str">
            <v>15/06/2020</v>
          </cell>
          <cell r="I709">
            <v>4170</v>
          </cell>
          <cell r="J709">
            <v>16182647.199999999</v>
          </cell>
          <cell r="K709">
            <v>3785</v>
          </cell>
          <cell r="L709">
            <v>1.1017173051519153</v>
          </cell>
        </row>
        <row r="710">
          <cell r="A710" t="str">
            <v>102000035</v>
          </cell>
          <cell r="B710">
            <v>12925</v>
          </cell>
          <cell r="C710" t="str">
            <v>JUGO LIMON (UND=930 ml)</v>
          </cell>
          <cell r="D710" t="str">
            <v>102000035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10/06/2020</v>
          </cell>
          <cell r="I710">
            <v>1495.44</v>
          </cell>
          <cell r="J710">
            <v>3010892</v>
          </cell>
          <cell r="K710">
            <v>930</v>
          </cell>
          <cell r="L710">
            <v>1.6080000000000001</v>
          </cell>
        </row>
        <row r="711">
          <cell r="A711" t="str">
            <v>102000037</v>
          </cell>
          <cell r="B711">
            <v>15159</v>
          </cell>
          <cell r="C711" t="str">
            <v xml:space="preserve">TE FRIO MELOCOTON (CAJA: 6 PAQ) </v>
          </cell>
          <cell r="D711" t="str">
            <v>102000037</v>
          </cell>
          <cell r="E711" t="str">
            <v>MATERIAS PRIMAS PLANTA</v>
          </cell>
          <cell r="F711" t="str">
            <v>1 CAJA</v>
          </cell>
          <cell r="G711">
            <v>500</v>
          </cell>
          <cell r="H711" t="str">
            <v>15/06/2020</v>
          </cell>
          <cell r="I711">
            <v>9553</v>
          </cell>
          <cell r="J711">
            <v>983959</v>
          </cell>
          <cell r="K711">
            <v>1</v>
          </cell>
          <cell r="L711" t="e">
            <v>#DIV/0!</v>
          </cell>
        </row>
        <row r="712">
          <cell r="A712" t="str">
            <v>102000038</v>
          </cell>
          <cell r="B712">
            <v>15160</v>
          </cell>
          <cell r="C712" t="str">
            <v>TE VERDE DE MANZANA (CAJA: 8 PAQ)</v>
          </cell>
          <cell r="D712" t="str">
            <v>102000038</v>
          </cell>
          <cell r="E712" t="str">
            <v>MATERIAS PRIMAS PLANTA</v>
          </cell>
          <cell r="F712" t="str">
            <v>1 CAJA</v>
          </cell>
          <cell r="G712">
            <v>500</v>
          </cell>
          <cell r="H712" t="str">
            <v>15/06/2020</v>
          </cell>
          <cell r="I712" t="e">
            <v>#N/A</v>
          </cell>
          <cell r="J712">
            <v>720959</v>
          </cell>
          <cell r="K712">
            <v>500</v>
          </cell>
          <cell r="L712" t="e">
            <v>#N/A</v>
          </cell>
        </row>
        <row r="713">
          <cell r="A713" t="str">
            <v>102000039</v>
          </cell>
          <cell r="B713">
            <v>15504</v>
          </cell>
          <cell r="C713" t="str">
            <v>ROMPOPE SPOON (UND:510 G)</v>
          </cell>
          <cell r="D713" t="str">
            <v>102000039</v>
          </cell>
          <cell r="E713" t="str">
            <v>MATERIAS PRIMAS PLANTA</v>
          </cell>
          <cell r="F713" t="str">
            <v>1 UND</v>
          </cell>
          <cell r="G713">
            <v>500</v>
          </cell>
          <cell r="H713" t="str">
            <v>20/12/2019</v>
          </cell>
          <cell r="I713">
            <v>2460</v>
          </cell>
          <cell r="J713">
            <v>2063940</v>
          </cell>
          <cell r="K713">
            <v>510</v>
          </cell>
          <cell r="L713">
            <v>4.8235294117647056</v>
          </cell>
        </row>
        <row r="714">
          <cell r="A714" t="str">
            <v>102000040</v>
          </cell>
          <cell r="B714">
            <v>15624</v>
          </cell>
          <cell r="C714" t="str">
            <v>TE MATCHA NARANJA (PAQ: 20/50 G)</v>
          </cell>
          <cell r="D714" t="str">
            <v>102000040</v>
          </cell>
          <cell r="E714" t="str">
            <v>MATERIAS PRIMAS PLANTA</v>
          </cell>
          <cell r="F714" t="str">
            <v>1 PAQ</v>
          </cell>
          <cell r="G714">
            <v>500</v>
          </cell>
          <cell r="H714" t="str">
            <v>18/03/2020</v>
          </cell>
          <cell r="I714" t="e">
            <v>#N/A</v>
          </cell>
          <cell r="J714">
            <v>303600</v>
          </cell>
          <cell r="K714">
            <v>500</v>
          </cell>
          <cell r="L714" t="e">
            <v>#N/A</v>
          </cell>
        </row>
        <row r="715">
          <cell r="A715" t="str">
            <v>102000041</v>
          </cell>
          <cell r="B715">
            <v>15625</v>
          </cell>
          <cell r="C715" t="str">
            <v>TE FRIO LIMON (PAQ:500 G)</v>
          </cell>
          <cell r="D715" t="str">
            <v>102000041</v>
          </cell>
          <cell r="E715" t="str">
            <v>MATERIAS PRIMAS PLANTA</v>
          </cell>
          <cell r="F715" t="str">
            <v>1 PAQUETE</v>
          </cell>
          <cell r="G715">
            <v>500</v>
          </cell>
          <cell r="H715" t="str">
            <v>19/05/2020</v>
          </cell>
          <cell r="I715">
            <v>1650</v>
          </cell>
          <cell r="J715">
            <v>1689600</v>
          </cell>
          <cell r="K715">
            <v>500</v>
          </cell>
          <cell r="L715">
            <v>3.3</v>
          </cell>
        </row>
        <row r="716">
          <cell r="A716" t="str">
            <v>102000046</v>
          </cell>
          <cell r="B716">
            <v>15630</v>
          </cell>
          <cell r="C716" t="str">
            <v>BEBIDA TE CHAI (PAQ: 300 G)</v>
          </cell>
          <cell r="D716" t="str">
            <v>102000046</v>
          </cell>
          <cell r="E716" t="str">
            <v>MATERIAS PRIMAS PLANTA</v>
          </cell>
          <cell r="F716" t="str">
            <v>1 PAQUETE</v>
          </cell>
          <cell r="G716">
            <v>500</v>
          </cell>
          <cell r="H716" t="str">
            <v>05/06/2020</v>
          </cell>
          <cell r="I716">
            <v>2445</v>
          </cell>
          <cell r="J716">
            <v>738390</v>
          </cell>
          <cell r="K716">
            <v>300</v>
          </cell>
          <cell r="L716">
            <v>8.15</v>
          </cell>
        </row>
        <row r="717">
          <cell r="A717" t="str">
            <v>102000048</v>
          </cell>
          <cell r="B717">
            <v>15881</v>
          </cell>
          <cell r="C717" t="str">
            <v>PIPA (UND)</v>
          </cell>
          <cell r="D717" t="str">
            <v>102000048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19/03/2020</v>
          </cell>
          <cell r="I717" t="e">
            <v>#N/A</v>
          </cell>
          <cell r="J717">
            <v>557550</v>
          </cell>
          <cell r="K717">
            <v>1000</v>
          </cell>
          <cell r="L717" t="e">
            <v>#N/A</v>
          </cell>
          <cell r="M717" t="str">
            <v>Gramos</v>
          </cell>
        </row>
        <row r="718">
          <cell r="A718" t="str">
            <v>102000049</v>
          </cell>
          <cell r="B718">
            <v>16321</v>
          </cell>
          <cell r="C718" t="str">
            <v>KAHLUA LICOR DE CAFÉ (UND: 750 ML)</v>
          </cell>
          <cell r="D718" t="str">
            <v>102000049</v>
          </cell>
          <cell r="E718" t="str">
            <v>MATERIAS PRIMAS PLANTA</v>
          </cell>
          <cell r="F718" t="str">
            <v>1 UND</v>
          </cell>
          <cell r="G718">
            <v>500</v>
          </cell>
          <cell r="H718" t="str">
            <v>01/06/2020</v>
          </cell>
          <cell r="I718">
            <v>7457</v>
          </cell>
          <cell r="J718">
            <v>5891030</v>
          </cell>
          <cell r="K718">
            <v>750</v>
          </cell>
          <cell r="L718">
            <v>9.9426666666666659</v>
          </cell>
          <cell r="M718" t="str">
            <v>Mililitros</v>
          </cell>
        </row>
        <row r="719">
          <cell r="A719" t="str">
            <v>102000051</v>
          </cell>
          <cell r="B719">
            <v>16466</v>
          </cell>
          <cell r="C719" t="str">
            <v>SIROPE CHOCOLATE HERSHEYS (UND:7.5 LBS)</v>
          </cell>
          <cell r="D719" t="str">
            <v>102000051</v>
          </cell>
          <cell r="E719" t="str">
            <v>MATERIAS PRIMAS PLANTA</v>
          </cell>
          <cell r="F719" t="str">
            <v>1 UND</v>
          </cell>
          <cell r="G719">
            <v>500</v>
          </cell>
          <cell r="H719" t="str">
            <v>05/05/2020</v>
          </cell>
          <cell r="I719" t="e">
            <v>#N/A</v>
          </cell>
          <cell r="J719">
            <v>323645</v>
          </cell>
          <cell r="K719">
            <v>2268</v>
          </cell>
          <cell r="L719" t="e">
            <v>#N/A</v>
          </cell>
          <cell r="M719" t="str">
            <v>Mililitros</v>
          </cell>
        </row>
        <row r="720">
          <cell r="A720" t="str">
            <v>102000052</v>
          </cell>
          <cell r="B720">
            <v>16488</v>
          </cell>
          <cell r="C720" t="str">
            <v>JUGO DE NARANJA 100% NATURAL (UND)</v>
          </cell>
          <cell r="D720" t="str">
            <v>102000052</v>
          </cell>
          <cell r="E720" t="str">
            <v>MATERIAS PRIMAS PLANTA</v>
          </cell>
          <cell r="F720" t="str">
            <v>1 UND</v>
          </cell>
          <cell r="G720">
            <v>500</v>
          </cell>
          <cell r="H720" t="str">
            <v>04/05/2020</v>
          </cell>
          <cell r="I720" t="e">
            <v>#N/A</v>
          </cell>
          <cell r="J720">
            <v>105173.28</v>
          </cell>
          <cell r="K720">
            <v>2500</v>
          </cell>
          <cell r="L720" t="e">
            <v>#N/A</v>
          </cell>
        </row>
        <row r="721">
          <cell r="A721" t="str">
            <v>103000001</v>
          </cell>
          <cell r="B721">
            <v>5358</v>
          </cell>
          <cell r="C721" t="str">
            <v>SALMON EN MEDALLON KILO</v>
          </cell>
          <cell r="D721" t="str">
            <v>103000001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15/06/2020</v>
          </cell>
          <cell r="I721">
            <v>7189.56</v>
          </cell>
          <cell r="J721">
            <v>7082615.2949999999</v>
          </cell>
          <cell r="K721">
            <v>1000</v>
          </cell>
          <cell r="L721">
            <v>7.1895600000000002</v>
          </cell>
          <cell r="M721" t="str">
            <v>Gramos</v>
          </cell>
        </row>
        <row r="722">
          <cell r="A722" t="str">
            <v>103000021</v>
          </cell>
          <cell r="B722">
            <v>5378</v>
          </cell>
          <cell r="C722" t="str">
            <v>CARNE OSOBUCO PICADO (KILO)</v>
          </cell>
          <cell r="D722" t="str">
            <v>103000021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06/06/2020</v>
          </cell>
          <cell r="I722">
            <v>2995</v>
          </cell>
          <cell r="J722">
            <v>32925</v>
          </cell>
          <cell r="K722">
            <v>1000</v>
          </cell>
          <cell r="L722">
            <v>2.9950000000000001</v>
          </cell>
          <cell r="M722" t="str">
            <v>Gramos</v>
          </cell>
        </row>
        <row r="723">
          <cell r="A723" t="str">
            <v>103000027</v>
          </cell>
          <cell r="B723">
            <v>13164</v>
          </cell>
          <cell r="C723" t="str">
            <v>CHORIZO PASTA KILO</v>
          </cell>
          <cell r="D723" t="str">
            <v>103000027</v>
          </cell>
          <cell r="E723" t="str">
            <v>MATERIAS PRIMAS PLANTA</v>
          </cell>
          <cell r="F723" t="str">
            <v>1 KILO</v>
          </cell>
          <cell r="G723">
            <v>500</v>
          </cell>
          <cell r="H723" t="str">
            <v>13/06/2020</v>
          </cell>
          <cell r="I723">
            <v>2050</v>
          </cell>
          <cell r="J723">
            <v>2145735</v>
          </cell>
          <cell r="K723">
            <v>1000</v>
          </cell>
          <cell r="L723">
            <v>2.0499999999999998</v>
          </cell>
          <cell r="M723" t="str">
            <v>Gramos</v>
          </cell>
        </row>
        <row r="724">
          <cell r="A724" t="str">
            <v>103000035</v>
          </cell>
          <cell r="B724">
            <v>14621</v>
          </cell>
          <cell r="C724" t="str">
            <v>ALBONDIGA ITAL COC 1.5 ONZ (1/4.53K)</v>
          </cell>
          <cell r="D724" t="str">
            <v>103000035</v>
          </cell>
          <cell r="E724" t="str">
            <v>MATERIAS PRIMAS PLANTA</v>
          </cell>
          <cell r="F724" t="str">
            <v>1 KILO</v>
          </cell>
          <cell r="G724">
            <v>500</v>
          </cell>
          <cell r="H724" t="str">
            <v>11/02/2020</v>
          </cell>
          <cell r="I724" t="e">
            <v>#N/A</v>
          </cell>
          <cell r="J724">
            <v>55223.88</v>
          </cell>
          <cell r="K724">
            <v>1000</v>
          </cell>
          <cell r="L724" t="e">
            <v>#N/A</v>
          </cell>
          <cell r="M724" t="str">
            <v>Gramos</v>
          </cell>
        </row>
        <row r="725">
          <cell r="A725" t="str">
            <v>103000036</v>
          </cell>
          <cell r="B725">
            <v>5393</v>
          </cell>
          <cell r="C725" t="str">
            <v>FILET TILAPIA (5-7 ONZ P/KILO)</v>
          </cell>
          <cell r="D725" t="str">
            <v>103000036</v>
          </cell>
          <cell r="E725" t="str">
            <v>MATERIAS PRIMAS PLANTA</v>
          </cell>
          <cell r="F725" t="str">
            <v>1 KILO</v>
          </cell>
          <cell r="G725">
            <v>500</v>
          </cell>
          <cell r="H725" t="str">
            <v>30/04/2020</v>
          </cell>
          <cell r="I725" t="e">
            <v>#N/A</v>
          </cell>
          <cell r="J725">
            <v>329971.48000000103</v>
          </cell>
          <cell r="K725">
            <v>1000</v>
          </cell>
          <cell r="L725" t="e">
            <v>#DIV/0!</v>
          </cell>
          <cell r="M725" t="str">
            <v>Gramos</v>
          </cell>
        </row>
        <row r="726">
          <cell r="A726" t="str">
            <v>105000001</v>
          </cell>
          <cell r="B726">
            <v>5405</v>
          </cell>
          <cell r="C726" t="str">
            <v>CURRY POLVO (UND:454 G)</v>
          </cell>
          <cell r="D726" t="str">
            <v>105000001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28/04/2020</v>
          </cell>
          <cell r="I726">
            <v>2763</v>
          </cell>
          <cell r="J726">
            <v>39395</v>
          </cell>
          <cell r="K726">
            <v>454</v>
          </cell>
          <cell r="L726" t="e">
            <v>#DIV/0!</v>
          </cell>
          <cell r="M726" t="str">
            <v>Gramos</v>
          </cell>
        </row>
        <row r="727">
          <cell r="A727" t="str">
            <v>105000002</v>
          </cell>
          <cell r="B727">
            <v>5399</v>
          </cell>
          <cell r="C727" t="str">
            <v>OREGANO (UND: 156 G)</v>
          </cell>
          <cell r="D727" t="str">
            <v>105000002</v>
          </cell>
          <cell r="E727" t="str">
            <v>MATERIAS PRIMAS PLANTA</v>
          </cell>
          <cell r="F727" t="str">
            <v>1 UND</v>
          </cell>
          <cell r="G727">
            <v>500</v>
          </cell>
          <cell r="H727" t="str">
            <v>28/05/2020</v>
          </cell>
          <cell r="I727">
            <v>1879</v>
          </cell>
          <cell r="J727">
            <v>181144</v>
          </cell>
          <cell r="K727">
            <v>156</v>
          </cell>
          <cell r="L727">
            <v>12.044871794871796</v>
          </cell>
          <cell r="M727" t="str">
            <v>Gramos</v>
          </cell>
        </row>
        <row r="728">
          <cell r="A728" t="str">
            <v>105000003</v>
          </cell>
          <cell r="B728">
            <v>5400</v>
          </cell>
          <cell r="C728" t="str">
            <v>PEREJIL SECO (UND:57 G)</v>
          </cell>
          <cell r="D728" t="str">
            <v>105000003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01/06/2020</v>
          </cell>
          <cell r="I728">
            <v>1411.53</v>
          </cell>
          <cell r="J728">
            <v>108901</v>
          </cell>
          <cell r="K728">
            <v>57</v>
          </cell>
          <cell r="L728" t="e">
            <v>#DIV/0!</v>
          </cell>
          <cell r="M728" t="str">
            <v>Gramos</v>
          </cell>
        </row>
        <row r="729">
          <cell r="A729" t="str">
            <v>105000007</v>
          </cell>
          <cell r="B729">
            <v>5407</v>
          </cell>
          <cell r="C729" t="str">
            <v>PIMIENTA NEGRA MOLIDA (UND:510 G)</v>
          </cell>
          <cell r="D729" t="str">
            <v>105000007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19/03/2020</v>
          </cell>
          <cell r="I729">
            <v>7486</v>
          </cell>
          <cell r="J729">
            <v>118355</v>
          </cell>
          <cell r="K729">
            <v>510</v>
          </cell>
          <cell r="L729">
            <v>14.678431372549019</v>
          </cell>
          <cell r="M729" t="str">
            <v>Gramos</v>
          </cell>
        </row>
        <row r="730">
          <cell r="A730" t="str">
            <v>105000008</v>
          </cell>
          <cell r="B730">
            <v>7070</v>
          </cell>
          <cell r="C730" t="str">
            <v>CANELA ASTILLA (PAQ:500g)</v>
          </cell>
          <cell r="D730" t="str">
            <v>105000008</v>
          </cell>
          <cell r="E730" t="str">
            <v>MATERIAS PRIMAS PLANTA</v>
          </cell>
          <cell r="F730" t="str">
            <v>1 PAQUETE</v>
          </cell>
          <cell r="G730">
            <v>500</v>
          </cell>
          <cell r="H730" t="str">
            <v>05/06/2020</v>
          </cell>
          <cell r="I730">
            <v>4836.3</v>
          </cell>
          <cell r="J730">
            <v>76450</v>
          </cell>
          <cell r="K730">
            <v>500</v>
          </cell>
          <cell r="L730">
            <v>9.672600000000001</v>
          </cell>
          <cell r="M730" t="str">
            <v>Gramos</v>
          </cell>
        </row>
        <row r="731">
          <cell r="A731" t="str">
            <v>105000009</v>
          </cell>
          <cell r="B731">
            <v>5412</v>
          </cell>
          <cell r="C731" t="str">
            <v>ACHIOTE (UND:850g)</v>
          </cell>
          <cell r="D731" t="str">
            <v>105000009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05/06/2020</v>
          </cell>
          <cell r="I731">
            <v>3137</v>
          </cell>
          <cell r="J731">
            <v>884634</v>
          </cell>
          <cell r="K731">
            <v>850</v>
          </cell>
          <cell r="L731">
            <v>3.6905882352941175</v>
          </cell>
          <cell r="M731" t="str">
            <v>Gramos</v>
          </cell>
        </row>
        <row r="732">
          <cell r="A732" t="str">
            <v>105000029</v>
          </cell>
          <cell r="B732">
            <v>10237</v>
          </cell>
          <cell r="C732" t="str">
            <v>CONSOME CONCEN. DE RES (UND:2 K)</v>
          </cell>
          <cell r="D732" t="str">
            <v>105000029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28/05/2020</v>
          </cell>
          <cell r="I732">
            <v>5988</v>
          </cell>
          <cell r="J732">
            <v>497922</v>
          </cell>
          <cell r="K732">
            <v>2000</v>
          </cell>
          <cell r="L732">
            <v>2.9940000000000002</v>
          </cell>
          <cell r="M732" t="str">
            <v>Gramos</v>
          </cell>
        </row>
        <row r="733">
          <cell r="A733" t="str">
            <v>105000046</v>
          </cell>
          <cell r="B733">
            <v>15114</v>
          </cell>
          <cell r="C733" t="str">
            <v>JENGIBRE MOLIDO (UND:354 G)</v>
          </cell>
          <cell r="D733" t="str">
            <v>105000046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07/05/2020</v>
          </cell>
          <cell r="I733">
            <v>6125</v>
          </cell>
          <cell r="J733">
            <v>89150</v>
          </cell>
          <cell r="K733">
            <v>354</v>
          </cell>
          <cell r="L733">
            <v>17.302259887005651</v>
          </cell>
          <cell r="M733" t="str">
            <v>Gramos</v>
          </cell>
        </row>
        <row r="734">
          <cell r="A734" t="str">
            <v>105000047</v>
          </cell>
          <cell r="B734">
            <v>15115</v>
          </cell>
          <cell r="C734" t="str">
            <v>CLAVOS DE OLOR MOLIDO (UND:453G)</v>
          </cell>
          <cell r="D734" t="str">
            <v>105000047</v>
          </cell>
          <cell r="E734" t="str">
            <v>MATERIAS PRIMAS PLANTA</v>
          </cell>
          <cell r="F734" t="str">
            <v>1 UND</v>
          </cell>
          <cell r="G734">
            <v>500</v>
          </cell>
          <cell r="H734" t="str">
            <v>10/12/2019</v>
          </cell>
          <cell r="I734" t="e">
            <v>#N/A</v>
          </cell>
          <cell r="J734">
            <v>66145</v>
          </cell>
          <cell r="K734">
            <v>453</v>
          </cell>
          <cell r="L734" t="e">
            <v>#N/A</v>
          </cell>
          <cell r="M734" t="str">
            <v>Gramos</v>
          </cell>
        </row>
        <row r="735">
          <cell r="A735" t="str">
            <v>105000048</v>
          </cell>
          <cell r="B735">
            <v>16318</v>
          </cell>
          <cell r="C735" t="str">
            <v>AJO EN POLVO BADIA (UND:1.8 K)</v>
          </cell>
          <cell r="D735" t="str">
            <v>105000048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24/03/2020</v>
          </cell>
          <cell r="I735" t="e">
            <v>#N/A</v>
          </cell>
          <cell r="J735">
            <v>11521</v>
          </cell>
          <cell r="K735">
            <v>1800</v>
          </cell>
          <cell r="L735" t="e">
            <v>#N/A</v>
          </cell>
          <cell r="M735" t="str">
            <v>Gramos</v>
          </cell>
        </row>
        <row r="736">
          <cell r="A736" t="str">
            <v>105000049</v>
          </cell>
          <cell r="B736">
            <v>16484</v>
          </cell>
          <cell r="C736" t="str">
            <v>PIMIENTA EN SOBRES (PAQ:1000 UND)</v>
          </cell>
          <cell r="D736" t="str">
            <v>105000049</v>
          </cell>
          <cell r="E736" t="str">
            <v>MATERIAS PRIMAS PLANTA</v>
          </cell>
          <cell r="F736" t="str">
            <v>1 PAQUETE</v>
          </cell>
          <cell r="G736">
            <v>500</v>
          </cell>
          <cell r="H736" t="str">
            <v>06/05/2020</v>
          </cell>
          <cell r="I736" t="e">
            <v>#N/A</v>
          </cell>
          <cell r="J736">
            <v>109940</v>
          </cell>
          <cell r="K736">
            <v>1000</v>
          </cell>
          <cell r="L736" t="e">
            <v>#N/A</v>
          </cell>
          <cell r="M736" t="str">
            <v>Gramos</v>
          </cell>
        </row>
        <row r="737">
          <cell r="A737" t="str">
            <v>105000050</v>
          </cell>
          <cell r="B737">
            <v>16486</v>
          </cell>
          <cell r="C737" t="str">
            <v>SAL EN SOBRES (PAQ:1000 UND)</v>
          </cell>
          <cell r="D737" t="str">
            <v>105000050</v>
          </cell>
          <cell r="E737" t="str">
            <v>MATERIAS PRIMAS PLANTA</v>
          </cell>
          <cell r="F737" t="str">
            <v>1 PAQUETE</v>
          </cell>
          <cell r="G737">
            <v>500</v>
          </cell>
          <cell r="H737" t="str">
            <v>12/06/2020</v>
          </cell>
          <cell r="I737" t="e">
            <v>#N/A</v>
          </cell>
          <cell r="J737">
            <v>106008</v>
          </cell>
          <cell r="K737">
            <v>1000</v>
          </cell>
          <cell r="L737" t="e">
            <v>#N/A</v>
          </cell>
          <cell r="M737" t="str">
            <v>Gramos</v>
          </cell>
        </row>
        <row r="738">
          <cell r="A738" t="str">
            <v>106000001</v>
          </cell>
          <cell r="B738">
            <v>5415</v>
          </cell>
          <cell r="C738" t="str">
            <v>HIGOS EN ALMIBAR (UND:23 K)</v>
          </cell>
          <cell r="D738" t="str">
            <v>106000001</v>
          </cell>
          <cell r="E738" t="str">
            <v>MATERIAS PRIMAS PLANTA</v>
          </cell>
          <cell r="F738" t="str">
            <v>1 UND</v>
          </cell>
          <cell r="G738">
            <v>500</v>
          </cell>
          <cell r="H738" t="str">
            <v>11/12/2019</v>
          </cell>
          <cell r="I738">
            <v>48300</v>
          </cell>
          <cell r="J738">
            <v>2991744</v>
          </cell>
          <cell r="K738">
            <v>23000</v>
          </cell>
          <cell r="L738">
            <v>2.1</v>
          </cell>
          <cell r="M738" t="str">
            <v>Gramos</v>
          </cell>
        </row>
        <row r="739">
          <cell r="A739" t="str">
            <v>106000007</v>
          </cell>
          <cell r="B739">
            <v>16293</v>
          </cell>
          <cell r="C739" t="str">
            <v>CHIVERRE CONSERVA (UND:25 K)</v>
          </cell>
          <cell r="D739" t="str">
            <v>106000007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12/03/2020</v>
          </cell>
          <cell r="I739">
            <v>55000</v>
          </cell>
          <cell r="J739">
            <v>62150</v>
          </cell>
          <cell r="K739">
            <v>25000</v>
          </cell>
          <cell r="L739">
            <v>2.2000000000000002</v>
          </cell>
          <cell r="M739" t="str">
            <v>Gramos</v>
          </cell>
        </row>
        <row r="740">
          <cell r="A740" t="str">
            <v>107000012</v>
          </cell>
          <cell r="B740">
            <v>8693</v>
          </cell>
          <cell r="C740" t="str">
            <v>CONFITILLO CORAZON MAVALERIO (PAQ:150G)</v>
          </cell>
          <cell r="D740" t="str">
            <v>107000012</v>
          </cell>
          <cell r="E740" t="str">
            <v>MATERIAS PRIMAS PLANTA</v>
          </cell>
          <cell r="F740" t="str">
            <v>1 PAQ</v>
          </cell>
          <cell r="G740">
            <v>500</v>
          </cell>
          <cell r="H740" t="str">
            <v>13/02/2020</v>
          </cell>
          <cell r="I740">
            <v>875.5</v>
          </cell>
          <cell r="J740">
            <v>40798.300000000003</v>
          </cell>
          <cell r="K740">
            <v>150</v>
          </cell>
          <cell r="L740">
            <v>5.8366666666666669</v>
          </cell>
          <cell r="M740" t="str">
            <v>Gramos</v>
          </cell>
        </row>
        <row r="741">
          <cell r="A741" t="str">
            <v>109000106</v>
          </cell>
          <cell r="B741">
            <v>9364</v>
          </cell>
          <cell r="C741" t="str">
            <v>FRESAS CONGEL  BEGRO (PAQ: 1 K)</v>
          </cell>
          <cell r="D741" t="str">
            <v>109000106</v>
          </cell>
          <cell r="E741" t="str">
            <v>MATERIAS PRIMAS PLANTA</v>
          </cell>
          <cell r="F741" t="str">
            <v>1 PAQ</v>
          </cell>
          <cell r="G741">
            <v>500</v>
          </cell>
          <cell r="H741" t="str">
            <v>12/06/2020</v>
          </cell>
          <cell r="I741">
            <v>1940</v>
          </cell>
          <cell r="J741">
            <v>1606500</v>
          </cell>
          <cell r="K741">
            <v>1000</v>
          </cell>
          <cell r="L741">
            <v>1.94</v>
          </cell>
          <cell r="M741" t="str">
            <v>Gramos</v>
          </cell>
        </row>
        <row r="742">
          <cell r="A742" t="str">
            <v>109000121</v>
          </cell>
          <cell r="B742">
            <v>15410</v>
          </cell>
          <cell r="C742" t="str">
            <v>TOMATE DESHIDRATADO SECO (UND: 800 G)</v>
          </cell>
          <cell r="D742" t="str">
            <v>109000121</v>
          </cell>
          <cell r="E742" t="str">
            <v>MATERIAS PRIMAS PLANTA</v>
          </cell>
          <cell r="F742" t="str">
            <v>1 UND</v>
          </cell>
          <cell r="G742">
            <v>500</v>
          </cell>
          <cell r="H742" t="str">
            <v>14/01/2020</v>
          </cell>
          <cell r="I742" t="e">
            <v>#N/A</v>
          </cell>
          <cell r="J742">
            <v>318232.65600000002</v>
          </cell>
          <cell r="K742">
            <v>800</v>
          </cell>
          <cell r="L742" t="e">
            <v>#N/A</v>
          </cell>
          <cell r="M742" t="str">
            <v>Gramos</v>
          </cell>
        </row>
        <row r="743">
          <cell r="A743" t="str">
            <v>109000122</v>
          </cell>
          <cell r="B743">
            <v>15868</v>
          </cell>
          <cell r="C743" t="str">
            <v>RELLENO PULPA DE PIÑA (KILO)</v>
          </cell>
          <cell r="D743" t="str">
            <v>109000122</v>
          </cell>
          <cell r="E743" t="str">
            <v>MATERIAS PRIMAS PLANTA</v>
          </cell>
          <cell r="F743" t="str">
            <v>1 KILOGramos</v>
          </cell>
          <cell r="G743">
            <v>500</v>
          </cell>
          <cell r="H743" t="str">
            <v>27/05/2020</v>
          </cell>
          <cell r="I743" t="e">
            <v>#N/A</v>
          </cell>
          <cell r="J743">
            <v>334641</v>
          </cell>
          <cell r="K743">
            <v>1000</v>
          </cell>
          <cell r="L743" t="e">
            <v>#N/A</v>
          </cell>
          <cell r="M743" t="str">
            <v>Gramos</v>
          </cell>
        </row>
        <row r="744">
          <cell r="A744" t="str">
            <v>109000123</v>
          </cell>
          <cell r="B744">
            <v>15869</v>
          </cell>
          <cell r="C744" t="str">
            <v>RELLENO PULPA DE GUANABANA (KILO)</v>
          </cell>
          <cell r="D744" t="str">
            <v>109000123</v>
          </cell>
          <cell r="E744" t="str">
            <v>MATERIAS PRIMAS PLANTA</v>
          </cell>
          <cell r="F744" t="str">
            <v>1 KILOGramos</v>
          </cell>
          <cell r="G744">
            <v>500</v>
          </cell>
          <cell r="H744" t="str">
            <v>20/05/2020</v>
          </cell>
          <cell r="I744" t="e">
            <v>#N/A</v>
          </cell>
          <cell r="J744">
            <v>802540.2</v>
          </cell>
          <cell r="K744">
            <v>1000</v>
          </cell>
          <cell r="L744" t="e">
            <v>#N/A</v>
          </cell>
          <cell r="M744" t="str">
            <v>Gramos</v>
          </cell>
        </row>
        <row r="745">
          <cell r="A745" t="str">
            <v>109000124</v>
          </cell>
          <cell r="B745">
            <v>15927</v>
          </cell>
          <cell r="C745" t="str">
            <v>PITAHAYA INPAK (PAQ: 3 KILOS)</v>
          </cell>
          <cell r="D745" t="str">
            <v>109000124</v>
          </cell>
          <cell r="E745" t="str">
            <v>MATERIAS PRIMAS PLANTA</v>
          </cell>
          <cell r="F745" t="str">
            <v>1 PAQUETE</v>
          </cell>
          <cell r="G745">
            <v>500</v>
          </cell>
          <cell r="H745" t="str">
            <v>30/01/2020</v>
          </cell>
          <cell r="I745" t="e">
            <v>#N/A</v>
          </cell>
          <cell r="J745">
            <v>291030</v>
          </cell>
          <cell r="K745">
            <v>3000</v>
          </cell>
          <cell r="L745" t="e">
            <v>#N/A</v>
          </cell>
          <cell r="M745" t="str">
            <v>Gramos</v>
          </cell>
        </row>
        <row r="746">
          <cell r="A746" t="str">
            <v>109000125</v>
          </cell>
          <cell r="B746">
            <v>15928</v>
          </cell>
          <cell r="C746" t="str">
            <v>MARACUYA ( PAQ: 3 KILOS)</v>
          </cell>
          <cell r="D746" t="str">
            <v>0159281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30/01/2020</v>
          </cell>
          <cell r="I746" t="e">
            <v>#N/A</v>
          </cell>
          <cell r="J746">
            <v>203600</v>
          </cell>
          <cell r="K746">
            <v>3000</v>
          </cell>
          <cell r="L746" t="e">
            <v>#N/A</v>
          </cell>
          <cell r="M746" t="str">
            <v>Gramos</v>
          </cell>
        </row>
        <row r="747">
          <cell r="A747" t="str">
            <v>109000127</v>
          </cell>
          <cell r="B747">
            <v>16666</v>
          </cell>
          <cell r="C747" t="str">
            <v>MELOCOTON EN CUBOS COUNTREE (UND:3 K)</v>
          </cell>
          <cell r="D747" t="str">
            <v>109000127</v>
          </cell>
          <cell r="E747" t="str">
            <v>MATERIAS PRIMAS PLANTA</v>
          </cell>
          <cell r="F747" t="str">
            <v>1 UND</v>
          </cell>
          <cell r="G747">
            <v>500</v>
          </cell>
          <cell r="H747" t="str">
            <v>15/06/2020</v>
          </cell>
          <cell r="I747">
            <v>3338</v>
          </cell>
          <cell r="J747">
            <v>1301476</v>
          </cell>
          <cell r="K747">
            <v>1800</v>
          </cell>
          <cell r="L747">
            <v>1.8544444444444443</v>
          </cell>
          <cell r="M747" t="str">
            <v>Gramos</v>
          </cell>
        </row>
        <row r="748">
          <cell r="A748" t="str">
            <v>111000002</v>
          </cell>
          <cell r="B748">
            <v>5522</v>
          </cell>
          <cell r="C748" t="str">
            <v xml:space="preserve">ACEITE DE SESAMO (UND:1656 ml) </v>
          </cell>
          <cell r="D748" t="str">
            <v>111000002</v>
          </cell>
          <cell r="E748" t="str">
            <v>MATERIAS PRIMAS PLANTA</v>
          </cell>
          <cell r="F748" t="str">
            <v>1 UND</v>
          </cell>
          <cell r="G748">
            <v>500</v>
          </cell>
          <cell r="H748" t="str">
            <v>10/06/2020</v>
          </cell>
          <cell r="I748">
            <v>13178.8</v>
          </cell>
          <cell r="J748">
            <v>-273635</v>
          </cell>
          <cell r="K748">
            <v>1656</v>
          </cell>
          <cell r="L748">
            <v>7.9582125603864728</v>
          </cell>
          <cell r="M748" t="str">
            <v>Gramos</v>
          </cell>
        </row>
        <row r="749">
          <cell r="A749" t="str">
            <v>112000004</v>
          </cell>
          <cell r="B749">
            <v>5537</v>
          </cell>
          <cell r="C749" t="str">
            <v>GALLETA OREO TROZOS (PAQ:1.13 K)</v>
          </cell>
          <cell r="D749" t="str">
            <v>112000004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12/05/2020</v>
          </cell>
          <cell r="I749" t="e">
            <v>#N/A</v>
          </cell>
          <cell r="J749">
            <v>59600</v>
          </cell>
          <cell r="K749">
            <v>1130</v>
          </cell>
          <cell r="L749" t="e">
            <v>#N/A</v>
          </cell>
          <cell r="M749" t="str">
            <v>Gramos</v>
          </cell>
        </row>
        <row r="750">
          <cell r="A750" t="str">
            <v>112000009</v>
          </cell>
          <cell r="B750">
            <v>5542</v>
          </cell>
          <cell r="C750" t="str">
            <v>MASECA GRANEL (SACO:20 K)</v>
          </cell>
          <cell r="D750" t="str">
            <v>112000009</v>
          </cell>
          <cell r="E750" t="str">
            <v>MATERIAS PRIMAS PLANTA</v>
          </cell>
          <cell r="F750" t="str">
            <v xml:space="preserve">1 SACO </v>
          </cell>
          <cell r="G750">
            <v>500</v>
          </cell>
          <cell r="H750" t="str">
            <v>15/01/2020</v>
          </cell>
          <cell r="I750">
            <v>30890</v>
          </cell>
          <cell r="J750">
            <v>451374</v>
          </cell>
          <cell r="K750">
            <v>20000</v>
          </cell>
          <cell r="L750">
            <v>1.5445</v>
          </cell>
          <cell r="M750" t="str">
            <v>Gramos</v>
          </cell>
        </row>
        <row r="751">
          <cell r="A751" t="str">
            <v>112000047</v>
          </cell>
          <cell r="B751">
            <v>7074</v>
          </cell>
          <cell r="C751" t="str">
            <v>EMPANIZADOR PANKO (PAQ: 3 K)</v>
          </cell>
          <cell r="D751" t="str">
            <v>112000047</v>
          </cell>
          <cell r="E751" t="str">
            <v>MATERIAS PRIMAS PLANTA</v>
          </cell>
          <cell r="F751" t="str">
            <v>1 PAQUETE</v>
          </cell>
          <cell r="G751">
            <v>500</v>
          </cell>
          <cell r="H751" t="str">
            <v>28/02/2020</v>
          </cell>
          <cell r="I751">
            <v>15946.32</v>
          </cell>
          <cell r="J751">
            <v>908925</v>
          </cell>
          <cell r="K751">
            <v>3000</v>
          </cell>
          <cell r="L751">
            <v>5.3154399999999997</v>
          </cell>
          <cell r="M751" t="str">
            <v>Gramos</v>
          </cell>
        </row>
        <row r="752">
          <cell r="A752" t="str">
            <v>112000061</v>
          </cell>
          <cell r="B752">
            <v>14101</v>
          </cell>
          <cell r="C752" t="str">
            <v>PAN MUFFIN 70G (PAQ:6 UND)</v>
          </cell>
          <cell r="D752" t="str">
            <v>112000061</v>
          </cell>
          <cell r="E752" t="str">
            <v>MATERIAS PRIMAS PLANTA</v>
          </cell>
          <cell r="F752" t="str">
            <v>1 PAQUETE</v>
          </cell>
          <cell r="G752">
            <v>500</v>
          </cell>
          <cell r="H752" t="str">
            <v>15/06/2020</v>
          </cell>
          <cell r="I752">
            <v>1140</v>
          </cell>
          <cell r="J752">
            <v>247380</v>
          </cell>
          <cell r="K752">
            <v>6</v>
          </cell>
          <cell r="L752">
            <v>190</v>
          </cell>
          <cell r="M752" t="str">
            <v>Gramos</v>
          </cell>
        </row>
        <row r="753">
          <cell r="A753" t="str">
            <v>112000065</v>
          </cell>
          <cell r="B753">
            <v>15821</v>
          </cell>
          <cell r="C753" t="str">
            <v>PANINI PARRILADA 8" (PAQ:10 UND)</v>
          </cell>
          <cell r="D753" t="str">
            <v>112000065</v>
          </cell>
          <cell r="E753" t="str">
            <v>MATERIAS PRIMAS PLANTA</v>
          </cell>
          <cell r="F753" t="str">
            <v>1 PAQUETE</v>
          </cell>
          <cell r="G753">
            <v>500</v>
          </cell>
          <cell r="H753" t="str">
            <v>13/01/2020</v>
          </cell>
          <cell r="I753" t="e">
            <v>#N/A</v>
          </cell>
          <cell r="J753">
            <v>406200</v>
          </cell>
          <cell r="K753">
            <v>10</v>
          </cell>
          <cell r="L753" t="e">
            <v>#N/A</v>
          </cell>
          <cell r="M753" t="str">
            <v>Gramos</v>
          </cell>
        </row>
        <row r="754">
          <cell r="A754" t="str">
            <v>114000002</v>
          </cell>
          <cell r="B754">
            <v>5584</v>
          </cell>
          <cell r="C754" t="str">
            <v>LECHE HOMOGENIZ TB 3.5%  (CAJA:12 UND)</v>
          </cell>
          <cell r="D754" t="str">
            <v>0310108</v>
          </cell>
          <cell r="E754" t="str">
            <v>MATERIAS PRIMAS PLANTA</v>
          </cell>
          <cell r="F754" t="str">
            <v>1 CAJA</v>
          </cell>
          <cell r="G754">
            <v>500</v>
          </cell>
          <cell r="H754" t="str">
            <v>08/06/2020</v>
          </cell>
          <cell r="I754">
            <v>7867</v>
          </cell>
          <cell r="J754">
            <v>1165972.02</v>
          </cell>
          <cell r="K754">
            <v>12000</v>
          </cell>
          <cell r="L754">
            <v>0.6555833333333333</v>
          </cell>
          <cell r="M754" t="str">
            <v>Mililitros</v>
          </cell>
        </row>
        <row r="755">
          <cell r="A755" t="str">
            <v>114000017</v>
          </cell>
          <cell r="B755">
            <v>5599</v>
          </cell>
          <cell r="C755" t="str">
            <v>BETTERCREAM CHOCOLATE (UND:4 Kg)</v>
          </cell>
          <cell r="D755" t="str">
            <v>114000017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12/06/2020</v>
          </cell>
          <cell r="I755">
            <v>8906</v>
          </cell>
          <cell r="J755">
            <v>2293166</v>
          </cell>
          <cell r="K755">
            <v>4000</v>
          </cell>
          <cell r="L755">
            <v>2.2265000000000001</v>
          </cell>
          <cell r="M755" t="str">
            <v>Gramos</v>
          </cell>
        </row>
        <row r="756">
          <cell r="A756" t="str">
            <v>116000009</v>
          </cell>
          <cell r="B756">
            <v>9534</v>
          </cell>
          <cell r="C756" t="str">
            <v>PRESERVANTE OPTIFORM PD4 (UND:25K)</v>
          </cell>
          <cell r="D756" t="str">
            <v>116000009</v>
          </cell>
          <cell r="E756" t="str">
            <v>MATERIAS PRIMAS PLANTA</v>
          </cell>
          <cell r="F756" t="str">
            <v>1 UND</v>
          </cell>
          <cell r="G756">
            <v>500</v>
          </cell>
          <cell r="H756" t="str">
            <v>05/06/2020</v>
          </cell>
          <cell r="I756">
            <v>80</v>
          </cell>
          <cell r="J756">
            <v>92339.199999999997</v>
          </cell>
          <cell r="K756">
            <v>25000</v>
          </cell>
          <cell r="L756">
            <v>3.2000000000000002E-3</v>
          </cell>
          <cell r="M756" t="str">
            <v>Gramos</v>
          </cell>
        </row>
        <row r="757">
          <cell r="A757" t="str">
            <v>118000004</v>
          </cell>
          <cell r="B757">
            <v>5655</v>
          </cell>
          <cell r="C757" t="str">
            <v>VAINILLA OSCURA (UND: 3.78 L)</v>
          </cell>
          <cell r="D757" t="str">
            <v>118000004</v>
          </cell>
          <cell r="E757" t="str">
            <v>MATERIAS PRIMAS PLANTA</v>
          </cell>
          <cell r="F757" t="str">
            <v>1 UND</v>
          </cell>
          <cell r="G757">
            <v>500</v>
          </cell>
          <cell r="H757" t="str">
            <v>03/06/2020</v>
          </cell>
          <cell r="I757">
            <v>3900</v>
          </cell>
          <cell r="J757">
            <v>42900</v>
          </cell>
          <cell r="K757">
            <v>3780</v>
          </cell>
          <cell r="L757">
            <v>1.0317460317460319</v>
          </cell>
          <cell r="M757" t="str">
            <v>Mililitros</v>
          </cell>
        </row>
        <row r="758">
          <cell r="A758" t="str">
            <v>118000007</v>
          </cell>
          <cell r="B758">
            <v>7062</v>
          </cell>
          <cell r="C758" t="str">
            <v>SABORIZANTE MELO (KILO)</v>
          </cell>
          <cell r="D758" t="str">
            <v>118000007</v>
          </cell>
          <cell r="E758" t="str">
            <v>MATERIAS PRIMAS PLANTA</v>
          </cell>
          <cell r="F758" t="str">
            <v xml:space="preserve">1 KILO </v>
          </cell>
          <cell r="G758">
            <v>500</v>
          </cell>
          <cell r="H758" t="str">
            <v>07/02/2020</v>
          </cell>
          <cell r="I758">
            <v>7795</v>
          </cell>
          <cell r="J758">
            <v>7795.36</v>
          </cell>
          <cell r="K758">
            <v>1000</v>
          </cell>
          <cell r="L758">
            <v>7.7949999999999999</v>
          </cell>
          <cell r="M758" t="str">
            <v>Gramos</v>
          </cell>
        </row>
        <row r="759">
          <cell r="A759" t="str">
            <v>118000014</v>
          </cell>
          <cell r="B759">
            <v>9606</v>
          </cell>
          <cell r="C759" t="str">
            <v>SABORIZANTE MENTA (KILO)</v>
          </cell>
          <cell r="D759" t="str">
            <v>118000014</v>
          </cell>
          <cell r="E759" t="str">
            <v>MATERIAS PRIMAS PLANTA</v>
          </cell>
          <cell r="F759" t="str">
            <v xml:space="preserve">1 KILO </v>
          </cell>
          <cell r="G759">
            <v>500</v>
          </cell>
          <cell r="H759" t="str">
            <v>07/02/2020</v>
          </cell>
          <cell r="I759">
            <v>20470.53</v>
          </cell>
          <cell r="J759">
            <v>38317.14</v>
          </cell>
          <cell r="K759">
            <v>1000</v>
          </cell>
          <cell r="L759">
            <v>20.47053</v>
          </cell>
          <cell r="M759" t="str">
            <v>Gramos</v>
          </cell>
        </row>
        <row r="760">
          <cell r="A760" t="str">
            <v>118000017</v>
          </cell>
          <cell r="B760">
            <v>16320</v>
          </cell>
          <cell r="C760" t="str">
            <v>SABORIZANTE RON (UND)</v>
          </cell>
          <cell r="D760" t="str">
            <v>118000017</v>
          </cell>
          <cell r="E760" t="str">
            <v>MATERIAS PRIMAS PLANTA</v>
          </cell>
          <cell r="F760" t="str">
            <v>1 UNIDAD</v>
          </cell>
          <cell r="G760">
            <v>500</v>
          </cell>
          <cell r="H760" t="str">
            <v>29/05/2020</v>
          </cell>
          <cell r="I760">
            <v>8372.98</v>
          </cell>
          <cell r="J760">
            <v>16368.96</v>
          </cell>
          <cell r="K760">
            <v>3000</v>
          </cell>
          <cell r="L760" t="e">
            <v>#DIV/0!</v>
          </cell>
          <cell r="M760" t="str">
            <v>Gramos</v>
          </cell>
        </row>
        <row r="761">
          <cell r="A761" t="str">
            <v>119000012</v>
          </cell>
          <cell r="B761">
            <v>5668</v>
          </cell>
          <cell r="C761" t="str">
            <v>MACADAMIA ENTERA (PAQ=1 KILO)</v>
          </cell>
          <cell r="D761" t="str">
            <v>119000012</v>
          </cell>
          <cell r="E761" t="str">
            <v>MATERIAS PRIMAS PLANTA</v>
          </cell>
          <cell r="F761" t="str">
            <v>1 PAQUETE</v>
          </cell>
          <cell r="G761">
            <v>500</v>
          </cell>
          <cell r="H761" t="str">
            <v>15/06/2020</v>
          </cell>
          <cell r="I761" t="e">
            <v>#N/A</v>
          </cell>
          <cell r="J761">
            <v>12423172.800000001</v>
          </cell>
          <cell r="K761">
            <v>1000</v>
          </cell>
          <cell r="L761" t="e">
            <v>#N/A</v>
          </cell>
          <cell r="M761" t="str">
            <v>Gramos</v>
          </cell>
        </row>
        <row r="762">
          <cell r="A762" t="str">
            <v>119000026</v>
          </cell>
          <cell r="B762">
            <v>14850</v>
          </cell>
          <cell r="C762" t="str">
            <v>SEMILLA DE AMAPOLA (UND: 566 G)</v>
          </cell>
          <cell r="D762" t="str">
            <v>119000026</v>
          </cell>
          <cell r="E762" t="str">
            <v>MATERIAS PRIMAS PLANTA</v>
          </cell>
          <cell r="F762" t="str">
            <v>1 Uds.</v>
          </cell>
          <cell r="G762">
            <v>500</v>
          </cell>
          <cell r="H762" t="str">
            <v>15/06/2020</v>
          </cell>
          <cell r="I762">
            <v>5188</v>
          </cell>
          <cell r="J762">
            <v>51068</v>
          </cell>
          <cell r="K762">
            <v>566</v>
          </cell>
          <cell r="L762">
            <v>9.1660777385159005</v>
          </cell>
          <cell r="M762" t="str">
            <v>Gramos</v>
          </cell>
        </row>
        <row r="763">
          <cell r="A763" t="str">
            <v>120000012</v>
          </cell>
          <cell r="B763">
            <v>10290</v>
          </cell>
          <cell r="C763" t="str">
            <v>ARO CHOCOLATE BLANCO (CAJA:150 UND)</v>
          </cell>
          <cell r="D763" t="str">
            <v>120000012</v>
          </cell>
          <cell r="E763" t="str">
            <v>MATERIAS PRIMAS PLANTA</v>
          </cell>
          <cell r="F763" t="str">
            <v>1 CAJA</v>
          </cell>
          <cell r="G763">
            <v>500</v>
          </cell>
          <cell r="H763" t="str">
            <v>03/12/2019</v>
          </cell>
          <cell r="I763" t="e">
            <v>#N/A</v>
          </cell>
          <cell r="J763">
            <v>-12951</v>
          </cell>
          <cell r="K763">
            <v>150</v>
          </cell>
          <cell r="L763" t="e">
            <v>#N/A</v>
          </cell>
        </row>
        <row r="764">
          <cell r="A764" t="str">
            <v>120000017</v>
          </cell>
          <cell r="B764">
            <v>14824</v>
          </cell>
          <cell r="C764" t="str">
            <v>GALLETA DE CHOCOLATE (PAQ:3 UND)</v>
          </cell>
          <cell r="D764" t="str">
            <v>120000017</v>
          </cell>
          <cell r="E764" t="str">
            <v>MATERIAS PRIMAS PLANTA</v>
          </cell>
          <cell r="F764" t="str">
            <v>1 PAQ</v>
          </cell>
          <cell r="G764">
            <v>500</v>
          </cell>
          <cell r="H764" t="str">
            <v>13/05/2020</v>
          </cell>
          <cell r="I764" t="e">
            <v>#N/A</v>
          </cell>
          <cell r="J764">
            <v>165121.5</v>
          </cell>
          <cell r="K764">
            <v>20000</v>
          </cell>
          <cell r="L764" t="e">
            <v>#N/A</v>
          </cell>
          <cell r="M764" t="str">
            <v>Gramos</v>
          </cell>
        </row>
        <row r="765">
          <cell r="A765" t="str">
            <v>120000018</v>
          </cell>
          <cell r="B765">
            <v>14825</v>
          </cell>
          <cell r="C765" t="str">
            <v>GALLETA DE CRAMBERRY (PAQ:5 UND)</v>
          </cell>
          <cell r="D765" t="str">
            <v>120000018</v>
          </cell>
          <cell r="E765" t="str">
            <v>MATERIAS PRIMAS PLANTA</v>
          </cell>
          <cell r="F765" t="str">
            <v>1 PAQ</v>
          </cell>
          <cell r="G765">
            <v>500</v>
          </cell>
          <cell r="H765" t="str">
            <v>13/05/2020</v>
          </cell>
          <cell r="I765" t="e">
            <v>#N/A</v>
          </cell>
          <cell r="J765">
            <v>130093.7</v>
          </cell>
          <cell r="K765">
            <v>3000</v>
          </cell>
          <cell r="L765" t="e">
            <v>#N/A</v>
          </cell>
        </row>
        <row r="766">
          <cell r="A766" t="str">
            <v>120000019</v>
          </cell>
          <cell r="B766">
            <v>14826</v>
          </cell>
          <cell r="C766" t="str">
            <v>GALLETA DE CANELA (PAQ:4 UND)</v>
          </cell>
          <cell r="D766" t="str">
            <v>120000019</v>
          </cell>
          <cell r="E766" t="str">
            <v>MATERIAS PRIMAS PLANTA</v>
          </cell>
          <cell r="F766" t="str">
            <v>1 PAQ</v>
          </cell>
          <cell r="G766">
            <v>500</v>
          </cell>
          <cell r="H766" t="str">
            <v>05/06/2020</v>
          </cell>
          <cell r="I766" t="e">
            <v>#N/A</v>
          </cell>
          <cell r="J766">
            <v>126655.1</v>
          </cell>
          <cell r="K766">
            <v>6</v>
          </cell>
          <cell r="L766" t="e">
            <v>#N/A</v>
          </cell>
        </row>
        <row r="767">
          <cell r="A767" t="str">
            <v>120000022</v>
          </cell>
          <cell r="B767">
            <v>15912</v>
          </cell>
          <cell r="C767" t="str">
            <v>GALLETA OREO ( PAQ: 126 G)</v>
          </cell>
          <cell r="D767" t="str">
            <v>120000022</v>
          </cell>
          <cell r="E767" t="str">
            <v>MATERIAS PRIMAS PLANTA</v>
          </cell>
          <cell r="F767" t="str">
            <v>1 PAQUETE</v>
          </cell>
          <cell r="G767">
            <v>500</v>
          </cell>
          <cell r="H767" t="str">
            <v>21/05/2020</v>
          </cell>
          <cell r="I767" t="e">
            <v>#N/A</v>
          </cell>
          <cell r="J767">
            <v>85170</v>
          </cell>
          <cell r="K767">
            <v>126</v>
          </cell>
          <cell r="L767" t="e">
            <v>#N/A</v>
          </cell>
          <cell r="M767" t="str">
            <v>Gramos</v>
          </cell>
        </row>
        <row r="768">
          <cell r="A768" t="str">
            <v>120000023</v>
          </cell>
          <cell r="B768">
            <v>16424</v>
          </cell>
          <cell r="C768" t="str">
            <v>HELADO VAINILLA CARAMELO 1/4 GALON</v>
          </cell>
          <cell r="D768" t="str">
            <v>120000023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16/04/2020</v>
          </cell>
          <cell r="I768" t="e">
            <v>#N/A</v>
          </cell>
          <cell r="J768">
            <v>2297434.79</v>
          </cell>
          <cell r="K768">
            <v>12000</v>
          </cell>
          <cell r="L768" t="e">
            <v>#N/A</v>
          </cell>
          <cell r="M768" t="str">
            <v>Mililitros</v>
          </cell>
        </row>
        <row r="769">
          <cell r="A769" t="str">
            <v>203000096</v>
          </cell>
          <cell r="B769">
            <v>12763</v>
          </cell>
          <cell r="C769" t="str">
            <v>TARJETA CARTULINA CUCHARA BELGA</v>
          </cell>
          <cell r="D769" t="str">
            <v>203000096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03/02/2020</v>
          </cell>
          <cell r="I769" t="e">
            <v>#N/A</v>
          </cell>
          <cell r="J769">
            <v>150567.25999799999</v>
          </cell>
          <cell r="K769">
            <v>4000</v>
          </cell>
          <cell r="L769" t="e">
            <v>#N/A</v>
          </cell>
          <cell r="M769" t="str">
            <v>Gramos</v>
          </cell>
        </row>
        <row r="770">
          <cell r="A770" t="str">
            <v>207000001</v>
          </cell>
          <cell r="B770">
            <v>11323</v>
          </cell>
          <cell r="C770" t="str">
            <v>BATIDO DE PIÑA,PEPINO Y ALBAHACA (UND)</v>
          </cell>
          <cell r="D770" t="str">
            <v>207000001</v>
          </cell>
          <cell r="E770" t="str">
            <v>MATERIAS PRIMAS PLANTA</v>
          </cell>
          <cell r="F770" t="str">
            <v>1 UND</v>
          </cell>
          <cell r="G770">
            <v>500</v>
          </cell>
          <cell r="H770" t="str">
            <v>05/06/2020</v>
          </cell>
          <cell r="I770">
            <v>515</v>
          </cell>
          <cell r="J770">
            <v>798250</v>
          </cell>
          <cell r="K770">
            <v>25000</v>
          </cell>
          <cell r="L770" t="e">
            <v>#DIV/0!</v>
          </cell>
          <cell r="M770" t="str">
            <v>Gramos</v>
          </cell>
        </row>
        <row r="771">
          <cell r="A771" t="str">
            <v>207000002</v>
          </cell>
          <cell r="B771">
            <v>11324</v>
          </cell>
          <cell r="C771" t="str">
            <v>BATIDO DE MORA Y JENJIBRE (UND)</v>
          </cell>
          <cell r="D771" t="str">
            <v>207000002</v>
          </cell>
          <cell r="E771" t="str">
            <v>MATERIAS PRIMAS PLANTA</v>
          </cell>
          <cell r="F771" t="str">
            <v>1 UND</v>
          </cell>
          <cell r="G771">
            <v>500</v>
          </cell>
          <cell r="H771" t="str">
            <v>05/06/2020</v>
          </cell>
          <cell r="I771">
            <v>515</v>
          </cell>
          <cell r="J771">
            <v>857990</v>
          </cell>
          <cell r="K771">
            <v>3780</v>
          </cell>
          <cell r="L771" t="e">
            <v>#DIV/0!</v>
          </cell>
          <cell r="M771" t="str">
            <v>Mililitros</v>
          </cell>
        </row>
        <row r="772">
          <cell r="A772" t="str">
            <v>207000003</v>
          </cell>
          <cell r="B772">
            <v>11325</v>
          </cell>
          <cell r="C772" t="str">
            <v>BATIDO MANGO, NARANJA Y MARACUYA (UND)</v>
          </cell>
          <cell r="D772" t="str">
            <v>207000003</v>
          </cell>
          <cell r="E772" t="str">
            <v>MATERIAS PRIMAS PLANTA</v>
          </cell>
          <cell r="F772" t="str">
            <v>1 UND</v>
          </cell>
          <cell r="G772">
            <v>500</v>
          </cell>
          <cell r="H772" t="str">
            <v>13/06/2020</v>
          </cell>
          <cell r="I772">
            <v>515</v>
          </cell>
          <cell r="J772">
            <v>1121670</v>
          </cell>
          <cell r="K772">
            <v>1000</v>
          </cell>
          <cell r="L772" t="e">
            <v>#DIV/0!</v>
          </cell>
          <cell r="M772" t="str">
            <v>Gramos</v>
          </cell>
        </row>
        <row r="773">
          <cell r="A773" t="str">
            <v>401000002</v>
          </cell>
          <cell r="B773">
            <v>5679</v>
          </cell>
          <cell r="C773" t="str">
            <v>BOLSA TRANSPARENTE 6X6X4 KILO</v>
          </cell>
          <cell r="D773" t="str">
            <v>401000002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04/05/2020</v>
          </cell>
          <cell r="I773">
            <v>1400</v>
          </cell>
          <cell r="J773">
            <v>439600</v>
          </cell>
          <cell r="K773">
            <v>430</v>
          </cell>
          <cell r="L773">
            <v>3.2558139534883721</v>
          </cell>
          <cell r="M773" t="str">
            <v>Gramos</v>
          </cell>
        </row>
        <row r="774">
          <cell r="A774" t="str">
            <v>401000003</v>
          </cell>
          <cell r="B774">
            <v>5680</v>
          </cell>
          <cell r="C774" t="str">
            <v>BOLSA TRANSPARENTE 6X8X4 KILO</v>
          </cell>
          <cell r="D774" t="str">
            <v>401000003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23/03/2020</v>
          </cell>
          <cell r="I774">
            <v>1400</v>
          </cell>
          <cell r="J774">
            <v>175000</v>
          </cell>
          <cell r="K774">
            <v>340</v>
          </cell>
          <cell r="L774">
            <v>4.117647058823529</v>
          </cell>
          <cell r="M774" t="str">
            <v>Und</v>
          </cell>
        </row>
        <row r="775">
          <cell r="A775" t="str">
            <v>401000004</v>
          </cell>
          <cell r="B775">
            <v>5681</v>
          </cell>
          <cell r="C775" t="str">
            <v>BOLSA TRANSPARENTE 7X9X4 KILO</v>
          </cell>
          <cell r="D775" t="str">
            <v>401000004</v>
          </cell>
          <cell r="E775" t="str">
            <v>EMPAQUES PLANTA</v>
          </cell>
          <cell r="F775" t="str">
            <v>1 KILO</v>
          </cell>
          <cell r="G775">
            <v>500</v>
          </cell>
          <cell r="H775" t="str">
            <v>27/01/2020</v>
          </cell>
          <cell r="I775">
            <v>1400</v>
          </cell>
          <cell r="J775">
            <v>105000</v>
          </cell>
          <cell r="K775">
            <v>250</v>
          </cell>
          <cell r="L775">
            <v>5.6</v>
          </cell>
          <cell r="M775" t="str">
            <v>Gramos</v>
          </cell>
        </row>
        <row r="776">
          <cell r="A776" t="str">
            <v>401000005</v>
          </cell>
          <cell r="B776">
            <v>5682</v>
          </cell>
          <cell r="C776" t="str">
            <v>BOLSA TRANSPARENTE 8X10X4 KILO</v>
          </cell>
          <cell r="D776" t="str">
            <v>401000005</v>
          </cell>
          <cell r="E776" t="str">
            <v>EMPAQUES PLANTA</v>
          </cell>
          <cell r="F776" t="str">
            <v>1 KILO</v>
          </cell>
          <cell r="G776">
            <v>500</v>
          </cell>
          <cell r="H776" t="str">
            <v>07/02/2020</v>
          </cell>
          <cell r="I776" t="e">
            <v>#N/A</v>
          </cell>
          <cell r="J776">
            <v>114940</v>
          </cell>
          <cell r="K776">
            <v>196</v>
          </cell>
          <cell r="L776" t="e">
            <v>#N/A</v>
          </cell>
          <cell r="M776" t="str">
            <v>Gramos</v>
          </cell>
        </row>
        <row r="777">
          <cell r="A777" t="str">
            <v>401000006</v>
          </cell>
          <cell r="B777">
            <v>5683</v>
          </cell>
          <cell r="C777" t="str">
            <v>BOLSA TRANSPARENTE 10X12X4 KILO</v>
          </cell>
          <cell r="D777" t="str">
            <v>401000006</v>
          </cell>
          <cell r="E777" t="str">
            <v>EMPAQUES PLANTA</v>
          </cell>
          <cell r="F777" t="str">
            <v>1 KILO</v>
          </cell>
          <cell r="G777">
            <v>500</v>
          </cell>
          <cell r="H777" t="str">
            <v>27/01/2020</v>
          </cell>
          <cell r="I777">
            <v>1400</v>
          </cell>
          <cell r="J777">
            <v>70000</v>
          </cell>
          <cell r="K777">
            <v>126</v>
          </cell>
          <cell r="L777">
            <v>11.111111111111111</v>
          </cell>
          <cell r="M777" t="str">
            <v>Gramos</v>
          </cell>
        </row>
        <row r="778">
          <cell r="A778" t="str">
            <v>503000036</v>
          </cell>
          <cell r="B778">
            <v>14741</v>
          </cell>
          <cell r="C778" t="str">
            <v>BICARBONATO DE SODIO (PAQ:2.5 K)</v>
          </cell>
          <cell r="D778" t="str">
            <v>503000036</v>
          </cell>
          <cell r="E778" t="str">
            <v>MATERIAS PRIMAS PLANTA</v>
          </cell>
          <cell r="F778" t="str">
            <v>1 PAQUETE</v>
          </cell>
          <cell r="G778">
            <v>500</v>
          </cell>
          <cell r="H778" t="str">
            <v>21/03/2020</v>
          </cell>
          <cell r="I778">
            <v>1766.45</v>
          </cell>
          <cell r="J778">
            <v>14131.6</v>
          </cell>
          <cell r="K778">
            <v>2500</v>
          </cell>
          <cell r="L778">
            <v>0.70657999999999999</v>
          </cell>
          <cell r="M778" t="str">
            <v>Gramos</v>
          </cell>
        </row>
        <row r="779">
          <cell r="A779" t="str">
            <v>510000013</v>
          </cell>
          <cell r="B779">
            <v>8045</v>
          </cell>
          <cell r="C779" t="str">
            <v>ORLA 13" C163 (UND)</v>
          </cell>
          <cell r="D779" t="str">
            <v>510000013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17/03/2020</v>
          </cell>
          <cell r="I779">
            <v>230</v>
          </cell>
          <cell r="J779">
            <v>52750</v>
          </cell>
          <cell r="K779">
            <v>1</v>
          </cell>
          <cell r="L779">
            <v>230</v>
          </cell>
        </row>
        <row r="780">
          <cell r="A780" t="str">
            <v>510000014</v>
          </cell>
          <cell r="B780">
            <v>15367</v>
          </cell>
          <cell r="C780" t="str">
            <v>BASE CARTON ALUMINIO REDONDA # 12 (UND)</v>
          </cell>
          <cell r="D780" t="str">
            <v>510000014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28/01/2020</v>
          </cell>
          <cell r="I780" t="e">
            <v>#N/A</v>
          </cell>
          <cell r="J780">
            <v>825000</v>
          </cell>
          <cell r="K780">
            <v>1</v>
          </cell>
          <cell r="L780" t="e">
            <v>#N/A</v>
          </cell>
        </row>
        <row r="781">
          <cell r="A781" t="str">
            <v>510000015</v>
          </cell>
          <cell r="B781">
            <v>15384</v>
          </cell>
          <cell r="C781" t="str">
            <v>BASE RECTAGULAR GRANDE (UND)</v>
          </cell>
          <cell r="D781" t="str">
            <v>510000015</v>
          </cell>
          <cell r="E781" t="str">
            <v>EMPAQUES PLANTA</v>
          </cell>
          <cell r="F781" t="str">
            <v xml:space="preserve">1 UND </v>
          </cell>
          <cell r="G781">
            <v>500</v>
          </cell>
          <cell r="H781" t="str">
            <v>28/01/2020</v>
          </cell>
          <cell r="I781" t="e">
            <v>#N/A</v>
          </cell>
          <cell r="J781">
            <v>330000</v>
          </cell>
          <cell r="K781">
            <v>1</v>
          </cell>
          <cell r="L781" t="e">
            <v>#N/A</v>
          </cell>
          <cell r="M781" t="str">
            <v>Mililitros</v>
          </cell>
        </row>
        <row r="782">
          <cell r="A782" t="str">
            <v>510000016</v>
          </cell>
          <cell r="B782">
            <v>15385</v>
          </cell>
          <cell r="C782" t="str">
            <v>CARTON RECTA PEQ 1/2 QUEQUE CRISTAL(UND)</v>
          </cell>
          <cell r="D782" t="str">
            <v>510000016</v>
          </cell>
          <cell r="E782" t="str">
            <v>EMPAQUES PLANTA</v>
          </cell>
          <cell r="F782" t="str">
            <v>1 UND</v>
          </cell>
          <cell r="G782">
            <v>500</v>
          </cell>
          <cell r="H782" t="str">
            <v>28/01/2020</v>
          </cell>
          <cell r="I782">
            <v>180</v>
          </cell>
          <cell r="J782">
            <v>1080000</v>
          </cell>
          <cell r="K782">
            <v>126</v>
          </cell>
          <cell r="L782" t="e">
            <v>#DIV/0!</v>
          </cell>
          <cell r="M782" t="str">
            <v>Gramos</v>
          </cell>
        </row>
        <row r="783">
          <cell r="A783" t="str">
            <v>512000001</v>
          </cell>
          <cell r="B783">
            <v>5845</v>
          </cell>
          <cell r="C783" t="str">
            <v>PLASTICO P PALETIZAR 18X1500</v>
          </cell>
          <cell r="D783" t="str">
            <v>512000001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12/06/2020</v>
          </cell>
          <cell r="I783">
            <v>4800</v>
          </cell>
          <cell r="J783">
            <v>609600</v>
          </cell>
          <cell r="K783">
            <v>15000</v>
          </cell>
          <cell r="L783">
            <v>0.32</v>
          </cell>
          <cell r="M783" t="str">
            <v>Centimetros</v>
          </cell>
        </row>
        <row r="784">
          <cell r="A784" t="str">
            <v>512000002</v>
          </cell>
          <cell r="B784">
            <v>5846</v>
          </cell>
          <cell r="C784" t="str">
            <v>PLASTICO  AUTOAD (UND: 18 * 2000 M)</v>
          </cell>
          <cell r="D784" t="str">
            <v>51200002</v>
          </cell>
          <cell r="E784" t="str">
            <v>EMPAQUES PLANTA</v>
          </cell>
          <cell r="F784" t="str">
            <v>1 UND</v>
          </cell>
          <cell r="G784">
            <v>500</v>
          </cell>
          <cell r="H784" t="str">
            <v>12/06/2020</v>
          </cell>
          <cell r="I784">
            <v>10972</v>
          </cell>
          <cell r="J784">
            <v>3275242</v>
          </cell>
          <cell r="K784">
            <v>20000</v>
          </cell>
          <cell r="L784">
            <v>0.54859999999999998</v>
          </cell>
          <cell r="M784" t="str">
            <v>Centimetros</v>
          </cell>
        </row>
        <row r="785">
          <cell r="A785" t="str">
            <v>515000012</v>
          </cell>
          <cell r="B785">
            <v>5874</v>
          </cell>
          <cell r="C785" t="str">
            <v>VASO CARTON NESCAFE 8OZ (PAQ:50 UND)</v>
          </cell>
          <cell r="D785" t="str">
            <v>515000012</v>
          </cell>
          <cell r="E785" t="str">
            <v>EMPAQUES PLANTA</v>
          </cell>
          <cell r="F785" t="str">
            <v>1 PAQUETE</v>
          </cell>
          <cell r="G785">
            <v>500</v>
          </cell>
          <cell r="H785" t="str">
            <v>22/02/2020</v>
          </cell>
          <cell r="I785" t="e">
            <v>#N/A</v>
          </cell>
          <cell r="J785">
            <v>6664</v>
          </cell>
          <cell r="K785">
            <v>50</v>
          </cell>
          <cell r="L785" t="e">
            <v>#N/A</v>
          </cell>
          <cell r="M785" t="str">
            <v>Gramos</v>
          </cell>
        </row>
        <row r="786">
          <cell r="A786" t="str">
            <v>516000002</v>
          </cell>
          <cell r="B786">
            <v>8074</v>
          </cell>
          <cell r="C786" t="str">
            <v>LAMINA ACETATO (UND)</v>
          </cell>
          <cell r="D786" t="str">
            <v>516000002</v>
          </cell>
          <cell r="E786" t="str">
            <v>EMPAQUES PLANTA</v>
          </cell>
          <cell r="F786" t="str">
            <v>1 UND</v>
          </cell>
          <cell r="G786">
            <v>500</v>
          </cell>
          <cell r="H786" t="str">
            <v>26/12/2019</v>
          </cell>
          <cell r="I786">
            <v>100</v>
          </cell>
          <cell r="J786">
            <v>930000</v>
          </cell>
          <cell r="K786">
            <v>1</v>
          </cell>
          <cell r="L786">
            <v>100</v>
          </cell>
          <cell r="M786" t="str">
            <v>Gramos</v>
          </cell>
        </row>
        <row r="787">
          <cell r="A787" t="str">
            <v>906000010</v>
          </cell>
          <cell r="B787">
            <v>11228</v>
          </cell>
          <cell r="C787" t="str">
            <v>PREMEZCLA CHOCOMIX (SACO:25k)</v>
          </cell>
          <cell r="D787" t="str">
            <v>906000010</v>
          </cell>
          <cell r="E787" t="str">
            <v>MATERIAS PRIMAS PLANTA</v>
          </cell>
          <cell r="F787" t="str">
            <v>1 SACO</v>
          </cell>
          <cell r="G787">
            <v>500</v>
          </cell>
          <cell r="H787" t="str">
            <v>13/06/2020</v>
          </cell>
          <cell r="I787">
            <v>35505</v>
          </cell>
          <cell r="J787">
            <v>21326625</v>
          </cell>
          <cell r="K787">
            <v>25000</v>
          </cell>
          <cell r="L787" t="e">
            <v>#DIV/0!</v>
          </cell>
          <cell r="M787" t="str">
            <v>Gramos</v>
          </cell>
        </row>
        <row r="788">
          <cell r="A788" t="str">
            <v>403000007</v>
          </cell>
          <cell r="B788">
            <v>5717</v>
          </cell>
          <cell r="C788" t="str">
            <v>GUANTE LATEX CORRIENTE (CAJA:100 UND)</v>
          </cell>
          <cell r="D788" t="str">
            <v>401000002</v>
          </cell>
          <cell r="E788" t="str">
            <v>ASEO</v>
          </cell>
          <cell r="F788" t="str">
            <v>1 CAJA</v>
          </cell>
          <cell r="G788">
            <v>500</v>
          </cell>
          <cell r="H788" t="str">
            <v>04/05/2020</v>
          </cell>
          <cell r="I788">
            <v>4295</v>
          </cell>
          <cell r="J788">
            <v>439600</v>
          </cell>
          <cell r="K788">
            <v>100</v>
          </cell>
          <cell r="L788">
            <v>42.95</v>
          </cell>
          <cell r="M788" t="str">
            <v>Und</v>
          </cell>
        </row>
        <row r="789">
          <cell r="A789" t="str">
            <v>10415</v>
          </cell>
          <cell r="B789">
            <v>5680</v>
          </cell>
          <cell r="C789" t="str">
            <v>AGUA PLANTA</v>
          </cell>
          <cell r="D789" t="str">
            <v>401000003</v>
          </cell>
          <cell r="E789" t="str">
            <v>MATERIAS PRIMAS PLANTA</v>
          </cell>
          <cell r="F789" t="str">
            <v>LITRO</v>
          </cell>
          <cell r="G789">
            <v>500</v>
          </cell>
          <cell r="H789" t="str">
            <v>23/03/2020</v>
          </cell>
          <cell r="I789">
            <v>100</v>
          </cell>
          <cell r="J789">
            <v>175000</v>
          </cell>
          <cell r="K789">
            <v>1000</v>
          </cell>
          <cell r="L789">
            <v>0.1</v>
          </cell>
          <cell r="M789" t="str">
            <v>Mililitros</v>
          </cell>
        </row>
        <row r="790">
          <cell r="A790" t="str">
            <v>10416</v>
          </cell>
          <cell r="B790">
            <v>5681</v>
          </cell>
          <cell r="C790" t="str">
            <v>MANO OBRA</v>
          </cell>
          <cell r="D790" t="str">
            <v>401000004</v>
          </cell>
          <cell r="E790" t="str">
            <v>MANO OBRA</v>
          </cell>
          <cell r="F790" t="str">
            <v>Minuto</v>
          </cell>
          <cell r="G790">
            <v>500</v>
          </cell>
          <cell r="H790" t="str">
            <v>27/01/2020</v>
          </cell>
          <cell r="I790">
            <v>56</v>
          </cell>
          <cell r="J790">
            <v>105000</v>
          </cell>
          <cell r="K790">
            <v>1</v>
          </cell>
          <cell r="L790">
            <v>56</v>
          </cell>
          <cell r="M790" t="str">
            <v>Minutos</v>
          </cell>
        </row>
        <row r="791">
          <cell r="A791" t="str">
            <v>1210415</v>
          </cell>
          <cell r="B791">
            <v>11830</v>
          </cell>
          <cell r="C791" t="str">
            <v>PABILO ROJO</v>
          </cell>
          <cell r="D791" t="str">
            <v>401000005</v>
          </cell>
          <cell r="E791" t="str">
            <v>EMPAQUES PLANTA</v>
          </cell>
          <cell r="F791" t="str">
            <v>UND</v>
          </cell>
          <cell r="G791">
            <v>500</v>
          </cell>
          <cell r="H791" t="str">
            <v>07/02/2020</v>
          </cell>
          <cell r="I791">
            <v>8990</v>
          </cell>
          <cell r="J791">
            <v>114940</v>
          </cell>
          <cell r="K791">
            <v>14000</v>
          </cell>
          <cell r="L791">
            <v>0.64214285714285713</v>
          </cell>
          <cell r="M791" t="str">
            <v>Centimetros</v>
          </cell>
        </row>
        <row r="792">
          <cell r="A792" t="str">
            <v>18406411</v>
          </cell>
          <cell r="B792">
            <v>5683</v>
          </cell>
          <cell r="C792" t="str">
            <v>CLORO 5% MFS (UND:GL)</v>
          </cell>
          <cell r="D792" t="str">
            <v>401000006</v>
          </cell>
          <cell r="E792" t="str">
            <v>MATERIAS PRIMAS PLANTA</v>
          </cell>
          <cell r="F792" t="str">
            <v>1 KILO</v>
          </cell>
          <cell r="G792">
            <v>500</v>
          </cell>
          <cell r="H792" t="str">
            <v>27/01/2020</v>
          </cell>
          <cell r="I792" t="e">
            <v>#N/A</v>
          </cell>
          <cell r="J792">
            <v>70000</v>
          </cell>
          <cell r="K792">
            <v>3785</v>
          </cell>
          <cell r="L792" t="e">
            <v>#N/A</v>
          </cell>
          <cell r="M792" t="str">
            <v>Mililitros</v>
          </cell>
        </row>
        <row r="793">
          <cell r="A793" t="str">
            <v>1010339</v>
          </cell>
          <cell r="B793">
            <v>14741</v>
          </cell>
          <cell r="C793" t="str">
            <v xml:space="preserve">TRIPLE SEC </v>
          </cell>
          <cell r="D793" t="str">
            <v>503000036</v>
          </cell>
          <cell r="E793" t="str">
            <v>MATERIAS PRIMAS PLANTA</v>
          </cell>
          <cell r="F793" t="str">
            <v>UND</v>
          </cell>
          <cell r="G793">
            <v>500</v>
          </cell>
          <cell r="H793" t="str">
            <v>21/03/2020</v>
          </cell>
          <cell r="I793">
            <v>5600</v>
          </cell>
          <cell r="J793">
            <v>14131.6</v>
          </cell>
          <cell r="K793">
            <v>750</v>
          </cell>
          <cell r="L793">
            <v>7.4666666666666668</v>
          </cell>
          <cell r="M793" t="str">
            <v>Mililitros</v>
          </cell>
        </row>
        <row r="794">
          <cell r="A794" t="str">
            <v>10100285</v>
          </cell>
          <cell r="B794">
            <v>8045</v>
          </cell>
          <cell r="C794" t="str">
            <v>MERMELADA DE NARANJA SMUCKER (UND:361 G)</v>
          </cell>
          <cell r="D794" t="str">
            <v>510000013</v>
          </cell>
          <cell r="E794" t="str">
            <v>MATERIAS PRIMAS PLANTA</v>
          </cell>
          <cell r="F794" t="str">
            <v>UND</v>
          </cell>
          <cell r="G794">
            <v>500</v>
          </cell>
          <cell r="H794" t="str">
            <v>17/03/2020</v>
          </cell>
          <cell r="I794">
            <v>2323</v>
          </cell>
          <cell r="J794">
            <v>52750</v>
          </cell>
          <cell r="K794">
            <v>361</v>
          </cell>
          <cell r="L794">
            <v>6.4349030470914128</v>
          </cell>
          <cell r="M794" t="str">
            <v>Gramos</v>
          </cell>
        </row>
        <row r="795">
          <cell r="A795" t="str">
            <v>512316</v>
          </cell>
          <cell r="B795">
            <v>15367</v>
          </cell>
          <cell r="C795" t="str">
            <v>CAFÉ INSTANTANEO (PAQ: 500 G)</v>
          </cell>
          <cell r="D795" t="str">
            <v>510000014</v>
          </cell>
          <cell r="E795" t="str">
            <v>MATERIAS PRIMAS PLANTA</v>
          </cell>
          <cell r="F795" t="str">
            <v>PAQUETE</v>
          </cell>
          <cell r="G795">
            <v>500</v>
          </cell>
          <cell r="H795" t="str">
            <v>28/01/2020</v>
          </cell>
          <cell r="I795">
            <v>8555</v>
          </cell>
          <cell r="J795">
            <v>825000</v>
          </cell>
          <cell r="K795">
            <v>500</v>
          </cell>
          <cell r="L795">
            <v>17.11</v>
          </cell>
          <cell r="M795" t="str">
            <v>Gramos</v>
          </cell>
        </row>
        <row r="796">
          <cell r="A796" t="str">
            <v>510000015</v>
          </cell>
          <cell r="B796">
            <v>15384</v>
          </cell>
          <cell r="C796" t="str">
            <v>BASE RECTAGULAR GRANDE (UND)</v>
          </cell>
          <cell r="D796" t="str">
            <v>510000015</v>
          </cell>
          <cell r="E796" t="str">
            <v>EMPAQUES PLANTA</v>
          </cell>
          <cell r="F796" t="str">
            <v xml:space="preserve">1 UND </v>
          </cell>
          <cell r="G796">
            <v>500</v>
          </cell>
          <cell r="H796" t="str">
            <v>28/01/2020</v>
          </cell>
          <cell r="I796">
            <v>220</v>
          </cell>
          <cell r="J796">
            <v>330000</v>
          </cell>
          <cell r="K796">
            <v>1</v>
          </cell>
          <cell r="L796">
            <v>220</v>
          </cell>
        </row>
        <row r="797">
          <cell r="A797" t="str">
            <v>510000016</v>
          </cell>
          <cell r="B797">
            <v>15385</v>
          </cell>
          <cell r="C797" t="str">
            <v>CARTON RECTA PEQ 1/2 QUEQUE CRISTAL(UND)</v>
          </cell>
          <cell r="D797" t="str">
            <v>510000016</v>
          </cell>
          <cell r="E797" t="str">
            <v>EMPAQUES PLANTA</v>
          </cell>
          <cell r="F797" t="str">
            <v>1 UND</v>
          </cell>
          <cell r="G797">
            <v>500</v>
          </cell>
          <cell r="H797" t="str">
            <v>28/01/2020</v>
          </cell>
          <cell r="I797">
            <v>180</v>
          </cell>
          <cell r="J797">
            <v>1080000</v>
          </cell>
          <cell r="L797" t="e">
            <v>#DIV/0!</v>
          </cell>
        </row>
        <row r="798">
          <cell r="A798" t="str">
            <v>512000001</v>
          </cell>
          <cell r="B798">
            <v>5845</v>
          </cell>
          <cell r="C798" t="str">
            <v>PLASTICO P PALETIZAR 18X1500</v>
          </cell>
          <cell r="D798" t="str">
            <v>512000001</v>
          </cell>
          <cell r="E798" t="str">
            <v>EMPAQUES PLANTA</v>
          </cell>
          <cell r="F798" t="str">
            <v>1 UND</v>
          </cell>
          <cell r="G798">
            <v>500</v>
          </cell>
          <cell r="H798" t="str">
            <v>12/06/2020</v>
          </cell>
          <cell r="I798">
            <v>4800</v>
          </cell>
          <cell r="J798">
            <v>609600</v>
          </cell>
          <cell r="K798">
            <v>15000</v>
          </cell>
          <cell r="L798">
            <v>0.32</v>
          </cell>
          <cell r="M798" t="str">
            <v>Centimetros</v>
          </cell>
        </row>
        <row r="799">
          <cell r="A799" t="str">
            <v>512000002</v>
          </cell>
          <cell r="B799">
            <v>5846</v>
          </cell>
          <cell r="C799" t="str">
            <v>PLASTICO  AUTOAD (UND: 18 * 2000 M)</v>
          </cell>
          <cell r="D799" t="str">
            <v>51200002</v>
          </cell>
          <cell r="E799" t="str">
            <v>EMPAQUES PLANTA</v>
          </cell>
          <cell r="F799" t="str">
            <v>1 UND</v>
          </cell>
          <cell r="G799">
            <v>500</v>
          </cell>
          <cell r="H799" t="str">
            <v>12/06/2020</v>
          </cell>
          <cell r="I799">
            <v>9965</v>
          </cell>
          <cell r="J799">
            <v>3275242</v>
          </cell>
          <cell r="K799">
            <v>20000</v>
          </cell>
          <cell r="L799">
            <v>0.49825000000000003</v>
          </cell>
          <cell r="M799" t="str">
            <v>Centimetros</v>
          </cell>
        </row>
        <row r="800">
          <cell r="A800" t="str">
            <v>515000012</v>
          </cell>
          <cell r="B800">
            <v>5874</v>
          </cell>
          <cell r="C800" t="str">
            <v>VASO CARTON NESCAFE 8OZ (PAQ:50 UND)</v>
          </cell>
          <cell r="D800" t="str">
            <v>515000012</v>
          </cell>
          <cell r="E800" t="str">
            <v>EMPAQUES PLANTA</v>
          </cell>
          <cell r="F800" t="str">
            <v>1 PAQUETE</v>
          </cell>
          <cell r="G800">
            <v>500</v>
          </cell>
          <cell r="H800" t="str">
            <v>22/02/2020</v>
          </cell>
          <cell r="I800">
            <v>1666</v>
          </cell>
          <cell r="J800">
            <v>6664</v>
          </cell>
          <cell r="K800">
            <v>50</v>
          </cell>
          <cell r="L800">
            <v>33.32</v>
          </cell>
        </row>
        <row r="801">
          <cell r="A801" t="str">
            <v>516000002</v>
          </cell>
          <cell r="B801">
            <v>8074</v>
          </cell>
          <cell r="C801" t="str">
            <v>LAMINA ACETATO (UND)</v>
          </cell>
          <cell r="D801" t="str">
            <v>516000002</v>
          </cell>
          <cell r="E801" t="str">
            <v>EMPAQUES PLANTA</v>
          </cell>
          <cell r="F801" t="str">
            <v>1 UND</v>
          </cell>
          <cell r="G801">
            <v>500</v>
          </cell>
          <cell r="H801" t="str">
            <v>26/12/2019</v>
          </cell>
          <cell r="I801">
            <v>155</v>
          </cell>
          <cell r="J801">
            <v>930000</v>
          </cell>
          <cell r="K801">
            <v>1</v>
          </cell>
          <cell r="L801">
            <v>155</v>
          </cell>
          <cell r="M801" t="str">
            <v>Gramos</v>
          </cell>
        </row>
        <row r="802">
          <cell r="A802" t="str">
            <v>906000010</v>
          </cell>
          <cell r="B802">
            <v>11228</v>
          </cell>
          <cell r="C802" t="str">
            <v>PREMEZCLA CHOCOMIX (SACO:25k)</v>
          </cell>
          <cell r="D802" t="str">
            <v>906000010</v>
          </cell>
          <cell r="E802" t="str">
            <v>MATERIAS PRIMAS PLANTA</v>
          </cell>
          <cell r="F802" t="str">
            <v>1 SACO</v>
          </cell>
          <cell r="G802">
            <v>500</v>
          </cell>
          <cell r="H802" t="str">
            <v>13/06/2020</v>
          </cell>
          <cell r="I802">
            <v>33375</v>
          </cell>
          <cell r="J802">
            <v>21326625</v>
          </cell>
          <cell r="K802">
            <v>25000</v>
          </cell>
          <cell r="L802">
            <v>1.335</v>
          </cell>
          <cell r="M802" t="str">
            <v>Gramos</v>
          </cell>
        </row>
        <row r="803">
          <cell r="A803" t="str">
            <v>1020000471</v>
          </cell>
          <cell r="B803">
            <v>15833</v>
          </cell>
          <cell r="C803" t="str">
            <v>AGUA PERRIER (CAJA:24 UND)</v>
          </cell>
          <cell r="D803" t="str">
            <v>1020000471</v>
          </cell>
          <cell r="E803" t="str">
            <v>MATERIAS PRIMAS PLANTA</v>
          </cell>
          <cell r="F803" t="str">
            <v>1 CAJA</v>
          </cell>
          <cell r="G803">
            <v>500</v>
          </cell>
          <cell r="H803" t="str">
            <v>27/01/2020</v>
          </cell>
          <cell r="I803">
            <v>17899.900000000001</v>
          </cell>
          <cell r="J803">
            <v>17899.900000000001</v>
          </cell>
          <cell r="K803">
            <v>250</v>
          </cell>
          <cell r="L803" t="e">
            <v>#DIV/0!</v>
          </cell>
          <cell r="M803" t="str">
            <v>Gramos</v>
          </cell>
        </row>
        <row r="804">
          <cell r="A804" t="str">
            <v>403000007</v>
          </cell>
          <cell r="B804">
            <v>5717</v>
          </cell>
          <cell r="C804" t="str">
            <v>GUANTE LATEX CORRIENTE (CAJA:100 UND)</v>
          </cell>
          <cell r="D804" t="str">
            <v>401000005</v>
          </cell>
          <cell r="E804" t="str">
            <v>ASEO</v>
          </cell>
          <cell r="F804" t="str">
            <v>1 CAJA</v>
          </cell>
          <cell r="G804">
            <v>500</v>
          </cell>
          <cell r="H804" t="str">
            <v>07/02/2020</v>
          </cell>
          <cell r="I804">
            <v>3312</v>
          </cell>
          <cell r="J804">
            <v>114940</v>
          </cell>
          <cell r="K804">
            <v>100</v>
          </cell>
          <cell r="L804">
            <v>33.119999999999997</v>
          </cell>
          <cell r="M804" t="str">
            <v>Und</v>
          </cell>
        </row>
        <row r="805">
          <cell r="A805" t="str">
            <v>10415</v>
          </cell>
          <cell r="B805">
            <v>5683</v>
          </cell>
          <cell r="C805" t="str">
            <v>AGUA PLANTA</v>
          </cell>
          <cell r="D805" t="str">
            <v>401000006</v>
          </cell>
          <cell r="E805" t="str">
            <v>MATERIAS PRIMAS PLANTA</v>
          </cell>
          <cell r="F805" t="str">
            <v>LITRO</v>
          </cell>
          <cell r="G805">
            <v>500</v>
          </cell>
          <cell r="H805" t="str">
            <v>27/01/2020</v>
          </cell>
          <cell r="I805">
            <v>100</v>
          </cell>
          <cell r="J805">
            <v>70000</v>
          </cell>
          <cell r="K805">
            <v>1000</v>
          </cell>
          <cell r="L805">
            <v>0.1</v>
          </cell>
          <cell r="M805" t="str">
            <v>Mililitros</v>
          </cell>
        </row>
        <row r="806">
          <cell r="A806" t="str">
            <v>10416</v>
          </cell>
          <cell r="B806">
            <v>14741</v>
          </cell>
          <cell r="C806" t="str">
            <v>MANO OBRA</v>
          </cell>
          <cell r="D806" t="str">
            <v>503000036</v>
          </cell>
          <cell r="E806" t="str">
            <v>MANO OBRA</v>
          </cell>
          <cell r="F806" t="str">
            <v>Minuto</v>
          </cell>
          <cell r="G806">
            <v>500</v>
          </cell>
          <cell r="H806" t="str">
            <v>21/03/2020</v>
          </cell>
          <cell r="I806">
            <v>55</v>
          </cell>
          <cell r="J806">
            <v>14131.6</v>
          </cell>
          <cell r="K806">
            <v>1</v>
          </cell>
          <cell r="L806">
            <v>55</v>
          </cell>
          <cell r="M806" t="str">
            <v>Minutos</v>
          </cell>
        </row>
        <row r="807">
          <cell r="A807" t="str">
            <v>1210415</v>
          </cell>
          <cell r="B807">
            <v>8045</v>
          </cell>
          <cell r="C807" t="str">
            <v>PABILO ROJO</v>
          </cell>
          <cell r="D807" t="str">
            <v>510000013</v>
          </cell>
          <cell r="E807" t="str">
            <v>EMPAQUES PLANTA</v>
          </cell>
          <cell r="F807" t="str">
            <v>UND</v>
          </cell>
          <cell r="G807">
            <v>500</v>
          </cell>
          <cell r="H807" t="str">
            <v>17/03/2020</v>
          </cell>
          <cell r="I807">
            <v>8990</v>
          </cell>
          <cell r="J807">
            <v>52750</v>
          </cell>
          <cell r="K807">
            <v>14000</v>
          </cell>
          <cell r="L807">
            <v>0.64214285714285713</v>
          </cell>
          <cell r="M807" t="str">
            <v>Centimetros</v>
          </cell>
        </row>
        <row r="808">
          <cell r="A808" t="str">
            <v>18406411</v>
          </cell>
          <cell r="B808">
            <v>15367</v>
          </cell>
          <cell r="C808" t="str">
            <v>CLORO 5% MFS (UND:GL)</v>
          </cell>
          <cell r="D808" t="str">
            <v>510000014</v>
          </cell>
          <cell r="E808" t="str">
            <v>MATERIAS PRIMAS PLANTA</v>
          </cell>
          <cell r="F808" t="str">
            <v>1 UND</v>
          </cell>
          <cell r="G808">
            <v>500</v>
          </cell>
          <cell r="H808" t="str">
            <v>28/01/2020</v>
          </cell>
          <cell r="I808">
            <v>1921</v>
          </cell>
          <cell r="J808">
            <v>825000</v>
          </cell>
          <cell r="K808">
            <v>3785</v>
          </cell>
          <cell r="L808">
            <v>0.50752972258916773</v>
          </cell>
          <cell r="M808" t="str">
            <v>Mililitros</v>
          </cell>
        </row>
        <row r="809">
          <cell r="A809" t="str">
            <v>1010339</v>
          </cell>
          <cell r="B809">
            <v>15384</v>
          </cell>
          <cell r="C809" t="str">
            <v xml:space="preserve">TRIPLE SEC </v>
          </cell>
          <cell r="D809" t="str">
            <v>510000015</v>
          </cell>
          <cell r="E809" t="str">
            <v>MATERIAS PRIMAS PLANTA</v>
          </cell>
          <cell r="F809" t="str">
            <v>UND</v>
          </cell>
          <cell r="G809">
            <v>500</v>
          </cell>
          <cell r="H809" t="str">
            <v>28/01/2020</v>
          </cell>
          <cell r="I809">
            <v>4371.43</v>
          </cell>
          <cell r="J809">
            <v>330000</v>
          </cell>
          <cell r="K809">
            <v>750</v>
          </cell>
          <cell r="L809">
            <v>5.8285733333333338</v>
          </cell>
          <cell r="M809" t="str">
            <v>Mililitros</v>
          </cell>
        </row>
        <row r="810">
          <cell r="A810" t="str">
            <v>1950779</v>
          </cell>
          <cell r="B810">
            <v>15385</v>
          </cell>
          <cell r="C810" t="str">
            <v>QUEQUERA  9" BAJA (CAJA:70 UND)</v>
          </cell>
          <cell r="D810" t="str">
            <v>510000016</v>
          </cell>
          <cell r="E810" t="str">
            <v>EMPAQUES PLANTA</v>
          </cell>
          <cell r="F810" t="str">
            <v>CAJA</v>
          </cell>
          <cell r="G810">
            <v>500</v>
          </cell>
          <cell r="H810" t="str">
            <v>28/01/2020</v>
          </cell>
          <cell r="I810">
            <v>20298</v>
          </cell>
          <cell r="J810">
            <v>1080000</v>
          </cell>
          <cell r="K810">
            <v>70</v>
          </cell>
          <cell r="L810">
            <v>289.97142857142859</v>
          </cell>
          <cell r="M810" t="str">
            <v>Und</v>
          </cell>
        </row>
        <row r="811">
          <cell r="A811" t="str">
            <v>10700041</v>
          </cell>
          <cell r="B811">
            <v>5845</v>
          </cell>
          <cell r="C811" t="str">
            <v>TAPITA TROCEADA (PAQ: 2.5 K)</v>
          </cell>
          <cell r="D811" t="str">
            <v>512000001</v>
          </cell>
          <cell r="E811" t="str">
            <v>MATERIAS PRIMAS PLANTA</v>
          </cell>
          <cell r="F811" t="str">
            <v>PAQUETE</v>
          </cell>
          <cell r="G811">
            <v>500</v>
          </cell>
          <cell r="H811" t="str">
            <v>12/06/2020</v>
          </cell>
          <cell r="I811">
            <v>11233</v>
          </cell>
          <cell r="J811">
            <v>609600</v>
          </cell>
          <cell r="K811">
            <v>2500</v>
          </cell>
          <cell r="L811">
            <v>4.4931999999999999</v>
          </cell>
          <cell r="M811" t="str">
            <v>Gramos</v>
          </cell>
        </row>
        <row r="812">
          <cell r="A812" t="str">
            <v>10100285</v>
          </cell>
          <cell r="B812">
            <v>5846</v>
          </cell>
          <cell r="C812" t="str">
            <v>MERMELADA DE NARANJA SMUCKER (UND:361 G)</v>
          </cell>
          <cell r="D812" t="str">
            <v>51200002</v>
          </cell>
          <cell r="E812" t="str">
            <v>MATERIAS PRIMAS PLANTA</v>
          </cell>
          <cell r="F812" t="str">
            <v>UND</v>
          </cell>
          <cell r="G812">
            <v>500</v>
          </cell>
          <cell r="H812" t="str">
            <v>12/06/2020</v>
          </cell>
          <cell r="I812">
            <v>2323</v>
          </cell>
          <cell r="J812">
            <v>3275242</v>
          </cell>
          <cell r="K812">
            <v>361</v>
          </cell>
          <cell r="L812">
            <v>6.4349030470914128</v>
          </cell>
          <cell r="M812" t="str">
            <v>Gramos</v>
          </cell>
        </row>
        <row r="813">
          <cell r="A813" t="str">
            <v>512316</v>
          </cell>
          <cell r="B813">
            <v>5874</v>
          </cell>
          <cell r="C813" t="str">
            <v>CAFÉ INSTANTANEO (PAQ: 500 G)</v>
          </cell>
          <cell r="D813" t="str">
            <v>515000012</v>
          </cell>
          <cell r="E813" t="str">
            <v>MATERIAS PRIMAS PLANTA</v>
          </cell>
          <cell r="F813" t="str">
            <v>PAQUETE</v>
          </cell>
          <cell r="G813">
            <v>500</v>
          </cell>
          <cell r="H813" t="str">
            <v>22/02/2020</v>
          </cell>
          <cell r="I813">
            <v>8555</v>
          </cell>
          <cell r="J813">
            <v>6664</v>
          </cell>
          <cell r="K813">
            <v>500</v>
          </cell>
          <cell r="L813">
            <v>17.11</v>
          </cell>
          <cell r="M813" t="str">
            <v>Gramos</v>
          </cell>
        </row>
        <row r="814">
          <cell r="A814" t="str">
            <v>516000002</v>
          </cell>
          <cell r="B814">
            <v>8074</v>
          </cell>
          <cell r="C814" t="str">
            <v>LAMINA ACETATO (UND)</v>
          </cell>
          <cell r="D814" t="str">
            <v>516000002</v>
          </cell>
          <cell r="E814" t="str">
            <v>EMPAQUES PLANTA</v>
          </cell>
          <cell r="F814" t="str">
            <v>1 UND</v>
          </cell>
          <cell r="G814">
            <v>500</v>
          </cell>
          <cell r="H814" t="str">
            <v>26/12/2019</v>
          </cell>
          <cell r="I814">
            <v>155</v>
          </cell>
          <cell r="J814">
            <v>930000</v>
          </cell>
          <cell r="K814">
            <v>1</v>
          </cell>
          <cell r="L814">
            <v>155</v>
          </cell>
        </row>
        <row r="815">
          <cell r="A815" t="str">
            <v>906000010</v>
          </cell>
          <cell r="B815">
            <v>11228</v>
          </cell>
          <cell r="C815" t="str">
            <v>PREMEZCLA CHOCOMIX (SACO:25k)</v>
          </cell>
          <cell r="D815" t="str">
            <v>906000010</v>
          </cell>
          <cell r="E815" t="str">
            <v>MATERIAS PRIMAS PLANTA</v>
          </cell>
          <cell r="F815" t="str">
            <v>1 SACO</v>
          </cell>
          <cell r="G815">
            <v>500</v>
          </cell>
          <cell r="H815" t="str">
            <v>13/06/2020</v>
          </cell>
          <cell r="I815">
            <v>33375</v>
          </cell>
          <cell r="J815">
            <v>21326625</v>
          </cell>
          <cell r="K815">
            <v>25000</v>
          </cell>
          <cell r="L815">
            <v>1.335</v>
          </cell>
          <cell r="M815" t="str">
            <v>Gramos</v>
          </cell>
        </row>
        <row r="816">
          <cell r="A816" t="str">
            <v>1020000471</v>
          </cell>
          <cell r="B816">
            <v>15833</v>
          </cell>
          <cell r="C816" t="str">
            <v>AGUA PERRIER (CAJA:24 UND)</v>
          </cell>
          <cell r="D816" t="str">
            <v>1020000471</v>
          </cell>
          <cell r="E816" t="str">
            <v>MATERIAS PRIMAS PLANTA</v>
          </cell>
          <cell r="F816" t="str">
            <v>1 CAJA</v>
          </cell>
          <cell r="G816">
            <v>500</v>
          </cell>
          <cell r="H816" t="str">
            <v>27/01/2020</v>
          </cell>
          <cell r="I816">
            <v>17899.900000000001</v>
          </cell>
          <cell r="J816">
            <v>17899.900000000001</v>
          </cell>
          <cell r="L816" t="e">
            <v>#DIV/0!</v>
          </cell>
        </row>
        <row r="817">
          <cell r="A817" t="str">
            <v>403000007</v>
          </cell>
          <cell r="B817">
            <v>5717</v>
          </cell>
          <cell r="C817" t="str">
            <v>GUANTE LATEX CORRIENTE (CAJA:100 UND)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3312</v>
          </cell>
          <cell r="K817">
            <v>100</v>
          </cell>
          <cell r="L817">
            <v>33.119999999999997</v>
          </cell>
          <cell r="M817" t="str">
            <v>Und</v>
          </cell>
        </row>
        <row r="818">
          <cell r="A818" t="str">
            <v>10415</v>
          </cell>
          <cell r="C818" t="str">
            <v>AGUA PLANTA</v>
          </cell>
          <cell r="E818" t="str">
            <v>MATERIAS PRIMAS PLANTA</v>
          </cell>
          <cell r="F818" t="str">
            <v>LITRO</v>
          </cell>
          <cell r="I818">
            <v>100</v>
          </cell>
          <cell r="K818">
            <v>1000</v>
          </cell>
          <cell r="L818">
            <v>0.1</v>
          </cell>
          <cell r="M818" t="str">
            <v>Mililitros</v>
          </cell>
        </row>
        <row r="819">
          <cell r="A819" t="str">
            <v>10416</v>
          </cell>
          <cell r="C819" t="str">
            <v>MANO OBRA</v>
          </cell>
          <cell r="E819" t="str">
            <v>MANO OBRA</v>
          </cell>
          <cell r="F819" t="str">
            <v>Minuto</v>
          </cell>
          <cell r="I819">
            <v>55</v>
          </cell>
          <cell r="K819">
            <v>1</v>
          </cell>
          <cell r="L819">
            <v>55</v>
          </cell>
          <cell r="M819" t="str">
            <v>Minutos</v>
          </cell>
        </row>
        <row r="820">
          <cell r="A820" t="str">
            <v>1210415</v>
          </cell>
          <cell r="C820" t="str">
            <v>PABILO ROJO</v>
          </cell>
          <cell r="E820" t="str">
            <v>EMPAQUES PLANTA</v>
          </cell>
          <cell r="F820" t="str">
            <v>UND</v>
          </cell>
          <cell r="I820">
            <v>8990</v>
          </cell>
          <cell r="K820">
            <v>14000</v>
          </cell>
          <cell r="L820">
            <v>0.64214285714285713</v>
          </cell>
          <cell r="M820" t="str">
            <v>Centimetros</v>
          </cell>
        </row>
        <row r="821">
          <cell r="A821" t="str">
            <v>18406411</v>
          </cell>
          <cell r="C821" t="str">
            <v>CLORO 5% MFS (UND:GL)</v>
          </cell>
          <cell r="E821" t="str">
            <v>MATERIAS PRIMAS PLANTA</v>
          </cell>
          <cell r="I821">
            <v>1921</v>
          </cell>
          <cell r="K821">
            <v>3785</v>
          </cell>
          <cell r="L821">
            <v>0.50752972258916773</v>
          </cell>
          <cell r="M821" t="str">
            <v>Mililitros</v>
          </cell>
        </row>
        <row r="822">
          <cell r="A822" t="str">
            <v>1010339</v>
          </cell>
          <cell r="C822" t="str">
            <v xml:space="preserve">TRIPLE SEC </v>
          </cell>
          <cell r="E822" t="str">
            <v>MATERIAS PRIMAS PLANTA</v>
          </cell>
          <cell r="F822" t="str">
            <v>UND</v>
          </cell>
          <cell r="I822">
            <v>4371.43</v>
          </cell>
          <cell r="K822">
            <v>750</v>
          </cell>
          <cell r="L822">
            <v>5.8285733333333338</v>
          </cell>
          <cell r="M822" t="str">
            <v>Mililitros</v>
          </cell>
        </row>
        <row r="823">
          <cell r="A823" t="str">
            <v>1950779</v>
          </cell>
          <cell r="C823" t="str">
            <v>QUEQUERA  9" BAJA (CAJA:70 UND)</v>
          </cell>
          <cell r="E823" t="str">
            <v>EMPAQUES PLANTA</v>
          </cell>
          <cell r="F823" t="str">
            <v>CAJA</v>
          </cell>
          <cell r="I823">
            <v>20298</v>
          </cell>
          <cell r="K823">
            <v>70</v>
          </cell>
          <cell r="L823">
            <v>289.97142857142859</v>
          </cell>
          <cell r="M823" t="str">
            <v>Und</v>
          </cell>
        </row>
      </sheetData>
      <sheetData sheetId="1"/>
      <sheetData sheetId="2" refreshError="1">
        <row r="2">
          <cell r="A2" t="str">
            <v>906000102</v>
          </cell>
          <cell r="B2" t="str">
            <v>PREMEZ CHOCOLATE PILLS PLANTA KILO</v>
          </cell>
          <cell r="C2" t="str">
            <v xml:space="preserve">ESP-RE-PRES-030 </v>
          </cell>
          <cell r="D2" t="str">
            <v>02</v>
          </cell>
          <cell r="E2" t="str">
            <v>Kilo</v>
          </cell>
          <cell r="F2" t="str">
            <v>Gramo</v>
          </cell>
          <cell r="G2">
            <v>25491.79</v>
          </cell>
          <cell r="H2">
            <v>25.491790000000002</v>
          </cell>
          <cell r="I2">
            <v>69.567999999999998</v>
          </cell>
          <cell r="J2">
            <v>6.9567999999999991E-2</v>
          </cell>
          <cell r="K2">
            <v>4601.0444399999997</v>
          </cell>
          <cell r="L2">
            <v>4.6010444399999999</v>
          </cell>
          <cell r="M2">
            <v>30162.402439999998</v>
          </cell>
        </row>
        <row r="3">
          <cell r="A3" t="str">
            <v>902000013</v>
          </cell>
          <cell r="B3" t="str">
            <v>BATIDO CHOCOLATE PILLSBURY KILO</v>
          </cell>
          <cell r="C3" t="str">
            <v>ESP-RE-BAS-028</v>
          </cell>
          <cell r="D3" t="str">
            <v>04</v>
          </cell>
          <cell r="E3" t="str">
            <v>Kilo</v>
          </cell>
          <cell r="F3" t="str">
            <v>Gramo</v>
          </cell>
          <cell r="G3">
            <v>1465.41766084135</v>
          </cell>
          <cell r="H3">
            <v>1.4654176608413501</v>
          </cell>
          <cell r="I3">
            <v>7.8611839999999988E-2</v>
          </cell>
          <cell r="J3">
            <v>7.8611839999999988E-5</v>
          </cell>
          <cell r="K3">
            <v>263.78932908264295</v>
          </cell>
          <cell r="L3">
            <v>0.26378932908264296</v>
          </cell>
          <cell r="M3">
            <v>1729.2856017639929</v>
          </cell>
        </row>
        <row r="4">
          <cell r="A4" t="str">
            <v>902000019</v>
          </cell>
          <cell r="B4" t="str">
            <v>MEZCLA P/ENGRASE MOLDES KILO</v>
          </cell>
          <cell r="C4" t="str">
            <v>ESP-RE-BAS-006</v>
          </cell>
          <cell r="D4" t="str">
            <v>04</v>
          </cell>
          <cell r="E4" t="str">
            <v>Kilo</v>
          </cell>
          <cell r="F4" t="str">
            <v>Gramo</v>
          </cell>
          <cell r="G4">
            <v>858.80201342281885</v>
          </cell>
          <cell r="H4">
            <v>0.85880201342281881</v>
          </cell>
          <cell r="I4">
            <v>14.72991</v>
          </cell>
          <cell r="J4">
            <v>1.4729910000000001E-2</v>
          </cell>
          <cell r="K4">
            <v>157.2357462161074</v>
          </cell>
          <cell r="L4">
            <v>0.15723574621610739</v>
          </cell>
          <cell r="M4">
            <v>1030.7676696389262</v>
          </cell>
        </row>
        <row r="5">
          <cell r="A5" t="str">
            <v>95113</v>
          </cell>
          <cell r="B5" t="str">
            <v>ROSQUETE CHOCOLATE PILLS 530g</v>
          </cell>
          <cell r="C5" t="str">
            <v>ESP-RE-BAS-051</v>
          </cell>
          <cell r="D5" t="str">
            <v>05</v>
          </cell>
          <cell r="E5" t="str">
            <v>Und</v>
          </cell>
          <cell r="F5" t="str">
            <v>Und</v>
          </cell>
          <cell r="G5">
            <v>795.11509615197895</v>
          </cell>
          <cell r="H5">
            <v>795.11509615197895</v>
          </cell>
          <cell r="I5">
            <v>5.2503956865037704</v>
          </cell>
          <cell r="J5">
            <v>5.2503956865037704</v>
          </cell>
          <cell r="K5">
            <v>144.06578853092688</v>
          </cell>
          <cell r="L5">
            <v>144.06578853092688</v>
          </cell>
          <cell r="M5">
            <v>944.43128036940959</v>
          </cell>
        </row>
        <row r="6">
          <cell r="A6" t="str">
            <v>95555</v>
          </cell>
          <cell r="B6" t="str">
            <v>BASE PREMEZCLA PASTA CHILENA KILO</v>
          </cell>
          <cell r="C6" t="str">
            <v>ESP-RE-PRES-014</v>
          </cell>
          <cell r="D6" t="str">
            <v>13</v>
          </cell>
          <cell r="E6" t="str">
            <v>Kilo</v>
          </cell>
          <cell r="F6" t="str">
            <v>Gramo</v>
          </cell>
          <cell r="G6">
            <v>906.64104428000019</v>
          </cell>
          <cell r="H6">
            <v>0.90664104428000014</v>
          </cell>
          <cell r="I6">
            <v>3.0527142857142859</v>
          </cell>
          <cell r="J6">
            <v>3.0527142857142858E-3</v>
          </cell>
          <cell r="K6">
            <v>163.7448765418286</v>
          </cell>
          <cell r="L6">
            <v>0.16374487654182859</v>
          </cell>
          <cell r="M6">
            <v>1073.4386351075432</v>
          </cell>
        </row>
        <row r="7">
          <cell r="A7" t="str">
            <v>906000035</v>
          </cell>
          <cell r="B7" t="str">
            <v>PASTA TORTA CHILENA SPOON KILO</v>
          </cell>
          <cell r="C7" t="str">
            <v>ESP-RE-PAPS-020</v>
          </cell>
          <cell r="D7" t="str">
            <v>04</v>
          </cell>
          <cell r="E7" t="str">
            <v>Kilo</v>
          </cell>
          <cell r="F7" t="str">
            <v>Gramo</v>
          </cell>
          <cell r="G7">
            <v>915.3538647155309</v>
          </cell>
          <cell r="H7">
            <v>0.91535386471553093</v>
          </cell>
          <cell r="I7">
            <v>3.0820508700000002</v>
          </cell>
          <cell r="J7">
            <v>3.0820508700000002E-3</v>
          </cell>
          <cell r="K7">
            <v>165.31846480539556</v>
          </cell>
          <cell r="L7">
            <v>0.16531846480539555</v>
          </cell>
          <cell r="M7">
            <v>1083.7543803909264</v>
          </cell>
        </row>
        <row r="8">
          <cell r="A8" t="str">
            <v>906000002</v>
          </cell>
          <cell r="B8" t="str">
            <v>CORTE GALLETA CHILENA GRANDE (UND)</v>
          </cell>
          <cell r="C8" t="str">
            <v>ESP-RE-PAPS-003</v>
          </cell>
          <cell r="D8" t="str">
            <v>03</v>
          </cell>
          <cell r="E8" t="str">
            <v>Und</v>
          </cell>
          <cell r="F8" t="str">
            <v>Und</v>
          </cell>
          <cell r="G8">
            <v>132.24313527432093</v>
          </cell>
          <cell r="H8">
            <v>132.24313527432093</v>
          </cell>
          <cell r="I8">
            <v>0.4623563564671429</v>
          </cell>
          <cell r="J8">
            <v>0.4623563564671429</v>
          </cell>
          <cell r="K8">
            <v>23.886988493541857</v>
          </cell>
          <cell r="L8">
            <v>23.886988493541857</v>
          </cell>
          <cell r="M8">
            <v>156.59248012432994</v>
          </cell>
        </row>
        <row r="9">
          <cell r="A9" t="str">
            <v>903000023</v>
          </cell>
          <cell r="B9" t="str">
            <v>ROSQUETE CHOCOLATE PILLSBURY (280g)</v>
          </cell>
          <cell r="C9" t="str">
            <v>ESP-RE-BAS-033</v>
          </cell>
          <cell r="D9" t="str">
            <v>03</v>
          </cell>
          <cell r="E9" t="str">
            <v>Und</v>
          </cell>
          <cell r="F9" t="str">
            <v>Und</v>
          </cell>
          <cell r="G9">
            <v>418.43896389269946</v>
          </cell>
          <cell r="H9">
            <v>418.43896389269946</v>
          </cell>
          <cell r="I9">
            <v>0.1830292121696</v>
          </cell>
          <cell r="J9">
            <v>0.1830292121696</v>
          </cell>
          <cell r="K9">
            <v>75.351958758876421</v>
          </cell>
          <cell r="L9">
            <v>75.351958758876421</v>
          </cell>
          <cell r="M9">
            <v>493.97395186374547</v>
          </cell>
        </row>
        <row r="10">
          <cell r="A10" t="str">
            <v>90100131</v>
          </cell>
          <cell r="B10" t="str">
            <v>AZUCAR BLANCO INDUSTRIAL KILO</v>
          </cell>
          <cell r="C10" t="str">
            <v>ESP-RE-PRES-105</v>
          </cell>
          <cell r="D10" t="str">
            <v>01</v>
          </cell>
          <cell r="E10" t="str">
            <v>Kilo</v>
          </cell>
          <cell r="F10" t="str">
            <v>Gramo</v>
          </cell>
          <cell r="G10">
            <v>390.34000000000003</v>
          </cell>
          <cell r="H10">
            <v>0.39034000000000002</v>
          </cell>
          <cell r="I10">
            <v>25.354331428571431</v>
          </cell>
          <cell r="J10">
            <v>2.5354331428571433E-2</v>
          </cell>
          <cell r="K10">
            <v>74.824979657142862</v>
          </cell>
          <cell r="L10">
            <v>7.4824979657142868E-2</v>
          </cell>
          <cell r="M10">
            <v>490.51931108571432</v>
          </cell>
        </row>
        <row r="11">
          <cell r="A11" t="str">
            <v>901000015</v>
          </cell>
          <cell r="B11" t="str">
            <v>PREMEZCLA SUSPIRO CLARAS DESHID KILO</v>
          </cell>
          <cell r="C11" t="str">
            <v>ESP-RE-PRES-015</v>
          </cell>
          <cell r="D11" t="str">
            <v>08</v>
          </cell>
          <cell r="E11" t="str">
            <v>Kilo</v>
          </cell>
          <cell r="F11" t="str">
            <v>Gramo</v>
          </cell>
          <cell r="G11">
            <v>1688.2704241249573</v>
          </cell>
          <cell r="H11">
            <v>1.6882704241249573</v>
          </cell>
          <cell r="I11">
            <v>1.3420000000000001</v>
          </cell>
          <cell r="J11">
            <v>1.3420000000000001E-3</v>
          </cell>
          <cell r="K11">
            <v>304.13023634249231</v>
          </cell>
          <cell r="L11">
            <v>0.30413023634249231</v>
          </cell>
          <cell r="M11">
            <v>1993.7426604674497</v>
          </cell>
        </row>
        <row r="12">
          <cell r="A12" t="str">
            <v>95718</v>
          </cell>
          <cell r="B12" t="str">
            <v>CREMA CHANTILLY CHOCO SPOON KILO</v>
          </cell>
          <cell r="C12" t="str">
            <v xml:space="preserve">ESP-RE-DES-037 </v>
          </cell>
          <cell r="D12" t="str">
            <v>10</v>
          </cell>
          <cell r="E12" t="str">
            <v>Kilo</v>
          </cell>
          <cell r="F12" t="str">
            <v>Gramo</v>
          </cell>
          <cell r="G12">
            <v>2171.9948418848167</v>
          </cell>
          <cell r="H12">
            <v>2.1719948418848167</v>
          </cell>
          <cell r="I12">
            <v>8.5120000000000001E-2</v>
          </cell>
          <cell r="J12">
            <v>8.5119999999999998E-5</v>
          </cell>
          <cell r="K12">
            <v>390.97439313926702</v>
          </cell>
          <cell r="L12">
            <v>0.39097439313926702</v>
          </cell>
          <cell r="M12">
            <v>2563.0543550240836</v>
          </cell>
        </row>
        <row r="13">
          <cell r="A13" t="str">
            <v>908000036</v>
          </cell>
          <cell r="B13" t="str">
            <v>JUGO LIMON LITRO</v>
          </cell>
          <cell r="C13" t="str">
            <v>ESP-RE-COFS-071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420.53139764999997</v>
          </cell>
          <cell r="H13">
            <v>0.42053139764999997</v>
          </cell>
          <cell r="I13">
            <v>4.1554479999999998</v>
          </cell>
          <cell r="J13">
            <v>4.155448E-3</v>
          </cell>
          <cell r="K13">
            <v>76.443632216999987</v>
          </cell>
          <cell r="L13">
            <v>7.6443632216999985E-2</v>
          </cell>
          <cell r="M13">
            <v>501.13047786699997</v>
          </cell>
        </row>
        <row r="14">
          <cell r="A14" t="str">
            <v>902000021</v>
          </cell>
          <cell r="B14" t="str">
            <v>MERENGUE P/SUSPIRO DESHIDRATADO KILO</v>
          </cell>
          <cell r="C14" t="str">
            <v>ESP-RE-BAS-046</v>
          </cell>
          <cell r="D14" t="str">
            <v>05</v>
          </cell>
          <cell r="E14" t="str">
            <v>Kilo</v>
          </cell>
          <cell r="F14" t="str">
            <v>Gramo</v>
          </cell>
          <cell r="G14">
            <v>1345.1395457777778</v>
          </cell>
          <cell r="H14">
            <v>1.3451395457777777</v>
          </cell>
          <cell r="I14">
            <v>1.0462828444444445</v>
          </cell>
          <cell r="J14">
            <v>1.0462828444444444E-3</v>
          </cell>
          <cell r="K14">
            <v>242.313449152</v>
          </cell>
          <cell r="L14">
            <v>0.24231344915200001</v>
          </cell>
          <cell r="M14">
            <v>1588.4992777742223</v>
          </cell>
        </row>
        <row r="15">
          <cell r="A15" t="str">
            <v>90100285</v>
          </cell>
          <cell r="B15" t="str">
            <v>RELLENO DE FRESA  PLANTA KILO</v>
          </cell>
          <cell r="C15" t="str">
            <v>ESP-RE-COCS-094</v>
          </cell>
          <cell r="D15" t="str">
            <v>03</v>
          </cell>
          <cell r="E15" t="str">
            <v>Kilo</v>
          </cell>
          <cell r="F15" t="str">
            <v>Gramo</v>
          </cell>
          <cell r="G15">
            <v>1571.4991453974792</v>
          </cell>
          <cell r="H15">
            <v>1.5714991453974791</v>
          </cell>
          <cell r="I15">
            <v>5.9616853161485732</v>
          </cell>
          <cell r="J15">
            <v>5.961685316148573E-3</v>
          </cell>
          <cell r="K15">
            <v>283.94294952845297</v>
          </cell>
          <cell r="L15">
            <v>0.28394294952845295</v>
          </cell>
          <cell r="M15">
            <v>1861.4037802420808</v>
          </cell>
        </row>
        <row r="16">
          <cell r="A16" t="str">
            <v>907000203</v>
          </cell>
          <cell r="B16" t="str">
            <v>SUSPIRO BANDEJA KILO</v>
          </cell>
          <cell r="C16" t="str">
            <v>ESP-RE-BAS-114</v>
          </cell>
          <cell r="D16" t="str">
            <v>01</v>
          </cell>
          <cell r="E16" t="str">
            <v>Kilo</v>
          </cell>
          <cell r="F16" t="str">
            <v>Gramo</v>
          </cell>
          <cell r="G16">
            <v>1432.8666661481855</v>
          </cell>
          <cell r="H16">
            <v>1.4328666661481855</v>
          </cell>
          <cell r="I16">
            <v>1.5906555290622222</v>
          </cell>
          <cell r="J16">
            <v>1.5906555290622223E-3</v>
          </cell>
          <cell r="K16">
            <v>258.20231790190456</v>
          </cell>
          <cell r="L16">
            <v>0.25820231790190457</v>
          </cell>
          <cell r="M16">
            <v>1692.6596395791521</v>
          </cell>
        </row>
        <row r="17">
          <cell r="A17" t="str">
            <v>909000037</v>
          </cell>
          <cell r="B17" t="str">
            <v xml:space="preserve">SUSPIRO BANDEJA EMPAQ </v>
          </cell>
          <cell r="C17" t="str">
            <v>ESP-RE-BAS-115</v>
          </cell>
          <cell r="D17" t="str">
            <v>01</v>
          </cell>
          <cell r="E17" t="str">
            <v>Kilo</v>
          </cell>
          <cell r="F17" t="str">
            <v>Gramo</v>
          </cell>
          <cell r="G17">
            <v>1432.8666661481855</v>
          </cell>
          <cell r="H17">
            <v>1.4328666661481855</v>
          </cell>
          <cell r="I17">
            <v>10.970724100490793</v>
          </cell>
          <cell r="J17">
            <v>1.0970724100490794E-2</v>
          </cell>
          <cell r="K17">
            <v>259.8907302447617</v>
          </cell>
          <cell r="L17">
            <v>0.25989073024476173</v>
          </cell>
          <cell r="M17">
            <v>1703.7281204934379</v>
          </cell>
        </row>
        <row r="18">
          <cell r="A18" t="str">
            <v>20100116</v>
          </cell>
          <cell r="B18" t="str">
            <v>EMPAQUE RELLENO DE FRESA  KILO</v>
          </cell>
          <cell r="C18" t="str">
            <v>ESP-RE-EMPS-194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1571.4991453974792</v>
          </cell>
          <cell r="H18">
            <v>1.5714991453974791</v>
          </cell>
          <cell r="I18">
            <v>13.260542459005716</v>
          </cell>
          <cell r="J18">
            <v>1.3260542459005716E-2</v>
          </cell>
          <cell r="K18">
            <v>285.25674381416729</v>
          </cell>
          <cell r="L18">
            <v>0.28525674381416727</v>
          </cell>
          <cell r="M18">
            <v>1870.0164316706523</v>
          </cell>
        </row>
        <row r="19">
          <cell r="A19" t="str">
            <v>904000002</v>
          </cell>
          <cell r="B19" t="str">
            <v>SALSA FRESA KILO</v>
          </cell>
          <cell r="C19" t="str">
            <v>ESP-RE-DES-108</v>
          </cell>
          <cell r="D19" t="str">
            <v>05</v>
          </cell>
          <cell r="E19" t="str">
            <v>Kilo</v>
          </cell>
          <cell r="F19" t="str">
            <v>Gramo</v>
          </cell>
          <cell r="G19">
            <v>1678.4986433954573</v>
          </cell>
          <cell r="H19">
            <v>1.6784986433954574</v>
          </cell>
          <cell r="I19">
            <v>13.958444808623188</v>
          </cell>
          <cell r="J19">
            <v>1.3958444808623188E-2</v>
          </cell>
          <cell r="K19">
            <v>304.64227587673446</v>
          </cell>
          <cell r="L19">
            <v>0.30464227587673448</v>
          </cell>
          <cell r="M19">
            <v>1997.0993640808149</v>
          </cell>
        </row>
        <row r="20">
          <cell r="A20" t="str">
            <v>902000066</v>
          </cell>
          <cell r="B20" t="str">
            <v>SUSPIRO QUEBRADO KILO</v>
          </cell>
          <cell r="C20" t="str">
            <v>ESP-RE-DES-109</v>
          </cell>
          <cell r="D20" t="str">
            <v>01</v>
          </cell>
          <cell r="E20" t="str">
            <v>Kilo</v>
          </cell>
          <cell r="F20" t="str">
            <v>Gramo</v>
          </cell>
          <cell r="G20">
            <v>1432.8666661481855</v>
          </cell>
          <cell r="H20">
            <v>1.4328666661481855</v>
          </cell>
          <cell r="I20">
            <v>10.970724100490793</v>
          </cell>
          <cell r="J20">
            <v>1.0970724100490794E-2</v>
          </cell>
          <cell r="K20">
            <v>259.8907302447617</v>
          </cell>
          <cell r="L20">
            <v>0.25989073024476173</v>
          </cell>
          <cell r="M20">
            <v>1703.7281204934379</v>
          </cell>
        </row>
        <row r="21">
          <cell r="A21" t="str">
            <v>95805</v>
          </cell>
          <cell r="B21" t="str">
            <v>ROSQUETE CHOCOLATE SPOON RED  (400g)</v>
          </cell>
          <cell r="C21" t="str">
            <v>ESP-RE-BAS-029</v>
          </cell>
          <cell r="D21" t="str">
            <v>05</v>
          </cell>
          <cell r="E21" t="str">
            <v>Und</v>
          </cell>
          <cell r="F21" t="str">
            <v>Und</v>
          </cell>
          <cell r="G21">
            <v>600.85074301071529</v>
          </cell>
          <cell r="H21">
            <v>600.85074301071529</v>
          </cell>
          <cell r="I21">
            <v>0.27907903046479998</v>
          </cell>
          <cell r="J21">
            <v>0.27907903046479998</v>
          </cell>
          <cell r="K21">
            <v>108.20336796741242</v>
          </cell>
          <cell r="L21">
            <v>108.20336796741242</v>
          </cell>
          <cell r="M21">
            <v>709.33319000859251</v>
          </cell>
        </row>
        <row r="22">
          <cell r="A22" t="str">
            <v>907000259</v>
          </cell>
          <cell r="B22" t="str">
            <v>ROSQUETE CHOCOLATE PASTELERO REAL 600 g</v>
          </cell>
          <cell r="C22">
            <v>0</v>
          </cell>
          <cell r="D22" t="str">
            <v>01</v>
          </cell>
          <cell r="E22" t="str">
            <v>Und</v>
          </cell>
          <cell r="F22" t="str">
            <v>Und</v>
          </cell>
          <cell r="G22">
            <v>700.0332620307172</v>
          </cell>
          <cell r="H22">
            <v>700.0332620307172</v>
          </cell>
          <cell r="I22">
            <v>12.859545896989289</v>
          </cell>
          <cell r="J22">
            <v>12.859545896989289</v>
          </cell>
          <cell r="K22">
            <v>128.32070542698716</v>
          </cell>
          <cell r="L22">
            <v>128.32070542698716</v>
          </cell>
          <cell r="M22">
            <v>841.21351335469365</v>
          </cell>
        </row>
        <row r="23">
          <cell r="A23" t="str">
            <v>905000001</v>
          </cell>
          <cell r="B23" t="str">
            <v>BATIDO RELL P/TORTA CHOCOFRESA KILO</v>
          </cell>
          <cell r="C23" t="str">
            <v>ESP-RE-BAS-003</v>
          </cell>
          <cell r="D23" t="str">
            <v>09</v>
          </cell>
          <cell r="E23" t="str">
            <v>Kilo</v>
          </cell>
          <cell r="F23" t="str">
            <v>Gramo</v>
          </cell>
          <cell r="G23">
            <v>2564.6508015602835</v>
          </cell>
          <cell r="H23">
            <v>2.5646508015602834</v>
          </cell>
          <cell r="I23">
            <v>9.2376534954407283</v>
          </cell>
          <cell r="J23">
            <v>9.2376534954407286E-3</v>
          </cell>
          <cell r="K23">
            <v>463.29992191003032</v>
          </cell>
          <cell r="L23">
            <v>0.46329992191003033</v>
          </cell>
          <cell r="M23">
            <v>3037.1883769657543</v>
          </cell>
        </row>
        <row r="24">
          <cell r="A24" t="str">
            <v>95453</v>
          </cell>
          <cell r="B24" t="str">
            <v>COCCION SALSA BLANCA SPOON KILO</v>
          </cell>
          <cell r="C24" t="str">
            <v>ESP-RE-COCS-024</v>
          </cell>
          <cell r="D24" t="str">
            <v>13</v>
          </cell>
          <cell r="E24" t="str">
            <v>Kilo</v>
          </cell>
          <cell r="F24" t="str">
            <v>Gramo</v>
          </cell>
          <cell r="G24">
            <v>1528.6816502565746</v>
          </cell>
          <cell r="H24">
            <v>1.5286816502565745</v>
          </cell>
          <cell r="I24">
            <v>0.57668800000000009</v>
          </cell>
          <cell r="J24">
            <v>5.7668800000000011E-4</v>
          </cell>
          <cell r="K24">
            <v>275.26650088618345</v>
          </cell>
          <cell r="L24">
            <v>0.27526650088618343</v>
          </cell>
          <cell r="M24">
            <v>1804.5248391427581</v>
          </cell>
        </row>
        <row r="25">
          <cell r="A25" t="str">
            <v>901000199</v>
          </cell>
          <cell r="B25" t="str">
            <v>EMPAQUE SALSA BLANCA SPOON KILO</v>
          </cell>
          <cell r="C25" t="str">
            <v xml:space="preserve">ESP-RE-EMPS-013 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1528.6816502565746</v>
          </cell>
          <cell r="H25">
            <v>1.5286816502565745</v>
          </cell>
          <cell r="I25">
            <v>8.1851451428571416</v>
          </cell>
          <cell r="J25">
            <v>8.1851451428571424E-3</v>
          </cell>
          <cell r="K25">
            <v>276.6360231718977</v>
          </cell>
          <cell r="L25">
            <v>0.27663602317189773</v>
          </cell>
          <cell r="M25">
            <v>1813.5028185713295</v>
          </cell>
        </row>
        <row r="26">
          <cell r="A26" t="str">
            <v>901000167</v>
          </cell>
          <cell r="B26" t="str">
            <v>POLLO RECORTE COCCION KILO</v>
          </cell>
          <cell r="C26" t="str">
            <v>ESP-RE-COCS-069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4036.5767299578056</v>
          </cell>
          <cell r="H26">
            <v>4.0365767299578055</v>
          </cell>
          <cell r="I26">
            <v>16.606962025316456</v>
          </cell>
          <cell r="J26">
            <v>1.6606962025316457E-2</v>
          </cell>
          <cell r="K26">
            <v>729.57306455696198</v>
          </cell>
          <cell r="L26">
            <v>0.72957306455696203</v>
          </cell>
          <cell r="M26">
            <v>4782.7567565400841</v>
          </cell>
        </row>
        <row r="27">
          <cell r="A27" t="str">
            <v>909000020</v>
          </cell>
          <cell r="B27" t="str">
            <v>EMPAQ POLLO RECORTE KILO</v>
          </cell>
          <cell r="C27" t="str">
            <v xml:space="preserve">ESP-RE-EMPS-066 </v>
          </cell>
          <cell r="D27" t="str">
            <v>01</v>
          </cell>
          <cell r="E27" t="str">
            <v>Kilo</v>
          </cell>
          <cell r="F27" t="str">
            <v>Gramo</v>
          </cell>
          <cell r="G27">
            <v>4036.5767299578056</v>
          </cell>
          <cell r="H27">
            <v>4.0365767299578055</v>
          </cell>
          <cell r="I27">
            <v>32.8054191681736</v>
          </cell>
          <cell r="J27">
            <v>3.2805419168173602E-2</v>
          </cell>
          <cell r="K27">
            <v>732.48878684267618</v>
          </cell>
          <cell r="L27">
            <v>0.73248878684267615</v>
          </cell>
          <cell r="M27">
            <v>4801.8709359686554</v>
          </cell>
        </row>
        <row r="28">
          <cell r="A28" t="str">
            <v>90100129</v>
          </cell>
          <cell r="B28" t="str">
            <v>EMPAQUE ALMIDON MODIFICADO KILO</v>
          </cell>
          <cell r="C28" t="str">
            <v>ESP-RE-PRES-096</v>
          </cell>
          <cell r="D28" t="str">
            <v>01</v>
          </cell>
          <cell r="E28" t="str">
            <v>Kilo</v>
          </cell>
          <cell r="F28" t="str">
            <v>Gramo</v>
          </cell>
          <cell r="G28">
            <v>1232.1200000000001</v>
          </cell>
          <cell r="H28">
            <v>1.2321200000000001</v>
          </cell>
          <cell r="I28">
            <v>7.5684571428571434</v>
          </cell>
          <cell r="J28">
            <v>7.5684571428571434E-3</v>
          </cell>
          <cell r="K28">
            <v>223.1439222857143</v>
          </cell>
          <cell r="L28">
            <v>0.22314392228571431</v>
          </cell>
          <cell r="M28">
            <v>1462.8323794285716</v>
          </cell>
        </row>
        <row r="29">
          <cell r="A29" t="str">
            <v>95717</v>
          </cell>
          <cell r="B29" t="str">
            <v>CREMA CHANTILLY BLANCA SPOON-IND KILO</v>
          </cell>
          <cell r="C29" t="str">
            <v xml:space="preserve">ESP-RE-DES-036 </v>
          </cell>
          <cell r="D29" t="str">
            <v>08</v>
          </cell>
          <cell r="E29" t="str">
            <v>Kilo</v>
          </cell>
          <cell r="F29" t="str">
            <v>Gramo</v>
          </cell>
          <cell r="G29">
            <v>1875.402733173077</v>
          </cell>
          <cell r="H29">
            <v>1.8754027331730769</v>
          </cell>
          <cell r="I29">
            <v>2.7884615384615379E-2</v>
          </cell>
          <cell r="J29">
            <v>2.7884615384615379E-5</v>
          </cell>
          <cell r="K29">
            <v>337.57751120192307</v>
          </cell>
          <cell r="L29">
            <v>0.33757751120192309</v>
          </cell>
          <cell r="M29">
            <v>2213.0081289903846</v>
          </cell>
        </row>
        <row r="30">
          <cell r="A30" t="str">
            <v>90100286</v>
          </cell>
          <cell r="B30" t="str">
            <v>TOPPING MELOCOTON PLANTA KILO</v>
          </cell>
          <cell r="C30" t="str">
            <v>ESP-RE-COCS-304</v>
          </cell>
          <cell r="D30" t="str">
            <v>02</v>
          </cell>
          <cell r="E30" t="str">
            <v>Kilo</v>
          </cell>
          <cell r="F30" t="str">
            <v>Gramo</v>
          </cell>
          <cell r="G30">
            <v>1593.0374000738313</v>
          </cell>
          <cell r="H30">
            <v>1.5930374000738314</v>
          </cell>
          <cell r="I30">
            <v>7.4431822897142874</v>
          </cell>
          <cell r="J30">
            <v>7.4431822897142877E-3</v>
          </cell>
          <cell r="K30">
            <v>288.08650482543823</v>
          </cell>
          <cell r="L30">
            <v>0.28808650482543824</v>
          </cell>
          <cell r="M30">
            <v>1888.5670871889838</v>
          </cell>
        </row>
        <row r="31">
          <cell r="A31" t="str">
            <v>90100319</v>
          </cell>
          <cell r="B31" t="str">
            <v>RAGU A LA BOLOGNESA</v>
          </cell>
          <cell r="C31">
            <v>0</v>
          </cell>
          <cell r="D31" t="str">
            <v>01</v>
          </cell>
          <cell r="E31" t="str">
            <v>Kilo</v>
          </cell>
          <cell r="F31" t="str">
            <v>Gramo</v>
          </cell>
          <cell r="G31">
            <v>3923.1276843199998</v>
          </cell>
          <cell r="H31">
            <v>3.9231276843199998</v>
          </cell>
          <cell r="I31">
            <v>1.9750944000000006E-2</v>
          </cell>
          <cell r="J31">
            <v>1.9750944000000008E-5</v>
          </cell>
          <cell r="K31">
            <v>706.16653834751992</v>
          </cell>
          <cell r="L31">
            <v>0.70616653834751997</v>
          </cell>
          <cell r="M31">
            <v>4629.3139736115199</v>
          </cell>
        </row>
        <row r="32">
          <cell r="A32" t="str">
            <v>20100117</v>
          </cell>
          <cell r="B32" t="str">
            <v>EMPAQUE TOPING MELO KILO</v>
          </cell>
          <cell r="C32" t="str">
            <v>ESP-RE-EMPS-197</v>
          </cell>
          <cell r="D32" t="str">
            <v>01</v>
          </cell>
          <cell r="E32" t="str">
            <v>Kilo</v>
          </cell>
          <cell r="F32" t="str">
            <v>Gramo</v>
          </cell>
          <cell r="G32">
            <v>1593.0374000738313</v>
          </cell>
          <cell r="H32">
            <v>1.5930374000738314</v>
          </cell>
          <cell r="I32">
            <v>13.833182289714285</v>
          </cell>
          <cell r="J32">
            <v>1.3833182289714285E-2</v>
          </cell>
          <cell r="K32">
            <v>289.23670482543821</v>
          </cell>
          <cell r="L32">
            <v>0.28923670482543823</v>
          </cell>
          <cell r="M32">
            <v>1896.1072871889839</v>
          </cell>
        </row>
        <row r="33">
          <cell r="A33" t="str">
            <v>20500039</v>
          </cell>
          <cell r="B33" t="str">
            <v>EMPAQUE RELLENO MELO CON TOPING KILO</v>
          </cell>
          <cell r="C33" t="str">
            <v xml:space="preserve">ESP-RE-POS-199  </v>
          </cell>
          <cell r="D33" t="str">
            <v>02</v>
          </cell>
          <cell r="E33" t="str">
            <v>Kilo</v>
          </cell>
          <cell r="F33" t="str">
            <v>Gramo</v>
          </cell>
          <cell r="G33">
            <v>2864.1182771565104</v>
          </cell>
          <cell r="H33">
            <v>2.8641182771565106</v>
          </cell>
          <cell r="I33">
            <v>2.9821618449499545</v>
          </cell>
          <cell r="J33">
            <v>2.9821618449499547E-3</v>
          </cell>
          <cell r="K33">
            <v>516.07807902026286</v>
          </cell>
          <cell r="L33">
            <v>0.51607807902026281</v>
          </cell>
          <cell r="M33">
            <v>3383.1785180217234</v>
          </cell>
        </row>
        <row r="34">
          <cell r="A34" t="str">
            <v>908000021</v>
          </cell>
          <cell r="B34" t="str">
            <v>ALMIBAR KILO</v>
          </cell>
          <cell r="C34" t="str">
            <v>ESP-RE-COCS-034</v>
          </cell>
          <cell r="D34" t="str">
            <v>09</v>
          </cell>
          <cell r="E34" t="str">
            <v>Kilo</v>
          </cell>
          <cell r="F34" t="str">
            <v>Gramo</v>
          </cell>
          <cell r="G34">
            <v>330.31513790000002</v>
          </cell>
          <cell r="H34">
            <v>0.3303151379</v>
          </cell>
          <cell r="I34">
            <v>7.0111079999999992</v>
          </cell>
          <cell r="J34">
            <v>7.0111079999999994E-3</v>
          </cell>
          <cell r="K34">
            <v>60.718724261999995</v>
          </cell>
          <cell r="L34">
            <v>6.0718724261999993E-2</v>
          </cell>
          <cell r="M34">
            <v>398.04497016200003</v>
          </cell>
        </row>
        <row r="35">
          <cell r="A35" t="str">
            <v>902000009</v>
          </cell>
          <cell r="B35" t="str">
            <v>BATIDO MELOCOTON FROM SCRATCH KILO</v>
          </cell>
          <cell r="C35" t="str">
            <v>ESP-RE-BAS-014</v>
          </cell>
          <cell r="D35" t="str">
            <v>04</v>
          </cell>
          <cell r="E35" t="str">
            <v>Kilo</v>
          </cell>
          <cell r="F35" t="str">
            <v>Gramo</v>
          </cell>
          <cell r="G35">
            <v>1187.2471031323023</v>
          </cell>
          <cell r="H35">
            <v>1.1872471031323022</v>
          </cell>
          <cell r="I35">
            <v>0</v>
          </cell>
          <cell r="J35">
            <v>0</v>
          </cell>
          <cell r="K35">
            <v>213.7044785638144</v>
          </cell>
          <cell r="L35">
            <v>0.21370447856381442</v>
          </cell>
          <cell r="M35">
            <v>1400.9515816961166</v>
          </cell>
        </row>
        <row r="36">
          <cell r="A36" t="str">
            <v>901000020</v>
          </cell>
          <cell r="B36" t="str">
            <v>PREMEZCLA P/GALLETA FIGURA</v>
          </cell>
          <cell r="C36" t="str">
            <v xml:space="preserve">ESP-RE-PRES-020 </v>
          </cell>
          <cell r="D36" t="str">
            <v>09</v>
          </cell>
          <cell r="E36" t="str">
            <v>Kilo</v>
          </cell>
          <cell r="F36" t="str">
            <v>Gramo</v>
          </cell>
          <cell r="G36">
            <v>951.92384247258633</v>
          </cell>
          <cell r="H36">
            <v>0.95192384247258632</v>
          </cell>
          <cell r="I36">
            <v>1.9885999999999999</v>
          </cell>
          <cell r="J36">
            <v>1.9886000000000001E-3</v>
          </cell>
          <cell r="K36">
            <v>171.70423964506554</v>
          </cell>
          <cell r="L36">
            <v>0.17170423964506554</v>
          </cell>
          <cell r="M36">
            <v>1125.6166821176519</v>
          </cell>
        </row>
        <row r="37">
          <cell r="A37" t="str">
            <v>95613</v>
          </cell>
          <cell r="B37" t="str">
            <v>BASE PREMEZCLA P/PASTA ALFAJOR KILO</v>
          </cell>
          <cell r="C37" t="str">
            <v xml:space="preserve">ESP-RE-PRES-003 </v>
          </cell>
          <cell r="D37" t="str">
            <v>09</v>
          </cell>
          <cell r="E37" t="str">
            <v>Kilo</v>
          </cell>
          <cell r="F37" t="str">
            <v>Gramo</v>
          </cell>
          <cell r="G37">
            <v>947.14392800000019</v>
          </cell>
          <cell r="H37">
            <v>0.94714392800000013</v>
          </cell>
          <cell r="I37">
            <v>3.7022857142857144</v>
          </cell>
          <cell r="J37">
            <v>3.7022857142857144E-3</v>
          </cell>
          <cell r="K37">
            <v>171.15231846857145</v>
          </cell>
          <cell r="L37">
            <v>0.17115231846857146</v>
          </cell>
          <cell r="M37">
            <v>1121.9985321828574</v>
          </cell>
        </row>
        <row r="38">
          <cell r="A38" t="str">
            <v>905000026</v>
          </cell>
          <cell r="B38" t="str">
            <v>RELLENO P/PIE LIMON (KILO)</v>
          </cell>
          <cell r="C38" t="str">
            <v>ESP-RE-POS-029</v>
          </cell>
          <cell r="D38" t="str">
            <v>06</v>
          </cell>
          <cell r="E38" t="str">
            <v>Kilo</v>
          </cell>
          <cell r="F38" t="str">
            <v>Gramo</v>
          </cell>
          <cell r="G38">
            <v>1705.1220937636363</v>
          </cell>
          <cell r="H38">
            <v>1.7051220937636362</v>
          </cell>
          <cell r="I38">
            <v>0</v>
          </cell>
          <cell r="J38">
            <v>0</v>
          </cell>
          <cell r="K38">
            <v>306.92197687745454</v>
          </cell>
          <cell r="L38">
            <v>0.30692197687745454</v>
          </cell>
          <cell r="M38">
            <v>2012.0440706410909</v>
          </cell>
        </row>
        <row r="39">
          <cell r="A39" t="str">
            <v>902000085</v>
          </cell>
          <cell r="B39" t="str">
            <v>RELLENO DE LIMON SPOON KILO</v>
          </cell>
          <cell r="C39" t="str">
            <v>ESP-RE-POS-054</v>
          </cell>
          <cell r="D39" t="str">
            <v>02</v>
          </cell>
          <cell r="E39" t="str">
            <v>Kilo</v>
          </cell>
          <cell r="F39" t="str">
            <v>Gramo</v>
          </cell>
          <cell r="G39">
            <v>1797.4820086666666</v>
          </cell>
          <cell r="H39">
            <v>1.7974820086666665</v>
          </cell>
          <cell r="I39">
            <v>2.5266999999999999</v>
          </cell>
          <cell r="J39">
            <v>2.5266999999999998E-3</v>
          </cell>
          <cell r="K39">
            <v>324.00156755999996</v>
          </cell>
          <cell r="L39">
            <v>0.32400156755999998</v>
          </cell>
          <cell r="M39">
            <v>2124.0102762266665</v>
          </cell>
        </row>
        <row r="40">
          <cell r="A40" t="str">
            <v>903000082</v>
          </cell>
          <cell r="B40" t="str">
            <v>PASTA ALFAJOR Y CHILENA BUCCA KILO</v>
          </cell>
          <cell r="C40" t="str">
            <v>ESP-RE-PAPS-043</v>
          </cell>
          <cell r="D40" t="str">
            <v>03</v>
          </cell>
          <cell r="E40" t="str">
            <v>Kilo</v>
          </cell>
          <cell r="F40" t="str">
            <v>Gramo</v>
          </cell>
          <cell r="G40">
            <v>944.10736731150814</v>
          </cell>
          <cell r="H40">
            <v>0.94410736731150813</v>
          </cell>
          <cell r="I40">
            <v>3.6862744453574363</v>
          </cell>
          <cell r="J40">
            <v>3.6862744453574365E-3</v>
          </cell>
          <cell r="K40">
            <v>170.60285551623579</v>
          </cell>
          <cell r="L40">
            <v>0.1706028555162358</v>
          </cell>
          <cell r="M40">
            <v>1118.3964972731014</v>
          </cell>
        </row>
        <row r="41">
          <cell r="A41" t="str">
            <v>906000036</v>
          </cell>
          <cell r="B41" t="str">
            <v>PASTA GALLETA FIGURA KILO</v>
          </cell>
          <cell r="C41" t="str">
            <v>ESP-RE-PAPS-021</v>
          </cell>
          <cell r="D41" t="str">
            <v>02</v>
          </cell>
          <cell r="E41" t="str">
            <v>Kilo</v>
          </cell>
          <cell r="F41" t="str">
            <v>Gramo</v>
          </cell>
          <cell r="G41">
            <v>1677.6568960071461</v>
          </cell>
          <cell r="H41">
            <v>1.6776568960071461</v>
          </cell>
          <cell r="I41">
            <v>13.108924675039248</v>
          </cell>
          <cell r="J41">
            <v>1.3108924675039248E-2</v>
          </cell>
          <cell r="K41">
            <v>304.33784772279336</v>
          </cell>
          <cell r="L41">
            <v>0.30433784772279338</v>
          </cell>
          <cell r="M41">
            <v>1995.1036684049786</v>
          </cell>
        </row>
        <row r="42">
          <cell r="A42" t="str">
            <v>95832</v>
          </cell>
          <cell r="B42" t="str">
            <v>CORTE GALLETAS P/CAFE (UND)</v>
          </cell>
          <cell r="C42" t="str">
            <v>ESP-RE-PAPS-030</v>
          </cell>
          <cell r="D42" t="str">
            <v>05</v>
          </cell>
          <cell r="E42" t="str">
            <v>Und</v>
          </cell>
          <cell r="F42" t="str">
            <v>Und</v>
          </cell>
          <cell r="G42">
            <v>12.061747160938911</v>
          </cell>
          <cell r="H42">
            <v>12.061747160938911</v>
          </cell>
          <cell r="I42">
            <v>9.1762472725274741E-2</v>
          </cell>
          <cell r="J42">
            <v>9.1762472725274741E-2</v>
          </cell>
          <cell r="K42">
            <v>2.1876317340595532</v>
          </cell>
          <cell r="L42">
            <v>2.1876317340595532</v>
          </cell>
          <cell r="M42">
            <v>14.34114136772374</v>
          </cell>
        </row>
        <row r="43">
          <cell r="A43" t="str">
            <v>906000012</v>
          </cell>
          <cell r="B43" t="str">
            <v>CORTE GALLETA ALFAJOR MED (UND)</v>
          </cell>
          <cell r="C43" t="str">
            <v>ESP-RE-PAPS-016</v>
          </cell>
          <cell r="D43" t="str">
            <v>02</v>
          </cell>
          <cell r="E43" t="str">
            <v>Und</v>
          </cell>
          <cell r="F43" t="str">
            <v>Und</v>
          </cell>
          <cell r="G43">
            <v>15.15777460262346</v>
          </cell>
          <cell r="H43">
            <v>15.15777460262346</v>
          </cell>
          <cell r="I43">
            <v>6.4910504070639488E-2</v>
          </cell>
          <cell r="J43">
            <v>6.4910504070639488E-2</v>
          </cell>
          <cell r="K43">
            <v>2.7400833192049379</v>
          </cell>
          <cell r="L43">
            <v>2.7400833192049379</v>
          </cell>
          <cell r="M43">
            <v>17.962768425899036</v>
          </cell>
        </row>
        <row r="44">
          <cell r="A44" t="str">
            <v>907000002</v>
          </cell>
          <cell r="B44" t="str">
            <v>BASE GALLETA P/CHEESE CAKE (KILO)</v>
          </cell>
          <cell r="C44" t="str">
            <v>ESP-RE-POS-031</v>
          </cell>
          <cell r="D44" t="str">
            <v>08</v>
          </cell>
          <cell r="E44" t="str">
            <v>Kilo</v>
          </cell>
          <cell r="F44" t="str">
            <v>Gramo</v>
          </cell>
          <cell r="G44">
            <v>2165.9031032403282</v>
          </cell>
          <cell r="H44">
            <v>2.165903103240328</v>
          </cell>
          <cell r="I44">
            <v>1.2093006606132826</v>
          </cell>
          <cell r="J44">
            <v>1.2093006606132826E-3</v>
          </cell>
          <cell r="K44">
            <v>390.08023270216944</v>
          </cell>
          <cell r="L44">
            <v>0.39008023270216946</v>
          </cell>
          <cell r="M44">
            <v>2557.1926366031107</v>
          </cell>
        </row>
        <row r="45">
          <cell r="A45" t="str">
            <v>901000081</v>
          </cell>
          <cell r="B45" t="str">
            <v>ADOBO PECHUGA PARRILLA KILO</v>
          </cell>
          <cell r="C45" t="str">
            <v>ESP-RE-COCS-052</v>
          </cell>
          <cell r="D45" t="str">
            <v>10</v>
          </cell>
          <cell r="E45" t="str">
            <v>Kilo</v>
          </cell>
          <cell r="F45" t="str">
            <v>Gramo</v>
          </cell>
          <cell r="G45">
            <v>3131.6250376155754</v>
          </cell>
          <cell r="H45">
            <v>3.1316250376155752</v>
          </cell>
          <cell r="I45">
            <v>6.1641011561397097</v>
          </cell>
          <cell r="J45">
            <v>6.1641011561397096E-3</v>
          </cell>
          <cell r="K45">
            <v>564.80204497890873</v>
          </cell>
          <cell r="L45">
            <v>0.56480204497890873</v>
          </cell>
          <cell r="M45">
            <v>3702.5911837506237</v>
          </cell>
        </row>
        <row r="46">
          <cell r="A46" t="str">
            <v>95610</v>
          </cell>
          <cell r="B46" t="str">
            <v>BASE PREMEZCLA ZANAHORIA/PIÑA KILO</v>
          </cell>
          <cell r="C46" t="str">
            <v xml:space="preserve">ESP-RE-PRES-012 </v>
          </cell>
          <cell r="D46" t="str">
            <v>17</v>
          </cell>
          <cell r="E46" t="str">
            <v>Kilo</v>
          </cell>
          <cell r="F46" t="str">
            <v>Gramo</v>
          </cell>
          <cell r="G46">
            <v>1145.0543024964591</v>
          </cell>
          <cell r="H46">
            <v>1.145054302496459</v>
          </cell>
          <cell r="I46">
            <v>0</v>
          </cell>
          <cell r="J46">
            <v>0</v>
          </cell>
          <cell r="K46">
            <v>206.10977444936262</v>
          </cell>
          <cell r="L46">
            <v>0.20610977444936263</v>
          </cell>
          <cell r="M46">
            <v>1351.1640769458218</v>
          </cell>
        </row>
        <row r="47">
          <cell r="A47" t="str">
            <v>905000028</v>
          </cell>
          <cell r="B47" t="str">
            <v>RELLENO QUESO P/TORTA ZANAHORIA KILO</v>
          </cell>
          <cell r="C47" t="str">
            <v xml:space="preserve">ESP-RE-POS-035 </v>
          </cell>
          <cell r="D47" t="str">
            <v>13</v>
          </cell>
          <cell r="E47" t="str">
            <v>Kilo</v>
          </cell>
          <cell r="F47" t="str">
            <v>Gramo</v>
          </cell>
          <cell r="G47" t="e">
            <v>#N/A</v>
          </cell>
          <cell r="H47" t="e">
            <v>#N/A</v>
          </cell>
          <cell r="I47">
            <v>0</v>
          </cell>
          <cell r="J47">
            <v>0</v>
          </cell>
          <cell r="K47" t="e">
            <v>#N/A</v>
          </cell>
          <cell r="L47" t="e">
            <v>#N/A</v>
          </cell>
          <cell r="M47" t="e">
            <v>#N/A</v>
          </cell>
        </row>
        <row r="48">
          <cell r="A48" t="str">
            <v>96344</v>
          </cell>
          <cell r="B48" t="str">
            <v>CREMA DULCE LECHE KILO</v>
          </cell>
          <cell r="C48" t="str">
            <v xml:space="preserve">ESP-RE-DES-040 </v>
          </cell>
          <cell r="D48" t="str">
            <v>03</v>
          </cell>
          <cell r="E48" t="str">
            <v>Kilo</v>
          </cell>
          <cell r="F48" t="str">
            <v>Gramo</v>
          </cell>
          <cell r="G48">
            <v>2201.8293624489793</v>
          </cell>
          <cell r="H48">
            <v>2.2018293624489793</v>
          </cell>
          <cell r="I48">
            <v>8.5120000000000001E-2</v>
          </cell>
          <cell r="J48">
            <v>8.5119999999999998E-5</v>
          </cell>
          <cell r="K48">
            <v>396.34460684081631</v>
          </cell>
          <cell r="L48">
            <v>0.39634460684081629</v>
          </cell>
          <cell r="M48">
            <v>2598.2590892897956</v>
          </cell>
        </row>
        <row r="49">
          <cell r="A49" t="str">
            <v>910000011</v>
          </cell>
          <cell r="B49" t="str">
            <v>BORONA P/DECORAR KILO</v>
          </cell>
          <cell r="C49" t="str">
            <v xml:space="preserve">ESP-RE-DES-032 </v>
          </cell>
          <cell r="D49" t="str">
            <v>01</v>
          </cell>
          <cell r="E49" t="str">
            <v>Kilo</v>
          </cell>
          <cell r="F49" t="str">
            <v>Gramo</v>
          </cell>
          <cell r="G49">
            <v>1848.9667657884854</v>
          </cell>
          <cell r="H49">
            <v>1.8489667657884854</v>
          </cell>
          <cell r="I49">
            <v>40.56089606010751</v>
          </cell>
          <cell r="J49">
            <v>4.0560896060107508E-2</v>
          </cell>
          <cell r="K49">
            <v>340.11497913274673</v>
          </cell>
          <cell r="L49">
            <v>0.34011497913274674</v>
          </cell>
          <cell r="M49">
            <v>2229.6426409813398</v>
          </cell>
        </row>
        <row r="50">
          <cell r="A50" t="str">
            <v>902000015</v>
          </cell>
          <cell r="B50" t="str">
            <v>BATIDO ZANAHORIA CON PIÑA (KILO)</v>
          </cell>
          <cell r="C50" t="str">
            <v>ESP-RE-BAS-038</v>
          </cell>
          <cell r="D50" t="str">
            <v>09</v>
          </cell>
          <cell r="E50" t="str">
            <v>Kilo</v>
          </cell>
          <cell r="F50" t="str">
            <v>Gramo</v>
          </cell>
          <cell r="G50">
            <v>1789.0081859191432</v>
          </cell>
          <cell r="H50">
            <v>1.7890081859191431</v>
          </cell>
          <cell r="I50">
            <v>0</v>
          </cell>
          <cell r="J50">
            <v>0</v>
          </cell>
          <cell r="K50">
            <v>322.02147346544575</v>
          </cell>
          <cell r="L50">
            <v>0.32202147346544574</v>
          </cell>
          <cell r="M50">
            <v>2111.0296593845887</v>
          </cell>
        </row>
        <row r="51">
          <cell r="A51" t="str">
            <v>903000001</v>
          </cell>
          <cell r="B51" t="str">
            <v xml:space="preserve">ROSQUETE ZANAHORIA/PIÑA 450g </v>
          </cell>
          <cell r="C51" t="str">
            <v>ESP-RE-BAS-001</v>
          </cell>
          <cell r="D51" t="str">
            <v>09</v>
          </cell>
          <cell r="E51" t="str">
            <v>Und</v>
          </cell>
          <cell r="F51" t="str">
            <v>Und</v>
          </cell>
          <cell r="G51">
            <v>850.13760658916988</v>
          </cell>
          <cell r="H51">
            <v>850.13760658916988</v>
          </cell>
          <cell r="I51">
            <v>0.1903076391304348</v>
          </cell>
          <cell r="J51">
            <v>0.1903076391304348</v>
          </cell>
          <cell r="K51">
            <v>153.05902456109405</v>
          </cell>
          <cell r="L51">
            <v>153.05902456109405</v>
          </cell>
          <cell r="M51">
            <v>1003.3869387893943</v>
          </cell>
        </row>
        <row r="52">
          <cell r="A52" t="str">
            <v>907000233</v>
          </cell>
          <cell r="B52" t="str">
            <v>ROSQUETE MELOCOTON PERSONAL 180 g</v>
          </cell>
          <cell r="C52" t="str">
            <v xml:space="preserve">ESP-RE-BAS-130 </v>
          </cell>
          <cell r="D52" t="str">
            <v>01</v>
          </cell>
          <cell r="E52" t="str">
            <v>Und</v>
          </cell>
          <cell r="F52" t="str">
            <v>Und</v>
          </cell>
          <cell r="G52">
            <v>228.58490834464379</v>
          </cell>
          <cell r="H52">
            <v>228.58490834464379</v>
          </cell>
          <cell r="I52">
            <v>0.18629910000000002</v>
          </cell>
          <cell r="J52">
            <v>0.18629910000000002</v>
          </cell>
          <cell r="K52">
            <v>41.178817340035884</v>
          </cell>
          <cell r="L52">
            <v>41.178817340035884</v>
          </cell>
          <cell r="M52">
            <v>269.95002478467967</v>
          </cell>
        </row>
        <row r="53">
          <cell r="A53" t="str">
            <v>905000094</v>
          </cell>
          <cell r="B53" t="str">
            <v xml:space="preserve">MEDIA TORTA DE CHOCOLATE </v>
          </cell>
          <cell r="C53" t="str">
            <v>ESP-RE-DES-116</v>
          </cell>
          <cell r="D53" t="str">
            <v>02</v>
          </cell>
          <cell r="E53" t="str">
            <v>Und</v>
          </cell>
          <cell r="F53" t="str">
            <v>Und</v>
          </cell>
          <cell r="G53">
            <v>1137.8974332250955</v>
          </cell>
          <cell r="H53">
            <v>1137.8974332250955</v>
          </cell>
          <cell r="I53">
            <v>3.9377967648778278</v>
          </cell>
          <cell r="J53">
            <v>3.9377967648778278</v>
          </cell>
          <cell r="K53">
            <v>205.53034139819522</v>
          </cell>
          <cell r="L53">
            <v>205.53034139819522</v>
          </cell>
          <cell r="M53">
            <v>1347.3655713881685</v>
          </cell>
        </row>
        <row r="54">
          <cell r="A54" t="str">
            <v>905000095</v>
          </cell>
          <cell r="B54" t="str">
            <v xml:space="preserve">MEDIA TORTA DE MELOCOTON </v>
          </cell>
          <cell r="C54" t="str">
            <v>ESP-RE-DES-117</v>
          </cell>
          <cell r="D54" t="str">
            <v>03</v>
          </cell>
          <cell r="E54" t="str">
            <v>Und</v>
          </cell>
          <cell r="F54" t="str">
            <v>Und</v>
          </cell>
          <cell r="G54">
            <v>1165.7715950409997</v>
          </cell>
          <cell r="H54">
            <v>1165.7715950409997</v>
          </cell>
          <cell r="I54">
            <v>5.033799369984469</v>
          </cell>
          <cell r="J54">
            <v>5.033799369984469</v>
          </cell>
          <cell r="K54">
            <v>210.74497099397715</v>
          </cell>
          <cell r="L54">
            <v>210.74497099397715</v>
          </cell>
          <cell r="M54">
            <v>1381.5503654049614</v>
          </cell>
        </row>
        <row r="55">
          <cell r="A55" t="str">
            <v>901000033</v>
          </cell>
          <cell r="B55" t="str">
            <v>PREMEZCLA SUPER ESPONJA CARAMELO KILO</v>
          </cell>
          <cell r="C55" t="str">
            <v xml:space="preserve">ESP-RE-PRES-034 </v>
          </cell>
          <cell r="D55" t="str">
            <v>05</v>
          </cell>
          <cell r="E55" t="str">
            <v>Kilo</v>
          </cell>
          <cell r="F55" t="str">
            <v>Gramo</v>
          </cell>
          <cell r="G55">
            <v>4813.616</v>
          </cell>
          <cell r="H55">
            <v>4.8136159999999997</v>
          </cell>
          <cell r="I55">
            <v>36.582167664670656</v>
          </cell>
          <cell r="J55">
            <v>3.6582167664670658E-2</v>
          </cell>
          <cell r="K55">
            <v>873.03567017964076</v>
          </cell>
          <cell r="L55">
            <v>0.87303567017964079</v>
          </cell>
          <cell r="M55">
            <v>5723.2338378443119</v>
          </cell>
        </row>
        <row r="56">
          <cell r="A56" t="str">
            <v>907000001</v>
          </cell>
          <cell r="B56" t="str">
            <v>MEZCLA TRES LECHES PASTEURIZADA KILO</v>
          </cell>
          <cell r="C56" t="str">
            <v>ESP-RE-POS-072</v>
          </cell>
          <cell r="D56" t="str">
            <v>13</v>
          </cell>
          <cell r="E56" t="str">
            <v>Kilo</v>
          </cell>
          <cell r="F56" t="str">
            <v>Gramo</v>
          </cell>
          <cell r="G56">
            <v>1666.6491776035218</v>
          </cell>
          <cell r="H56">
            <v>1.6666491776035217</v>
          </cell>
          <cell r="I56">
            <v>0.59836222171428588</v>
          </cell>
          <cell r="J56">
            <v>5.9836222171428589E-4</v>
          </cell>
          <cell r="K56">
            <v>300.1045571685425</v>
          </cell>
          <cell r="L56">
            <v>0.30010455716854251</v>
          </cell>
          <cell r="M56">
            <v>1967.3520969937786</v>
          </cell>
        </row>
        <row r="57">
          <cell r="A57" t="str">
            <v>907000003</v>
          </cell>
          <cell r="B57" t="str">
            <v>CREMA BLANCA CON MANJAR KILO</v>
          </cell>
          <cell r="C57" t="str">
            <v>ESP-RE-DES-039</v>
          </cell>
          <cell r="D57" t="str">
            <v>06</v>
          </cell>
          <cell r="E57" t="str">
            <v>Kilo</v>
          </cell>
          <cell r="F57" t="str">
            <v>Gramo</v>
          </cell>
          <cell r="G57">
            <v>2175.9960904761901</v>
          </cell>
          <cell r="H57">
            <v>2.1759960904761901</v>
          </cell>
          <cell r="I57">
            <v>2.726E-2</v>
          </cell>
          <cell r="J57">
            <v>2.726E-5</v>
          </cell>
          <cell r="K57">
            <v>391.68420308571416</v>
          </cell>
          <cell r="L57">
            <v>0.39168420308571417</v>
          </cell>
          <cell r="M57">
            <v>2567.7075535619042</v>
          </cell>
        </row>
        <row r="58">
          <cell r="A58" t="str">
            <v>907000061</v>
          </cell>
          <cell r="B58" t="str">
            <v>BATIDO SUPER ESPONJA CARAMELO KILO</v>
          </cell>
          <cell r="C58" t="str">
            <v>ESP-RE-BAS-080</v>
          </cell>
          <cell r="D58" t="str">
            <v>05</v>
          </cell>
          <cell r="E58" t="str">
            <v>Kilo</v>
          </cell>
          <cell r="F58" t="str">
            <v>Gramo</v>
          </cell>
          <cell r="G58">
            <v>1539.4991299367618</v>
          </cell>
          <cell r="H58">
            <v>1.5394991299367617</v>
          </cell>
          <cell r="I58">
            <v>0.11130476977080322</v>
          </cell>
          <cell r="J58">
            <v>1.1130476977080323E-4</v>
          </cell>
          <cell r="K58">
            <v>277.1298782471759</v>
          </cell>
          <cell r="L58">
            <v>0.27712987824717589</v>
          </cell>
          <cell r="M58">
            <v>1816.7403129537086</v>
          </cell>
        </row>
        <row r="59">
          <cell r="A59" t="str">
            <v>907000052</v>
          </cell>
          <cell r="B59" t="str">
            <v xml:space="preserve">ROSQUETE ESPONJA CARAMELO 380G </v>
          </cell>
          <cell r="C59" t="str">
            <v>ESP-RE-BAS-105</v>
          </cell>
          <cell r="D59" t="str">
            <v>03</v>
          </cell>
          <cell r="E59" t="str">
            <v>Und</v>
          </cell>
          <cell r="F59" t="str">
            <v>Und</v>
          </cell>
          <cell r="G59">
            <v>599.91600195615933</v>
          </cell>
          <cell r="H59">
            <v>599.91600195615933</v>
          </cell>
          <cell r="I59">
            <v>0.28924104485204349</v>
          </cell>
          <cell r="J59">
            <v>0.28924104485204349</v>
          </cell>
          <cell r="K59">
            <v>108.03694374018204</v>
          </cell>
          <cell r="L59">
            <v>108.03694374018204</v>
          </cell>
          <cell r="M59">
            <v>708.24218674119334</v>
          </cell>
        </row>
        <row r="60">
          <cell r="A60" t="str">
            <v>95621</v>
          </cell>
          <cell r="B60" t="str">
            <v>COCCION ARROZ PRECOCIDO KILO</v>
          </cell>
          <cell r="C60" t="str">
            <v>ESP-RE-COCS-005</v>
          </cell>
          <cell r="D60" t="str">
            <v>06</v>
          </cell>
          <cell r="E60" t="str">
            <v>Kilo</v>
          </cell>
          <cell r="F60" t="str">
            <v>Gramo</v>
          </cell>
          <cell r="G60">
            <v>672.31435921803939</v>
          </cell>
          <cell r="H60">
            <v>0.67231435921803939</v>
          </cell>
          <cell r="I60">
            <v>10.44936</v>
          </cell>
          <cell r="J60">
            <v>1.0449360000000001E-2</v>
          </cell>
          <cell r="K60">
            <v>122.89746945924708</v>
          </cell>
          <cell r="L60">
            <v>0.12289746945924708</v>
          </cell>
          <cell r="M60">
            <v>805.66118867728642</v>
          </cell>
        </row>
        <row r="61">
          <cell r="A61" t="str">
            <v>908000024</v>
          </cell>
          <cell r="B61" t="str">
            <v>COCCION PALMITO PICADO (KILO)</v>
          </cell>
          <cell r="C61" t="str">
            <v>ESP-RE-COCS-040</v>
          </cell>
          <cell r="D61" t="str">
            <v>12</v>
          </cell>
          <cell r="E61" t="str">
            <v>Kilo</v>
          </cell>
          <cell r="F61" t="str">
            <v>Gramo</v>
          </cell>
          <cell r="G61">
            <v>2229.2376678921564</v>
          </cell>
          <cell r="H61">
            <v>2.2292376678921566</v>
          </cell>
          <cell r="I61">
            <v>57.145833333333336</v>
          </cell>
          <cell r="J61">
            <v>5.7145833333333333E-2</v>
          </cell>
          <cell r="K61">
            <v>411.54903022058818</v>
          </cell>
          <cell r="L61">
            <v>0.4115490302205882</v>
          </cell>
          <cell r="M61">
            <v>2697.932531446078</v>
          </cell>
        </row>
        <row r="62">
          <cell r="A62" t="str">
            <v>910000006</v>
          </cell>
          <cell r="B62" t="str">
            <v>MEZCLA SIROPE DULCE LECHE KILO</v>
          </cell>
          <cell r="C62" t="str">
            <v xml:space="preserve">ESP-RE-DES-026 </v>
          </cell>
          <cell r="D62" t="str">
            <v>03</v>
          </cell>
          <cell r="E62" t="str">
            <v>Kilo</v>
          </cell>
          <cell r="F62" t="str">
            <v>Gramo</v>
          </cell>
          <cell r="G62">
            <v>2361.5784008307373</v>
          </cell>
          <cell r="H62">
            <v>2.3615784008307372</v>
          </cell>
          <cell r="I62">
            <v>3.4900934579439253</v>
          </cell>
          <cell r="J62">
            <v>3.4900934579439255E-3</v>
          </cell>
          <cell r="K62">
            <v>425.71232897196262</v>
          </cell>
          <cell r="L62">
            <v>0.42571232897196259</v>
          </cell>
          <cell r="M62">
            <v>2790.780823260644</v>
          </cell>
        </row>
        <row r="63">
          <cell r="A63" t="str">
            <v>907000088</v>
          </cell>
          <cell r="B63" t="str">
            <v>ROSQUETE SUPER ESPONJA CARAMELO 220g</v>
          </cell>
          <cell r="C63" t="str">
            <v>ESP-RE-BAS-109</v>
          </cell>
          <cell r="D63" t="str">
            <v>02</v>
          </cell>
          <cell r="E63" t="str">
            <v>Und</v>
          </cell>
          <cell r="F63" t="str">
            <v>Und</v>
          </cell>
          <cell r="G63">
            <v>346.25580237725381</v>
          </cell>
          <cell r="H63">
            <v>346.25580237725381</v>
          </cell>
          <cell r="I63">
            <v>2.8205168851981419</v>
          </cell>
          <cell r="J63">
            <v>2.8205168851981419</v>
          </cell>
          <cell r="K63">
            <v>62.833737467241349</v>
          </cell>
          <cell r="L63">
            <v>62.833737467241349</v>
          </cell>
          <cell r="M63">
            <v>411.91005672969328</v>
          </cell>
        </row>
        <row r="64">
          <cell r="A64" t="str">
            <v>901000019</v>
          </cell>
          <cell r="B64" t="str">
            <v>PREMEZCLA P/BATIDO TAMALES KILO</v>
          </cell>
          <cell r="C64" t="str">
            <v xml:space="preserve">ESP-RE-PRES-019 </v>
          </cell>
          <cell r="D64" t="str">
            <v>10</v>
          </cell>
          <cell r="E64" t="str">
            <v>Kilo</v>
          </cell>
          <cell r="F64" t="str">
            <v>Gramo</v>
          </cell>
          <cell r="G64" t="e">
            <v>#N/A</v>
          </cell>
          <cell r="H64" t="e">
            <v>#N/A</v>
          </cell>
          <cell r="I64">
            <v>6.0650267298289666</v>
          </cell>
          <cell r="J64">
            <v>6.0650267298289666E-3</v>
          </cell>
          <cell r="K64" t="e">
            <v>#N/A</v>
          </cell>
          <cell r="L64" t="e">
            <v>#N/A</v>
          </cell>
          <cell r="M64" t="e">
            <v>#N/A</v>
          </cell>
        </row>
        <row r="65">
          <cell r="A65" t="str">
            <v>908000026</v>
          </cell>
          <cell r="B65" t="str">
            <v>LICUADO P/MASA TAMALES (KILO)</v>
          </cell>
          <cell r="C65" t="str">
            <v>ESP-RE-COCS-042</v>
          </cell>
          <cell r="D65" t="str">
            <v>07</v>
          </cell>
          <cell r="E65" t="str">
            <v>Kilo</v>
          </cell>
          <cell r="F65" t="str">
            <v>Gramo</v>
          </cell>
          <cell r="G65">
            <v>1209.1307947019868</v>
          </cell>
          <cell r="H65">
            <v>1.2091307947019869</v>
          </cell>
          <cell r="I65">
            <v>6.265279091769159</v>
          </cell>
          <cell r="J65">
            <v>6.2652790917691586E-3</v>
          </cell>
          <cell r="K65">
            <v>218.77129328287606</v>
          </cell>
          <cell r="L65">
            <v>0.21877129328287606</v>
          </cell>
          <cell r="M65">
            <v>1434.167367076632</v>
          </cell>
        </row>
        <row r="66">
          <cell r="A66" t="str">
            <v>908000027</v>
          </cell>
          <cell r="B66" t="str">
            <v>COCCION ZANAHORIA P/TAMALES (KILO)</v>
          </cell>
          <cell r="C66" t="str">
            <v xml:space="preserve">ESP-RE-COCS-043 </v>
          </cell>
          <cell r="D66" t="str">
            <v>05</v>
          </cell>
          <cell r="E66" t="str">
            <v>Kilo</v>
          </cell>
          <cell r="F66" t="str">
            <v>Gramo</v>
          </cell>
          <cell r="G66">
            <v>924.77359449999994</v>
          </cell>
          <cell r="H66">
            <v>0.92477359449999996</v>
          </cell>
          <cell r="I66">
            <v>22.229225867562217</v>
          </cell>
          <cell r="J66">
            <v>2.2229225867562218E-2</v>
          </cell>
          <cell r="K66">
            <v>170.46050766616119</v>
          </cell>
          <cell r="L66">
            <v>0.17046050766616119</v>
          </cell>
          <cell r="M66">
            <v>1117.4633280337234</v>
          </cell>
        </row>
        <row r="67">
          <cell r="A67" t="str">
            <v>908000025</v>
          </cell>
          <cell r="B67" t="str">
            <v>MASA P/TAMALES (KILO)</v>
          </cell>
          <cell r="C67" t="str">
            <v>ESP-RE-COCS-041</v>
          </cell>
          <cell r="D67" t="str">
            <v>15</v>
          </cell>
          <cell r="E67" t="str">
            <v>Kilo</v>
          </cell>
          <cell r="F67" t="str">
            <v>Gramo</v>
          </cell>
          <cell r="G67" t="e">
            <v>#N/A</v>
          </cell>
          <cell r="H67" t="e">
            <v>#N/A</v>
          </cell>
          <cell r="I67">
            <v>4.1705677345826038</v>
          </cell>
          <cell r="J67">
            <v>4.170567734582604E-3</v>
          </cell>
          <cell r="K67" t="e">
            <v>#N/A</v>
          </cell>
          <cell r="L67" t="e">
            <v>#N/A</v>
          </cell>
          <cell r="M67" t="e">
            <v>#N/A</v>
          </cell>
        </row>
        <row r="68">
          <cell r="A68" t="str">
            <v>90100132</v>
          </cell>
          <cell r="B68" t="str">
            <v xml:space="preserve">AZUCAR REFINADA (BOLSA:1500g) </v>
          </cell>
          <cell r="C68" t="str">
            <v>ESP-RE-PRES-108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439.64</v>
          </cell>
          <cell r="H68">
            <v>0.43963999999999998</v>
          </cell>
          <cell r="I68">
            <v>14.128</v>
          </cell>
          <cell r="J68">
            <v>1.4128E-2</v>
          </cell>
          <cell r="K68">
            <v>81.678239999999988</v>
          </cell>
          <cell r="L68">
            <v>8.1678239999999985E-2</v>
          </cell>
          <cell r="M68">
            <v>535.44623999999999</v>
          </cell>
        </row>
        <row r="69">
          <cell r="A69" t="str">
            <v>908000022</v>
          </cell>
          <cell r="B69" t="str">
            <v>MEZCLA PIPIAN (KILO)</v>
          </cell>
          <cell r="C69" t="str">
            <v>ESP-RE-COCS-035</v>
          </cell>
          <cell r="D69" t="str">
            <v>08</v>
          </cell>
          <cell r="E69" t="str">
            <v>Kilo</v>
          </cell>
          <cell r="F69" t="str">
            <v>Gramo</v>
          </cell>
          <cell r="G69">
            <v>2056.5356337055641</v>
          </cell>
          <cell r="H69">
            <v>2.0565356337055642</v>
          </cell>
          <cell r="I69">
            <v>5.6339777882352946</v>
          </cell>
          <cell r="J69">
            <v>5.6339777882352948E-3</v>
          </cell>
          <cell r="K69">
            <v>371.1905300688839</v>
          </cell>
          <cell r="L69">
            <v>0.37119053006888392</v>
          </cell>
          <cell r="M69">
            <v>2433.3601415626836</v>
          </cell>
        </row>
        <row r="70">
          <cell r="A70" t="str">
            <v>909000005</v>
          </cell>
          <cell r="B70" t="str">
            <v>PIPIAN EMPAQ (KILO)</v>
          </cell>
          <cell r="C70" t="str">
            <v>ESP-RE-EMPS-005</v>
          </cell>
          <cell r="D70" t="str">
            <v>03</v>
          </cell>
          <cell r="E70" t="str">
            <v>Kilo</v>
          </cell>
          <cell r="F70" t="str">
            <v>Gramo</v>
          </cell>
          <cell r="G70">
            <v>2056.5356337055641</v>
          </cell>
          <cell r="H70">
            <v>2.0565356337055642</v>
          </cell>
          <cell r="I70">
            <v>12.631477788235294</v>
          </cell>
          <cell r="J70">
            <v>1.2631477788235295E-2</v>
          </cell>
          <cell r="K70">
            <v>372.45008006888389</v>
          </cell>
          <cell r="L70">
            <v>0.37245008006888392</v>
          </cell>
          <cell r="M70">
            <v>2441.6171915626833</v>
          </cell>
        </row>
        <row r="71">
          <cell r="A71" t="str">
            <v>908000010</v>
          </cell>
          <cell r="B71" t="str">
            <v>MEZCLA ARROZ P/TAMAL (KILO)</v>
          </cell>
          <cell r="C71" t="str">
            <v>ESP-RE-COCS-010</v>
          </cell>
          <cell r="D71" t="str">
            <v>03</v>
          </cell>
          <cell r="E71" t="str">
            <v>Kilo</v>
          </cell>
          <cell r="F71" t="str">
            <v>Gramo</v>
          </cell>
          <cell r="G71">
            <v>744.93295423400127</v>
          </cell>
          <cell r="H71">
            <v>0.7449329542340013</v>
          </cell>
          <cell r="I71">
            <v>5.3676773406593403</v>
          </cell>
          <cell r="J71">
            <v>5.3676773406593405E-3</v>
          </cell>
          <cell r="K71">
            <v>135.05411368343891</v>
          </cell>
          <cell r="L71">
            <v>0.13505411368343892</v>
          </cell>
          <cell r="M71">
            <v>885.35474525809957</v>
          </cell>
        </row>
        <row r="72">
          <cell r="A72" t="str">
            <v>909000006</v>
          </cell>
          <cell r="B72" t="str">
            <v>ARROZ P/TAMALES EMPAQ  (KILO)</v>
          </cell>
          <cell r="C72" t="str">
            <v>ESP-RE-EMPS-006</v>
          </cell>
          <cell r="D72" t="str">
            <v>05</v>
          </cell>
          <cell r="E72" t="str">
            <v>Kilo</v>
          </cell>
          <cell r="F72" t="str">
            <v>Gramo</v>
          </cell>
          <cell r="G72">
            <v>592.81284050420163</v>
          </cell>
          <cell r="H72">
            <v>0.59281284050420158</v>
          </cell>
          <cell r="I72">
            <v>7.5781862857142865</v>
          </cell>
          <cell r="J72">
            <v>7.5781862857142862E-3</v>
          </cell>
          <cell r="K72">
            <v>108.07038482218486</v>
          </cell>
          <cell r="L72">
            <v>0.10807038482218487</v>
          </cell>
          <cell r="M72">
            <v>708.46141161210085</v>
          </cell>
        </row>
        <row r="73">
          <cell r="A73" t="str">
            <v>90100142</v>
          </cell>
          <cell r="B73" t="str">
            <v>EMPAQUE SAL KILO</v>
          </cell>
          <cell r="C73" t="str">
            <v>ESP-RE-PRES-101</v>
          </cell>
          <cell r="D73" t="str">
            <v>01</v>
          </cell>
          <cell r="E73" t="str">
            <v>Kilo</v>
          </cell>
          <cell r="F73" t="str">
            <v>Gramo</v>
          </cell>
          <cell r="G73">
            <v>188</v>
          </cell>
          <cell r="H73">
            <v>0.188</v>
          </cell>
          <cell r="I73">
            <v>2.8256000000000006</v>
          </cell>
          <cell r="J73">
            <v>2.8256000000000006E-3</v>
          </cell>
          <cell r="K73">
            <v>34.348607999999999</v>
          </cell>
          <cell r="L73">
            <v>3.4348607999999996E-2</v>
          </cell>
          <cell r="M73">
            <v>225.17420800000002</v>
          </cell>
        </row>
        <row r="74">
          <cell r="A74" t="str">
            <v>908000058</v>
          </cell>
          <cell r="B74" t="str">
            <v>ARROZ P/TAMAL S/PITTIE POIS (KILO)</v>
          </cell>
          <cell r="C74" t="str">
            <v>ESP-RE-COCS-085</v>
          </cell>
          <cell r="D74" t="str">
            <v>08</v>
          </cell>
          <cell r="E74" t="str">
            <v>Kilo</v>
          </cell>
          <cell r="F74" t="str">
            <v>Gramo</v>
          </cell>
          <cell r="G74">
            <v>592.81284050420163</v>
          </cell>
          <cell r="H74">
            <v>0.59281284050420158</v>
          </cell>
          <cell r="I74">
            <v>3.6329142857142865E-2</v>
          </cell>
          <cell r="J74">
            <v>3.6329142857142867E-5</v>
          </cell>
          <cell r="K74">
            <v>106.71285053647058</v>
          </cell>
          <cell r="L74">
            <v>0.10671285053647059</v>
          </cell>
          <cell r="M74">
            <v>699.5620201835294</v>
          </cell>
        </row>
        <row r="75">
          <cell r="A75" t="str">
            <v>908000031</v>
          </cell>
          <cell r="B75" t="str">
            <v>COCCION CARNE CERDO P/TAMAL (KILO)</v>
          </cell>
          <cell r="C75" t="str">
            <v>ESP-RE-COCS-047</v>
          </cell>
          <cell r="D75" t="str">
            <v>05</v>
          </cell>
          <cell r="E75" t="str">
            <v>Kilo</v>
          </cell>
          <cell r="F75" t="str">
            <v>Gramo</v>
          </cell>
          <cell r="G75">
            <v>3902.9989467043297</v>
          </cell>
          <cell r="H75">
            <v>3.9029989467043298</v>
          </cell>
          <cell r="I75">
            <v>30.810299912816642</v>
          </cell>
          <cell r="J75">
            <v>3.0810299912816641E-2</v>
          </cell>
          <cell r="K75">
            <v>708.08566439108631</v>
          </cell>
          <cell r="L75">
            <v>0.70808566439108633</v>
          </cell>
          <cell r="M75">
            <v>4641.8949110082331</v>
          </cell>
        </row>
        <row r="76">
          <cell r="A76" t="str">
            <v>90100052</v>
          </cell>
          <cell r="B76" t="str">
            <v>CANE CERDO P/TAMAL EMPAQ KILO</v>
          </cell>
          <cell r="C76" t="str">
            <v>ESP-RE-EMPS-093</v>
          </cell>
          <cell r="D76" t="str">
            <v>02</v>
          </cell>
          <cell r="E76" t="str">
            <v>Kilo</v>
          </cell>
          <cell r="F76" t="str">
            <v>Gramo</v>
          </cell>
          <cell r="G76">
            <v>3902.9989467043297</v>
          </cell>
          <cell r="H76">
            <v>3.9029989467043298</v>
          </cell>
          <cell r="I76">
            <v>34.80887134138807</v>
          </cell>
          <cell r="J76">
            <v>3.4808871341388069E-2</v>
          </cell>
          <cell r="K76">
            <v>708.80540724822913</v>
          </cell>
          <cell r="L76">
            <v>0.70880540724822916</v>
          </cell>
          <cell r="M76">
            <v>4646.6132252939469</v>
          </cell>
        </row>
        <row r="77">
          <cell r="A77" t="str">
            <v>95636</v>
          </cell>
          <cell r="B77" t="str">
            <v>ENSAMBLE TAMAL DE CERDO 230g</v>
          </cell>
          <cell r="C77" t="str">
            <v>ESP-RE-COCS-046</v>
          </cell>
          <cell r="D77" t="str">
            <v>15</v>
          </cell>
          <cell r="E77" t="str">
            <v>Und</v>
          </cell>
          <cell r="F77" t="str">
            <v>Und</v>
          </cell>
          <cell r="G77" t="e">
            <v>#N/A</v>
          </cell>
          <cell r="H77" t="e">
            <v>#N/A</v>
          </cell>
          <cell r="I77">
            <v>51.078958051680715</v>
          </cell>
          <cell r="J77">
            <v>51.078958051680715</v>
          </cell>
          <cell r="K77" t="e">
            <v>#N/A</v>
          </cell>
          <cell r="L77" t="e">
            <v>#N/A</v>
          </cell>
          <cell r="M77" t="e">
            <v>#N/A</v>
          </cell>
        </row>
        <row r="78">
          <cell r="A78" t="str">
            <v>908000028</v>
          </cell>
          <cell r="B78" t="str">
            <v>COCCION PAPA P/TAMAL (KILO)</v>
          </cell>
          <cell r="C78" t="str">
            <v>ESP-RE-COCS-044</v>
          </cell>
          <cell r="D78" t="str">
            <v>04</v>
          </cell>
          <cell r="E78" t="str">
            <v>Kilo</v>
          </cell>
          <cell r="F78" t="str">
            <v>Gramo</v>
          </cell>
          <cell r="G78">
            <v>1848.2608695652175</v>
          </cell>
          <cell r="H78">
            <v>1.8482608695652174</v>
          </cell>
          <cell r="I78">
            <v>0.33739130434782616</v>
          </cell>
          <cell r="J78">
            <v>3.3739130434782617E-4</v>
          </cell>
          <cell r="K78">
            <v>332.74768695652176</v>
          </cell>
          <cell r="L78">
            <v>0.33274768695652174</v>
          </cell>
          <cell r="M78">
            <v>2181.345947826087</v>
          </cell>
        </row>
        <row r="79">
          <cell r="A79" t="str">
            <v>901000189</v>
          </cell>
          <cell r="B79" t="str">
            <v>EMPAQUE PAPA TAMAL (KILO)</v>
          </cell>
          <cell r="C79" t="str">
            <v>ESP-RE-EMPS-126</v>
          </cell>
          <cell r="D79" t="str">
            <v>02</v>
          </cell>
          <cell r="E79" t="str">
            <v>Kilo</v>
          </cell>
          <cell r="F79" t="str">
            <v>Gramo</v>
          </cell>
          <cell r="G79">
            <v>1848.2608695652175</v>
          </cell>
          <cell r="H79">
            <v>1.8482608695652174</v>
          </cell>
          <cell r="I79">
            <v>5.815480447204969</v>
          </cell>
          <cell r="J79">
            <v>5.8154804472049688E-3</v>
          </cell>
          <cell r="K79">
            <v>333.733743002236</v>
          </cell>
          <cell r="L79">
            <v>0.33373374300223602</v>
          </cell>
          <cell r="M79">
            <v>2187.8100930146584</v>
          </cell>
        </row>
        <row r="80">
          <cell r="A80" t="str">
            <v>908000016</v>
          </cell>
          <cell r="B80" t="str">
            <v>MASA P/TAMAL POLLO (KILO)</v>
          </cell>
          <cell r="C80" t="str">
            <v>ESP-RE-COCS-020</v>
          </cell>
          <cell r="D80" t="str">
            <v>12</v>
          </cell>
          <cell r="E80" t="str">
            <v>Kilo</v>
          </cell>
          <cell r="F80" t="str">
            <v>Gramo</v>
          </cell>
          <cell r="G80" t="e">
            <v>#N/A</v>
          </cell>
          <cell r="H80" t="e">
            <v>#N/A</v>
          </cell>
          <cell r="I80">
            <v>5.3730012514655989</v>
          </cell>
          <cell r="J80">
            <v>5.3730012514655989E-3</v>
          </cell>
          <cell r="K80" t="e">
            <v>#N/A</v>
          </cell>
          <cell r="L80" t="e">
            <v>#N/A</v>
          </cell>
          <cell r="M80" t="e">
            <v>#N/A</v>
          </cell>
        </row>
        <row r="81">
          <cell r="A81" t="str">
            <v>90100054</v>
          </cell>
          <cell r="B81" t="str">
            <v>EMPAQUE POLLO P/TAMAL KILO</v>
          </cell>
          <cell r="C81" t="str">
            <v>ESP-RE-EMPS-156</v>
          </cell>
          <cell r="D81" t="str">
            <v>01</v>
          </cell>
          <cell r="E81" t="str">
            <v>Kilo</v>
          </cell>
          <cell r="F81" t="str">
            <v>Gramo</v>
          </cell>
          <cell r="G81">
            <v>4036.5767299578056</v>
          </cell>
          <cell r="H81">
            <v>4.0365767299578055</v>
          </cell>
          <cell r="I81">
            <v>21.225312025316455</v>
          </cell>
          <cell r="J81">
            <v>2.1225312025316457E-2</v>
          </cell>
          <cell r="K81">
            <v>730.40436755696192</v>
          </cell>
          <cell r="L81">
            <v>0.73040436755696192</v>
          </cell>
          <cell r="M81">
            <v>4788.2064095400838</v>
          </cell>
        </row>
        <row r="82">
          <cell r="A82" t="str">
            <v>95945</v>
          </cell>
          <cell r="B82" t="str">
            <v>ENSAMBLE TAMAL DE POLLO 280g</v>
          </cell>
          <cell r="C82" t="str">
            <v>ESP-RE-COCS-045</v>
          </cell>
          <cell r="D82" t="str">
            <v>12</v>
          </cell>
          <cell r="E82" t="str">
            <v>Und</v>
          </cell>
          <cell r="F82" t="str">
            <v>Und</v>
          </cell>
          <cell r="G82" t="e">
            <v>#N/A</v>
          </cell>
          <cell r="H82" t="e">
            <v>#N/A</v>
          </cell>
          <cell r="I82">
            <v>50.943782766649022</v>
          </cell>
          <cell r="J82">
            <v>50.943782766649022</v>
          </cell>
          <cell r="K82" t="e">
            <v>#N/A</v>
          </cell>
          <cell r="L82" t="e">
            <v>#N/A</v>
          </cell>
          <cell r="M82" t="e">
            <v>#N/A</v>
          </cell>
        </row>
        <row r="83">
          <cell r="A83" t="str">
            <v>908000044</v>
          </cell>
          <cell r="B83" t="str">
            <v>SOLUCION DE CLORO (litro)</v>
          </cell>
          <cell r="C83">
            <v>0</v>
          </cell>
          <cell r="D83">
            <v>0</v>
          </cell>
          <cell r="E83" t="str">
            <v>Kilo</v>
          </cell>
          <cell r="F83" t="str">
            <v>Gramo</v>
          </cell>
          <cell r="G83" t="e">
            <v>#N/A</v>
          </cell>
          <cell r="H83" t="e">
            <v>#N/A</v>
          </cell>
          <cell r="I83">
            <v>0</v>
          </cell>
          <cell r="J83">
            <v>0</v>
          </cell>
          <cell r="K83" t="e">
            <v>#N/A</v>
          </cell>
          <cell r="L83" t="e">
            <v>#N/A</v>
          </cell>
          <cell r="M83" t="e">
            <v>#N/A</v>
          </cell>
        </row>
        <row r="84">
          <cell r="A84" t="str">
            <v>95299</v>
          </cell>
          <cell r="B84" t="str">
            <v>COCCION FRIJOLES P/GALLO PINTO KILO</v>
          </cell>
          <cell r="C84" t="str">
            <v>ESP-RE-COCS-058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690.75428859737633</v>
          </cell>
          <cell r="H84">
            <v>0.69075428859737631</v>
          </cell>
          <cell r="I84">
            <v>4.9822401614530776</v>
          </cell>
          <cell r="J84">
            <v>4.9822401614530772E-3</v>
          </cell>
          <cell r="K84">
            <v>125.23257517658929</v>
          </cell>
          <cell r="L84">
            <v>0.12523257517658928</v>
          </cell>
          <cell r="M84">
            <v>820.96910393541873</v>
          </cell>
        </row>
        <row r="85">
          <cell r="A85" t="str">
            <v>908000004</v>
          </cell>
          <cell r="B85" t="str">
            <v>GALLO PINTO SPOON KILO</v>
          </cell>
          <cell r="C85" t="str">
            <v>ESP-RE-COCS-004</v>
          </cell>
          <cell r="D85" t="str">
            <v>14</v>
          </cell>
          <cell r="E85" t="str">
            <v>Kilo</v>
          </cell>
          <cell r="F85" t="str">
            <v>Gramo</v>
          </cell>
          <cell r="G85">
            <v>1327.7561799621078</v>
          </cell>
          <cell r="H85">
            <v>1.3277561799621078</v>
          </cell>
          <cell r="I85">
            <v>17.484740253981336</v>
          </cell>
          <cell r="J85">
            <v>1.7484740253981335E-2</v>
          </cell>
          <cell r="K85">
            <v>242.14336563889603</v>
          </cell>
          <cell r="L85">
            <v>0.24214336563889602</v>
          </cell>
          <cell r="M85">
            <v>1587.3842858549851</v>
          </cell>
        </row>
        <row r="86">
          <cell r="A86" t="str">
            <v>904000007</v>
          </cell>
          <cell r="B86" t="str">
            <v>SALSA P/PECHUGA RELLENA (KILO)</v>
          </cell>
          <cell r="C86" t="str">
            <v>ESP-RE-COCS-036</v>
          </cell>
          <cell r="D86" t="str">
            <v>10</v>
          </cell>
          <cell r="E86" t="str">
            <v>Kilo</v>
          </cell>
          <cell r="F86" t="str">
            <v>Gramo</v>
          </cell>
          <cell r="G86">
            <v>2155.6856089619828</v>
          </cell>
          <cell r="H86">
            <v>2.1556856089619827</v>
          </cell>
          <cell r="I86">
            <v>0.26374999999999998</v>
          </cell>
          <cell r="J86">
            <v>2.6374999999999999E-4</v>
          </cell>
          <cell r="K86">
            <v>388.07088461315692</v>
          </cell>
          <cell r="L86">
            <v>0.38807088461315692</v>
          </cell>
          <cell r="M86">
            <v>2544.0202435751398</v>
          </cell>
        </row>
        <row r="87">
          <cell r="A87" t="str">
            <v>901000165</v>
          </cell>
          <cell r="B87" t="str">
            <v>ADOBO PECHUGA RELLENA KILO</v>
          </cell>
          <cell r="C87" t="str">
            <v>ESP-RE-COCS-054</v>
          </cell>
          <cell r="D87" t="str">
            <v>10</v>
          </cell>
          <cell r="E87" t="str">
            <v>Kilo</v>
          </cell>
          <cell r="F87" t="str">
            <v>Gramo</v>
          </cell>
          <cell r="G87">
            <v>5966.0416666666661</v>
          </cell>
          <cell r="H87">
            <v>5.9660416666666665</v>
          </cell>
          <cell r="I87">
            <v>26.347272727272728</v>
          </cell>
          <cell r="J87">
            <v>2.6347272727272726E-2</v>
          </cell>
          <cell r="K87">
            <v>1078.630009090909</v>
          </cell>
          <cell r="L87">
            <v>1.0786300090909089</v>
          </cell>
          <cell r="M87">
            <v>7071.0189484848479</v>
          </cell>
        </row>
        <row r="88">
          <cell r="A88" t="str">
            <v>95364</v>
          </cell>
          <cell r="B88" t="str">
            <v>BASE PREM P/ROSQUETE TRES LECHES KILO</v>
          </cell>
          <cell r="C88" t="str">
            <v xml:space="preserve">ESP-RE-PRES-009 </v>
          </cell>
          <cell r="D88" t="str">
            <v>14</v>
          </cell>
          <cell r="E88" t="str">
            <v>Kilo</v>
          </cell>
          <cell r="F88" t="str">
            <v>Gramo</v>
          </cell>
          <cell r="G88">
            <v>631.13184308841858</v>
          </cell>
          <cell r="H88">
            <v>0.63113184308841863</v>
          </cell>
          <cell r="I88">
            <v>7.8277886497064575</v>
          </cell>
          <cell r="J88">
            <v>7.8277886497064575E-3</v>
          </cell>
          <cell r="K88">
            <v>115.0127337128625</v>
          </cell>
          <cell r="L88">
            <v>0.1150127337128625</v>
          </cell>
          <cell r="M88">
            <v>753.97236545098758</v>
          </cell>
        </row>
        <row r="89">
          <cell r="A89" t="str">
            <v>902000016</v>
          </cell>
          <cell r="B89" t="str">
            <v>BATIDO TRES LECHES SPOON KILO</v>
          </cell>
          <cell r="C89" t="str">
            <v>ESP-RE-BAS-043</v>
          </cell>
          <cell r="D89" t="str">
            <v>05</v>
          </cell>
          <cell r="E89" t="str">
            <v>Kilo</v>
          </cell>
          <cell r="F89" t="str">
            <v>Gramo</v>
          </cell>
          <cell r="G89">
            <v>948.38656582858721</v>
          </cell>
          <cell r="H89">
            <v>0.94838656582858716</v>
          </cell>
          <cell r="I89">
            <v>4.1217798594847777</v>
          </cell>
          <cell r="J89">
            <v>4.1217798594847775E-3</v>
          </cell>
          <cell r="K89">
            <v>171.45150222385297</v>
          </cell>
          <cell r="L89">
            <v>0.17145150222385297</v>
          </cell>
          <cell r="M89">
            <v>1123.959847911925</v>
          </cell>
        </row>
        <row r="90">
          <cell r="A90" t="str">
            <v>96292</v>
          </cell>
          <cell r="B90" t="str">
            <v>ROSQUETE TRES LECHES RED. (150g)</v>
          </cell>
          <cell r="C90" t="str">
            <v>ESP-RE-BAS-040</v>
          </cell>
          <cell r="D90" t="str">
            <v>04</v>
          </cell>
          <cell r="E90" t="str">
            <v>Und</v>
          </cell>
          <cell r="F90" t="str">
            <v>Und</v>
          </cell>
          <cell r="G90">
            <v>157.51098149020183</v>
          </cell>
          <cell r="H90">
            <v>157.51098149020183</v>
          </cell>
          <cell r="I90">
            <v>2.4619962690476189</v>
          </cell>
          <cell r="J90">
            <v>2.4619962690476189</v>
          </cell>
          <cell r="K90">
            <v>28.7951359966649</v>
          </cell>
          <cell r="L90">
            <v>28.7951359966649</v>
          </cell>
          <cell r="M90">
            <v>188.76811375591436</v>
          </cell>
        </row>
        <row r="91">
          <cell r="A91" t="str">
            <v>907000031</v>
          </cell>
          <cell r="B91" t="str">
            <v xml:space="preserve">Flan Caramelo Mini Redondo Spoon </v>
          </cell>
          <cell r="C91" t="str">
            <v>ESP-RE-POS-101</v>
          </cell>
          <cell r="D91" t="str">
            <v>05</v>
          </cell>
          <cell r="E91" t="str">
            <v>Und</v>
          </cell>
          <cell r="F91" t="str">
            <v>Und</v>
          </cell>
          <cell r="G91">
            <v>1140.9567980570034</v>
          </cell>
          <cell r="H91">
            <v>1140.9567980570034</v>
          </cell>
          <cell r="I91">
            <v>33.868000000000002</v>
          </cell>
          <cell r="J91">
            <v>33.868000000000002</v>
          </cell>
          <cell r="K91">
            <v>211.46846365026059</v>
          </cell>
          <cell r="L91">
            <v>211.46846365026059</v>
          </cell>
          <cell r="M91">
            <v>1386.293261707264</v>
          </cell>
        </row>
        <row r="92">
          <cell r="A92" t="str">
            <v>907000012</v>
          </cell>
          <cell r="B92" t="str">
            <v>CARAMELO AZUCAR P/FLAN (KILO)</v>
          </cell>
          <cell r="C92" t="str">
            <v>ESP-RE-POS-105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767.96296296296327</v>
          </cell>
          <cell r="H92">
            <v>0.76796296296296329</v>
          </cell>
          <cell r="I92">
            <v>0</v>
          </cell>
          <cell r="J92">
            <v>0</v>
          </cell>
          <cell r="K92">
            <v>138.23333333333338</v>
          </cell>
          <cell r="L92">
            <v>0.13823333333333337</v>
          </cell>
          <cell r="M92">
            <v>906.19629629629662</v>
          </cell>
        </row>
        <row r="93">
          <cell r="A93" t="str">
            <v>90200029</v>
          </cell>
          <cell r="B93" t="str">
            <v>RELLENO CHEESECAKE KILO</v>
          </cell>
          <cell r="C93" t="str">
            <v>ESP-RE-POS-038</v>
          </cell>
          <cell r="D93" t="str">
            <v>04</v>
          </cell>
          <cell r="E93" t="str">
            <v>Kilo</v>
          </cell>
          <cell r="F93" t="str">
            <v>Gramo</v>
          </cell>
          <cell r="G93">
            <v>1940.1640707990157</v>
          </cell>
          <cell r="H93">
            <v>1.9401640707990158</v>
          </cell>
          <cell r="I93">
            <v>7.4358974358974348E-3</v>
          </cell>
          <cell r="J93">
            <v>7.4358974358974352E-6</v>
          </cell>
          <cell r="K93">
            <v>349.23087120536127</v>
          </cell>
          <cell r="L93">
            <v>0.34923087120536128</v>
          </cell>
          <cell r="M93">
            <v>2289.402377901813</v>
          </cell>
        </row>
        <row r="94">
          <cell r="A94" t="str">
            <v>908000012</v>
          </cell>
          <cell r="B94" t="str">
            <v>QUESO PARMESANO RALLADO KILO</v>
          </cell>
          <cell r="C94" t="str">
            <v>ESP-RE-COS-042</v>
          </cell>
          <cell r="D94">
            <v>0</v>
          </cell>
          <cell r="E94" t="str">
            <v>Kilo</v>
          </cell>
          <cell r="F94" t="str">
            <v>Gramo</v>
          </cell>
          <cell r="G94">
            <v>10763.6526908</v>
          </cell>
          <cell r="H94">
            <v>10.763652690799999</v>
          </cell>
          <cell r="I94">
            <v>8.1353726000650841</v>
          </cell>
          <cell r="J94">
            <v>8.1353726000650845E-3</v>
          </cell>
          <cell r="K94">
            <v>1938.9218514120116</v>
          </cell>
          <cell r="L94">
            <v>1.9389218514120117</v>
          </cell>
          <cell r="M94">
            <v>12710.709914812076</v>
          </cell>
        </row>
        <row r="95">
          <cell r="A95" t="str">
            <v>90800033</v>
          </cell>
          <cell r="B95" t="str">
            <v>CALDO POLLO C/CARCASA (KILO)</v>
          </cell>
          <cell r="C95" t="str">
            <v>ESP-RE-COCS-049</v>
          </cell>
          <cell r="D95" t="str">
            <v>03</v>
          </cell>
          <cell r="E95" t="str">
            <v>Kilo</v>
          </cell>
          <cell r="F95" t="str">
            <v>Gramo</v>
          </cell>
          <cell r="G95">
            <v>195.61736198581562</v>
          </cell>
          <cell r="H95">
            <v>0.19561736198581561</v>
          </cell>
          <cell r="I95">
            <v>5.451063829787234</v>
          </cell>
          <cell r="J95">
            <v>5.4510638297872336E-3</v>
          </cell>
          <cell r="K95">
            <v>36.192316646808514</v>
          </cell>
          <cell r="L95">
            <v>3.6192316646808512E-2</v>
          </cell>
          <cell r="M95">
            <v>237.26074246241137</v>
          </cell>
        </row>
        <row r="96">
          <cell r="A96" t="str">
            <v>909000010</v>
          </cell>
          <cell r="B96" t="str">
            <v>EMPAQ CALDO POLLO C/CARCASA KILO</v>
          </cell>
          <cell r="C96" t="str">
            <v xml:space="preserve">ESP-RE-EMPS-010 </v>
          </cell>
          <cell r="D96" t="str">
            <v>02</v>
          </cell>
          <cell r="E96" t="str">
            <v>Kilo</v>
          </cell>
          <cell r="F96" t="str">
            <v>Gramo</v>
          </cell>
          <cell r="G96">
            <v>195.61736198581562</v>
          </cell>
          <cell r="H96">
            <v>0.19561736198581561</v>
          </cell>
          <cell r="I96">
            <v>13.059520972644375</v>
          </cell>
          <cell r="J96">
            <v>1.3059520972644375E-2</v>
          </cell>
          <cell r="K96">
            <v>37.561838932522797</v>
          </cell>
          <cell r="L96">
            <v>3.7561838932522795E-2</v>
          </cell>
          <cell r="M96">
            <v>246.23872189098279</v>
          </cell>
        </row>
        <row r="97">
          <cell r="A97" t="str">
            <v>901000084</v>
          </cell>
          <cell r="B97" t="str">
            <v>COCCCION CREMA DE AYOTE KILO</v>
          </cell>
          <cell r="C97" t="str">
            <v>ESP-RE-COCS-208</v>
          </cell>
          <cell r="D97" t="str">
            <v>13</v>
          </cell>
          <cell r="E97" t="str">
            <v>Kilo</v>
          </cell>
          <cell r="F97" t="str">
            <v>Gramo</v>
          </cell>
          <cell r="G97">
            <v>1459.6859251786045</v>
          </cell>
          <cell r="H97">
            <v>1.4596859251786045</v>
          </cell>
          <cell r="I97">
            <v>4.1683297840175833</v>
          </cell>
          <cell r="J97">
            <v>4.1683297840175836E-3</v>
          </cell>
          <cell r="K97">
            <v>263.49376589327193</v>
          </cell>
          <cell r="L97">
            <v>0.26349376589327195</v>
          </cell>
          <cell r="M97">
            <v>1727.348020855894</v>
          </cell>
        </row>
        <row r="98">
          <cell r="A98" t="str">
            <v>904000006</v>
          </cell>
          <cell r="B98" t="str">
            <v>SALSA ROJA SPOON KILO</v>
          </cell>
          <cell r="C98" t="str">
            <v>ESP-RE-COCS-025</v>
          </cell>
          <cell r="D98" t="str">
            <v>11</v>
          </cell>
          <cell r="E98" t="str">
            <v>Kilo</v>
          </cell>
          <cell r="F98" t="str">
            <v>Gramo</v>
          </cell>
          <cell r="G98">
            <v>1230.4962302455524</v>
          </cell>
          <cell r="H98">
            <v>1.2304962302455524</v>
          </cell>
          <cell r="I98">
            <v>1.5550866141732282</v>
          </cell>
          <cell r="J98">
            <v>1.5550866141732283E-3</v>
          </cell>
          <cell r="K98">
            <v>221.7692370347506</v>
          </cell>
          <cell r="L98">
            <v>0.2217692370347506</v>
          </cell>
          <cell r="M98">
            <v>1453.8205538944762</v>
          </cell>
        </row>
        <row r="99">
          <cell r="A99" t="str">
            <v>909000004</v>
          </cell>
          <cell r="B99" t="str">
            <v>EMPAQUE SALSA ROJA PLANTA KILO</v>
          </cell>
          <cell r="C99" t="str">
            <v xml:space="preserve">ESP-RE-EMPS-004 </v>
          </cell>
          <cell r="D99" t="str">
            <v>05</v>
          </cell>
          <cell r="E99" t="str">
            <v>Kilo</v>
          </cell>
          <cell r="F99" t="str">
            <v>Gramo</v>
          </cell>
          <cell r="G99">
            <v>1230.4962302455524</v>
          </cell>
          <cell r="H99">
            <v>1.2304962302455524</v>
          </cell>
          <cell r="I99">
            <v>10.331086614173229</v>
          </cell>
          <cell r="J99">
            <v>1.0331086614173229E-2</v>
          </cell>
          <cell r="K99">
            <v>223.3489170347506</v>
          </cell>
          <cell r="L99">
            <v>0.2233489170347506</v>
          </cell>
          <cell r="M99">
            <v>1464.1762338944764</v>
          </cell>
        </row>
        <row r="100">
          <cell r="A100" t="str">
            <v>905000013</v>
          </cell>
          <cell r="B100" t="str">
            <v/>
          </cell>
          <cell r="C100" t="str">
            <v/>
          </cell>
          <cell r="D100" t="str">
            <v/>
          </cell>
          <cell r="E100" t="str">
            <v>Kilo</v>
          </cell>
          <cell r="F100" t="str">
            <v>Gramo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 t="str">
            <v>901000200</v>
          </cell>
          <cell r="B101" t="str">
            <v>MAYONESA SPOON PLANTA KILO</v>
          </cell>
          <cell r="C101" t="str">
            <v>ESP-RE-COCS-064</v>
          </cell>
          <cell r="D101" t="str">
            <v>04</v>
          </cell>
          <cell r="E101" t="str">
            <v>Kilo</v>
          </cell>
          <cell r="F101" t="str">
            <v>Gramo</v>
          </cell>
          <cell r="G101">
            <v>1334.4017254674804</v>
          </cell>
          <cell r="H101">
            <v>1.3344017254674805</v>
          </cell>
          <cell r="I101">
            <v>1.542376898395722</v>
          </cell>
          <cell r="J101">
            <v>1.542376898395722E-3</v>
          </cell>
          <cell r="K101">
            <v>240.46993842585772</v>
          </cell>
          <cell r="L101">
            <v>0.24046993842585773</v>
          </cell>
          <cell r="M101">
            <v>1576.4140407917339</v>
          </cell>
        </row>
        <row r="102">
          <cell r="A102" t="str">
            <v>904000022</v>
          </cell>
          <cell r="B102" t="str">
            <v>ADEREZO CHIPOTLE KILO</v>
          </cell>
          <cell r="C102" t="str">
            <v>ESP-RE-COFS-014</v>
          </cell>
          <cell r="D102" t="str">
            <v>09</v>
          </cell>
          <cell r="E102" t="str">
            <v>Kilo</v>
          </cell>
          <cell r="F102" t="str">
            <v>Gramo</v>
          </cell>
          <cell r="G102">
            <v>1698.1339172953496</v>
          </cell>
          <cell r="H102">
            <v>1.6981339172953496</v>
          </cell>
          <cell r="I102">
            <v>1.4339261433542019</v>
          </cell>
          <cell r="J102">
            <v>1.4339261433542019E-3</v>
          </cell>
          <cell r="K102">
            <v>305.92221181896667</v>
          </cell>
          <cell r="L102">
            <v>0.30592221181896667</v>
          </cell>
          <cell r="M102">
            <v>2005.4900552576705</v>
          </cell>
        </row>
        <row r="103">
          <cell r="A103" t="str">
            <v>90100117</v>
          </cell>
          <cell r="B103" t="str">
            <v>RELLENO DE ESPINACA Y POLLO KILO</v>
          </cell>
          <cell r="C103">
            <v>0</v>
          </cell>
          <cell r="D103">
            <v>0</v>
          </cell>
          <cell r="E103" t="str">
            <v>Kilo</v>
          </cell>
          <cell r="F103" t="str">
            <v>Gramo</v>
          </cell>
          <cell r="G103">
            <v>3510.3584051830749</v>
          </cell>
          <cell r="H103">
            <v>3.5103584051830747</v>
          </cell>
          <cell r="I103">
            <v>31.33897016479424</v>
          </cell>
          <cell r="J103">
            <v>3.1338970164794241E-2</v>
          </cell>
          <cell r="K103">
            <v>637.50552756261641</v>
          </cell>
          <cell r="L103">
            <v>0.63750552756261636</v>
          </cell>
          <cell r="M103">
            <v>4179.2029029104851</v>
          </cell>
        </row>
        <row r="104">
          <cell r="A104" t="str">
            <v>908000008</v>
          </cell>
          <cell r="B104" t="str">
            <v>COCCION ESPINACA SALTEADA KILO</v>
          </cell>
          <cell r="C104" t="str">
            <v>ESP-RE-COCS-008</v>
          </cell>
          <cell r="D104" t="str">
            <v>03</v>
          </cell>
          <cell r="E104" t="str">
            <v>Kilo</v>
          </cell>
          <cell r="F104" t="str">
            <v>Gramo</v>
          </cell>
          <cell r="G104">
            <v>4397.9077662337659</v>
          </cell>
          <cell r="H104">
            <v>4.3979077662337662</v>
          </cell>
          <cell r="I104">
            <v>64.122077922077921</v>
          </cell>
          <cell r="J104">
            <v>6.4122077922077927E-2</v>
          </cell>
          <cell r="K104">
            <v>803.16537194805176</v>
          </cell>
          <cell r="L104">
            <v>0.80316537194805171</v>
          </cell>
          <cell r="M104">
            <v>5265.1952161038953</v>
          </cell>
        </row>
        <row r="105">
          <cell r="A105" t="str">
            <v>95289</v>
          </cell>
          <cell r="B105" t="str">
            <v>COCCION ARROZ BLANCO KILO</v>
          </cell>
          <cell r="C105" t="str">
            <v>ESP-RE-COS-009</v>
          </cell>
          <cell r="D105" t="str">
            <v>15</v>
          </cell>
          <cell r="E105" t="str">
            <v>Kilo</v>
          </cell>
          <cell r="F105" t="str">
            <v>Gramo</v>
          </cell>
          <cell r="G105">
            <v>660.11384080707785</v>
          </cell>
          <cell r="H105">
            <v>0.6601138408070778</v>
          </cell>
          <cell r="I105">
            <v>25.120817189151108</v>
          </cell>
          <cell r="J105">
            <v>2.5120817189151108E-2</v>
          </cell>
          <cell r="K105">
            <v>123.34223843932121</v>
          </cell>
          <cell r="L105">
            <v>0.12334223843932121</v>
          </cell>
          <cell r="M105">
            <v>808.57689643555022</v>
          </cell>
        </row>
        <row r="106">
          <cell r="A106" t="str">
            <v>901000024</v>
          </cell>
          <cell r="B106" t="str">
            <v>PREMEZCLA P/PASTA HOJALDRE KILO</v>
          </cell>
          <cell r="C106" t="str">
            <v>ESP-RE-PRES-024</v>
          </cell>
          <cell r="D106" t="str">
            <v>06</v>
          </cell>
          <cell r="E106" t="str">
            <v>Kilo</v>
          </cell>
          <cell r="F106" t="str">
            <v>Gramo</v>
          </cell>
          <cell r="G106">
            <v>808.44808726601639</v>
          </cell>
          <cell r="H106">
            <v>0.80844808726601636</v>
          </cell>
          <cell r="I106">
            <v>3.9490038039998492</v>
          </cell>
          <cell r="J106">
            <v>3.9490038039998489E-3</v>
          </cell>
          <cell r="K106">
            <v>146.23147639260293</v>
          </cell>
          <cell r="L106">
            <v>0.14623147639260292</v>
          </cell>
          <cell r="M106">
            <v>958.62856746261923</v>
          </cell>
        </row>
        <row r="107">
          <cell r="A107" t="str">
            <v>906000032</v>
          </cell>
          <cell r="B107" t="str">
            <v>PASTA HOJALDRE KILO</v>
          </cell>
          <cell r="C107" t="str">
            <v>ESP-RE-PAPS-005</v>
          </cell>
          <cell r="D107" t="str">
            <v>04</v>
          </cell>
          <cell r="E107" t="str">
            <v>Kilo</v>
          </cell>
          <cell r="F107" t="str">
            <v>Gramo</v>
          </cell>
          <cell r="G107">
            <v>660.65756764705895</v>
          </cell>
          <cell r="H107">
            <v>0.66065756764705896</v>
          </cell>
          <cell r="I107">
            <v>3.1456022408963582</v>
          </cell>
          <cell r="J107">
            <v>3.1456022408963584E-3</v>
          </cell>
          <cell r="K107">
            <v>119.48457057983194</v>
          </cell>
          <cell r="L107">
            <v>0.11948457057983194</v>
          </cell>
          <cell r="M107">
            <v>783.28774046778722</v>
          </cell>
        </row>
        <row r="108">
          <cell r="A108" t="str">
            <v>96277</v>
          </cell>
          <cell r="B108" t="str">
            <v>ARREGLADOS HOJALDRE GRANDE (UND)</v>
          </cell>
          <cell r="C108" t="str">
            <v>ESP-RE-PAPS-019</v>
          </cell>
          <cell r="D108" t="str">
            <v>07</v>
          </cell>
          <cell r="E108" t="str">
            <v>Und</v>
          </cell>
          <cell r="F108" t="str">
            <v>Und</v>
          </cell>
          <cell r="G108">
            <v>79.977150113122192</v>
          </cell>
          <cell r="H108">
            <v>79.977150113122192</v>
          </cell>
          <cell r="I108">
            <v>1.5937233354880413</v>
          </cell>
          <cell r="J108">
            <v>1.5937233354880413</v>
          </cell>
          <cell r="K108">
            <v>14.68275722074984</v>
          </cell>
          <cell r="L108">
            <v>14.68275722074984</v>
          </cell>
          <cell r="M108">
            <v>96.253630669360064</v>
          </cell>
        </row>
        <row r="109">
          <cell r="A109" t="str">
            <v>95615</v>
          </cell>
          <cell r="B109" t="str">
            <v>BASE PREMEZCLA PASTA FROLA KILO</v>
          </cell>
          <cell r="C109" t="str">
            <v>ESP-RE-PRES-025</v>
          </cell>
          <cell r="D109" t="str">
            <v>08</v>
          </cell>
          <cell r="E109" t="str">
            <v>Kilo</v>
          </cell>
          <cell r="F109" t="str">
            <v>Gramo</v>
          </cell>
          <cell r="G109">
            <v>911.19318800247379</v>
          </cell>
          <cell r="H109">
            <v>0.91119318800247384</v>
          </cell>
          <cell r="I109">
            <v>4.4447389345348531</v>
          </cell>
          <cell r="J109">
            <v>4.4447389345348533E-3</v>
          </cell>
          <cell r="K109">
            <v>164.81482684866154</v>
          </cell>
          <cell r="L109">
            <v>0.16481482684866153</v>
          </cell>
          <cell r="M109">
            <v>1080.4527537856702</v>
          </cell>
        </row>
        <row r="110">
          <cell r="A110" t="str">
            <v>908000056</v>
          </cell>
          <cell r="B110" t="str">
            <v>COCCION POLLO DESMEN MARMITA KILO</v>
          </cell>
          <cell r="C110" t="str">
            <v>ESP-RE-COCS-083</v>
          </cell>
          <cell r="D110" t="str">
            <v>17</v>
          </cell>
          <cell r="E110" t="str">
            <v>Kilo</v>
          </cell>
          <cell r="F110" t="str">
            <v>Gramo</v>
          </cell>
          <cell r="G110">
            <v>4392.3695208333329</v>
          </cell>
          <cell r="H110">
            <v>4.3923695208333333</v>
          </cell>
          <cell r="I110">
            <v>0.75</v>
          </cell>
          <cell r="J110">
            <v>7.5000000000000002E-4</v>
          </cell>
          <cell r="K110">
            <v>790.76151374999995</v>
          </cell>
          <cell r="L110">
            <v>0.79076151374999992</v>
          </cell>
          <cell r="M110">
            <v>5183.8810345833326</v>
          </cell>
        </row>
        <row r="111">
          <cell r="A111" t="str">
            <v>909000003</v>
          </cell>
          <cell r="B111" t="str">
            <v>RELLENO POLLO P/PASTEL KILO</v>
          </cell>
          <cell r="C111" t="str">
            <v>ESP-RE-COCS-031</v>
          </cell>
          <cell r="D111" t="str">
            <v>06</v>
          </cell>
          <cell r="E111" t="str">
            <v>Kilo</v>
          </cell>
          <cell r="F111" t="str">
            <v>Gramo</v>
          </cell>
          <cell r="G111">
            <v>3237.7850737741919</v>
          </cell>
          <cell r="H111">
            <v>3.2377850737741918</v>
          </cell>
          <cell r="I111">
            <v>5.62880488339247</v>
          </cell>
          <cell r="J111">
            <v>5.6288048833924697E-3</v>
          </cell>
          <cell r="K111">
            <v>583.81449815836515</v>
          </cell>
          <cell r="L111">
            <v>0.58381449815836517</v>
          </cell>
          <cell r="M111">
            <v>3827.2283768159496</v>
          </cell>
        </row>
        <row r="112">
          <cell r="A112" t="str">
            <v>906000034</v>
          </cell>
          <cell r="B112" t="str">
            <v>PASTA FROLA KILO</v>
          </cell>
          <cell r="C112" t="str">
            <v>ESP-RE-PAPS-013</v>
          </cell>
          <cell r="D112" t="str">
            <v>03</v>
          </cell>
          <cell r="E112" t="str">
            <v>Kilo</v>
          </cell>
          <cell r="F112" t="str">
            <v>Gramo</v>
          </cell>
          <cell r="G112">
            <v>834.4211309299817</v>
          </cell>
          <cell r="H112">
            <v>0.83442113092998171</v>
          </cell>
          <cell r="I112">
            <v>3.6061026352288486</v>
          </cell>
          <cell r="J112">
            <v>3.6061026352288486E-3</v>
          </cell>
          <cell r="K112">
            <v>150.8449020417379</v>
          </cell>
          <cell r="L112">
            <v>0.15084490204173789</v>
          </cell>
          <cell r="M112">
            <v>988.8721356069484</v>
          </cell>
        </row>
        <row r="113">
          <cell r="A113" t="str">
            <v>905000011</v>
          </cell>
          <cell r="B113" t="str">
            <v>RELLENO POLLO LAPIZ KILO</v>
          </cell>
          <cell r="C113" t="str">
            <v xml:space="preserve">ESP-RE-COFS-058 </v>
          </cell>
          <cell r="D113" t="str">
            <v>10</v>
          </cell>
          <cell r="E113" t="str">
            <v>Kilo</v>
          </cell>
          <cell r="F113" t="str">
            <v>Gramo</v>
          </cell>
          <cell r="G113">
            <v>2891.2931043524918</v>
          </cell>
          <cell r="H113">
            <v>2.8912931043524916</v>
          </cell>
          <cell r="I113">
            <v>29.305404784220034</v>
          </cell>
          <cell r="J113">
            <v>2.9305404784220033E-2</v>
          </cell>
          <cell r="K113">
            <v>525.70773164460809</v>
          </cell>
          <cell r="L113">
            <v>0.52570773164460805</v>
          </cell>
          <cell r="M113">
            <v>3446.30624078132</v>
          </cell>
        </row>
        <row r="114">
          <cell r="A114" t="str">
            <v>908000015</v>
          </cell>
          <cell r="B114" t="str">
            <v>COCCION FRIJOLES TIERNOS P/CHIFRIJO</v>
          </cell>
          <cell r="C114" t="str">
            <v xml:space="preserve">ESP-RE-COCS-017 </v>
          </cell>
          <cell r="D114" t="str">
            <v>13</v>
          </cell>
          <cell r="E114" t="str">
            <v>Kilo</v>
          </cell>
          <cell r="F114" t="str">
            <v>Gramo</v>
          </cell>
          <cell r="G114">
            <v>2843.6173195823785</v>
          </cell>
          <cell r="H114">
            <v>2.8436173195823784</v>
          </cell>
          <cell r="I114">
            <v>25.648831168831165</v>
          </cell>
          <cell r="J114">
            <v>2.5648831168831165E-2</v>
          </cell>
          <cell r="K114">
            <v>516.46790713521773</v>
          </cell>
          <cell r="L114">
            <v>0.51646790713521773</v>
          </cell>
          <cell r="M114">
            <v>3385.7340578864278</v>
          </cell>
        </row>
        <row r="115">
          <cell r="A115" t="str">
            <v>902000017</v>
          </cell>
          <cell r="B115" t="str">
            <v>BATIDO COCADA KILO</v>
          </cell>
          <cell r="C115" t="str">
            <v>ESP-RE-BAS-044</v>
          </cell>
          <cell r="D115" t="str">
            <v>06</v>
          </cell>
          <cell r="E115" t="str">
            <v>Kilo</v>
          </cell>
          <cell r="F115" t="str">
            <v>Gramo</v>
          </cell>
          <cell r="G115">
            <v>1781.7662381932223</v>
          </cell>
          <cell r="H115">
            <v>1.7817662381932222</v>
          </cell>
          <cell r="I115">
            <v>0</v>
          </cell>
          <cell r="J115">
            <v>0</v>
          </cell>
          <cell r="K115">
            <v>320.71792287478002</v>
          </cell>
          <cell r="L115">
            <v>0.32071792287478001</v>
          </cell>
          <cell r="M115">
            <v>2102.4841610680023</v>
          </cell>
        </row>
        <row r="116">
          <cell r="A116" t="str">
            <v>903000002</v>
          </cell>
          <cell r="B116" t="str">
            <v>PLANCHA P/COCADAS 4300g (UND)</v>
          </cell>
          <cell r="C116" t="str">
            <v>ESP-RE-BAS-002</v>
          </cell>
          <cell r="D116" t="str">
            <v>05</v>
          </cell>
          <cell r="E116" t="str">
            <v>Und</v>
          </cell>
          <cell r="F116" t="str">
            <v>Und</v>
          </cell>
          <cell r="G116">
            <v>7723.166824230856</v>
          </cell>
          <cell r="H116">
            <v>7723.166824230856</v>
          </cell>
          <cell r="I116">
            <v>32</v>
          </cell>
          <cell r="J116">
            <v>32</v>
          </cell>
          <cell r="K116">
            <v>1395.9300283615539</v>
          </cell>
          <cell r="L116">
            <v>1395.9300283615539</v>
          </cell>
          <cell r="M116">
            <v>9151.0968525924109</v>
          </cell>
        </row>
        <row r="117">
          <cell r="A117" t="str">
            <v>905000006</v>
          </cell>
          <cell r="B117" t="str">
            <v>RELLENO POLLO P/EMPANADA KILO</v>
          </cell>
          <cell r="C117" t="str">
            <v>ESP-RE-COCS-029</v>
          </cell>
          <cell r="D117" t="str">
            <v>18</v>
          </cell>
          <cell r="E117" t="str">
            <v>Kilo</v>
          </cell>
          <cell r="F117" t="str">
            <v>Gramo</v>
          </cell>
          <cell r="G117">
            <v>2457.40219241879</v>
          </cell>
          <cell r="H117">
            <v>2.4574021924187899</v>
          </cell>
          <cell r="I117">
            <v>0.31463414634146342</v>
          </cell>
          <cell r="J117">
            <v>3.1463414634146341E-4</v>
          </cell>
          <cell r="K117">
            <v>442.38902878172371</v>
          </cell>
          <cell r="L117">
            <v>0.4423890287817237</v>
          </cell>
          <cell r="M117">
            <v>2900.1058553468556</v>
          </cell>
        </row>
        <row r="118">
          <cell r="A118" t="str">
            <v>909000001</v>
          </cell>
          <cell r="B118" t="str">
            <v>EMPAQ RELLENO POLLO EMPANADA KILO</v>
          </cell>
          <cell r="C118" t="str">
            <v>ESP-RE-EMPS-001</v>
          </cell>
          <cell r="D118" t="str">
            <v>06</v>
          </cell>
          <cell r="E118" t="str">
            <v>Kilo</v>
          </cell>
          <cell r="F118" t="str">
            <v>Gramo</v>
          </cell>
          <cell r="G118">
            <v>2457.40219241879</v>
          </cell>
          <cell r="H118">
            <v>2.4574021924187899</v>
          </cell>
          <cell r="I118">
            <v>5.0858581463414643</v>
          </cell>
          <cell r="J118">
            <v>5.0858581463414645E-3</v>
          </cell>
          <cell r="K118">
            <v>443.2478491017236</v>
          </cell>
          <cell r="L118">
            <v>0.4432478491017236</v>
          </cell>
          <cell r="M118">
            <v>2905.7358996668549</v>
          </cell>
        </row>
        <row r="119">
          <cell r="A119" t="str">
            <v>906000004</v>
          </cell>
          <cell r="B119" t="str">
            <v>EMPANADA POLLO HOJALDRE GDE</v>
          </cell>
          <cell r="C119" t="str">
            <v>ESP-RE-PAPS-006</v>
          </cell>
          <cell r="D119" t="str">
            <v>04</v>
          </cell>
          <cell r="E119" t="str">
            <v>Und</v>
          </cell>
          <cell r="F119" t="str">
            <v>Und</v>
          </cell>
          <cell r="G119">
            <v>169.27995819744862</v>
          </cell>
          <cell r="H119">
            <v>169.27995819744862</v>
          </cell>
          <cell r="I119">
            <v>1.7511840693018672</v>
          </cell>
          <cell r="J119">
            <v>1.7511840693018672</v>
          </cell>
          <cell r="K119">
            <v>30.785605608015089</v>
          </cell>
          <cell r="L119">
            <v>30.785605608015089</v>
          </cell>
          <cell r="M119">
            <v>201.81674787476558</v>
          </cell>
        </row>
        <row r="120">
          <cell r="A120" t="str">
            <v>903000180</v>
          </cell>
          <cell r="B120" t="str">
            <v>CIRCULOS CHILENA INDIVIDUAL 14 cm</v>
          </cell>
          <cell r="C120" t="str">
            <v>ESP-RE-PAPS-103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62.3530659810354</v>
          </cell>
          <cell r="H120">
            <v>62.3530659810354</v>
          </cell>
          <cell r="I120">
            <v>0.20547005800000004</v>
          </cell>
          <cell r="J120">
            <v>0.20547005800000004</v>
          </cell>
          <cell r="K120">
            <v>11.260536487026371</v>
          </cell>
          <cell r="L120">
            <v>11.260536487026371</v>
          </cell>
          <cell r="M120">
            <v>73.819072526061774</v>
          </cell>
        </row>
        <row r="121">
          <cell r="A121" t="str">
            <v>96197</v>
          </cell>
          <cell r="B121" t="str">
            <v>MEZCLA DE YEMA PARA PINTAR KILO</v>
          </cell>
          <cell r="C121">
            <v>0</v>
          </cell>
          <cell r="D121">
            <v>0</v>
          </cell>
          <cell r="E121" t="str">
            <v>Kilo</v>
          </cell>
          <cell r="F121" t="str">
            <v>Gramo</v>
          </cell>
          <cell r="G121" t="e">
            <v>#N/A</v>
          </cell>
          <cell r="H121" t="e">
            <v>#N/A</v>
          </cell>
          <cell r="I121">
            <v>0</v>
          </cell>
          <cell r="J121">
            <v>0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903000161</v>
          </cell>
          <cell r="B122" t="str">
            <v xml:space="preserve">RUEDA FROLA EMPANADA TRES QUESOS </v>
          </cell>
          <cell r="C122" t="str">
            <v>ESP-RE-PAPS-176</v>
          </cell>
          <cell r="D122" t="str">
            <v>01</v>
          </cell>
          <cell r="E122" t="str">
            <v>Und</v>
          </cell>
          <cell r="F122" t="str">
            <v>Und</v>
          </cell>
          <cell r="G122">
            <v>20.37985214231956</v>
          </cell>
          <cell r="H122">
            <v>20.37985214231956</v>
          </cell>
          <cell r="I122">
            <v>8.6546463245492367E-2</v>
          </cell>
          <cell r="J122">
            <v>8.6546463245492367E-2</v>
          </cell>
          <cell r="K122">
            <v>3.6839517490017095</v>
          </cell>
          <cell r="L122">
            <v>3.6839517490017095</v>
          </cell>
          <cell r="M122">
            <v>24.150350354566765</v>
          </cell>
        </row>
        <row r="123">
          <cell r="A123" t="str">
            <v>90100137</v>
          </cell>
          <cell r="B123" t="str">
            <v>EMPAQUE HARINA ESTANDAR (KILO)</v>
          </cell>
          <cell r="C123" t="str">
            <v>ESP-RE-PRES-109</v>
          </cell>
          <cell r="D123" t="str">
            <v>01</v>
          </cell>
          <cell r="E123" t="str">
            <v>Kilo</v>
          </cell>
          <cell r="F123" t="str">
            <v>Gramo</v>
          </cell>
          <cell r="G123">
            <v>471.66</v>
          </cell>
          <cell r="H123">
            <v>0.47166000000000002</v>
          </cell>
          <cell r="I123">
            <v>7.5684571428571434</v>
          </cell>
          <cell r="J123">
            <v>7.5684571428571434E-3</v>
          </cell>
          <cell r="K123">
            <v>86.261122285714293</v>
          </cell>
          <cell r="L123">
            <v>8.6261122285714295E-2</v>
          </cell>
          <cell r="M123">
            <v>565.48957942857146</v>
          </cell>
        </row>
        <row r="124">
          <cell r="A124" t="str">
            <v>905000012</v>
          </cell>
          <cell r="B124" t="str">
            <v>RELLENO TRES QUESOS KILO</v>
          </cell>
          <cell r="C124" t="str">
            <v>ESP-RE-COCS-068</v>
          </cell>
          <cell r="D124" t="str">
            <v>02</v>
          </cell>
          <cell r="E124" t="str">
            <v>Kilo</v>
          </cell>
          <cell r="F124" t="str">
            <v>Gramo</v>
          </cell>
          <cell r="G124">
            <v>4185.0966740121567</v>
          </cell>
          <cell r="H124">
            <v>4.1850966740121569</v>
          </cell>
          <cell r="I124">
            <v>7.9973721757240481</v>
          </cell>
          <cell r="J124">
            <v>7.9973721757240473E-3</v>
          </cell>
          <cell r="K124">
            <v>754.75692831381855</v>
          </cell>
          <cell r="L124">
            <v>0.75475692831381858</v>
          </cell>
          <cell r="M124">
            <v>4947.8509745016991</v>
          </cell>
        </row>
        <row r="125">
          <cell r="A125" t="str">
            <v>906000027</v>
          </cell>
          <cell r="B125" t="str">
            <v>EMPANADA TRES QUESOS (UND)</v>
          </cell>
          <cell r="C125" t="str">
            <v>ESP-RE-PAPS-036</v>
          </cell>
          <cell r="D125" t="str">
            <v>03</v>
          </cell>
          <cell r="E125" t="str">
            <v>Und</v>
          </cell>
          <cell r="F125" t="str">
            <v>Und</v>
          </cell>
          <cell r="G125">
            <v>96.780541938967914</v>
          </cell>
          <cell r="H125">
            <v>96.780541938967914</v>
          </cell>
          <cell r="I125">
            <v>0.24103637556566809</v>
          </cell>
          <cell r="J125">
            <v>0.24103637556566809</v>
          </cell>
          <cell r="K125">
            <v>17.463884096616045</v>
          </cell>
          <cell r="L125">
            <v>17.463884096616045</v>
          </cell>
          <cell r="M125">
            <v>114.48546241114963</v>
          </cell>
        </row>
        <row r="126">
          <cell r="A126" t="str">
            <v>907000005</v>
          </cell>
          <cell r="B126" t="str">
            <v>MEZCLA P/FLAN COCO SPOON KILO</v>
          </cell>
          <cell r="C126" t="str">
            <v>ESP-RE-POS-018</v>
          </cell>
          <cell r="D126" t="str">
            <v>04</v>
          </cell>
          <cell r="E126" t="str">
            <v>Kilo</v>
          </cell>
          <cell r="F126" t="str">
            <v>Gramo</v>
          </cell>
          <cell r="G126">
            <v>1775.1662017647063</v>
          </cell>
          <cell r="H126">
            <v>1.7751662017647063</v>
          </cell>
          <cell r="I126">
            <v>0</v>
          </cell>
          <cell r="J126">
            <v>0</v>
          </cell>
          <cell r="K126">
            <v>319.52991631764712</v>
          </cell>
          <cell r="L126">
            <v>0.3195299163176471</v>
          </cell>
          <cell r="M126">
            <v>2094.6961180823537</v>
          </cell>
        </row>
        <row r="127">
          <cell r="A127" t="str">
            <v>908000060</v>
          </cell>
          <cell r="B127" t="str">
            <v>BASTONES QUESO TURRIALBA KILO</v>
          </cell>
          <cell r="C127">
            <v>0</v>
          </cell>
          <cell r="D127">
            <v>0</v>
          </cell>
          <cell r="E127" t="str">
            <v>Kilo</v>
          </cell>
          <cell r="F127" t="str">
            <v>Gramo</v>
          </cell>
          <cell r="G127">
            <v>3182.7906976744189</v>
          </cell>
          <cell r="H127">
            <v>3.1827906976744189</v>
          </cell>
          <cell r="I127">
            <v>1.3665116279069769</v>
          </cell>
          <cell r="J127">
            <v>1.3665116279069768E-3</v>
          </cell>
          <cell r="K127">
            <v>573.1482976744187</v>
          </cell>
          <cell r="L127">
            <v>0.57314829767441866</v>
          </cell>
          <cell r="M127">
            <v>3757.3055069767447</v>
          </cell>
        </row>
        <row r="128">
          <cell r="A128" t="str">
            <v>901000204</v>
          </cell>
          <cell r="B128" t="str">
            <v>TIQUEÑOS DE QUESO UND</v>
          </cell>
          <cell r="C128" t="str">
            <v>ESP-RE-COCS-214</v>
          </cell>
          <cell r="D128" t="str">
            <v>03</v>
          </cell>
          <cell r="E128" t="str">
            <v>Und</v>
          </cell>
          <cell r="F128" t="str">
            <v>Und</v>
          </cell>
          <cell r="G128">
            <v>55.504331965344278</v>
          </cell>
          <cell r="H128">
            <v>55.504331965344278</v>
          </cell>
          <cell r="I128">
            <v>1.0122308354866496E-2</v>
          </cell>
          <cell r="J128">
            <v>1.0122308354866496E-2</v>
          </cell>
          <cell r="K128">
            <v>9.9926017692658462</v>
          </cell>
          <cell r="L128">
            <v>9.9926017692658462</v>
          </cell>
          <cell r="M128">
            <v>65.50705604296499</v>
          </cell>
        </row>
        <row r="129">
          <cell r="A129" t="str">
            <v>901000112</v>
          </cell>
          <cell r="B129" t="str">
            <v>COCCION PICADILLO PLATANO CON CHORIZO KILO</v>
          </cell>
          <cell r="C129" t="str">
            <v>ESP-RE-COCS-141</v>
          </cell>
          <cell r="D129" t="str">
            <v>03</v>
          </cell>
          <cell r="E129" t="str">
            <v>Kilo</v>
          </cell>
          <cell r="F129" t="str">
            <v>Gramo</v>
          </cell>
          <cell r="G129">
            <v>1851.2152868207231</v>
          </cell>
          <cell r="H129">
            <v>1.8512152868207232</v>
          </cell>
          <cell r="I129">
            <v>0</v>
          </cell>
          <cell r="J129">
            <v>0</v>
          </cell>
          <cell r="K129">
            <v>333.21875162773017</v>
          </cell>
          <cell r="L129">
            <v>0.33321875162773018</v>
          </cell>
          <cell r="M129">
            <v>2184.4340384484531</v>
          </cell>
        </row>
        <row r="130">
          <cell r="A130" t="str">
            <v>905000007</v>
          </cell>
          <cell r="B130" t="str">
            <v>RELLENO PALMITO P/PASTEL (KILO)</v>
          </cell>
          <cell r="C130" t="str">
            <v>ESP-RE-COCS-030</v>
          </cell>
          <cell r="D130" t="str">
            <v>08</v>
          </cell>
          <cell r="E130" t="str">
            <v>Kilo</v>
          </cell>
          <cell r="F130" t="str">
            <v>Gramo</v>
          </cell>
          <cell r="G130">
            <v>1738.6705622585159</v>
          </cell>
          <cell r="H130">
            <v>1.7386705622585159</v>
          </cell>
          <cell r="I130">
            <v>15.485056330699075</v>
          </cell>
          <cell r="J130">
            <v>1.5485056330699075E-2</v>
          </cell>
          <cell r="K130">
            <v>315.74801134605872</v>
          </cell>
          <cell r="L130">
            <v>0.31574801134605873</v>
          </cell>
          <cell r="M130">
            <v>2069.9036299352738</v>
          </cell>
        </row>
        <row r="131">
          <cell r="A131" t="str">
            <v>903000128</v>
          </cell>
          <cell r="B131" t="str">
            <v>SOMBRERO PALMITO 65g UND</v>
          </cell>
          <cell r="C131" t="str">
            <v>ESP-RE-PAPS-146</v>
          </cell>
          <cell r="D131" t="str">
            <v>01</v>
          </cell>
          <cell r="E131" t="str">
            <v>Und</v>
          </cell>
          <cell r="F131" t="str">
            <v>Und</v>
          </cell>
          <cell r="G131">
            <v>79.434869964803099</v>
          </cell>
          <cell r="H131">
            <v>79.434869964803099</v>
          </cell>
          <cell r="I131">
            <v>1.0771822741528214</v>
          </cell>
          <cell r="J131">
            <v>1.0771822741528214</v>
          </cell>
          <cell r="K131">
            <v>14.492169403012065</v>
          </cell>
          <cell r="L131">
            <v>14.492169403012065</v>
          </cell>
          <cell r="M131">
            <v>95.004221641967987</v>
          </cell>
        </row>
        <row r="132">
          <cell r="A132" t="str">
            <v>903000026</v>
          </cell>
          <cell r="B132" t="str">
            <v>ROSQUETE TRES LECHES 430g</v>
          </cell>
          <cell r="C132" t="str">
            <v>ESP-RE-BAS-039</v>
          </cell>
          <cell r="D132" t="str">
            <v>15</v>
          </cell>
          <cell r="E132" t="str">
            <v>Und</v>
          </cell>
          <cell r="F132" t="str">
            <v>Und</v>
          </cell>
          <cell r="G132">
            <v>430.4016153794837</v>
          </cell>
          <cell r="H132">
            <v>430.4016153794837</v>
          </cell>
          <cell r="I132">
            <v>219.63802677142857</v>
          </cell>
          <cell r="J132">
            <v>219.63802677142857</v>
          </cell>
          <cell r="K132">
            <v>117.00713558716421</v>
          </cell>
          <cell r="L132">
            <v>117.00713558716421</v>
          </cell>
          <cell r="M132">
            <v>767.04677773807657</v>
          </cell>
        </row>
        <row r="133">
          <cell r="A133" t="str">
            <v>903000154</v>
          </cell>
          <cell r="B133" t="str">
            <v>RUEDA HOJALDRE EMPANADA POLLO PEQ</v>
          </cell>
          <cell r="C133" t="str">
            <v>ESP-RE-PAPS-173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16.870184191176474</v>
          </cell>
          <cell r="H133">
            <v>16.870184191176474</v>
          </cell>
          <cell r="I133">
            <v>7.8640056022408963E-2</v>
          </cell>
          <cell r="J133">
            <v>7.8640056022408963E-2</v>
          </cell>
          <cell r="K133">
            <v>3.0507883644957987</v>
          </cell>
          <cell r="L133">
            <v>3.0507883644957987</v>
          </cell>
          <cell r="M133">
            <v>19.99961261169468</v>
          </cell>
        </row>
        <row r="134">
          <cell r="A134" t="str">
            <v>906000005</v>
          </cell>
          <cell r="B134" t="str">
            <v>EMPANADA POLLO PEQUEÑA UND</v>
          </cell>
          <cell r="C134" t="str">
            <v>ESP-RE-PAPS-007</v>
          </cell>
          <cell r="D134" t="str">
            <v>05</v>
          </cell>
          <cell r="E134" t="str">
            <v>Und</v>
          </cell>
          <cell r="F134" t="str">
            <v>Und</v>
          </cell>
          <cell r="G134">
            <v>55.59532374412499</v>
          </cell>
          <cell r="H134">
            <v>55.59532374412499</v>
          </cell>
          <cell r="I134">
            <v>1.4062768996461026</v>
          </cell>
          <cell r="J134">
            <v>1.4062768996461026</v>
          </cell>
          <cell r="K134">
            <v>10.260288115878796</v>
          </cell>
          <cell r="L134">
            <v>10.260288115878796</v>
          </cell>
          <cell r="M134">
            <v>67.261888759649892</v>
          </cell>
        </row>
        <row r="135">
          <cell r="A135" t="str">
            <v>908000018</v>
          </cell>
          <cell r="B135" t="str">
            <v>COCCION SOPA AZTECA KILO</v>
          </cell>
          <cell r="C135" t="str">
            <v>ESP-RE-COCS-028</v>
          </cell>
          <cell r="D135" t="str">
            <v>17</v>
          </cell>
          <cell r="E135" t="str">
            <v>Kilo</v>
          </cell>
          <cell r="F135" t="str">
            <v>Gramo</v>
          </cell>
          <cell r="G135">
            <v>1061.5295089053998</v>
          </cell>
          <cell r="H135">
            <v>1.0615295089053998</v>
          </cell>
          <cell r="I135">
            <v>0</v>
          </cell>
          <cell r="J135">
            <v>0</v>
          </cell>
          <cell r="K135">
            <v>191.07531160297196</v>
          </cell>
          <cell r="L135">
            <v>0.19107531160297198</v>
          </cell>
          <cell r="M135">
            <v>1252.6048205083716</v>
          </cell>
        </row>
        <row r="136">
          <cell r="A136" t="str">
            <v>903000155</v>
          </cell>
          <cell r="B136" t="str">
            <v>CUADRO HOJALDRE ENCHILADA PAPA Y CARNE</v>
          </cell>
          <cell r="C136" t="str">
            <v>ESP-RE-PAPS-172</v>
          </cell>
          <cell r="D136" t="str">
            <v>01</v>
          </cell>
          <cell r="E136" t="str">
            <v>Und</v>
          </cell>
          <cell r="F136" t="str">
            <v>Und</v>
          </cell>
          <cell r="G136">
            <v>26.922222705882358</v>
          </cell>
          <cell r="H136">
            <v>26.922222705882358</v>
          </cell>
          <cell r="I136">
            <v>0.12582408963585434</v>
          </cell>
          <cell r="J136">
            <v>0.12582408963585434</v>
          </cell>
          <cell r="K136">
            <v>4.8686484231932781</v>
          </cell>
          <cell r="L136">
            <v>4.8686484231932781</v>
          </cell>
          <cell r="M136">
            <v>31.916695218711492</v>
          </cell>
        </row>
        <row r="137">
          <cell r="A137" t="str">
            <v>95460</v>
          </cell>
          <cell r="B137" t="str">
            <v>COCCION CARNE MECHADA KILO</v>
          </cell>
          <cell r="C137" t="str">
            <v>ESP-RE-COCS-057</v>
          </cell>
          <cell r="D137" t="str">
            <v>11</v>
          </cell>
          <cell r="E137" t="str">
            <v>Kilo</v>
          </cell>
          <cell r="F137" t="str">
            <v>Gramo</v>
          </cell>
          <cell r="G137">
            <v>6736.1386309523805</v>
          </cell>
          <cell r="H137">
            <v>6.7361386309523805</v>
          </cell>
          <cell r="I137">
            <v>14.144761904761904</v>
          </cell>
          <cell r="J137">
            <v>1.4144761904761903E-2</v>
          </cell>
          <cell r="K137">
            <v>1215.0510107142857</v>
          </cell>
          <cell r="L137">
            <v>1.2150510107142856</v>
          </cell>
          <cell r="M137">
            <v>7965.3344035714281</v>
          </cell>
        </row>
        <row r="138">
          <cell r="A138" t="str">
            <v>905000073</v>
          </cell>
          <cell r="B138" t="str">
            <v>RELLENO PAPA C/CARNE  ENCHILADA KILO</v>
          </cell>
          <cell r="C138" t="str">
            <v xml:space="preserve">ESP-RE-COCS-077 </v>
          </cell>
          <cell r="D138" t="str">
            <v>02</v>
          </cell>
          <cell r="E138" t="str">
            <v>Kilo</v>
          </cell>
          <cell r="F138" t="str">
            <v>Gramo</v>
          </cell>
          <cell r="G138">
            <v>2391.3247404528474</v>
          </cell>
          <cell r="H138">
            <v>2.3913247404528475</v>
          </cell>
          <cell r="I138">
            <v>2.3574603174603173</v>
          </cell>
          <cell r="J138">
            <v>2.3574603174603172E-3</v>
          </cell>
          <cell r="K138">
            <v>430.86279613865537</v>
          </cell>
          <cell r="L138">
            <v>0.43086279613865536</v>
          </cell>
          <cell r="M138">
            <v>2824.5449969089632</v>
          </cell>
        </row>
        <row r="139">
          <cell r="A139" t="str">
            <v>909000021</v>
          </cell>
          <cell r="B139" t="str">
            <v>EMPAQ RELL CARNE/PAPA ENCHILADA KILO</v>
          </cell>
          <cell r="C139" t="str">
            <v xml:space="preserve">ESP-RE-EMPS-016 </v>
          </cell>
          <cell r="D139" t="str">
            <v>01</v>
          </cell>
          <cell r="E139" t="str">
            <v>Kilo</v>
          </cell>
          <cell r="F139" t="str">
            <v>Gramo</v>
          </cell>
          <cell r="G139">
            <v>2391.3247404528474</v>
          </cell>
          <cell r="H139">
            <v>2.3913247404528475</v>
          </cell>
          <cell r="I139">
            <v>8.734682539682538</v>
          </cell>
          <cell r="J139">
            <v>8.7346825396825388E-3</v>
          </cell>
          <cell r="K139">
            <v>432.01069613865536</v>
          </cell>
          <cell r="L139">
            <v>0.43201069613865534</v>
          </cell>
          <cell r="M139">
            <v>2832.0701191311855</v>
          </cell>
        </row>
        <row r="140">
          <cell r="A140" t="str">
            <v>903000127</v>
          </cell>
          <cell r="B140" t="str">
            <v>ENCHILADA DE CARNE CON PAPA UND</v>
          </cell>
          <cell r="C140" t="str">
            <v xml:space="preserve">ESP-RE-PAPS-144  </v>
          </cell>
          <cell r="D140" t="str">
            <v>03</v>
          </cell>
          <cell r="E140" t="str">
            <v>Und</v>
          </cell>
          <cell r="F140" t="str">
            <v>Und</v>
          </cell>
          <cell r="G140">
            <v>123.26855043734452</v>
          </cell>
          <cell r="H140">
            <v>123.26855043734452</v>
          </cell>
          <cell r="I140">
            <v>0.9896663762231559</v>
          </cell>
          <cell r="J140">
            <v>0.9896663762231559</v>
          </cell>
          <cell r="K140">
            <v>22.366479026442178</v>
          </cell>
          <cell r="L140">
            <v>22.366479026442178</v>
          </cell>
          <cell r="M140">
            <v>146.62469584000985</v>
          </cell>
        </row>
        <row r="141">
          <cell r="A141" t="str">
            <v>90100084</v>
          </cell>
          <cell r="B141" t="str">
            <v>COCCION PAPA PICADA KILO</v>
          </cell>
          <cell r="C141" t="str">
            <v>ESP-RE-COCS-138</v>
          </cell>
          <cell r="D141" t="str">
            <v>01</v>
          </cell>
          <cell r="E141" t="str">
            <v>Kilo</v>
          </cell>
          <cell r="F141" t="str">
            <v>Gramo</v>
          </cell>
          <cell r="G141">
            <v>1708.8583333333333</v>
          </cell>
          <cell r="H141">
            <v>1.7088583333333334</v>
          </cell>
          <cell r="I141">
            <v>2.1280000000000001</v>
          </cell>
          <cell r="J141">
            <v>2.1280000000000001E-3</v>
          </cell>
          <cell r="K141">
            <v>307.97753999999998</v>
          </cell>
          <cell r="L141">
            <v>0.30797753999999999</v>
          </cell>
          <cell r="M141">
            <v>2018.9638733333331</v>
          </cell>
        </row>
        <row r="142">
          <cell r="A142" t="str">
            <v>908000055</v>
          </cell>
          <cell r="B142" t="str">
            <v>PURE PAPA NATURAL PLANTA KILO</v>
          </cell>
          <cell r="C142" t="str">
            <v>ESP-RE-COCS-082</v>
          </cell>
          <cell r="D142" t="str">
            <v>04</v>
          </cell>
          <cell r="E142" t="str">
            <v>Kilo</v>
          </cell>
          <cell r="F142" t="str">
            <v>Gramo</v>
          </cell>
          <cell r="G142">
            <v>1524.2537651787704</v>
          </cell>
          <cell r="H142">
            <v>1.5242537651787704</v>
          </cell>
          <cell r="I142">
            <v>6.9123456790123461</v>
          </cell>
          <cell r="J142">
            <v>6.9123456790123458E-3</v>
          </cell>
          <cell r="K142">
            <v>275.60989995440087</v>
          </cell>
          <cell r="L142">
            <v>0.27560989995440088</v>
          </cell>
          <cell r="M142">
            <v>1806.7760108121836</v>
          </cell>
        </row>
        <row r="143">
          <cell r="A143" t="str">
            <v>906000008</v>
          </cell>
          <cell r="B143" t="str">
            <v>PASTEL DE PALMITO PERSONAL (UND)</v>
          </cell>
          <cell r="C143" t="str">
            <v>ESP-RE-PAPS-011</v>
          </cell>
          <cell r="D143" t="str">
            <v>07</v>
          </cell>
          <cell r="E143" t="str">
            <v>Und</v>
          </cell>
          <cell r="F143" t="str">
            <v>Und</v>
          </cell>
          <cell r="G143">
            <v>187.56952190468286</v>
          </cell>
          <cell r="H143">
            <v>187.56952190468286</v>
          </cell>
          <cell r="I143">
            <v>1.3815713816651758</v>
          </cell>
          <cell r="J143">
            <v>1.3815713816651758</v>
          </cell>
          <cell r="K143">
            <v>34.011196791542645</v>
          </cell>
          <cell r="L143">
            <v>34.011196791542645</v>
          </cell>
          <cell r="M143">
            <v>222.96229007789066</v>
          </cell>
        </row>
        <row r="144">
          <cell r="A144" t="str">
            <v>95369</v>
          </cell>
          <cell r="B144" t="str">
            <v>BASE PREMEZCLA QUEQUE SECO KILO</v>
          </cell>
          <cell r="C144" t="str">
            <v xml:space="preserve">ESP-RE-PRES-010 </v>
          </cell>
          <cell r="D144" t="str">
            <v>04</v>
          </cell>
          <cell r="E144" t="str">
            <v>Kilo</v>
          </cell>
          <cell r="F144" t="str">
            <v>Gramo</v>
          </cell>
          <cell r="G144">
            <v>1186.7601363636361</v>
          </cell>
          <cell r="H144">
            <v>1.1867601363636362</v>
          </cell>
          <cell r="I144">
            <v>14.268916712030483</v>
          </cell>
          <cell r="J144">
            <v>1.4268916712030483E-2</v>
          </cell>
          <cell r="K144">
            <v>216.18522955361996</v>
          </cell>
          <cell r="L144">
            <v>0.21618522955361996</v>
          </cell>
          <cell r="M144">
            <v>1417.2142826292866</v>
          </cell>
        </row>
        <row r="145">
          <cell r="A145" t="str">
            <v>95345</v>
          </cell>
          <cell r="B145" t="str">
            <v>ROSQUETE QQ SECO C/PASAS (750g)</v>
          </cell>
          <cell r="C145" t="str">
            <v>ESP-RE-BAS-010</v>
          </cell>
          <cell r="D145" t="str">
            <v>06</v>
          </cell>
          <cell r="E145" t="str">
            <v>Und</v>
          </cell>
          <cell r="F145" t="str">
            <v>Und</v>
          </cell>
          <cell r="G145">
            <v>1599.2307268214713</v>
          </cell>
          <cell r="H145">
            <v>1599.2307268214713</v>
          </cell>
          <cell r="I145">
            <v>11.065724881701531</v>
          </cell>
          <cell r="J145">
            <v>11.065724881701531</v>
          </cell>
          <cell r="K145">
            <v>289.85336130657112</v>
          </cell>
          <cell r="L145">
            <v>289.85336130657112</v>
          </cell>
          <cell r="M145">
            <v>1900.1498130097439</v>
          </cell>
        </row>
        <row r="146">
          <cell r="A146" t="str">
            <v>908000011</v>
          </cell>
          <cell r="B146" t="str">
            <v>ALMIBAR P/PLATANOS KILO</v>
          </cell>
          <cell r="C146" t="str">
            <v>ESP-RE-COCS-012</v>
          </cell>
          <cell r="D146" t="str">
            <v>03</v>
          </cell>
          <cell r="E146" t="str">
            <v>Kilo</v>
          </cell>
          <cell r="F146" t="str">
            <v>Gramo</v>
          </cell>
          <cell r="G146">
            <v>297.36336996337002</v>
          </cell>
          <cell r="H146">
            <v>0.29736336996337004</v>
          </cell>
          <cell r="I146">
            <v>0</v>
          </cell>
          <cell r="J146">
            <v>0</v>
          </cell>
          <cell r="K146">
            <v>53.525406593406601</v>
          </cell>
          <cell r="L146">
            <v>5.3525406593406599E-2</v>
          </cell>
          <cell r="M146">
            <v>350.88877655677663</v>
          </cell>
        </row>
        <row r="147">
          <cell r="A147" t="str">
            <v>908000023</v>
          </cell>
          <cell r="B147" t="str">
            <v>PLATANOS MADUROS FRITOS (KILO)</v>
          </cell>
          <cell r="C147" t="str">
            <v>ESP-RE-COCS-039</v>
          </cell>
          <cell r="D147" t="str">
            <v>10</v>
          </cell>
          <cell r="E147" t="str">
            <v>Kilo</v>
          </cell>
          <cell r="F147" t="str">
            <v>Gramo</v>
          </cell>
          <cell r="G147">
            <v>1449.1490526776913</v>
          </cell>
          <cell r="H147">
            <v>1.4491490526776913</v>
          </cell>
          <cell r="I147">
            <v>0</v>
          </cell>
          <cell r="J147">
            <v>0</v>
          </cell>
          <cell r="K147">
            <v>260.8468294819844</v>
          </cell>
          <cell r="L147">
            <v>0.2608468294819844</v>
          </cell>
          <cell r="M147">
            <v>1709.9958821596756</v>
          </cell>
        </row>
        <row r="148">
          <cell r="A148" t="str">
            <v>901000051</v>
          </cell>
          <cell r="B148" t="str">
            <v>PREMEZCLA PASTA PIÑA SPOON KILO</v>
          </cell>
          <cell r="C148" t="str">
            <v>ESP-RE-PRES-055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950.97690992018261</v>
          </cell>
          <cell r="H148">
            <v>0.95097690992018258</v>
          </cell>
          <cell r="I148">
            <v>5.2831622957050559</v>
          </cell>
          <cell r="J148">
            <v>5.283162295705056E-3</v>
          </cell>
          <cell r="K148">
            <v>172.12681299885978</v>
          </cell>
          <cell r="L148">
            <v>0.17212681299885976</v>
          </cell>
          <cell r="M148">
            <v>1128.3868852147475</v>
          </cell>
        </row>
        <row r="149">
          <cell r="A149" t="str">
            <v>906000039</v>
          </cell>
          <cell r="B149" t="str">
            <v>PASTA P/EMPANADA PIÑA KILO</v>
          </cell>
          <cell r="C149" t="str">
            <v>ESP-RE-PAPS-041</v>
          </cell>
          <cell r="D149" t="str">
            <v>01</v>
          </cell>
          <cell r="E149" t="str">
            <v>Kilo</v>
          </cell>
          <cell r="F149" t="str">
            <v>Gramo</v>
          </cell>
          <cell r="G149">
            <v>1232.6494765720099</v>
          </cell>
          <cell r="H149">
            <v>1.23264947657201</v>
          </cell>
          <cell r="I149">
            <v>10.647894104882459</v>
          </cell>
          <cell r="J149">
            <v>1.0647894104882458E-2</v>
          </cell>
          <cell r="K149">
            <v>223.79352672184061</v>
          </cell>
          <cell r="L149">
            <v>0.22379352672184061</v>
          </cell>
          <cell r="M149">
            <v>1467.090897398733</v>
          </cell>
        </row>
        <row r="150">
          <cell r="A150" t="str">
            <v>90100098</v>
          </cell>
          <cell r="B150" t="str">
            <v>RELLENO PARA TARTA DE  ALMENDRAS KILO</v>
          </cell>
          <cell r="C150" t="str">
            <v>ESP-RE-POS-168</v>
          </cell>
          <cell r="D150" t="str">
            <v>01</v>
          </cell>
          <cell r="E150" t="str">
            <v>Kilo</v>
          </cell>
          <cell r="F150" t="str">
            <v>Gramo</v>
          </cell>
          <cell r="G150">
            <v>2036.2703360275962</v>
          </cell>
          <cell r="H150">
            <v>2.036270336027596</v>
          </cell>
          <cell r="I150">
            <v>3.4466157714285717</v>
          </cell>
          <cell r="J150">
            <v>3.4466157714285717E-3</v>
          </cell>
          <cell r="K150">
            <v>367.14905132382444</v>
          </cell>
          <cell r="L150">
            <v>0.36714905132382442</v>
          </cell>
          <cell r="M150">
            <v>2406.8660031228492</v>
          </cell>
        </row>
        <row r="151">
          <cell r="A151" t="str">
            <v>90100099</v>
          </cell>
          <cell r="B151" t="str">
            <v>PIE ALMENDRAS Y PECANAS PERS. UND</v>
          </cell>
          <cell r="C151" t="str">
            <v>ESP-RE-PAPS-169</v>
          </cell>
          <cell r="D151" t="str">
            <v>01</v>
          </cell>
          <cell r="E151" t="str">
            <v>Und</v>
          </cell>
          <cell r="F151" t="str">
            <v>Und</v>
          </cell>
          <cell r="G151">
            <v>229.25564983665876</v>
          </cell>
          <cell r="H151">
            <v>229.25564983665876</v>
          </cell>
          <cell r="I151">
            <v>0.94155955915009049</v>
          </cell>
          <cell r="J151">
            <v>0.94155955915009049</v>
          </cell>
          <cell r="K151">
            <v>41.435497691245587</v>
          </cell>
          <cell r="L151">
            <v>41.435497691245587</v>
          </cell>
          <cell r="M151">
            <v>271.63270708705443</v>
          </cell>
        </row>
        <row r="152">
          <cell r="A152" t="str">
            <v>95362</v>
          </cell>
          <cell r="B152" t="str">
            <v>BASE PREMEZCLA ARROLLADO SPOON KILO</v>
          </cell>
          <cell r="C152" t="str">
            <v xml:space="preserve">ESP-RE-PRES-008 </v>
          </cell>
          <cell r="D152" t="str">
            <v>08</v>
          </cell>
          <cell r="E152" t="str">
            <v>Kilo</v>
          </cell>
          <cell r="F152" t="str">
            <v>Gramo</v>
          </cell>
          <cell r="G152">
            <v>576.68437652811735</v>
          </cell>
          <cell r="H152">
            <v>0.57668437652811733</v>
          </cell>
          <cell r="I152">
            <v>17.277913610431948</v>
          </cell>
          <cell r="J152">
            <v>1.7277913610431947E-2</v>
          </cell>
          <cell r="K152">
            <v>106.91321222493887</v>
          </cell>
          <cell r="L152">
            <v>0.10691321222493888</v>
          </cell>
          <cell r="M152">
            <v>700.87550236348818</v>
          </cell>
        </row>
        <row r="153">
          <cell r="A153" t="str">
            <v>907000200</v>
          </cell>
          <cell r="B153" t="str">
            <v>BATIDO ROSQUETE ARROLLADO KILO</v>
          </cell>
          <cell r="C153" t="str">
            <v>ESP-RE-BAS-004</v>
          </cell>
          <cell r="D153" t="str">
            <v>08</v>
          </cell>
          <cell r="E153" t="str">
            <v>Kilo</v>
          </cell>
          <cell r="F153" t="str">
            <v>Gramo</v>
          </cell>
          <cell r="G153">
            <v>1452.5305766666668</v>
          </cell>
          <cell r="H153">
            <v>1.4525305766666667</v>
          </cell>
          <cell r="I153">
            <v>7.0666666666666664</v>
          </cell>
          <cell r="J153">
            <v>7.0666666666666664E-3</v>
          </cell>
          <cell r="K153">
            <v>262.72750380000002</v>
          </cell>
          <cell r="L153">
            <v>0.26272750380000004</v>
          </cell>
          <cell r="M153">
            <v>1722.3247471333334</v>
          </cell>
        </row>
        <row r="154">
          <cell r="A154" t="str">
            <v>903000003</v>
          </cell>
          <cell r="B154" t="str">
            <v>ROSQUETE P/ARROLLADO 1000g (UND)</v>
          </cell>
          <cell r="C154" t="str">
            <v>ESP-RE-BAS-110</v>
          </cell>
          <cell r="D154" t="str">
            <v>01</v>
          </cell>
          <cell r="E154" t="str">
            <v>Und</v>
          </cell>
          <cell r="F154" t="str">
            <v>Und</v>
          </cell>
          <cell r="G154">
            <v>1462.8362008277406</v>
          </cell>
          <cell r="H154">
            <v>1462.8362008277406</v>
          </cell>
          <cell r="I154">
            <v>92.81485415809523</v>
          </cell>
          <cell r="J154">
            <v>92.81485415809523</v>
          </cell>
          <cell r="K154">
            <v>280.01718989745041</v>
          </cell>
          <cell r="L154">
            <v>280.01718989745041</v>
          </cell>
          <cell r="M154">
            <v>1835.6682448832862</v>
          </cell>
        </row>
        <row r="155">
          <cell r="A155" t="str">
            <v>90100127</v>
          </cell>
          <cell r="B155" t="str">
            <v>SALSA DE AJI ( lasaña lomo) KILO</v>
          </cell>
          <cell r="C155" t="str">
            <v>ESP-RE-COCS-240</v>
          </cell>
          <cell r="D155" t="str">
            <v>01</v>
          </cell>
          <cell r="E155" t="str">
            <v>Kilo</v>
          </cell>
          <cell r="F155" t="str">
            <v>Gramo</v>
          </cell>
          <cell r="G155" t="e">
            <v>#N/A</v>
          </cell>
          <cell r="H155" t="e">
            <v>#N/A</v>
          </cell>
          <cell r="I155">
            <v>5.7258119658119657</v>
          </cell>
          <cell r="J155">
            <v>5.7258119658119659E-3</v>
          </cell>
          <cell r="K155" t="e">
            <v>#N/A</v>
          </cell>
          <cell r="L155" t="e">
            <v>#N/A</v>
          </cell>
          <cell r="M155" t="e">
            <v>#N/A</v>
          </cell>
        </row>
        <row r="156">
          <cell r="A156" t="str">
            <v>90100126</v>
          </cell>
          <cell r="B156" t="str">
            <v>RELLENO LOMO SALTEADO KILO</v>
          </cell>
          <cell r="C156" t="str">
            <v>ESP-RE-COCS-241</v>
          </cell>
          <cell r="D156" t="str">
            <v>02</v>
          </cell>
          <cell r="E156" t="str">
            <v>Kilo</v>
          </cell>
          <cell r="F156" t="str">
            <v>Gramo</v>
          </cell>
          <cell r="G156" t="e">
            <v>#N/A</v>
          </cell>
          <cell r="H156" t="e">
            <v>#N/A</v>
          </cell>
          <cell r="I156">
            <v>24.654285714285713</v>
          </cell>
          <cell r="J156">
            <v>2.4654285714285712E-2</v>
          </cell>
          <cell r="K156" t="e">
            <v>#N/A</v>
          </cell>
          <cell r="L156" t="e">
            <v>#N/A</v>
          </cell>
          <cell r="M156" t="e">
            <v>#N/A</v>
          </cell>
        </row>
        <row r="157">
          <cell r="A157" t="str">
            <v>95361</v>
          </cell>
          <cell r="B157" t="str">
            <v>BASE PREMEZCLA P/BROWNIE CASERO KILO</v>
          </cell>
          <cell r="C157" t="str">
            <v xml:space="preserve">ESP-RE-PRES-031 </v>
          </cell>
          <cell r="D157" t="str">
            <v>04</v>
          </cell>
          <cell r="E157" t="str">
            <v>Kilo</v>
          </cell>
          <cell r="F157" t="str">
            <v>Gramo</v>
          </cell>
          <cell r="G157">
            <v>1072.9232369515012</v>
          </cell>
          <cell r="H157">
            <v>1.0729232369515012</v>
          </cell>
          <cell r="I157">
            <v>12.579106805434751</v>
          </cell>
          <cell r="J157">
            <v>1.2579106805434752E-2</v>
          </cell>
          <cell r="K157">
            <v>195.39042187624847</v>
          </cell>
          <cell r="L157">
            <v>0.19539042187624847</v>
          </cell>
          <cell r="M157">
            <v>1280.8927656331844</v>
          </cell>
        </row>
        <row r="158">
          <cell r="A158" t="str">
            <v>902000014</v>
          </cell>
          <cell r="B158" t="str">
            <v>BATIDO BROWNIE CASERO KILO</v>
          </cell>
          <cell r="C158" t="str">
            <v>ESP-RE-BAS-036</v>
          </cell>
          <cell r="D158" t="str">
            <v>06</v>
          </cell>
          <cell r="E158" t="str">
            <v>Kilo</v>
          </cell>
          <cell r="F158" t="str">
            <v>Gramo</v>
          </cell>
          <cell r="G158">
            <v>1180.6517899637722</v>
          </cell>
          <cell r="H158">
            <v>1.1806517899637723</v>
          </cell>
          <cell r="I158">
            <v>14.451714285714285</v>
          </cell>
          <cell r="J158">
            <v>1.4451714285714285E-2</v>
          </cell>
          <cell r="K158">
            <v>215.11863076490758</v>
          </cell>
          <cell r="L158">
            <v>0.21511863076490759</v>
          </cell>
          <cell r="M158">
            <v>1410.2221350143941</v>
          </cell>
        </row>
        <row r="159">
          <cell r="A159" t="str">
            <v>903000025</v>
          </cell>
          <cell r="B159" t="str">
            <v>ROSQUETE BROWNIE CASERO 2000g</v>
          </cell>
          <cell r="C159" t="str">
            <v>ESP-RE-BAS-037</v>
          </cell>
          <cell r="D159" t="str">
            <v>04</v>
          </cell>
          <cell r="E159" t="str">
            <v>Und</v>
          </cell>
          <cell r="F159" t="str">
            <v>Und</v>
          </cell>
          <cell r="G159">
            <v>2425.6345916922501</v>
          </cell>
          <cell r="H159">
            <v>2425.6345916922501</v>
          </cell>
          <cell r="I159">
            <v>58.686285714285717</v>
          </cell>
          <cell r="J159">
            <v>58.686285714285717</v>
          </cell>
          <cell r="K159">
            <v>447.17775793317639</v>
          </cell>
          <cell r="L159">
            <v>447.17775793317639</v>
          </cell>
          <cell r="M159">
            <v>2931.4986353397121</v>
          </cell>
        </row>
        <row r="160">
          <cell r="A160" t="str">
            <v>901000025</v>
          </cell>
          <cell r="B160" t="str">
            <v>HUMUS GARBANZO KILO</v>
          </cell>
          <cell r="C160" t="str">
            <v>ESP-RE-COFS-057</v>
          </cell>
          <cell r="D160" t="str">
            <v>03</v>
          </cell>
          <cell r="E160" t="str">
            <v>Kilo</v>
          </cell>
          <cell r="F160" t="str">
            <v>Gramo</v>
          </cell>
          <cell r="G160">
            <v>1648.2287467331519</v>
          </cell>
          <cell r="H160">
            <v>1.6482287467331518</v>
          </cell>
          <cell r="I160">
            <v>10.4420793</v>
          </cell>
          <cell r="J160">
            <v>1.04420793E-2</v>
          </cell>
          <cell r="K160">
            <v>298.56074868596733</v>
          </cell>
          <cell r="L160">
            <v>0.29856074868596733</v>
          </cell>
          <cell r="M160">
            <v>1957.2315747191192</v>
          </cell>
        </row>
        <row r="161">
          <cell r="A161" t="str">
            <v>908000006</v>
          </cell>
          <cell r="B161" t="str">
            <v>COCCION FRIJOLES ARREGLADO P/CASADO KILO</v>
          </cell>
          <cell r="C161" t="str">
            <v>ESP-RE-COCS-006</v>
          </cell>
          <cell r="D161" t="str">
            <v>12</v>
          </cell>
          <cell r="E161" t="str">
            <v>Kilo</v>
          </cell>
          <cell r="F161" t="str">
            <v>Gramo</v>
          </cell>
          <cell r="G161">
            <v>1083.3376208243944</v>
          </cell>
          <cell r="H161">
            <v>1.0833376208243943</v>
          </cell>
          <cell r="I161">
            <v>22.402080999999999</v>
          </cell>
          <cell r="J161">
            <v>2.2402080999999997E-2</v>
          </cell>
          <cell r="K161">
            <v>199.03314632839098</v>
          </cell>
          <cell r="L161">
            <v>0.19903314632839098</v>
          </cell>
          <cell r="M161">
            <v>1304.7728481527854</v>
          </cell>
        </row>
        <row r="162">
          <cell r="A162" t="str">
            <v>904000021</v>
          </cell>
          <cell r="B162" t="str">
            <v>ADEREZO ALBAHACA KILO</v>
          </cell>
          <cell r="C162" t="str">
            <v>ESP-RE-COFS-013</v>
          </cell>
          <cell r="D162" t="str">
            <v>07</v>
          </cell>
          <cell r="E162" t="str">
            <v>Kilo</v>
          </cell>
          <cell r="F162" t="str">
            <v>Gramo</v>
          </cell>
          <cell r="G162">
            <v>1751.9241142691646</v>
          </cell>
          <cell r="H162">
            <v>1.7519241142691646</v>
          </cell>
          <cell r="I162">
            <v>16.855160311688312</v>
          </cell>
          <cell r="J162">
            <v>1.6855160311688312E-2</v>
          </cell>
          <cell r="K162">
            <v>318.38026942455349</v>
          </cell>
          <cell r="L162">
            <v>0.3183802694245535</v>
          </cell>
          <cell r="M162">
            <v>2087.1595440054061</v>
          </cell>
        </row>
        <row r="163">
          <cell r="A163" t="str">
            <v>909000009</v>
          </cell>
          <cell r="B163" t="str">
            <v>EMPAQUE MAYONESA SPOON KILO</v>
          </cell>
          <cell r="C163" t="str">
            <v xml:space="preserve">ESP-RE-EMPS-009 </v>
          </cell>
          <cell r="D163" t="str">
            <v>04</v>
          </cell>
          <cell r="E163" t="str">
            <v>Kilo</v>
          </cell>
          <cell r="F163" t="str">
            <v>Gramo</v>
          </cell>
          <cell r="G163">
            <v>1334.4017254674804</v>
          </cell>
          <cell r="H163">
            <v>1.3344017254674805</v>
          </cell>
          <cell r="I163">
            <v>20.635043565062389</v>
          </cell>
          <cell r="J163">
            <v>2.0635043565062388E-2</v>
          </cell>
          <cell r="K163">
            <v>243.90661842585772</v>
          </cell>
          <cell r="L163">
            <v>0.2439066184258577</v>
          </cell>
          <cell r="M163">
            <v>1598.9433874584006</v>
          </cell>
        </row>
        <row r="164">
          <cell r="A164" t="str">
            <v>90100142</v>
          </cell>
          <cell r="B164" t="str">
            <v>EMPAQUE SAL KILO</v>
          </cell>
          <cell r="C164" t="str">
            <v>ESP-RE-PRES-101</v>
          </cell>
          <cell r="D164" t="str">
            <v>01</v>
          </cell>
          <cell r="E164" t="str">
            <v>Kilo</v>
          </cell>
          <cell r="F164" t="str">
            <v>Gramo</v>
          </cell>
          <cell r="G164">
            <v>188</v>
          </cell>
          <cell r="H164">
            <v>0.188</v>
          </cell>
          <cell r="I164">
            <v>2.8256000000000006</v>
          </cell>
          <cell r="J164">
            <v>2.8256000000000006E-3</v>
          </cell>
          <cell r="K164">
            <v>34.348607999999999</v>
          </cell>
          <cell r="L164">
            <v>3.4348607999999996E-2</v>
          </cell>
          <cell r="M164">
            <v>225.17420800000002</v>
          </cell>
        </row>
        <row r="165">
          <cell r="A165" t="str">
            <v>901000090</v>
          </cell>
          <cell r="B165" t="str">
            <v>ADEREZO ROSADO KILO</v>
          </cell>
          <cell r="C165" t="str">
            <v>ESP-RE-COFS-025</v>
          </cell>
          <cell r="D165" t="str">
            <v>02</v>
          </cell>
          <cell r="E165" t="str">
            <v>Kilo</v>
          </cell>
          <cell r="F165" t="str">
            <v>Gramo</v>
          </cell>
          <cell r="G165">
            <v>912.09173894990397</v>
          </cell>
          <cell r="H165">
            <v>0.91209173894990392</v>
          </cell>
          <cell r="I165">
            <v>9.4019047855746329</v>
          </cell>
          <cell r="J165">
            <v>9.4019047855746322E-3</v>
          </cell>
          <cell r="K165">
            <v>165.86885587238615</v>
          </cell>
          <cell r="L165">
            <v>0.16586885587238615</v>
          </cell>
          <cell r="M165">
            <v>1087.3624996078647</v>
          </cell>
        </row>
        <row r="166">
          <cell r="A166" t="str">
            <v>903000177</v>
          </cell>
          <cell r="B166" t="str">
            <v>CORTE GALLETA ALFAJOR FLOR UND</v>
          </cell>
          <cell r="C166" t="str">
            <v xml:space="preserve">ESP-RE-PAPS-187 </v>
          </cell>
          <cell r="D166" t="str">
            <v>01</v>
          </cell>
          <cell r="E166" t="str">
            <v>und</v>
          </cell>
          <cell r="F166" t="str">
            <v>Und</v>
          </cell>
          <cell r="G166">
            <v>14.607320283712447</v>
          </cell>
          <cell r="H166">
            <v>14.607320283712447</v>
          </cell>
          <cell r="I166">
            <v>5.6610643267989202E-2</v>
          </cell>
          <cell r="J166">
            <v>5.6610643267989202E-2</v>
          </cell>
          <cell r="K166">
            <v>2.6395075668564782</v>
          </cell>
          <cell r="L166">
            <v>2.6395075668564782</v>
          </cell>
          <cell r="M166">
            <v>17.303438493836914</v>
          </cell>
        </row>
        <row r="167">
          <cell r="A167" t="str">
            <v>90100281</v>
          </cell>
          <cell r="B167" t="str">
            <v>COCCION CREMA DE GARBANZOS KILO</v>
          </cell>
          <cell r="C167" t="str">
            <v>ESP-RE-COCS-299</v>
          </cell>
          <cell r="D167" t="str">
            <v>03</v>
          </cell>
          <cell r="E167" t="str">
            <v>Kilo</v>
          </cell>
          <cell r="F167" t="str">
            <v>Gramo</v>
          </cell>
          <cell r="G167">
            <v>1121.007213420761</v>
          </cell>
          <cell r="H167">
            <v>1.1210072134207609</v>
          </cell>
          <cell r="I167">
            <v>3.4538553191489361</v>
          </cell>
          <cell r="J167">
            <v>3.453855319148936E-3</v>
          </cell>
          <cell r="K167">
            <v>202.40299237318379</v>
          </cell>
          <cell r="L167">
            <v>0.20240299237318379</v>
          </cell>
          <cell r="M167">
            <v>1326.8640611130936</v>
          </cell>
        </row>
        <row r="168">
          <cell r="A168" t="str">
            <v>901000182</v>
          </cell>
          <cell r="B168" t="str">
            <v>ADEREZO CULANTRO KILO</v>
          </cell>
          <cell r="C168" t="str">
            <v>ESP-RE-COFS-056</v>
          </cell>
          <cell r="D168" t="str">
            <v>01</v>
          </cell>
          <cell r="E168" t="str">
            <v>Kilo</v>
          </cell>
          <cell r="F168" t="str">
            <v>Gramo</v>
          </cell>
          <cell r="G168">
            <v>2055.3354175664022</v>
          </cell>
          <cell r="H168">
            <v>2.0553354175664023</v>
          </cell>
          <cell r="I168">
            <v>12.687077552673797</v>
          </cell>
          <cell r="J168">
            <v>1.2687077552673797E-2</v>
          </cell>
          <cell r="K168">
            <v>372.24404912143365</v>
          </cell>
          <cell r="L168">
            <v>0.37224404912143366</v>
          </cell>
          <cell r="M168">
            <v>2440.2665442405096</v>
          </cell>
        </row>
        <row r="169">
          <cell r="A169" t="str">
            <v>908000020</v>
          </cell>
          <cell r="B169" t="str">
            <v>COCCION FRIJOLES MOLIDOS SPOON KILO</v>
          </cell>
          <cell r="C169" t="str">
            <v>ESP-RE-COCS-033</v>
          </cell>
          <cell r="D169" t="str">
            <v>11</v>
          </cell>
          <cell r="E169" t="str">
            <v>Kilo</v>
          </cell>
          <cell r="F169" t="str">
            <v>Gramo</v>
          </cell>
          <cell r="G169">
            <v>1146.0535814128564</v>
          </cell>
          <cell r="H169">
            <v>1.1460535814128563</v>
          </cell>
          <cell r="I169">
            <v>3.8523219617713358</v>
          </cell>
          <cell r="J169">
            <v>3.8523219617713359E-3</v>
          </cell>
          <cell r="K169">
            <v>206.983062607433</v>
          </cell>
          <cell r="L169">
            <v>0.20698306260743299</v>
          </cell>
          <cell r="M169">
            <v>1356.8889659820607</v>
          </cell>
        </row>
        <row r="170">
          <cell r="A170" t="str">
            <v>905000010</v>
          </cell>
          <cell r="B170" t="str">
            <v>COCCION RELL POLLO/AJONJO (KILO)</v>
          </cell>
          <cell r="C170">
            <v>0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3543.2747029841298</v>
          </cell>
          <cell r="H170">
            <v>3.5432747029841298</v>
          </cell>
          <cell r="I170">
            <v>7.8262973840810126</v>
          </cell>
          <cell r="J170">
            <v>7.8262973840810129E-3</v>
          </cell>
          <cell r="K170">
            <v>639.19818006627793</v>
          </cell>
          <cell r="L170">
            <v>0.63919818006627793</v>
          </cell>
          <cell r="M170">
            <v>4190.2991804344892</v>
          </cell>
        </row>
        <row r="171">
          <cell r="A171" t="str">
            <v>903000144</v>
          </cell>
          <cell r="B171" t="str">
            <v>RUEDA FROLA 14 CM</v>
          </cell>
          <cell r="C171" t="str">
            <v>ESP-RE-PAPS-163</v>
          </cell>
          <cell r="D171" t="str">
            <v>02</v>
          </cell>
          <cell r="E171" t="str">
            <v>Und</v>
          </cell>
          <cell r="F171" t="str">
            <v>Und</v>
          </cell>
          <cell r="G171">
            <v>56.847809833333336</v>
          </cell>
          <cell r="H171">
            <v>56.847809833333336</v>
          </cell>
          <cell r="I171">
            <v>0.23957142857142857</v>
          </cell>
          <cell r="J171">
            <v>0.23957142857142857</v>
          </cell>
          <cell r="K171">
            <v>10.275728627142858</v>
          </cell>
          <cell r="L171">
            <v>10.275728627142858</v>
          </cell>
          <cell r="M171">
            <v>67.363109889047621</v>
          </cell>
        </row>
        <row r="172">
          <cell r="A172" t="str">
            <v>909000019</v>
          </cell>
          <cell r="B172" t="str">
            <v>EMPAQ RELLENO /AJONJOLI KILO</v>
          </cell>
          <cell r="C172" t="str">
            <v xml:space="preserve">ESP-RE-EMPS-051 </v>
          </cell>
          <cell r="D172" t="str">
            <v>04</v>
          </cell>
          <cell r="E172" t="str">
            <v>Kilo</v>
          </cell>
          <cell r="F172" t="str">
            <v>Gramo</v>
          </cell>
          <cell r="G172">
            <v>3543.2747029841298</v>
          </cell>
          <cell r="H172">
            <v>3.5432747029841298</v>
          </cell>
          <cell r="I172">
            <v>12.602297384081012</v>
          </cell>
          <cell r="J172">
            <v>1.2602297384081012E-2</v>
          </cell>
          <cell r="K172">
            <v>640.05786006627795</v>
          </cell>
          <cell r="L172">
            <v>0.64005786006627796</v>
          </cell>
          <cell r="M172">
            <v>4195.9348604344887</v>
          </cell>
        </row>
        <row r="173">
          <cell r="A173" t="str">
            <v>903000146</v>
          </cell>
          <cell r="B173" t="str">
            <v>EMPANADA POLLO Y HONGOS UND 130g</v>
          </cell>
          <cell r="C173" t="str">
            <v>ESP-RE-PAPS-164</v>
          </cell>
          <cell r="D173" t="str">
            <v>03</v>
          </cell>
          <cell r="E173" t="str">
            <v>Und</v>
          </cell>
          <cell r="F173" t="str">
            <v>Und</v>
          </cell>
          <cell r="G173">
            <v>292.50069486650881</v>
          </cell>
          <cell r="H173">
            <v>292.50069486650881</v>
          </cell>
          <cell r="I173">
            <v>2.4466140918700274</v>
          </cell>
          <cell r="J173">
            <v>2.4466140918700274</v>
          </cell>
          <cell r="K173">
            <v>53.090515612508185</v>
          </cell>
          <cell r="L173">
            <v>53.090515612508185</v>
          </cell>
          <cell r="M173">
            <v>348.03782457088698</v>
          </cell>
        </row>
        <row r="174">
          <cell r="A174" t="str">
            <v>904000004</v>
          </cell>
          <cell r="B174" t="str">
            <v>SALSA TAMARINDO (KILO)</v>
          </cell>
          <cell r="C174" t="str">
            <v xml:space="preserve">ESP-RE-COCS-023 </v>
          </cell>
          <cell r="D174" t="str">
            <v>10</v>
          </cell>
          <cell r="E174" t="str">
            <v>Kilo</v>
          </cell>
          <cell r="F174" t="str">
            <v>Gramo</v>
          </cell>
          <cell r="G174">
            <v>803.64453915337049</v>
          </cell>
          <cell r="H174">
            <v>0.80364453915337053</v>
          </cell>
          <cell r="I174">
            <v>3.3775132275132278</v>
          </cell>
          <cell r="J174">
            <v>3.3775132275132278E-3</v>
          </cell>
          <cell r="K174">
            <v>145.26396942855905</v>
          </cell>
          <cell r="L174">
            <v>0.14526396942855904</v>
          </cell>
          <cell r="M174">
            <v>952.28602180944267</v>
          </cell>
        </row>
        <row r="175">
          <cell r="A175" t="str">
            <v>904000026</v>
          </cell>
          <cell r="B175" t="str">
            <v>ADEREZO VINAGRETA ALBAHACA (KILO)</v>
          </cell>
          <cell r="C175" t="str">
            <v>ESP-RE-COFS-019</v>
          </cell>
          <cell r="D175" t="str">
            <v>03</v>
          </cell>
          <cell r="E175" t="str">
            <v>Kilo</v>
          </cell>
          <cell r="F175" t="str">
            <v>Gramo</v>
          </cell>
          <cell r="G175">
            <v>3031.9489472678761</v>
          </cell>
          <cell r="H175">
            <v>3.031948947267876</v>
          </cell>
          <cell r="I175">
            <v>2.0223145400593467</v>
          </cell>
          <cell r="J175">
            <v>2.022314540059347E-3</v>
          </cell>
          <cell r="K175">
            <v>546.11482712542829</v>
          </cell>
          <cell r="L175">
            <v>0.54611482712542825</v>
          </cell>
          <cell r="M175">
            <v>3580.0860889333635</v>
          </cell>
        </row>
        <row r="176">
          <cell r="A176" t="str">
            <v>908000057</v>
          </cell>
          <cell r="B176" t="str">
            <v>CHAOMING FRITO (KILO)</v>
          </cell>
          <cell r="C176" t="str">
            <v>ESP-RE-COCS-084</v>
          </cell>
          <cell r="D176" t="str">
            <v>07</v>
          </cell>
          <cell r="E176" t="str">
            <v>Kilo</v>
          </cell>
          <cell r="F176" t="str">
            <v>Gramo</v>
          </cell>
          <cell r="G176">
            <v>4113.7815126050427</v>
          </cell>
          <cell r="H176">
            <v>4.1137815126050423</v>
          </cell>
          <cell r="I176">
            <v>0</v>
          </cell>
          <cell r="J176">
            <v>0</v>
          </cell>
          <cell r="K176">
            <v>740.48067226890771</v>
          </cell>
          <cell r="L176">
            <v>0.74048067226890768</v>
          </cell>
          <cell r="M176">
            <v>4854.2621848739509</v>
          </cell>
        </row>
        <row r="177">
          <cell r="A177" t="str">
            <v>906000116</v>
          </cell>
          <cell r="B177" t="str">
            <v>PREMEZCLA PASTA HOJALDRE DEBIL KILO</v>
          </cell>
          <cell r="C177" t="str">
            <v>ESP-RE-PRES-114</v>
          </cell>
          <cell r="D177" t="str">
            <v>01</v>
          </cell>
          <cell r="E177" t="str">
            <v>Kilo</v>
          </cell>
          <cell r="F177" t="str">
            <v>Gramo</v>
          </cell>
          <cell r="G177">
            <v>740.94438050409963</v>
          </cell>
          <cell r="H177">
            <v>0.74094438050409961</v>
          </cell>
          <cell r="I177">
            <v>4.5486096047893803</v>
          </cell>
          <cell r="J177">
            <v>4.5486096047893804E-3</v>
          </cell>
          <cell r="K177">
            <v>134.18873821960003</v>
          </cell>
          <cell r="L177">
            <v>0.13418873821960003</v>
          </cell>
          <cell r="M177">
            <v>879.68172832848904</v>
          </cell>
        </row>
        <row r="178">
          <cell r="A178" t="str">
            <v>906000117</v>
          </cell>
          <cell r="B178" t="str">
            <v>PASTA HOJALDRE DEBIL KILO</v>
          </cell>
          <cell r="C178" t="str">
            <v>ESP-RE-PAPS-184</v>
          </cell>
          <cell r="D178" t="str">
            <v>01</v>
          </cell>
          <cell r="E178" t="str">
            <v>Kilo</v>
          </cell>
          <cell r="F178" t="str">
            <v>Gramo</v>
          </cell>
          <cell r="G178">
            <v>588.27664235924942</v>
          </cell>
          <cell r="H178">
            <v>0.58827664235924937</v>
          </cell>
          <cell r="I178">
            <v>3.4407659900421304</v>
          </cell>
          <cell r="J178">
            <v>3.4407659900421305E-3</v>
          </cell>
          <cell r="K178">
            <v>106.50913350287247</v>
          </cell>
          <cell r="L178">
            <v>0.10650913350287247</v>
          </cell>
          <cell r="M178">
            <v>698.22654185216402</v>
          </cell>
        </row>
        <row r="179">
          <cell r="A179" t="str">
            <v>906000014</v>
          </cell>
          <cell r="B179" t="str">
            <v>LAMINADO PASTA HOJALDRE (KILO)</v>
          </cell>
          <cell r="C179" t="str">
            <v>ESP-RE-PAPS-018</v>
          </cell>
          <cell r="D179" t="str">
            <v>06</v>
          </cell>
          <cell r="E179" t="str">
            <v>Und</v>
          </cell>
          <cell r="F179" t="str">
            <v>Und</v>
          </cell>
          <cell r="G179">
            <v>707.15772939441297</v>
          </cell>
          <cell r="H179">
            <v>707.15772939441297</v>
          </cell>
          <cell r="I179">
            <v>33.189083391191119</v>
          </cell>
          <cell r="J179">
            <v>33.189083391191119</v>
          </cell>
          <cell r="K179">
            <v>133.26242630140874</v>
          </cell>
          <cell r="L179">
            <v>133.26242630140874</v>
          </cell>
          <cell r="M179">
            <v>873.60923908701284</v>
          </cell>
        </row>
        <row r="180">
          <cell r="A180" t="str">
            <v>903000179</v>
          </cell>
          <cell r="B180" t="str">
            <v>CORTE LAMINAS MIL HOJAS 57 g</v>
          </cell>
          <cell r="C180" t="str">
            <v>ESP-RE-POS-197</v>
          </cell>
          <cell r="D180" t="str">
            <v>01</v>
          </cell>
          <cell r="E180" t="str">
            <v>Und</v>
          </cell>
          <cell r="F180" t="str">
            <v>Und</v>
          </cell>
          <cell r="G180">
            <v>61.49197646907939</v>
          </cell>
          <cell r="H180">
            <v>61.49197646907939</v>
          </cell>
          <cell r="I180">
            <v>2.8860072514079231</v>
          </cell>
          <cell r="J180">
            <v>2.8860072514079231</v>
          </cell>
          <cell r="K180">
            <v>11.588037069687715</v>
          </cell>
          <cell r="L180">
            <v>11.588037069687715</v>
          </cell>
          <cell r="M180">
            <v>75.966020790175023</v>
          </cell>
        </row>
        <row r="181">
          <cell r="A181" t="str">
            <v>904000014</v>
          </cell>
          <cell r="B181" t="str">
            <v>ADEREZO GRILL (KILO)</v>
          </cell>
          <cell r="C181" t="str">
            <v>ESP-RE-COFS-001</v>
          </cell>
          <cell r="D181" t="str">
            <v>11</v>
          </cell>
          <cell r="E181" t="str">
            <v>Kilo</v>
          </cell>
          <cell r="F181" t="str">
            <v>Gramo</v>
          </cell>
          <cell r="G181">
            <v>2072.7839970162045</v>
          </cell>
          <cell r="H181">
            <v>2.0727839970162045</v>
          </cell>
          <cell r="I181">
            <v>10.697192969504911</v>
          </cell>
          <cell r="J181">
            <v>1.0697192969504912E-2</v>
          </cell>
          <cell r="K181">
            <v>375.0266141974277</v>
          </cell>
          <cell r="L181">
            <v>0.37502661419742772</v>
          </cell>
          <cell r="M181">
            <v>2458.5078041831371</v>
          </cell>
        </row>
        <row r="182">
          <cell r="A182" t="str">
            <v>90100295</v>
          </cell>
          <cell r="B182" t="str">
            <v>ARROZ AMARILLO SPOON KILO</v>
          </cell>
          <cell r="C182" t="str">
            <v>ESP-RE-COCS-309</v>
          </cell>
          <cell r="D182" t="str">
            <v>01</v>
          </cell>
          <cell r="E182" t="str">
            <v>Kilo</v>
          </cell>
          <cell r="F182" t="str">
            <v>Gramo</v>
          </cell>
          <cell r="G182">
            <v>528.59558783539524</v>
          </cell>
          <cell r="H182">
            <v>0.52859558783539529</v>
          </cell>
          <cell r="I182">
            <v>1.0465185185185187E-2</v>
          </cell>
          <cell r="J182">
            <v>1.0465185185185187E-5</v>
          </cell>
          <cell r="K182">
            <v>95.149089543704477</v>
          </cell>
          <cell r="L182">
            <v>9.5149089543704476E-2</v>
          </cell>
          <cell r="M182">
            <v>623.75514256428494</v>
          </cell>
        </row>
        <row r="183">
          <cell r="A183" t="str">
            <v>90100296</v>
          </cell>
          <cell r="B183" t="str">
            <v>PECHUGA DESMENUZADA A MANO KILO</v>
          </cell>
          <cell r="C183" t="str">
            <v xml:space="preserve">ESP-RE-COCS-308 </v>
          </cell>
          <cell r="D183" t="str">
            <v>01</v>
          </cell>
          <cell r="E183" t="str">
            <v>Kilo</v>
          </cell>
          <cell r="F183" t="str">
            <v>Gramo</v>
          </cell>
          <cell r="G183">
            <v>4103.8530087904355</v>
          </cell>
          <cell r="H183">
            <v>4.1038530087904359</v>
          </cell>
          <cell r="I183">
            <v>45.517078059071729</v>
          </cell>
          <cell r="J183">
            <v>4.5517078059071729E-2</v>
          </cell>
          <cell r="K183">
            <v>746.88661563291123</v>
          </cell>
          <cell r="L183">
            <v>0.74688661563291125</v>
          </cell>
          <cell r="M183">
            <v>4896.2567024824184</v>
          </cell>
        </row>
        <row r="184">
          <cell r="A184" t="str">
            <v>90100297</v>
          </cell>
          <cell r="B184" t="str">
            <v>ARROZ CON POLLO SPOON KILO</v>
          </cell>
          <cell r="C184" t="str">
            <v>ESP-RE-COCS-210</v>
          </cell>
          <cell r="D184" t="str">
            <v>04</v>
          </cell>
          <cell r="E184" t="str">
            <v>Kilo</v>
          </cell>
          <cell r="F184" t="str">
            <v>Gramo</v>
          </cell>
          <cell r="G184">
            <v>1913.0413291736654</v>
          </cell>
          <cell r="H184">
            <v>1.9130413291736654</v>
          </cell>
          <cell r="I184">
            <v>13.609863255115824</v>
          </cell>
          <cell r="J184">
            <v>1.3609863255115824E-2</v>
          </cell>
          <cell r="K184">
            <v>346.79721463718062</v>
          </cell>
          <cell r="L184">
            <v>0.34679721463718061</v>
          </cell>
          <cell r="M184">
            <v>2273.4484070659619</v>
          </cell>
        </row>
        <row r="185">
          <cell r="A185" t="str">
            <v>903000159</v>
          </cell>
          <cell r="B185" t="str">
            <v>CORTE COSTILLAS PASTA HOJALDRE UND</v>
          </cell>
          <cell r="C185" t="str">
            <v>ESP-RE-PAPS-174</v>
          </cell>
          <cell r="D185" t="str">
            <v>01</v>
          </cell>
          <cell r="E185" t="str">
            <v>Und</v>
          </cell>
          <cell r="F185" t="str">
            <v>Und</v>
          </cell>
          <cell r="G185">
            <v>20.114514529411771</v>
          </cell>
          <cell r="H185">
            <v>20.114514529411771</v>
          </cell>
          <cell r="I185">
            <v>9.4368067226890756E-2</v>
          </cell>
          <cell r="J185">
            <v>9.4368067226890756E-2</v>
          </cell>
          <cell r="K185">
            <v>3.6375988673949591</v>
          </cell>
          <cell r="L185">
            <v>3.6375988673949591</v>
          </cell>
          <cell r="M185">
            <v>23.846481464033623</v>
          </cell>
        </row>
        <row r="186">
          <cell r="A186" t="str">
            <v>903000160</v>
          </cell>
          <cell r="B186" t="str">
            <v>COSTILLAS  HOJALDRE SIN RELLENO UND</v>
          </cell>
          <cell r="C186" t="str">
            <v>ESP-RE-PAPS-014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21.313640997532577</v>
          </cell>
          <cell r="H186">
            <v>21.313640997532577</v>
          </cell>
          <cell r="I186">
            <v>0.10510862660189076</v>
          </cell>
          <cell r="J186">
            <v>0.10510862660189076</v>
          </cell>
          <cell r="K186">
            <v>3.8553749323442039</v>
          </cell>
          <cell r="L186">
            <v>3.8553749323442039</v>
          </cell>
          <cell r="M186">
            <v>25.274124556478672</v>
          </cell>
        </row>
        <row r="187">
          <cell r="A187" t="str">
            <v>907000217</v>
          </cell>
          <cell r="B187" t="str">
            <v>RELLENO DE CHOCOMENTA KILO</v>
          </cell>
          <cell r="C187" t="str">
            <v>ESP-RE-POS-195</v>
          </cell>
          <cell r="D187" t="str">
            <v>01</v>
          </cell>
          <cell r="E187" t="str">
            <v>Kilo</v>
          </cell>
          <cell r="F187" t="str">
            <v>Gramo</v>
          </cell>
          <cell r="G187">
            <v>3316.0496144444446</v>
          </cell>
          <cell r="H187">
            <v>3.3160496144444447</v>
          </cell>
          <cell r="I187">
            <v>0</v>
          </cell>
          <cell r="J187">
            <v>0</v>
          </cell>
          <cell r="K187">
            <v>596.88893059999998</v>
          </cell>
          <cell r="L187">
            <v>0.59688893060000003</v>
          </cell>
          <cell r="M187">
            <v>3912.9385450444447</v>
          </cell>
        </row>
        <row r="188">
          <cell r="A188" t="str">
            <v>908000045</v>
          </cell>
          <cell r="B188" t="str">
            <v>GANACHE CHOCOLATE BLANCO (KILO)</v>
          </cell>
          <cell r="C188" t="str">
            <v>ESP-RE-COCS-067</v>
          </cell>
          <cell r="D188" t="str">
            <v>04</v>
          </cell>
          <cell r="E188" t="str">
            <v>Kilo</v>
          </cell>
          <cell r="F188" t="str">
            <v>Gramo</v>
          </cell>
          <cell r="G188">
            <v>2812.5260091552227</v>
          </cell>
          <cell r="H188">
            <v>2.8125260091552229</v>
          </cell>
          <cell r="I188">
            <v>0</v>
          </cell>
          <cell r="J188">
            <v>0</v>
          </cell>
          <cell r="K188">
            <v>506.25468164794006</v>
          </cell>
          <cell r="L188">
            <v>0.50625468164794007</v>
          </cell>
          <cell r="M188">
            <v>3318.7806908031625</v>
          </cell>
        </row>
        <row r="189">
          <cell r="A189" t="str">
            <v>907000219</v>
          </cell>
          <cell r="B189" t="str">
            <v>ROSQUETE BROWNIE MENTA UND</v>
          </cell>
          <cell r="C189" t="str">
            <v>ESP-RE-BAS-123</v>
          </cell>
          <cell r="D189" t="str">
            <v>01</v>
          </cell>
          <cell r="E189" t="str">
            <v>Und</v>
          </cell>
          <cell r="F189" t="str">
            <v>Und</v>
          </cell>
          <cell r="G189">
            <v>1244.9828017284781</v>
          </cell>
          <cell r="H189">
            <v>1244.9828017284781</v>
          </cell>
          <cell r="I189">
            <v>57.337428571428568</v>
          </cell>
          <cell r="J189">
            <v>57.337428571428568</v>
          </cell>
          <cell r="K189">
            <v>234.41764145398318</v>
          </cell>
          <cell r="L189">
            <v>234.41764145398318</v>
          </cell>
          <cell r="M189">
            <v>1536.7378717538897</v>
          </cell>
        </row>
        <row r="190">
          <cell r="A190" t="str">
            <v>907000220</v>
          </cell>
          <cell r="B190" t="str">
            <v>ENSAMBLE BROWNIE CHOCOMENTA PLANCHA</v>
          </cell>
          <cell r="C190" t="str">
            <v>ESP-RE-POS-194</v>
          </cell>
          <cell r="D190" t="str">
            <v>01</v>
          </cell>
          <cell r="E190" t="str">
            <v>Und</v>
          </cell>
          <cell r="F190" t="str">
            <v>Und</v>
          </cell>
          <cell r="G190">
            <v>4561.0324161729222</v>
          </cell>
          <cell r="H190">
            <v>4561.0324161729222</v>
          </cell>
          <cell r="I190">
            <v>57.337428571428568</v>
          </cell>
          <cell r="J190">
            <v>57.337428571428568</v>
          </cell>
          <cell r="K190">
            <v>831.30657205398313</v>
          </cell>
          <cell r="L190">
            <v>831.30657205398313</v>
          </cell>
          <cell r="M190">
            <v>5449.6764167983347</v>
          </cell>
        </row>
        <row r="191">
          <cell r="A191" t="str">
            <v>907000223</v>
          </cell>
          <cell r="B191" t="str">
            <v xml:space="preserve">PREMEZCLA BROWNIE BLONDIE PECANA </v>
          </cell>
          <cell r="C191" t="str">
            <v xml:space="preserve">ESP-RE-PRES-116  </v>
          </cell>
          <cell r="D191" t="str">
            <v>01</v>
          </cell>
          <cell r="E191" t="str">
            <v>Kilo</v>
          </cell>
          <cell r="F191" t="str">
            <v>Gramo</v>
          </cell>
          <cell r="G191">
            <v>1098.0263802302725</v>
          </cell>
          <cell r="H191">
            <v>1.0980263802302725</v>
          </cell>
          <cell r="I191">
            <v>8.239114213503429</v>
          </cell>
          <cell r="J191">
            <v>8.239114213503429E-3</v>
          </cell>
          <cell r="K191">
            <v>199.12778899987964</v>
          </cell>
          <cell r="L191">
            <v>0.19912778899987965</v>
          </cell>
          <cell r="M191">
            <v>1305.3932834436555</v>
          </cell>
        </row>
        <row r="192">
          <cell r="A192" t="str">
            <v>907000221</v>
          </cell>
          <cell r="B192" t="str">
            <v xml:space="preserve">BATIDO DE BROWNIE BLONDIE </v>
          </cell>
          <cell r="C192" t="str">
            <v>ESP-RE-BAS-125</v>
          </cell>
          <cell r="D192" t="str">
            <v>01</v>
          </cell>
          <cell r="E192" t="str">
            <v>Kilo</v>
          </cell>
          <cell r="F192" t="str">
            <v>Gramo</v>
          </cell>
          <cell r="G192">
            <v>1803.9857623093683</v>
          </cell>
          <cell r="H192">
            <v>1.8039857623093682</v>
          </cell>
          <cell r="I192">
            <v>5.433238095238095</v>
          </cell>
          <cell r="J192">
            <v>5.4332380952380951E-3</v>
          </cell>
          <cell r="K192">
            <v>325.69542007282911</v>
          </cell>
          <cell r="L192">
            <v>0.32569542007282909</v>
          </cell>
          <cell r="M192">
            <v>2135.1144204774355</v>
          </cell>
        </row>
        <row r="193">
          <cell r="A193" t="str">
            <v>907000222</v>
          </cell>
          <cell r="B193" t="str">
            <v>PLANCHA BROWNIE BLONDIE</v>
          </cell>
          <cell r="C193" t="str">
            <v>ESP-RE-BAS-124</v>
          </cell>
          <cell r="D193" t="str">
            <v>01</v>
          </cell>
          <cell r="E193" t="str">
            <v>Und</v>
          </cell>
          <cell r="F193" t="str">
            <v>Und</v>
          </cell>
          <cell r="G193">
            <v>3672.5816736383445</v>
          </cell>
          <cell r="H193">
            <v>3672.5816736383445</v>
          </cell>
          <cell r="I193">
            <v>58.517269841269844</v>
          </cell>
          <cell r="J193">
            <v>58.517269841269844</v>
          </cell>
          <cell r="K193">
            <v>671.59780982633049</v>
          </cell>
          <cell r="L193">
            <v>671.59780982633049</v>
          </cell>
          <cell r="M193">
            <v>4402.6967533059451</v>
          </cell>
        </row>
        <row r="194">
          <cell r="A194" t="str">
            <v>908000050</v>
          </cell>
          <cell r="B194" t="str">
            <v>QUESO PARMESANO LAMINADO (KILO)</v>
          </cell>
          <cell r="C194">
            <v>0</v>
          </cell>
          <cell r="D194">
            <v>0</v>
          </cell>
          <cell r="E194" t="str">
            <v>Kilo</v>
          </cell>
          <cell r="F194" t="str">
            <v>Gramo</v>
          </cell>
          <cell r="G194">
            <v>10976.918536655012</v>
          </cell>
          <cell r="H194">
            <v>10.976918536655011</v>
          </cell>
          <cell r="I194">
            <v>3.9039627039627041</v>
          </cell>
          <cell r="J194">
            <v>3.9039627039627041E-3</v>
          </cell>
          <cell r="K194">
            <v>1976.5480498846152</v>
          </cell>
          <cell r="L194">
            <v>1.9765480498846153</v>
          </cell>
          <cell r="M194">
            <v>12957.370549243589</v>
          </cell>
        </row>
        <row r="195">
          <cell r="A195" t="str">
            <v>95374</v>
          </cell>
          <cell r="B195" t="str">
            <v>BASE PREMEZ PALITOS QUESO SPOON KILO</v>
          </cell>
          <cell r="C195" t="str">
            <v xml:space="preserve">ESP-RE-PRES-038 </v>
          </cell>
          <cell r="D195" t="str">
            <v>06</v>
          </cell>
          <cell r="E195" t="str">
            <v>Kilo</v>
          </cell>
          <cell r="F195" t="str">
            <v>Gramo</v>
          </cell>
          <cell r="G195">
            <v>666.88618064516129</v>
          </cell>
          <cell r="H195">
            <v>0.66688618064516125</v>
          </cell>
          <cell r="I195">
            <v>6.2967741935483872</v>
          </cell>
          <cell r="J195">
            <v>6.2967741935483872E-3</v>
          </cell>
          <cell r="K195">
            <v>121.17293187096773</v>
          </cell>
          <cell r="L195">
            <v>0.12117293187096773</v>
          </cell>
          <cell r="M195">
            <v>794.35588670967741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4714.0084658791829</v>
          </cell>
          <cell r="H196">
            <v>4.714008465879183</v>
          </cell>
          <cell r="I196">
            <v>4.5395334193548385</v>
          </cell>
          <cell r="J196">
            <v>4.5395334193548383E-3</v>
          </cell>
          <cell r="K196">
            <v>849.33863987373672</v>
          </cell>
          <cell r="L196">
            <v>0.8493386398737367</v>
          </cell>
          <cell r="M196">
            <v>5567.886639172274</v>
          </cell>
        </row>
        <row r="197">
          <cell r="A197" t="str">
            <v>904000017</v>
          </cell>
          <cell r="B197" t="str">
            <v>ADEREZO ALCAPARRAS/ANCHOAS (KILO)</v>
          </cell>
          <cell r="C197" t="str">
            <v>ESP-RE-COFS-004</v>
          </cell>
          <cell r="D197" t="str">
            <v>08</v>
          </cell>
          <cell r="E197" t="str">
            <v>Kilo</v>
          </cell>
          <cell r="F197" t="str">
            <v>Gramo</v>
          </cell>
          <cell r="G197">
            <v>2975.1309180918556</v>
          </cell>
          <cell r="H197">
            <v>2.9751309180918555</v>
          </cell>
          <cell r="I197">
            <v>0.60572609692513368</v>
          </cell>
          <cell r="J197">
            <v>6.0572609692513373E-4</v>
          </cell>
          <cell r="K197">
            <v>535.63259595398051</v>
          </cell>
          <cell r="L197">
            <v>0.53563259595398049</v>
          </cell>
          <cell r="M197">
            <v>3511.3692401427611</v>
          </cell>
        </row>
        <row r="198">
          <cell r="A198" t="str">
            <v>90100279</v>
          </cell>
          <cell r="B198" t="str">
            <v>SALSA DE CULANTRO KILO</v>
          </cell>
          <cell r="C198" t="str">
            <v xml:space="preserve">ESP-RE-COFF-081 </v>
          </cell>
          <cell r="D198" t="str">
            <v>01</v>
          </cell>
          <cell r="E198" t="str">
            <v>Kilo</v>
          </cell>
          <cell r="F198" t="str">
            <v>Gramo</v>
          </cell>
          <cell r="G198">
            <v>1002.8525921300857</v>
          </cell>
          <cell r="H198">
            <v>1.0028525921300857</v>
          </cell>
          <cell r="I198">
            <v>1.2200174857142856</v>
          </cell>
          <cell r="J198">
            <v>1.2200174857142855E-3</v>
          </cell>
          <cell r="K198">
            <v>180.73306973084399</v>
          </cell>
          <cell r="L198">
            <v>0.18073306973084399</v>
          </cell>
          <cell r="M198">
            <v>1184.805679346644</v>
          </cell>
        </row>
        <row r="199">
          <cell r="A199" t="str">
            <v>95376</v>
          </cell>
          <cell r="B199" t="str">
            <v>PREMEZCLA CANASTA/TARTALETA KILO</v>
          </cell>
          <cell r="C199" t="str">
            <v xml:space="preserve">ESP-RE-PRES-023 </v>
          </cell>
          <cell r="D199" t="str">
            <v>06</v>
          </cell>
          <cell r="E199" t="str">
            <v>Kilo</v>
          </cell>
          <cell r="F199" t="str">
            <v>Gramo</v>
          </cell>
          <cell r="G199">
            <v>819.33004881295778</v>
          </cell>
          <cell r="H199">
            <v>0.81933004881295779</v>
          </cell>
          <cell r="I199">
            <v>13.287936578373678</v>
          </cell>
          <cell r="J199">
            <v>1.3287936578373677E-2</v>
          </cell>
          <cell r="K199">
            <v>149.87123737043964</v>
          </cell>
          <cell r="L199">
            <v>0.14987123737043964</v>
          </cell>
          <cell r="M199">
            <v>982.48922276177109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1391.2031059679146</v>
          </cell>
          <cell r="H200">
            <v>1.3912031059679146</v>
          </cell>
          <cell r="I200">
            <v>10.030880230880232</v>
          </cell>
          <cell r="J200">
            <v>1.0030880230880232E-2</v>
          </cell>
          <cell r="K200">
            <v>252.22211751578305</v>
          </cell>
          <cell r="L200">
            <v>0.25222211751578305</v>
          </cell>
          <cell r="M200">
            <v>1653.4561037145779</v>
          </cell>
        </row>
        <row r="201">
          <cell r="A201" t="str">
            <v>906000020</v>
          </cell>
          <cell r="B201" t="str">
            <v>CORTE CANASTA (UND)</v>
          </cell>
          <cell r="C201" t="str">
            <v>ESP-RE-PAPS-026</v>
          </cell>
          <cell r="D201" t="str">
            <v>02</v>
          </cell>
          <cell r="E201" t="str">
            <v>Und</v>
          </cell>
          <cell r="F201" t="str">
            <v>Und</v>
          </cell>
          <cell r="G201">
            <v>25.041655907422463</v>
          </cell>
          <cell r="H201">
            <v>25.041655907422463</v>
          </cell>
          <cell r="I201">
            <v>0.18055584415584419</v>
          </cell>
          <cell r="J201">
            <v>0.18055584415584419</v>
          </cell>
          <cell r="K201">
            <v>4.5399981152840949</v>
          </cell>
          <cell r="L201">
            <v>4.5399981152840949</v>
          </cell>
          <cell r="M201">
            <v>29.762209866862403</v>
          </cell>
        </row>
        <row r="202">
          <cell r="A202" t="str">
            <v>90100090</v>
          </cell>
          <cell r="B202" t="str">
            <v>RELLENO DE PIÑA PARA EMPANADA KILO</v>
          </cell>
          <cell r="C202">
            <v>0</v>
          </cell>
          <cell r="D202">
            <v>0</v>
          </cell>
          <cell r="E202" t="str">
            <v>Kilo</v>
          </cell>
          <cell r="F202" t="str">
            <v>Gramo</v>
          </cell>
          <cell r="G202">
            <v>3270.8350077097502</v>
          </cell>
          <cell r="H202">
            <v>3.2708350077097501</v>
          </cell>
          <cell r="I202">
            <v>17.044706705539362</v>
          </cell>
          <cell r="J202">
            <v>1.7044706705539363E-2</v>
          </cell>
          <cell r="K202">
            <v>591.81834859475214</v>
          </cell>
          <cell r="L202">
            <v>0.59181834859475213</v>
          </cell>
          <cell r="M202">
            <v>3879.6980630100416</v>
          </cell>
        </row>
        <row r="203">
          <cell r="A203" t="str">
            <v>903000142</v>
          </cell>
          <cell r="B203" t="str">
            <v>EMPANADA PIÑA PASTA FROLA UND</v>
          </cell>
          <cell r="C203">
            <v>0</v>
          </cell>
          <cell r="D203">
            <v>0</v>
          </cell>
          <cell r="E203" t="str">
            <v>Und</v>
          </cell>
          <cell r="F203" t="str">
            <v>Und</v>
          </cell>
          <cell r="G203">
            <v>107.43563709692329</v>
          </cell>
          <cell r="H203">
            <v>107.43563709692329</v>
          </cell>
          <cell r="I203">
            <v>1.5198763361544341</v>
          </cell>
          <cell r="J203">
            <v>1.5198763361544341</v>
          </cell>
          <cell r="K203">
            <v>19.611992417953989</v>
          </cell>
          <cell r="L203">
            <v>19.611992417953989</v>
          </cell>
          <cell r="M203">
            <v>128.56750585103171</v>
          </cell>
        </row>
        <row r="204">
          <cell r="A204" t="str">
            <v>90100280</v>
          </cell>
          <cell r="B204" t="str">
            <v>SALSA POMODORO KILO</v>
          </cell>
          <cell r="C204" t="str">
            <v xml:space="preserve">ESP-RE-COCS-295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1469.1530060438579</v>
          </cell>
          <cell r="H204">
            <v>1.4691530060438578</v>
          </cell>
          <cell r="I204">
            <v>0</v>
          </cell>
          <cell r="J204">
            <v>0</v>
          </cell>
          <cell r="K204">
            <v>264.44754108789442</v>
          </cell>
          <cell r="L204">
            <v>0.26444754108789442</v>
          </cell>
          <cell r="M204">
            <v>1733.6005471317524</v>
          </cell>
        </row>
        <row r="205">
          <cell r="A205" t="str">
            <v>90100115</v>
          </cell>
          <cell r="B205" t="str">
            <v>SALSA NARANJA KILO</v>
          </cell>
          <cell r="C205" t="str">
            <v>ESP-RE-COCS-233</v>
          </cell>
          <cell r="D205" t="str">
            <v>03</v>
          </cell>
          <cell r="E205" t="str">
            <v>Kilo</v>
          </cell>
          <cell r="F205" t="str">
            <v>Gramo</v>
          </cell>
          <cell r="G205">
            <v>1595.3646328920349</v>
          </cell>
          <cell r="H205">
            <v>1.595364632892035</v>
          </cell>
          <cell r="I205">
            <v>3.886251885714286</v>
          </cell>
          <cell r="J205">
            <v>3.8862518857142861E-3</v>
          </cell>
          <cell r="K205">
            <v>287.86515925999487</v>
          </cell>
          <cell r="L205">
            <v>0.2878651592599949</v>
          </cell>
          <cell r="M205">
            <v>1887.1160440377441</v>
          </cell>
        </row>
        <row r="206">
          <cell r="A206" t="str">
            <v>904000003</v>
          </cell>
          <cell r="B206" t="str">
            <v>SALSA LIMON/ALCAPARRAS (KILO)</v>
          </cell>
          <cell r="C206" t="str">
            <v>ESP-RE-COCS-021</v>
          </cell>
          <cell r="D206" t="str">
            <v>06</v>
          </cell>
          <cell r="E206" t="str">
            <v>Kilo</v>
          </cell>
          <cell r="F206" t="str">
            <v>Gramo</v>
          </cell>
          <cell r="G206">
            <v>1575.6693473069802</v>
          </cell>
          <cell r="H206">
            <v>1.5756693473069803</v>
          </cell>
          <cell r="I206">
            <v>7.0306436666666663</v>
          </cell>
          <cell r="J206">
            <v>7.0306436666666659E-3</v>
          </cell>
          <cell r="K206">
            <v>284.88599837525641</v>
          </cell>
          <cell r="L206">
            <v>0.28488599837525641</v>
          </cell>
          <cell r="M206">
            <v>1867.5859893489032</v>
          </cell>
        </row>
        <row r="207">
          <cell r="A207" t="str">
            <v>90100120</v>
          </cell>
          <cell r="B207" t="str">
            <v>SALSA MONGOLIAN KILO</v>
          </cell>
          <cell r="C207" t="str">
            <v>ESP-RE-COCS-238</v>
          </cell>
          <cell r="D207" t="str">
            <v>02</v>
          </cell>
          <cell r="E207" t="str">
            <v>Kilo</v>
          </cell>
          <cell r="F207" t="str">
            <v>Gramo</v>
          </cell>
          <cell r="G207">
            <v>1440.1729322128851</v>
          </cell>
          <cell r="H207">
            <v>1.4401729322128851</v>
          </cell>
          <cell r="I207">
            <v>0</v>
          </cell>
          <cell r="J207">
            <v>0</v>
          </cell>
          <cell r="K207">
            <v>259.23112779831933</v>
          </cell>
          <cell r="L207">
            <v>0.25923112779831936</v>
          </cell>
          <cell r="M207">
            <v>1699.4040600112044</v>
          </cell>
        </row>
        <row r="208">
          <cell r="A208" t="str">
            <v>904000009</v>
          </cell>
          <cell r="B208" t="str">
            <v>SALSA P/ARREGLADO (KILO)</v>
          </cell>
          <cell r="C208" t="str">
            <v>ESP-RE-COFS-059</v>
          </cell>
          <cell r="D208" t="str">
            <v>06</v>
          </cell>
          <cell r="E208" t="str">
            <v>Kilo</v>
          </cell>
          <cell r="F208" t="str">
            <v>Gramo</v>
          </cell>
          <cell r="G208">
            <v>1875.397432828519</v>
          </cell>
          <cell r="H208">
            <v>1.875397432828519</v>
          </cell>
          <cell r="I208">
            <v>30.152380952380952</v>
          </cell>
          <cell r="J208">
            <v>3.0152380952380951E-2</v>
          </cell>
          <cell r="K208">
            <v>342.99896648056199</v>
          </cell>
          <cell r="L208">
            <v>0.342998966480562</v>
          </cell>
          <cell r="M208">
            <v>2248.5487802614621</v>
          </cell>
        </row>
        <row r="209">
          <cell r="A209" t="str">
            <v>904000020</v>
          </cell>
          <cell r="B209" t="str">
            <v>ADEREZO ACEITE AJO Y PEREJIL (KILO)</v>
          </cell>
          <cell r="C209" t="str">
            <v>ESP-RE-COFS-012</v>
          </cell>
          <cell r="D209" t="str">
            <v>05</v>
          </cell>
          <cell r="E209" t="str">
            <v>Kilo</v>
          </cell>
          <cell r="F209" t="str">
            <v>Gramo</v>
          </cell>
          <cell r="G209">
            <v>2948.8991611299116</v>
          </cell>
          <cell r="H209">
            <v>2.9488991611299116</v>
          </cell>
          <cell r="I209">
            <v>19.447834159999999</v>
          </cell>
          <cell r="J209">
            <v>1.944783416E-2</v>
          </cell>
          <cell r="K209">
            <v>534.30245915218416</v>
          </cell>
          <cell r="L209">
            <v>0.53430245915218411</v>
          </cell>
          <cell r="M209">
            <v>3502.6494544420957</v>
          </cell>
        </row>
        <row r="210">
          <cell r="A210" t="str">
            <v>904000009</v>
          </cell>
          <cell r="B210" t="str">
            <v>SALSA P/ARREGLADO (KILO)</v>
          </cell>
          <cell r="C210" t="str">
            <v>ESP-RE-COFS-059</v>
          </cell>
          <cell r="D210" t="str">
            <v>06</v>
          </cell>
          <cell r="E210" t="str">
            <v>Kilo</v>
          </cell>
          <cell r="F210" t="str">
            <v>Gramo</v>
          </cell>
          <cell r="G210">
            <v>1875.397432828519</v>
          </cell>
          <cell r="H210">
            <v>1.875397432828519</v>
          </cell>
          <cell r="I210">
            <v>30.152380952380952</v>
          </cell>
          <cell r="J210">
            <v>3.0152380952380951E-2</v>
          </cell>
          <cell r="K210">
            <v>342.99896648056199</v>
          </cell>
          <cell r="L210">
            <v>0.342998966480562</v>
          </cell>
          <cell r="M210">
            <v>2248.5487802614621</v>
          </cell>
        </row>
        <row r="211">
          <cell r="A211" t="str">
            <v>906000003</v>
          </cell>
          <cell r="B211" t="str">
            <v>CORTE GALLETA CHILENA PEQUEÑA (UND)</v>
          </cell>
          <cell r="C211" t="str">
            <v>ESP-RE-PAPS-004</v>
          </cell>
          <cell r="D211" t="str">
            <v>02</v>
          </cell>
          <cell r="E211" t="str">
            <v>und</v>
          </cell>
          <cell r="F211" t="str">
            <v>Und</v>
          </cell>
          <cell r="G211">
            <v>102.0365251187084</v>
          </cell>
          <cell r="H211">
            <v>102.0365251187084</v>
          </cell>
          <cell r="I211">
            <v>0.33902559570000002</v>
          </cell>
          <cell r="J211">
            <v>0.33902559570000002</v>
          </cell>
          <cell r="K211">
            <v>18.42759912859351</v>
          </cell>
          <cell r="L211">
            <v>18.42759912859351</v>
          </cell>
          <cell r="M211">
            <v>120.8031498430019</v>
          </cell>
        </row>
        <row r="212">
          <cell r="A212" t="str">
            <v>903000101</v>
          </cell>
          <cell r="B212" t="str">
            <v>TAPA ALFAJOR PEQUEÑO (UND)</v>
          </cell>
          <cell r="C212" t="str">
            <v>ESP-RE-PAPS-110</v>
          </cell>
          <cell r="D212" t="str">
            <v>01</v>
          </cell>
          <cell r="E212" t="str">
            <v>Und</v>
          </cell>
          <cell r="F212" t="str">
            <v>Und</v>
          </cell>
          <cell r="G212">
            <v>9.2835349768223274</v>
          </cell>
          <cell r="H212">
            <v>9.2835349768223274</v>
          </cell>
          <cell r="I212">
            <v>3.5370680987596353E-2</v>
          </cell>
          <cell r="J212">
            <v>3.5370680987596353E-2</v>
          </cell>
          <cell r="K212">
            <v>1.677403018405786</v>
          </cell>
          <cell r="L212">
            <v>1.677403018405786</v>
          </cell>
          <cell r="M212">
            <v>10.996308676215708</v>
          </cell>
        </row>
        <row r="213">
          <cell r="A213" t="str">
            <v>904000024</v>
          </cell>
          <cell r="B213" t="str">
            <v>ADEREZO PESTO/ALBAHACA (KILO)</v>
          </cell>
          <cell r="C213" t="str">
            <v>ESP-RE-COFS-017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2909.3325075641374</v>
          </cell>
          <cell r="H213">
            <v>2.9093325075641374</v>
          </cell>
          <cell r="I213">
            <v>2.1135839245037422</v>
          </cell>
          <cell r="J213">
            <v>2.1135839245037423E-3</v>
          </cell>
          <cell r="K213">
            <v>524.06029646795537</v>
          </cell>
          <cell r="L213">
            <v>0.52406029646795538</v>
          </cell>
          <cell r="M213">
            <v>3435.5063879565969</v>
          </cell>
        </row>
        <row r="214">
          <cell r="A214" t="str">
            <v>90100112</v>
          </cell>
          <cell r="B214" t="str">
            <v>SOPA ORIENTAL KILO</v>
          </cell>
          <cell r="C214" t="str">
            <v>ESP-RE-COCS-230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378.32497490214217</v>
          </cell>
          <cell r="H214">
            <v>0.37832497490214217</v>
          </cell>
          <cell r="I214">
            <v>13.532409861533264</v>
          </cell>
          <cell r="J214">
            <v>1.3532409861533264E-2</v>
          </cell>
          <cell r="K214">
            <v>70.534329257461579</v>
          </cell>
          <cell r="L214">
            <v>7.0534329257461573E-2</v>
          </cell>
          <cell r="M214">
            <v>462.39171402113703</v>
          </cell>
        </row>
        <row r="215">
          <cell r="A215" t="str">
            <v>903000175</v>
          </cell>
          <cell r="B215" t="str">
            <v>PREMEZCLA ALFAJOR CHOCO KILO</v>
          </cell>
          <cell r="C215">
            <v>0</v>
          </cell>
          <cell r="D215">
            <v>0</v>
          </cell>
          <cell r="E215" t="str">
            <v>Kilo</v>
          </cell>
          <cell r="F215" t="str">
            <v>Gramo</v>
          </cell>
          <cell r="G215">
            <v>1103.4125912447257</v>
          </cell>
          <cell r="H215">
            <v>1.1034125912447257</v>
          </cell>
          <cell r="I215">
            <v>5.2667269439421336</v>
          </cell>
          <cell r="J215">
            <v>5.2667269439421339E-3</v>
          </cell>
          <cell r="K215">
            <v>199.56227727396021</v>
          </cell>
          <cell r="L215">
            <v>0.1995622772739602</v>
          </cell>
          <cell r="M215">
            <v>1308.2415954626281</v>
          </cell>
        </row>
        <row r="216">
          <cell r="A216" t="str">
            <v>907000224</v>
          </cell>
          <cell r="B216" t="str">
            <v>BATIDO ALFAJOR DE CHOCOLATE KILO</v>
          </cell>
          <cell r="C216">
            <v>0</v>
          </cell>
          <cell r="D216">
            <v>0</v>
          </cell>
          <cell r="E216" t="str">
            <v>Kilo</v>
          </cell>
          <cell r="F216" t="str">
            <v>Gramo</v>
          </cell>
          <cell r="G216">
            <v>1093.445359826087</v>
          </cell>
          <cell r="H216">
            <v>1.0934453598260871</v>
          </cell>
          <cell r="I216">
            <v>5.2099378881987581</v>
          </cell>
          <cell r="J216">
            <v>5.209937888198758E-3</v>
          </cell>
          <cell r="K216">
            <v>197.75795358857144</v>
          </cell>
          <cell r="L216">
            <v>0.19775795358857143</v>
          </cell>
          <cell r="M216">
            <v>1296.4132513028571</v>
          </cell>
        </row>
        <row r="217">
          <cell r="A217" t="str">
            <v>903000176</v>
          </cell>
          <cell r="B217" t="str">
            <v>CORTE ALFAJOR FLOR CHOCOLATE UND</v>
          </cell>
          <cell r="C217">
            <v>0</v>
          </cell>
          <cell r="D217">
            <v>0</v>
          </cell>
          <cell r="E217" t="str">
            <v>Und</v>
          </cell>
          <cell r="F217" t="str">
            <v>Und</v>
          </cell>
          <cell r="G217">
            <v>16.900725168757766</v>
          </cell>
          <cell r="H217">
            <v>16.900725168757766</v>
          </cell>
          <cell r="I217">
            <v>8.0009760425909501E-2</v>
          </cell>
          <cell r="J217">
            <v>8.0009760425909501E-2</v>
          </cell>
          <cell r="K217">
            <v>3.0565322872530616</v>
          </cell>
          <cell r="L217">
            <v>3.0565322872530616</v>
          </cell>
          <cell r="M217">
            <v>20.037267216436739</v>
          </cell>
        </row>
        <row r="218">
          <cell r="A218" t="str">
            <v>908000049</v>
          </cell>
          <cell r="B218" t="str">
            <v>COCCION PALMITO P/ENSALADA (KILO)</v>
          </cell>
          <cell r="C218" t="str">
            <v>ESP-RE-COCS-072</v>
          </cell>
          <cell r="D218" t="str">
            <v>01</v>
          </cell>
          <cell r="E218" t="str">
            <v>Kilo</v>
          </cell>
          <cell r="F218" t="str">
            <v>Gramo</v>
          </cell>
          <cell r="G218">
            <v>2369.0549766769868</v>
          </cell>
          <cell r="H218">
            <v>2.3690549766769866</v>
          </cell>
          <cell r="I218">
            <v>57.747368421052634</v>
          </cell>
          <cell r="J218">
            <v>5.7747368421052638E-2</v>
          </cell>
          <cell r="K218">
            <v>436.82442211764709</v>
          </cell>
          <cell r="L218">
            <v>0.4368244221176471</v>
          </cell>
          <cell r="M218">
            <v>2863.6267672156864</v>
          </cell>
        </row>
        <row r="219">
          <cell r="A219" t="str">
            <v>90100111</v>
          </cell>
          <cell r="B219" t="str">
            <v>FIDEO ORIENTAl KILO</v>
          </cell>
          <cell r="C219" t="str">
            <v>ESP-RE-COCS-231</v>
          </cell>
          <cell r="D219" t="str">
            <v>01</v>
          </cell>
          <cell r="E219" t="str">
            <v>Kilo</v>
          </cell>
          <cell r="F219" t="str">
            <v>Gramo</v>
          </cell>
          <cell r="G219">
            <v>2223.2541812525146</v>
          </cell>
          <cell r="H219">
            <v>2.2232541812525146</v>
          </cell>
          <cell r="I219">
            <v>1.4186666666666667</v>
          </cell>
          <cell r="J219">
            <v>1.4186666666666668E-3</v>
          </cell>
          <cell r="K219">
            <v>400.4411126254526</v>
          </cell>
          <cell r="L219">
            <v>0.40044111262545262</v>
          </cell>
          <cell r="M219">
            <v>2625.1139605446338</v>
          </cell>
        </row>
        <row r="220">
          <cell r="A220" t="str">
            <v>905000069</v>
          </cell>
          <cell r="B220" t="str">
            <v xml:space="preserve">RELLENO MOUSSE DE BAILEYS </v>
          </cell>
          <cell r="C220" t="str">
            <v>ESP-RE-POS-144</v>
          </cell>
          <cell r="D220" t="str">
            <v>03</v>
          </cell>
          <cell r="E220" t="str">
            <v>Kilo</v>
          </cell>
          <cell r="F220" t="str">
            <v>Gramo</v>
          </cell>
          <cell r="G220">
            <v>4821.2242066666668</v>
          </cell>
          <cell r="H220">
            <v>4.8212242066666668</v>
          </cell>
          <cell r="I220">
            <v>0</v>
          </cell>
          <cell r="J220">
            <v>0</v>
          </cell>
          <cell r="K220">
            <v>867.82035719999999</v>
          </cell>
          <cell r="L220">
            <v>0.86782035719999995</v>
          </cell>
          <cell r="M220">
            <v>5689.044563866667</v>
          </cell>
        </row>
        <row r="221">
          <cell r="A221" t="str">
            <v>908000048</v>
          </cell>
          <cell r="B221" t="str">
            <v>GANACHE BAILEYS (KILO)</v>
          </cell>
          <cell r="C221" t="str">
            <v>ESP-RE-COCS-071</v>
          </cell>
          <cell r="D221" t="str">
            <v>02</v>
          </cell>
          <cell r="E221" t="str">
            <v>Kilo</v>
          </cell>
          <cell r="F221" t="str">
            <v>Gramo</v>
          </cell>
          <cell r="G221">
            <v>5114.035317460316</v>
          </cell>
          <cell r="H221">
            <v>5.1140353174603161</v>
          </cell>
          <cell r="I221">
            <v>15.674285714285713</v>
          </cell>
          <cell r="J221">
            <v>1.5674285714285714E-2</v>
          </cell>
          <cell r="K221">
            <v>923.34772857142821</v>
          </cell>
          <cell r="L221">
            <v>0.92334772857142822</v>
          </cell>
          <cell r="M221">
            <v>6053.0573317460294</v>
          </cell>
        </row>
        <row r="222">
          <cell r="A222" t="str">
            <v>908000059</v>
          </cell>
          <cell r="B222" t="str">
            <v>COCCION QUINUA BLANCA (KILO)</v>
          </cell>
          <cell r="C222" t="str">
            <v>ESP-RE-COCS-086</v>
          </cell>
          <cell r="D222" t="str">
            <v>04</v>
          </cell>
          <cell r="E222" t="str">
            <v>Kilo</v>
          </cell>
          <cell r="F222" t="str">
            <v>Gramo</v>
          </cell>
          <cell r="G222">
            <v>1113.2977777777778</v>
          </cell>
          <cell r="H222">
            <v>1.1132977777777777</v>
          </cell>
          <cell r="I222">
            <v>18.286666666666669</v>
          </cell>
          <cell r="J222">
            <v>1.828666666666667E-2</v>
          </cell>
          <cell r="K222">
            <v>203.68519999999998</v>
          </cell>
          <cell r="L222">
            <v>0.20368519999999998</v>
          </cell>
          <cell r="M222">
            <v>1335.2696444444443</v>
          </cell>
        </row>
        <row r="223">
          <cell r="A223" t="str">
            <v>901000022</v>
          </cell>
          <cell r="B223" t="str">
            <v>PREMEZCLA BATIDO SOUFFLE KILO</v>
          </cell>
          <cell r="C223" t="str">
            <v xml:space="preserve">ESP-RE-PRES-022 </v>
          </cell>
          <cell r="D223" t="str">
            <v>01</v>
          </cell>
          <cell r="E223" t="str">
            <v>Kilo</v>
          </cell>
          <cell r="F223" t="str">
            <v>Gramo</v>
          </cell>
          <cell r="G223">
            <v>1870.4677991382166</v>
          </cell>
          <cell r="H223">
            <v>1.8704677991382166</v>
          </cell>
          <cell r="I223">
            <v>2.0218760357971495</v>
          </cell>
          <cell r="J223">
            <v>2.0218760357971497E-3</v>
          </cell>
          <cell r="K223">
            <v>337.04814153132247</v>
          </cell>
          <cell r="L223">
            <v>0.33704814153132245</v>
          </cell>
          <cell r="M223">
            <v>2209.5378167053359</v>
          </cell>
        </row>
        <row r="224">
          <cell r="A224" t="str">
            <v>902000018</v>
          </cell>
          <cell r="B224" t="str">
            <v>BATIDO SOUFFLE (KILO)</v>
          </cell>
          <cell r="C224" t="str">
            <v>ESP-RE-BAS-049</v>
          </cell>
          <cell r="D224" t="str">
            <v>02</v>
          </cell>
          <cell r="E224" t="str">
            <v>Kilo</v>
          </cell>
          <cell r="F224" t="str">
            <v>Gramo</v>
          </cell>
          <cell r="G224">
            <v>1649.942214626391</v>
          </cell>
          <cell r="H224">
            <v>1.6499422146263909</v>
          </cell>
          <cell r="I224">
            <v>1.0990990990990992</v>
          </cell>
          <cell r="J224">
            <v>1.0990990990990992E-3</v>
          </cell>
          <cell r="K224">
            <v>297.18743647058818</v>
          </cell>
          <cell r="L224">
            <v>0.29718743647058821</v>
          </cell>
          <cell r="M224">
            <v>1948.2287501960782</v>
          </cell>
        </row>
        <row r="225">
          <cell r="A225" t="str">
            <v>907000073</v>
          </cell>
          <cell r="B225" t="str">
            <v>ROSQUETE TRES LECHES SOUFLE (40G) KFC</v>
          </cell>
          <cell r="C225" t="str">
            <v>ESP-RE-BAF-045</v>
          </cell>
          <cell r="D225" t="str">
            <v>05</v>
          </cell>
          <cell r="E225" t="str">
            <v>Und</v>
          </cell>
          <cell r="F225" t="str">
            <v>Und</v>
          </cell>
          <cell r="G225">
            <v>76.153169339098881</v>
          </cell>
          <cell r="H225">
            <v>76.153169339098881</v>
          </cell>
          <cell r="I225">
            <v>1.1883233168247767</v>
          </cell>
          <cell r="J225">
            <v>1.1883233168247767</v>
          </cell>
          <cell r="K225">
            <v>13.921468678066258</v>
          </cell>
          <cell r="L225">
            <v>13.921468678066258</v>
          </cell>
          <cell r="M225">
            <v>91.262961333989921</v>
          </cell>
        </row>
        <row r="226">
          <cell r="A226" t="str">
            <v>902000048</v>
          </cell>
          <cell r="B226" t="str">
            <v>TRES LECHES KFC (UND)</v>
          </cell>
          <cell r="C226" t="str">
            <v>ESP-RE-POF-059</v>
          </cell>
          <cell r="D226" t="str">
            <v>03</v>
          </cell>
          <cell r="E226" t="str">
            <v>Und</v>
          </cell>
          <cell r="F226" t="str">
            <v>Und</v>
          </cell>
          <cell r="G226">
            <v>309.67296033669504</v>
          </cell>
          <cell r="H226">
            <v>309.67296033669504</v>
          </cell>
          <cell r="I226">
            <v>43.500741586055547</v>
          </cell>
          <cell r="J226">
            <v>43.500741586055547</v>
          </cell>
          <cell r="K226">
            <v>63.571266346095101</v>
          </cell>
          <cell r="L226">
            <v>63.571266346095101</v>
          </cell>
          <cell r="M226">
            <v>416.7449682688457</v>
          </cell>
        </row>
        <row r="227">
          <cell r="A227" t="str">
            <v>906000112</v>
          </cell>
          <cell r="B227" t="str">
            <v>BASE PREMEZCLA CHOCOLATE BUCCA (KILO)</v>
          </cell>
          <cell r="C227" t="str">
            <v>ESP-RE-PRES-026</v>
          </cell>
          <cell r="D227" t="str">
            <v>03</v>
          </cell>
          <cell r="E227" t="str">
            <v>Kilo</v>
          </cell>
          <cell r="F227" t="str">
            <v>Gramo</v>
          </cell>
          <cell r="G227">
            <v>25491.79</v>
          </cell>
          <cell r="H227">
            <v>25.491790000000002</v>
          </cell>
          <cell r="I227">
            <v>128</v>
          </cell>
          <cell r="J227">
            <v>0.128</v>
          </cell>
          <cell r="K227">
            <v>4611.5622000000003</v>
          </cell>
          <cell r="L227">
            <v>4.6115622000000007</v>
          </cell>
          <cell r="M227">
            <v>30231.352200000001</v>
          </cell>
        </row>
        <row r="228">
          <cell r="A228" t="str">
            <v>902000002</v>
          </cell>
          <cell r="B228" t="str">
            <v>BATIDO CHOCOLATE BUCCA (KILO)</v>
          </cell>
          <cell r="C228" t="str">
            <v>ESP-RE-BAF-006</v>
          </cell>
          <cell r="D228" t="str">
            <v>05</v>
          </cell>
          <cell r="E228" t="str">
            <v>Kilo</v>
          </cell>
          <cell r="F228" t="str">
            <v>Gramo</v>
          </cell>
          <cell r="G228">
            <v>1205.8903152134035</v>
          </cell>
          <cell r="H228">
            <v>1.2058903152134035</v>
          </cell>
          <cell r="I228">
            <v>6.6528066528066532E-2</v>
          </cell>
          <cell r="J228">
            <v>6.6528066528066527E-5</v>
          </cell>
          <cell r="K228">
            <v>217.07223179038766</v>
          </cell>
          <cell r="L228">
            <v>0.21707223179038765</v>
          </cell>
          <cell r="M228">
            <v>1423.0290750703191</v>
          </cell>
        </row>
        <row r="229">
          <cell r="A229" t="str">
            <v>904000002</v>
          </cell>
          <cell r="B229" t="str">
            <v>SALSA FRESA KILO</v>
          </cell>
          <cell r="C229" t="str">
            <v>ESP-RE-DES-108</v>
          </cell>
          <cell r="D229" t="str">
            <v>05</v>
          </cell>
          <cell r="E229" t="str">
            <v>Kilo</v>
          </cell>
          <cell r="F229" t="str">
            <v>Gramo</v>
          </cell>
          <cell r="G229">
            <v>1678.4986433954573</v>
          </cell>
          <cell r="H229">
            <v>1.6784986433954574</v>
          </cell>
          <cell r="I229">
            <v>13.958444808623188</v>
          </cell>
          <cell r="J229">
            <v>1.3958444808623188E-2</v>
          </cell>
          <cell r="K229">
            <v>304.64227587673446</v>
          </cell>
          <cell r="L229">
            <v>0.30464227587673448</v>
          </cell>
          <cell r="M229">
            <v>1997.0993640808149</v>
          </cell>
        </row>
        <row r="230">
          <cell r="A230" t="str">
            <v>903000039</v>
          </cell>
          <cell r="B230" t="str">
            <v>ROSQUETE CHOCOLATE BUCCA 425g</v>
          </cell>
          <cell r="C230" t="str">
            <v>ESP-RE-BAF-001</v>
          </cell>
          <cell r="D230" t="str">
            <v>05</v>
          </cell>
          <cell r="E230" t="str">
            <v>UND</v>
          </cell>
          <cell r="F230" t="str">
            <v>Und</v>
          </cell>
          <cell r="G230">
            <v>532.99735927824781</v>
          </cell>
          <cell r="H230">
            <v>532.99735927824781</v>
          </cell>
          <cell r="I230">
            <v>5.0864834613899612</v>
          </cell>
          <cell r="J230">
            <v>5.0864834613899612</v>
          </cell>
          <cell r="K230">
            <v>96.85509169313481</v>
          </cell>
          <cell r="L230">
            <v>96.85509169313481</v>
          </cell>
          <cell r="M230">
            <v>634.93893443277261</v>
          </cell>
        </row>
        <row r="231">
          <cell r="A231" t="str">
            <v>910000007</v>
          </cell>
          <cell r="B231" t="str">
            <v>MEZCLA TRES LECHES C/BAILEYS LITRO</v>
          </cell>
          <cell r="C231" t="str">
            <v xml:space="preserve">ESP-RE-DES-027 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8706.0947017792441</v>
          </cell>
          <cell r="H231">
            <v>8.7060947017792447</v>
          </cell>
          <cell r="I231">
            <v>3.4582064812698414</v>
          </cell>
          <cell r="J231">
            <v>3.4582064812698414E-3</v>
          </cell>
          <cell r="K231">
            <v>1567.7195234868923</v>
          </cell>
          <cell r="L231">
            <v>1.5677195234868924</v>
          </cell>
          <cell r="M231">
            <v>10277.272431747406</v>
          </cell>
        </row>
        <row r="232">
          <cell r="A232" t="str">
            <v>905000031</v>
          </cell>
          <cell r="B232" t="str">
            <v>RELLENO CREMA MOKA C/BAILEYS (KILO)</v>
          </cell>
          <cell r="C232" t="str">
            <v>ESP-RE-POS-039</v>
          </cell>
          <cell r="D232" t="str">
            <v>02</v>
          </cell>
          <cell r="E232" t="str">
            <v>Kilo</v>
          </cell>
          <cell r="F232" t="str">
            <v>Gramo</v>
          </cell>
          <cell r="G232">
            <v>4329.4891243851862</v>
          </cell>
          <cell r="H232">
            <v>4.3294891243851863</v>
          </cell>
          <cell r="I232">
            <v>0.46210825629629632</v>
          </cell>
          <cell r="J232">
            <v>4.6210825629629633E-4</v>
          </cell>
          <cell r="K232">
            <v>779.39122187546684</v>
          </cell>
          <cell r="L232">
            <v>0.77939122187546683</v>
          </cell>
          <cell r="M232">
            <v>5109.3424545169491</v>
          </cell>
        </row>
        <row r="233">
          <cell r="A233" t="str">
            <v>910000012</v>
          </cell>
          <cell r="B233" t="str">
            <v>SEMILLAS PECANA TOSTADA (KILO)</v>
          </cell>
          <cell r="C233" t="str">
            <v xml:space="preserve">ESP-RE-DES-034 </v>
          </cell>
          <cell r="D233" t="str">
            <v>02</v>
          </cell>
          <cell r="E233" t="str">
            <v>Kilo</v>
          </cell>
          <cell r="F233" t="str">
            <v>Gramo</v>
          </cell>
          <cell r="G233">
            <v>17.708220000000001</v>
          </cell>
          <cell r="H233">
            <v>1.770822E-2</v>
          </cell>
          <cell r="I233">
            <v>34.287500000000001</v>
          </cell>
          <cell r="J233">
            <v>3.4287499999999999E-2</v>
          </cell>
          <cell r="K233">
            <v>9.3592296000000008</v>
          </cell>
          <cell r="L233">
            <v>9.3592296000000012E-3</v>
          </cell>
          <cell r="M233">
            <v>61.354949600000005</v>
          </cell>
        </row>
        <row r="234">
          <cell r="A234" t="str">
            <v>907000015</v>
          </cell>
          <cell r="B234" t="str">
            <v>MEZCLA CHOCOLATE BLANCO C/PECANA (KILO)</v>
          </cell>
          <cell r="C234" t="str">
            <v>ESP-RE-POS-040</v>
          </cell>
          <cell r="D234" t="str">
            <v>01</v>
          </cell>
          <cell r="E234" t="str">
            <v>Kilo</v>
          </cell>
          <cell r="F234" t="str">
            <v>Gramo</v>
          </cell>
          <cell r="G234">
            <v>6724.1880000000001</v>
          </cell>
          <cell r="H234">
            <v>6.7241879999999998</v>
          </cell>
          <cell r="I234">
            <v>24</v>
          </cell>
          <cell r="J234">
            <v>2.4E-2</v>
          </cell>
          <cell r="K234">
            <v>1214.6738399999999</v>
          </cell>
          <cell r="L234">
            <v>1.2146738399999999</v>
          </cell>
          <cell r="M234">
            <v>7962.8618399999996</v>
          </cell>
        </row>
        <row r="235">
          <cell r="A235" t="str">
            <v>908000032</v>
          </cell>
          <cell r="B235" t="str">
            <v>GANACHE CHOCOLATE OSCURO (KILO)</v>
          </cell>
          <cell r="C235" t="str">
            <v>ESP-RE-COCS-048</v>
          </cell>
          <cell r="D235" t="str">
            <v>09</v>
          </cell>
          <cell r="E235" t="str">
            <v>Kilo</v>
          </cell>
          <cell r="F235" t="str">
            <v>Gramo</v>
          </cell>
          <cell r="G235">
            <v>3539.4594594594591</v>
          </cell>
          <cell r="H235">
            <v>3.5394594594594593</v>
          </cell>
          <cell r="I235">
            <v>1.4250614250614248E-2</v>
          </cell>
          <cell r="J235">
            <v>1.4250614250614247E-5</v>
          </cell>
          <cell r="K235">
            <v>637.10526781326769</v>
          </cell>
          <cell r="L235">
            <v>0.63710526781326771</v>
          </cell>
          <cell r="M235">
            <v>4176.5789778869776</v>
          </cell>
        </row>
        <row r="236">
          <cell r="A236" t="str">
            <v>903000028</v>
          </cell>
          <cell r="B236" t="str">
            <v>ROSQUETE TRES LECHES 750g</v>
          </cell>
          <cell r="C236">
            <v>0</v>
          </cell>
          <cell r="D236">
            <v>0</v>
          </cell>
          <cell r="E236" t="str">
            <v>Und</v>
          </cell>
          <cell r="F236" t="str">
            <v>Und</v>
          </cell>
          <cell r="G236">
            <v>747.19121282013668</v>
          </cell>
          <cell r="H236">
            <v>747.19121282013668</v>
          </cell>
          <cell r="I236">
            <v>8.0445803371428575</v>
          </cell>
          <cell r="J236">
            <v>8.0445803371428575</v>
          </cell>
          <cell r="K236">
            <v>135.94244276831031</v>
          </cell>
          <cell r="L236">
            <v>135.94244276831031</v>
          </cell>
          <cell r="M236">
            <v>891.17823592558989</v>
          </cell>
        </row>
        <row r="237">
          <cell r="A237" t="str">
            <v>910000019</v>
          </cell>
          <cell r="B237" t="str">
            <v>CREMA BLANCA C/GALLETA CHOCO (KILO)</v>
          </cell>
          <cell r="C237" t="str">
            <v xml:space="preserve">ESP-RE-DES-043 </v>
          </cell>
          <cell r="D237" t="str">
            <v>02</v>
          </cell>
          <cell r="E237" t="str">
            <v>Kilo</v>
          </cell>
          <cell r="F237" t="str">
            <v>Gramo</v>
          </cell>
          <cell r="G237">
            <v>1871.9433726851848</v>
          </cell>
          <cell r="H237">
            <v>1.8719433726851848</v>
          </cell>
          <cell r="I237">
            <v>9.8518518518518519E-2</v>
          </cell>
          <cell r="J237">
            <v>9.8518518518518521E-5</v>
          </cell>
          <cell r="K237">
            <v>336.96754041666662</v>
          </cell>
          <cell r="L237">
            <v>0.3369675404166666</v>
          </cell>
          <cell r="M237">
            <v>2209.0094316203699</v>
          </cell>
        </row>
        <row r="238">
          <cell r="A238" t="str">
            <v>96199</v>
          </cell>
          <cell r="B238" t="str">
            <v>COBERTURA CHOCOLATE LECHE RALLADO 4700g</v>
          </cell>
          <cell r="C238" t="str">
            <v xml:space="preserve">ESP-RE-DES-029 </v>
          </cell>
          <cell r="D238" t="str">
            <v>01</v>
          </cell>
          <cell r="E238" t="str">
            <v>Kilo</v>
          </cell>
          <cell r="F238" t="str">
            <v>Gramo</v>
          </cell>
          <cell r="G238">
            <v>4753.1914893617013</v>
          </cell>
          <cell r="H238">
            <v>4.7531914893617015</v>
          </cell>
          <cell r="I238">
            <v>0.12340425531914893</v>
          </cell>
          <cell r="J238">
            <v>1.2340425531914893E-4</v>
          </cell>
          <cell r="K238">
            <v>855.59668085106352</v>
          </cell>
          <cell r="L238">
            <v>0.85559668085106355</v>
          </cell>
          <cell r="M238">
            <v>5608.9115744680839</v>
          </cell>
        </row>
        <row r="239">
          <cell r="A239" t="str">
            <v>907000230</v>
          </cell>
          <cell r="B239" t="str">
            <v>ROSQUETE PILLSBURY 460 g</v>
          </cell>
          <cell r="C239" t="str">
            <v>ESP-RE-BAS-127</v>
          </cell>
          <cell r="D239" t="str">
            <v>01</v>
          </cell>
          <cell r="E239" t="str">
            <v>Und</v>
          </cell>
          <cell r="F239" t="str">
            <v>Und</v>
          </cell>
          <cell r="G239">
            <v>698.27992406388944</v>
          </cell>
          <cell r="H239">
            <v>698.27992406388944</v>
          </cell>
          <cell r="I239">
            <v>4.7844706084006559</v>
          </cell>
          <cell r="J239">
            <v>4.7844706084006559</v>
          </cell>
          <cell r="K239">
            <v>126.5515910410122</v>
          </cell>
          <cell r="L239">
            <v>126.5515910410122</v>
          </cell>
          <cell r="M239">
            <v>829.61598571330228</v>
          </cell>
        </row>
        <row r="240">
          <cell r="A240" t="str">
            <v>903000033</v>
          </cell>
          <cell r="B240" t="str">
            <v>ROSQUETE CHOCOLATE PILLSBURY 70g</v>
          </cell>
          <cell r="C240" t="str">
            <v>ESP-RE-BAS-050</v>
          </cell>
          <cell r="D240" t="str">
            <v>04</v>
          </cell>
          <cell r="E240" t="str">
            <v>Und</v>
          </cell>
          <cell r="F240" t="str">
            <v>Und</v>
          </cell>
          <cell r="G240">
            <v>106.26710252997221</v>
          </cell>
          <cell r="H240">
            <v>106.26710252997221</v>
          </cell>
          <cell r="I240">
            <v>1.5024040028610839</v>
          </cell>
          <cell r="J240">
            <v>1.5024040028610839</v>
          </cell>
          <cell r="K240">
            <v>19.398511175909992</v>
          </cell>
          <cell r="L240">
            <v>19.398511175909992</v>
          </cell>
          <cell r="M240">
            <v>127.16801770874328</v>
          </cell>
        </row>
        <row r="241">
          <cell r="A241" t="str">
            <v>906000096</v>
          </cell>
          <cell r="B241" t="str">
            <v>BASE PREMEZCLA VAINILLA PURATOS KILO</v>
          </cell>
          <cell r="C241" t="str">
            <v>ESP-RE-PRES-073</v>
          </cell>
          <cell r="D241" t="str">
            <v>13</v>
          </cell>
          <cell r="E241" t="str">
            <v>Kilo</v>
          </cell>
          <cell r="F241" t="str">
            <v>Gramo</v>
          </cell>
          <cell r="G241">
            <v>4813.616</v>
          </cell>
          <cell r="H241">
            <v>4.8136159999999997</v>
          </cell>
          <cell r="I241">
            <v>62.538922155688617</v>
          </cell>
          <cell r="J241">
            <v>6.2538922155688612E-2</v>
          </cell>
          <cell r="K241">
            <v>877.70788598802392</v>
          </cell>
          <cell r="L241">
            <v>0.87770788598802396</v>
          </cell>
          <cell r="M241">
            <v>5753.8628081437128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1013.3042023251105</v>
          </cell>
          <cell r="H242">
            <v>1.0133042023251104</v>
          </cell>
          <cell r="I242">
            <v>0.18021968965295213</v>
          </cell>
          <cell r="J242">
            <v>1.8021968965295211E-4</v>
          </cell>
          <cell r="K242">
            <v>182.42719596265741</v>
          </cell>
          <cell r="L242">
            <v>0.18242719596265741</v>
          </cell>
          <cell r="M242">
            <v>1195.911617977421</v>
          </cell>
        </row>
        <row r="243">
          <cell r="A243" t="str">
            <v>903000040</v>
          </cell>
          <cell r="B243" t="str">
            <v>ROSQUETE VAINILLA PURATOS BUCCA 350g</v>
          </cell>
          <cell r="C243" t="str">
            <v xml:space="preserve">ESP-RE-BAF-002 </v>
          </cell>
          <cell r="D243" t="str">
            <v>06</v>
          </cell>
          <cell r="E243" t="str">
            <v>Und</v>
          </cell>
          <cell r="F243" t="str">
            <v>Und</v>
          </cell>
          <cell r="G243">
            <v>362.87905383438704</v>
          </cell>
          <cell r="H243">
            <v>362.87905383438704</v>
          </cell>
          <cell r="I243">
            <v>4.0402951302202048</v>
          </cell>
          <cell r="J243">
            <v>4.0402951302202048</v>
          </cell>
          <cell r="K243">
            <v>66.045482813629306</v>
          </cell>
          <cell r="L243">
            <v>66.045482813629306</v>
          </cell>
          <cell r="M243">
            <v>432.96483177823654</v>
          </cell>
        </row>
        <row r="244">
          <cell r="A244" t="str">
            <v>907000028</v>
          </cell>
          <cell r="B244" t="str">
            <v>MEZCLA TRES  LECHES C/DULCE LECHE KILO</v>
          </cell>
          <cell r="C244" t="str">
            <v>ESP-RE-POS-071</v>
          </cell>
          <cell r="D244" t="str">
            <v>01</v>
          </cell>
          <cell r="E244" t="str">
            <v>Kilo</v>
          </cell>
          <cell r="F244" t="str">
            <v>Gramo</v>
          </cell>
          <cell r="G244">
            <v>1745.9342598431697</v>
          </cell>
          <cell r="H244">
            <v>1.7459342598431697</v>
          </cell>
          <cell r="I244">
            <v>1.7517259995428573</v>
          </cell>
          <cell r="J244">
            <v>1.7517259995428573E-3</v>
          </cell>
          <cell r="K244">
            <v>314.58347745168828</v>
          </cell>
          <cell r="L244">
            <v>0.3145834774516883</v>
          </cell>
          <cell r="M244">
            <v>2062.2694632944008</v>
          </cell>
        </row>
        <row r="245">
          <cell r="A245" t="str">
            <v>906000074</v>
          </cell>
          <cell r="B245" t="str">
            <v xml:space="preserve">CORTE GALLETA TRES LECHES CHILENA </v>
          </cell>
          <cell r="C245" t="str">
            <v xml:space="preserve">ESP-RE-POS-124 </v>
          </cell>
          <cell r="D245" t="str">
            <v>01</v>
          </cell>
          <cell r="E245" t="str">
            <v>Kilo</v>
          </cell>
          <cell r="F245" t="str">
            <v>Gramo</v>
          </cell>
          <cell r="G245">
            <v>1068.2179601230246</v>
          </cell>
          <cell r="H245">
            <v>1.0682179601230246</v>
          </cell>
          <cell r="I245">
            <v>3.5967533652900001</v>
          </cell>
          <cell r="J245">
            <v>3.5967533652899999E-3</v>
          </cell>
          <cell r="K245">
            <v>192.92664842789659</v>
          </cell>
          <cell r="L245">
            <v>0.19292664842789659</v>
          </cell>
          <cell r="M245">
            <v>1264.7413619162112</v>
          </cell>
        </row>
        <row r="246">
          <cell r="A246" t="str">
            <v>903000134</v>
          </cell>
          <cell r="B246" t="str">
            <v>CHILENA P/TRES LECHES (UND)</v>
          </cell>
          <cell r="C246" t="str">
            <v>ESP-RE-POS-051</v>
          </cell>
          <cell r="D246" t="str">
            <v>02</v>
          </cell>
          <cell r="E246" t="str">
            <v>Und</v>
          </cell>
          <cell r="F246" t="str">
            <v>Und</v>
          </cell>
          <cell r="G246">
            <v>572.35427692579628</v>
          </cell>
          <cell r="H246">
            <v>572.35427692579628</v>
          </cell>
          <cell r="I246">
            <v>1.0790260095869999</v>
          </cell>
          <cell r="J246">
            <v>1.0790260095869999</v>
          </cell>
          <cell r="K246">
            <v>103.21799452836899</v>
          </cell>
          <cell r="L246">
            <v>103.21799452836899</v>
          </cell>
          <cell r="M246">
            <v>676.65129746375226</v>
          </cell>
        </row>
        <row r="247">
          <cell r="A247" t="str">
            <v>901000005</v>
          </cell>
          <cell r="B247" t="str">
            <v>PREMEZCLA P/BATIDO CHOCO PASTELERO KILO</v>
          </cell>
          <cell r="C247" t="str">
            <v>ESP-RE-PRES-005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1304.3720784313728</v>
          </cell>
          <cell r="H247">
            <v>1.3043720784313728</v>
          </cell>
          <cell r="I247">
            <v>6.3061377245508989</v>
          </cell>
          <cell r="J247">
            <v>6.3061377245508992E-3</v>
          </cell>
          <cell r="K247">
            <v>235.92207890806623</v>
          </cell>
          <cell r="L247">
            <v>0.23592207890806621</v>
          </cell>
          <cell r="M247">
            <v>1546.6002950639897</v>
          </cell>
        </row>
        <row r="248">
          <cell r="A248" t="str">
            <v>902000003</v>
          </cell>
          <cell r="B248" t="str">
            <v>BATIDO CHOCOLATE PASTELERO REAL (KILO)</v>
          </cell>
          <cell r="C248" t="str">
            <v>ESP-RE-BAF-008</v>
          </cell>
          <cell r="D248" t="str">
            <v>07</v>
          </cell>
          <cell r="E248" t="str">
            <v>Kilo</v>
          </cell>
          <cell r="F248" t="str">
            <v>Gramo</v>
          </cell>
          <cell r="G248" t="e">
            <v>#N/A</v>
          </cell>
          <cell r="H248" t="e">
            <v>#N/A</v>
          </cell>
          <cell r="I248">
            <v>0.57017267404249672</v>
          </cell>
          <cell r="J248">
            <v>5.7017267404249671E-4</v>
          </cell>
          <cell r="K248" t="e">
            <v>#N/A</v>
          </cell>
          <cell r="L248" t="e">
            <v>#N/A</v>
          </cell>
          <cell r="M248" t="e">
            <v>#N/A</v>
          </cell>
        </row>
        <row r="249">
          <cell r="A249" t="str">
            <v>903000052</v>
          </cell>
          <cell r="B249" t="str">
            <v>ROSQUETE CHOCOLATE PURATOS 400g</v>
          </cell>
          <cell r="C249" t="str">
            <v>ESP-RE-BAF-018</v>
          </cell>
          <cell r="D249" t="str">
            <v>05</v>
          </cell>
          <cell r="E249" t="str">
            <v>Und</v>
          </cell>
          <cell r="F249" t="str">
            <v>Und</v>
          </cell>
          <cell r="G249">
            <v>470.74613981229282</v>
          </cell>
          <cell r="H249">
            <v>470.74613981229282</v>
          </cell>
          <cell r="I249">
            <v>5.0211537743488694</v>
          </cell>
          <cell r="J249">
            <v>5.0211537743488694</v>
          </cell>
          <cell r="K249">
            <v>85.638112845595501</v>
          </cell>
          <cell r="L249">
            <v>85.638112845595501</v>
          </cell>
          <cell r="M249">
            <v>561.40540643223721</v>
          </cell>
        </row>
        <row r="250">
          <cell r="A250" t="str">
            <v>910000002</v>
          </cell>
          <cell r="B250" t="str">
            <v>MEZCLA ALMIBAR C/CAFE (KILO)</v>
          </cell>
          <cell r="C250" t="str">
            <v>ESP-RE-DES-022</v>
          </cell>
          <cell r="D250" t="str">
            <v>01</v>
          </cell>
          <cell r="E250" t="str">
            <v>Kilo</v>
          </cell>
          <cell r="F250" t="str">
            <v>Gramo</v>
          </cell>
          <cell r="G250">
            <v>468.99021940495868</v>
          </cell>
          <cell r="H250">
            <v>0.46899021940495866</v>
          </cell>
          <cell r="I250">
            <v>9.7693633057851237</v>
          </cell>
          <cell r="J250">
            <v>9.7693633057851243E-3</v>
          </cell>
          <cell r="K250">
            <v>86.176724887933887</v>
          </cell>
          <cell r="L250">
            <v>8.6176724887933889E-2</v>
          </cell>
          <cell r="M250">
            <v>564.93630759867767</v>
          </cell>
        </row>
        <row r="251">
          <cell r="A251" t="str">
            <v>901000156</v>
          </cell>
          <cell r="B251" t="str">
            <v>CREMA CHANTILLY TOP CREAM CHOCOLATE</v>
          </cell>
          <cell r="C251" t="str">
            <v xml:space="preserve">ESP-RE-DES-047 </v>
          </cell>
          <cell r="D251" t="str">
            <v>03</v>
          </cell>
          <cell r="E251" t="str">
            <v>Kilo</v>
          </cell>
          <cell r="F251" t="str">
            <v>Gramo</v>
          </cell>
          <cell r="G251">
            <v>2639.8721574115998</v>
          </cell>
          <cell r="H251">
            <v>2.6398721574115998</v>
          </cell>
          <cell r="I251">
            <v>2.3875190384061249E-2</v>
          </cell>
          <cell r="J251">
            <v>2.3875190384061249E-5</v>
          </cell>
          <cell r="K251">
            <v>475.18128586835707</v>
          </cell>
          <cell r="L251">
            <v>0.47518128586835706</v>
          </cell>
          <cell r="M251">
            <v>3115.0773184703407</v>
          </cell>
        </row>
        <row r="252">
          <cell r="A252" t="str">
            <v>910000003</v>
          </cell>
          <cell r="B252" t="str">
            <v>MEZCLA TRES LECHES C/AGUA (KILO)</v>
          </cell>
          <cell r="C252" t="str">
            <v xml:space="preserve">ESP-RE-DES-023 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1227.1462143224653</v>
          </cell>
          <cell r="H252">
            <v>1.2271462143224654</v>
          </cell>
          <cell r="I252">
            <v>3.4518535552</v>
          </cell>
          <cell r="J252">
            <v>3.4518535552000001E-3</v>
          </cell>
          <cell r="K252">
            <v>221.50765221797974</v>
          </cell>
          <cell r="L252">
            <v>0.22150765221797974</v>
          </cell>
          <cell r="M252">
            <v>1452.105720095645</v>
          </cell>
        </row>
        <row r="253">
          <cell r="A253" t="str">
            <v>902000033</v>
          </cell>
          <cell r="B253" t="str">
            <v>RELLENO QUESO/ MANT/LIMON KILO</v>
          </cell>
          <cell r="C253" t="str">
            <v>ESP-RE-POS-107</v>
          </cell>
          <cell r="D253" t="str">
            <v>03</v>
          </cell>
          <cell r="E253" t="str">
            <v>Kilo</v>
          </cell>
          <cell r="F253" t="str">
            <v>Gramo</v>
          </cell>
          <cell r="G253">
            <v>2422.650843697761</v>
          </cell>
          <cell r="H253">
            <v>2.422650843697761</v>
          </cell>
          <cell r="I253">
            <v>2.3980769230769225E-3</v>
          </cell>
          <cell r="J253">
            <v>2.3980769230769227E-6</v>
          </cell>
          <cell r="K253">
            <v>436.07758351944307</v>
          </cell>
          <cell r="L253">
            <v>0.43607758351944309</v>
          </cell>
          <cell r="M253">
            <v>2858.730825294127</v>
          </cell>
        </row>
        <row r="254">
          <cell r="A254" t="str">
            <v>911000005</v>
          </cell>
          <cell r="B254" t="str">
            <v>GALLETA VAINILLA BAÑO CHOCO BLANCO KILO</v>
          </cell>
          <cell r="C254" t="str">
            <v>ESP-RE-POS-156</v>
          </cell>
          <cell r="D254" t="str">
            <v>01</v>
          </cell>
          <cell r="E254" t="str">
            <v>Kilo</v>
          </cell>
          <cell r="F254" t="str">
            <v>Gramo</v>
          </cell>
          <cell r="G254">
            <v>3235.5777777777776</v>
          </cell>
          <cell r="H254">
            <v>3.2355777777777774</v>
          </cell>
          <cell r="I254">
            <v>0</v>
          </cell>
          <cell r="J254">
            <v>0</v>
          </cell>
          <cell r="K254">
            <v>582.40399999999988</v>
          </cell>
          <cell r="L254">
            <v>0.58240399999999992</v>
          </cell>
          <cell r="M254">
            <v>3817.9817777777776</v>
          </cell>
        </row>
        <row r="255">
          <cell r="A255" t="str">
            <v>910000018</v>
          </cell>
          <cell r="B255" t="str">
            <v>CREMA BEIDGE (KILO)</v>
          </cell>
          <cell r="C255" t="str">
            <v xml:space="preserve">ESP-RE-DES-042 </v>
          </cell>
          <cell r="D255" t="str">
            <v>03</v>
          </cell>
          <cell r="E255" t="str">
            <v>Kilo</v>
          </cell>
          <cell r="F255" t="str">
            <v>Gramo</v>
          </cell>
          <cell r="G255">
            <v>3812.765276627219</v>
          </cell>
          <cell r="H255">
            <v>3.8127652766272191</v>
          </cell>
          <cell r="I255">
            <v>5.5769230769230758E-2</v>
          </cell>
          <cell r="J255">
            <v>5.5769230769230759E-5</v>
          </cell>
          <cell r="K255">
            <v>686.30778825443792</v>
          </cell>
          <cell r="L255">
            <v>0.68630778825443794</v>
          </cell>
          <cell r="M255">
            <v>4499.1288341124264</v>
          </cell>
        </row>
        <row r="256">
          <cell r="A256" t="str">
            <v>910000031</v>
          </cell>
          <cell r="B256" t="str">
            <v>CREMA LIQUIDA CHOCO P/MARMOLEAR KILO</v>
          </cell>
          <cell r="C256" t="str">
            <v>ESP-RE-DES-100</v>
          </cell>
          <cell r="D256" t="str">
            <v>01</v>
          </cell>
          <cell r="E256" t="str">
            <v>Kilo</v>
          </cell>
          <cell r="F256" t="str">
            <v>Gramo</v>
          </cell>
          <cell r="G256">
            <v>2346.6666666666665</v>
          </cell>
          <cell r="H256">
            <v>2.3466666666666667</v>
          </cell>
          <cell r="I256">
            <v>50</v>
          </cell>
          <cell r="J256">
            <v>0.05</v>
          </cell>
          <cell r="K256">
            <v>431.4</v>
          </cell>
          <cell r="L256">
            <v>0.43139999999999995</v>
          </cell>
          <cell r="M256">
            <v>2828.0666666666666</v>
          </cell>
        </row>
        <row r="257">
          <cell r="A257" t="str">
            <v>905000024</v>
          </cell>
          <cell r="B257" t="str">
            <v xml:space="preserve">RELLENO TOPPING FRESA P/CHEESE CAKE </v>
          </cell>
          <cell r="C257" t="str">
            <v>ESP-RE-POS-027</v>
          </cell>
          <cell r="D257" t="str">
            <v>06</v>
          </cell>
          <cell r="E257" t="str">
            <v>Kilo</v>
          </cell>
          <cell r="F257" t="str">
            <v>Gramo</v>
          </cell>
          <cell r="G257">
            <v>1434.612214030225</v>
          </cell>
          <cell r="H257">
            <v>1.4346122140302251</v>
          </cell>
          <cell r="I257">
            <v>4.8078107388294944</v>
          </cell>
          <cell r="J257">
            <v>4.8078107388294941E-3</v>
          </cell>
          <cell r="K257">
            <v>259.09560445842976</v>
          </cell>
          <cell r="L257">
            <v>0.25909560445842977</v>
          </cell>
          <cell r="M257">
            <v>1698.5156292274842</v>
          </cell>
        </row>
        <row r="258">
          <cell r="A258" t="str">
            <v>905000099</v>
          </cell>
          <cell r="B258" t="str">
            <v>ALMENDRA TRITURADA KILO</v>
          </cell>
          <cell r="C258" t="str">
            <v>ESP-RE-DES-132</v>
          </cell>
          <cell r="D258" t="str">
            <v>01</v>
          </cell>
          <cell r="E258" t="str">
            <v>Kilo</v>
          </cell>
          <cell r="F258" t="str">
            <v>Gramo</v>
          </cell>
          <cell r="G258">
            <v>6052.8856575000009</v>
          </cell>
          <cell r="H258">
            <v>6.052885657500001</v>
          </cell>
          <cell r="I258">
            <v>0</v>
          </cell>
          <cell r="J258">
            <v>0</v>
          </cell>
          <cell r="K258">
            <v>1089.51941835</v>
          </cell>
          <cell r="L258">
            <v>1.0895194183500001</v>
          </cell>
          <cell r="M258">
            <v>7142.4050758500007</v>
          </cell>
        </row>
        <row r="259">
          <cell r="A259" t="str">
            <v>905000098</v>
          </cell>
          <cell r="B259" t="str">
            <v>PECANA TRITURADA KILO</v>
          </cell>
          <cell r="C259" t="str">
            <v xml:space="preserve">ESP-RE-DES-133  </v>
          </cell>
          <cell r="D259" t="str">
            <v>01</v>
          </cell>
          <cell r="E259" t="str">
            <v>Kilo</v>
          </cell>
          <cell r="F259" t="str">
            <v>Gramo</v>
          </cell>
          <cell r="G259">
            <v>17.89471</v>
          </cell>
          <cell r="H259">
            <v>1.7894710000000001E-2</v>
          </cell>
          <cell r="I259">
            <v>0</v>
          </cell>
          <cell r="J259">
            <v>0</v>
          </cell>
          <cell r="K259">
            <v>3.2210478</v>
          </cell>
          <cell r="L259">
            <v>3.2210478000000002E-3</v>
          </cell>
          <cell r="M259">
            <v>21.115757800000001</v>
          </cell>
        </row>
        <row r="260">
          <cell r="A260" t="str">
            <v>910000001</v>
          </cell>
          <cell r="B260" t="str">
            <v>MEZCLA CREMA CHOCOLATE C/AGUA (KILO)</v>
          </cell>
          <cell r="C260" t="str">
            <v xml:space="preserve">ESP-RE-DES-021 </v>
          </cell>
          <cell r="D260" t="str">
            <v>02</v>
          </cell>
          <cell r="E260" t="str">
            <v>Kilo</v>
          </cell>
          <cell r="F260" t="str">
            <v>Gramo</v>
          </cell>
          <cell r="G260">
            <v>1572.8363636363633</v>
          </cell>
          <cell r="H260">
            <v>1.5728363636363634</v>
          </cell>
          <cell r="I260">
            <v>0</v>
          </cell>
          <cell r="J260">
            <v>0</v>
          </cell>
          <cell r="K260">
            <v>283.11054545454539</v>
          </cell>
          <cell r="L260">
            <v>0.28311054545454539</v>
          </cell>
          <cell r="M260">
            <v>1855.9469090909088</v>
          </cell>
        </row>
        <row r="261">
          <cell r="A261" t="str">
            <v>902000093</v>
          </cell>
          <cell r="B261" t="str">
            <v>PIÑA PICADA KILO</v>
          </cell>
          <cell r="C261" t="str">
            <v>ESP-RE-POS-203</v>
          </cell>
          <cell r="D261" t="str">
            <v>01</v>
          </cell>
          <cell r="E261" t="str">
            <v>Kilo</v>
          </cell>
          <cell r="F261" t="str">
            <v>Gramo</v>
          </cell>
          <cell r="G261">
            <v>2067.0359062500002</v>
          </cell>
          <cell r="H261">
            <v>2.0670359062500001</v>
          </cell>
          <cell r="I261">
            <v>0</v>
          </cell>
          <cell r="J261">
            <v>0</v>
          </cell>
          <cell r="K261">
            <v>372.06646312500004</v>
          </cell>
          <cell r="L261">
            <v>0.37206646312500002</v>
          </cell>
          <cell r="M261">
            <v>2439.1023693750003</v>
          </cell>
        </row>
        <row r="262">
          <cell r="A262" t="str">
            <v>902000094</v>
          </cell>
          <cell r="B262" t="str">
            <v>PROCESADO CHOCOLATE BLANCO KILO</v>
          </cell>
          <cell r="C262" t="str">
            <v>ESP-RE-POS-204</v>
          </cell>
          <cell r="D262" t="str">
            <v>01</v>
          </cell>
          <cell r="E262" t="str">
            <v>Kilo</v>
          </cell>
          <cell r="F262" t="str">
            <v>Gramo</v>
          </cell>
          <cell r="G262">
            <v>3739.4799054373516</v>
          </cell>
          <cell r="H262">
            <v>3.7394799054373515</v>
          </cell>
          <cell r="I262">
            <v>0.45276595744680853</v>
          </cell>
          <cell r="J262">
            <v>4.5276595744680851E-4</v>
          </cell>
          <cell r="K262">
            <v>673.18788085106371</v>
          </cell>
          <cell r="L262">
            <v>0.67318788085106374</v>
          </cell>
          <cell r="M262">
            <v>4413.1205522458622</v>
          </cell>
        </row>
        <row r="263">
          <cell r="A263" t="str">
            <v>910000010</v>
          </cell>
          <cell r="B263" t="str">
            <v>COCO TOSTADO (KILO)</v>
          </cell>
          <cell r="C263" t="str">
            <v xml:space="preserve">ESP-RE-DES-031 </v>
          </cell>
          <cell r="D263" t="str">
            <v>01</v>
          </cell>
          <cell r="E263" t="str">
            <v>Kilo</v>
          </cell>
          <cell r="F263" t="str">
            <v>Gramo</v>
          </cell>
          <cell r="G263">
            <v>4.6391400000000003</v>
          </cell>
          <cell r="H263">
            <v>4.6391399999999999E-3</v>
          </cell>
          <cell r="I263">
            <v>0</v>
          </cell>
          <cell r="J263">
            <v>0</v>
          </cell>
          <cell r="K263">
            <v>0.83504520000000004</v>
          </cell>
          <cell r="L263">
            <v>8.3504520000000004E-4</v>
          </cell>
          <cell r="M263">
            <v>5.4741852</v>
          </cell>
        </row>
        <row r="264">
          <cell r="A264" t="str">
            <v>902000092</v>
          </cell>
          <cell r="B264" t="str">
            <v>MOUSSE DE COCO KILO</v>
          </cell>
          <cell r="C264" t="str">
            <v>ESP-RE-POS-202</v>
          </cell>
          <cell r="D264" t="str">
            <v>02</v>
          </cell>
          <cell r="E264" t="str">
            <v>Kilo</v>
          </cell>
          <cell r="F264" t="str">
            <v>Gramo</v>
          </cell>
          <cell r="G264">
            <v>1708.6364542060608</v>
          </cell>
          <cell r="H264">
            <v>1.7086364542060608</v>
          </cell>
          <cell r="I264">
            <v>0</v>
          </cell>
          <cell r="J264">
            <v>0</v>
          </cell>
          <cell r="K264">
            <v>307.55456175709094</v>
          </cell>
          <cell r="L264">
            <v>0.30755456175709095</v>
          </cell>
          <cell r="M264">
            <v>2016.1910159631516</v>
          </cell>
        </row>
        <row r="265">
          <cell r="A265" t="str">
            <v>90100291</v>
          </cell>
          <cell r="B265" t="str">
            <v>TOPPING DE PIÑA KILO</v>
          </cell>
          <cell r="C265" t="str">
            <v>ESP-RE-COCS-307</v>
          </cell>
          <cell r="D265" t="str">
            <v>01</v>
          </cell>
          <cell r="E265" t="str">
            <v>Kilo</v>
          </cell>
          <cell r="F265" t="str">
            <v>Gramo</v>
          </cell>
          <cell r="G265">
            <v>1021.78137</v>
          </cell>
          <cell r="H265">
            <v>1.02178137</v>
          </cell>
          <cell r="I265">
            <v>4.2287497142857147</v>
          </cell>
          <cell r="J265">
            <v>4.2287497142857143E-3</v>
          </cell>
          <cell r="K265">
            <v>184.68182154857143</v>
          </cell>
          <cell r="L265">
            <v>0.18468182154857143</v>
          </cell>
          <cell r="M265">
            <v>1210.6919412628572</v>
          </cell>
        </row>
        <row r="266">
          <cell r="A266" t="str">
            <v>906000121</v>
          </cell>
          <cell r="B266" t="str">
            <v>PREMEZCLA TURRON DE COCO</v>
          </cell>
          <cell r="C266" t="str">
            <v>ESP-RE-PRES-119</v>
          </cell>
          <cell r="D266" t="str">
            <v>01</v>
          </cell>
          <cell r="E266" t="str">
            <v>Kilo</v>
          </cell>
          <cell r="F266" t="str">
            <v>Gramo</v>
          </cell>
          <cell r="G266">
            <v>509.71164095831966</v>
          </cell>
          <cell r="H266">
            <v>0.50971164095831967</v>
          </cell>
          <cell r="I266">
            <v>10.476862487692811</v>
          </cell>
          <cell r="J266">
            <v>1.0476862487692811E-2</v>
          </cell>
          <cell r="K266">
            <v>93.633930620282229</v>
          </cell>
          <cell r="L266">
            <v>9.3633930620282232E-2</v>
          </cell>
          <cell r="M266">
            <v>613.82243406629459</v>
          </cell>
        </row>
        <row r="267">
          <cell r="A267" t="str">
            <v>907000077</v>
          </cell>
          <cell r="B267" t="str">
            <v>BATIDO TURRON DE COCO KILO</v>
          </cell>
          <cell r="C267">
            <v>0</v>
          </cell>
          <cell r="D267">
            <v>0</v>
          </cell>
          <cell r="E267" t="str">
            <v>Kilo</v>
          </cell>
          <cell r="F267" t="str">
            <v>Gramo</v>
          </cell>
          <cell r="G267">
            <v>905.106801923077</v>
          </cell>
          <cell r="H267">
            <v>0.90510680192307702</v>
          </cell>
          <cell r="I267">
            <v>6.139038461538461</v>
          </cell>
          <cell r="J267">
            <v>6.1390384615384614E-3</v>
          </cell>
          <cell r="K267">
            <v>164.02425126923077</v>
          </cell>
          <cell r="L267">
            <v>0.16402425126923079</v>
          </cell>
          <cell r="M267">
            <v>1075.2700916538463</v>
          </cell>
        </row>
        <row r="268">
          <cell r="A268" t="str">
            <v>907000111</v>
          </cell>
          <cell r="B268" t="str">
            <v>ROSQUETE TURRON DE COCO 400 g</v>
          </cell>
          <cell r="C268">
            <v>0</v>
          </cell>
          <cell r="D268">
            <v>0</v>
          </cell>
          <cell r="E268" t="str">
            <v>Und</v>
          </cell>
          <cell r="F268" t="str">
            <v>Und</v>
          </cell>
          <cell r="G268">
            <v>387.80678117191536</v>
          </cell>
          <cell r="H268">
            <v>387.80678117191536</v>
          </cell>
          <cell r="I268">
            <v>17.21246872857143</v>
          </cell>
          <cell r="J268">
            <v>17.21246872857143</v>
          </cell>
          <cell r="K268">
            <v>72.903464982087613</v>
          </cell>
          <cell r="L268">
            <v>72.903464982087613</v>
          </cell>
          <cell r="M268">
            <v>477.92271488257438</v>
          </cell>
        </row>
        <row r="269">
          <cell r="A269" t="str">
            <v>906000115</v>
          </cell>
          <cell r="B269" t="str">
            <v>PREMEZCLA BATIDO CHOCOLATE PURATOS KILO</v>
          </cell>
          <cell r="C269" t="str">
            <v>ESP-RE-PRES-110</v>
          </cell>
          <cell r="D269" t="str">
            <v>01</v>
          </cell>
          <cell r="E269" t="str">
            <v>Kilo</v>
          </cell>
          <cell r="F269" t="str">
            <v>Gramo</v>
          </cell>
          <cell r="G269">
            <v>4813.616</v>
          </cell>
          <cell r="H269">
            <v>4.8136159999999997</v>
          </cell>
          <cell r="I269">
            <v>79.08323353293413</v>
          </cell>
          <cell r="J269">
            <v>7.908323353293413E-2</v>
          </cell>
          <cell r="K269">
            <v>880.68586203592815</v>
          </cell>
          <cell r="L269">
            <v>0.88068586203592814</v>
          </cell>
          <cell r="M269">
            <v>5773.3850955688622</v>
          </cell>
        </row>
        <row r="270">
          <cell r="A270" t="str">
            <v>907000212</v>
          </cell>
          <cell r="B270" t="str">
            <v xml:space="preserve">BATIDO QQ CHOCOLATE PURATOS </v>
          </cell>
          <cell r="C270" t="str">
            <v>ESP-RE-BAF-068</v>
          </cell>
          <cell r="D270" t="str">
            <v>02</v>
          </cell>
          <cell r="E270" t="str">
            <v>Kilo</v>
          </cell>
          <cell r="F270" t="str">
            <v>Gramo</v>
          </cell>
          <cell r="G270">
            <v>1131.293554229102</v>
          </cell>
          <cell r="H270">
            <v>1.131293554229102</v>
          </cell>
          <cell r="I270">
            <v>0.22060059880239519</v>
          </cell>
          <cell r="J270">
            <v>2.206005988023952E-4</v>
          </cell>
          <cell r="K270">
            <v>203.67254786902276</v>
          </cell>
          <cell r="L270">
            <v>0.20367254786902275</v>
          </cell>
          <cell r="M270">
            <v>1335.1867026969271</v>
          </cell>
        </row>
        <row r="271">
          <cell r="A271" t="str">
            <v>903000052</v>
          </cell>
          <cell r="B271" t="str">
            <v>ROSQUETE CHOCOLATE PURATOS 400g</v>
          </cell>
          <cell r="C271" t="str">
            <v>ESP-RE-BAF-018</v>
          </cell>
          <cell r="D271" t="str">
            <v>05</v>
          </cell>
          <cell r="E271" t="str">
            <v>Und</v>
          </cell>
          <cell r="F271" t="str">
            <v>Und</v>
          </cell>
          <cell r="G271">
            <v>470.74613981229282</v>
          </cell>
          <cell r="H271">
            <v>470.74613981229282</v>
          </cell>
          <cell r="I271">
            <v>5.0211537743488694</v>
          </cell>
          <cell r="J271">
            <v>5.0211537743488694</v>
          </cell>
          <cell r="K271">
            <v>85.638112845595501</v>
          </cell>
          <cell r="L271">
            <v>85.638112845595501</v>
          </cell>
          <cell r="M271">
            <v>561.40540643223721</v>
          </cell>
        </row>
        <row r="272">
          <cell r="A272" t="str">
            <v>910000023</v>
          </cell>
          <cell r="B272" t="str">
            <v>CREMA TOP BASE CHOCOLATE (KILO)</v>
          </cell>
          <cell r="C272" t="str">
            <v xml:space="preserve">ESP-RE-DES-047 </v>
          </cell>
          <cell r="D272" t="str">
            <v>03</v>
          </cell>
          <cell r="E272" t="str">
            <v>Kilo</v>
          </cell>
          <cell r="F272" t="str">
            <v>Gramo</v>
          </cell>
          <cell r="G272">
            <v>2639.8721574115998</v>
          </cell>
          <cell r="H272">
            <v>2.6398721574115998</v>
          </cell>
          <cell r="I272">
            <v>2.3875190384061249E-2</v>
          </cell>
          <cell r="J272">
            <v>2.3875190384061249E-5</v>
          </cell>
          <cell r="K272">
            <v>475.18128586835707</v>
          </cell>
          <cell r="L272">
            <v>0.47518128586835706</v>
          </cell>
          <cell r="M272">
            <v>3115.0773184703407</v>
          </cell>
        </row>
        <row r="273">
          <cell r="A273" t="str">
            <v>903000051</v>
          </cell>
          <cell r="B273" t="str">
            <v>ROSQUETE VAINILLA PURATOS 400g</v>
          </cell>
          <cell r="C273" t="str">
            <v>ESP-RE-BAF-017</v>
          </cell>
          <cell r="D273" t="str">
            <v>02</v>
          </cell>
          <cell r="E273" t="str">
            <v>Und</v>
          </cell>
          <cell r="F273" t="str">
            <v>Und</v>
          </cell>
          <cell r="G273">
            <v>423.37125930395325</v>
          </cell>
          <cell r="H273">
            <v>423.37125930395325</v>
          </cell>
          <cell r="I273">
            <v>5.031816807120733</v>
          </cell>
          <cell r="J273">
            <v>5.031816807120733</v>
          </cell>
          <cell r="K273">
            <v>77.112553699993313</v>
          </cell>
          <cell r="L273">
            <v>77.112553699993313</v>
          </cell>
          <cell r="M273">
            <v>505.5156298110673</v>
          </cell>
        </row>
        <row r="274">
          <cell r="A274" t="str">
            <v>907000022</v>
          </cell>
          <cell r="B274" t="str">
            <v>SEMILLAS ALMENDRAS TOSTADAS (KILO)</v>
          </cell>
          <cell r="C274" t="str">
            <v xml:space="preserve">ESP-RE-DES-035 </v>
          </cell>
          <cell r="D274">
            <v>0</v>
          </cell>
          <cell r="E274" t="str">
            <v>Kilo</v>
          </cell>
          <cell r="F274" t="str">
            <v>Gramo</v>
          </cell>
          <cell r="G274">
            <v>5947.1840094062318</v>
          </cell>
          <cell r="H274">
            <v>5.9471840094062314</v>
          </cell>
          <cell r="I274">
            <v>16.559999999999999</v>
          </cell>
          <cell r="J274">
            <v>1.6559999999999998E-2</v>
          </cell>
          <cell r="K274">
            <v>1073.4739216931218</v>
          </cell>
          <cell r="L274">
            <v>1.0734739216931219</v>
          </cell>
          <cell r="M274">
            <v>7037.2179310993542</v>
          </cell>
        </row>
        <row r="275">
          <cell r="A275" t="str">
            <v>905000058</v>
          </cell>
          <cell r="B275" t="str">
            <v>CREMA LIMON BUCCA KILO</v>
          </cell>
          <cell r="C275" t="str">
            <v>ESP-RE-FIF-37</v>
          </cell>
          <cell r="D275">
            <v>0</v>
          </cell>
          <cell r="E275" t="str">
            <v>Kilo</v>
          </cell>
          <cell r="F275" t="str">
            <v>Gramo</v>
          </cell>
          <cell r="G275">
            <v>1939.0229254807693</v>
          </cell>
          <cell r="H275">
            <v>1.9390229254807694</v>
          </cell>
          <cell r="I275">
            <v>0.10230769230769231</v>
          </cell>
          <cell r="J275">
            <v>1.023076923076923E-4</v>
          </cell>
          <cell r="K275">
            <v>349.04254197115387</v>
          </cell>
          <cell r="L275">
            <v>0.34904254197115386</v>
          </cell>
          <cell r="M275">
            <v>2288.1677751442307</v>
          </cell>
        </row>
        <row r="276">
          <cell r="A276" t="str">
            <v>903000062</v>
          </cell>
          <cell r="B276" t="str">
            <v>ROSQUETE VAINILLA P.REAL 650g</v>
          </cell>
          <cell r="C276" t="str">
            <v xml:space="preserve">ESP-RE-BAF-035 </v>
          </cell>
          <cell r="D276" t="str">
            <v>02</v>
          </cell>
          <cell r="E276" t="str">
            <v>Und</v>
          </cell>
          <cell r="F276" t="str">
            <v>Und</v>
          </cell>
          <cell r="G276">
            <v>687.68934944791829</v>
          </cell>
          <cell r="H276">
            <v>687.68934944791829</v>
          </cell>
          <cell r="I276">
            <v>27.840802689219387</v>
          </cell>
          <cell r="J276">
            <v>27.840802689219387</v>
          </cell>
          <cell r="K276">
            <v>128.79542738468476</v>
          </cell>
          <cell r="L276">
            <v>128.79542738468476</v>
          </cell>
          <cell r="M276">
            <v>844.32557952182242</v>
          </cell>
        </row>
        <row r="277">
          <cell r="A277" t="str">
            <v>905000061</v>
          </cell>
          <cell r="B277" t="str">
            <v>CREMA CHANTILLY FUCSIA KILO</v>
          </cell>
          <cell r="C277" t="str">
            <v>ESP-RE-DES-082</v>
          </cell>
          <cell r="D277" t="str">
            <v>03</v>
          </cell>
          <cell r="E277" t="str">
            <v>Kilo</v>
          </cell>
          <cell r="F277" t="str">
            <v>Gramo</v>
          </cell>
          <cell r="G277">
            <v>2093.0492785714282</v>
          </cell>
          <cell r="H277">
            <v>2.0930492785714283</v>
          </cell>
          <cell r="I277">
            <v>0</v>
          </cell>
          <cell r="J277">
            <v>0</v>
          </cell>
          <cell r="K277">
            <v>376.74887014285707</v>
          </cell>
          <cell r="L277">
            <v>0.37674887014285707</v>
          </cell>
          <cell r="M277">
            <v>2469.7981487142852</v>
          </cell>
        </row>
        <row r="278">
          <cell r="A278" t="str">
            <v>906000093</v>
          </cell>
          <cell r="B278" t="str">
            <v>BASE PREMEZCLA SUPER ESPONJA KILO</v>
          </cell>
          <cell r="C278" t="str">
            <v xml:space="preserve">ESP-RE-PRES-034 </v>
          </cell>
          <cell r="D278" t="str">
            <v>05</v>
          </cell>
          <cell r="E278" t="str">
            <v>Kilo</v>
          </cell>
          <cell r="F278" t="str">
            <v>Gramo</v>
          </cell>
          <cell r="G278">
            <v>4813.616</v>
          </cell>
          <cell r="H278">
            <v>4.8136159999999997</v>
          </cell>
          <cell r="I278">
            <v>36.582167664670656</v>
          </cell>
          <cell r="J278">
            <v>3.6582167664670658E-2</v>
          </cell>
          <cell r="K278">
            <v>873.03567017964076</v>
          </cell>
          <cell r="L278">
            <v>0.87303567017964079</v>
          </cell>
          <cell r="M278">
            <v>5723.2338378443119</v>
          </cell>
        </row>
        <row r="279">
          <cell r="A279" t="str">
            <v>902000001</v>
          </cell>
          <cell r="B279" t="str">
            <v>BATIDO SUPER ESPONJA KILO</v>
          </cell>
          <cell r="C279" t="str">
            <v>ESP-RE-BAS-080</v>
          </cell>
          <cell r="D279" t="str">
            <v>05</v>
          </cell>
          <cell r="E279" t="str">
            <v>Kilo</v>
          </cell>
          <cell r="F279" t="str">
            <v>Gramo</v>
          </cell>
          <cell r="G279">
            <v>1539.4991299367618</v>
          </cell>
          <cell r="H279">
            <v>1.5394991299367617</v>
          </cell>
          <cell r="I279">
            <v>0.11130476977080322</v>
          </cell>
          <cell r="J279">
            <v>1.1130476977080323E-4</v>
          </cell>
          <cell r="K279">
            <v>277.1298782471759</v>
          </cell>
          <cell r="L279">
            <v>0.27712987824717589</v>
          </cell>
          <cell r="M279">
            <v>1816.7403129537086</v>
          </cell>
        </row>
        <row r="280">
          <cell r="A280" t="str">
            <v>907000237</v>
          </cell>
          <cell r="B280" t="str">
            <v>ROSQUETE SUPER ESPONJA 380G</v>
          </cell>
          <cell r="C280" t="str">
            <v>ESP-RE-BAS-105</v>
          </cell>
          <cell r="D280" t="str">
            <v>03</v>
          </cell>
          <cell r="E280" t="str">
            <v>Und</v>
          </cell>
          <cell r="F280" t="str">
            <v>Und</v>
          </cell>
          <cell r="G280">
            <v>599.91600195615933</v>
          </cell>
          <cell r="H280">
            <v>599.91600195615933</v>
          </cell>
          <cell r="I280">
            <v>4.9705349976953173</v>
          </cell>
          <cell r="J280">
            <v>4.9705349976953173</v>
          </cell>
          <cell r="K280">
            <v>108.87957665169382</v>
          </cell>
          <cell r="L280">
            <v>108.87957665169382</v>
          </cell>
          <cell r="M280">
            <v>713.76611360554841</v>
          </cell>
        </row>
        <row r="281">
          <cell r="A281" t="str">
            <v>905000064</v>
          </cell>
          <cell r="B281" t="str">
            <v>CREMA CHANTILLY VERDE OSCURO KILO</v>
          </cell>
          <cell r="C281" t="str">
            <v>ESP-RE-DES-079</v>
          </cell>
          <cell r="D281" t="str">
            <v>02</v>
          </cell>
          <cell r="E281" t="str">
            <v>Kilo</v>
          </cell>
          <cell r="F281" t="str">
            <v>Gramo</v>
          </cell>
          <cell r="G281">
            <v>2088.451749529042</v>
          </cell>
          <cell r="H281">
            <v>2.088451749529042</v>
          </cell>
          <cell r="I281">
            <v>0</v>
          </cell>
          <cell r="J281">
            <v>0</v>
          </cell>
          <cell r="K281">
            <v>375.92131491522753</v>
          </cell>
          <cell r="L281">
            <v>0.37592131491522751</v>
          </cell>
          <cell r="M281">
            <v>2464.3730644442694</v>
          </cell>
        </row>
        <row r="282">
          <cell r="A282" t="str">
            <v>905000062</v>
          </cell>
          <cell r="B282" t="str">
            <v>CREMA CHANTILLY AZUL ELECTRICO KILO</v>
          </cell>
          <cell r="C282" t="str">
            <v>ESP-RE-DES-083</v>
          </cell>
          <cell r="D282" t="str">
            <v>02</v>
          </cell>
          <cell r="E282" t="str">
            <v>Kilo</v>
          </cell>
          <cell r="F282" t="str">
            <v>Gramo</v>
          </cell>
          <cell r="G282">
            <v>2106.4737275510201</v>
          </cell>
          <cell r="H282">
            <v>2.1064737275510201</v>
          </cell>
          <cell r="I282">
            <v>0</v>
          </cell>
          <cell r="J282">
            <v>0</v>
          </cell>
          <cell r="K282">
            <v>379.1652709591836</v>
          </cell>
          <cell r="L282">
            <v>0.37916527095918362</v>
          </cell>
          <cell r="M282">
            <v>2485.6389985102037</v>
          </cell>
        </row>
        <row r="283">
          <cell r="A283" t="str">
            <v>907000020</v>
          </cell>
          <cell r="B283" t="str">
            <v>MEZCLA FLAN CARAMELO SPOON (KILO)</v>
          </cell>
          <cell r="C283" t="str">
            <v xml:space="preserve">ESP-RE-POS-063 </v>
          </cell>
          <cell r="D283" t="str">
            <v>07</v>
          </cell>
          <cell r="E283" t="str">
            <v>Kilo</v>
          </cell>
          <cell r="F283" t="str">
            <v>Gramo</v>
          </cell>
          <cell r="G283">
            <v>1895.6035409803922</v>
          </cell>
          <cell r="H283">
            <v>1.8956035409803922</v>
          </cell>
          <cell r="I283">
            <v>0</v>
          </cell>
          <cell r="J283">
            <v>0</v>
          </cell>
          <cell r="K283">
            <v>341.20863737647056</v>
          </cell>
          <cell r="L283">
            <v>0.34120863737647056</v>
          </cell>
          <cell r="M283">
            <v>2236.8121783568627</v>
          </cell>
        </row>
        <row r="284">
          <cell r="A284" t="str">
            <v>907000030</v>
          </cell>
          <cell r="B284" t="str">
            <v>FLAN CARAMELO BUCCA UND</v>
          </cell>
          <cell r="C284" t="str">
            <v xml:space="preserve">ESP-RE-POS-068  </v>
          </cell>
          <cell r="D284" t="str">
            <v>01</v>
          </cell>
          <cell r="E284" t="str">
            <v>Und</v>
          </cell>
          <cell r="F284" t="str">
            <v>Und</v>
          </cell>
          <cell r="G284">
            <v>2947.0803114705886</v>
          </cell>
          <cell r="H284">
            <v>2947.0803114705886</v>
          </cell>
          <cell r="I284">
            <v>264.07400000000001</v>
          </cell>
          <cell r="J284">
            <v>264.07400000000001</v>
          </cell>
          <cell r="K284">
            <v>578.00777606470592</v>
          </cell>
          <cell r="L284">
            <v>578.00777606470592</v>
          </cell>
          <cell r="M284">
            <v>3789.1620875352946</v>
          </cell>
        </row>
        <row r="285">
          <cell r="A285" t="str">
            <v>910000009</v>
          </cell>
          <cell r="B285" t="str">
            <v>CHOCOLATE LECHE RALLADO (KILO)</v>
          </cell>
          <cell r="C285" t="str">
            <v xml:space="preserve">ESP-RE-DES-029 </v>
          </cell>
          <cell r="D285" t="str">
            <v>01</v>
          </cell>
          <cell r="E285" t="str">
            <v>Kilo</v>
          </cell>
          <cell r="F285" t="str">
            <v>Gramo</v>
          </cell>
          <cell r="G285">
            <v>4753.6442553191482</v>
          </cell>
          <cell r="H285">
            <v>4.7536442553191485</v>
          </cell>
          <cell r="I285">
            <v>7.5987841945288759</v>
          </cell>
          <cell r="J285">
            <v>7.5987841945288756E-3</v>
          </cell>
          <cell r="K285">
            <v>857.02374711246182</v>
          </cell>
          <cell r="L285">
            <v>0.85702374711246176</v>
          </cell>
          <cell r="M285">
            <v>5618.266786626139</v>
          </cell>
        </row>
        <row r="286">
          <cell r="A286" t="str">
            <v>903000133</v>
          </cell>
          <cell r="B286" t="str">
            <v>ROSQUETE CHOCOLATE PASTELERO REAL 650g</v>
          </cell>
          <cell r="C286" t="str">
            <v xml:space="preserve">ESP-RE-BAF-041 </v>
          </cell>
          <cell r="D286" t="str">
            <v>03</v>
          </cell>
          <cell r="E286" t="str">
            <v>Und</v>
          </cell>
          <cell r="F286" t="str">
            <v>Und</v>
          </cell>
          <cell r="G286">
            <v>758.36836890131644</v>
          </cell>
          <cell r="H286">
            <v>758.36836890131644</v>
          </cell>
          <cell r="I286">
            <v>13.93209514404295</v>
          </cell>
          <cell r="J286">
            <v>13.93209514404295</v>
          </cell>
          <cell r="K286">
            <v>139.01408352816469</v>
          </cell>
          <cell r="L286">
            <v>139.01408352816469</v>
          </cell>
          <cell r="M286">
            <v>911.31454757352412</v>
          </cell>
        </row>
        <row r="287">
          <cell r="A287" t="str">
            <v>907000026</v>
          </cell>
          <cell r="B287" t="str">
            <v>MEZCLA TRES LECHES Y KOLITA (LITRO)</v>
          </cell>
          <cell r="C287" t="str">
            <v>ESP-RE-DES-107</v>
          </cell>
          <cell r="D287" t="str">
            <v>03</v>
          </cell>
          <cell r="E287" t="str">
            <v>Kilo</v>
          </cell>
          <cell r="F287" t="str">
            <v>Gramo</v>
          </cell>
          <cell r="G287">
            <v>1403.1267052848862</v>
          </cell>
          <cell r="H287">
            <v>1.4031267052848861</v>
          </cell>
          <cell r="I287">
            <v>5.1399965120000006</v>
          </cell>
          <cell r="J287">
            <v>5.1399965120000005E-3</v>
          </cell>
          <cell r="K287">
            <v>253.48800632343949</v>
          </cell>
          <cell r="L287">
            <v>0.25348800632343949</v>
          </cell>
          <cell r="M287">
            <v>1661.7547081203256</v>
          </cell>
        </row>
        <row r="288">
          <cell r="A288" t="str">
            <v>910000030</v>
          </cell>
          <cell r="B288" t="str">
            <v>CREMA BLANCA C/SIROPE KOLITA KILO</v>
          </cell>
          <cell r="C288" t="str">
            <v xml:space="preserve">ESP-RE-DES-056 </v>
          </cell>
          <cell r="D288" t="str">
            <v>02</v>
          </cell>
          <cell r="E288" t="str">
            <v>Kilo</v>
          </cell>
          <cell r="F288" t="str">
            <v>Gramo</v>
          </cell>
          <cell r="G288">
            <v>1911.374784950179</v>
          </cell>
          <cell r="H288">
            <v>1.911374784950179</v>
          </cell>
          <cell r="I288">
            <v>2.7884615384615379E-2</v>
          </cell>
          <cell r="J288">
            <v>2.7884615384615379E-5</v>
          </cell>
          <cell r="K288">
            <v>344.05248052180144</v>
          </cell>
          <cell r="L288">
            <v>0.34405248052180143</v>
          </cell>
          <cell r="M288">
            <v>2255.4551500873649</v>
          </cell>
        </row>
        <row r="289">
          <cell r="A289" t="str">
            <v>905000045</v>
          </cell>
          <cell r="B289" t="str">
            <v>RELLENO LECHE CONDENSADA BUCCA KILO</v>
          </cell>
          <cell r="C289" t="str">
            <v>ESP-RE-POS-074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1997.2687037037035</v>
          </cell>
          <cell r="H289">
            <v>1.9972687037037036</v>
          </cell>
          <cell r="I289">
            <v>0</v>
          </cell>
          <cell r="J289">
            <v>0</v>
          </cell>
          <cell r="K289">
            <v>359.50836666666663</v>
          </cell>
          <cell r="L289">
            <v>0.35950836666666663</v>
          </cell>
          <cell r="M289">
            <v>2356.77707037037</v>
          </cell>
        </row>
        <row r="290">
          <cell r="A290" t="str">
            <v>902000095</v>
          </cell>
          <cell r="B290" t="str">
            <v>MEZCLA DE TRES LECHES ECONOMICA KILO</v>
          </cell>
          <cell r="C290" t="str">
            <v>ESP-RE-POF-161</v>
          </cell>
          <cell r="D290" t="str">
            <v>02</v>
          </cell>
          <cell r="E290" t="str">
            <v>Kilo</v>
          </cell>
          <cell r="F290" t="str">
            <v>Gramo</v>
          </cell>
          <cell r="G290">
            <v>1360.6472252544154</v>
          </cell>
          <cell r="H290">
            <v>1.3606472252544153</v>
          </cell>
          <cell r="I290">
            <v>0.5211723682539684</v>
          </cell>
          <cell r="J290">
            <v>5.2117236825396842E-4</v>
          </cell>
          <cell r="K290">
            <v>245.01031157208047</v>
          </cell>
          <cell r="L290">
            <v>0.24501031157208047</v>
          </cell>
          <cell r="M290">
            <v>1606.1787091947499</v>
          </cell>
        </row>
        <row r="291">
          <cell r="A291" t="str">
            <v>90100288</v>
          </cell>
          <cell r="B291" t="str">
            <v>RELLENO MELOCOTON BUCCA PLANTA</v>
          </cell>
          <cell r="C291" t="str">
            <v>ESP-RE-COCS-306</v>
          </cell>
          <cell r="D291" t="str">
            <v>03</v>
          </cell>
          <cell r="E291" t="str">
            <v>Kilo</v>
          </cell>
          <cell r="F291" t="str">
            <v>Gramo</v>
          </cell>
          <cell r="G291">
            <v>1107.8456548076924</v>
          </cell>
          <cell r="H291">
            <v>1.1078456548076925</v>
          </cell>
          <cell r="I291">
            <v>0</v>
          </cell>
          <cell r="J291">
            <v>0</v>
          </cell>
          <cell r="K291">
            <v>199.41221786538463</v>
          </cell>
          <cell r="L291">
            <v>0.19941221786538463</v>
          </cell>
          <cell r="M291">
            <v>1307.2578726730771</v>
          </cell>
        </row>
        <row r="292">
          <cell r="A292" t="str">
            <v>90100289</v>
          </cell>
          <cell r="B292" t="str">
            <v>EMPAQUE RELLENO MELOCOTON BUCCA KILO</v>
          </cell>
          <cell r="C292" t="str">
            <v>ESP-RE-EMPF-177</v>
          </cell>
          <cell r="D292" t="str">
            <v>01</v>
          </cell>
          <cell r="E292" t="str">
            <v>Kilo</v>
          </cell>
          <cell r="F292" t="str">
            <v>Gramo</v>
          </cell>
          <cell r="G292">
            <v>1107.8456548076924</v>
          </cell>
          <cell r="H292">
            <v>1.1078456548076925</v>
          </cell>
          <cell r="I292">
            <v>3.1949999999999998</v>
          </cell>
          <cell r="J292">
            <v>3.1949999999999999E-3</v>
          </cell>
          <cell r="K292">
            <v>199.98731786538463</v>
          </cell>
          <cell r="L292">
            <v>0.19998731786538462</v>
          </cell>
          <cell r="M292">
            <v>1311.0279726730769</v>
          </cell>
        </row>
        <row r="293">
          <cell r="A293" t="str">
            <v>903000029</v>
          </cell>
          <cell r="B293" t="str">
            <v>ROSQUETE TRES LECHES 230g</v>
          </cell>
          <cell r="C293" t="str">
            <v>ESP-RE-BAS-042</v>
          </cell>
          <cell r="D293" t="str">
            <v>04</v>
          </cell>
          <cell r="E293" t="str">
            <v>UND</v>
          </cell>
          <cell r="F293" t="str">
            <v>Und</v>
          </cell>
          <cell r="G293">
            <v>227.57080872868772</v>
          </cell>
          <cell r="H293">
            <v>227.57080872868772</v>
          </cell>
          <cell r="I293">
            <v>7.1362826194139197</v>
          </cell>
          <cell r="J293">
            <v>7.1362826194139197</v>
          </cell>
          <cell r="K293">
            <v>42.247276442658297</v>
          </cell>
          <cell r="L293">
            <v>42.247276442658297</v>
          </cell>
          <cell r="M293">
            <v>276.95436779075993</v>
          </cell>
        </row>
        <row r="294">
          <cell r="A294" t="str">
            <v>907000211</v>
          </cell>
          <cell r="B294" t="str">
            <v>ROSQUETE MELO FROM SCRATCH 300 G</v>
          </cell>
          <cell r="C294" t="str">
            <v xml:space="preserve">ESP-RE-BAS-126 </v>
          </cell>
          <cell r="D294" t="str">
            <v>01</v>
          </cell>
          <cell r="E294" t="str">
            <v>Und</v>
          </cell>
          <cell r="F294" t="str">
            <v>Und</v>
          </cell>
          <cell r="G294">
            <v>368.30606222166847</v>
          </cell>
          <cell r="H294">
            <v>368.30606222166847</v>
          </cell>
          <cell r="I294">
            <v>4.8457582757763973</v>
          </cell>
          <cell r="J294">
            <v>4.8457582757763973</v>
          </cell>
          <cell r="K294">
            <v>67.167327689540073</v>
          </cell>
          <cell r="L294">
            <v>67.167327689540073</v>
          </cell>
          <cell r="M294">
            <v>440.31914818698493</v>
          </cell>
        </row>
        <row r="295">
          <cell r="A295" t="str">
            <v>903000048</v>
          </cell>
          <cell r="B295" t="str">
            <v>ROSQUETE VAINILLA PASTELERO REAL 1800g</v>
          </cell>
          <cell r="C295" t="str">
            <v>ESP-RE-BAF-014</v>
          </cell>
          <cell r="D295" t="str">
            <v>05</v>
          </cell>
          <cell r="E295" t="str">
            <v>Und</v>
          </cell>
          <cell r="F295" t="str">
            <v>Und</v>
          </cell>
          <cell r="G295">
            <v>1910.5098767273901</v>
          </cell>
          <cell r="H295">
            <v>1910.5098767273901</v>
          </cell>
          <cell r="I295">
            <v>13.821448779897347</v>
          </cell>
          <cell r="J295">
            <v>13.821448779897347</v>
          </cell>
          <cell r="K295">
            <v>346.37963859131173</v>
          </cell>
          <cell r="L295">
            <v>346.37963859131173</v>
          </cell>
          <cell r="M295">
            <v>2270.7109640985991</v>
          </cell>
        </row>
        <row r="296">
          <cell r="A296" t="str">
            <v>903000172</v>
          </cell>
          <cell r="B296" t="str">
            <v xml:space="preserve">GALLETA CHILENA 17 CM </v>
          </cell>
          <cell r="C296" t="str">
            <v>ESP-RE-PAPS-181</v>
          </cell>
          <cell r="D296" t="str">
            <v>01</v>
          </cell>
          <cell r="E296" t="str">
            <v>Und</v>
          </cell>
          <cell r="F296" t="str">
            <v>Und</v>
          </cell>
          <cell r="G296">
            <v>85.211807824397781</v>
          </cell>
          <cell r="H296">
            <v>85.211807824397781</v>
          </cell>
          <cell r="I296">
            <v>0.27738457830000002</v>
          </cell>
          <cell r="J296">
            <v>0.27738457830000002</v>
          </cell>
          <cell r="K296">
            <v>15.3880546324856</v>
          </cell>
          <cell r="L296">
            <v>15.3880546324856</v>
          </cell>
          <cell r="M296">
            <v>100.87724703518339</v>
          </cell>
        </row>
        <row r="297">
          <cell r="A297" t="str">
            <v>910000005</v>
          </cell>
          <cell r="B297" t="str">
            <v>MEZCLA DULCE LECHE C/AGUA</v>
          </cell>
          <cell r="C297" t="str">
            <v>ESP-RE-DES-025</v>
          </cell>
          <cell r="D297" t="str">
            <v>01</v>
          </cell>
          <cell r="E297" t="str">
            <v>Kilo</v>
          </cell>
          <cell r="F297" t="str">
            <v>Gramo</v>
          </cell>
          <cell r="G297">
            <v>1785.5263333333332</v>
          </cell>
          <cell r="H297">
            <v>1.7855263333333333</v>
          </cell>
          <cell r="I297">
            <v>1.8771333333333331</v>
          </cell>
          <cell r="J297">
            <v>1.8771333333333332E-3</v>
          </cell>
          <cell r="K297">
            <v>321.73262399999999</v>
          </cell>
          <cell r="L297">
            <v>0.32173262399999997</v>
          </cell>
          <cell r="M297">
            <v>2109.1360906666669</v>
          </cell>
        </row>
        <row r="298">
          <cell r="A298" t="str">
            <v>907000226</v>
          </cell>
          <cell r="B298" t="str">
            <v>ROSQUETE CHOCOLATE BUCCA 800 g</v>
          </cell>
          <cell r="C298" t="str">
            <v xml:space="preserve">ESP-RE-BAF-086 </v>
          </cell>
          <cell r="D298" t="str">
            <v>02</v>
          </cell>
          <cell r="E298" t="str">
            <v>Und</v>
          </cell>
          <cell r="F298" t="str">
            <v>Und</v>
          </cell>
          <cell r="G298">
            <v>988.19211969831554</v>
          </cell>
          <cell r="H298">
            <v>988.19211969831554</v>
          </cell>
          <cell r="I298">
            <v>14.396438226190476</v>
          </cell>
          <cell r="J298">
            <v>14.396438226190476</v>
          </cell>
          <cell r="K298">
            <v>180.46594042641109</v>
          </cell>
          <cell r="L298">
            <v>180.46594042641109</v>
          </cell>
          <cell r="M298">
            <v>1183.0544983509171</v>
          </cell>
        </row>
        <row r="299">
          <cell r="A299" t="str">
            <v>90100195</v>
          </cell>
          <cell r="B299" t="str">
            <v>ROSQUETE TRES LECHES WALMART 300 g</v>
          </cell>
          <cell r="C299" t="str">
            <v>ESP-RE-BAF-069</v>
          </cell>
          <cell r="D299" t="str">
            <v>02</v>
          </cell>
          <cell r="E299" t="str">
            <v>Und</v>
          </cell>
          <cell r="F299" t="str">
            <v>Und</v>
          </cell>
          <cell r="G299">
            <v>315.02196298040366</v>
          </cell>
          <cell r="H299">
            <v>315.02196298040366</v>
          </cell>
          <cell r="I299">
            <v>1.6990401571428571</v>
          </cell>
          <cell r="J299">
            <v>1.6990401571428571</v>
          </cell>
          <cell r="K299">
            <v>57.009780564758373</v>
          </cell>
          <cell r="L299">
            <v>57.009780564758373</v>
          </cell>
          <cell r="M299">
            <v>373.7307837023049</v>
          </cell>
        </row>
        <row r="300">
          <cell r="A300" t="str">
            <v>907000117</v>
          </cell>
          <cell r="B300" t="str">
            <v>ROSQUETE CHOCOLATE BUCCA 280 g</v>
          </cell>
          <cell r="C300" t="str">
            <v>ESP-RE-BAF-016</v>
          </cell>
          <cell r="D300" t="str">
            <v>05</v>
          </cell>
          <cell r="E300" t="str">
            <v>Und</v>
          </cell>
          <cell r="F300" t="str">
            <v>Und</v>
          </cell>
          <cell r="G300">
            <v>346.10629783755019</v>
          </cell>
          <cell r="H300">
            <v>346.10629783755019</v>
          </cell>
          <cell r="I300">
            <v>2.7523336539264829</v>
          </cell>
          <cell r="J300">
            <v>2.7523336539264829</v>
          </cell>
          <cell r="K300">
            <v>62.794553668465795</v>
          </cell>
          <cell r="L300">
            <v>62.794553668465795</v>
          </cell>
          <cell r="M300">
            <v>411.6531851599425</v>
          </cell>
        </row>
        <row r="301">
          <cell r="A301" t="str">
            <v>909000039</v>
          </cell>
          <cell r="B301" t="str">
            <v>ENSAMBLE FLAN CARAMEL RECT BUC 1200G</v>
          </cell>
          <cell r="C301" t="str">
            <v>ESP-RE-POF-095</v>
          </cell>
          <cell r="D301" t="str">
            <v>01</v>
          </cell>
          <cell r="E301" t="str">
            <v>Und</v>
          </cell>
          <cell r="F301" t="str">
            <v>Und</v>
          </cell>
          <cell r="G301">
            <v>2730.6412536688458</v>
          </cell>
          <cell r="H301">
            <v>2730.6412536688458</v>
          </cell>
          <cell r="I301">
            <v>0</v>
          </cell>
          <cell r="J301">
            <v>0</v>
          </cell>
          <cell r="K301">
            <v>491.51542566039222</v>
          </cell>
          <cell r="L301">
            <v>491.51542566039222</v>
          </cell>
          <cell r="M301">
            <v>3222.1566793292382</v>
          </cell>
        </row>
        <row r="302">
          <cell r="A302" t="str">
            <v>90100284</v>
          </cell>
          <cell r="B302" t="str">
            <v>RELLENO DE FRESA ESPESA PLANTA KILO</v>
          </cell>
          <cell r="C302" t="str">
            <v xml:space="preserve">ESP-RE-COCS-302 </v>
          </cell>
          <cell r="D302" t="str">
            <v>02</v>
          </cell>
          <cell r="E302" t="str">
            <v>Kilo</v>
          </cell>
          <cell r="F302" t="str">
            <v>Gramo</v>
          </cell>
          <cell r="G302">
            <v>1585.8038857112167</v>
          </cell>
          <cell r="H302">
            <v>1.5858038857112167</v>
          </cell>
          <cell r="I302">
            <v>5.9657314774988599</v>
          </cell>
          <cell r="J302">
            <v>5.9657314774988601E-3</v>
          </cell>
          <cell r="K302">
            <v>286.51853109396876</v>
          </cell>
          <cell r="L302">
            <v>0.28651853109396874</v>
          </cell>
          <cell r="M302">
            <v>1878.2881482826842</v>
          </cell>
        </row>
        <row r="303">
          <cell r="A303" t="str">
            <v>20100115</v>
          </cell>
          <cell r="B303" t="str">
            <v>EMPAQ RELLENO DE FRESA ESPESA KILO</v>
          </cell>
          <cell r="C303" t="str">
            <v>ESP-RE-EMPS-195</v>
          </cell>
          <cell r="D303" t="str">
            <v>01</v>
          </cell>
          <cell r="E303" t="str">
            <v>Kilo</v>
          </cell>
          <cell r="F303" t="str">
            <v>Gramo</v>
          </cell>
          <cell r="G303">
            <v>1585.8038857112167</v>
          </cell>
          <cell r="H303">
            <v>1.5858038857112167</v>
          </cell>
          <cell r="I303">
            <v>13.264588620356001</v>
          </cell>
          <cell r="J303">
            <v>1.3264588620356002E-2</v>
          </cell>
          <cell r="K303">
            <v>287.83232537968308</v>
          </cell>
          <cell r="L303">
            <v>0.28783232537968306</v>
          </cell>
          <cell r="M303">
            <v>1886.9007997112558</v>
          </cell>
        </row>
        <row r="304">
          <cell r="A304" t="str">
            <v>907000027</v>
          </cell>
          <cell r="B304" t="str">
            <v>CARAMELO CROCANTE KILO</v>
          </cell>
          <cell r="C304" t="str">
            <v>ESP-RE-POS-100</v>
          </cell>
          <cell r="D304" t="str">
            <v>01</v>
          </cell>
          <cell r="E304" t="str">
            <v>Kilo</v>
          </cell>
          <cell r="F304" t="str">
            <v>Gramo</v>
          </cell>
          <cell r="G304">
            <v>760.28333333333364</v>
          </cell>
          <cell r="H304">
            <v>0.76028333333333364</v>
          </cell>
          <cell r="I304">
            <v>12</v>
          </cell>
          <cell r="J304">
            <v>1.2E-2</v>
          </cell>
          <cell r="K304">
            <v>139.01100000000005</v>
          </cell>
          <cell r="L304">
            <v>0.13901100000000005</v>
          </cell>
          <cell r="M304">
            <v>911.29433333333373</v>
          </cell>
        </row>
        <row r="305">
          <cell r="A305" t="str">
            <v>907000025</v>
          </cell>
          <cell r="B305" t="str">
            <v>CARAMELO C/CHOCOLATE BLANCO KILO</v>
          </cell>
          <cell r="C305" t="str">
            <v>ESP-RE-POS-099</v>
          </cell>
          <cell r="D305" t="str">
            <v>01</v>
          </cell>
          <cell r="E305" t="str">
            <v>Kilo</v>
          </cell>
          <cell r="F305" t="str">
            <v>Gramo</v>
          </cell>
          <cell r="G305">
            <v>2137.6972222222221</v>
          </cell>
          <cell r="H305">
            <v>2.1376972222222221</v>
          </cell>
          <cell r="I305">
            <v>26.092199999999998</v>
          </cell>
          <cell r="J305">
            <v>2.6092199999999999E-2</v>
          </cell>
          <cell r="K305">
            <v>389.48209599999996</v>
          </cell>
          <cell r="L305">
            <v>0.38948209599999994</v>
          </cell>
          <cell r="M305">
            <v>2553.2715182222219</v>
          </cell>
        </row>
        <row r="306">
          <cell r="A306" t="str">
            <v>905000100</v>
          </cell>
          <cell r="B306" t="str">
            <v>CREMA CHANTILLY LILA KILO</v>
          </cell>
          <cell r="C306">
            <v>0</v>
          </cell>
          <cell r="D306">
            <v>0</v>
          </cell>
          <cell r="E306" t="str">
            <v>Kilo</v>
          </cell>
          <cell r="F306" t="str">
            <v>Gramo</v>
          </cell>
          <cell r="G306">
            <v>1999.6630882026627</v>
          </cell>
          <cell r="H306">
            <v>1.9996630882026627</v>
          </cell>
          <cell r="I306">
            <v>0.10230769230769231</v>
          </cell>
          <cell r="J306">
            <v>1.023076923076923E-4</v>
          </cell>
          <cell r="K306">
            <v>359.95777126109465</v>
          </cell>
          <cell r="L306">
            <v>0.35995777126109463</v>
          </cell>
          <cell r="M306">
            <v>2359.7231671560648</v>
          </cell>
        </row>
        <row r="307">
          <cell r="A307" t="str">
            <v>905000101</v>
          </cell>
          <cell r="B307" t="str">
            <v>CREMA CHANTILLY MORADO BARNIE KILO</v>
          </cell>
          <cell r="C307">
            <v>0</v>
          </cell>
          <cell r="D307">
            <v>0</v>
          </cell>
          <cell r="E307" t="str">
            <v>Kilo</v>
          </cell>
          <cell r="F307" t="str">
            <v>Gramo</v>
          </cell>
          <cell r="G307">
            <v>2017.4145674926037</v>
          </cell>
          <cell r="H307">
            <v>2.0174145674926036</v>
          </cell>
          <cell r="I307">
            <v>0.10230769230769231</v>
          </cell>
          <cell r="J307">
            <v>1.023076923076923E-4</v>
          </cell>
          <cell r="K307">
            <v>363.15303753328402</v>
          </cell>
          <cell r="L307">
            <v>0.36315303753328404</v>
          </cell>
          <cell r="M307">
            <v>2380.6699127181955</v>
          </cell>
        </row>
        <row r="308">
          <cell r="A308" t="str">
            <v>911000002</v>
          </cell>
          <cell r="B308" t="str">
            <v>TEMPERADO CHOCOLATE BLANCO (KILO)</v>
          </cell>
          <cell r="C308" t="str">
            <v xml:space="preserve">ESP-RE-FIS-004 </v>
          </cell>
          <cell r="D308" t="str">
            <v>02</v>
          </cell>
          <cell r="E308" t="str">
            <v>Kilo</v>
          </cell>
          <cell r="F308" t="str">
            <v>Gramo</v>
          </cell>
          <cell r="G308">
            <v>6259.4444444444443</v>
          </cell>
          <cell r="H308">
            <v>6.2594444444444441</v>
          </cell>
          <cell r="I308">
            <v>3.61</v>
          </cell>
          <cell r="J308">
            <v>3.6099999999999999E-3</v>
          </cell>
          <cell r="K308">
            <v>1127.3498</v>
          </cell>
          <cell r="L308">
            <v>1.1273498</v>
          </cell>
          <cell r="M308">
            <v>7390.404244444444</v>
          </cell>
        </row>
        <row r="309">
          <cell r="A309" t="str">
            <v>904000034</v>
          </cell>
          <cell r="B309" t="str">
            <v xml:space="preserve">ALFAJOR C/ DULCE LECHE STB UND </v>
          </cell>
          <cell r="C309" t="str">
            <v xml:space="preserve">ESP-RE-FIS-014 </v>
          </cell>
          <cell r="D309" t="str">
            <v>04</v>
          </cell>
          <cell r="E309" t="str">
            <v>Und</v>
          </cell>
          <cell r="F309" t="str">
            <v>Und</v>
          </cell>
          <cell r="G309">
            <v>143.75226104420139</v>
          </cell>
          <cell r="H309">
            <v>143.75226104420139</v>
          </cell>
          <cell r="I309">
            <v>0.22831198744716519</v>
          </cell>
          <cell r="J309">
            <v>0.22831198744716519</v>
          </cell>
          <cell r="K309">
            <v>25.916503145696741</v>
          </cell>
          <cell r="L309">
            <v>25.916503145696741</v>
          </cell>
          <cell r="M309">
            <v>169.8970761773453</v>
          </cell>
        </row>
        <row r="310">
          <cell r="A310" t="str">
            <v>910000017</v>
          </cell>
          <cell r="B310" t="str">
            <v>CREMA BLANCA C/CAFE (KILO)</v>
          </cell>
          <cell r="C310" t="str">
            <v>ESP-RE-DES-129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1958.6111627906973</v>
          </cell>
          <cell r="H310">
            <v>1.9586111627906972</v>
          </cell>
          <cell r="I310">
            <v>0.10203788060417167</v>
          </cell>
          <cell r="J310">
            <v>1.0203788060417167E-4</v>
          </cell>
          <cell r="K310">
            <v>352.56837612083427</v>
          </cell>
          <cell r="L310">
            <v>0.35256837612083425</v>
          </cell>
          <cell r="M310">
            <v>2311.2815767921356</v>
          </cell>
        </row>
        <row r="311">
          <cell r="A311" t="str">
            <v>910000004</v>
          </cell>
          <cell r="B311" t="str">
            <v>MEZCLA LICOR CAFE C/ALMIBAR (KILO)</v>
          </cell>
          <cell r="C311" t="str">
            <v>ESP-RE-DES-128</v>
          </cell>
          <cell r="D311" t="str">
            <v>01</v>
          </cell>
          <cell r="E311" t="str">
            <v>Kilo</v>
          </cell>
          <cell r="F311" t="str">
            <v>Gramo</v>
          </cell>
          <cell r="G311">
            <v>4180.7610017049992</v>
          </cell>
          <cell r="H311">
            <v>4.1807610017049992</v>
          </cell>
          <cell r="I311">
            <v>8.0475165999999998</v>
          </cell>
          <cell r="J311">
            <v>8.0475166000000004E-3</v>
          </cell>
          <cell r="K311">
            <v>753.98553329489982</v>
          </cell>
          <cell r="L311">
            <v>0.75398553329489981</v>
          </cell>
          <cell r="M311">
            <v>4942.7940515998989</v>
          </cell>
        </row>
        <row r="312">
          <cell r="A312" t="str">
            <v>90100030</v>
          </cell>
          <cell r="B312" t="str">
            <v>COCCION CARNE MECHADA FAS KILO</v>
          </cell>
          <cell r="C312" t="str">
            <v xml:space="preserve">ESP-RE-COCS-162 </v>
          </cell>
          <cell r="D312" t="str">
            <v>01</v>
          </cell>
          <cell r="E312" t="str">
            <v>Kilo</v>
          </cell>
          <cell r="F312" t="str">
            <v>Gramo</v>
          </cell>
          <cell r="G312" t="e">
            <v>#N/A</v>
          </cell>
          <cell r="H312" t="e">
            <v>#N/A</v>
          </cell>
          <cell r="I312">
            <v>3.2909935272744768</v>
          </cell>
          <cell r="J312">
            <v>3.290993527274477E-3</v>
          </cell>
          <cell r="K312" t="e">
            <v>#N/A</v>
          </cell>
          <cell r="L312" t="e">
            <v>#N/A</v>
          </cell>
          <cell r="M312" t="e">
            <v>#N/A</v>
          </cell>
        </row>
        <row r="313">
          <cell r="A313" t="str">
            <v>90100015</v>
          </cell>
          <cell r="B313" t="str">
            <v>RELLENO POLLO BUCCA P/PASTEL KILO</v>
          </cell>
          <cell r="C313" t="str">
            <v>ESP-RE-COCS-169</v>
          </cell>
          <cell r="D313" t="str">
            <v>02</v>
          </cell>
          <cell r="E313" t="str">
            <v>Kilo</v>
          </cell>
          <cell r="F313" t="str">
            <v>Gramo</v>
          </cell>
          <cell r="G313">
            <v>2297.7560275610131</v>
          </cell>
          <cell r="H313">
            <v>2.2977560275610132</v>
          </cell>
          <cell r="I313">
            <v>8.0785692928773436</v>
          </cell>
          <cell r="J313">
            <v>8.0785692928773429E-3</v>
          </cell>
          <cell r="K313">
            <v>415.05022743370029</v>
          </cell>
          <cell r="L313">
            <v>0.41505022743370029</v>
          </cell>
          <cell r="M313">
            <v>2720.8848242875911</v>
          </cell>
        </row>
        <row r="314">
          <cell r="A314" t="str">
            <v>905000038</v>
          </cell>
          <cell r="B314" t="str">
            <v>RELLENO PECANA STB (KILO)</v>
          </cell>
          <cell r="C314" t="str">
            <v>ESP-RE-POS-056</v>
          </cell>
          <cell r="D314" t="str">
            <v>05</v>
          </cell>
          <cell r="E314" t="str">
            <v>Kilo</v>
          </cell>
          <cell r="F314" t="str">
            <v>Gramo</v>
          </cell>
          <cell r="G314">
            <v>1693.6419468824568</v>
          </cell>
          <cell r="H314">
            <v>1.6936419468824568</v>
          </cell>
          <cell r="I314">
            <v>3.4239729739442946</v>
          </cell>
          <cell r="J314">
            <v>3.4239729739442945E-3</v>
          </cell>
          <cell r="K314">
            <v>305.47186557415216</v>
          </cell>
          <cell r="L314">
            <v>0.30547186557415218</v>
          </cell>
          <cell r="M314">
            <v>2002.5377854305532</v>
          </cell>
        </row>
        <row r="315">
          <cell r="A315" t="str">
            <v>907000019</v>
          </cell>
          <cell r="B315" t="str">
            <v>BASE GALLETA P/BARRA PECANA STB KILO</v>
          </cell>
          <cell r="C315" t="str">
            <v xml:space="preserve">ESP-RE-POS-055 </v>
          </cell>
          <cell r="D315" t="str">
            <v>02</v>
          </cell>
          <cell r="E315" t="str">
            <v>Kilo</v>
          </cell>
          <cell r="F315" t="str">
            <v>Gramo</v>
          </cell>
          <cell r="G315">
            <v>2349.4092006711408</v>
          </cell>
          <cell r="H315">
            <v>2.3494092006711407</v>
          </cell>
          <cell r="I315">
            <v>40.736495499999997</v>
          </cell>
          <cell r="J315">
            <v>4.0736495499999997E-2</v>
          </cell>
          <cell r="K315">
            <v>430.22622531080526</v>
          </cell>
          <cell r="L315">
            <v>0.43022622531080529</v>
          </cell>
          <cell r="M315">
            <v>2820.3719214819457</v>
          </cell>
        </row>
        <row r="316">
          <cell r="A316" t="str">
            <v>902000099</v>
          </cell>
          <cell r="B316" t="str">
            <v>PLANCHA P/BARRA PECANAS STB UND</v>
          </cell>
          <cell r="C316" t="str">
            <v xml:space="preserve">ESP-RE-POS-057 </v>
          </cell>
          <cell r="D316" t="str">
            <v>05</v>
          </cell>
          <cell r="E316" t="str">
            <v>Und</v>
          </cell>
          <cell r="F316" t="str">
            <v>Und</v>
          </cell>
          <cell r="G316">
            <v>2264.7143988367725</v>
          </cell>
          <cell r="H316">
            <v>2264.7143988367725</v>
          </cell>
          <cell r="I316">
            <v>18.965297119676549</v>
          </cell>
          <cell r="J316">
            <v>18.965297119676549</v>
          </cell>
          <cell r="K316">
            <v>411.06234527216083</v>
          </cell>
          <cell r="L316">
            <v>411.06234527216083</v>
          </cell>
          <cell r="M316">
            <v>2694.7420412286097</v>
          </cell>
        </row>
        <row r="317">
          <cell r="A317" t="str">
            <v>907000008</v>
          </cell>
          <cell r="B317" t="str">
            <v>MEZCLA P/CUATRO LECHES (KILO)</v>
          </cell>
          <cell r="C317" t="str">
            <v>ESP-RE-POS-021</v>
          </cell>
          <cell r="D317" t="str">
            <v>02</v>
          </cell>
          <cell r="E317" t="str">
            <v>Kilo</v>
          </cell>
          <cell r="F317" t="str">
            <v>Gramo</v>
          </cell>
          <cell r="G317">
            <v>1486.866454761659</v>
          </cell>
          <cell r="H317">
            <v>1.486866454761659</v>
          </cell>
          <cell r="I317">
            <v>8.8886066612174144</v>
          </cell>
          <cell r="J317">
            <v>8.8886066612174144E-3</v>
          </cell>
          <cell r="K317">
            <v>269.23591105611774</v>
          </cell>
          <cell r="L317">
            <v>0.26923591105611772</v>
          </cell>
          <cell r="M317">
            <v>1764.9909724789941</v>
          </cell>
        </row>
        <row r="318">
          <cell r="A318" t="str">
            <v>903000045</v>
          </cell>
          <cell r="B318" t="str">
            <v>ROSQUETE CHOCOLATE PASTELERO REAL 1800g</v>
          </cell>
          <cell r="C318" t="str">
            <v>ESP-RE-BAF-010</v>
          </cell>
          <cell r="D318" t="str">
            <v>05</v>
          </cell>
          <cell r="E318" t="str">
            <v>Und</v>
          </cell>
          <cell r="F318" t="str">
            <v>Und</v>
          </cell>
          <cell r="G318">
            <v>2072.8666823410599</v>
          </cell>
          <cell r="H318">
            <v>2072.8666823410599</v>
          </cell>
          <cell r="I318">
            <v>27.45985484613222</v>
          </cell>
          <cell r="J318">
            <v>27.45985484613222</v>
          </cell>
          <cell r="K318">
            <v>378.05877669369454</v>
          </cell>
          <cell r="L318">
            <v>378.05877669369454</v>
          </cell>
          <cell r="M318">
            <v>2478.3853138808868</v>
          </cell>
        </row>
        <row r="319">
          <cell r="A319" t="str">
            <v>903000058</v>
          </cell>
          <cell r="B319" t="str">
            <v>MUFFIN NARANJA 90g UND</v>
          </cell>
          <cell r="C319" t="str">
            <v xml:space="preserve">ESP-RE-BAF-026 </v>
          </cell>
          <cell r="D319" t="str">
            <v>07</v>
          </cell>
          <cell r="E319" t="str">
            <v>Und</v>
          </cell>
          <cell r="F319" t="str">
            <v>Und</v>
          </cell>
          <cell r="G319">
            <v>91.219547314885247</v>
          </cell>
          <cell r="H319">
            <v>91.219547314885247</v>
          </cell>
          <cell r="I319">
            <v>7.391531301034294</v>
          </cell>
          <cell r="J319">
            <v>7.391531301034294</v>
          </cell>
          <cell r="K319">
            <v>17.749994150865515</v>
          </cell>
          <cell r="L319">
            <v>17.749994150865515</v>
          </cell>
          <cell r="M319">
            <v>116.36107276678506</v>
          </cell>
        </row>
        <row r="320">
          <cell r="A320" t="str">
            <v>907000204</v>
          </cell>
          <cell r="B320" t="str">
            <v>PLANCHA CHOCOLATE PASTELERO REAL 1300g</v>
          </cell>
          <cell r="C320" t="str">
            <v>ESP-RE-BAF-067</v>
          </cell>
          <cell r="D320" t="str">
            <v>02</v>
          </cell>
          <cell r="E320" t="str">
            <v>Und</v>
          </cell>
          <cell r="F320" t="str">
            <v>Und</v>
          </cell>
          <cell r="G320">
            <v>1509.0371335443592</v>
          </cell>
          <cell r="H320">
            <v>1509.0371335443592</v>
          </cell>
          <cell r="I320">
            <v>16.166730011238602</v>
          </cell>
          <cell r="J320">
            <v>16.166730011238602</v>
          </cell>
          <cell r="K320">
            <v>274.53669544000758</v>
          </cell>
          <cell r="L320">
            <v>274.53669544000758</v>
          </cell>
          <cell r="M320">
            <v>1799.7405589956054</v>
          </cell>
        </row>
        <row r="321">
          <cell r="A321" t="str">
            <v>906000118</v>
          </cell>
          <cell r="B321" t="str">
            <v xml:space="preserve">PREMEZCLA BATIDO SUPER ESPONJA KALUA </v>
          </cell>
          <cell r="C321" t="str">
            <v>ESP-RE-PRES-118</v>
          </cell>
          <cell r="D321" t="str">
            <v>03</v>
          </cell>
          <cell r="E321" t="str">
            <v>Kilo</v>
          </cell>
          <cell r="F321" t="str">
            <v>Gramo</v>
          </cell>
          <cell r="G321">
            <v>1940.9139784946237</v>
          </cell>
          <cell r="H321">
            <v>1.9409139784946237</v>
          </cell>
          <cell r="I321">
            <v>14.919636456733231</v>
          </cell>
          <cell r="J321">
            <v>1.4919636456733231E-2</v>
          </cell>
          <cell r="K321">
            <v>352.05005069124428</v>
          </cell>
          <cell r="L321">
            <v>0.35205005069124429</v>
          </cell>
          <cell r="M321">
            <v>2307.8836656426015</v>
          </cell>
        </row>
        <row r="322">
          <cell r="A322" t="str">
            <v>902000062</v>
          </cell>
          <cell r="B322" t="str">
            <v>MEZCLA FLAN COCO BUCCA KILO</v>
          </cell>
          <cell r="C322" t="str">
            <v>ESP-RE-POF-091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1160.4519913930706</v>
          </cell>
          <cell r="H322">
            <v>1.1604519913930706</v>
          </cell>
          <cell r="I322">
            <v>1.4375859649122806</v>
          </cell>
          <cell r="J322">
            <v>1.4375859649122806E-3</v>
          </cell>
          <cell r="K322">
            <v>209.14012392443692</v>
          </cell>
          <cell r="L322">
            <v>0.20914012392443693</v>
          </cell>
          <cell r="M322">
            <v>1371.0297012824199</v>
          </cell>
        </row>
        <row r="323">
          <cell r="A323" t="str">
            <v>907000029</v>
          </cell>
          <cell r="B323" t="str">
            <v>FLAN COCO BUCCA UND</v>
          </cell>
          <cell r="C323" t="str">
            <v>ESP-RE-POS-067</v>
          </cell>
          <cell r="D323" t="str">
            <v>06</v>
          </cell>
          <cell r="E323" t="str">
            <v>Und</v>
          </cell>
          <cell r="F323" t="str">
            <v>Und</v>
          </cell>
          <cell r="G323">
            <v>1686.069824987336</v>
          </cell>
          <cell r="H323">
            <v>1686.069824987336</v>
          </cell>
          <cell r="I323">
            <v>2.0126203508771927</v>
          </cell>
          <cell r="J323">
            <v>2.0126203508771927</v>
          </cell>
          <cell r="K323">
            <v>303.85484016087833</v>
          </cell>
          <cell r="L323">
            <v>303.85484016087833</v>
          </cell>
          <cell r="M323">
            <v>1991.9372854990916</v>
          </cell>
        </row>
        <row r="324">
          <cell r="A324" t="str">
            <v>904000045</v>
          </cell>
          <cell r="B324" t="str">
            <v>SALSA ROJA ECONOMICA IND</v>
          </cell>
          <cell r="C324" t="str">
            <v>ESP-RE-COCS-063</v>
          </cell>
          <cell r="D324" t="str">
            <v>03</v>
          </cell>
          <cell r="E324" t="str">
            <v>Kilo</v>
          </cell>
          <cell r="F324" t="str">
            <v>Gramo</v>
          </cell>
          <cell r="G324" t="e">
            <v>#N/A</v>
          </cell>
          <cell r="H324" t="e">
            <v>#N/A</v>
          </cell>
          <cell r="I324">
            <v>0.15318582857142859</v>
          </cell>
          <cell r="J324">
            <v>1.5318582857142858E-4</v>
          </cell>
          <cell r="K324" t="e">
            <v>#N/A</v>
          </cell>
          <cell r="L324" t="e">
            <v>#N/A</v>
          </cell>
          <cell r="M324" t="e">
            <v>#N/A</v>
          </cell>
        </row>
        <row r="325">
          <cell r="A325" t="str">
            <v>302000073</v>
          </cell>
          <cell r="B325" t="str">
            <v>EMP SALSA ROJA ECONOMICA 3000G FAS</v>
          </cell>
          <cell r="C325" t="str">
            <v>ESP-RE-EMPF-015</v>
          </cell>
          <cell r="D325" t="str">
            <v>01</v>
          </cell>
          <cell r="E325" t="str">
            <v>Kilo</v>
          </cell>
          <cell r="F325" t="str">
            <v>Gramo</v>
          </cell>
          <cell r="G325" t="e">
            <v>#N/A</v>
          </cell>
          <cell r="H325" t="e">
            <v>#N/A</v>
          </cell>
          <cell r="I325">
            <v>4.3705858285714285</v>
          </cell>
          <cell r="J325">
            <v>4.3705858285714282E-3</v>
          </cell>
          <cell r="K325" t="e">
            <v>#N/A</v>
          </cell>
          <cell r="L325" t="e">
            <v>#N/A</v>
          </cell>
          <cell r="M325" t="e">
            <v>#N/A</v>
          </cell>
        </row>
        <row r="326">
          <cell r="A326" t="str">
            <v>901000001</v>
          </cell>
          <cell r="B326" t="str">
            <v>RELLENO CARNE P/LASAÑA BUCCA KILO</v>
          </cell>
          <cell r="C326" t="str">
            <v>ESP-RE-COCS-172</v>
          </cell>
          <cell r="D326" t="str">
            <v>02</v>
          </cell>
          <cell r="E326" t="str">
            <v>Kilo</v>
          </cell>
          <cell r="F326" t="str">
            <v>Gramo</v>
          </cell>
          <cell r="G326" t="e">
            <v>#N/A</v>
          </cell>
          <cell r="H326" t="e">
            <v>#N/A</v>
          </cell>
          <cell r="I326">
            <v>3.135088152380952</v>
          </cell>
          <cell r="J326">
            <v>3.1350881523809519E-3</v>
          </cell>
          <cell r="K326" t="e">
            <v>#N/A</v>
          </cell>
          <cell r="L326" t="e">
            <v>#N/A</v>
          </cell>
          <cell r="M326" t="e">
            <v>#N/A</v>
          </cell>
        </row>
        <row r="327">
          <cell r="A327" t="str">
            <v>905000078</v>
          </cell>
          <cell r="B327" t="str">
            <v>CREMA LIQUIDA ROJA P/MARMOLEAR (KILO)</v>
          </cell>
          <cell r="C327" t="str">
            <v>ESP-RE-DES-098</v>
          </cell>
          <cell r="D327" t="str">
            <v>01</v>
          </cell>
          <cell r="E327" t="str">
            <v>Kilo</v>
          </cell>
          <cell r="F327" t="str">
            <v>Gramo</v>
          </cell>
          <cell r="G327">
            <v>1975.5029585798816</v>
          </cell>
          <cell r="H327">
            <v>1.9755029585798816</v>
          </cell>
          <cell r="I327">
            <v>15.384615384615387</v>
          </cell>
          <cell r="J327">
            <v>1.5384615384615387E-2</v>
          </cell>
          <cell r="K327">
            <v>358.35976331360945</v>
          </cell>
          <cell r="L327">
            <v>0.35835976331360947</v>
          </cell>
          <cell r="M327">
            <v>2349.2473372781064</v>
          </cell>
        </row>
        <row r="328">
          <cell r="A328" t="str">
            <v>907000033</v>
          </cell>
          <cell r="B328" t="str">
            <v>PIE LIMON P/PORCIONAR 1100G</v>
          </cell>
          <cell r="C328" t="str">
            <v>ESP-RE-POS-064</v>
          </cell>
          <cell r="D328" t="str">
            <v>01</v>
          </cell>
          <cell r="E328" t="str">
            <v>Und</v>
          </cell>
          <cell r="F328" t="str">
            <v>Und</v>
          </cell>
          <cell r="G328">
            <v>1797.2782956589745</v>
          </cell>
          <cell r="H328">
            <v>1797.2782956589745</v>
          </cell>
          <cell r="I328">
            <v>0.2418601321226565</v>
          </cell>
          <cell r="J328">
            <v>0.2418601321226565</v>
          </cell>
          <cell r="K328">
            <v>323.55362804239746</v>
          </cell>
          <cell r="L328">
            <v>323.55362804239746</v>
          </cell>
          <cell r="M328">
            <v>2121.0737838334944</v>
          </cell>
        </row>
        <row r="329">
          <cell r="A329" t="str">
            <v>907000010</v>
          </cell>
          <cell r="B329" t="str">
            <v>MEZCLA P/CUATRO LECHES CHOCOLATE (KILO)</v>
          </cell>
          <cell r="C329" t="str">
            <v>ESP-RE-POS-023</v>
          </cell>
          <cell r="D329" t="str">
            <v>02</v>
          </cell>
          <cell r="E329" t="str">
            <v>Kilo</v>
          </cell>
          <cell r="F329" t="str">
            <v>Gramo</v>
          </cell>
          <cell r="G329">
            <v>2236.1518983669466</v>
          </cell>
          <cell r="H329">
            <v>2.2361518983669466</v>
          </cell>
          <cell r="I329">
            <v>15.039097569340143</v>
          </cell>
          <cell r="J329">
            <v>1.5039097569340142E-2</v>
          </cell>
          <cell r="K329">
            <v>405.21437926853162</v>
          </cell>
          <cell r="L329">
            <v>0.4052143792685316</v>
          </cell>
          <cell r="M329">
            <v>2656.4053752048185</v>
          </cell>
        </row>
        <row r="330">
          <cell r="A330" t="str">
            <v>905000003</v>
          </cell>
          <cell r="B330" t="str">
            <v>RELLENO POLLO P/CREPA (KILO)</v>
          </cell>
          <cell r="C330" t="str">
            <v>ESP-RE-COCS-059</v>
          </cell>
          <cell r="D330" t="str">
            <v>09</v>
          </cell>
          <cell r="E330" t="str">
            <v>Kilo</v>
          </cell>
          <cell r="F330" t="str">
            <v>Gramo</v>
          </cell>
          <cell r="G330">
            <v>3063.3018039628805</v>
          </cell>
          <cell r="H330">
            <v>3.0633018039628803</v>
          </cell>
          <cell r="I330">
            <v>18.498265823892091</v>
          </cell>
          <cell r="J330">
            <v>1.849826582389209E-2</v>
          </cell>
          <cell r="K330">
            <v>554.72401256161902</v>
          </cell>
          <cell r="L330">
            <v>0.55472401256161907</v>
          </cell>
          <cell r="M330">
            <v>3636.5240823483914</v>
          </cell>
        </row>
        <row r="331">
          <cell r="A331" t="str">
            <v>906000089</v>
          </cell>
          <cell r="B331" t="str">
            <v>PREMEZCLA BATIDO  VAINILLA BUCCA</v>
          </cell>
          <cell r="C331" t="str">
            <v>ESP-RE-PRES-073</v>
          </cell>
          <cell r="D331" t="str">
            <v>13</v>
          </cell>
          <cell r="E331" t="str">
            <v>Kilo</v>
          </cell>
          <cell r="F331" t="str">
            <v>Gramo</v>
          </cell>
          <cell r="G331">
            <v>811.42293346774204</v>
          </cell>
          <cell r="H331">
            <v>0.81142293346774208</v>
          </cell>
          <cell r="I331">
            <v>7.3911290322580649</v>
          </cell>
          <cell r="J331">
            <v>7.3911290322580649E-3</v>
          </cell>
          <cell r="K331">
            <v>147.38653125000002</v>
          </cell>
          <cell r="L331">
            <v>0.14738653125000001</v>
          </cell>
          <cell r="M331">
            <v>966.20059375000005</v>
          </cell>
        </row>
        <row r="332">
          <cell r="A332" t="str">
            <v>907000114</v>
          </cell>
          <cell r="B332" t="str">
            <v xml:space="preserve">BATIDO VAINILLA PURATOS SACO ROSADO </v>
          </cell>
          <cell r="C332" t="str">
            <v>ESP-RE-BAF-005</v>
          </cell>
          <cell r="D332" t="str">
            <v>05</v>
          </cell>
          <cell r="E332" t="str">
            <v>Kilo</v>
          </cell>
          <cell r="F332" t="str">
            <v>Gramo</v>
          </cell>
          <cell r="G332">
            <v>918.63911545524559</v>
          </cell>
          <cell r="H332">
            <v>0.91863911545524557</v>
          </cell>
          <cell r="I332">
            <v>0.59069486404833838</v>
          </cell>
          <cell r="J332">
            <v>5.9069486404833842E-4</v>
          </cell>
          <cell r="K332">
            <v>165.46136585747291</v>
          </cell>
          <cell r="L332">
            <v>0.16546136585747293</v>
          </cell>
          <cell r="M332">
            <v>1084.6911761767669</v>
          </cell>
        </row>
        <row r="333">
          <cell r="A333" t="str">
            <v>903000043</v>
          </cell>
          <cell r="B333" t="str">
            <v>ROSQUETE VAINILLA PURATOS BUCCA 200g</v>
          </cell>
          <cell r="C333" t="str">
            <v>ESP-RE-BAF-007</v>
          </cell>
          <cell r="D333" t="str">
            <v>05</v>
          </cell>
          <cell r="E333" t="str">
            <v>Und</v>
          </cell>
          <cell r="F333" t="str">
            <v>Und</v>
          </cell>
          <cell r="G333">
            <v>190.83885527902652</v>
          </cell>
          <cell r="H333">
            <v>190.83885527902652</v>
          </cell>
          <cell r="I333">
            <v>2.9418587211981566</v>
          </cell>
          <cell r="J333">
            <v>2.9418587211981566</v>
          </cell>
          <cell r="K333">
            <v>34.880528520040436</v>
          </cell>
          <cell r="L333">
            <v>34.880528520040436</v>
          </cell>
          <cell r="M333">
            <v>228.66124252026509</v>
          </cell>
        </row>
        <row r="334">
          <cell r="A334" t="str">
            <v>90100143</v>
          </cell>
          <cell r="B334" t="str">
            <v>ROSQUETE VAINILLA PASTELERO REAL 1400g</v>
          </cell>
          <cell r="C334" t="str">
            <v>ESP-RE-BAF-079</v>
          </cell>
          <cell r="D334" t="str">
            <v>01</v>
          </cell>
          <cell r="E334" t="str">
            <v>Und</v>
          </cell>
          <cell r="F334" t="str">
            <v>Und</v>
          </cell>
          <cell r="G334">
            <v>1462.1898201768411</v>
          </cell>
          <cell r="H334">
            <v>1462.1898201768411</v>
          </cell>
          <cell r="I334">
            <v>15.508077391264223</v>
          </cell>
          <cell r="J334">
            <v>15.508077391264223</v>
          </cell>
          <cell r="K334">
            <v>265.98562156225893</v>
          </cell>
          <cell r="L334">
            <v>265.98562156225893</v>
          </cell>
          <cell r="M334">
            <v>1743.6835191303642</v>
          </cell>
        </row>
        <row r="335">
          <cell r="A335" t="str">
            <v>906000023</v>
          </cell>
          <cell r="B335" t="str">
            <v>CORTE GALLETAS MANTEQUILLA (UND)</v>
          </cell>
          <cell r="C335" t="str">
            <v>ESP-RE-PAPS-030</v>
          </cell>
          <cell r="D335" t="str">
            <v>04</v>
          </cell>
          <cell r="E335" t="str">
            <v>Und</v>
          </cell>
          <cell r="F335" t="str">
            <v>Und</v>
          </cell>
          <cell r="G335">
            <v>12.065953872050022</v>
          </cell>
          <cell r="H335">
            <v>12.065953872050022</v>
          </cell>
          <cell r="I335">
            <v>0.10596089832527475</v>
          </cell>
          <cell r="J335">
            <v>0.10596089832527475</v>
          </cell>
          <cell r="K335">
            <v>2.1909446586675534</v>
          </cell>
          <cell r="L335">
            <v>2.1909446586675534</v>
          </cell>
          <cell r="M335">
            <v>14.36285942904285</v>
          </cell>
        </row>
        <row r="336">
          <cell r="A336" t="str">
            <v>901000110</v>
          </cell>
          <cell r="B336" t="str">
            <v>RELLENO DE POLLO Y CEBOLLA KILO STB</v>
          </cell>
          <cell r="C336" t="str">
            <v>ESP-RE-COFF-064</v>
          </cell>
          <cell r="D336" t="str">
            <v>01</v>
          </cell>
          <cell r="E336" t="str">
            <v>Kilo</v>
          </cell>
          <cell r="F336" t="str">
            <v>Gramo</v>
          </cell>
          <cell r="G336">
            <v>3934.2303589895837</v>
          </cell>
          <cell r="H336">
            <v>3.9342303589895837</v>
          </cell>
          <cell r="I336">
            <v>47.645967033859819</v>
          </cell>
          <cell r="J336">
            <v>4.7645967033859822E-2</v>
          </cell>
          <cell r="K336">
            <v>716.73773868421983</v>
          </cell>
          <cell r="L336">
            <v>0.71673773868421986</v>
          </cell>
          <cell r="M336">
            <v>4698.6140647076636</v>
          </cell>
        </row>
        <row r="337">
          <cell r="A337" t="str">
            <v>90100091</v>
          </cell>
          <cell r="B337" t="str">
            <v>CEBOLLA CARAMELIZADA BLANCA KILO</v>
          </cell>
          <cell r="C337" t="str">
            <v xml:space="preserve">ESP-RE-COCS-220 </v>
          </cell>
          <cell r="D337" t="str">
            <v>01</v>
          </cell>
          <cell r="E337" t="str">
            <v>Kilo</v>
          </cell>
          <cell r="F337" t="str">
            <v>Gramo</v>
          </cell>
          <cell r="G337">
            <v>3393.2715647058826</v>
          </cell>
          <cell r="H337">
            <v>3.3932715647058824</v>
          </cell>
          <cell r="I337">
            <v>3.6276891428571432</v>
          </cell>
          <cell r="J337">
            <v>3.6276891428571431E-3</v>
          </cell>
          <cell r="K337">
            <v>611.44186569277315</v>
          </cell>
          <cell r="L337">
            <v>0.61144186569277315</v>
          </cell>
          <cell r="M337">
            <v>4008.3411195415129</v>
          </cell>
        </row>
        <row r="338">
          <cell r="A338" t="str">
            <v>903000162</v>
          </cell>
          <cell r="B338" t="str">
            <v xml:space="preserve">RUEDA FROLA EMPANADA POLLO Y CEBOLLA </v>
          </cell>
          <cell r="C338" t="str">
            <v>ESP-RE-PAPS-175</v>
          </cell>
          <cell r="D338" t="str">
            <v>01</v>
          </cell>
          <cell r="E338" t="str">
            <v>Und</v>
          </cell>
          <cell r="F338" t="str">
            <v>Und</v>
          </cell>
          <cell r="G338">
            <v>37.941843671849171</v>
          </cell>
          <cell r="H338">
            <v>37.941843671849171</v>
          </cell>
          <cell r="I338">
            <v>0.16227461858529818</v>
          </cell>
          <cell r="J338">
            <v>0.16227461858529818</v>
          </cell>
          <cell r="K338">
            <v>6.8587412922782045</v>
          </cell>
          <cell r="L338">
            <v>6.8587412922782045</v>
          </cell>
          <cell r="M338">
            <v>44.962859582712674</v>
          </cell>
        </row>
        <row r="339">
          <cell r="A339" t="str">
            <v>903000100</v>
          </cell>
          <cell r="B339" t="str">
            <v>EMPANADA POLLO Y CEBOLLA (85G)</v>
          </cell>
          <cell r="C339" t="str">
            <v>ESP-RE-PAPS-161</v>
          </cell>
          <cell r="D339" t="str">
            <v>03</v>
          </cell>
          <cell r="E339" t="str">
            <v>Und</v>
          </cell>
          <cell r="F339" t="str">
            <v>Und</v>
          </cell>
          <cell r="G339">
            <v>197.30196503366963</v>
          </cell>
          <cell r="H339">
            <v>197.30196503366963</v>
          </cell>
          <cell r="I339">
            <v>2.6089472563682623</v>
          </cell>
          <cell r="J339">
            <v>2.6089472563682623</v>
          </cell>
          <cell r="K339">
            <v>35.983964212206821</v>
          </cell>
          <cell r="L339">
            <v>35.983964212206821</v>
          </cell>
          <cell r="M339">
            <v>235.8948765022447</v>
          </cell>
        </row>
        <row r="340">
          <cell r="A340" t="str">
            <v>905000004</v>
          </cell>
          <cell r="B340" t="str">
            <v>RELLENO FRIO CARNE PERUANO (KILO)</v>
          </cell>
          <cell r="C340" t="str">
            <v xml:space="preserve">ESP-RE-COFS-045 </v>
          </cell>
          <cell r="D340" t="str">
            <v>01</v>
          </cell>
          <cell r="E340" t="str">
            <v>Kilo</v>
          </cell>
          <cell r="F340" t="str">
            <v>Gramo</v>
          </cell>
          <cell r="G340">
            <v>439.83688977132806</v>
          </cell>
          <cell r="H340">
            <v>0.43983688977132807</v>
          </cell>
          <cell r="I340">
            <v>13.166399999999999</v>
          </cell>
          <cell r="J340">
            <v>1.31664E-2</v>
          </cell>
          <cell r="K340">
            <v>81.540592158839047</v>
          </cell>
          <cell r="L340">
            <v>8.1540592158839048E-2</v>
          </cell>
          <cell r="M340">
            <v>534.54388193016712</v>
          </cell>
        </row>
        <row r="341">
          <cell r="A341" t="str">
            <v>906000011</v>
          </cell>
          <cell r="B341" t="str">
            <v>CORTE OREJITAS DULCES (KILO)</v>
          </cell>
          <cell r="C341" t="str">
            <v>ESP-RE-PAPS-015</v>
          </cell>
          <cell r="D341" t="str">
            <v>07</v>
          </cell>
          <cell r="E341" t="str">
            <v>Kilo</v>
          </cell>
          <cell r="F341" t="str">
            <v>Gramo</v>
          </cell>
          <cell r="G341">
            <v>914.14699193299998</v>
          </cell>
          <cell r="H341">
            <v>0.91414699193299997</v>
          </cell>
          <cell r="I341">
            <v>18.894061840609524</v>
          </cell>
          <cell r="J341">
            <v>1.8894061840609523E-2</v>
          </cell>
          <cell r="K341">
            <v>167.94738967924971</v>
          </cell>
          <cell r="L341">
            <v>0.16794738967924971</v>
          </cell>
          <cell r="M341">
            <v>1100.9884434528592</v>
          </cell>
        </row>
        <row r="342">
          <cell r="A342" t="str">
            <v>906000041</v>
          </cell>
          <cell r="B342" t="str">
            <v>CORTE GALLETA MEDIA LUNA (UND)</v>
          </cell>
          <cell r="C342" t="str">
            <v>ESP-RE-PAPS-042</v>
          </cell>
          <cell r="D342">
            <v>0</v>
          </cell>
          <cell r="E342" t="str">
            <v>Und</v>
          </cell>
          <cell r="F342" t="str">
            <v>Und</v>
          </cell>
          <cell r="G342">
            <v>7.1556288249320259</v>
          </cell>
          <cell r="H342">
            <v>7.1556288249320259</v>
          </cell>
          <cell r="I342">
            <v>0.25552795010840007</v>
          </cell>
          <cell r="J342">
            <v>0.25552795010840007</v>
          </cell>
          <cell r="K342">
            <v>1.3340082195072767</v>
          </cell>
          <cell r="L342">
            <v>1.3340082195072767</v>
          </cell>
          <cell r="M342">
            <v>8.7451649945477019</v>
          </cell>
        </row>
        <row r="343">
          <cell r="A343" t="str">
            <v>904000030</v>
          </cell>
          <cell r="B343" t="str">
            <v>GALLETA 1/2 LUNA BAÑADO CHOCO LECHE UND</v>
          </cell>
          <cell r="C343" t="str">
            <v xml:space="preserve">ESP-RE-FIS-007 </v>
          </cell>
          <cell r="D343" t="str">
            <v>04</v>
          </cell>
          <cell r="E343" t="str">
            <v>Und</v>
          </cell>
          <cell r="F343" t="str">
            <v>Und</v>
          </cell>
          <cell r="G343">
            <v>20.903321132624335</v>
          </cell>
          <cell r="H343">
            <v>20.903321132624335</v>
          </cell>
          <cell r="I343">
            <v>0.61686641164686162</v>
          </cell>
          <cell r="J343">
            <v>0.61686641164686162</v>
          </cell>
          <cell r="K343">
            <v>3.8736337579688152</v>
          </cell>
          <cell r="L343">
            <v>3.8736337579688152</v>
          </cell>
          <cell r="M343">
            <v>25.39382130224001</v>
          </cell>
        </row>
        <row r="344">
          <cell r="A344" t="str">
            <v>901000021</v>
          </cell>
          <cell r="B344" t="str">
            <v>PREMEZCLA P/GALLETAS MEDIA LUNA KILO</v>
          </cell>
          <cell r="C344" t="str">
            <v xml:space="preserve">ESP-RE-PRES-021 </v>
          </cell>
          <cell r="D344" t="str">
            <v>06</v>
          </cell>
          <cell r="E344" t="str">
            <v>Kilo</v>
          </cell>
          <cell r="F344" t="str">
            <v>Gramo</v>
          </cell>
          <cell r="G344">
            <v>1078.8173987133332</v>
          </cell>
          <cell r="H344">
            <v>1.0788173987133332</v>
          </cell>
          <cell r="I344">
            <v>33.578024633873987</v>
          </cell>
          <cell r="J344">
            <v>3.3578024633873986E-2</v>
          </cell>
          <cell r="K344">
            <v>200.23117620249729</v>
          </cell>
          <cell r="L344">
            <v>0.20023117620249731</v>
          </cell>
          <cell r="M344">
            <v>1312.6265995497047</v>
          </cell>
        </row>
        <row r="345">
          <cell r="A345" t="str">
            <v>906000031</v>
          </cell>
          <cell r="B345" t="str">
            <v>PASTA P/GALLETAS MEDIA LUNA (KILO)</v>
          </cell>
          <cell r="C345" t="str">
            <v>ESP-RE-PAPS-002</v>
          </cell>
          <cell r="D345" t="str">
            <v>03</v>
          </cell>
          <cell r="E345" t="str">
            <v>Kilo</v>
          </cell>
          <cell r="F345" t="str">
            <v>Gramo</v>
          </cell>
          <cell r="G345">
            <v>1180.0272041553376</v>
          </cell>
          <cell r="H345">
            <v>1.1800272041553377</v>
          </cell>
          <cell r="I345">
            <v>42.386166160923828</v>
          </cell>
          <cell r="J345">
            <v>4.2386166160923826E-2</v>
          </cell>
          <cell r="K345">
            <v>220.03440665692702</v>
          </cell>
          <cell r="L345">
            <v>0.22003440665692703</v>
          </cell>
          <cell r="M345">
            <v>1442.4477769731884</v>
          </cell>
        </row>
        <row r="346">
          <cell r="A346" t="str">
            <v>901000145</v>
          </cell>
          <cell r="B346" t="str">
            <v>POLLO MECHADO FAS (KILO)</v>
          </cell>
          <cell r="C346" t="str">
            <v>ESP-RE-COCS-171</v>
          </cell>
          <cell r="D346" t="str">
            <v>01</v>
          </cell>
          <cell r="E346" t="str">
            <v>Kilo</v>
          </cell>
          <cell r="F346" t="str">
            <v>Gramo</v>
          </cell>
          <cell r="G346">
            <v>1966.1017132324157</v>
          </cell>
          <cell r="H346">
            <v>1.9661017132324157</v>
          </cell>
          <cell r="I346">
            <v>2.9174395764195298</v>
          </cell>
          <cell r="J346">
            <v>2.9174395764195297E-3</v>
          </cell>
          <cell r="K346">
            <v>354.42344750559033</v>
          </cell>
          <cell r="L346">
            <v>0.35442344750559035</v>
          </cell>
          <cell r="M346">
            <v>2323.4426003144258</v>
          </cell>
        </row>
        <row r="347">
          <cell r="A347" t="str">
            <v>90100034</v>
          </cell>
          <cell r="B347" t="str">
            <v>SALSA PARA COSTILLA KILO</v>
          </cell>
          <cell r="C347" t="str">
            <v xml:space="preserve">ESP-RE-COCS-166 </v>
          </cell>
          <cell r="D347" t="str">
            <v>01</v>
          </cell>
          <cell r="E347" t="str">
            <v>Kilo</v>
          </cell>
          <cell r="F347" t="str">
            <v>Gramo</v>
          </cell>
          <cell r="G347">
            <v>481.74185992647062</v>
          </cell>
          <cell r="H347">
            <v>0.48174185992647062</v>
          </cell>
          <cell r="I347">
            <v>0.1650681142857143</v>
          </cell>
          <cell r="J347">
            <v>1.6506811428571431E-4</v>
          </cell>
          <cell r="K347">
            <v>86.743247047336141</v>
          </cell>
          <cell r="L347">
            <v>8.6743247047336144E-2</v>
          </cell>
          <cell r="M347">
            <v>568.65017508809251</v>
          </cell>
        </row>
        <row r="348">
          <cell r="A348" t="str">
            <v>904000048</v>
          </cell>
          <cell r="B348" t="str">
            <v>SALSA PARA POLLO CON PAPAS FAS</v>
          </cell>
          <cell r="C348" t="str">
            <v>ESP-RE-COCS-060</v>
          </cell>
          <cell r="D348" t="str">
            <v>02</v>
          </cell>
          <cell r="E348" t="str">
            <v>Kilo</v>
          </cell>
          <cell r="F348" t="str">
            <v>Gramo</v>
          </cell>
          <cell r="G348">
            <v>650.69049368106619</v>
          </cell>
          <cell r="H348">
            <v>0.65069049368106624</v>
          </cell>
          <cell r="I348">
            <v>0.68675135714285718</v>
          </cell>
          <cell r="J348">
            <v>6.8675135714285716E-4</v>
          </cell>
          <cell r="K348">
            <v>117.24790410687763</v>
          </cell>
          <cell r="L348">
            <v>0.11724790410687763</v>
          </cell>
          <cell r="M348">
            <v>768.62514914508665</v>
          </cell>
        </row>
        <row r="349">
          <cell r="A349" t="str">
            <v>906000086</v>
          </cell>
          <cell r="B349" t="str">
            <v>EMPANADA COCO Y PIÑA UND</v>
          </cell>
          <cell r="C349" t="str">
            <v>ESP-RE-PAPS-107</v>
          </cell>
          <cell r="D349">
            <v>0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906000078</v>
          </cell>
          <cell r="B350" t="str">
            <v>CORTE GALLETA ALFAJOR GDE 25G UND</v>
          </cell>
          <cell r="C350" t="str">
            <v>ESP-RE-PAPS-073</v>
          </cell>
          <cell r="D350">
            <v>0</v>
          </cell>
          <cell r="E350" t="str">
            <v>Und</v>
          </cell>
          <cell r="F350" t="str">
            <v>Und</v>
          </cell>
          <cell r="G350">
            <v>24.779186077656252</v>
          </cell>
          <cell r="H350">
            <v>24.779186077656252</v>
          </cell>
          <cell r="I350">
            <v>0.10152099372358259</v>
          </cell>
          <cell r="J350">
            <v>0.10152099372358259</v>
          </cell>
          <cell r="K350">
            <v>4.4785272728483703</v>
          </cell>
          <cell r="L350">
            <v>4.4785272728483703</v>
          </cell>
          <cell r="M350">
            <v>29.359234344228206</v>
          </cell>
        </row>
        <row r="351">
          <cell r="A351" t="str">
            <v>904000049</v>
          </cell>
          <cell r="B351" t="str">
            <v>PROCESADO CHOCOLATE LECHE (KILO)</v>
          </cell>
          <cell r="C351" t="str">
            <v>ESP-RE-POS-209</v>
          </cell>
          <cell r="D351" t="str">
            <v>01</v>
          </cell>
          <cell r="E351" t="str">
            <v>Kilo</v>
          </cell>
          <cell r="F351" t="str">
            <v>Gramo</v>
          </cell>
          <cell r="G351">
            <v>4753.1924399999998</v>
          </cell>
          <cell r="H351">
            <v>4.7531924399999994</v>
          </cell>
          <cell r="I351">
            <v>0.45113600000000004</v>
          </cell>
          <cell r="J351">
            <v>4.5113600000000004E-4</v>
          </cell>
          <cell r="K351">
            <v>855.65584367999986</v>
          </cell>
          <cell r="L351">
            <v>0.85565584367999992</v>
          </cell>
          <cell r="M351">
            <v>5609.2994196799991</v>
          </cell>
        </row>
        <row r="352">
          <cell r="A352" t="str">
            <v>907000245</v>
          </cell>
          <cell r="B352" t="str">
            <v>ROSQUETE MELOCOTON 320G (UND)</v>
          </cell>
          <cell r="C352">
            <v>0</v>
          </cell>
          <cell r="D352">
            <v>0</v>
          </cell>
          <cell r="E352" t="str">
            <v>Und</v>
          </cell>
          <cell r="F352" t="str">
            <v>Und</v>
          </cell>
          <cell r="G352">
            <v>405.72963765720976</v>
          </cell>
          <cell r="H352">
            <v>405.72963765720976</v>
          </cell>
          <cell r="I352">
            <v>5.3763644337662342</v>
          </cell>
          <cell r="J352">
            <v>5.3763644337662342</v>
          </cell>
          <cell r="K352">
            <v>73.999080376375673</v>
          </cell>
          <cell r="L352">
            <v>73.999080376375673</v>
          </cell>
          <cell r="M352">
            <v>485.10508246735168</v>
          </cell>
        </row>
        <row r="353">
          <cell r="A353" t="str">
            <v>96270</v>
          </cell>
          <cell r="B353" t="str">
            <v>ROSQUETE MELOCOTON PURATOS (360g)</v>
          </cell>
          <cell r="C353" t="str">
            <v>ESP-RE-BAS-013</v>
          </cell>
          <cell r="D353" t="str">
            <v>06</v>
          </cell>
          <cell r="E353" t="str">
            <v>Und</v>
          </cell>
          <cell r="F353" t="str">
            <v>Und</v>
          </cell>
          <cell r="G353">
            <v>440.23018233059173</v>
          </cell>
          <cell r="H353">
            <v>440.23018233059173</v>
          </cell>
          <cell r="I353">
            <v>4.8654427561576359</v>
          </cell>
          <cell r="J353">
            <v>4.8654427561576359</v>
          </cell>
          <cell r="K353">
            <v>80.117212515614881</v>
          </cell>
          <cell r="L353">
            <v>80.117212515614881</v>
          </cell>
          <cell r="M353">
            <v>525.21283760236429</v>
          </cell>
        </row>
        <row r="354">
          <cell r="A354" t="str">
            <v>908000051</v>
          </cell>
          <cell r="B354" t="str">
            <v>COCCION PICADILLO PAPA C/CHORIZO (KILO)</v>
          </cell>
          <cell r="C354" t="str">
            <v>ESP-RE-COCS-122</v>
          </cell>
          <cell r="D354" t="str">
            <v>02</v>
          </cell>
          <cell r="E354" t="str">
            <v>Kilo</v>
          </cell>
          <cell r="F354" t="str">
            <v>Gramo</v>
          </cell>
          <cell r="G354">
            <v>2109.4999672090071</v>
          </cell>
          <cell r="H354">
            <v>2.1094999672090071</v>
          </cell>
          <cell r="I354">
            <v>2.0603333333333342E-2</v>
          </cell>
          <cell r="J354">
            <v>2.060333333333334E-5</v>
          </cell>
          <cell r="K354">
            <v>379.71370269762127</v>
          </cell>
          <cell r="L354">
            <v>0.37971370269762128</v>
          </cell>
          <cell r="M354">
            <v>2489.2342732399616</v>
          </cell>
        </row>
        <row r="355">
          <cell r="A355" t="str">
            <v>901000142</v>
          </cell>
          <cell r="B355" t="str">
            <v>SALSA BLANCA DE HONGOS PARA LOMO FAS</v>
          </cell>
          <cell r="C355" t="str">
            <v xml:space="preserve">ESP-RE-COCS-167 </v>
          </cell>
          <cell r="D355" t="str">
            <v>02</v>
          </cell>
          <cell r="E355" t="str">
            <v>Kilo</v>
          </cell>
          <cell r="F355" t="str">
            <v>Gramo</v>
          </cell>
          <cell r="G355">
            <v>1507.7822846113199</v>
          </cell>
          <cell r="H355">
            <v>1.50778228461132</v>
          </cell>
          <cell r="I355">
            <v>5.6512000000000012E-3</v>
          </cell>
          <cell r="J355">
            <v>5.6512000000000011E-6</v>
          </cell>
          <cell r="K355">
            <v>271.4018284460376</v>
          </cell>
          <cell r="L355">
            <v>0.27140182844603761</v>
          </cell>
          <cell r="M355">
            <v>1779.1897642573576</v>
          </cell>
        </row>
        <row r="356">
          <cell r="A356" t="str">
            <v>901000147</v>
          </cell>
          <cell r="B356" t="str">
            <v>ARROZ CANTONES FAS KILO</v>
          </cell>
          <cell r="C356" t="str">
            <v xml:space="preserve">ESP-RE-COCS-174 </v>
          </cell>
          <cell r="D356" t="str">
            <v>05</v>
          </cell>
          <cell r="E356" t="str">
            <v>Kilo</v>
          </cell>
          <cell r="F356" t="str">
            <v>Gramo</v>
          </cell>
          <cell r="G356">
            <v>1374.2167617717832</v>
          </cell>
          <cell r="H356">
            <v>1.3742167617717833</v>
          </cell>
          <cell r="I356">
            <v>17.961384290243043</v>
          </cell>
          <cell r="J356">
            <v>1.7961384290243042E-2</v>
          </cell>
          <cell r="K356">
            <v>250.59206629116474</v>
          </cell>
          <cell r="L356">
            <v>0.25059206629116476</v>
          </cell>
          <cell r="M356">
            <v>1642.770212353191</v>
          </cell>
        </row>
        <row r="357">
          <cell r="A357" t="str">
            <v>20400102</v>
          </cell>
          <cell r="B357" t="str">
            <v>OLLA DE CARNE FAS</v>
          </cell>
          <cell r="C357" t="str">
            <v xml:space="preserve">ESP-RE-COCS-176 </v>
          </cell>
          <cell r="D357" t="str">
            <v>03</v>
          </cell>
          <cell r="E357" t="str">
            <v>Kilo</v>
          </cell>
          <cell r="F357" t="str">
            <v>Gramo</v>
          </cell>
          <cell r="G357">
            <v>1718.8959475000001</v>
          </cell>
          <cell r="H357">
            <v>1.7188959475000001</v>
          </cell>
          <cell r="I357">
            <v>9.8896000000000019E-3</v>
          </cell>
          <cell r="J357">
            <v>9.8896000000000027E-6</v>
          </cell>
          <cell r="K357">
            <v>309.403050678</v>
          </cell>
          <cell r="L357">
            <v>0.309403050678</v>
          </cell>
          <cell r="M357">
            <v>2028.3088877780001</v>
          </cell>
        </row>
        <row r="358">
          <cell r="A358" t="str">
            <v>90100304</v>
          </cell>
          <cell r="B358" t="str">
            <v>COCCION COSTILLA CERDO (KILO)</v>
          </cell>
          <cell r="C358" t="str">
            <v xml:space="preserve">ESP-RE-COCS-133 </v>
          </cell>
          <cell r="D358" t="str">
            <v>01</v>
          </cell>
          <cell r="E358" t="str">
            <v>Kilo</v>
          </cell>
          <cell r="F358" t="str">
            <v>Gramo</v>
          </cell>
          <cell r="G358">
            <v>6449.2658823529409</v>
          </cell>
          <cell r="H358">
            <v>6.4492658823529405</v>
          </cell>
          <cell r="I358">
            <v>2.2604800000000005E-2</v>
          </cell>
          <cell r="J358">
            <v>2.2604800000000004E-5</v>
          </cell>
          <cell r="K358">
            <v>1160.8719276875295</v>
          </cell>
          <cell r="L358">
            <v>1.1608719276875294</v>
          </cell>
          <cell r="M358">
            <v>7610.1604148404713</v>
          </cell>
        </row>
        <row r="359">
          <cell r="A359" t="str">
            <v>906000124</v>
          </cell>
          <cell r="B359" t="str">
            <v>PREMEZCLA BROWNIE DAWN (KILO)</v>
          </cell>
          <cell r="C359" t="str">
            <v xml:space="preserve">ESP-RE-PRES-090 </v>
          </cell>
          <cell r="D359" t="str">
            <v>03</v>
          </cell>
          <cell r="E359" t="str">
            <v>Kilo</v>
          </cell>
          <cell r="F359" t="str">
            <v>Gramo</v>
          </cell>
          <cell r="G359">
            <v>25491.79</v>
          </cell>
          <cell r="H359">
            <v>25.491790000000002</v>
          </cell>
          <cell r="I359">
            <v>59.257600000000004</v>
          </cell>
          <cell r="J359">
            <v>5.9257600000000001E-2</v>
          </cell>
          <cell r="K359">
            <v>4599.1885680000005</v>
          </cell>
          <cell r="L359">
            <v>4.5991885680000006</v>
          </cell>
          <cell r="M359">
            <v>30150.236168000003</v>
          </cell>
        </row>
        <row r="360">
          <cell r="A360" t="str">
            <v>907000202</v>
          </cell>
          <cell r="B360" t="str">
            <v>BATIDO BROWNIE DAWN KILO</v>
          </cell>
          <cell r="C360" t="str">
            <v xml:space="preserve">ESP-RE-BAF-028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2079.5331062499999</v>
          </cell>
          <cell r="H360">
            <v>2.07953310625</v>
          </cell>
          <cell r="I360">
            <v>0.111108</v>
          </cell>
          <cell r="J360">
            <v>1.1110799999999999E-4</v>
          </cell>
          <cell r="K360">
            <v>374.335958565</v>
          </cell>
          <cell r="L360">
            <v>0.37433595856500002</v>
          </cell>
          <cell r="M360">
            <v>2453.9801728150001</v>
          </cell>
        </row>
        <row r="361">
          <cell r="A361" t="str">
            <v>906000050</v>
          </cell>
          <cell r="B361" t="str">
            <v>CORTE CANASTA RED AUTOMERCADO</v>
          </cell>
          <cell r="C361" t="str">
            <v>ESP-RE-PAPS-052</v>
          </cell>
          <cell r="D361" t="str">
            <v>04</v>
          </cell>
          <cell r="E361" t="str">
            <v>Und</v>
          </cell>
          <cell r="F361" t="str">
            <v>Und</v>
          </cell>
          <cell r="G361">
            <v>62.924116482928774</v>
          </cell>
          <cell r="H361">
            <v>62.924116482928774</v>
          </cell>
          <cell r="I361">
            <v>0.4536967128427129</v>
          </cell>
          <cell r="J361">
            <v>0.4536967128427129</v>
          </cell>
          <cell r="K361">
            <v>11.408006375238868</v>
          </cell>
          <cell r="L361">
            <v>11.408006375238868</v>
          </cell>
          <cell r="M361">
            <v>74.78581957101035</v>
          </cell>
        </row>
        <row r="362">
          <cell r="A362" t="str">
            <v>910000008</v>
          </cell>
          <cell r="B362" t="str">
            <v/>
          </cell>
          <cell r="C362" t="str">
            <v/>
          </cell>
          <cell r="D362" t="str">
            <v/>
          </cell>
          <cell r="E362" t="str">
            <v>Kilo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</row>
        <row r="363">
          <cell r="A363" t="str">
            <v>904000018</v>
          </cell>
          <cell r="B363" t="str">
            <v/>
          </cell>
          <cell r="C363" t="str">
            <v/>
          </cell>
          <cell r="D363" t="str">
            <v/>
          </cell>
          <cell r="E363" t="str">
            <v>Kilo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 t="str">
            <v>907000255</v>
          </cell>
          <cell r="B364" t="str">
            <v/>
          </cell>
          <cell r="C364" t="str">
            <v/>
          </cell>
          <cell r="D364" t="str">
            <v/>
          </cell>
          <cell r="E364" t="str">
            <v>Und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RTICULOS MP PLANTA"/>
      <sheetName val="EMPAQUE PLANTA"/>
      <sheetName val="MP LOCALES"/>
      <sheetName val="EMP LOCALES"/>
    </sheetNames>
    <sheetDataSet>
      <sheetData sheetId="0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96295 REC ENSAMBLE"/>
      <sheetName val="COSTEO "/>
    </sheetNames>
    <sheetDataSet>
      <sheetData sheetId="0"/>
      <sheetData sheetId="1">
        <row r="57">
          <cell r="H57">
            <v>428.5766900919503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F65BD-022B-4C94-B63A-5CC93F7FC0EB}">
  <dimension ref="A1:I57"/>
  <sheetViews>
    <sheetView tabSelected="1" view="pageBreakPreview" topLeftCell="A8" zoomScale="60" zoomScaleNormal="70" workbookViewId="0">
      <selection activeCell="B31" sqref="B31"/>
    </sheetView>
  </sheetViews>
  <sheetFormatPr baseColWidth="10" defaultRowHeight="13.2" x14ac:dyDescent="0.25"/>
  <cols>
    <col min="2" max="2" width="13.5546875" bestFit="1" customWidth="1"/>
    <col min="3" max="3" width="49" customWidth="1"/>
    <col min="4" max="4" width="34.33203125" bestFit="1" customWidth="1"/>
    <col min="8" max="8" width="47.5546875" bestFit="1" customWidth="1"/>
    <col min="9" max="9" width="21.88671875" bestFit="1" customWidth="1"/>
  </cols>
  <sheetData>
    <row r="1" spans="1:9" ht="17.399999999999999" x14ac:dyDescent="0.3">
      <c r="A1" s="244"/>
      <c r="B1" s="245"/>
      <c r="C1" s="250" t="s">
        <v>25</v>
      </c>
      <c r="D1" s="250"/>
      <c r="E1" s="250"/>
      <c r="F1" s="250"/>
      <c r="G1" s="250"/>
      <c r="H1" s="143" t="s">
        <v>0</v>
      </c>
      <c r="I1" s="144" t="s">
        <v>170</v>
      </c>
    </row>
    <row r="2" spans="1:9" ht="18" customHeight="1" thickBot="1" x14ac:dyDescent="0.35">
      <c r="A2" s="246"/>
      <c r="B2" s="247"/>
      <c r="C2" s="251" t="s">
        <v>1</v>
      </c>
      <c r="D2" s="252"/>
      <c r="E2" s="252"/>
      <c r="F2" s="252"/>
      <c r="G2" s="253"/>
      <c r="H2" s="145" t="s">
        <v>2</v>
      </c>
      <c r="I2" s="146" t="s">
        <v>179</v>
      </c>
    </row>
    <row r="3" spans="1:9" ht="31.5" customHeight="1" thickBot="1" x14ac:dyDescent="0.3">
      <c r="A3" s="246"/>
      <c r="B3" s="247"/>
      <c r="C3" s="254" t="s">
        <v>135</v>
      </c>
      <c r="D3" s="255"/>
      <c r="E3" s="255"/>
      <c r="F3" s="255"/>
      <c r="G3" s="256"/>
      <c r="H3" s="257" t="s">
        <v>3</v>
      </c>
      <c r="I3" s="235">
        <v>45613</v>
      </c>
    </row>
    <row r="4" spans="1:9" ht="18" customHeight="1" x14ac:dyDescent="0.25">
      <c r="A4" s="246"/>
      <c r="B4" s="247"/>
      <c r="C4" s="147" t="s">
        <v>4</v>
      </c>
      <c r="D4" s="238" t="s">
        <v>148</v>
      </c>
      <c r="E4" s="239"/>
      <c r="F4" s="239"/>
      <c r="G4" s="240"/>
      <c r="H4" s="258"/>
      <c r="I4" s="236"/>
    </row>
    <row r="5" spans="1:9" ht="17.399999999999999" thickBot="1" x14ac:dyDescent="0.3">
      <c r="A5" s="248"/>
      <c r="B5" s="249"/>
      <c r="C5" s="148" t="s">
        <v>5</v>
      </c>
      <c r="D5" s="241" t="s">
        <v>149</v>
      </c>
      <c r="E5" s="242"/>
      <c r="F5" s="242"/>
      <c r="G5" s="243"/>
      <c r="H5" s="259"/>
      <c r="I5" s="237"/>
    </row>
    <row r="6" spans="1:9" ht="18" thickBot="1" x14ac:dyDescent="0.35">
      <c r="A6" s="260" t="s">
        <v>150</v>
      </c>
      <c r="B6" s="260"/>
      <c r="C6" s="260"/>
      <c r="D6" s="261" t="s">
        <v>169</v>
      </c>
      <c r="E6" s="261"/>
      <c r="F6" s="261"/>
      <c r="G6" s="262" t="s">
        <v>151</v>
      </c>
      <c r="H6" s="262"/>
      <c r="I6" s="149" t="s">
        <v>169</v>
      </c>
    </row>
    <row r="7" spans="1:9" ht="34.799999999999997" x14ac:dyDescent="0.25">
      <c r="A7" s="263" t="s">
        <v>6</v>
      </c>
      <c r="B7" s="265" t="s">
        <v>152</v>
      </c>
      <c r="C7" s="267" t="s">
        <v>7</v>
      </c>
      <c r="D7" s="267" t="s">
        <v>8</v>
      </c>
      <c r="E7" s="267" t="s">
        <v>9</v>
      </c>
      <c r="F7" s="267"/>
      <c r="G7" s="267" t="s">
        <v>10</v>
      </c>
      <c r="H7" s="267"/>
      <c r="I7" s="150" t="s">
        <v>11</v>
      </c>
    </row>
    <row r="8" spans="1:9" ht="35.4" thickBot="1" x14ac:dyDescent="0.35">
      <c r="A8" s="264"/>
      <c r="B8" s="266"/>
      <c r="C8" s="268"/>
      <c r="D8" s="268"/>
      <c r="E8" s="151" t="s">
        <v>12</v>
      </c>
      <c r="F8" s="152" t="s">
        <v>13</v>
      </c>
      <c r="G8" s="151" t="s">
        <v>12</v>
      </c>
      <c r="H8" s="152" t="s">
        <v>13</v>
      </c>
      <c r="I8" s="153" t="s">
        <v>14</v>
      </c>
    </row>
    <row r="9" spans="1:9" ht="18.45" customHeight="1" x14ac:dyDescent="0.35">
      <c r="A9" s="154"/>
      <c r="B9" s="155"/>
      <c r="C9" s="156" t="s">
        <v>28</v>
      </c>
      <c r="D9" s="157"/>
      <c r="E9" s="158"/>
      <c r="F9" s="159"/>
      <c r="G9" s="158"/>
      <c r="H9" s="159"/>
      <c r="I9" s="160"/>
    </row>
    <row r="10" spans="1:9" ht="18" customHeight="1" x14ac:dyDescent="0.35">
      <c r="A10" s="161" t="s">
        <v>44</v>
      </c>
      <c r="B10" s="161" t="s">
        <v>136</v>
      </c>
      <c r="C10" s="162" t="s">
        <v>36</v>
      </c>
      <c r="D10" s="163" t="s">
        <v>153</v>
      </c>
      <c r="E10" s="163">
        <v>400</v>
      </c>
      <c r="F10" s="164" t="s">
        <v>15</v>
      </c>
      <c r="G10" s="165"/>
      <c r="H10" s="166"/>
      <c r="I10" s="160"/>
    </row>
    <row r="11" spans="1:9" ht="18" x14ac:dyDescent="0.35">
      <c r="A11" s="167" t="s">
        <v>45</v>
      </c>
      <c r="B11" s="167" t="s">
        <v>137</v>
      </c>
      <c r="C11" s="168" t="s">
        <v>35</v>
      </c>
      <c r="D11" s="163" t="s">
        <v>153</v>
      </c>
      <c r="E11" s="169">
        <v>145</v>
      </c>
      <c r="F11" s="164" t="s">
        <v>15</v>
      </c>
      <c r="G11" s="165"/>
      <c r="H11" s="166" t="s">
        <v>154</v>
      </c>
      <c r="I11" s="160"/>
    </row>
    <row r="12" spans="1:9" ht="18" x14ac:dyDescent="0.35">
      <c r="A12" s="170" t="s">
        <v>124</v>
      </c>
      <c r="B12" s="170" t="s">
        <v>138</v>
      </c>
      <c r="C12" s="171" t="s">
        <v>125</v>
      </c>
      <c r="D12" s="163" t="s">
        <v>155</v>
      </c>
      <c r="E12" s="169">
        <v>80</v>
      </c>
      <c r="F12" s="164" t="s">
        <v>15</v>
      </c>
      <c r="G12" s="172"/>
      <c r="H12" s="166"/>
      <c r="I12" s="160"/>
    </row>
    <row r="13" spans="1:9" ht="18" x14ac:dyDescent="0.35">
      <c r="A13" s="167" t="s">
        <v>46</v>
      </c>
      <c r="B13" s="167" t="s">
        <v>139</v>
      </c>
      <c r="C13" s="168" t="s">
        <v>156</v>
      </c>
      <c r="D13" s="169" t="s">
        <v>153</v>
      </c>
      <c r="E13" s="163">
        <v>240</v>
      </c>
      <c r="F13" s="164" t="s">
        <v>15</v>
      </c>
      <c r="G13" s="172"/>
      <c r="H13" s="166" t="s">
        <v>157</v>
      </c>
      <c r="I13" s="160"/>
    </row>
    <row r="14" spans="1:9" ht="18" x14ac:dyDescent="0.35">
      <c r="A14" s="167"/>
      <c r="B14" s="167"/>
      <c r="C14" s="168"/>
      <c r="D14" s="169"/>
      <c r="E14" s="163"/>
      <c r="F14" s="164"/>
      <c r="G14" s="172"/>
      <c r="H14" s="166"/>
      <c r="I14" s="160"/>
    </row>
    <row r="15" spans="1:9" ht="18" x14ac:dyDescent="0.35">
      <c r="A15" s="173"/>
      <c r="B15" s="167"/>
      <c r="C15" s="174"/>
      <c r="D15" s="175"/>
      <c r="E15" s="175"/>
      <c r="F15" s="175"/>
      <c r="G15" s="158"/>
      <c r="H15" s="166"/>
      <c r="I15" s="160"/>
    </row>
    <row r="16" spans="1:9" ht="18" x14ac:dyDescent="0.35">
      <c r="A16" s="176"/>
      <c r="B16" s="177"/>
      <c r="C16" s="178" t="s">
        <v>27</v>
      </c>
      <c r="D16" s="163"/>
      <c r="E16" s="179"/>
      <c r="F16" s="164"/>
      <c r="G16" s="158"/>
      <c r="H16" s="159"/>
      <c r="I16" s="160"/>
    </row>
    <row r="17" spans="1:9" ht="18" x14ac:dyDescent="0.35">
      <c r="A17" s="180"/>
      <c r="B17" s="181"/>
      <c r="C17" s="182"/>
      <c r="D17" s="183"/>
      <c r="E17" s="184"/>
      <c r="F17" s="185"/>
      <c r="G17" s="158"/>
      <c r="H17" s="159"/>
      <c r="I17" s="160"/>
    </row>
    <row r="18" spans="1:9" ht="18" x14ac:dyDescent="0.35">
      <c r="A18" s="180" t="s">
        <v>130</v>
      </c>
      <c r="B18" s="181" t="s">
        <v>140</v>
      </c>
      <c r="C18" s="182" t="s">
        <v>131</v>
      </c>
      <c r="D18" s="183" t="s">
        <v>153</v>
      </c>
      <c r="E18" s="186">
        <v>100</v>
      </c>
      <c r="F18" s="185" t="s">
        <v>15</v>
      </c>
      <c r="G18" s="158"/>
      <c r="H18" s="159" t="s">
        <v>158</v>
      </c>
      <c r="I18" s="160"/>
    </row>
    <row r="19" spans="1:9" ht="18" x14ac:dyDescent="0.35">
      <c r="A19" s="180" t="s">
        <v>130</v>
      </c>
      <c r="B19" s="181" t="s">
        <v>140</v>
      </c>
      <c r="C19" s="182" t="s">
        <v>131</v>
      </c>
      <c r="D19" s="183" t="s">
        <v>153</v>
      </c>
      <c r="E19" s="184">
        <v>100</v>
      </c>
      <c r="F19" s="185" t="s">
        <v>15</v>
      </c>
      <c r="G19" s="158"/>
      <c r="H19" s="159" t="s">
        <v>126</v>
      </c>
      <c r="I19" s="160"/>
    </row>
    <row r="20" spans="1:9" ht="18" x14ac:dyDescent="0.35">
      <c r="A20" s="180" t="s">
        <v>124</v>
      </c>
      <c r="B20" s="181" t="s">
        <v>138</v>
      </c>
      <c r="C20" s="182" t="s">
        <v>125</v>
      </c>
      <c r="D20" s="183" t="s">
        <v>155</v>
      </c>
      <c r="E20" s="187">
        <v>10</v>
      </c>
      <c r="F20" s="188" t="s">
        <v>15</v>
      </c>
      <c r="G20" s="158"/>
      <c r="H20" s="159"/>
      <c r="I20" s="160"/>
    </row>
    <row r="21" spans="1:9" ht="18" x14ac:dyDescent="0.35">
      <c r="A21" s="180"/>
      <c r="B21" s="181"/>
      <c r="C21" s="182"/>
      <c r="D21" s="183"/>
      <c r="E21" s="189"/>
      <c r="F21" s="188"/>
      <c r="G21" s="158"/>
      <c r="H21" s="159"/>
      <c r="I21" s="160"/>
    </row>
    <row r="22" spans="1:9" ht="18" x14ac:dyDescent="0.35">
      <c r="A22" s="190"/>
      <c r="B22" s="190"/>
      <c r="C22" s="191"/>
      <c r="D22" s="192"/>
      <c r="E22" s="193"/>
      <c r="F22" s="194"/>
      <c r="G22" s="158"/>
      <c r="H22" s="159"/>
      <c r="I22" s="160"/>
    </row>
    <row r="23" spans="1:9" ht="18" x14ac:dyDescent="0.35">
      <c r="A23" s="167"/>
      <c r="B23" s="167"/>
      <c r="C23" s="174"/>
      <c r="D23" s="195"/>
      <c r="E23" s="196"/>
      <c r="F23" s="194"/>
      <c r="G23" s="158"/>
      <c r="H23" s="159"/>
      <c r="I23" s="160"/>
    </row>
    <row r="24" spans="1:9" ht="18" x14ac:dyDescent="0.35">
      <c r="A24" s="167"/>
      <c r="B24" s="167"/>
      <c r="C24" s="174"/>
      <c r="D24" s="195"/>
      <c r="E24" s="197"/>
      <c r="F24" s="198"/>
      <c r="G24" s="158"/>
      <c r="H24" s="159"/>
      <c r="I24" s="160"/>
    </row>
    <row r="25" spans="1:9" ht="18" x14ac:dyDescent="0.35">
      <c r="A25" s="199"/>
      <c r="B25" s="200"/>
      <c r="C25" s="201" t="s">
        <v>159</v>
      </c>
      <c r="D25" s="202"/>
      <c r="E25" s="203"/>
      <c r="F25" s="159"/>
      <c r="G25" s="158"/>
      <c r="H25" s="191"/>
      <c r="I25" s="160"/>
    </row>
    <row r="26" spans="1:9" ht="18" x14ac:dyDescent="0.35">
      <c r="A26" s="204" t="s">
        <v>40</v>
      </c>
      <c r="B26" s="204" t="s">
        <v>145</v>
      </c>
      <c r="C26" s="205" t="s">
        <v>39</v>
      </c>
      <c r="D26" s="206" t="s">
        <v>160</v>
      </c>
      <c r="E26" s="207">
        <v>1</v>
      </c>
      <c r="F26" s="208" t="s">
        <v>42</v>
      </c>
      <c r="G26" s="209"/>
      <c r="H26" s="159"/>
      <c r="I26" s="160"/>
    </row>
    <row r="27" spans="1:9" ht="18" x14ac:dyDescent="0.35">
      <c r="A27" s="210" t="s">
        <v>38</v>
      </c>
      <c r="B27" s="210" t="s">
        <v>146</v>
      </c>
      <c r="C27" s="211" t="s">
        <v>37</v>
      </c>
      <c r="D27" s="206" t="s">
        <v>161</v>
      </c>
      <c r="E27" s="207">
        <v>1</v>
      </c>
      <c r="F27" s="208" t="s">
        <v>42</v>
      </c>
      <c r="G27" s="209"/>
      <c r="H27" s="159"/>
      <c r="I27" s="160"/>
    </row>
    <row r="28" spans="1:9" ht="18" x14ac:dyDescent="0.35">
      <c r="A28" s="167" t="s">
        <v>128</v>
      </c>
      <c r="B28" s="167" t="s">
        <v>141</v>
      </c>
      <c r="C28" s="174" t="s">
        <v>30</v>
      </c>
      <c r="D28" s="212" t="s">
        <v>161</v>
      </c>
      <c r="E28" s="197">
        <v>1</v>
      </c>
      <c r="F28" s="172" t="s">
        <v>42</v>
      </c>
      <c r="G28" s="209"/>
      <c r="H28" s="159"/>
      <c r="I28" s="160"/>
    </row>
    <row r="29" spans="1:9" ht="18" x14ac:dyDescent="0.35">
      <c r="A29" s="213" t="s">
        <v>129</v>
      </c>
      <c r="B29" s="213" t="s">
        <v>142</v>
      </c>
      <c r="C29" s="214" t="s">
        <v>127</v>
      </c>
      <c r="D29" s="206" t="s">
        <v>162</v>
      </c>
      <c r="E29" s="207">
        <v>1</v>
      </c>
      <c r="F29" s="208" t="s">
        <v>42</v>
      </c>
      <c r="G29" s="158"/>
      <c r="H29" s="159"/>
      <c r="I29" s="160"/>
    </row>
    <row r="30" spans="1:9" ht="18" x14ac:dyDescent="0.35">
      <c r="A30" s="213" t="s">
        <v>32</v>
      </c>
      <c r="B30" s="213" t="s">
        <v>143</v>
      </c>
      <c r="C30" s="214" t="s">
        <v>33</v>
      </c>
      <c r="D30" s="206" t="s">
        <v>163</v>
      </c>
      <c r="E30" s="207">
        <v>1</v>
      </c>
      <c r="F30" s="208" t="s">
        <v>42</v>
      </c>
      <c r="G30" s="158"/>
      <c r="H30" s="159"/>
      <c r="I30" s="160"/>
    </row>
    <row r="31" spans="1:9" ht="18" x14ac:dyDescent="0.35">
      <c r="A31" s="213" t="s">
        <v>133</v>
      </c>
      <c r="B31" s="213" t="s">
        <v>144</v>
      </c>
      <c r="C31" s="214" t="s">
        <v>132</v>
      </c>
      <c r="D31" s="206" t="s">
        <v>134</v>
      </c>
      <c r="E31" s="207">
        <v>1</v>
      </c>
      <c r="F31" s="208" t="s">
        <v>42</v>
      </c>
      <c r="G31" s="215"/>
      <c r="H31" s="159"/>
      <c r="I31" s="160"/>
    </row>
    <row r="32" spans="1:9" ht="18" x14ac:dyDescent="0.35">
      <c r="A32" s="213">
        <v>701096</v>
      </c>
      <c r="B32" s="213" t="s">
        <v>147</v>
      </c>
      <c r="C32" s="214" t="s">
        <v>164</v>
      </c>
      <c r="D32" s="206" t="s">
        <v>134</v>
      </c>
      <c r="E32" s="207">
        <v>1</v>
      </c>
      <c r="F32" s="208" t="s">
        <v>42</v>
      </c>
      <c r="G32" s="169"/>
      <c r="H32" s="159"/>
      <c r="I32" s="160"/>
    </row>
    <row r="33" spans="1:9" ht="18" x14ac:dyDescent="0.35">
      <c r="A33" s="216"/>
      <c r="B33" s="216"/>
      <c r="C33" s="217"/>
      <c r="D33" s="206"/>
      <c r="E33" s="198"/>
      <c r="F33" s="198"/>
      <c r="G33" s="169"/>
      <c r="H33" s="159"/>
      <c r="I33" s="160"/>
    </row>
    <row r="34" spans="1:9" ht="18" x14ac:dyDescent="0.35">
      <c r="A34" s="204"/>
      <c r="B34" s="167"/>
      <c r="C34" s="205"/>
      <c r="D34" s="212"/>
      <c r="E34" s="197"/>
      <c r="F34" s="172"/>
      <c r="G34" s="169"/>
      <c r="H34" s="159"/>
      <c r="I34" s="160"/>
    </row>
    <row r="35" spans="1:9" ht="18" x14ac:dyDescent="0.35">
      <c r="A35" s="213"/>
      <c r="B35" s="213"/>
      <c r="C35" s="214"/>
      <c r="D35" s="206"/>
      <c r="E35" s="197"/>
      <c r="F35" s="172"/>
      <c r="G35" s="169"/>
      <c r="H35" s="159"/>
      <c r="I35" s="160"/>
    </row>
    <row r="36" spans="1:9" ht="18" x14ac:dyDescent="0.35">
      <c r="A36" s="176"/>
      <c r="B36" s="177"/>
      <c r="C36" s="218"/>
      <c r="D36" s="163"/>
      <c r="E36" s="163"/>
      <c r="F36" s="164"/>
      <c r="G36" s="163"/>
      <c r="H36" s="163"/>
      <c r="I36" s="160"/>
    </row>
    <row r="37" spans="1:9" ht="17.399999999999999" thickBot="1" x14ac:dyDescent="0.3">
      <c r="A37" s="219"/>
      <c r="B37" s="220"/>
      <c r="C37" s="221"/>
      <c r="D37" s="221"/>
      <c r="E37" s="222"/>
      <c r="F37" s="223"/>
      <c r="G37" s="221"/>
      <c r="H37" s="221"/>
      <c r="I37" s="224"/>
    </row>
    <row r="38" spans="1:9" ht="18" thickBot="1" x14ac:dyDescent="0.35">
      <c r="A38" s="225"/>
      <c r="B38" s="226"/>
      <c r="C38" s="227"/>
      <c r="D38" s="228" t="s">
        <v>12</v>
      </c>
      <c r="E38" s="229" t="s">
        <v>16</v>
      </c>
      <c r="F38" s="230"/>
      <c r="G38" s="227"/>
      <c r="H38" s="227"/>
      <c r="I38" s="231"/>
    </row>
    <row r="39" spans="1:9" ht="17.399999999999999" x14ac:dyDescent="0.3">
      <c r="A39" s="269" t="s">
        <v>17</v>
      </c>
      <c r="B39" s="270"/>
      <c r="C39" s="271"/>
      <c r="D39" s="196">
        <v>1025</v>
      </c>
      <c r="E39" s="232" t="s">
        <v>15</v>
      </c>
      <c r="F39" s="272" t="s">
        <v>165</v>
      </c>
      <c r="G39" s="272"/>
      <c r="H39" s="273"/>
      <c r="I39" s="274"/>
    </row>
    <row r="40" spans="1:9" ht="17.399999999999999" x14ac:dyDescent="0.3">
      <c r="A40" s="275" t="s">
        <v>18</v>
      </c>
      <c r="B40" s="276"/>
      <c r="C40" s="277"/>
      <c r="D40" s="197">
        <v>4</v>
      </c>
      <c r="E40" s="172" t="s">
        <v>43</v>
      </c>
      <c r="F40" s="278" t="s">
        <v>19</v>
      </c>
      <c r="G40" s="278"/>
      <c r="H40" s="279"/>
      <c r="I40" s="280"/>
    </row>
    <row r="41" spans="1:9" ht="17.399999999999999" x14ac:dyDescent="0.3">
      <c r="A41" s="275" t="s">
        <v>20</v>
      </c>
      <c r="B41" s="276"/>
      <c r="C41" s="277"/>
      <c r="D41" s="172">
        <v>1</v>
      </c>
      <c r="E41" s="172" t="s">
        <v>42</v>
      </c>
      <c r="F41" s="278" t="s">
        <v>166</v>
      </c>
      <c r="G41" s="278"/>
      <c r="H41" s="279"/>
      <c r="I41" s="280"/>
    </row>
    <row r="42" spans="1:9" ht="17.399999999999999" x14ac:dyDescent="0.3">
      <c r="A42" s="275" t="s">
        <v>21</v>
      </c>
      <c r="B42" s="276"/>
      <c r="C42" s="277"/>
      <c r="D42" s="197">
        <v>1025</v>
      </c>
      <c r="E42" s="172" t="s">
        <v>15</v>
      </c>
      <c r="F42" s="284" t="s">
        <v>22</v>
      </c>
      <c r="G42" s="285"/>
      <c r="H42" s="286"/>
      <c r="I42" s="287"/>
    </row>
    <row r="43" spans="1:9" ht="18" thickBot="1" x14ac:dyDescent="0.35">
      <c r="A43" s="288" t="s">
        <v>23</v>
      </c>
      <c r="B43" s="289"/>
      <c r="C43" s="290"/>
      <c r="D43" s="233">
        <v>0</v>
      </c>
      <c r="E43" s="234" t="s">
        <v>15</v>
      </c>
      <c r="F43" s="291"/>
      <c r="G43" s="291"/>
      <c r="H43" s="279"/>
      <c r="I43" s="280"/>
    </row>
    <row r="44" spans="1:9" ht="18" thickBot="1" x14ac:dyDescent="0.35">
      <c r="A44" s="292" t="s">
        <v>167</v>
      </c>
      <c r="B44" s="293"/>
      <c r="C44" s="293"/>
      <c r="D44" s="293"/>
      <c r="E44" s="293"/>
      <c r="F44" s="293"/>
      <c r="G44" s="293"/>
      <c r="H44" s="293"/>
      <c r="I44" s="294"/>
    </row>
    <row r="45" spans="1:9" ht="18.45" customHeight="1" x14ac:dyDescent="0.25">
      <c r="A45" s="295" t="s">
        <v>171</v>
      </c>
      <c r="B45" s="296"/>
      <c r="C45" s="296"/>
      <c r="D45" s="296"/>
      <c r="E45" s="296"/>
      <c r="F45" s="296"/>
      <c r="G45" s="296"/>
      <c r="H45" s="296"/>
      <c r="I45" s="297"/>
    </row>
    <row r="46" spans="1:9" ht="14.7" customHeight="1" x14ac:dyDescent="0.25">
      <c r="A46" s="281" t="s">
        <v>172</v>
      </c>
      <c r="B46" s="282"/>
      <c r="C46" s="282"/>
      <c r="D46" s="282"/>
      <c r="E46" s="282"/>
      <c r="F46" s="282"/>
      <c r="G46" s="282"/>
      <c r="H46" s="282"/>
      <c r="I46" s="283"/>
    </row>
    <row r="47" spans="1:9" ht="14.7" customHeight="1" x14ac:dyDescent="0.25">
      <c r="A47" s="281" t="s">
        <v>173</v>
      </c>
      <c r="B47" s="282"/>
      <c r="C47" s="282"/>
      <c r="D47" s="282"/>
      <c r="E47" s="282"/>
      <c r="F47" s="282"/>
      <c r="G47" s="282"/>
      <c r="H47" s="282"/>
      <c r="I47" s="283"/>
    </row>
    <row r="48" spans="1:9" ht="14.7" customHeight="1" x14ac:dyDescent="0.25">
      <c r="A48" s="281" t="s">
        <v>174</v>
      </c>
      <c r="B48" s="282"/>
      <c r="C48" s="282"/>
      <c r="D48" s="282"/>
      <c r="E48" s="282"/>
      <c r="F48" s="282"/>
      <c r="G48" s="282"/>
      <c r="H48" s="282"/>
      <c r="I48" s="283"/>
    </row>
    <row r="49" spans="1:9" ht="14.7" customHeight="1" x14ac:dyDescent="0.25">
      <c r="A49" s="281" t="s">
        <v>176</v>
      </c>
      <c r="B49" s="282"/>
      <c r="C49" s="282"/>
      <c r="D49" s="282"/>
      <c r="E49" s="282"/>
      <c r="F49" s="282"/>
      <c r="G49" s="282"/>
      <c r="H49" s="282"/>
      <c r="I49" s="283"/>
    </row>
    <row r="50" spans="1:9" ht="14.7" customHeight="1" x14ac:dyDescent="0.25">
      <c r="A50" s="281" t="s">
        <v>175</v>
      </c>
      <c r="B50" s="282"/>
      <c r="C50" s="282"/>
      <c r="D50" s="282"/>
      <c r="E50" s="282"/>
      <c r="F50" s="282"/>
      <c r="G50" s="282"/>
      <c r="H50" s="282"/>
      <c r="I50" s="283"/>
    </row>
    <row r="51" spans="1:9" ht="14.7" customHeight="1" x14ac:dyDescent="0.25">
      <c r="A51" s="305" t="s">
        <v>177</v>
      </c>
      <c r="B51" s="306"/>
      <c r="C51" s="306"/>
      <c r="D51" s="306"/>
      <c r="E51" s="306"/>
      <c r="F51" s="306"/>
      <c r="G51" s="306"/>
      <c r="H51" s="306"/>
      <c r="I51" s="307"/>
    </row>
    <row r="52" spans="1:9" ht="18" customHeight="1" x14ac:dyDescent="0.3">
      <c r="A52" s="308"/>
      <c r="B52" s="309"/>
      <c r="C52" s="309"/>
      <c r="D52" s="309"/>
      <c r="E52" s="309"/>
      <c r="F52" s="309"/>
      <c r="G52" s="309"/>
      <c r="H52" s="309"/>
      <c r="I52" s="310"/>
    </row>
    <row r="53" spans="1:9" ht="17.399999999999999" x14ac:dyDescent="0.3">
      <c r="A53" s="308"/>
      <c r="B53" s="309"/>
      <c r="C53" s="309"/>
      <c r="D53" s="309"/>
      <c r="E53" s="309"/>
      <c r="F53" s="309"/>
      <c r="G53" s="309"/>
      <c r="H53" s="309"/>
      <c r="I53" s="310"/>
    </row>
    <row r="54" spans="1:9" ht="18" thickBot="1" x14ac:dyDescent="0.35">
      <c r="A54" s="298"/>
      <c r="B54" s="299"/>
      <c r="C54" s="299"/>
      <c r="D54" s="299"/>
      <c r="E54" s="299"/>
      <c r="F54" s="299"/>
      <c r="G54" s="299"/>
      <c r="H54" s="299"/>
      <c r="I54" s="300"/>
    </row>
    <row r="55" spans="1:9" ht="17.399999999999999" x14ac:dyDescent="0.3">
      <c r="A55" s="301" t="s">
        <v>168</v>
      </c>
      <c r="B55" s="302"/>
      <c r="C55" s="302"/>
      <c r="D55" s="302"/>
      <c r="E55" s="302"/>
      <c r="F55" s="302"/>
      <c r="G55" s="302"/>
      <c r="H55" s="302"/>
      <c r="I55" s="302"/>
    </row>
    <row r="56" spans="1:9" ht="16.8" x14ac:dyDescent="0.25">
      <c r="A56" s="241" t="s">
        <v>178</v>
      </c>
      <c r="B56" s="242"/>
      <c r="C56" s="242"/>
      <c r="D56" s="242"/>
      <c r="E56" s="242"/>
      <c r="F56" s="242"/>
      <c r="G56" s="242"/>
      <c r="H56" s="242"/>
      <c r="I56" s="243"/>
    </row>
    <row r="57" spans="1:9" ht="16.8" x14ac:dyDescent="0.25">
      <c r="A57" s="303"/>
      <c r="B57" s="304"/>
      <c r="C57" s="304"/>
      <c r="D57" s="304"/>
      <c r="E57" s="304"/>
      <c r="F57" s="304"/>
      <c r="G57" s="304"/>
      <c r="H57" s="304"/>
      <c r="I57" s="304"/>
    </row>
  </sheetData>
  <mergeCells count="46">
    <mergeCell ref="A54:I54"/>
    <mergeCell ref="A55:I55"/>
    <mergeCell ref="A56:I56"/>
    <mergeCell ref="A57:I57"/>
    <mergeCell ref="A47:I47"/>
    <mergeCell ref="A48:I48"/>
    <mergeCell ref="A50:I50"/>
    <mergeCell ref="A51:I51"/>
    <mergeCell ref="A52:I52"/>
    <mergeCell ref="A53:I53"/>
    <mergeCell ref="A49:I49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D591D-5612-4E96-90F2-1440437100CD}">
  <dimension ref="A1:Q95"/>
  <sheetViews>
    <sheetView topLeftCell="A15" workbookViewId="0">
      <selection activeCell="A19" sqref="A19"/>
    </sheetView>
  </sheetViews>
  <sheetFormatPr baseColWidth="10" defaultColWidth="8.44140625" defaultRowHeight="13.2" x14ac:dyDescent="0.25"/>
  <cols>
    <col min="1" max="1" width="10" style="6" bestFit="1" customWidth="1"/>
    <col min="2" max="2" width="44.33203125" style="6" bestFit="1" customWidth="1"/>
    <col min="3" max="3" width="10.44140625" style="6" bestFit="1" customWidth="1"/>
    <col min="4" max="4" width="10.44140625" style="6" customWidth="1"/>
    <col min="5" max="5" width="9.6640625" style="6" bestFit="1" customWidth="1"/>
    <col min="6" max="6" width="9.5546875" style="6" bestFit="1" customWidth="1"/>
    <col min="7" max="7" width="9.5546875" style="86" bestFit="1" customWidth="1"/>
    <col min="8" max="8" width="10.44140625" style="77" bestFit="1" customWidth="1"/>
    <col min="9" max="9" width="4.5546875" style="77" customWidth="1"/>
    <col min="10" max="10" width="1.6640625" style="5" customWidth="1"/>
    <col min="11" max="11" width="7" style="6" bestFit="1" customWidth="1"/>
    <col min="12" max="12" width="6.33203125" style="6" customWidth="1"/>
    <col min="13" max="13" width="20.44140625" style="6" customWidth="1"/>
    <col min="14" max="14" width="6.44140625" style="6" bestFit="1" customWidth="1"/>
    <col min="15" max="16" width="8.44140625" style="6"/>
    <col min="17" max="17" width="3.33203125" style="6" customWidth="1"/>
    <col min="18" max="16384" width="8.44140625" style="6"/>
  </cols>
  <sheetData>
    <row r="1" spans="1:10" ht="27.75" customHeight="1" x14ac:dyDescent="0.25">
      <c r="A1" s="1"/>
      <c r="B1" s="1"/>
      <c r="C1" s="1"/>
      <c r="D1" s="1"/>
      <c r="E1" s="2" t="s">
        <v>48</v>
      </c>
      <c r="F1" s="3" t="s">
        <v>49</v>
      </c>
      <c r="G1" s="3" t="s">
        <v>50</v>
      </c>
      <c r="H1" s="3" t="s">
        <v>51</v>
      </c>
      <c r="I1" s="4"/>
    </row>
    <row r="2" spans="1:10" ht="30.75" customHeight="1" x14ac:dyDescent="0.25">
      <c r="A2" s="1"/>
      <c r="B2" s="1"/>
      <c r="C2" s="1"/>
      <c r="D2" s="1"/>
      <c r="E2" s="7">
        <f>IFERROR(O66,"")</f>
        <v>3770.1852703035338</v>
      </c>
      <c r="F2" s="7">
        <f>IFERROR(H57,"")</f>
        <v>2000.8363042183792</v>
      </c>
      <c r="G2" s="7">
        <f>IFERROR(H58,"")</f>
        <v>287.42931349368979</v>
      </c>
      <c r="H2" s="7">
        <f>IFERROR(H60,"")</f>
        <v>561.37383681826475</v>
      </c>
      <c r="I2" s="8"/>
    </row>
    <row r="3" spans="1:10" ht="15" customHeight="1" x14ac:dyDescent="0.25">
      <c r="A3" s="1"/>
      <c r="B3" s="1"/>
      <c r="C3" s="1"/>
      <c r="D3" s="1"/>
      <c r="E3" s="1"/>
      <c r="F3" s="9"/>
      <c r="G3" s="9"/>
      <c r="H3" s="9"/>
      <c r="I3" s="9"/>
    </row>
    <row r="4" spans="1:10" ht="24.75" customHeight="1" thickBot="1" x14ac:dyDescent="0.3">
      <c r="A4" s="337"/>
      <c r="B4" s="337"/>
      <c r="C4" s="337"/>
      <c r="D4" s="337"/>
      <c r="E4" s="337"/>
      <c r="F4" s="337"/>
      <c r="G4" s="337"/>
      <c r="H4" s="337"/>
      <c r="I4" s="10"/>
    </row>
    <row r="5" spans="1:10" ht="19.5" customHeight="1" thickBot="1" x14ac:dyDescent="0.3">
      <c r="A5" s="338" t="s">
        <v>52</v>
      </c>
      <c r="B5" s="339"/>
      <c r="C5" s="339"/>
      <c r="D5" s="339"/>
      <c r="E5" s="339"/>
      <c r="F5" s="339"/>
      <c r="G5" s="339"/>
      <c r="H5" s="340"/>
      <c r="I5" s="11"/>
    </row>
    <row r="6" spans="1:10" ht="18" thickBot="1" x14ac:dyDescent="0.3">
      <c r="A6" s="11"/>
      <c r="B6" s="11"/>
      <c r="C6" s="11"/>
      <c r="D6" s="11"/>
      <c r="E6" s="11"/>
      <c r="F6" s="341" t="s">
        <v>53</v>
      </c>
      <c r="G6" s="341"/>
      <c r="H6" s="12">
        <f ca="1">TODAY()</f>
        <v>46155</v>
      </c>
      <c r="I6" s="12"/>
    </row>
    <row r="7" spans="1:10" ht="40.200000000000003" thickBot="1" x14ac:dyDescent="0.3">
      <c r="A7" s="13" t="s">
        <v>54</v>
      </c>
      <c r="B7" s="14" t="s">
        <v>55</v>
      </c>
      <c r="C7" s="14" t="s">
        <v>54</v>
      </c>
      <c r="D7" s="15" t="s">
        <v>56</v>
      </c>
      <c r="E7" s="15" t="s">
        <v>57</v>
      </c>
      <c r="F7" s="15" t="s">
        <v>58</v>
      </c>
      <c r="G7" s="15" t="s">
        <v>59</v>
      </c>
      <c r="H7" s="16" t="s">
        <v>60</v>
      </c>
      <c r="I7" s="17"/>
    </row>
    <row r="8" spans="1:10" ht="13.8" x14ac:dyDescent="0.3">
      <c r="A8" s="18">
        <v>100</v>
      </c>
      <c r="B8" s="6" t="str">
        <f>IFERROR(VLOOKUP(H8,'[1]Consolidado MP Planta'!$A$2:$M$823,3,0),"")</f>
        <v>MANJAR LECHE CONDENSADA (PAQ: 4.5 K)</v>
      </c>
      <c r="C8" s="19">
        <f>+A8</f>
        <v>100</v>
      </c>
      <c r="D8" s="20" t="str">
        <f>IFERROR(VLOOKUP(H8,'[1]Consolidado MP Planta'!$A$2:$M$823,13,0),"")</f>
        <v>Gramos</v>
      </c>
      <c r="E8" s="20">
        <f>IFERROR(VLOOKUP(H8,'[1]Consolidado MP Planta'!$A$2:$M$823,12,0),"")</f>
        <v>2.5188888888888887</v>
      </c>
      <c r="F8" s="20">
        <f>IFERROR(C8*E8,"")</f>
        <v>251.88888888888889</v>
      </c>
      <c r="G8" s="21">
        <f t="shared" ref="G8:G14" si="0">IFERROR(F8/$F$70,"")</f>
        <v>9.884653853294148E-2</v>
      </c>
      <c r="H8" s="22" t="s">
        <v>26</v>
      </c>
      <c r="I8" s="22"/>
      <c r="J8" s="23"/>
    </row>
    <row r="9" spans="1:10" ht="13.8" hidden="1" x14ac:dyDescent="0.3">
      <c r="A9" s="18"/>
      <c r="B9" s="6" t="str">
        <f>IFERROR(VLOOKUP(H9,'[1]Consolidado MP Planta'!$A$2:$M$823,3,0),"")</f>
        <v/>
      </c>
      <c r="C9" s="19">
        <f t="shared" ref="C9:C14" si="1">+A9</f>
        <v>0</v>
      </c>
      <c r="D9" s="20" t="str">
        <f>IFERROR(VLOOKUP(H9,'[1]Consolidado MP Planta'!$A$2:$M$823,13,0),"")</f>
        <v/>
      </c>
      <c r="E9" s="20" t="str">
        <f>IFERROR(VLOOKUP(H9,'[1]Consolidado MP Planta'!$A$2:$M$823,12,0),"")</f>
        <v/>
      </c>
      <c r="F9" s="20" t="str">
        <f t="shared" ref="F9:F14" si="2">IFERROR(C9*E9,"")</f>
        <v/>
      </c>
      <c r="G9" s="21" t="str">
        <f t="shared" si="0"/>
        <v/>
      </c>
      <c r="H9" s="22"/>
      <c r="I9" s="22"/>
      <c r="J9" s="23"/>
    </row>
    <row r="10" spans="1:10" ht="13.8" hidden="1" x14ac:dyDescent="0.3">
      <c r="A10" s="18"/>
      <c r="B10" s="6" t="str">
        <f>IFERROR(VLOOKUP(H10,'[1]Consolidado MP Planta'!$A$2:$M$823,3,0),"")</f>
        <v/>
      </c>
      <c r="C10" s="19">
        <f t="shared" si="1"/>
        <v>0</v>
      </c>
      <c r="D10" s="20" t="str">
        <f>IFERROR(VLOOKUP(H10,'[1]Consolidado MP Planta'!$A$2:$M$823,13,0),"")</f>
        <v/>
      </c>
      <c r="E10" s="20" t="str">
        <f>IFERROR(VLOOKUP(H10,'[1]Consolidado MP Planta'!$A$2:$M$823,12,0),"")</f>
        <v/>
      </c>
      <c r="F10" s="20" t="str">
        <f t="shared" si="2"/>
        <v/>
      </c>
      <c r="G10" s="21" t="str">
        <f t="shared" si="0"/>
        <v/>
      </c>
      <c r="H10" s="22"/>
      <c r="I10" s="22"/>
      <c r="J10" s="23"/>
    </row>
    <row r="11" spans="1:10" ht="13.8" hidden="1" x14ac:dyDescent="0.3">
      <c r="A11" s="18"/>
      <c r="B11" s="6" t="str">
        <f>IFERROR(VLOOKUP(H11,'[1]Consolidado MP Planta'!$A$2:$M$823,3,0),"")</f>
        <v/>
      </c>
      <c r="C11" s="19">
        <f t="shared" si="1"/>
        <v>0</v>
      </c>
      <c r="D11" s="20" t="str">
        <f>IFERROR(VLOOKUP(H11,'[1]Consolidado MP Planta'!$A$2:$M$823,13,0),"")</f>
        <v/>
      </c>
      <c r="E11" s="20" t="str">
        <f>IFERROR(VLOOKUP(H11,'[1]Consolidado MP Planta'!$A$2:$M$823,12,0),"")</f>
        <v/>
      </c>
      <c r="F11" s="20" t="str">
        <f t="shared" si="2"/>
        <v/>
      </c>
      <c r="G11" s="21" t="str">
        <f t="shared" si="0"/>
        <v/>
      </c>
      <c r="H11" s="22"/>
      <c r="I11" s="22"/>
      <c r="J11" s="23"/>
    </row>
    <row r="12" spans="1:10" ht="13.8" hidden="1" x14ac:dyDescent="0.3">
      <c r="A12" s="18"/>
      <c r="B12" s="6" t="str">
        <f>IFERROR(VLOOKUP(H12,'[1]Consolidado MP Planta'!$A$2:$M$823,3,0),"")</f>
        <v/>
      </c>
      <c r="C12" s="19">
        <f t="shared" si="1"/>
        <v>0</v>
      </c>
      <c r="D12" s="20" t="str">
        <f>IFERROR(VLOOKUP(H12,'[1]Consolidado MP Planta'!$A$2:$M$823,13,0),"")</f>
        <v/>
      </c>
      <c r="E12" s="20" t="str">
        <f>IFERROR(VLOOKUP(H12,'[1]Consolidado MP Planta'!$A$2:$M$823,12,0),"")</f>
        <v/>
      </c>
      <c r="F12" s="20" t="str">
        <f t="shared" si="2"/>
        <v/>
      </c>
      <c r="G12" s="21" t="str">
        <f t="shared" si="0"/>
        <v/>
      </c>
      <c r="H12" s="22"/>
      <c r="I12" s="22"/>
      <c r="J12" s="23"/>
    </row>
    <row r="13" spans="1:10" ht="13.8" hidden="1" x14ac:dyDescent="0.3">
      <c r="A13" s="18"/>
      <c r="B13" s="6" t="str">
        <f>IFERROR(VLOOKUP(H13,'[1]Consolidado MP Planta'!$A$2:$M$823,3,0),"")</f>
        <v/>
      </c>
      <c r="C13" s="19">
        <f t="shared" si="1"/>
        <v>0</v>
      </c>
      <c r="D13" s="20" t="str">
        <f>IFERROR(VLOOKUP(H13,'[1]Consolidado MP Planta'!$A$2:$M$823,13,0),"")</f>
        <v/>
      </c>
      <c r="E13" s="20" t="str">
        <f>IFERROR(VLOOKUP(H13,'[1]Consolidado MP Planta'!$A$2:$M$823,12,0),"")</f>
        <v/>
      </c>
      <c r="F13" s="20" t="str">
        <f t="shared" si="2"/>
        <v/>
      </c>
      <c r="G13" s="21" t="str">
        <f t="shared" si="0"/>
        <v/>
      </c>
      <c r="H13" s="22"/>
      <c r="I13" s="22"/>
      <c r="J13" s="23"/>
    </row>
    <row r="14" spans="1:10" ht="13.8" hidden="1" x14ac:dyDescent="0.3">
      <c r="A14" s="18"/>
      <c r="B14" s="6" t="str">
        <f>IFERROR(VLOOKUP(H14,'[1]Consolidado MP Planta'!$A$2:$M$823,3,0),"")</f>
        <v/>
      </c>
      <c r="C14" s="19">
        <f t="shared" si="1"/>
        <v>0</v>
      </c>
      <c r="D14" s="20" t="str">
        <f>IFERROR(VLOOKUP(H14,'[1]Consolidado MP Planta'!$A$2:$M$823,13,0),"")</f>
        <v/>
      </c>
      <c r="E14" s="20" t="str">
        <f>IFERROR(VLOOKUP(H14,'[1]Consolidado MP Planta'!$A$2:$M$823,12,0),"")</f>
        <v/>
      </c>
      <c r="F14" s="20" t="str">
        <f t="shared" si="2"/>
        <v/>
      </c>
      <c r="G14" s="21" t="str">
        <f t="shared" si="0"/>
        <v/>
      </c>
      <c r="H14" s="22"/>
      <c r="I14" s="22"/>
      <c r="J14" s="23"/>
    </row>
    <row r="15" spans="1:10" ht="14.4" thickBot="1" x14ac:dyDescent="0.35">
      <c r="A15" s="18"/>
      <c r="B15" s="6" t="str">
        <f>IFERROR(VLOOKUP(H15,'[2]ARTICULOS MP PLANTA'!$A$2:$G$589,2,0),"")</f>
        <v/>
      </c>
      <c r="C15" s="19"/>
      <c r="D15" s="20"/>
      <c r="E15" s="20"/>
      <c r="F15" s="20"/>
      <c r="G15" s="21"/>
      <c r="H15" s="22"/>
      <c r="I15" s="22"/>
      <c r="J15" s="23"/>
    </row>
    <row r="16" spans="1:10" ht="40.200000000000003" thickBot="1" x14ac:dyDescent="0.3">
      <c r="A16" s="13" t="s">
        <v>54</v>
      </c>
      <c r="B16" s="14" t="s">
        <v>61</v>
      </c>
      <c r="C16" s="14" t="s">
        <v>54</v>
      </c>
      <c r="D16" s="15" t="s">
        <v>56</v>
      </c>
      <c r="E16" s="15" t="s">
        <v>57</v>
      </c>
      <c r="F16" s="15" t="s">
        <v>58</v>
      </c>
      <c r="G16" s="15" t="s">
        <v>59</v>
      </c>
      <c r="H16" s="16" t="s">
        <v>60</v>
      </c>
      <c r="I16" s="17"/>
      <c r="J16" s="23"/>
    </row>
    <row r="17" spans="1:12" ht="13.8" x14ac:dyDescent="0.3">
      <c r="A17" s="18">
        <v>400</v>
      </c>
      <c r="B17" s="6" t="str">
        <f>IFERROR(VLOOKUP(H17,[1]SEMIELABORADOS!$A$2:$M$6000,2,0),"")</f>
        <v>MEZCLA TRES  LECHES C/DULCE LECHE KILO</v>
      </c>
      <c r="C17" s="19">
        <f>+A17</f>
        <v>400</v>
      </c>
      <c r="D17" s="19" t="str">
        <f>IFERROR(VLOOKUP(H17,[1]SEMIELABORADOS!$A$2:$M$6000,6,0),"")</f>
        <v>Gramo</v>
      </c>
      <c r="E17" s="20">
        <f>IFERROR(VLOOKUP(H17,[1]SEMIELABORADOS!$A$2:$H$65536,8,0),"")</f>
        <v>1.7459342598431697</v>
      </c>
      <c r="F17" s="20">
        <f>IFERROR(E17*C17,"")</f>
        <v>698.37370393726792</v>
      </c>
      <c r="G17" s="21">
        <f t="shared" ref="G17:G24" si="3">IFERROR(F17/$F$70,"")</f>
        <v>0.27405664275679487</v>
      </c>
      <c r="H17" s="22" t="s">
        <v>44</v>
      </c>
      <c r="I17" s="22"/>
      <c r="J17" s="23"/>
    </row>
    <row r="18" spans="1:12" ht="13.8" x14ac:dyDescent="0.3">
      <c r="A18" s="18">
        <v>0.25</v>
      </c>
      <c r="B18" s="6" t="str">
        <f>IFERROR(VLOOKUP(H18,[1]SEMIELABORADOS!$A$2:$M$6000,2,0),"")</f>
        <v>ROSQUETE TRES LECHES 750g</v>
      </c>
      <c r="C18" s="19">
        <f t="shared" ref="C18:C24" si="4">+A18</f>
        <v>0.25</v>
      </c>
      <c r="D18" s="19" t="str">
        <f>IFERROR(VLOOKUP(H18,[1]SEMIELABORADOS!$A$2:$M$6000,6,0),"")</f>
        <v>Und</v>
      </c>
      <c r="E18" s="20">
        <f>IFERROR(VLOOKUP(H18,[1]SEMIELABORADOS!$A$2:$H$65536,8,0),"")</f>
        <v>747.19121282013668</v>
      </c>
      <c r="F18" s="20">
        <f t="shared" ref="F18:F24" si="5">IFERROR(E18*C18,"")</f>
        <v>186.79780320503417</v>
      </c>
      <c r="G18" s="21">
        <f t="shared" si="3"/>
        <v>7.3303416970170732E-2</v>
      </c>
      <c r="H18" s="22" t="s">
        <v>45</v>
      </c>
      <c r="I18" s="22"/>
      <c r="J18" s="23"/>
    </row>
    <row r="19" spans="1:12" ht="13.8" x14ac:dyDescent="0.3">
      <c r="A19" s="18">
        <v>1</v>
      </c>
      <c r="B19" s="6" t="str">
        <f>IFERROR(VLOOKUP(H19,[1]SEMIELABORADOS!$A$2:$M$6000,2,0),"")</f>
        <v>CHILENA P/TRES LECHES (UND)</v>
      </c>
      <c r="C19" s="19">
        <f>+A19</f>
        <v>1</v>
      </c>
      <c r="D19" s="19" t="str">
        <f>IFERROR(VLOOKUP(H19,[1]SEMIELABORADOS!$A$2:$M$6000,6,0),"")</f>
        <v>Und</v>
      </c>
      <c r="E19" s="20">
        <f>+'[3]COSTEO '!$H$57</f>
        <v>428.5766900919503</v>
      </c>
      <c r="F19" s="20">
        <f>IFERROR(E19*C19,"")</f>
        <v>428.5766900919503</v>
      </c>
      <c r="G19" s="21">
        <f t="shared" si="3"/>
        <v>0.16818257644616247</v>
      </c>
      <c r="H19" s="22" t="s">
        <v>46</v>
      </c>
      <c r="I19" s="22"/>
      <c r="J19" s="23"/>
    </row>
    <row r="20" spans="1:12" ht="13.8" x14ac:dyDescent="0.3">
      <c r="A20" s="18">
        <v>200</v>
      </c>
      <c r="B20" s="6" t="str">
        <f>IFERROR(VLOOKUP(H20,[1]SEMIELABORADOS!$A$2:$M$6000,2,0),"")</f>
        <v>CREMA BLANCA CON MANJAR KILO</v>
      </c>
      <c r="C20" s="19">
        <f>+A20</f>
        <v>200</v>
      </c>
      <c r="D20" s="19" t="str">
        <f>IFERROR(VLOOKUP(H20,[1]SEMIELABORADOS!$A$2:$M$6000,6,0),"")</f>
        <v>Gramo</v>
      </c>
      <c r="E20" s="20">
        <f>IFERROR(VLOOKUP(H20,[1]SEMIELABORADOS!$A$2:$H$65536,8,0),"")</f>
        <v>2.1759960904761901</v>
      </c>
      <c r="F20" s="20">
        <f>IFERROR(E20*C20,"")</f>
        <v>435.19921809523805</v>
      </c>
      <c r="G20" s="21">
        <f t="shared" si="3"/>
        <v>0.17078139679250665</v>
      </c>
      <c r="H20" s="22" t="s">
        <v>47</v>
      </c>
      <c r="I20" s="22"/>
      <c r="J20" s="23"/>
    </row>
    <row r="21" spans="1:12" ht="13.8" hidden="1" x14ac:dyDescent="0.3">
      <c r="A21" s="18"/>
      <c r="B21" s="6" t="str">
        <f>IFERROR(VLOOKUP(H21,[1]SEMIELABORADOS!$A$2:$M$6000,2,0),"")</f>
        <v/>
      </c>
      <c r="C21" s="19">
        <f>+A21</f>
        <v>0</v>
      </c>
      <c r="D21" s="19" t="str">
        <f>IFERROR(VLOOKUP(H21,[1]SEMIELABORADOS!$A$2:$M$6000,6,0),"")</f>
        <v/>
      </c>
      <c r="E21" s="20" t="str">
        <f>IFERROR(VLOOKUP(H21,[1]SEMIELABORADOS!$A$2:$H$65536,8,0),"")</f>
        <v/>
      </c>
      <c r="F21" s="20" t="str">
        <f>IFERROR(E21*C21,"")</f>
        <v/>
      </c>
      <c r="G21" s="21" t="str">
        <f t="shared" si="3"/>
        <v/>
      </c>
      <c r="H21" s="22"/>
      <c r="I21" s="22"/>
      <c r="J21" s="23"/>
    </row>
    <row r="22" spans="1:12" ht="13.8" hidden="1" x14ac:dyDescent="0.3">
      <c r="A22" s="18"/>
      <c r="B22" s="6" t="str">
        <f>IFERROR(VLOOKUP(H22,[1]SEMIELABORADOS!$A$2:$M$6000,2,0),"")</f>
        <v/>
      </c>
      <c r="C22" s="19">
        <f t="shared" si="4"/>
        <v>0</v>
      </c>
      <c r="D22" s="19" t="str">
        <f>IFERROR(VLOOKUP(H22,[1]SEMIELABORADOS!$A$2:$M$6000,6,0),"")</f>
        <v/>
      </c>
      <c r="E22" s="20" t="str">
        <f>IFERROR(VLOOKUP(H22,[1]SEMIELABORADOS!$A$2:$H$65536,8,0),"")</f>
        <v/>
      </c>
      <c r="F22" s="20" t="str">
        <f t="shared" si="5"/>
        <v/>
      </c>
      <c r="G22" s="21" t="str">
        <f t="shared" si="3"/>
        <v/>
      </c>
      <c r="H22" s="22"/>
      <c r="I22" s="22"/>
      <c r="J22" s="23"/>
    </row>
    <row r="23" spans="1:12" ht="13.8" hidden="1" x14ac:dyDescent="0.3">
      <c r="A23" s="18"/>
      <c r="B23" s="6" t="str">
        <f>IFERROR(VLOOKUP(H23,[1]SEMIELABORADOS!$A$2:$M$6000,2,0),"")</f>
        <v/>
      </c>
      <c r="C23" s="19">
        <f t="shared" si="4"/>
        <v>0</v>
      </c>
      <c r="D23" s="19" t="str">
        <f>IFERROR(VLOOKUP(H23,[1]SEMIELABORADOS!$A$2:$M$6000,6,0),"")</f>
        <v/>
      </c>
      <c r="E23" s="20" t="str">
        <f>IFERROR(VLOOKUP(H23,[1]SEMIELABORADOS!$A$2:$H$65536,8,0),"")</f>
        <v/>
      </c>
      <c r="F23" s="20" t="str">
        <f t="shared" si="5"/>
        <v/>
      </c>
      <c r="G23" s="21" t="str">
        <f t="shared" si="3"/>
        <v/>
      </c>
      <c r="H23" s="22"/>
      <c r="I23" s="22"/>
      <c r="J23" s="23"/>
    </row>
    <row r="24" spans="1:12" ht="13.8" hidden="1" x14ac:dyDescent="0.3">
      <c r="A24" s="18"/>
      <c r="B24" s="6" t="str">
        <f>IFERROR(VLOOKUP(H24,[1]SEMIELABORADOS!$A$2:$M$6000,2,0),"")</f>
        <v/>
      </c>
      <c r="C24" s="19">
        <f t="shared" si="4"/>
        <v>0</v>
      </c>
      <c r="D24" s="19" t="str">
        <f>IFERROR(VLOOKUP(H24,[1]SEMIELABORADOS!$A$2:$M$6000,6,0),"")</f>
        <v/>
      </c>
      <c r="E24" s="20" t="str">
        <f>IFERROR(VLOOKUP(H24,[1]SEMIELABORADOS!$A$2:$H$65536,8,0),"")</f>
        <v/>
      </c>
      <c r="F24" s="20" t="str">
        <f t="shared" si="5"/>
        <v/>
      </c>
      <c r="G24" s="21" t="str">
        <f t="shared" si="3"/>
        <v/>
      </c>
      <c r="H24" s="22"/>
      <c r="I24" s="22"/>
      <c r="J24" s="23"/>
    </row>
    <row r="25" spans="1:12" ht="14.4" thickBot="1" x14ac:dyDescent="0.35">
      <c r="A25" s="18"/>
      <c r="C25" s="19"/>
      <c r="D25" s="19"/>
      <c r="E25" s="20"/>
      <c r="F25" s="20"/>
      <c r="G25" s="21"/>
      <c r="H25" s="22"/>
      <c r="I25" s="22"/>
      <c r="J25" s="23"/>
    </row>
    <row r="26" spans="1:12" ht="40.200000000000003" thickBot="1" x14ac:dyDescent="0.3">
      <c r="A26" s="13" t="s">
        <v>54</v>
      </c>
      <c r="B26" s="14" t="s">
        <v>24</v>
      </c>
      <c r="C26" s="14" t="s">
        <v>54</v>
      </c>
      <c r="D26" s="15" t="s">
        <v>56</v>
      </c>
      <c r="E26" s="15" t="s">
        <v>57</v>
      </c>
      <c r="F26" s="15" t="s">
        <v>58</v>
      </c>
      <c r="G26" s="15" t="s">
        <v>59</v>
      </c>
      <c r="H26" s="16" t="s">
        <v>60</v>
      </c>
      <c r="I26" s="17"/>
    </row>
    <row r="27" spans="1:12" ht="13.8" x14ac:dyDescent="0.3">
      <c r="A27" s="18">
        <v>1</v>
      </c>
      <c r="B27" s="24" t="str">
        <f>IFERROR(VLOOKUP(H27,'[1]Consolidado MP Planta'!$A$2:$M$823,3,0),"")</f>
        <v>ETIQUETA BLANCA 2 5/8X1 15/16 (UND)</v>
      </c>
      <c r="C27" s="19">
        <f t="shared" ref="C27:C36" si="6">+A27</f>
        <v>1</v>
      </c>
      <c r="D27" s="20" t="str">
        <f>IFERROR(VLOOKUP(H27,'[1]Consolidado MP Planta'!$A$2:$M$823,13,0),"")</f>
        <v>Und</v>
      </c>
      <c r="E27" s="20">
        <f>IFERROR(VLOOKUP(H27,'[1]Consolidado MP Planta'!$A$2:$M$823,12,0),"")</f>
        <v>2.1280000000000001</v>
      </c>
      <c r="F27" s="20">
        <f t="shared" ref="F27:F36" si="7">IFERROR(C27*E27,"")</f>
        <v>2.1280000000000001</v>
      </c>
      <c r="G27" s="21">
        <f t="shared" ref="G27:G36" si="8">IFERROR(F27/$F$70,"")</f>
        <v>8.3507230083056691E-4</v>
      </c>
      <c r="H27" s="25" t="s">
        <v>40</v>
      </c>
      <c r="I27" s="25"/>
      <c r="J27" s="23"/>
      <c r="K27" s="334"/>
      <c r="L27" s="334"/>
    </row>
    <row r="28" spans="1:12" ht="13.8" x14ac:dyDescent="0.3">
      <c r="A28" s="18">
        <v>2</v>
      </c>
      <c r="B28" s="24" t="str">
        <f>IFERROR(VLOOKUP(H28,'[1]Consolidado MP Planta'!$A$2:$M$823,3,0),"")</f>
        <v>ETIQ.BLANCA 1 1/4 * 3/4 (UND)</v>
      </c>
      <c r="C28" s="19">
        <f>+A28</f>
        <v>2</v>
      </c>
      <c r="D28" s="20" t="str">
        <f>IFERROR(VLOOKUP(H28,'[1]Consolidado MP Planta'!$A$2:$M$823,13,0),"")</f>
        <v>Und</v>
      </c>
      <c r="E28" s="20">
        <f>IFERROR(VLOOKUP(H28,'[1]Consolidado MP Planta'!$A$2:$M$823,12,0),"")</f>
        <v>0.57999999999999996</v>
      </c>
      <c r="F28" s="20">
        <f>IFERROR(C28*E28,"")</f>
        <v>1.1599999999999999</v>
      </c>
      <c r="G28" s="21">
        <f t="shared" si="8"/>
        <v>4.5520858503921875E-4</v>
      </c>
      <c r="H28" s="25" t="s">
        <v>38</v>
      </c>
      <c r="I28" s="25"/>
      <c r="J28" s="23"/>
      <c r="K28" s="4"/>
      <c r="L28" s="4"/>
    </row>
    <row r="29" spans="1:12" ht="13.8" x14ac:dyDescent="0.3">
      <c r="A29" s="18">
        <v>1</v>
      </c>
      <c r="B29" s="24" t="str">
        <f>IFERROR(VLOOKUP(H29,'[1]Consolidado MP Planta'!$A$2:$M$823,3,0),"")</f>
        <v>ETIQ.FECHA VENCIMIENTO VERDE (ROLLO)</v>
      </c>
      <c r="C29" s="19">
        <f>+A29</f>
        <v>1</v>
      </c>
      <c r="D29" s="20" t="str">
        <f>IFERROR(VLOOKUP(H29,'[1]Consolidado MP Planta'!$A$2:$M$823,13,0),"")</f>
        <v>Und</v>
      </c>
      <c r="E29" s="20">
        <f>IFERROR(VLOOKUP(H29,'[1]Consolidado MP Planta'!$A$2:$M$823,12,0),"")</f>
        <v>0.2</v>
      </c>
      <c r="F29" s="20">
        <f>IFERROR(C29*E29,"")</f>
        <v>0.2</v>
      </c>
      <c r="G29" s="21">
        <f t="shared" si="8"/>
        <v>7.8484238799865315E-5</v>
      </c>
      <c r="H29" s="25" t="s">
        <v>29</v>
      </c>
      <c r="I29" s="25"/>
      <c r="J29" s="23"/>
      <c r="K29" s="4"/>
      <c r="L29" s="4"/>
    </row>
    <row r="30" spans="1:12" ht="13.8" x14ac:dyDescent="0.3">
      <c r="A30" s="18">
        <v>1</v>
      </c>
      <c r="B30" s="24" t="str">
        <f>IFERROR(VLOOKUP(H30,'[1]Consolidado MP Planta'!$A$2:$M$823,3,0),"")</f>
        <v>BOLSA 8x12 TRANSPARENTE KILO</v>
      </c>
      <c r="C30" s="19">
        <f>+A30</f>
        <v>1</v>
      </c>
      <c r="D30" s="20" t="str">
        <f>IFERROR(VLOOKUP(H30,'[1]Consolidado MP Planta'!$A$2:$M$823,13,0),"")</f>
        <v>Und</v>
      </c>
      <c r="E30" s="20">
        <f>IFERROR(VLOOKUP(H30,'[1]Consolidado MP Planta'!$A$2:$M$823,12,0),"")</f>
        <v>7.5</v>
      </c>
      <c r="F30" s="20">
        <f>IFERROR(C30*E30,"")</f>
        <v>7.5</v>
      </c>
      <c r="G30" s="21">
        <f t="shared" si="8"/>
        <v>2.943158954994949E-3</v>
      </c>
      <c r="H30" s="25" t="s">
        <v>31</v>
      </c>
      <c r="I30" s="25"/>
      <c r="J30" s="23"/>
      <c r="K30" s="4"/>
      <c r="L30" s="4"/>
    </row>
    <row r="31" spans="1:12" ht="13.8" x14ac:dyDescent="0.3">
      <c r="A31" s="18">
        <v>1</v>
      </c>
      <c r="B31" s="24" t="str">
        <f>IFERROR(VLOOKUP(H31,'[1]Consolidado MP Planta'!$A$2:$M$823,3,0),"")</f>
        <v>CONTEN LBH 692 PRALINE (CAJA:200 UND)</v>
      </c>
      <c r="C31" s="19">
        <f>+A31</f>
        <v>1</v>
      </c>
      <c r="D31" s="20" t="str">
        <f>IFERROR(VLOOKUP(H31,'[1]Consolidado MP Planta'!$A$2:$M$823,13,0),"")</f>
        <v>Und</v>
      </c>
      <c r="E31" s="20">
        <f>IFERROR(VLOOKUP(H31,'[1]Consolidado MP Planta'!$A$2:$M$823,12,0),"")</f>
        <v>225.62</v>
      </c>
      <c r="F31" s="20">
        <f>IFERROR(C31*E31,"")</f>
        <v>225.62</v>
      </c>
      <c r="G31" s="21">
        <f t="shared" si="8"/>
        <v>8.8538069790128057E-2</v>
      </c>
      <c r="H31" s="25" t="s">
        <v>32</v>
      </c>
      <c r="I31" s="25"/>
      <c r="J31" s="23"/>
      <c r="K31" s="4"/>
      <c r="L31" s="4"/>
    </row>
    <row r="32" spans="1:12" ht="13.8" x14ac:dyDescent="0.3">
      <c r="A32" s="18">
        <v>1</v>
      </c>
      <c r="B32" s="24" t="str">
        <f>IFERROR(VLOOKUP(H32,'[1]Consolidado MP Planta'!$A$2:$M$823,3,0),"")</f>
        <v>ETIQUETA IMPRES SPOON GRANDE V-272 (UND)</v>
      </c>
      <c r="C32" s="19">
        <f>+A32</f>
        <v>1</v>
      </c>
      <c r="D32" s="20" t="str">
        <f>IFERROR(VLOOKUP(H32,'[1]Consolidado MP Planta'!$A$2:$M$823,13,0),"")</f>
        <v>Und</v>
      </c>
      <c r="E32" s="20">
        <f>IFERROR(VLOOKUP(H32,'[1]Consolidado MP Planta'!$A$2:$M$823,12,0),"")</f>
        <v>47.024999999999999</v>
      </c>
      <c r="F32" s="20">
        <f>IFERROR(C32*E32,"")</f>
        <v>47.024999999999999</v>
      </c>
      <c r="G32" s="21">
        <f t="shared" si="8"/>
        <v>1.8453606647818331E-2</v>
      </c>
      <c r="H32" s="25" t="s">
        <v>62</v>
      </c>
      <c r="I32" s="25"/>
      <c r="J32" s="23"/>
      <c r="K32" s="4"/>
      <c r="L32" s="4"/>
    </row>
    <row r="33" spans="1:12" ht="13.8" x14ac:dyDescent="0.3">
      <c r="A33" s="18">
        <v>1</v>
      </c>
      <c r="B33" s="24" t="str">
        <f>IFERROR(VLOOKUP(H33,'[1]Consolidado MP Planta'!$A$2:$M$823,3,0),"")</f>
        <v>ETIQ CIRCULO APP SPOONERS CARD (UND)</v>
      </c>
      <c r="C33" s="19">
        <f t="shared" si="6"/>
        <v>1</v>
      </c>
      <c r="D33" s="20" t="str">
        <f>IFERROR(VLOOKUP(H33,'[1]Consolidado MP Planta'!$A$2:$M$823,13,0),"")</f>
        <v>Und</v>
      </c>
      <c r="E33" s="20" t="str">
        <f>IFERROR(VLOOKUP(H33,'[1]Consolidado MP Planta'!$A$2:$M$823,12,0),"")</f>
        <v/>
      </c>
      <c r="F33" s="20" t="str">
        <f t="shared" si="7"/>
        <v/>
      </c>
      <c r="G33" s="21" t="str">
        <f t="shared" si="8"/>
        <v/>
      </c>
      <c r="H33" s="25" t="s">
        <v>41</v>
      </c>
      <c r="I33" s="25"/>
      <c r="J33" s="23"/>
      <c r="K33" s="334"/>
      <c r="L33" s="334"/>
    </row>
    <row r="34" spans="1:12" ht="13.8" hidden="1" x14ac:dyDescent="0.3">
      <c r="A34" s="18"/>
      <c r="B34" s="24" t="str">
        <f>IFERROR(VLOOKUP(H34,'[1]Consolidado MP Planta'!$A$2:$M$823,3,0),"")</f>
        <v/>
      </c>
      <c r="C34" s="19">
        <f t="shared" si="6"/>
        <v>0</v>
      </c>
      <c r="D34" s="20" t="str">
        <f>IFERROR(VLOOKUP(H34,'[1]Consolidado MP Planta'!$A$2:$M$823,13,0),"")</f>
        <v/>
      </c>
      <c r="E34" s="20" t="str">
        <f>IFERROR(VLOOKUP(H34,'[1]Consolidado MP Planta'!$A$2:$M$823,12,0),"")</f>
        <v/>
      </c>
      <c r="F34" s="20" t="str">
        <f t="shared" si="7"/>
        <v/>
      </c>
      <c r="G34" s="21" t="str">
        <f t="shared" si="8"/>
        <v/>
      </c>
      <c r="H34" s="25"/>
      <c r="I34" s="25"/>
      <c r="J34" s="23"/>
      <c r="K34" s="334"/>
      <c r="L34" s="334"/>
    </row>
    <row r="35" spans="1:12" ht="13.8" hidden="1" x14ac:dyDescent="0.3">
      <c r="A35" s="18"/>
      <c r="B35" s="24" t="str">
        <f>IFERROR(VLOOKUP(H35,'[1]Consolidado MP Planta'!$A$2:$M$823,3,0),"")</f>
        <v/>
      </c>
      <c r="C35" s="19">
        <f t="shared" si="6"/>
        <v>0</v>
      </c>
      <c r="D35" s="20" t="str">
        <f>IFERROR(VLOOKUP(H35,'[1]Consolidado MP Planta'!$A$2:$M$823,13,0),"")</f>
        <v/>
      </c>
      <c r="E35" s="20" t="str">
        <f>IFERROR(VLOOKUP(H35,'[1]Consolidado MP Planta'!$A$2:$M$823,12,0),"")</f>
        <v/>
      </c>
      <c r="F35" s="20" t="str">
        <f t="shared" si="7"/>
        <v/>
      </c>
      <c r="G35" s="21" t="str">
        <f t="shared" si="8"/>
        <v/>
      </c>
      <c r="H35" s="25"/>
      <c r="I35" s="25"/>
      <c r="J35" s="23"/>
      <c r="K35" s="26"/>
      <c r="L35" s="27"/>
    </row>
    <row r="36" spans="1:12" ht="13.8" hidden="1" x14ac:dyDescent="0.3">
      <c r="A36" s="18"/>
      <c r="B36" s="24" t="str">
        <f>IFERROR(VLOOKUP(H36,'[1]Consolidado MP Planta'!$A$2:$M$823,3,0),"")</f>
        <v/>
      </c>
      <c r="C36" s="19">
        <f t="shared" si="6"/>
        <v>0</v>
      </c>
      <c r="D36" s="20" t="str">
        <f>IFERROR(VLOOKUP(H36,'[1]Consolidado MP Planta'!$A$2:$M$823,13,0),"")</f>
        <v/>
      </c>
      <c r="E36" s="20" t="str">
        <f>IFERROR(VLOOKUP(H36,'[1]Consolidado MP Planta'!$A$2:$M$823,12,0),"")</f>
        <v/>
      </c>
      <c r="F36" s="20" t="str">
        <f t="shared" si="7"/>
        <v/>
      </c>
      <c r="G36" s="21" t="str">
        <f t="shared" si="8"/>
        <v/>
      </c>
      <c r="H36" s="25"/>
      <c r="I36" s="25"/>
      <c r="J36" s="23"/>
    </row>
    <row r="37" spans="1:12" ht="14.4" thickBot="1" x14ac:dyDescent="0.35">
      <c r="A37" s="18"/>
      <c r="B37" s="24"/>
      <c r="C37" s="19"/>
      <c r="D37" s="20"/>
      <c r="E37" s="20"/>
      <c r="F37" s="20"/>
      <c r="G37" s="21"/>
      <c r="H37" s="25"/>
      <c r="I37" s="25"/>
      <c r="J37" s="23"/>
    </row>
    <row r="38" spans="1:12" ht="40.200000000000003" thickBot="1" x14ac:dyDescent="0.3">
      <c r="A38" s="13" t="s">
        <v>54</v>
      </c>
      <c r="B38" s="14" t="s">
        <v>63</v>
      </c>
      <c r="C38" s="14" t="s">
        <v>54</v>
      </c>
      <c r="D38" s="15" t="s">
        <v>56</v>
      </c>
      <c r="E38" s="15" t="s">
        <v>57</v>
      </c>
      <c r="F38" s="15" t="s">
        <v>58</v>
      </c>
      <c r="G38" s="15" t="s">
        <v>59</v>
      </c>
      <c r="H38" s="16" t="s">
        <v>60</v>
      </c>
      <c r="I38" s="25"/>
      <c r="J38" s="23"/>
    </row>
    <row r="39" spans="1:12" ht="13.8" x14ac:dyDescent="0.3">
      <c r="A39" s="18">
        <f t="shared" ref="A39:A45" si="9">+A17</f>
        <v>400</v>
      </c>
      <c r="B39" s="24" t="str">
        <f>IFERROR(VLOOKUP(H39,[1]SEMIELABORADOS!$A$2:$M$6000,2,0),"")</f>
        <v>MEZCLA TRES  LECHES C/DULCE LECHE KILO</v>
      </c>
      <c r="C39" s="19">
        <f>+A39</f>
        <v>400</v>
      </c>
      <c r="D39" s="20" t="str">
        <f>IFERROR(VLOOKUP(H39,[1]SEMIELABORADOS!$A$2:$M$6000,6,0),"")</f>
        <v>Gramo</v>
      </c>
      <c r="E39" s="20">
        <f>IFERROR(VLOOKUP(H39,[1]SEMIELABORADOS!$A$2:$M$65536,10,0),"")</f>
        <v>1.7517259995428573E-3</v>
      </c>
      <c r="F39" s="20">
        <f>IFERROR(E39*C39,"")</f>
        <v>0.70069039981714298</v>
      </c>
      <c r="G39" s="21">
        <f t="shared" ref="G39:G45" si="10">IFERROR(F39/$F$70,"")</f>
        <v>2.7496576332010873E-4</v>
      </c>
      <c r="H39" s="25" t="s">
        <v>44</v>
      </c>
      <c r="I39" s="25"/>
      <c r="J39" s="23"/>
    </row>
    <row r="40" spans="1:12" ht="13.8" x14ac:dyDescent="0.3">
      <c r="A40" s="18">
        <f t="shared" si="9"/>
        <v>0.25</v>
      </c>
      <c r="B40" s="24" t="str">
        <f>IFERROR(VLOOKUP(H40,[1]SEMIELABORADOS!$A$2:$M$6000,2,0),"")</f>
        <v>ROSQUETE TRES LECHES 750g</v>
      </c>
      <c r="C40" s="19">
        <f t="shared" ref="C40:C45" si="11">+A40</f>
        <v>0.25</v>
      </c>
      <c r="D40" s="20" t="str">
        <f>IFERROR(VLOOKUP(H40,[1]SEMIELABORADOS!$A$2:$M$6000,6,0),"")</f>
        <v>Und</v>
      </c>
      <c r="E40" s="20">
        <f>IFERROR(VLOOKUP(H40,[1]SEMIELABORADOS!$A$2:$M$65536,10,0),"")</f>
        <v>8.0445803371428575</v>
      </c>
      <c r="F40" s="20">
        <f t="shared" ref="F40:F45" si="12">IFERROR(E40*C40,"")</f>
        <v>2.0111450842857144</v>
      </c>
      <c r="G40" s="21">
        <f t="shared" si="10"/>
        <v>7.892159552812763E-4</v>
      </c>
      <c r="H40" s="25" t="s">
        <v>45</v>
      </c>
      <c r="I40" s="25"/>
      <c r="J40" s="23"/>
    </row>
    <row r="41" spans="1:12" ht="13.8" x14ac:dyDescent="0.3">
      <c r="A41" s="18">
        <f t="shared" si="9"/>
        <v>1</v>
      </c>
      <c r="B41" s="24" t="str">
        <f>IFERROR(VLOOKUP(H41,[1]SEMIELABORADOS!$A$2:$M$6000,2,0),"")</f>
        <v>CHILENA P/TRES LECHES (UND)</v>
      </c>
      <c r="C41" s="19">
        <f t="shared" si="11"/>
        <v>1</v>
      </c>
      <c r="D41" s="20" t="str">
        <f>IFERROR(VLOOKUP(H41,[1]SEMIELABORADOS!$A$2:$M$6000,6,0),"")</f>
        <v>Und</v>
      </c>
      <c r="E41" s="20">
        <f>IFERROR(VLOOKUP(H41,[1]SEMIELABORADOS!$A$2:$M$65536,10,0),"")</f>
        <v>1.0790260095869999</v>
      </c>
      <c r="F41" s="20">
        <f t="shared" si="12"/>
        <v>1.0790260095869999</v>
      </c>
      <c r="G41" s="21">
        <f t="shared" si="10"/>
        <v>4.2343267503845927E-4</v>
      </c>
      <c r="H41" s="25" t="s">
        <v>46</v>
      </c>
      <c r="I41" s="25"/>
      <c r="J41" s="23"/>
    </row>
    <row r="42" spans="1:12" ht="13.8" x14ac:dyDescent="0.3">
      <c r="A42" s="18">
        <f t="shared" si="9"/>
        <v>200</v>
      </c>
      <c r="B42" s="24" t="str">
        <f>IFERROR(VLOOKUP(H42,[1]SEMIELABORADOS!$A$2:$M$6000,2,0),"")</f>
        <v>CREMA BLANCA CON MANJAR KILO</v>
      </c>
      <c r="C42" s="19">
        <f>+A42</f>
        <v>200</v>
      </c>
      <c r="D42" s="20" t="str">
        <f>IFERROR(VLOOKUP(H42,[1]SEMIELABORADOS!$A$2:$M$6000,6,0),"")</f>
        <v>Gramo</v>
      </c>
      <c r="E42" s="20">
        <f>IFERROR(VLOOKUP(H42,[1]SEMIELABORADOS!$A$2:$M$65536,10,0),"")</f>
        <v>2.726E-5</v>
      </c>
      <c r="F42" s="20">
        <f>IFERROR(E42*C42,"")</f>
        <v>5.4520000000000002E-3</v>
      </c>
      <c r="G42" s="21">
        <f t="shared" si="10"/>
        <v>2.1394803496843283E-6</v>
      </c>
      <c r="H42" s="25" t="s">
        <v>47</v>
      </c>
      <c r="I42" s="25"/>
      <c r="J42" s="23"/>
    </row>
    <row r="43" spans="1:12" ht="13.8" hidden="1" x14ac:dyDescent="0.3">
      <c r="A43" s="18">
        <f t="shared" si="9"/>
        <v>0</v>
      </c>
      <c r="B43" s="24" t="str">
        <f>IFERROR(VLOOKUP(H43,[1]SEMIELABORADOS!$A$2:$M$6000,2,0),"")</f>
        <v/>
      </c>
      <c r="C43" s="19">
        <f>+A43</f>
        <v>0</v>
      </c>
      <c r="D43" s="20" t="str">
        <f>IFERROR(VLOOKUP(H43,[1]SEMIELABORADOS!$A$2:$M$6000,6,0),"")</f>
        <v/>
      </c>
      <c r="E43" s="20" t="str">
        <f>IFERROR(VLOOKUP(H43,[1]SEMIELABORADOS!$A$2:$M$65536,10,0),"")</f>
        <v/>
      </c>
      <c r="F43" s="20" t="str">
        <f>IFERROR(E43*C43,"")</f>
        <v/>
      </c>
      <c r="G43" s="21" t="str">
        <f t="shared" si="10"/>
        <v/>
      </c>
      <c r="H43" s="25"/>
      <c r="I43" s="25"/>
      <c r="J43" s="23"/>
    </row>
    <row r="44" spans="1:12" ht="13.8" hidden="1" x14ac:dyDescent="0.3">
      <c r="A44" s="18">
        <f t="shared" si="9"/>
        <v>0</v>
      </c>
      <c r="B44" s="24" t="str">
        <f>IFERROR(VLOOKUP(H44,[1]SEMIELABORADOS!$A$2:$M$6000,2,0),"")</f>
        <v/>
      </c>
      <c r="C44" s="19">
        <f t="shared" si="11"/>
        <v>0</v>
      </c>
      <c r="D44" s="20" t="str">
        <f>IFERROR(VLOOKUP(H44,[1]SEMIELABORADOS!$A$2:$M$6000,6,0),"")</f>
        <v/>
      </c>
      <c r="E44" s="20" t="str">
        <f>IFERROR(VLOOKUP(H44,[1]SEMIELABORADOS!$A$2:$M$65536,10,0),"")</f>
        <v/>
      </c>
      <c r="F44" s="20" t="str">
        <f t="shared" si="12"/>
        <v/>
      </c>
      <c r="G44" s="21" t="str">
        <f t="shared" si="10"/>
        <v/>
      </c>
      <c r="H44" s="25"/>
      <c r="I44" s="25"/>
      <c r="J44" s="23"/>
    </row>
    <row r="45" spans="1:12" ht="13.8" hidden="1" x14ac:dyDescent="0.3">
      <c r="A45" s="18">
        <f t="shared" si="9"/>
        <v>0</v>
      </c>
      <c r="B45" s="24" t="str">
        <f>IFERROR(VLOOKUP(H45,[1]SEMIELABORADOS!$A$2:$M$6000,2,0),"")</f>
        <v/>
      </c>
      <c r="C45" s="19">
        <f t="shared" si="11"/>
        <v>0</v>
      </c>
      <c r="D45" s="20" t="str">
        <f>IFERROR(VLOOKUP(H45,[1]SEMIELABORADOS!$A$2:$M$6000,6,0),"")</f>
        <v/>
      </c>
      <c r="E45" s="20" t="str">
        <f>IFERROR(VLOOKUP(H45,[1]SEMIELABORADOS!$A$2:$M$65536,10,0),"")</f>
        <v/>
      </c>
      <c r="F45" s="20" t="str">
        <f t="shared" si="12"/>
        <v/>
      </c>
      <c r="G45" s="21" t="str">
        <f t="shared" si="10"/>
        <v/>
      </c>
      <c r="H45" s="25"/>
      <c r="I45" s="25"/>
      <c r="J45" s="23"/>
    </row>
    <row r="46" spans="1:12" ht="14.4" thickBot="1" x14ac:dyDescent="0.35">
      <c r="A46" s="18"/>
      <c r="B46" s="24"/>
      <c r="C46" s="19"/>
      <c r="D46" s="20"/>
      <c r="E46" s="20"/>
      <c r="F46" s="20"/>
      <c r="G46" s="21"/>
      <c r="H46" s="25"/>
      <c r="I46" s="25"/>
      <c r="J46" s="23"/>
    </row>
    <row r="47" spans="1:12" ht="40.200000000000003" thickBot="1" x14ac:dyDescent="0.3">
      <c r="A47" s="13" t="s">
        <v>54</v>
      </c>
      <c r="B47" s="14" t="s">
        <v>64</v>
      </c>
      <c r="C47" s="14" t="s">
        <v>54</v>
      </c>
      <c r="D47" s="15" t="s">
        <v>56</v>
      </c>
      <c r="E47" s="15" t="s">
        <v>57</v>
      </c>
      <c r="F47" s="15" t="s">
        <v>58</v>
      </c>
      <c r="G47" s="15" t="s">
        <v>59</v>
      </c>
      <c r="H47" s="16" t="s">
        <v>60</v>
      </c>
      <c r="I47" s="17"/>
      <c r="J47" s="23"/>
    </row>
    <row r="48" spans="1:12" ht="13.8" x14ac:dyDescent="0.3">
      <c r="A48" s="18">
        <f>+A39</f>
        <v>400</v>
      </c>
      <c r="B48" s="24" t="str">
        <f>IFERROR(VLOOKUP(H48,[1]SEMIELABORADOS!$A$2:$M$6000,2,0),"")</f>
        <v>MEZCLA TRES  LECHES C/DULCE LECHE KILO</v>
      </c>
      <c r="C48" s="19">
        <f>+A48</f>
        <v>400</v>
      </c>
      <c r="D48" s="20" t="str">
        <f>IFERROR(VLOOKUP(H48,[1]SEMIELABORADOS!$A$2:$M$6000,6,0),"")</f>
        <v>Gramo</v>
      </c>
      <c r="E48" s="20">
        <f>IFERROR(VLOOKUP(H48,[1]SEMIELABORADOS!$A$2:$M$65536,12,0),"")</f>
        <v>0.3145834774516883</v>
      </c>
      <c r="F48" s="20">
        <f>IFERROR(E48*C48,"")</f>
        <v>125.83339098067532</v>
      </c>
      <c r="G48" s="21">
        <f>IFERROR(F48/$F$70,"")</f>
        <v>4.9379689533620694E-2</v>
      </c>
      <c r="H48" s="25" t="s">
        <v>44</v>
      </c>
      <c r="I48" s="17"/>
      <c r="J48" s="23"/>
    </row>
    <row r="49" spans="1:17" ht="13.8" x14ac:dyDescent="0.3">
      <c r="A49" s="18">
        <f t="shared" ref="A49:A54" si="13">+A40</f>
        <v>0.25</v>
      </c>
      <c r="B49" s="24" t="str">
        <f>IFERROR(VLOOKUP(H49,[1]SEMIELABORADOS!$A$2:$M$6000,2,0),"")</f>
        <v>ROSQUETE TRES LECHES 750g</v>
      </c>
      <c r="C49" s="19">
        <f t="shared" ref="C49:C54" si="14">+A49</f>
        <v>0.25</v>
      </c>
      <c r="D49" s="20" t="str">
        <f>IFERROR(VLOOKUP(H49,[1]SEMIELABORADOS!$A$2:$M$6000,6,0),"")</f>
        <v>Und</v>
      </c>
      <c r="E49" s="20">
        <f>IFERROR(VLOOKUP(H49,[1]SEMIELABORADOS!$A$2:$M$65536,12,0),"")</f>
        <v>135.94244276831031</v>
      </c>
      <c r="F49" s="20">
        <f t="shared" ref="F49:F54" si="15">IFERROR(E49*C49,"")</f>
        <v>33.985610692077579</v>
      </c>
      <c r="G49" s="21">
        <f t="shared" ref="G49:G54" si="16">IFERROR(F49/$F$70,"")</f>
        <v>1.3336673926581362E-2</v>
      </c>
      <c r="H49" s="25" t="s">
        <v>45</v>
      </c>
      <c r="I49" s="17"/>
      <c r="J49" s="23"/>
    </row>
    <row r="50" spans="1:17" ht="13.8" x14ac:dyDescent="0.3">
      <c r="A50" s="18">
        <f t="shared" si="13"/>
        <v>1</v>
      </c>
      <c r="B50" s="24" t="str">
        <f>IFERROR(VLOOKUP(H50,[1]SEMIELABORADOS!$A$2:$M$6000,2,0),"")</f>
        <v>CHILENA P/TRES LECHES (UND)</v>
      </c>
      <c r="C50" s="19">
        <f t="shared" si="14"/>
        <v>1</v>
      </c>
      <c r="D50" s="20" t="str">
        <f>IFERROR(VLOOKUP(H50,[1]SEMIELABORADOS!$A$2:$M$6000,6,0),"")</f>
        <v>Und</v>
      </c>
      <c r="E50" s="20">
        <f>IFERROR(VLOOKUP(H50,[1]SEMIELABORADOS!$A$2:$M$65536,12,0),"")</f>
        <v>103.21799452836899</v>
      </c>
      <c r="F50" s="20">
        <f t="shared" si="15"/>
        <v>103.21799452836899</v>
      </c>
      <c r="G50" s="21">
        <f t="shared" si="16"/>
        <v>4.0504928655038512E-2</v>
      </c>
      <c r="H50" s="25" t="s">
        <v>46</v>
      </c>
      <c r="I50" s="17"/>
      <c r="J50" s="23"/>
    </row>
    <row r="51" spans="1:17" ht="13.8" x14ac:dyDescent="0.3">
      <c r="A51" s="18">
        <f t="shared" si="13"/>
        <v>200</v>
      </c>
      <c r="B51" s="24" t="str">
        <f>IFERROR(VLOOKUP(H51,[1]SEMIELABORADOS!$A$2:$M$6000,2,0),"")</f>
        <v>CREMA BLANCA CON MANJAR KILO</v>
      </c>
      <c r="C51" s="19">
        <f t="shared" si="14"/>
        <v>200</v>
      </c>
      <c r="D51" s="20" t="str">
        <f>IFERROR(VLOOKUP(H51,[1]SEMIELABORADOS!$A$2:$M$6000,6,0),"")</f>
        <v>Gramo</v>
      </c>
      <c r="E51" s="20">
        <f>IFERROR(VLOOKUP(H51,[1]SEMIELABORADOS!$A$2:$M$65536,12,0),"")</f>
        <v>0.39168420308571417</v>
      </c>
      <c r="F51" s="20">
        <f t="shared" si="15"/>
        <v>78.336840617142826</v>
      </c>
      <c r="G51" s="21">
        <f t="shared" si="16"/>
        <v>3.0741036529114127E-2</v>
      </c>
      <c r="H51" s="25" t="s">
        <v>47</v>
      </c>
      <c r="I51" s="17"/>
      <c r="J51" s="23"/>
    </row>
    <row r="52" spans="1:17" ht="13.8" hidden="1" x14ac:dyDescent="0.3">
      <c r="A52" s="18">
        <f t="shared" si="13"/>
        <v>0</v>
      </c>
      <c r="B52" s="24" t="str">
        <f>IFERROR(VLOOKUP(H52,[1]SEMIELABORADOS!$A$2:$M$6000,2,0),"")</f>
        <v/>
      </c>
      <c r="C52" s="19">
        <f t="shared" si="14"/>
        <v>0</v>
      </c>
      <c r="D52" s="20" t="str">
        <f>IFERROR(VLOOKUP(H52,[1]SEMIELABORADOS!$A$2:$M$6000,6,0),"")</f>
        <v/>
      </c>
      <c r="E52" s="20" t="str">
        <f>IFERROR(VLOOKUP(H52,[1]SEMIELABORADOS!$A$2:$M$65536,12,0),"")</f>
        <v/>
      </c>
      <c r="F52" s="20" t="str">
        <f t="shared" si="15"/>
        <v/>
      </c>
      <c r="G52" s="21" t="str">
        <f t="shared" si="16"/>
        <v/>
      </c>
      <c r="H52" s="25"/>
      <c r="I52" s="17"/>
      <c r="J52" s="23"/>
    </row>
    <row r="53" spans="1:17" ht="13.8" hidden="1" x14ac:dyDescent="0.3">
      <c r="A53" s="18">
        <f t="shared" si="13"/>
        <v>0</v>
      </c>
      <c r="B53" s="24" t="str">
        <f>IFERROR(VLOOKUP(H53,[1]SEMIELABORADOS!$A$2:$M$6000,2,0),"")</f>
        <v/>
      </c>
      <c r="C53" s="19">
        <f t="shared" si="14"/>
        <v>0</v>
      </c>
      <c r="D53" s="20" t="str">
        <f>IFERROR(VLOOKUP(H53,[1]SEMIELABORADOS!$A$2:$M$6000,6,0),"")</f>
        <v/>
      </c>
      <c r="E53" s="20" t="str">
        <f>IFERROR(VLOOKUP(H53,[1]SEMIELABORADOS!$A$2:$M$65536,12,0),"")</f>
        <v/>
      </c>
      <c r="F53" s="20" t="str">
        <f t="shared" si="15"/>
        <v/>
      </c>
      <c r="G53" s="21" t="str">
        <f t="shared" si="16"/>
        <v/>
      </c>
      <c r="H53" s="25"/>
      <c r="I53" s="17"/>
      <c r="J53" s="23"/>
    </row>
    <row r="54" spans="1:17" ht="13.8" hidden="1" x14ac:dyDescent="0.3">
      <c r="A54" s="18">
        <f t="shared" si="13"/>
        <v>0</v>
      </c>
      <c r="B54" s="24" t="str">
        <f>IFERROR(VLOOKUP(H54,[1]SEMIELABORADOS!$A$2:$M$6000,2,0),"")</f>
        <v/>
      </c>
      <c r="C54" s="19">
        <f t="shared" si="14"/>
        <v>0</v>
      </c>
      <c r="D54" s="20" t="str">
        <f>IFERROR(VLOOKUP(H54,[1]SEMIELABORADOS!$A$2:$M$6000,6,0),"")</f>
        <v/>
      </c>
      <c r="E54" s="20" t="str">
        <f>IFERROR(VLOOKUP(H54,[1]SEMIELABORADOS!$A$2:$M$65536,12,0),"")</f>
        <v/>
      </c>
      <c r="F54" s="20" t="str">
        <f t="shared" si="15"/>
        <v/>
      </c>
      <c r="G54" s="21" t="str">
        <f t="shared" si="16"/>
        <v/>
      </c>
      <c r="H54" s="24"/>
      <c r="I54" s="17"/>
      <c r="J54" s="23"/>
    </row>
    <row r="55" spans="1:17" ht="13.8" x14ac:dyDescent="0.3">
      <c r="A55" s="18">
        <v>1</v>
      </c>
      <c r="B55" s="24" t="s">
        <v>65</v>
      </c>
      <c r="C55" s="19">
        <f>+A55</f>
        <v>1</v>
      </c>
      <c r="D55" s="19" t="s">
        <v>66</v>
      </c>
      <c r="E55" s="20">
        <f>+F69</f>
        <v>220</v>
      </c>
      <c r="F55" s="20">
        <f>IFERROR(C55*E55,"")</f>
        <v>220</v>
      </c>
      <c r="G55" s="21">
        <f>IFERROR(F55/$F$70,"")</f>
        <v>8.6332662679851846E-2</v>
      </c>
      <c r="H55" s="28"/>
      <c r="I55" s="28"/>
      <c r="J55" s="23"/>
    </row>
    <row r="56" spans="1:17" ht="14.4" thickBot="1" x14ac:dyDescent="0.35">
      <c r="A56" s="18"/>
      <c r="B56" s="24"/>
      <c r="C56" s="19"/>
      <c r="D56" s="19"/>
      <c r="E56" s="20"/>
      <c r="F56" s="20"/>
      <c r="G56" s="21"/>
      <c r="H56" s="28"/>
      <c r="I56" s="28"/>
      <c r="J56" s="23"/>
    </row>
    <row r="57" spans="1:17" ht="13.8" thickBot="1" x14ac:dyDescent="0.3">
      <c r="A57" s="29"/>
      <c r="B57" s="326" t="s">
        <v>67</v>
      </c>
      <c r="C57" s="326"/>
      <c r="D57" s="326"/>
      <c r="E57" s="326"/>
      <c r="F57" s="31">
        <f>SUM(F8:F14,F17:F24)</f>
        <v>2000.8363042183792</v>
      </c>
      <c r="G57" s="21">
        <f>+F57/$F$70</f>
        <v>0.78517057149857605</v>
      </c>
      <c r="H57" s="32">
        <f>+F57/$D$64</f>
        <v>2000.8363042183792</v>
      </c>
      <c r="I57" s="32"/>
      <c r="J57" s="33"/>
      <c r="K57" s="34"/>
      <c r="L57" s="34"/>
      <c r="M57" s="34"/>
      <c r="N57" s="34"/>
      <c r="O57" s="34"/>
      <c r="P57" s="34"/>
      <c r="Q57" s="35"/>
    </row>
    <row r="58" spans="1:17" x14ac:dyDescent="0.25">
      <c r="A58" s="29"/>
      <c r="B58" s="326" t="s">
        <v>68</v>
      </c>
      <c r="C58" s="326"/>
      <c r="D58" s="326"/>
      <c r="E58" s="326"/>
      <c r="F58" s="31">
        <f>SUM(F27:F36,F39:F45)</f>
        <v>287.42931349368979</v>
      </c>
      <c r="G58" s="21">
        <f>+F58/$F$70</f>
        <v>0.11279335439160049</v>
      </c>
      <c r="H58" s="32">
        <f>+F58/$D$64</f>
        <v>287.42931349368979</v>
      </c>
      <c r="I58" s="32"/>
      <c r="J58" s="36"/>
      <c r="K58" s="335" t="s">
        <v>69</v>
      </c>
      <c r="L58" s="336"/>
      <c r="M58" s="336"/>
      <c r="N58" s="336"/>
      <c r="O58" s="37">
        <f>+F59</f>
        <v>2288.2656177120689</v>
      </c>
      <c r="P58" s="37"/>
      <c r="Q58" s="38"/>
    </row>
    <row r="59" spans="1:17" x14ac:dyDescent="0.25">
      <c r="A59" s="29"/>
      <c r="B59" s="326" t="s">
        <v>70</v>
      </c>
      <c r="C59" s="326"/>
      <c r="D59" s="326"/>
      <c r="E59" s="326"/>
      <c r="F59" s="31">
        <f>+F57+F58</f>
        <v>2288.2656177120689</v>
      </c>
      <c r="G59" s="21">
        <f>+F59/$F$70</f>
        <v>0.8979639258901766</v>
      </c>
      <c r="H59" s="32">
        <f>+F59/$D$64</f>
        <v>2288.2656177120689</v>
      </c>
      <c r="I59" s="32"/>
      <c r="J59" s="39"/>
      <c r="K59" s="40"/>
      <c r="L59" s="329" t="s">
        <v>71</v>
      </c>
      <c r="M59" s="329"/>
      <c r="N59" s="329"/>
      <c r="O59" s="37">
        <f>+F60</f>
        <v>561.37383681826475</v>
      </c>
      <c r="P59" s="37"/>
      <c r="Q59" s="38"/>
    </row>
    <row r="60" spans="1:17" ht="13.8" thickBot="1" x14ac:dyDescent="0.3">
      <c r="A60" s="29"/>
      <c r="B60" s="30"/>
      <c r="C60" s="326" t="s">
        <v>72</v>
      </c>
      <c r="D60" s="326"/>
      <c r="E60" s="326"/>
      <c r="F60" s="31">
        <f>SUM(F48:F55)</f>
        <v>561.37383681826475</v>
      </c>
      <c r="G60" s="21">
        <f>+F60/$F$70</f>
        <v>0.22029499132420655</v>
      </c>
      <c r="H60" s="32">
        <f>+F60/$D$64</f>
        <v>561.37383681826475</v>
      </c>
      <c r="I60" s="32"/>
      <c r="J60" s="39"/>
      <c r="K60" s="40"/>
      <c r="L60" s="40"/>
      <c r="M60" s="40" t="s">
        <v>73</v>
      </c>
      <c r="N60" s="41">
        <v>0.01</v>
      </c>
      <c r="O60" s="37">
        <f>O58*N60</f>
        <v>22.88265617712069</v>
      </c>
      <c r="P60" s="37"/>
      <c r="Q60" s="38"/>
    </row>
    <row r="61" spans="1:17" ht="13.8" thickBot="1" x14ac:dyDescent="0.25">
      <c r="A61" s="29"/>
      <c r="B61" s="42"/>
      <c r="C61" s="42"/>
      <c r="D61" s="42"/>
      <c r="E61" s="42"/>
      <c r="F61" s="43"/>
      <c r="G61" s="21"/>
      <c r="H61" s="44"/>
      <c r="I61" s="32"/>
      <c r="J61" s="39"/>
      <c r="K61" s="45"/>
      <c r="M61" s="46" t="s">
        <v>74</v>
      </c>
      <c r="N61" s="47"/>
      <c r="O61" s="48">
        <f>SUM(O58:O60)</f>
        <v>2872.5221107074544</v>
      </c>
      <c r="P61" s="49"/>
      <c r="Q61" s="38"/>
    </row>
    <row r="62" spans="1:17" x14ac:dyDescent="0.25">
      <c r="B62" s="328" t="s">
        <v>75</v>
      </c>
      <c r="C62" s="328"/>
      <c r="D62" s="50">
        <v>1270</v>
      </c>
      <c r="E62" s="51"/>
      <c r="G62" s="21"/>
      <c r="H62" s="44"/>
      <c r="I62" s="52"/>
      <c r="J62" s="39"/>
      <c r="K62" s="45"/>
      <c r="L62" s="40"/>
      <c r="M62" s="40" t="s">
        <v>76</v>
      </c>
      <c r="N62" s="53">
        <v>0.25</v>
      </c>
      <c r="O62" s="37">
        <f>+O61*N62</f>
        <v>718.13052767686361</v>
      </c>
      <c r="P62" s="37"/>
      <c r="Q62" s="38"/>
    </row>
    <row r="63" spans="1:17" x14ac:dyDescent="0.25">
      <c r="B63" s="328" t="s">
        <v>77</v>
      </c>
      <c r="C63" s="328"/>
      <c r="D63" s="54">
        <v>1270</v>
      </c>
      <c r="E63" s="51"/>
      <c r="G63" s="21"/>
      <c r="H63" s="44"/>
      <c r="I63" s="52"/>
      <c r="J63" s="39"/>
      <c r="K63" s="45"/>
      <c r="L63" s="40"/>
      <c r="M63" s="329" t="s">
        <v>74</v>
      </c>
      <c r="N63" s="329"/>
      <c r="O63" s="37">
        <f>SUM(O61:O62)</f>
        <v>3590.6526383843179</v>
      </c>
      <c r="P63" s="37"/>
      <c r="Q63" s="38"/>
    </row>
    <row r="64" spans="1:17" ht="13.8" thickBot="1" x14ac:dyDescent="0.3">
      <c r="B64" s="330" t="s">
        <v>78</v>
      </c>
      <c r="C64" s="330"/>
      <c r="D64" s="50">
        <f>+D62/D63</f>
        <v>1</v>
      </c>
      <c r="E64" s="51"/>
      <c r="F64" s="55"/>
      <c r="G64" s="21"/>
      <c r="H64" s="44"/>
      <c r="I64" s="52"/>
      <c r="J64" s="39"/>
      <c r="K64" s="45"/>
      <c r="L64" s="329" t="s">
        <v>79</v>
      </c>
      <c r="M64" s="329"/>
      <c r="N64" s="53">
        <v>0.05</v>
      </c>
      <c r="O64" s="37">
        <f>+O63*N64</f>
        <v>179.5326319192159</v>
      </c>
      <c r="P64" s="37"/>
      <c r="Q64" s="38"/>
    </row>
    <row r="65" spans="2:17" ht="13.8" thickBot="1" x14ac:dyDescent="0.25">
      <c r="B65" s="330" t="s">
        <v>80</v>
      </c>
      <c r="C65" s="330"/>
      <c r="D65" s="56" t="s">
        <v>81</v>
      </c>
      <c r="E65" s="51"/>
      <c r="F65" s="55"/>
      <c r="G65" s="21"/>
      <c r="H65" s="44"/>
      <c r="I65" s="52"/>
      <c r="J65" s="39"/>
      <c r="K65" s="331" t="s">
        <v>82</v>
      </c>
      <c r="L65" s="332"/>
      <c r="M65" s="332"/>
      <c r="N65" s="333"/>
      <c r="O65" s="48">
        <f>SUM(O63:O64)</f>
        <v>3770.1852703035338</v>
      </c>
      <c r="P65" s="57" t="s">
        <v>83</v>
      </c>
      <c r="Q65" s="38"/>
    </row>
    <row r="66" spans="2:17" ht="13.8" thickBot="1" x14ac:dyDescent="0.25">
      <c r="C66" s="29" t="s">
        <v>34</v>
      </c>
      <c r="D66" s="58"/>
      <c r="E66" s="4" t="s">
        <v>84</v>
      </c>
      <c r="F66" s="59" t="s">
        <v>85</v>
      </c>
      <c r="G66" s="21"/>
      <c r="H66" s="44"/>
      <c r="I66" s="52"/>
      <c r="J66" s="60"/>
      <c r="K66" s="61"/>
      <c r="L66" s="316" t="s">
        <v>86</v>
      </c>
      <c r="M66" s="316"/>
      <c r="N66" s="316"/>
      <c r="O66" s="62">
        <f>+O65/D64</f>
        <v>3770.1852703035338</v>
      </c>
      <c r="P66" s="63">
        <f>+O66/D63</f>
        <v>2.9686498191366408</v>
      </c>
      <c r="Q66" s="64"/>
    </row>
    <row r="67" spans="2:17" ht="13.8" thickBot="1" x14ac:dyDescent="0.25">
      <c r="B67" s="317" t="s">
        <v>70</v>
      </c>
      <c r="C67" s="317"/>
      <c r="D67" s="317"/>
      <c r="E67" s="65">
        <f>+F67/F67</f>
        <v>1</v>
      </c>
      <c r="F67" s="66">
        <f>SUM(F59)</f>
        <v>2288.2656177120689</v>
      </c>
      <c r="G67" s="21">
        <f>+F67/$F$70</f>
        <v>0.8979639258901766</v>
      </c>
      <c r="H67" s="44"/>
      <c r="I67" s="52"/>
      <c r="K67" s="318"/>
      <c r="L67" s="319"/>
      <c r="M67" s="319"/>
      <c r="N67" s="319"/>
      <c r="O67" s="67"/>
      <c r="P67" s="68"/>
    </row>
    <row r="68" spans="2:17" ht="13.8" thickBot="1" x14ac:dyDescent="0.3">
      <c r="B68" s="320" t="s">
        <v>87</v>
      </c>
      <c r="C68" s="320"/>
      <c r="D68" s="320"/>
      <c r="E68" s="69">
        <v>0.02</v>
      </c>
      <c r="F68" s="66">
        <f>+F57*E68</f>
        <v>40.016726084367583</v>
      </c>
      <c r="G68" s="21">
        <f>+F68/$F$70</f>
        <v>1.5703411429971521E-2</v>
      </c>
      <c r="H68" s="32"/>
      <c r="I68" s="52"/>
      <c r="J68" s="70"/>
      <c r="O68" s="71"/>
      <c r="P68" s="30"/>
    </row>
    <row r="69" spans="2:17" ht="13.8" thickBot="1" x14ac:dyDescent="0.3">
      <c r="B69" s="321" t="s">
        <v>88</v>
      </c>
      <c r="C69" s="322"/>
      <c r="D69" s="72">
        <v>4</v>
      </c>
      <c r="E69" s="73">
        <v>55</v>
      </c>
      <c r="F69" s="66">
        <f>+E69*D69</f>
        <v>220</v>
      </c>
      <c r="G69" s="21">
        <f>+F69/$F$70</f>
        <v>8.6332662679851846E-2</v>
      </c>
      <c r="H69" s="32"/>
      <c r="I69" s="32"/>
      <c r="J69" s="23"/>
    </row>
    <row r="70" spans="2:17" ht="13.8" thickBot="1" x14ac:dyDescent="0.3">
      <c r="B70" s="323" t="s">
        <v>89</v>
      </c>
      <c r="C70" s="324"/>
      <c r="D70" s="324"/>
      <c r="E70" s="325"/>
      <c r="F70" s="43">
        <f>SUM(F67:F69)</f>
        <v>2548.2823437964366</v>
      </c>
      <c r="G70" s="21">
        <f>+F70/$F$70</f>
        <v>1</v>
      </c>
      <c r="H70" s="327"/>
      <c r="I70" s="32"/>
      <c r="J70" s="23"/>
    </row>
    <row r="71" spans="2:17" x14ac:dyDescent="0.25">
      <c r="C71" s="75"/>
      <c r="D71" s="75"/>
      <c r="E71" s="76"/>
      <c r="F71" s="66"/>
      <c r="G71" s="21"/>
      <c r="H71" s="327"/>
      <c r="I71" s="74"/>
      <c r="J71" s="6"/>
    </row>
    <row r="72" spans="2:17" ht="13.8" thickBot="1" x14ac:dyDescent="0.3">
      <c r="B72" s="311" t="s">
        <v>90</v>
      </c>
      <c r="C72" s="311"/>
      <c r="D72" s="311"/>
      <c r="E72" s="311"/>
      <c r="F72" s="311"/>
      <c r="G72" s="21"/>
      <c r="H72" s="78"/>
      <c r="I72" s="74"/>
      <c r="J72" s="6"/>
    </row>
    <row r="73" spans="2:17" ht="13.8" thickBot="1" x14ac:dyDescent="0.3">
      <c r="B73" s="79" t="s">
        <v>91</v>
      </c>
      <c r="C73" s="80">
        <f>+F57</f>
        <v>2000.8363042183792</v>
      </c>
      <c r="D73" s="80">
        <f>+D62</f>
        <v>1270</v>
      </c>
      <c r="E73" s="81">
        <f>+C73/D73</f>
        <v>1.5754616568648654</v>
      </c>
      <c r="F73" s="21"/>
      <c r="G73" s="78"/>
      <c r="H73" s="23"/>
      <c r="I73" s="78"/>
      <c r="J73" s="6"/>
    </row>
    <row r="74" spans="2:17" x14ac:dyDescent="0.25">
      <c r="B74" s="82"/>
      <c r="C74" s="83"/>
      <c r="D74" s="84"/>
      <c r="E74" s="66"/>
      <c r="F74" s="21"/>
      <c r="G74" s="78"/>
      <c r="H74" s="23"/>
      <c r="I74" s="23"/>
      <c r="J74" s="6"/>
    </row>
    <row r="75" spans="2:17" x14ac:dyDescent="0.25">
      <c r="B75" s="79" t="s">
        <v>92</v>
      </c>
      <c r="C75" s="80">
        <f>SUM(F67:F68)</f>
        <v>2328.2823437964366</v>
      </c>
      <c r="D75" s="80">
        <f>+D62</f>
        <v>1270</v>
      </c>
      <c r="E75" s="85">
        <f>+C75/D75</f>
        <v>1.8332931840916824</v>
      </c>
      <c r="F75" s="21"/>
      <c r="G75" s="78"/>
      <c r="H75" s="23"/>
      <c r="I75" s="23"/>
      <c r="J75" s="6"/>
    </row>
    <row r="76" spans="2:17" x14ac:dyDescent="0.25">
      <c r="B76" s="79"/>
      <c r="C76" s="80"/>
      <c r="D76" s="80"/>
      <c r="E76" s="85"/>
      <c r="F76" s="21"/>
      <c r="G76" s="78"/>
      <c r="H76" s="23"/>
      <c r="I76" s="23"/>
      <c r="J76" s="6"/>
    </row>
    <row r="77" spans="2:17" ht="13.8" thickBot="1" x14ac:dyDescent="0.3">
      <c r="B77" s="79" t="s">
        <v>93</v>
      </c>
      <c r="C77" s="80">
        <f>+F69</f>
        <v>220</v>
      </c>
      <c r="D77" s="80">
        <f>+D62</f>
        <v>1270</v>
      </c>
      <c r="E77" s="85">
        <f>+C77/D77</f>
        <v>0.17322834645669291</v>
      </c>
      <c r="F77" s="21"/>
      <c r="G77" s="78"/>
      <c r="H77" s="23"/>
      <c r="I77" s="23"/>
      <c r="J77" s="6"/>
    </row>
    <row r="78" spans="2:17" ht="13.8" thickBot="1" x14ac:dyDescent="0.3">
      <c r="B78" s="79" t="s">
        <v>94</v>
      </c>
      <c r="C78" s="80">
        <f>+F60</f>
        <v>561.37383681826475</v>
      </c>
      <c r="D78" s="80">
        <f>+D77</f>
        <v>1270</v>
      </c>
      <c r="E78" s="81">
        <f>+C78/D78</f>
        <v>0.44202664316398799</v>
      </c>
      <c r="F78" s="21"/>
      <c r="G78" s="78"/>
      <c r="H78" s="23"/>
      <c r="I78" s="23"/>
      <c r="J78" s="6"/>
    </row>
    <row r="79" spans="2:17" ht="13.8" thickBot="1" x14ac:dyDescent="0.3">
      <c r="B79" s="42"/>
      <c r="C79" s="43"/>
      <c r="D79" s="43"/>
      <c r="E79" s="85"/>
      <c r="F79" s="21"/>
      <c r="G79" s="78"/>
      <c r="H79" s="23"/>
      <c r="I79" s="23"/>
      <c r="J79" s="6"/>
    </row>
    <row r="80" spans="2:17" ht="13.8" thickBot="1" x14ac:dyDescent="0.3">
      <c r="B80" s="79" t="s">
        <v>95</v>
      </c>
      <c r="C80" s="80">
        <f>+F58</f>
        <v>287.42931349368979</v>
      </c>
      <c r="D80" s="80">
        <f>+D78</f>
        <v>1270</v>
      </c>
      <c r="E80" s="81">
        <f>+C80/D80</f>
        <v>0.22632229408951951</v>
      </c>
      <c r="F80" s="21"/>
      <c r="G80" s="78"/>
      <c r="H80" s="23"/>
      <c r="I80" s="23"/>
      <c r="J80" s="23"/>
    </row>
    <row r="81" spans="1:10" ht="13.8" thickBot="1" x14ac:dyDescent="0.3">
      <c r="B81" s="42"/>
      <c r="C81" s="43"/>
      <c r="D81" s="43"/>
      <c r="E81" s="85"/>
      <c r="F81" s="21"/>
      <c r="G81" s="78"/>
      <c r="H81" s="23"/>
      <c r="I81" s="23"/>
    </row>
    <row r="82" spans="1:10" ht="13.8" thickBot="1" x14ac:dyDescent="0.3">
      <c r="B82" s="312" t="s">
        <v>96</v>
      </c>
      <c r="C82" s="313"/>
      <c r="D82" s="314"/>
      <c r="E82" s="81">
        <f>+E73+E78</f>
        <v>2.0174883000288535</v>
      </c>
      <c r="G82" s="21"/>
      <c r="H82" s="78"/>
      <c r="I82" s="23"/>
      <c r="J82" s="85"/>
    </row>
    <row r="83" spans="1:10" x14ac:dyDescent="0.25">
      <c r="I83" s="78"/>
      <c r="J83" s="6"/>
    </row>
    <row r="84" spans="1:10" ht="13.8" thickBot="1" x14ac:dyDescent="0.3">
      <c r="B84" s="311" t="s">
        <v>97</v>
      </c>
      <c r="C84" s="311"/>
      <c r="D84" s="311"/>
      <c r="E84" s="311"/>
      <c r="F84" s="311"/>
      <c r="G84" s="21"/>
      <c r="H84" s="78"/>
      <c r="J84" s="6"/>
    </row>
    <row r="85" spans="1:10" ht="13.8" thickBot="1" x14ac:dyDescent="0.3">
      <c r="B85" s="79" t="s">
        <v>91</v>
      </c>
      <c r="C85" s="80">
        <f>+C73</f>
        <v>2000.8363042183792</v>
      </c>
      <c r="D85" s="80">
        <f>+D64</f>
        <v>1</v>
      </c>
      <c r="E85" s="81">
        <f>+C85/D85</f>
        <v>2000.8363042183792</v>
      </c>
      <c r="F85" s="21"/>
      <c r="G85" s="78"/>
      <c r="H85" s="23"/>
      <c r="I85" s="78"/>
      <c r="J85" s="6"/>
    </row>
    <row r="86" spans="1:10" x14ac:dyDescent="0.25">
      <c r="B86" s="82"/>
      <c r="C86" s="83"/>
      <c r="D86" s="84"/>
      <c r="E86" s="66"/>
      <c r="F86" s="21"/>
      <c r="G86" s="78"/>
      <c r="H86" s="23"/>
      <c r="I86" s="23"/>
      <c r="J86" s="6"/>
    </row>
    <row r="87" spans="1:10" x14ac:dyDescent="0.25">
      <c r="B87" s="79" t="s">
        <v>92</v>
      </c>
      <c r="C87" s="80">
        <f>+C75</f>
        <v>2328.2823437964366</v>
      </c>
      <c r="D87" s="80">
        <f>+D64</f>
        <v>1</v>
      </c>
      <c r="E87" s="85">
        <f>+C87/D87</f>
        <v>2328.2823437964366</v>
      </c>
      <c r="F87" s="21"/>
      <c r="G87" s="78"/>
      <c r="H87" s="23"/>
      <c r="I87" s="23"/>
      <c r="J87" s="6"/>
    </row>
    <row r="88" spans="1:10" x14ac:dyDescent="0.25">
      <c r="B88" s="79"/>
      <c r="C88" s="80"/>
      <c r="D88" s="80"/>
      <c r="E88" s="85"/>
      <c r="F88" s="21"/>
      <c r="G88" s="78"/>
      <c r="H88" s="23"/>
      <c r="I88" s="23"/>
      <c r="J88" s="6"/>
    </row>
    <row r="89" spans="1:10" ht="13.8" thickBot="1" x14ac:dyDescent="0.3">
      <c r="B89" s="79" t="s">
        <v>94</v>
      </c>
      <c r="C89" s="80">
        <f>+C77</f>
        <v>220</v>
      </c>
      <c r="D89" s="80">
        <f>+D64</f>
        <v>1</v>
      </c>
      <c r="E89" s="85">
        <f>+C89/D89</f>
        <v>220</v>
      </c>
      <c r="F89" s="87"/>
      <c r="G89" s="77"/>
      <c r="H89" s="5"/>
      <c r="I89" s="23"/>
    </row>
    <row r="90" spans="1:10" ht="13.8" thickBot="1" x14ac:dyDescent="0.3">
      <c r="B90" s="79" t="s">
        <v>94</v>
      </c>
      <c r="C90" s="80">
        <f>+C78</f>
        <v>561.37383681826475</v>
      </c>
      <c r="D90" s="80">
        <f>+D89</f>
        <v>1</v>
      </c>
      <c r="E90" s="81">
        <f>+C90/D90</f>
        <v>561.37383681826475</v>
      </c>
      <c r="F90" s="86"/>
      <c r="G90" s="77"/>
      <c r="H90" s="5"/>
      <c r="I90" s="5"/>
    </row>
    <row r="91" spans="1:10" x14ac:dyDescent="0.25">
      <c r="I91" s="5"/>
    </row>
    <row r="92" spans="1:10" x14ac:dyDescent="0.25">
      <c r="A92" s="315"/>
      <c r="B92" s="315"/>
      <c r="C92" s="88"/>
      <c r="D92" s="88"/>
      <c r="E92" s="89"/>
      <c r="G92" s="90"/>
    </row>
    <row r="93" spans="1:10" x14ac:dyDescent="0.25">
      <c r="A93" s="24"/>
      <c r="B93" s="91"/>
      <c r="C93" s="92"/>
      <c r="D93" s="92"/>
      <c r="E93" s="93"/>
      <c r="G93" s="90"/>
    </row>
    <row r="94" spans="1:10" x14ac:dyDescent="0.25">
      <c r="A94" s="24"/>
      <c r="B94" s="91"/>
      <c r="C94" s="94"/>
      <c r="D94" s="94"/>
      <c r="E94" s="24"/>
      <c r="G94" s="90"/>
    </row>
    <row r="95" spans="1:10" x14ac:dyDescent="0.25">
      <c r="A95" s="24"/>
      <c r="B95" s="91"/>
      <c r="C95" s="95"/>
      <c r="D95" s="95"/>
      <c r="E95" s="24"/>
      <c r="G95" s="90"/>
    </row>
  </sheetData>
  <mergeCells count="30">
    <mergeCell ref="A4:H4"/>
    <mergeCell ref="A5:H5"/>
    <mergeCell ref="F6:G6"/>
    <mergeCell ref="K27:L27"/>
    <mergeCell ref="K33:L33"/>
    <mergeCell ref="K34:L34"/>
    <mergeCell ref="B57:E57"/>
    <mergeCell ref="B58:E58"/>
    <mergeCell ref="K58:N58"/>
    <mergeCell ref="B59:E59"/>
    <mergeCell ref="L59:N59"/>
    <mergeCell ref="C60:E60"/>
    <mergeCell ref="H70:H71"/>
    <mergeCell ref="B62:C62"/>
    <mergeCell ref="B63:C63"/>
    <mergeCell ref="M63:N63"/>
    <mergeCell ref="B64:C64"/>
    <mergeCell ref="L64:M64"/>
    <mergeCell ref="B65:C65"/>
    <mergeCell ref="K65:N65"/>
    <mergeCell ref="B72:F72"/>
    <mergeCell ref="B82:D82"/>
    <mergeCell ref="B84:F84"/>
    <mergeCell ref="A92:B92"/>
    <mergeCell ref="L66:N66"/>
    <mergeCell ref="B67:D67"/>
    <mergeCell ref="K67:N67"/>
    <mergeCell ref="B68:D68"/>
    <mergeCell ref="B69:C69"/>
    <mergeCell ref="B70:E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DD0D-85E1-45E0-B6D6-3256FEDDA72D}">
  <dimension ref="A1:AK43"/>
  <sheetViews>
    <sheetView topLeftCell="A13" workbookViewId="0">
      <selection activeCell="L24" sqref="L24"/>
    </sheetView>
  </sheetViews>
  <sheetFormatPr baseColWidth="10" defaultColWidth="8.44140625" defaultRowHeight="10.199999999999999" x14ac:dyDescent="0.2"/>
  <cols>
    <col min="1" max="1" width="7.5546875" style="96" customWidth="1"/>
    <col min="2" max="2" width="7.6640625" style="96" bestFit="1" customWidth="1"/>
    <col min="3" max="3" width="39.33203125" style="96" customWidth="1"/>
    <col min="4" max="4" width="10" style="96" bestFit="1" customWidth="1"/>
    <col min="5" max="5" width="9.44140625" style="96" bestFit="1" customWidth="1"/>
    <col min="6" max="6" width="11.6640625" style="140" customWidth="1"/>
    <col min="7" max="7" width="8.6640625" style="141" bestFit="1" customWidth="1"/>
    <col min="8" max="8" width="10.33203125" style="142" bestFit="1" customWidth="1"/>
    <col min="9" max="16384" width="8.44140625" style="96"/>
  </cols>
  <sheetData>
    <row r="1" spans="2:8" ht="36" customHeight="1" thickBot="1" x14ac:dyDescent="0.4">
      <c r="B1" s="352"/>
      <c r="C1" s="353"/>
      <c r="D1" s="353"/>
      <c r="E1" s="353"/>
      <c r="F1" s="353"/>
      <c r="G1" s="353"/>
      <c r="H1" s="354"/>
    </row>
    <row r="2" spans="2:8" ht="19.5" customHeight="1" thickBot="1" x14ac:dyDescent="0.25">
      <c r="B2" s="355" t="s">
        <v>98</v>
      </c>
      <c r="C2" s="355"/>
      <c r="D2" s="355"/>
      <c r="E2" s="355"/>
      <c r="F2" s="355"/>
      <c r="G2" s="355"/>
      <c r="H2" s="355"/>
    </row>
    <row r="3" spans="2:8" ht="19.5" customHeight="1" thickTop="1" x14ac:dyDescent="0.2">
      <c r="B3" s="356" t="s">
        <v>99</v>
      </c>
      <c r="C3" s="356"/>
      <c r="D3" s="356"/>
      <c r="E3" s="356"/>
      <c r="F3" s="356"/>
      <c r="G3" s="356"/>
      <c r="H3" s="356"/>
    </row>
    <row r="4" spans="2:8" ht="19.5" customHeight="1" x14ac:dyDescent="0.2">
      <c r="B4" s="97"/>
      <c r="C4" s="97"/>
      <c r="D4" s="97"/>
      <c r="E4" s="97"/>
      <c r="F4" s="357" t="s">
        <v>53</v>
      </c>
      <c r="G4" s="357"/>
      <c r="H4" s="12"/>
    </row>
    <row r="5" spans="2:8" ht="30" customHeight="1" x14ac:dyDescent="0.2">
      <c r="B5" s="98" t="s">
        <v>86</v>
      </c>
      <c r="C5" s="98" t="s">
        <v>55</v>
      </c>
      <c r="D5" s="98" t="s">
        <v>86</v>
      </c>
      <c r="E5" s="99" t="s">
        <v>100</v>
      </c>
      <c r="F5" s="99" t="s">
        <v>101</v>
      </c>
      <c r="G5" s="99" t="s">
        <v>102</v>
      </c>
      <c r="H5" s="99" t="s">
        <v>103</v>
      </c>
    </row>
    <row r="6" spans="2:8" s="100" customFormat="1" ht="20.100000000000001" customHeight="1" x14ac:dyDescent="0.2">
      <c r="B6" s="101">
        <v>1</v>
      </c>
      <c r="C6" s="100" t="s">
        <v>123</v>
      </c>
      <c r="D6" s="102">
        <f>+B6</f>
        <v>1</v>
      </c>
      <c r="E6" s="102">
        <f>+COSTO!H57</f>
        <v>2000.8363042183792</v>
      </c>
      <c r="F6" s="103">
        <f>+D6*E6</f>
        <v>2000.8363042183792</v>
      </c>
      <c r="G6" s="104">
        <f>+F6/$F$23</f>
        <v>0.54800909375291196</v>
      </c>
      <c r="H6" s="105" t="s">
        <v>104</v>
      </c>
    </row>
    <row r="7" spans="2:8" s="100" customFormat="1" ht="20.100000000000001" customHeight="1" x14ac:dyDescent="0.2">
      <c r="B7" s="101"/>
      <c r="D7" s="102"/>
      <c r="E7" s="102"/>
      <c r="F7" s="103"/>
      <c r="G7" s="104"/>
      <c r="H7" s="105"/>
    </row>
    <row r="8" spans="2:8" ht="30" customHeight="1" x14ac:dyDescent="0.2">
      <c r="B8" s="98" t="s">
        <v>86</v>
      </c>
      <c r="C8" s="98" t="s">
        <v>24</v>
      </c>
      <c r="D8" s="98" t="s">
        <v>86</v>
      </c>
      <c r="E8" s="99" t="s">
        <v>100</v>
      </c>
      <c r="F8" s="99" t="s">
        <v>101</v>
      </c>
      <c r="G8" s="99" t="s">
        <v>102</v>
      </c>
      <c r="H8" s="99" t="s">
        <v>103</v>
      </c>
    </row>
    <row r="9" spans="2:8" s="100" customFormat="1" ht="20.100000000000001" customHeight="1" x14ac:dyDescent="0.2">
      <c r="B9" s="101">
        <v>1</v>
      </c>
      <c r="C9" s="100" t="s">
        <v>105</v>
      </c>
      <c r="D9" s="102">
        <f>+B9</f>
        <v>1</v>
      </c>
      <c r="E9" s="102">
        <f>+COSTO!H58</f>
        <v>287.42931349368979</v>
      </c>
      <c r="F9" s="103">
        <f>+D9*E9</f>
        <v>287.42931349368979</v>
      </c>
      <c r="G9" s="104">
        <f>+F9/$F$23</f>
        <v>7.8724020187763893E-2</v>
      </c>
      <c r="H9" s="105" t="s">
        <v>106</v>
      </c>
    </row>
    <row r="10" spans="2:8" s="106" customFormat="1" ht="17.25" customHeight="1" x14ac:dyDescent="0.25">
      <c r="B10" s="107"/>
      <c r="C10" s="108"/>
      <c r="D10" s="109"/>
      <c r="E10" s="109"/>
      <c r="F10" s="110"/>
      <c r="G10" s="111"/>
      <c r="H10" s="112"/>
    </row>
    <row r="11" spans="2:8" s="106" customFormat="1" ht="12" x14ac:dyDescent="0.25">
      <c r="B11" s="101"/>
      <c r="C11" s="329" t="s">
        <v>107</v>
      </c>
      <c r="D11" s="329"/>
      <c r="E11" s="102"/>
      <c r="F11" s="37">
        <f>SUM(F6)</f>
        <v>2000.8363042183792</v>
      </c>
      <c r="G11" s="113">
        <f>+F11/$F$23</f>
        <v>0.54800909375291196</v>
      </c>
      <c r="H11" s="105"/>
    </row>
    <row r="12" spans="2:8" s="106" customFormat="1" ht="12.6" thickBot="1" x14ac:dyDescent="0.3">
      <c r="B12" s="101"/>
      <c r="C12" s="329" t="s">
        <v>108</v>
      </c>
      <c r="D12" s="329"/>
      <c r="E12" s="102"/>
      <c r="F12" s="114">
        <f>SUM(F9)</f>
        <v>287.42931349368979</v>
      </c>
      <c r="G12" s="113">
        <f>+F12/$F$23</f>
        <v>7.8724020187763893E-2</v>
      </c>
      <c r="H12" s="105"/>
    </row>
    <row r="13" spans="2:8" s="106" customFormat="1" ht="12.6" thickTop="1" x14ac:dyDescent="0.25">
      <c r="B13" s="101"/>
      <c r="C13" s="332" t="s">
        <v>69</v>
      </c>
      <c r="D13" s="332"/>
      <c r="E13" s="332"/>
      <c r="F13" s="49">
        <f>SUM(F11:F12)</f>
        <v>2288.2656177120689</v>
      </c>
      <c r="G13" s="113">
        <f>+F13/$F$23</f>
        <v>0.62673311394067588</v>
      </c>
      <c r="H13" s="105"/>
    </row>
    <row r="14" spans="2:8" s="106" customFormat="1" ht="12" x14ac:dyDescent="0.25">
      <c r="C14" s="45"/>
      <c r="D14" s="45"/>
      <c r="E14" s="115"/>
      <c r="F14" s="116"/>
      <c r="G14" s="113"/>
    </row>
    <row r="15" spans="2:8" s="106" customFormat="1" ht="12" x14ac:dyDescent="0.25">
      <c r="B15" s="329" t="s">
        <v>69</v>
      </c>
      <c r="C15" s="329"/>
      <c r="D15" s="329"/>
      <c r="E15" s="117" t="s">
        <v>109</v>
      </c>
      <c r="F15" s="37">
        <f>+F13</f>
        <v>2288.2656177120689</v>
      </c>
      <c r="G15" s="113">
        <f t="shared" ref="G15:G23" si="0">+F15/$F$23</f>
        <v>0.62673311394067588</v>
      </c>
      <c r="H15" s="118"/>
    </row>
    <row r="16" spans="2:8" s="106" customFormat="1" ht="12.75" customHeight="1" thickBot="1" x14ac:dyDescent="0.3">
      <c r="B16" s="40"/>
      <c r="C16" s="329" t="s">
        <v>71</v>
      </c>
      <c r="D16" s="329"/>
      <c r="E16" s="119"/>
      <c r="F16" s="37">
        <f>+COSTO!H60</f>
        <v>561.37383681826475</v>
      </c>
      <c r="G16" s="113">
        <f t="shared" si="0"/>
        <v>0.15375469093737293</v>
      </c>
      <c r="H16" s="118"/>
    </row>
    <row r="17" spans="1:37" s="106" customFormat="1" ht="12.75" hidden="1" customHeight="1" x14ac:dyDescent="0.25">
      <c r="B17" s="40"/>
      <c r="C17" s="329" t="s">
        <v>110</v>
      </c>
      <c r="D17" s="329"/>
      <c r="E17" s="120">
        <v>0</v>
      </c>
      <c r="F17" s="37">
        <f>+(F15+F16)*E17</f>
        <v>0</v>
      </c>
      <c r="G17" s="113">
        <f t="shared" si="0"/>
        <v>0</v>
      </c>
      <c r="H17" s="118"/>
    </row>
    <row r="18" spans="1:37" s="106" customFormat="1" ht="12.6" hidden="1" thickBot="1" x14ac:dyDescent="0.3">
      <c r="B18" s="40"/>
      <c r="C18" s="329" t="s">
        <v>111</v>
      </c>
      <c r="D18" s="329"/>
      <c r="E18" s="120">
        <v>0</v>
      </c>
      <c r="F18" s="37">
        <f>+F16*E18</f>
        <v>0</v>
      </c>
      <c r="G18" s="113">
        <f t="shared" si="0"/>
        <v>0</v>
      </c>
      <c r="H18" s="118"/>
    </row>
    <row r="19" spans="1:37" s="106" customFormat="1" ht="12.6" thickBot="1" x14ac:dyDescent="0.3">
      <c r="B19" s="45"/>
      <c r="C19" s="350"/>
      <c r="D19" s="350"/>
      <c r="E19" s="351"/>
      <c r="F19" s="48">
        <f>SUM(F15:F18)</f>
        <v>2849.6394545303338</v>
      </c>
      <c r="G19" s="121">
        <f>+F19/$F$21</f>
        <v>0.8</v>
      </c>
      <c r="H19" s="118"/>
    </row>
    <row r="20" spans="1:37" s="106" customFormat="1" ht="12" x14ac:dyDescent="0.25">
      <c r="B20" s="45"/>
      <c r="C20" s="329" t="s">
        <v>76</v>
      </c>
      <c r="D20" s="329"/>
      <c r="E20" s="53">
        <v>0.25</v>
      </c>
      <c r="F20" s="37">
        <f>+F19*E20</f>
        <v>712.40986363258344</v>
      </c>
      <c r="G20" s="113">
        <f t="shared" si="0"/>
        <v>0.1951219512195122</v>
      </c>
      <c r="H20" s="118"/>
    </row>
    <row r="21" spans="1:37" s="106" customFormat="1" ht="12" x14ac:dyDescent="0.25">
      <c r="B21" s="45"/>
      <c r="C21" s="329" t="s">
        <v>74</v>
      </c>
      <c r="D21" s="329"/>
      <c r="E21" s="329"/>
      <c r="F21" s="37">
        <f>SUM(F19:F20)</f>
        <v>3562.0493181629172</v>
      </c>
      <c r="G21" s="113">
        <f t="shared" si="0"/>
        <v>0.97560975609756095</v>
      </c>
      <c r="H21" s="118"/>
    </row>
    <row r="22" spans="1:37" s="106" customFormat="1" ht="12.6" thickBot="1" x14ac:dyDescent="0.3">
      <c r="B22" s="45"/>
      <c r="C22" s="329" t="s">
        <v>79</v>
      </c>
      <c r="D22" s="329"/>
      <c r="E22" s="53">
        <v>2.5000000000000001E-2</v>
      </c>
      <c r="F22" s="37">
        <f>+F21*E22</f>
        <v>89.05123295407293</v>
      </c>
      <c r="G22" s="113">
        <f t="shared" si="0"/>
        <v>2.4390243902439025E-2</v>
      </c>
      <c r="H22" s="118"/>
    </row>
    <row r="23" spans="1:37" s="106" customFormat="1" ht="12.6" thickBot="1" x14ac:dyDescent="0.3">
      <c r="B23" s="45"/>
      <c r="C23" s="332" t="s">
        <v>82</v>
      </c>
      <c r="D23" s="332"/>
      <c r="E23" s="333"/>
      <c r="F23" s="48">
        <f>SUM(F21:F22)</f>
        <v>3651.1005511169901</v>
      </c>
      <c r="G23" s="113">
        <f t="shared" si="0"/>
        <v>1</v>
      </c>
      <c r="H23" s="122"/>
    </row>
    <row r="24" spans="1:37" s="106" customFormat="1" ht="12.6" thickBot="1" x14ac:dyDescent="0.3">
      <c r="B24" s="45"/>
      <c r="C24" s="123"/>
      <c r="D24" s="123"/>
      <c r="E24" s="123"/>
      <c r="F24" s="49"/>
      <c r="G24" s="124"/>
      <c r="H24" s="122"/>
    </row>
    <row r="25" spans="1:37" s="125" customFormat="1" ht="19.5" customHeight="1" thickBot="1" x14ac:dyDescent="0.3">
      <c r="A25" s="347"/>
      <c r="B25" s="348"/>
      <c r="C25" s="348"/>
      <c r="D25" s="348"/>
      <c r="E25" s="348"/>
      <c r="F25" s="348"/>
      <c r="G25" s="348"/>
      <c r="H25" s="348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</row>
    <row r="26" spans="1:37" s="106" customFormat="1" ht="19.5" customHeight="1" thickBot="1" x14ac:dyDescent="0.3">
      <c r="F26" s="126"/>
      <c r="G26" s="127"/>
      <c r="H26" s="118"/>
    </row>
    <row r="27" spans="1:37" s="106" customFormat="1" ht="13.5" customHeight="1" thickBot="1" x14ac:dyDescent="0.3">
      <c r="B27" s="45"/>
      <c r="C27" s="332" t="s">
        <v>82</v>
      </c>
      <c r="D27" s="332"/>
      <c r="E27" s="333"/>
      <c r="F27" s="48">
        <f>+F23</f>
        <v>3651.1005511169901</v>
      </c>
      <c r="H27" s="118"/>
    </row>
    <row r="28" spans="1:37" s="106" customFormat="1" ht="13.5" customHeight="1" x14ac:dyDescent="0.25">
      <c r="B28" s="45"/>
      <c r="C28" s="344" t="s">
        <v>112</v>
      </c>
      <c r="D28" s="344" t="s">
        <v>113</v>
      </c>
      <c r="E28" s="53">
        <v>0.1</v>
      </c>
      <c r="F28" s="128">
        <f>+F27*E28</f>
        <v>365.11005511169901</v>
      </c>
      <c r="G28" s="129" t="s">
        <v>114</v>
      </c>
      <c r="H28" s="118" t="s">
        <v>115</v>
      </c>
    </row>
    <row r="29" spans="1:37" s="106" customFormat="1" ht="13.5" customHeight="1" x14ac:dyDescent="0.25">
      <c r="B29" s="45"/>
      <c r="C29" s="345" t="s">
        <v>116</v>
      </c>
      <c r="D29" s="345"/>
      <c r="E29" s="345"/>
      <c r="F29" s="128">
        <f>SUM(F27:F28)</f>
        <v>4016.2106062286894</v>
      </c>
      <c r="G29" s="129">
        <f>+F29/$F$31</f>
        <v>0.68965517241379304</v>
      </c>
      <c r="H29" s="130">
        <f>1-(F29/F31)</f>
        <v>0.31034482758620696</v>
      </c>
    </row>
    <row r="30" spans="1:37" s="106" customFormat="1" ht="12" x14ac:dyDescent="0.25">
      <c r="B30" s="108"/>
      <c r="C30" s="344" t="s">
        <v>117</v>
      </c>
      <c r="D30" s="344"/>
      <c r="E30" s="53">
        <v>0.45</v>
      </c>
      <c r="F30" s="37">
        <f>+F29*E30</f>
        <v>1807.2947728029103</v>
      </c>
      <c r="G30" s="124"/>
      <c r="H30" s="131"/>
    </row>
    <row r="31" spans="1:37" s="106" customFormat="1" ht="12.6" thickBot="1" x14ac:dyDescent="0.3">
      <c r="B31" s="108"/>
      <c r="C31" s="344" t="s">
        <v>118</v>
      </c>
      <c r="D31" s="344"/>
      <c r="E31" s="132"/>
      <c r="F31" s="37">
        <f>SUM(F29:F30)</f>
        <v>5823.5053790315997</v>
      </c>
      <c r="G31" s="124"/>
      <c r="H31" s="122"/>
    </row>
    <row r="32" spans="1:37" s="106" customFormat="1" ht="12.6" thickBot="1" x14ac:dyDescent="0.3">
      <c r="B32" s="108"/>
      <c r="C32" s="346" t="s">
        <v>119</v>
      </c>
      <c r="D32" s="346"/>
      <c r="E32" s="133">
        <v>0.13</v>
      </c>
      <c r="F32" s="134">
        <f>+F31*(1+E32)</f>
        <v>6580.5610783057073</v>
      </c>
      <c r="G32" s="124"/>
      <c r="H32" s="122"/>
    </row>
    <row r="33" spans="1:37" s="106" customFormat="1" ht="12.6" thickBot="1" x14ac:dyDescent="0.3">
      <c r="A33" s="347"/>
      <c r="B33" s="348"/>
      <c r="C33" s="348"/>
      <c r="D33" s="348"/>
      <c r="E33" s="348"/>
      <c r="F33" s="348"/>
      <c r="G33" s="348"/>
      <c r="H33" s="348"/>
    </row>
    <row r="34" spans="1:37" s="106" customFormat="1" ht="12" x14ac:dyDescent="0.25">
      <c r="B34" s="108"/>
      <c r="C34" s="349" t="s">
        <v>120</v>
      </c>
      <c r="D34" s="349"/>
      <c r="E34" s="135">
        <v>0.65</v>
      </c>
      <c r="F34" s="136">
        <f>+F31/0.65</f>
        <v>8959.2390446639984</v>
      </c>
      <c r="G34" s="124"/>
      <c r="H34" s="122"/>
    </row>
    <row r="35" spans="1:37" s="106" customFormat="1" ht="12" x14ac:dyDescent="0.25">
      <c r="B35" s="108"/>
      <c r="C35" s="344" t="s">
        <v>121</v>
      </c>
      <c r="D35" s="344"/>
      <c r="E35" s="135">
        <v>0.13</v>
      </c>
      <c r="F35" s="136">
        <f>+F34*1.13</f>
        <v>10123.940120470317</v>
      </c>
      <c r="G35" s="124"/>
      <c r="H35" s="122"/>
    </row>
    <row r="36" spans="1:37" s="106" customFormat="1" ht="12.6" thickBot="1" x14ac:dyDescent="0.3">
      <c r="C36" s="316"/>
      <c r="D36" s="316"/>
      <c r="F36" s="137"/>
      <c r="G36" s="138"/>
      <c r="H36" s="118"/>
    </row>
    <row r="37" spans="1:37" s="125" customFormat="1" ht="19.5" customHeight="1" thickBot="1" x14ac:dyDescent="0.35">
      <c r="A37" s="342" t="s">
        <v>122</v>
      </c>
      <c r="B37" s="343"/>
      <c r="C37" s="343"/>
      <c r="D37" s="343"/>
      <c r="E37" s="343"/>
      <c r="F37" s="343"/>
      <c r="G37" s="343"/>
      <c r="H37" s="343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</row>
    <row r="38" spans="1:37" s="106" customFormat="1" ht="12" x14ac:dyDescent="0.25">
      <c r="F38" s="139"/>
      <c r="G38" s="138"/>
      <c r="H38" s="118"/>
    </row>
    <row r="43" spans="1:37" ht="12" x14ac:dyDescent="0.25">
      <c r="H43" s="110"/>
    </row>
  </sheetData>
  <mergeCells count="28">
    <mergeCell ref="B1:H1"/>
    <mergeCell ref="B2:H2"/>
    <mergeCell ref="B3:H3"/>
    <mergeCell ref="F4:G4"/>
    <mergeCell ref="C11:D11"/>
    <mergeCell ref="C12:D12"/>
    <mergeCell ref="C13:E13"/>
    <mergeCell ref="B15:D15"/>
    <mergeCell ref="C16:D16"/>
    <mergeCell ref="C17:D17"/>
    <mergeCell ref="C18:D18"/>
    <mergeCell ref="C19:E19"/>
    <mergeCell ref="C20:D20"/>
    <mergeCell ref="C21:E21"/>
    <mergeCell ref="C22:D22"/>
    <mergeCell ref="C23:E23"/>
    <mergeCell ref="A25:H25"/>
    <mergeCell ref="C27:E27"/>
    <mergeCell ref="C34:D34"/>
    <mergeCell ref="C35:D35"/>
    <mergeCell ref="C36:D36"/>
    <mergeCell ref="A37:H37"/>
    <mergeCell ref="C28:D28"/>
    <mergeCell ref="C29:E29"/>
    <mergeCell ref="C30:D30"/>
    <mergeCell ref="C31:D31"/>
    <mergeCell ref="C32:D32"/>
    <mergeCell ref="A33:H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945732-0FF9-4212-A202-09ED64E5B9A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C7175ABA-116E-4C19-AA16-5C5626F12E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973ACA-10AA-4F43-BA5F-A0545C8E7A00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DD9D86C-A2D6-4BAC-A2F7-05F204815E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COSTO</vt:lpstr>
      <vt:lpstr>PRECIO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Valery Cerdas</cp:lastModifiedBy>
  <cp:lastPrinted>2025-04-07T22:25:48Z</cp:lastPrinted>
  <dcterms:created xsi:type="dcterms:W3CDTF">2012-05-10T22:32:20Z</dcterms:created>
  <dcterms:modified xsi:type="dcterms:W3CDTF">2026-05-13T16:16:09Z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376800.000000000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
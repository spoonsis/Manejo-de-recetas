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A9CC4030-5784-4DBB-9F8F-C79CD956A862}" xr6:coauthVersionLast="47" xr6:coauthVersionMax="47" xr10:uidLastSave="{D68F839F-DD05-4831-92AC-5ABE03592CBC}"/>
  <bookViews>
    <workbookView xWindow="-120" yWindow="-120" windowWidth="20730" windowHeight="11040" firstSheet="1" activeTab="1" xr2:uid="{DB727E5C-7261-4A15-B8A1-729D76EEA651}"/>
  </bookViews>
  <sheets>
    <sheet name="Costo Salsa Pastor " sheetId="4" state="hidden" r:id="rId1"/>
    <sheet name="Empaque" sheetId="3" r:id="rId2"/>
    <sheet name="Costo Empaque " sheetId="5" state="hidden" r:id="rId3"/>
  </sheets>
  <externalReferences>
    <externalReference r:id="rId4"/>
    <externalReference r:id="rId5"/>
  </externalReferences>
  <definedNames>
    <definedName name="_xlnm.Print_Area" localSheetId="1">Empaque!$A$1:$I$39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C16" i="4"/>
  <c r="C15" i="4"/>
  <c r="C14" i="4"/>
  <c r="C13" i="4"/>
  <c r="C12" i="4"/>
  <c r="C11" i="4"/>
  <c r="F11" i="4" s="1"/>
  <c r="D73" i="5"/>
  <c r="D74" i="5" s="1"/>
  <c r="D76" i="5" s="1"/>
  <c r="D71" i="5"/>
  <c r="D69" i="5"/>
  <c r="F65" i="5"/>
  <c r="C73" i="5" s="1"/>
  <c r="C85" i="5" s="1"/>
  <c r="D60" i="5"/>
  <c r="D85" i="5" s="1"/>
  <c r="D86" i="5" s="1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E41" i="5"/>
  <c r="D41" i="5"/>
  <c r="B41" i="5"/>
  <c r="A41" i="5"/>
  <c r="A50" i="5" s="1"/>
  <c r="C50" i="5" s="1"/>
  <c r="E40" i="5"/>
  <c r="D40" i="5"/>
  <c r="B40" i="5"/>
  <c r="A40" i="5"/>
  <c r="C40" i="5" s="1"/>
  <c r="E39" i="5"/>
  <c r="D39" i="5"/>
  <c r="B39" i="5"/>
  <c r="A39" i="5"/>
  <c r="C39" i="5" s="1"/>
  <c r="E38" i="5"/>
  <c r="D38" i="5"/>
  <c r="B38" i="5"/>
  <c r="A38" i="5"/>
  <c r="C38" i="5" s="1"/>
  <c r="E37" i="5"/>
  <c r="D37" i="5"/>
  <c r="B37" i="5"/>
  <c r="A37" i="5"/>
  <c r="A46" i="5" s="1"/>
  <c r="C46" i="5" s="1"/>
  <c r="E36" i="5"/>
  <c r="D36" i="5"/>
  <c r="C36" i="5"/>
  <c r="B36" i="5"/>
  <c r="A36" i="5"/>
  <c r="A45" i="5" s="1"/>
  <c r="C45" i="5" s="1"/>
  <c r="A35" i="5"/>
  <c r="A44" i="5" s="1"/>
  <c r="C44" i="5" s="1"/>
  <c r="E32" i="5"/>
  <c r="D32" i="5"/>
  <c r="C32" i="5"/>
  <c r="B32" i="5"/>
  <c r="E31" i="5"/>
  <c r="F31" i="5" s="1"/>
  <c r="D31" i="5"/>
  <c r="C31" i="5"/>
  <c r="B31" i="5"/>
  <c r="E30" i="5"/>
  <c r="D30" i="5"/>
  <c r="C30" i="5"/>
  <c r="B30" i="5"/>
  <c r="F29" i="5"/>
  <c r="C29" i="5"/>
  <c r="C28" i="5"/>
  <c r="C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C17" i="5"/>
  <c r="B15" i="5"/>
  <c r="E14" i="5"/>
  <c r="F14" i="5" s="1"/>
  <c r="D14" i="5"/>
  <c r="C14" i="5"/>
  <c r="B14" i="5"/>
  <c r="E13" i="5"/>
  <c r="D13" i="5"/>
  <c r="C13" i="5"/>
  <c r="F13" i="5" s="1"/>
  <c r="B13" i="5"/>
  <c r="E12" i="5"/>
  <c r="F12" i="5" s="1"/>
  <c r="D12" i="5"/>
  <c r="C12" i="5"/>
  <c r="B12" i="5"/>
  <c r="E11" i="5"/>
  <c r="F11" i="5" s="1"/>
  <c r="D11" i="5"/>
  <c r="C11" i="5"/>
  <c r="B11" i="5"/>
  <c r="E10" i="5"/>
  <c r="F10" i="5" s="1"/>
  <c r="D10" i="5"/>
  <c r="C10" i="5"/>
  <c r="B10" i="5"/>
  <c r="E9" i="5"/>
  <c r="D9" i="5"/>
  <c r="C9" i="5"/>
  <c r="B9" i="5"/>
  <c r="E8" i="5"/>
  <c r="F8" i="5" s="1"/>
  <c r="D8" i="5"/>
  <c r="C8" i="5"/>
  <c r="B8" i="5"/>
  <c r="H6" i="5"/>
  <c r="D79" i="4"/>
  <c r="D80" i="4" s="1"/>
  <c r="D82" i="4" s="1"/>
  <c r="D77" i="4"/>
  <c r="D75" i="4"/>
  <c r="F71" i="4"/>
  <c r="E57" i="4" s="1"/>
  <c r="D66" i="4"/>
  <c r="D91" i="4" s="1"/>
  <c r="D92" i="4" s="1"/>
  <c r="C57" i="4"/>
  <c r="E56" i="4"/>
  <c r="D56" i="4"/>
  <c r="B56" i="4"/>
  <c r="E55" i="4"/>
  <c r="D55" i="4"/>
  <c r="B55" i="4"/>
  <c r="E54" i="4"/>
  <c r="D54" i="4"/>
  <c r="B54" i="4"/>
  <c r="E53" i="4"/>
  <c r="D53" i="4"/>
  <c r="B53" i="4"/>
  <c r="E52" i="4"/>
  <c r="D52" i="4"/>
  <c r="B52" i="4"/>
  <c r="E47" i="4"/>
  <c r="D47" i="4"/>
  <c r="B47" i="4"/>
  <c r="A47" i="4"/>
  <c r="A56" i="4" s="1"/>
  <c r="C56" i="4" s="1"/>
  <c r="E46" i="4"/>
  <c r="D46" i="4"/>
  <c r="B46" i="4"/>
  <c r="A46" i="4"/>
  <c r="C46" i="4" s="1"/>
  <c r="E45" i="4"/>
  <c r="D45" i="4"/>
  <c r="B45" i="4"/>
  <c r="A45" i="4"/>
  <c r="C45" i="4" s="1"/>
  <c r="E44" i="4"/>
  <c r="D44" i="4"/>
  <c r="B44" i="4"/>
  <c r="A44" i="4"/>
  <c r="C44" i="4" s="1"/>
  <c r="E43" i="4"/>
  <c r="D43" i="4"/>
  <c r="B43" i="4"/>
  <c r="A43" i="4"/>
  <c r="C43" i="4" s="1"/>
  <c r="A42" i="4"/>
  <c r="A51" i="4" s="1"/>
  <c r="C51" i="4" s="1"/>
  <c r="A41" i="4"/>
  <c r="C41" i="4" s="1"/>
  <c r="E38" i="4"/>
  <c r="D38" i="4"/>
  <c r="C38" i="4"/>
  <c r="B38" i="4"/>
  <c r="E37" i="4"/>
  <c r="D37" i="4"/>
  <c r="C37" i="4"/>
  <c r="B37" i="4"/>
  <c r="E36" i="4"/>
  <c r="F36" i="4" s="1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0" i="4"/>
  <c r="F30" i="4" s="1"/>
  <c r="D30" i="4"/>
  <c r="C30" i="4"/>
  <c r="B30" i="4"/>
  <c r="E29" i="4"/>
  <c r="F29" i="4" s="1"/>
  <c r="D29" i="4"/>
  <c r="C29" i="4"/>
  <c r="B29" i="4"/>
  <c r="E28" i="4"/>
  <c r="F28" i="4" s="1"/>
  <c r="D28" i="4"/>
  <c r="C28" i="4"/>
  <c r="B28" i="4"/>
  <c r="E27" i="4"/>
  <c r="F27" i="4" s="1"/>
  <c r="D27" i="4"/>
  <c r="C27" i="4"/>
  <c r="B27" i="4"/>
  <c r="E26" i="4"/>
  <c r="F26" i="4" s="1"/>
  <c r="D26" i="4"/>
  <c r="C26" i="4"/>
  <c r="B26" i="4"/>
  <c r="E25" i="4"/>
  <c r="F25" i="4" s="1"/>
  <c r="D25" i="4"/>
  <c r="C25" i="4"/>
  <c r="B25" i="4"/>
  <c r="F24" i="4"/>
  <c r="C24" i="4"/>
  <c r="C23" i="4"/>
  <c r="B21" i="4"/>
  <c r="E20" i="4"/>
  <c r="D20" i="4"/>
  <c r="C20" i="4"/>
  <c r="B20" i="4"/>
  <c r="E19" i="4"/>
  <c r="D19" i="4"/>
  <c r="C19" i="4"/>
  <c r="B19" i="4"/>
  <c r="E18" i="4"/>
  <c r="C18" i="4"/>
  <c r="B18" i="4"/>
  <c r="C10" i="4"/>
  <c r="C9" i="4"/>
  <c r="C8" i="4"/>
  <c r="H6" i="4"/>
  <c r="F32" i="5" l="1"/>
  <c r="F30" i="5"/>
  <c r="F9" i="5"/>
  <c r="E51" i="5"/>
  <c r="F51" i="5" s="1"/>
  <c r="F46" i="5"/>
  <c r="F38" i="5"/>
  <c r="F40" i="5"/>
  <c r="F28" i="5"/>
  <c r="F27" i="5"/>
  <c r="C41" i="5"/>
  <c r="F41" i="5" s="1"/>
  <c r="F36" i="5"/>
  <c r="F45" i="5"/>
  <c r="C37" i="5"/>
  <c r="F37" i="5" s="1"/>
  <c r="C35" i="5"/>
  <c r="F45" i="4"/>
  <c r="F23" i="4"/>
  <c r="F15" i="4"/>
  <c r="F14" i="4"/>
  <c r="F16" i="4"/>
  <c r="F12" i="4"/>
  <c r="F13" i="4"/>
  <c r="F19" i="4"/>
  <c r="F8" i="4"/>
  <c r="F37" i="4"/>
  <c r="F35" i="4"/>
  <c r="F17" i="4"/>
  <c r="C47" i="4"/>
  <c r="F47" i="4" s="1"/>
  <c r="F9" i="4"/>
  <c r="C42" i="4"/>
  <c r="F42" i="4" s="1"/>
  <c r="F33" i="4"/>
  <c r="F44" i="4"/>
  <c r="F20" i="4"/>
  <c r="F57" i="4"/>
  <c r="F18" i="4"/>
  <c r="F34" i="4"/>
  <c r="F10" i="4"/>
  <c r="F38" i="4"/>
  <c r="F50" i="5"/>
  <c r="F47" i="5"/>
  <c r="F39" i="5"/>
  <c r="E85" i="5"/>
  <c r="D81" i="5"/>
  <c r="A47" i="5"/>
  <c r="C47" i="5" s="1"/>
  <c r="A49" i="5"/>
  <c r="C49" i="5" s="1"/>
  <c r="F49" i="5" s="1"/>
  <c r="E73" i="5"/>
  <c r="D83" i="5"/>
  <c r="A48" i="5"/>
  <c r="C48" i="5" s="1"/>
  <c r="F48" i="5" s="1"/>
  <c r="F43" i="4"/>
  <c r="F51" i="4"/>
  <c r="F56" i="4"/>
  <c r="F46" i="4"/>
  <c r="F41" i="4"/>
  <c r="D87" i="4"/>
  <c r="A53" i="4"/>
  <c r="C53" i="4" s="1"/>
  <c r="F53" i="4" s="1"/>
  <c r="C79" i="4"/>
  <c r="A55" i="4"/>
  <c r="C55" i="4" s="1"/>
  <c r="F55" i="4" s="1"/>
  <c r="D89" i="4"/>
  <c r="A50" i="4"/>
  <c r="C50" i="4" s="1"/>
  <c r="F50" i="4" s="1"/>
  <c r="A52" i="4"/>
  <c r="C52" i="4" s="1"/>
  <c r="F52" i="4" s="1"/>
  <c r="A54" i="4"/>
  <c r="C54" i="4" s="1"/>
  <c r="F54" i="4" s="1"/>
  <c r="F59" i="4" l="1"/>
  <c r="C75" i="4" s="1"/>
  <c r="F62" i="4"/>
  <c r="F60" i="4"/>
  <c r="C91" i="4"/>
  <c r="E91" i="4" s="1"/>
  <c r="E79" i="4"/>
  <c r="F70" i="4" l="1"/>
  <c r="H59" i="4"/>
  <c r="F2" i="4" s="1"/>
  <c r="F61" i="4"/>
  <c r="F69" i="4" s="1"/>
  <c r="H62" i="4"/>
  <c r="C80" i="4"/>
  <c r="E75" i="4"/>
  <c r="E17" i="5" s="1"/>
  <c r="F17" i="5" s="1"/>
  <c r="F53" i="5" s="1"/>
  <c r="C87" i="4"/>
  <c r="E87" i="4" s="1"/>
  <c r="C82" i="4"/>
  <c r="E82" i="4" s="1"/>
  <c r="E35" i="5" s="1"/>
  <c r="F35" i="5" s="1"/>
  <c r="F54" i="5" s="1"/>
  <c r="C76" i="5" s="1"/>
  <c r="E76" i="5" s="1"/>
  <c r="H60" i="4"/>
  <c r="G2" i="4" s="1"/>
  <c r="F64" i="5" l="1"/>
  <c r="C69" i="5"/>
  <c r="H53" i="5"/>
  <c r="F2" i="5" s="1"/>
  <c r="H54" i="5"/>
  <c r="G2" i="5" s="1"/>
  <c r="F55" i="5"/>
  <c r="O60" i="4"/>
  <c r="O62" i="4" s="1"/>
  <c r="H61" i="4"/>
  <c r="C92" i="4"/>
  <c r="E92" i="4" s="1"/>
  <c r="E80" i="4"/>
  <c r="H2" i="4"/>
  <c r="O61" i="4"/>
  <c r="H64" i="4"/>
  <c r="H65" i="4" s="1"/>
  <c r="O64" i="4" s="1"/>
  <c r="C77" i="4"/>
  <c r="E69" i="4"/>
  <c r="F72" i="4"/>
  <c r="H55" i="5" l="1"/>
  <c r="O54" i="5"/>
  <c r="O56" i="5" s="1"/>
  <c r="F63" i="5"/>
  <c r="E84" i="4"/>
  <c r="E44" i="5"/>
  <c r="F44" i="5" s="1"/>
  <c r="F56" i="5" s="1"/>
  <c r="E69" i="5"/>
  <c r="C81" i="5"/>
  <c r="E81" i="5" s="1"/>
  <c r="G69" i="4"/>
  <c r="G12" i="4"/>
  <c r="G15" i="4"/>
  <c r="G13" i="4"/>
  <c r="G16" i="4"/>
  <c r="G11" i="4"/>
  <c r="G14" i="4"/>
  <c r="O63" i="4"/>
  <c r="O65" i="4" s="1"/>
  <c r="O66" i="4" s="1"/>
  <c r="G72" i="4"/>
  <c r="G36" i="4"/>
  <c r="G47" i="4"/>
  <c r="G20" i="4"/>
  <c r="G38" i="4"/>
  <c r="G57" i="4"/>
  <c r="G25" i="4"/>
  <c r="G44" i="4"/>
  <c r="G28" i="4"/>
  <c r="G9" i="4"/>
  <c r="G23" i="4"/>
  <c r="G42" i="4"/>
  <c r="G29" i="4"/>
  <c r="G24" i="4"/>
  <c r="G45" i="4"/>
  <c r="G19" i="4"/>
  <c r="G18" i="4"/>
  <c r="G37" i="4"/>
  <c r="G26" i="4"/>
  <c r="G10" i="4"/>
  <c r="G34" i="4"/>
  <c r="G35" i="4"/>
  <c r="G33" i="4"/>
  <c r="G30" i="4"/>
  <c r="G27" i="4"/>
  <c r="G17" i="4"/>
  <c r="G8" i="4"/>
  <c r="G71" i="4"/>
  <c r="G54" i="4"/>
  <c r="G46" i="4"/>
  <c r="G43" i="4"/>
  <c r="G55" i="4"/>
  <c r="G53" i="4"/>
  <c r="G50" i="4"/>
  <c r="G41" i="4"/>
  <c r="G56" i="4"/>
  <c r="G52" i="4"/>
  <c r="G51" i="4"/>
  <c r="G59" i="4"/>
  <c r="G60" i="4"/>
  <c r="G61" i="4"/>
  <c r="G62" i="4"/>
  <c r="G70" i="4"/>
  <c r="C89" i="4"/>
  <c r="E89" i="4" s="1"/>
  <c r="E77" i="4"/>
  <c r="E63" i="5" l="1"/>
  <c r="F66" i="5"/>
  <c r="G44" i="5" s="1"/>
  <c r="C71" i="5"/>
  <c r="H56" i="5"/>
  <c r="C74" i="5"/>
  <c r="O67" i="4"/>
  <c r="O68" i="4" s="1"/>
  <c r="P68" i="4" s="1"/>
  <c r="G56" i="5" l="1"/>
  <c r="C83" i="5"/>
  <c r="E83" i="5" s="1"/>
  <c r="E71" i="5"/>
  <c r="C86" i="5"/>
  <c r="E86" i="5" s="1"/>
  <c r="E74" i="5"/>
  <c r="E78" i="5" s="1"/>
  <c r="O55" i="5"/>
  <c r="O57" i="5" s="1"/>
  <c r="H2" i="5"/>
  <c r="H58" i="5"/>
  <c r="H59" i="5" s="1"/>
  <c r="O58" i="5" s="1"/>
  <c r="G63" i="5"/>
  <c r="G32" i="5"/>
  <c r="G37" i="5"/>
  <c r="G36" i="5"/>
  <c r="G54" i="5"/>
  <c r="G28" i="5"/>
  <c r="G35" i="5"/>
  <c r="G38" i="5"/>
  <c r="G11" i="5"/>
  <c r="G22" i="5"/>
  <c r="G64" i="5"/>
  <c r="G40" i="5"/>
  <c r="G21" i="5"/>
  <c r="G23" i="5"/>
  <c r="G29" i="5"/>
  <c r="G47" i="5"/>
  <c r="G13" i="5"/>
  <c r="G53" i="5"/>
  <c r="G9" i="5"/>
  <c r="G31" i="5"/>
  <c r="G45" i="5"/>
  <c r="G17" i="5"/>
  <c r="G41" i="5"/>
  <c r="G65" i="5"/>
  <c r="G48" i="5"/>
  <c r="G39" i="5"/>
  <c r="G50" i="5"/>
  <c r="G20" i="5"/>
  <c r="G12" i="5"/>
  <c r="G55" i="5"/>
  <c r="G46" i="5"/>
  <c r="G8" i="5"/>
  <c r="G66" i="5"/>
  <c r="G18" i="5"/>
  <c r="G14" i="5"/>
  <c r="G27" i="5"/>
  <c r="G10" i="5"/>
  <c r="G51" i="5"/>
  <c r="G24" i="5"/>
  <c r="G19" i="5"/>
  <c r="G49" i="5"/>
  <c r="G30" i="5"/>
  <c r="E2" i="4"/>
  <c r="O59" i="5" l="1"/>
  <c r="O60" i="5" l="1"/>
  <c r="O61" i="5" s="1"/>
  <c r="O62" i="5" s="1"/>
  <c r="E2" i="5" l="1"/>
  <c r="P62" i="5"/>
  <c r="C21" i="3" l="1"/>
</calcChain>
</file>

<file path=xl/sharedStrings.xml><?xml version="1.0" encoding="utf-8"?>
<sst xmlns="http://schemas.openxmlformats.org/spreadsheetml/2006/main" count="298" uniqueCount="128">
  <si>
    <t>SERVICIOS DE PASTELERIA S.A.</t>
  </si>
  <si>
    <t>CÓDIGO:</t>
  </si>
  <si>
    <t>ESPECIFICACION DE RECETA</t>
  </si>
  <si>
    <t>REVISIÓN:</t>
  </si>
  <si>
    <t>01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</si>
  <si>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</si>
  <si>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</si>
  <si>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</si>
  <si>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</si>
  <si>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</si>
  <si>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</si>
  <si>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Descripción del ingrediente</t>
  </si>
  <si>
    <t xml:space="preserve">Marca </t>
  </si>
  <si>
    <t>ALERGENO</t>
  </si>
  <si>
    <t>OBSERVACIONES GENERALES</t>
  </si>
  <si>
    <t>Cantidad</t>
  </si>
  <si>
    <t xml:space="preserve">Unidad medida </t>
  </si>
  <si>
    <t>FAS</t>
  </si>
  <si>
    <t>g</t>
  </si>
  <si>
    <t>Empaque</t>
  </si>
  <si>
    <t>ud</t>
  </si>
  <si>
    <t>EM10124</t>
  </si>
  <si>
    <t>Etiplast</t>
  </si>
  <si>
    <t>Unidad</t>
  </si>
  <si>
    <t xml:space="preserve">OTROS DATOS </t>
  </si>
  <si>
    <t>PESO TOTAL OBTENIDO</t>
  </si>
  <si>
    <t>TIEMPO TOTAL DE PREPARACION</t>
  </si>
  <si>
    <t>Minutos</t>
  </si>
  <si>
    <t>CANTIDAD DE PORCIONES OBTENIDAS</t>
  </si>
  <si>
    <t>PESO DE CADA PORCIÓN</t>
  </si>
  <si>
    <t>MERMA</t>
  </si>
  <si>
    <t>PROCEDIMIENTO DE PREPARACION DE LA  RECETA</t>
  </si>
  <si>
    <t>CONTROL DE CAMBIOS</t>
  </si>
  <si>
    <t>Unidad de Medida</t>
  </si>
  <si>
    <t># Revisión</t>
  </si>
  <si>
    <t>Detalle del Cambio</t>
  </si>
  <si>
    <t>Juan Pablo Brenes, Chef</t>
  </si>
  <si>
    <t>MP10376</t>
  </si>
  <si>
    <t>Tomate Pelado Entero</t>
  </si>
  <si>
    <t xml:space="preserve">Cocina </t>
  </si>
  <si>
    <t>MP10022</t>
  </si>
  <si>
    <t>Lactocrema Granel</t>
  </si>
  <si>
    <t>MP10020</t>
  </si>
  <si>
    <t>CEBOLLA PICADA (PAQ = 1 KILO )</t>
  </si>
  <si>
    <t>MP10158</t>
  </si>
  <si>
    <t>Condimento Comino</t>
  </si>
  <si>
    <t>MP10716</t>
  </si>
  <si>
    <t>Salsa Demiglace Gourmet</t>
  </si>
  <si>
    <t>SE00104</t>
  </si>
  <si>
    <t>EMPAQUE SAL KILO</t>
  </si>
  <si>
    <t>SE00014</t>
  </si>
  <si>
    <t>Empaque Almidon Modificado</t>
  </si>
  <si>
    <t>EM10044</t>
  </si>
  <si>
    <t>Bolsa Transparente  6 X 10</t>
  </si>
  <si>
    <t>EM10002</t>
  </si>
  <si>
    <t>Etiq.Blanca 1 1/4 * 3/4</t>
  </si>
  <si>
    <t>Etiqueta Blanca R-153</t>
  </si>
  <si>
    <t>NUEVO</t>
  </si>
  <si>
    <t>2.- Etiquetar</t>
  </si>
  <si>
    <t>MP10021</t>
  </si>
  <si>
    <t>Ajo Pelado</t>
  </si>
  <si>
    <t>MP10058</t>
  </si>
  <si>
    <t>Achiote</t>
  </si>
  <si>
    <t>MP10598</t>
  </si>
  <si>
    <t>Jugo de Naranja TB</t>
  </si>
  <si>
    <t>MP10013</t>
  </si>
  <si>
    <t>Nuez Moscada Molida</t>
  </si>
  <si>
    <t>MP10600</t>
  </si>
  <si>
    <t>Clavo de Olor Molido</t>
  </si>
  <si>
    <t>SALSA PASTOR</t>
  </si>
  <si>
    <t>1.- En la bolsa 6x10 pesar 200g de salsa pastor y cerrar con nudo.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</si>
  <si>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</si>
  <si>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</si>
  <si>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</si>
  <si>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</si>
  <si>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</si>
  <si>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</si>
  <si>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</si>
  <si>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</si>
  <si>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</si>
  <si>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</si>
  <si>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</si>
  <si>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</si>
  <si>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</si>
  <si>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</si>
  <si>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</si>
  <si>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</si>
  <si>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</si>
  <si>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</si>
  <si>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</si>
  <si>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</si>
  <si>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</si>
  <si>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</si>
  <si>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</si>
  <si>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</si>
  <si>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</si>
  <si>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</si>
  <si>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</si>
  <si>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</si>
  <si>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</si>
  <si>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</si>
  <si>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</si>
  <si>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</si>
  <si>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</si>
  <si>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</si>
  <si>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</si>
  <si>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</si>
  <si>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</si>
  <si>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</si>
  <si>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</si>
  <si>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</si>
  <si>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</si>
  <si>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</si>
  <si>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</si>
  <si>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</si>
  <si>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</si>
  <si>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</si>
  <si>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</si>
  <si>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</si>
  <si>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</si>
  <si>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</si>
  <si>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</si>
  <si>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</si>
  <si>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</si>
  <si>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</si>
  <si>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SE00762</t>
  </si>
  <si>
    <t>PTL00271 20100210 Empaque salsa pastor 300g</t>
  </si>
  <si>
    <t>ESP-RE-EMPS-095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</si>
</sst>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5" formatCode="0.00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4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6"/>
      <color theme="1"/>
      <name val="Arial"/>
      <family val="2"/>
    </font>
    <font>
      <b/>
      <sz val="16"/>
      <name val="Arial"/>
      <family val="2"/>
    </font>
    <font>
      <b/>
      <sz val="16"/>
      <color rgb="FF0070C0"/>
      <name val="Arial"/>
      <family val="2"/>
    </font>
    <font>
      <sz val="16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i/>
      <sz val="18"/>
      <name val="Century Gothic"/>
      <family val="2"/>
    </font>
    <font>
      <sz val="16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43">
    <xf numFmtId="0" fontId="0" fillId="0" borderId="0" xfId="0"/>
    <xf numFmtId="0" fontId="2" fillId="2" borderId="3" xfId="1" applyFont="1" applyFill="1" applyBorder="1" applyAlignment="1">
      <alignment horizontal="center"/>
    </xf>
    <xf numFmtId="49" fontId="2" fillId="2" borderId="6" xfId="1" applyNumberFormat="1" applyFont="1" applyFill="1" applyBorder="1" applyAlignment="1">
      <alignment horizontal="center"/>
    </xf>
    <xf numFmtId="14" fontId="6" fillId="2" borderId="0" xfId="2" applyNumberFormat="1" applyFont="1" applyFill="1" applyAlignment="1">
      <alignment horizontal="center" vertical="center" wrapText="1"/>
    </xf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6" fillId="2" borderId="0" xfId="2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right" vertical="top" wrapText="1"/>
    </xf>
    <xf numFmtId="14" fontId="2" fillId="2" borderId="0" xfId="1" applyNumberFormat="1" applyFont="1" applyFill="1" applyAlignment="1">
      <alignment horizontal="center" vertical="center" wrapText="1"/>
    </xf>
    <xf numFmtId="0" fontId="3" fillId="2" borderId="14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vertical="top" wrapText="1"/>
    </xf>
    <xf numFmtId="0" fontId="8" fillId="4" borderId="0" xfId="0" applyFont="1" applyFill="1" applyAlignment="1">
      <alignment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10" fillId="0" borderId="5" xfId="6" applyFont="1" applyFill="1" applyBorder="1" applyAlignment="1">
      <alignment horizontal="center" vertical="center"/>
    </xf>
    <xf numFmtId="43" fontId="10" fillId="0" borderId="0" xfId="6" applyFont="1" applyFill="1" applyBorder="1" applyAlignment="1">
      <alignment horizontal="center" vertical="center"/>
    </xf>
    <xf numFmtId="43" fontId="12" fillId="0" borderId="0" xfId="6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0" fontId="10" fillId="7" borderId="37" xfId="0" applyFont="1" applyFill="1" applyBorder="1" applyAlignment="1">
      <alignment horizontal="center" vertical="center"/>
    </xf>
    <xf numFmtId="0" fontId="10" fillId="7" borderId="38" xfId="0" applyFont="1" applyFill="1" applyBorder="1" applyAlignment="1">
      <alignment horizontal="center" vertical="center"/>
    </xf>
    <xf numFmtId="0" fontId="10" fillId="7" borderId="38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7" applyNumberFormat="1" applyFont="1" applyFill="1" applyAlignment="1">
      <alignment horizontal="center" vertical="center"/>
    </xf>
    <xf numFmtId="4" fontId="10" fillId="0" borderId="0" xfId="7" applyNumberFormat="1" applyFont="1" applyFill="1" applyAlignment="1">
      <alignment horizontal="center" vertical="center"/>
    </xf>
    <xf numFmtId="10" fontId="10" fillId="0" borderId="0" xfId="5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0" fontId="8" fillId="0" borderId="0" xfId="0" applyFont="1"/>
    <xf numFmtId="49" fontId="10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6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6" applyNumberFormat="1" applyFont="1" applyFill="1" applyAlignment="1">
      <alignment vertical="center"/>
    </xf>
    <xf numFmtId="43" fontId="18" fillId="0" borderId="0" xfId="6" applyFont="1" applyFill="1" applyAlignment="1">
      <alignment horizontal="center" vertical="center"/>
    </xf>
    <xf numFmtId="10" fontId="11" fillId="7" borderId="40" xfId="5" applyNumberFormat="1" applyFont="1" applyFill="1" applyBorder="1" applyAlignment="1">
      <alignment vertical="center"/>
    </xf>
    <xf numFmtId="0" fontId="8" fillId="7" borderId="20" xfId="0" applyFont="1" applyFill="1" applyBorder="1" applyAlignment="1">
      <alignment vertical="center"/>
    </xf>
    <xf numFmtId="0" fontId="8" fillId="7" borderId="40" xfId="0" applyFont="1" applyFill="1" applyBorder="1" applyAlignment="1">
      <alignment vertical="center"/>
    </xf>
    <xf numFmtId="43" fontId="18" fillId="7" borderId="41" xfId="6" applyFont="1" applyFill="1" applyBorder="1" applyAlignment="1">
      <alignment horizontal="center" vertical="center"/>
    </xf>
    <xf numFmtId="43" fontId="20" fillId="0" borderId="0" xfId="6" applyFont="1" applyFill="1" applyBorder="1" applyAlignment="1">
      <alignment horizontal="right"/>
    </xf>
    <xf numFmtId="0" fontId="8" fillId="7" borderId="41" xfId="0" applyFont="1" applyFill="1" applyBorder="1" applyAlignment="1">
      <alignment vertical="center"/>
    </xf>
    <xf numFmtId="10" fontId="11" fillId="7" borderId="41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6" applyNumberFormat="1" applyFont="1" applyFill="1" applyAlignment="1">
      <alignment vertical="center"/>
    </xf>
    <xf numFmtId="4" fontId="18" fillId="0" borderId="0" xfId="7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18" xfId="0" applyFont="1" applyBorder="1" applyAlignment="1">
      <alignment horizontal="right"/>
    </xf>
    <xf numFmtId="43" fontId="24" fillId="8" borderId="43" xfId="6" applyFont="1" applyFill="1" applyBorder="1" applyAlignment="1">
      <alignment horizontal="right"/>
    </xf>
    <xf numFmtId="43" fontId="24" fillId="0" borderId="0" xfId="6" applyFont="1" applyFill="1" applyBorder="1" applyAlignment="1">
      <alignment horizontal="right"/>
    </xf>
    <xf numFmtId="43" fontId="10" fillId="0" borderId="5" xfId="6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7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69" fontId="10" fillId="7" borderId="5" xfId="6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10" fillId="9" borderId="5" xfId="6" applyFont="1" applyFill="1" applyBorder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7" borderId="44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6" applyNumberFormat="1" applyFont="1" applyFill="1" applyBorder="1" applyAlignment="1">
      <alignment horizontal="center"/>
    </xf>
    <xf numFmtId="2" fontId="23" fillId="0" borderId="0" xfId="6" applyNumberFormat="1" applyFont="1" applyFill="1" applyBorder="1" applyAlignment="1">
      <alignment horizontal="center"/>
    </xf>
    <xf numFmtId="0" fontId="8" fillId="7" borderId="44" xfId="0" applyFont="1" applyFill="1" applyBorder="1" applyAlignment="1">
      <alignment vertical="center"/>
    </xf>
    <xf numFmtId="10" fontId="8" fillId="0" borderId="0" xfId="5" applyNumberFormat="1" applyFont="1" applyFill="1" applyAlignment="1">
      <alignment vertical="center"/>
    </xf>
    <xf numFmtId="4" fontId="8" fillId="0" borderId="0" xfId="6" applyNumberFormat="1" applyFont="1" applyFill="1" applyAlignment="1">
      <alignment vertical="center"/>
    </xf>
    <xf numFmtId="43" fontId="24" fillId="7" borderId="20" xfId="6" applyFont="1" applyFill="1" applyBorder="1" applyAlignment="1">
      <alignment horizontal="right"/>
    </xf>
    <xf numFmtId="0" fontId="10" fillId="7" borderId="21" xfId="0" applyFont="1" applyFill="1" applyBorder="1" applyAlignment="1">
      <alignment horizontal="right" vertical="center"/>
    </xf>
    <xf numFmtId="10" fontId="30" fillId="0" borderId="0" xfId="6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43" fontId="32" fillId="0" borderId="0" xfId="6" applyFont="1" applyFill="1" applyAlignment="1">
      <alignment vertical="center"/>
    </xf>
    <xf numFmtId="4" fontId="33" fillId="0" borderId="0" xfId="7" applyNumberFormat="1" applyFont="1" applyFill="1" applyAlignment="1">
      <alignment horizontal="center" vertical="center" wrapText="1"/>
    </xf>
    <xf numFmtId="9" fontId="8" fillId="0" borderId="0" xfId="6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6" applyNumberFormat="1" applyFont="1" applyFill="1" applyAlignment="1">
      <alignment vertical="center"/>
    </xf>
    <xf numFmtId="4" fontId="10" fillId="11" borderId="43" xfId="6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6" applyFont="1" applyFill="1" applyAlignment="1">
      <alignment vertical="center"/>
    </xf>
    <xf numFmtId="9" fontId="34" fillId="0" borderId="0" xfId="6" applyNumberFormat="1" applyFont="1" applyFill="1" applyAlignment="1">
      <alignment vertical="center"/>
    </xf>
    <xf numFmtId="4" fontId="10" fillId="0" borderId="0" xfId="6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43" fontId="27" fillId="0" borderId="0" xfId="6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6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8" fillId="0" borderId="0" xfId="6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6" fontId="10" fillId="0" borderId="0" xfId="0" applyNumberFormat="1" applyFont="1"/>
    <xf numFmtId="0" fontId="2" fillId="2" borderId="12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/>
    </xf>
    <xf numFmtId="0" fontId="3" fillId="3" borderId="12" xfId="3" applyFont="1" applyFill="1" applyBorder="1" applyAlignment="1">
      <alignment horizontal="center" vertical="center" wrapText="1"/>
    </xf>
    <xf numFmtId="0" fontId="3" fillId="3" borderId="13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0" fontId="3" fillId="5" borderId="25" xfId="3" applyFont="1" applyFill="1" applyBorder="1" applyAlignment="1">
      <alignment horizontal="center" vertical="center"/>
    </xf>
    <xf numFmtId="0" fontId="3" fillId="5" borderId="26" xfId="3" applyFont="1" applyFill="1" applyBorder="1" applyAlignment="1">
      <alignment horizontal="center" vertical="center"/>
    </xf>
    <xf numFmtId="0" fontId="3" fillId="3" borderId="29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0" fontId="3" fillId="3" borderId="22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right" vertical="center" wrapText="1"/>
    </xf>
    <xf numFmtId="0" fontId="27" fillId="0" borderId="5" xfId="0" applyFont="1" applyBorder="1" applyAlignment="1">
      <alignment horizontal="right" vertical="center"/>
    </xf>
    <xf numFmtId="0" fontId="28" fillId="0" borderId="4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18" xfId="0" applyFont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9" fillId="0" borderId="42" xfId="0" applyFont="1" applyBorder="1" applyAlignment="1">
      <alignment horizontal="right"/>
    </xf>
    <xf numFmtId="0" fontId="19" fillId="0" borderId="1" xfId="0" applyFont="1" applyBorder="1" applyAlignment="1">
      <alignment horizontal="right"/>
    </xf>
    <xf numFmtId="0" fontId="8" fillId="0" borderId="5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5" fillId="0" borderId="19" xfId="0" applyFont="1" applyBorder="1" applyAlignment="1">
      <alignment horizontal="right" vertical="center"/>
    </xf>
    <xf numFmtId="0" fontId="35" fillId="0" borderId="20" xfId="0" applyFont="1" applyBorder="1" applyAlignment="1">
      <alignment horizontal="right" vertical="center"/>
    </xf>
    <xf numFmtId="0" fontId="35" fillId="0" borderId="21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11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7" borderId="19" xfId="0" applyFont="1" applyFill="1" applyBorder="1" applyAlignment="1">
      <alignment horizontal="right"/>
    </xf>
    <xf numFmtId="0" fontId="24" fillId="7" borderId="20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10" fillId="0" borderId="45" xfId="0" applyFont="1" applyBorder="1" applyAlignment="1">
      <alignment horizontal="right" vertical="center"/>
    </xf>
    <xf numFmtId="0" fontId="10" fillId="10" borderId="19" xfId="0" applyFont="1" applyFill="1" applyBorder="1" applyAlignment="1">
      <alignment horizontal="right" vertical="center"/>
    </xf>
    <xf numFmtId="0" fontId="10" fillId="10" borderId="20" xfId="0" applyFont="1" applyFill="1" applyBorder="1" applyAlignment="1">
      <alignment horizontal="right" vertical="center"/>
    </xf>
    <xf numFmtId="0" fontId="10" fillId="10" borderId="21" xfId="0" applyFont="1" applyFill="1" applyBorder="1" applyAlignment="1">
      <alignment horizontal="right" vertical="center"/>
    </xf>
    <xf numFmtId="4" fontId="33" fillId="0" borderId="0" xfId="7" applyNumberFormat="1" applyFont="1" applyFill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0" xfId="0" applyFont="1"/>
    <xf numFmtId="0" fontId="39" fillId="0" borderId="5" xfId="3" applyFont="1" applyBorder="1" applyAlignment="1">
      <alignment horizontal="center" vertical="center"/>
    </xf>
    <xf numFmtId="1" fontId="39" fillId="0" borderId="5" xfId="3" applyNumberFormat="1" applyFont="1" applyBorder="1" applyAlignment="1">
      <alignment horizontal="center"/>
    </xf>
    <xf numFmtId="1" fontId="39" fillId="0" borderId="5" xfId="3" applyNumberFormat="1" applyFont="1" applyBorder="1" applyAlignment="1">
      <alignment horizontal="center" wrapText="1"/>
    </xf>
    <xf numFmtId="1" fontId="40" fillId="0" borderId="34" xfId="3" applyNumberFormat="1" applyFont="1" applyBorder="1" applyAlignment="1">
      <alignment horizontal="center"/>
    </xf>
    <xf numFmtId="1" fontId="40" fillId="0" borderId="9" xfId="3" applyNumberFormat="1" applyFont="1" applyBorder="1" applyAlignment="1">
      <alignment horizontal="center"/>
    </xf>
    <xf numFmtId="1" fontId="40" fillId="0" borderId="17" xfId="3" applyNumberFormat="1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5" xfId="0" applyFont="1" applyBorder="1"/>
    <xf numFmtId="0" fontId="41" fillId="0" borderId="5" xfId="3" applyFont="1" applyBorder="1" applyAlignment="1">
      <alignment horizontal="center"/>
    </xf>
    <xf numFmtId="1" fontId="41" fillId="4" borderId="5" xfId="3" applyNumberFormat="1" applyFont="1" applyFill="1" applyBorder="1" applyAlignment="1">
      <alignment horizontal="center"/>
    </xf>
    <xf numFmtId="1" fontId="41" fillId="0" borderId="5" xfId="3" applyNumberFormat="1" applyFont="1" applyBorder="1" applyAlignment="1">
      <alignment horizontal="center" wrapText="1"/>
    </xf>
    <xf numFmtId="12" fontId="42" fillId="0" borderId="34" xfId="3" applyNumberFormat="1" applyFont="1" applyBorder="1" applyAlignment="1">
      <alignment horizontal="left"/>
    </xf>
    <xf numFmtId="12" fontId="42" fillId="0" borderId="9" xfId="3" applyNumberFormat="1" applyFont="1" applyBorder="1" applyAlignment="1">
      <alignment horizontal="left"/>
    </xf>
    <xf numFmtId="12" fontId="42" fillId="0" borderId="17" xfId="3" applyNumberFormat="1" applyFont="1" applyBorder="1" applyAlignment="1">
      <alignment horizontal="left"/>
    </xf>
    <xf numFmtId="0" fontId="41" fillId="0" borderId="0" xfId="0" applyFont="1" applyAlignment="1">
      <alignment horizontal="center"/>
    </xf>
    <xf numFmtId="0" fontId="41" fillId="0" borderId="0" xfId="0" applyFont="1"/>
    <xf numFmtId="1" fontId="41" fillId="0" borderId="5" xfId="3" applyNumberFormat="1" applyFont="1" applyBorder="1" applyAlignment="1">
      <alignment horizontal="center"/>
    </xf>
    <xf numFmtId="49" fontId="41" fillId="0" borderId="24" xfId="3" applyNumberFormat="1" applyFont="1" applyBorder="1" applyAlignment="1">
      <alignment horizontal="center"/>
    </xf>
    <xf numFmtId="49" fontId="41" fillId="0" borderId="14" xfId="3" applyNumberFormat="1" applyFont="1" applyBorder="1"/>
    <xf numFmtId="0" fontId="41" fillId="0" borderId="14" xfId="3" applyFont="1" applyBorder="1" applyAlignment="1">
      <alignment horizontal="center"/>
    </xf>
    <xf numFmtId="1" fontId="41" fillId="0" borderId="14" xfId="3" applyNumberFormat="1" applyFont="1" applyBorder="1" applyAlignment="1">
      <alignment horizontal="center" wrapText="1"/>
    </xf>
    <xf numFmtId="49" fontId="43" fillId="2" borderId="0" xfId="3" applyNumberFormat="1" applyFont="1" applyFill="1" applyAlignment="1">
      <alignment horizontal="center" vertical="center"/>
    </xf>
    <xf numFmtId="0" fontId="41" fillId="2" borderId="0" xfId="3" applyFont="1" applyFill="1"/>
    <xf numFmtId="1" fontId="41" fillId="2" borderId="0" xfId="3" applyNumberFormat="1" applyFont="1" applyFill="1" applyAlignment="1">
      <alignment horizontal="center"/>
    </xf>
    <xf numFmtId="165" fontId="41" fillId="2" borderId="0" xfId="3" applyNumberFormat="1" applyFont="1" applyFill="1" applyAlignment="1">
      <alignment horizontal="center" wrapText="1"/>
    </xf>
    <xf numFmtId="0" fontId="41" fillId="2" borderId="18" xfId="3" applyFont="1" applyFill="1" applyBorder="1" applyAlignment="1">
      <alignment horizontal="center"/>
    </xf>
    <xf numFmtId="0" fontId="41" fillId="3" borderId="12" xfId="3" applyFont="1" applyFill="1" applyBorder="1" applyAlignment="1">
      <alignment horizontal="center"/>
    </xf>
    <xf numFmtId="0" fontId="41" fillId="3" borderId="2" xfId="3" applyFont="1" applyFill="1" applyBorder="1"/>
    <xf numFmtId="0" fontId="39" fillId="3" borderId="2" xfId="3" applyFont="1" applyFill="1" applyBorder="1" applyAlignment="1">
      <alignment horizontal="center"/>
    </xf>
    <xf numFmtId="1" fontId="39" fillId="3" borderId="3" xfId="3" applyNumberFormat="1" applyFont="1" applyFill="1" applyBorder="1" applyAlignment="1">
      <alignment horizontal="center"/>
    </xf>
    <xf numFmtId="165" fontId="39" fillId="3" borderId="19" xfId="3" applyNumberFormat="1" applyFont="1" applyFill="1" applyBorder="1" applyAlignment="1">
      <alignment horizontal="center" wrapText="1"/>
    </xf>
    <xf numFmtId="165" fontId="39" fillId="3" borderId="20" xfId="3" applyNumberFormat="1" applyFont="1" applyFill="1" applyBorder="1" applyAlignment="1">
      <alignment horizontal="center" wrapText="1"/>
    </xf>
    <xf numFmtId="165" fontId="39" fillId="3" borderId="21" xfId="3" applyNumberFormat="1" applyFont="1" applyFill="1" applyBorder="1" applyAlignment="1">
      <alignment horizontal="center" wrapText="1"/>
    </xf>
    <xf numFmtId="0" fontId="39" fillId="0" borderId="16" xfId="0" applyFont="1" applyBorder="1" applyAlignment="1">
      <alignment horizontal="right"/>
    </xf>
    <xf numFmtId="0" fontId="39" fillId="0" borderId="5" xfId="0" applyFont="1" applyBorder="1" applyAlignment="1">
      <alignment horizontal="right"/>
    </xf>
    <xf numFmtId="0" fontId="41" fillId="0" borderId="6" xfId="3" applyFont="1" applyBorder="1" applyAlignment="1">
      <alignment horizontal="center"/>
    </xf>
    <xf numFmtId="165" fontId="41" fillId="0" borderId="30" xfId="3" applyNumberFormat="1" applyFont="1" applyBorder="1" applyAlignment="1">
      <alignment horizontal="center"/>
    </xf>
    <xf numFmtId="165" fontId="41" fillId="0" borderId="0" xfId="3" applyNumberFormat="1" applyFont="1" applyAlignment="1">
      <alignment horizontal="center"/>
    </xf>
    <xf numFmtId="165" fontId="41" fillId="0" borderId="31" xfId="3" applyNumberFormat="1" applyFont="1" applyBorder="1" applyAlignment="1">
      <alignment horizontal="center"/>
    </xf>
    <xf numFmtId="0" fontId="39" fillId="0" borderId="13" xfId="0" applyFont="1" applyBorder="1" applyAlignment="1">
      <alignment horizontal="right"/>
    </xf>
    <xf numFmtId="0" fontId="39" fillId="0" borderId="14" xfId="0" applyFont="1" applyBorder="1" applyAlignment="1">
      <alignment horizontal="right"/>
    </xf>
    <xf numFmtId="0" fontId="41" fillId="0" borderId="15" xfId="3" applyFont="1" applyBorder="1" applyAlignment="1">
      <alignment horizontal="center"/>
    </xf>
    <xf numFmtId="165" fontId="41" fillId="0" borderId="32" xfId="3" applyNumberFormat="1" applyFont="1" applyBorder="1" applyAlignment="1">
      <alignment horizontal="center"/>
    </xf>
    <xf numFmtId="165" fontId="41" fillId="0" borderId="28" xfId="3" applyNumberFormat="1" applyFont="1" applyBorder="1" applyAlignment="1">
      <alignment horizontal="center"/>
    </xf>
    <xf numFmtId="165" fontId="41" fillId="0" borderId="33" xfId="3" applyNumberFormat="1" applyFont="1" applyBorder="1" applyAlignment="1">
      <alignment horizontal="center"/>
    </xf>
    <xf numFmtId="0" fontId="39" fillId="0" borderId="4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41" fillId="0" borderId="0" xfId="3" applyFont="1" applyAlignment="1">
      <alignment horizontal="center"/>
    </xf>
    <xf numFmtId="165" fontId="41" fillId="0" borderId="0" xfId="3" applyNumberFormat="1" applyFont="1" applyAlignment="1">
      <alignment horizontal="center"/>
    </xf>
    <xf numFmtId="0" fontId="41" fillId="0" borderId="35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0" fontId="41" fillId="0" borderId="36" xfId="3" applyFont="1" applyBorder="1" applyAlignment="1">
      <alignment horizontal="left" vertical="center" wrapText="1"/>
    </xf>
    <xf numFmtId="0" fontId="41" fillId="0" borderId="24" xfId="3" applyFont="1" applyBorder="1" applyAlignment="1">
      <alignment horizontal="left"/>
    </xf>
    <xf numFmtId="0" fontId="41" fillId="0" borderId="14" xfId="3" applyFont="1" applyBorder="1" applyAlignment="1">
      <alignment horizontal="left"/>
    </xf>
    <xf numFmtId="0" fontId="41" fillId="0" borderId="15" xfId="3" applyFont="1" applyBorder="1" applyAlignment="1">
      <alignment horizontal="left"/>
    </xf>
    <xf numFmtId="0" fontId="39" fillId="4" borderId="5" xfId="1" applyFont="1" applyFill="1" applyBorder="1"/>
    <xf numFmtId="0" fontId="39" fillId="4" borderId="34" xfId="1" applyFont="1" applyFill="1" applyBorder="1" applyAlignment="1">
      <alignment horizontal="center"/>
    </xf>
    <xf numFmtId="0" fontId="39" fillId="4" borderId="9" xfId="1" applyFont="1" applyFill="1" applyBorder="1" applyAlignment="1">
      <alignment horizontal="center"/>
    </xf>
    <xf numFmtId="0" fontId="39" fillId="4" borderId="10" xfId="1" applyFont="1" applyFill="1" applyBorder="1" applyAlignment="1">
      <alignment horizontal="center"/>
    </xf>
    <xf numFmtId="0" fontId="41" fillId="4" borderId="5" xfId="1" applyFont="1" applyFill="1" applyBorder="1" applyAlignment="1">
      <alignment horizontal="center"/>
    </xf>
    <xf numFmtId="0" fontId="44" fillId="2" borderId="11" xfId="2" applyFont="1" applyFill="1" applyBorder="1" applyAlignment="1">
      <alignment horizontal="center"/>
    </xf>
    <xf numFmtId="0" fontId="44" fillId="0" borderId="11" xfId="0" applyFont="1" applyBorder="1" applyAlignment="1">
      <alignment horizontal="center"/>
    </xf>
    <xf numFmtId="0" fontId="39" fillId="3" borderId="1" xfId="3" applyFont="1" applyFill="1" applyBorder="1" applyAlignment="1">
      <alignment horizontal="center"/>
    </xf>
    <xf numFmtId="0" fontId="39" fillId="3" borderId="27" xfId="3" applyFont="1" applyFill="1" applyBorder="1" applyAlignment="1">
      <alignment horizontal="center"/>
    </xf>
    <xf numFmtId="0" fontId="39" fillId="3" borderId="19" xfId="3" applyFont="1" applyFill="1" applyBorder="1" applyAlignment="1">
      <alignment horizontal="center"/>
    </xf>
    <xf numFmtId="0" fontId="39" fillId="3" borderId="20" xfId="3" applyFont="1" applyFill="1" applyBorder="1" applyAlignment="1">
      <alignment horizontal="center"/>
    </xf>
    <xf numFmtId="0" fontId="39" fillId="3" borderId="21" xfId="3" applyFont="1" applyFill="1" applyBorder="1" applyAlignment="1">
      <alignment horizontal="center"/>
    </xf>
    <xf numFmtId="0" fontId="45" fillId="2" borderId="5" xfId="1" applyFont="1" applyFill="1" applyBorder="1" applyAlignment="1">
      <alignment horizontal="center" vertical="center" wrapText="1"/>
    </xf>
    <xf numFmtId="14" fontId="3" fillId="2" borderId="6" xfId="1" applyNumberFormat="1" applyFont="1" applyFill="1" applyBorder="1" applyAlignment="1">
      <alignment horizontal="center" vertical="center" wrapText="1"/>
    </xf>
    <xf numFmtId="0" fontId="46" fillId="0" borderId="5" xfId="0" applyFont="1" applyBorder="1" applyAlignment="1">
      <alignment horizontal="center"/>
    </xf>
    <xf numFmtId="0" fontId="46" fillId="0" borderId="5" xfId="0" applyFont="1" applyBorder="1"/>
    <xf numFmtId="0" fontId="39" fillId="0" borderId="5" xfId="0" applyFont="1" applyBorder="1" applyAlignment="1">
      <alignment horizontal="center"/>
    </xf>
    <xf numFmtId="1" fontId="39" fillId="0" borderId="14" xfId="0" applyNumberFormat="1" applyFont="1" applyBorder="1" applyAlignment="1">
      <alignment horizontal="center"/>
    </xf>
    <xf numFmtId="0" fontId="38" fillId="0" borderId="46" xfId="0" applyFont="1" applyBorder="1" applyAlignment="1">
      <alignment horizontal="left"/>
    </xf>
  </cellXfs>
  <cellStyles count="8">
    <cellStyle name="Millares" xfId="6" builtinId="3"/>
    <cellStyle name="Millares [0]" xfId="7" builtinId="6"/>
    <cellStyle name="Normal" xfId="0" builtinId="0"/>
    <cellStyle name="Normal 2" xfId="3" xr:uid="{F0E50ADB-0AEC-4629-B918-110FA540EAD9}"/>
    <cellStyle name="Normal 3 2" xfId="4" xr:uid="{4F9DCEA8-106E-4C47-8641-B18BB36960E3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48713</xdr:colOff>
      <xdr:row>0</xdr:row>
      <xdr:rowOff>225065</xdr:rowOff>
    </xdr:from>
    <xdr:to>
      <xdr:col>0</xdr:col>
      <xdr:colOff>1275308</xdr:colOff>
      <xdr:row>2</xdr:row>
      <xdr:rowOff>392907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60242F-922B-4B2E-81F1-0862A297B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13" y="225065"/>
          <a:ext cx="1226595" cy="62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5C9A-E16B-4AB1-ADEE-22324596AB4F}">
  <dimension ref="A1:Q97"/>
  <sheetViews>
    <sheetView topLeftCell="A23" workbookViewId="0">
      <selection activeCell="G67" sqref="G67"/>
    </sheetView>
  </sheetViews>
  <sheetFormatPr baseColWidth="10" defaultColWidth="8.42578125" defaultRowHeight="12.75" x14ac:dyDescent="0.25"/>
  <cols>
    <col min="1" max="1" width="10" style="21" bestFit="1" customWidth="1"/>
    <col min="2" max="2" width="44.28515625" style="21" bestFit="1" customWidth="1"/>
    <col min="3" max="3" width="10.42578125" style="21" bestFit="1" customWidth="1"/>
    <col min="4" max="4" width="10.42578125" style="21" customWidth="1"/>
    <col min="5" max="5" width="11" style="21" customWidth="1"/>
    <col min="6" max="6" width="9.5703125" style="21" bestFit="1" customWidth="1"/>
    <col min="7" max="7" width="10.85546875" style="103" customWidth="1"/>
    <col min="8" max="8" width="10.42578125" style="94" bestFit="1" customWidth="1"/>
    <col min="9" max="9" width="4.5703125" style="94" customWidth="1"/>
    <col min="10" max="10" width="1.85546875" style="20" customWidth="1"/>
    <col min="11" max="11" width="7" style="21" bestFit="1" customWidth="1"/>
    <col min="12" max="12" width="6.285156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28515625" style="21" customWidth="1"/>
    <col min="18" max="16384" width="8.42578125" style="21"/>
  </cols>
  <sheetData>
    <row r="1" spans="1:10" ht="27.75" customHeight="1" x14ac:dyDescent="0.25">
      <c r="A1" s="16"/>
      <c r="B1" s="16"/>
      <c r="C1" s="16"/>
      <c r="D1" s="16"/>
      <c r="E1" s="17" t="s">
        <v>71</v>
      </c>
      <c r="F1" s="18" t="s">
        <v>72</v>
      </c>
      <c r="G1" s="18" t="s">
        <v>73</v>
      </c>
      <c r="H1" s="18" t="s">
        <v>74</v>
      </c>
      <c r="I1" s="19"/>
    </row>
    <row r="2" spans="1:10" ht="30.75" customHeight="1" x14ac:dyDescent="0.25">
      <c r="A2" s="16"/>
      <c r="B2" s="16"/>
      <c r="C2" s="16"/>
      <c r="D2" s="16"/>
      <c r="E2" s="22">
        <f>IFERROR(O68,"")</f>
        <v>3057.400584415584</v>
      </c>
      <c r="F2" s="22">
        <f>IFERROR(H59,"")</f>
        <v>2416.7849999999999</v>
      </c>
      <c r="G2" s="22">
        <f>IFERROR(H60,"")</f>
        <v>0.2</v>
      </c>
      <c r="H2" s="22">
        <f>IFERROR(H62,"")</f>
        <v>308.2</v>
      </c>
      <c r="I2" s="23"/>
    </row>
    <row r="3" spans="1:10" ht="15" customHeight="1" x14ac:dyDescent="0.25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3">
      <c r="A4" s="137"/>
      <c r="B4" s="137"/>
      <c r="C4" s="137"/>
      <c r="D4" s="137"/>
      <c r="E4" s="137"/>
      <c r="F4" s="137"/>
      <c r="G4" s="137"/>
      <c r="H4" s="137"/>
      <c r="I4" s="25"/>
    </row>
    <row r="5" spans="1:10" ht="19.5" customHeight="1" thickBot="1" x14ac:dyDescent="0.3">
      <c r="A5" s="138" t="s">
        <v>75</v>
      </c>
      <c r="B5" s="139"/>
      <c r="C5" s="139"/>
      <c r="D5" s="139"/>
      <c r="E5" s="139"/>
      <c r="F5" s="139"/>
      <c r="G5" s="139"/>
      <c r="H5" s="140"/>
      <c r="I5" s="26"/>
    </row>
    <row r="6" spans="1:10" ht="19.5" thickBot="1" x14ac:dyDescent="0.3">
      <c r="A6" s="26"/>
      <c r="B6" s="26"/>
      <c r="C6" s="26"/>
      <c r="D6" s="26"/>
      <c r="E6" s="26"/>
      <c r="F6" s="141" t="s">
        <v>76</v>
      </c>
      <c r="G6" s="141"/>
      <c r="H6" s="27">
        <f ca="1">TODAY()</f>
        <v>45959</v>
      </c>
      <c r="I6" s="27"/>
    </row>
    <row r="7" spans="1:10" ht="26.25" thickBot="1" x14ac:dyDescent="0.3">
      <c r="A7" s="28" t="s">
        <v>77</v>
      </c>
      <c r="B7" s="29" t="s">
        <v>78</v>
      </c>
      <c r="C7" s="29" t="s">
        <v>77</v>
      </c>
      <c r="D7" s="30" t="s">
        <v>79</v>
      </c>
      <c r="E7" s="30" t="s">
        <v>80</v>
      </c>
      <c r="F7" s="30" t="s">
        <v>81</v>
      </c>
      <c r="G7" s="30" t="s">
        <v>82</v>
      </c>
      <c r="H7" s="31" t="s">
        <v>83</v>
      </c>
      <c r="I7" s="32"/>
    </row>
    <row r="8" spans="1:10" ht="13.5" x14ac:dyDescent="0.25">
      <c r="A8" s="33">
        <v>100</v>
      </c>
      <c r="B8" s="21" t="s">
        <v>41</v>
      </c>
      <c r="C8" s="34">
        <f>+A8</f>
        <v>100</v>
      </c>
      <c r="D8" s="35" t="s">
        <v>123</v>
      </c>
      <c r="E8" s="35">
        <v>3.49</v>
      </c>
      <c r="F8" s="35">
        <f>IFERROR(C8*E8,"")</f>
        <v>349</v>
      </c>
      <c r="G8" s="36">
        <f>IFERROR(F8/$F$72,"")</f>
        <v>0.1258419194000896</v>
      </c>
      <c r="H8" s="37" t="s">
        <v>40</v>
      </c>
      <c r="I8" s="37"/>
      <c r="J8" s="38"/>
    </row>
    <row r="9" spans="1:10" ht="13.5" x14ac:dyDescent="0.25">
      <c r="A9" s="33">
        <v>120</v>
      </c>
      <c r="B9" s="21" t="s">
        <v>43</v>
      </c>
      <c r="C9" s="34">
        <f t="shared" ref="C9:C20" si="0">+A9</f>
        <v>120</v>
      </c>
      <c r="D9" s="35" t="s">
        <v>123</v>
      </c>
      <c r="E9" s="35">
        <v>1.84</v>
      </c>
      <c r="F9" s="35">
        <f t="shared" ref="F9:F20" si="1">IFERROR(C9*E9,"")</f>
        <v>220.8</v>
      </c>
      <c r="G9" s="36">
        <f>IFERROR(F9/$F$72,"")</f>
        <v>7.9615747288079602E-2</v>
      </c>
      <c r="H9" s="37" t="s">
        <v>42</v>
      </c>
      <c r="I9" s="37"/>
      <c r="J9" s="38"/>
    </row>
    <row r="10" spans="1:10" ht="13.5" x14ac:dyDescent="0.25">
      <c r="A10" s="33">
        <v>20</v>
      </c>
      <c r="B10" s="21" t="s">
        <v>60</v>
      </c>
      <c r="C10" s="34">
        <f t="shared" si="0"/>
        <v>20</v>
      </c>
      <c r="D10" s="35" t="s">
        <v>123</v>
      </c>
      <c r="E10" s="35">
        <v>4.2</v>
      </c>
      <c r="F10" s="35">
        <f t="shared" si="1"/>
        <v>84</v>
      </c>
      <c r="G10" s="36">
        <f>IFERROR(F10/$F$72,"")</f>
        <v>3.0288599511769414E-2</v>
      </c>
      <c r="H10" s="37" t="s">
        <v>59</v>
      </c>
      <c r="I10" s="37"/>
      <c r="J10" s="38"/>
    </row>
    <row r="11" spans="1:10" ht="13.5" x14ac:dyDescent="0.25">
      <c r="A11" s="33">
        <v>70</v>
      </c>
      <c r="B11" s="21" t="s">
        <v>62</v>
      </c>
      <c r="C11" s="34">
        <f t="shared" ref="C11:C17" si="2">+A11</f>
        <v>70</v>
      </c>
      <c r="D11" s="35" t="s">
        <v>123</v>
      </c>
      <c r="E11" s="35">
        <v>4.05</v>
      </c>
      <c r="F11" s="35">
        <f t="shared" ref="F11:F16" si="3">IFERROR(C11*E11,"")</f>
        <v>283.5</v>
      </c>
      <c r="G11" s="36">
        <f t="shared" ref="G11:G16" si="4">IFERROR(F11/$F$72,"")</f>
        <v>0.10222402335222176</v>
      </c>
      <c r="H11" s="37" t="s">
        <v>61</v>
      </c>
      <c r="I11" s="37"/>
      <c r="J11" s="38"/>
    </row>
    <row r="12" spans="1:10" ht="13.5" x14ac:dyDescent="0.25">
      <c r="A12" s="33">
        <v>280</v>
      </c>
      <c r="B12" s="21" t="s">
        <v>38</v>
      </c>
      <c r="C12" s="34">
        <f t="shared" si="2"/>
        <v>280</v>
      </c>
      <c r="D12" s="35" t="s">
        <v>123</v>
      </c>
      <c r="E12" s="35">
        <v>2.5</v>
      </c>
      <c r="F12" s="35">
        <f t="shared" si="3"/>
        <v>700</v>
      </c>
      <c r="G12" s="36">
        <f t="shared" si="4"/>
        <v>0.2524049959314118</v>
      </c>
      <c r="H12" s="37" t="s">
        <v>37</v>
      </c>
      <c r="I12" s="37"/>
      <c r="J12" s="38"/>
    </row>
    <row r="13" spans="1:10" ht="13.5" x14ac:dyDescent="0.25">
      <c r="A13" s="33">
        <v>500</v>
      </c>
      <c r="B13" s="21" t="s">
        <v>64</v>
      </c>
      <c r="C13" s="34">
        <f t="shared" si="2"/>
        <v>500</v>
      </c>
      <c r="D13" s="35" t="s">
        <v>123</v>
      </c>
      <c r="E13" s="35">
        <v>0.72</v>
      </c>
      <c r="F13" s="35">
        <f t="shared" si="3"/>
        <v>360</v>
      </c>
      <c r="G13" s="36">
        <f t="shared" si="4"/>
        <v>0.12980828362186891</v>
      </c>
      <c r="H13" s="37" t="s">
        <v>63</v>
      </c>
      <c r="I13" s="37"/>
      <c r="J13" s="38"/>
    </row>
    <row r="14" spans="1:10" ht="13.5" x14ac:dyDescent="0.25">
      <c r="A14" s="33">
        <v>0.5</v>
      </c>
      <c r="B14" s="21" t="s">
        <v>66</v>
      </c>
      <c r="C14" s="34">
        <f t="shared" si="2"/>
        <v>0.5</v>
      </c>
      <c r="D14" s="35" t="s">
        <v>123</v>
      </c>
      <c r="E14" s="35">
        <v>14.88</v>
      </c>
      <c r="F14" s="35">
        <f t="shared" si="3"/>
        <v>7.44</v>
      </c>
      <c r="G14" s="36">
        <f t="shared" si="4"/>
        <v>2.6827045281852908E-3</v>
      </c>
      <c r="H14" s="37" t="s">
        <v>65</v>
      </c>
      <c r="I14" s="37"/>
      <c r="J14" s="38"/>
    </row>
    <row r="15" spans="1:10" ht="13.5" x14ac:dyDescent="0.25">
      <c r="A15" s="33">
        <v>0.5</v>
      </c>
      <c r="B15" s="21" t="s">
        <v>45</v>
      </c>
      <c r="C15" s="34">
        <f t="shared" si="2"/>
        <v>0.5</v>
      </c>
      <c r="D15" s="35" t="s">
        <v>123</v>
      </c>
      <c r="E15" s="35">
        <v>6.66</v>
      </c>
      <c r="F15" s="35">
        <f t="shared" si="3"/>
        <v>3.33</v>
      </c>
      <c r="G15" s="36">
        <f t="shared" si="4"/>
        <v>1.2007266235022874E-3</v>
      </c>
      <c r="H15" s="37" t="s">
        <v>44</v>
      </c>
      <c r="I15" s="37"/>
      <c r="J15" s="38"/>
    </row>
    <row r="16" spans="1:10" ht="13.5" x14ac:dyDescent="0.25">
      <c r="A16" s="33">
        <v>30</v>
      </c>
      <c r="B16" s="21" t="s">
        <v>47</v>
      </c>
      <c r="C16" s="34">
        <f t="shared" si="2"/>
        <v>30</v>
      </c>
      <c r="D16" s="35" t="s">
        <v>123</v>
      </c>
      <c r="E16" s="35">
        <v>12.45</v>
      </c>
      <c r="F16" s="35">
        <f t="shared" si="3"/>
        <v>373.5</v>
      </c>
      <c r="G16" s="36">
        <f t="shared" si="4"/>
        <v>0.13467609425768901</v>
      </c>
      <c r="H16" s="37" t="s">
        <v>46</v>
      </c>
      <c r="I16" s="37"/>
      <c r="J16" s="38"/>
    </row>
    <row r="17" spans="1:10" ht="13.5" x14ac:dyDescent="0.25">
      <c r="A17" s="33">
        <v>0.5</v>
      </c>
      <c r="B17" s="21" t="s">
        <v>68</v>
      </c>
      <c r="C17" s="34">
        <f t="shared" si="2"/>
        <v>0.5</v>
      </c>
      <c r="D17" s="35" t="s">
        <v>123</v>
      </c>
      <c r="E17" s="35">
        <v>23.83</v>
      </c>
      <c r="F17" s="35">
        <f t="shared" si="1"/>
        <v>11.914999999999999</v>
      </c>
      <c r="G17" s="36">
        <f>IFERROR(F17/$F$72,"")</f>
        <v>4.2962936093182448E-3</v>
      </c>
      <c r="H17" s="37" t="s">
        <v>67</v>
      </c>
      <c r="I17" s="37"/>
      <c r="J17" s="38"/>
    </row>
    <row r="18" spans="1:10" ht="13.5" hidden="1" x14ac:dyDescent="0.25">
      <c r="A18" s="33"/>
      <c r="B18" s="21" t="str">
        <f>IFERROR(VLOOKUP(H18,'[1]Consolidado MP Planta'!$A$2:$M$823,3,0),"")</f>
        <v/>
      </c>
      <c r="C18" s="34">
        <f t="shared" si="0"/>
        <v>0</v>
      </c>
      <c r="D18" s="35"/>
      <c r="E18" s="35" t="str">
        <f>IFERROR(VLOOKUP(H18,'[1]Consolidado MP Planta'!$A$2:$M$823,12,0),"")</f>
        <v/>
      </c>
      <c r="F18" s="35" t="str">
        <f t="shared" si="1"/>
        <v/>
      </c>
      <c r="G18" s="36" t="str">
        <f>IFERROR(F18/$F$72,"")</f>
        <v/>
      </c>
      <c r="H18" s="37"/>
      <c r="I18" s="37"/>
      <c r="J18" s="38"/>
    </row>
    <row r="19" spans="1:10" ht="13.5" hidden="1" x14ac:dyDescent="0.25">
      <c r="A19" s="33"/>
      <c r="B19" s="21" t="str">
        <f>IFERROR(VLOOKUP(H19,'[1]Consolidado MP Planta'!$A$2:$M$823,3,0),"")</f>
        <v/>
      </c>
      <c r="C19" s="34">
        <f t="shared" si="0"/>
        <v>0</v>
      </c>
      <c r="D19" s="35" t="str">
        <f>IFERROR(VLOOKUP(H19,'[1]Consolidado MP Planta'!$A$2:$M$823,13,0),"")</f>
        <v/>
      </c>
      <c r="E19" s="35" t="str">
        <f>IFERROR(VLOOKUP(H19,'[1]Consolidado MP Planta'!$A$2:$M$823,12,0),"")</f>
        <v/>
      </c>
      <c r="F19" s="35" t="str">
        <f t="shared" si="1"/>
        <v/>
      </c>
      <c r="G19" s="36" t="str">
        <f>IFERROR(F19/$F$72,"")</f>
        <v/>
      </c>
      <c r="H19" s="37"/>
      <c r="I19" s="37"/>
      <c r="J19" s="38"/>
    </row>
    <row r="20" spans="1:10" ht="13.5" hidden="1" x14ac:dyDescent="0.25">
      <c r="A20" s="33"/>
      <c r="B20" s="21" t="str">
        <f>IFERROR(VLOOKUP(H20,'[1]Consolidado MP Planta'!$A$2:$M$823,3,0),"")</f>
        <v/>
      </c>
      <c r="C20" s="34">
        <f t="shared" si="0"/>
        <v>0</v>
      </c>
      <c r="D20" s="35" t="str">
        <f>IFERROR(VLOOKUP(H20,'[1]Consolidado MP Planta'!$A$2:$M$823,13,0),"")</f>
        <v/>
      </c>
      <c r="E20" s="35" t="str">
        <f>IFERROR(VLOOKUP(H20,'[1]Consolidado MP Planta'!$A$2:$M$823,12,0),"")</f>
        <v/>
      </c>
      <c r="F20" s="35" t="str">
        <f t="shared" si="1"/>
        <v/>
      </c>
      <c r="G20" s="36" t="str">
        <f>IFERROR(F20/$F$72,"")</f>
        <v/>
      </c>
      <c r="H20" s="37"/>
      <c r="I20" s="37"/>
      <c r="J20" s="38"/>
    </row>
    <row r="21" spans="1:10" ht="14.25" thickBot="1" x14ac:dyDescent="0.3">
      <c r="A21" s="33"/>
      <c r="B21" s="21" t="str">
        <f>IFERROR(VLOOKUP(H21,[2]Hoja2!$A$2:$G$589,2,0),"")</f>
        <v/>
      </c>
      <c r="C21" s="34"/>
      <c r="D21" s="35"/>
      <c r="E21" s="35"/>
      <c r="F21" s="35"/>
      <c r="G21" s="36"/>
      <c r="H21" s="37"/>
      <c r="I21" s="37"/>
      <c r="J21" s="38"/>
    </row>
    <row r="22" spans="1:10" ht="26.25" thickBot="1" x14ac:dyDescent="0.3">
      <c r="A22" s="28" t="s">
        <v>77</v>
      </c>
      <c r="B22" s="29" t="s">
        <v>84</v>
      </c>
      <c r="C22" s="29" t="s">
        <v>77</v>
      </c>
      <c r="D22" s="30" t="s">
        <v>79</v>
      </c>
      <c r="E22" s="30" t="s">
        <v>80</v>
      </c>
      <c r="F22" s="30" t="s">
        <v>81</v>
      </c>
      <c r="G22" s="30" t="s">
        <v>82</v>
      </c>
      <c r="H22" s="31" t="s">
        <v>83</v>
      </c>
      <c r="I22" s="32"/>
      <c r="J22" s="38"/>
    </row>
    <row r="23" spans="1:10" ht="13.5" x14ac:dyDescent="0.25">
      <c r="A23" s="33">
        <v>10</v>
      </c>
      <c r="B23" s="21" t="s">
        <v>49</v>
      </c>
      <c r="C23" s="34">
        <f>+A23</f>
        <v>10</v>
      </c>
      <c r="D23" s="34" t="s">
        <v>123</v>
      </c>
      <c r="E23" s="35">
        <v>0.28000000000000003</v>
      </c>
      <c r="F23" s="35">
        <f>IFERROR(E23*C23,"")</f>
        <v>2.8000000000000003</v>
      </c>
      <c r="G23" s="36">
        <f t="shared" ref="G23:G30" si="5">IFERROR(F23/$F$72,"")</f>
        <v>1.0096199837256472E-3</v>
      </c>
      <c r="H23" s="37" t="s">
        <v>48</v>
      </c>
      <c r="I23" s="37"/>
      <c r="J23" s="38"/>
    </row>
    <row r="24" spans="1:10" ht="13.5" x14ac:dyDescent="0.25">
      <c r="A24" s="33">
        <v>10</v>
      </c>
      <c r="B24" s="21" t="s">
        <v>51</v>
      </c>
      <c r="C24" s="34">
        <f t="shared" ref="C24:C30" si="6">+A24</f>
        <v>10</v>
      </c>
      <c r="D24" s="34" t="s">
        <v>123</v>
      </c>
      <c r="E24" s="35">
        <v>2.0499999999999998</v>
      </c>
      <c r="F24" s="35">
        <f t="shared" ref="F24:F30" si="7">IFERROR(E24*C24,"")</f>
        <v>20.5</v>
      </c>
      <c r="G24" s="36">
        <f t="shared" si="5"/>
        <v>7.3918605951342024E-3</v>
      </c>
      <c r="H24" s="37" t="s">
        <v>50</v>
      </c>
      <c r="I24" s="37"/>
      <c r="J24" s="38"/>
    </row>
    <row r="25" spans="1:10" ht="13.5" hidden="1" x14ac:dyDescent="0.25">
      <c r="A25" s="33"/>
      <c r="B25" s="21" t="str">
        <f>IFERROR(VLOOKUP(H25,[1]SEMIELABORADOS!$A$2:$M$6000,2,0),"")</f>
        <v/>
      </c>
      <c r="C25" s="34">
        <f>+A25</f>
        <v>0</v>
      </c>
      <c r="D25" s="34" t="str">
        <f>IFERROR(VLOOKUP(H25,[1]SEMIELABORADOS!$A$2:$M$6000,6,0),"")</f>
        <v/>
      </c>
      <c r="E25" s="35" t="str">
        <f>IFERROR(VLOOKUP(H25,[1]SEMIELABORADOS!$A$2:$H$65536,8,0),"")</f>
        <v/>
      </c>
      <c r="F25" s="35" t="str">
        <f>IFERROR(E25*C25,"")</f>
        <v/>
      </c>
      <c r="G25" s="36" t="str">
        <f t="shared" si="5"/>
        <v/>
      </c>
      <c r="H25" s="37"/>
      <c r="I25" s="37"/>
      <c r="J25" s="38"/>
    </row>
    <row r="26" spans="1:10" ht="13.5" hidden="1" x14ac:dyDescent="0.25">
      <c r="A26" s="33"/>
      <c r="B26" s="21" t="str">
        <f>IFERROR(VLOOKUP(H26,[1]SEMIELABORADOS!$A$2:$M$6000,2,0),"")</f>
        <v/>
      </c>
      <c r="C26" s="34">
        <f>+A26</f>
        <v>0</v>
      </c>
      <c r="D26" s="34" t="str">
        <f>IFERROR(VLOOKUP(H26,[1]SEMIELABORADOS!$A$2:$M$6000,6,0),"")</f>
        <v/>
      </c>
      <c r="E26" s="35" t="str">
        <f>IFERROR(VLOOKUP(H26,[1]SEMIELABORADOS!$A$2:$H$65536,8,0),"")</f>
        <v/>
      </c>
      <c r="F26" s="35" t="str">
        <f>IFERROR(E26*C26,"")</f>
        <v/>
      </c>
      <c r="G26" s="36" t="str">
        <f t="shared" si="5"/>
        <v/>
      </c>
      <c r="H26" s="37"/>
      <c r="I26" s="37"/>
      <c r="J26" s="38"/>
    </row>
    <row r="27" spans="1:10" ht="13.5" hidden="1" x14ac:dyDescent="0.25">
      <c r="A27" s="33"/>
      <c r="B27" s="21" t="str">
        <f>IFERROR(VLOOKUP(H27,[1]SEMIELABORADOS!$A$2:$M$6000,2,0),"")</f>
        <v/>
      </c>
      <c r="C27" s="34">
        <f>+A27</f>
        <v>0</v>
      </c>
      <c r="D27" s="34" t="str">
        <f>IFERROR(VLOOKUP(H27,[1]SEMIELABORADOS!$A$2:$M$6000,6,0),"")</f>
        <v/>
      </c>
      <c r="E27" s="35" t="str">
        <f>IFERROR(VLOOKUP(H27,[1]SEMIELABORADOS!$A$2:$H$65536,8,0),"")</f>
        <v/>
      </c>
      <c r="F27" s="35" t="str">
        <f>IFERROR(E27*C27,"")</f>
        <v/>
      </c>
      <c r="G27" s="36" t="str">
        <f t="shared" si="5"/>
        <v/>
      </c>
      <c r="H27" s="37"/>
      <c r="I27" s="37"/>
      <c r="J27" s="38"/>
    </row>
    <row r="28" spans="1:10" ht="13.5" hidden="1" x14ac:dyDescent="0.25">
      <c r="A28" s="33"/>
      <c r="B28" s="21" t="str">
        <f>IFERROR(VLOOKUP(H28,[1]SEMIELABORADOS!$A$2:$M$6000,2,0),"")</f>
        <v/>
      </c>
      <c r="C28" s="34">
        <f t="shared" si="6"/>
        <v>0</v>
      </c>
      <c r="D28" s="34" t="str">
        <f>IFERROR(VLOOKUP(H28,[1]SEMIELABORADOS!$A$2:$M$6000,6,0),"")</f>
        <v/>
      </c>
      <c r="E28" s="35" t="str">
        <f>IFERROR(VLOOKUP(H28,[1]SEMIELABORADOS!$A$2:$H$65536,8,0),"")</f>
        <v/>
      </c>
      <c r="F28" s="35" t="str">
        <f t="shared" si="7"/>
        <v/>
      </c>
      <c r="G28" s="36" t="str">
        <f t="shared" si="5"/>
        <v/>
      </c>
      <c r="H28" s="37"/>
      <c r="I28" s="37"/>
      <c r="J28" s="38"/>
    </row>
    <row r="29" spans="1:10" ht="13.5" hidden="1" x14ac:dyDescent="0.25">
      <c r="A29" s="33"/>
      <c r="B29" s="21" t="str">
        <f>IFERROR(VLOOKUP(H29,[1]SEMIELABORADOS!$A$2:$M$6000,2,0),"")</f>
        <v/>
      </c>
      <c r="C29" s="34">
        <f t="shared" si="6"/>
        <v>0</v>
      </c>
      <c r="D29" s="34" t="str">
        <f>IFERROR(VLOOKUP(H29,[1]SEMIELABORADOS!$A$2:$M$6000,6,0),"")</f>
        <v/>
      </c>
      <c r="E29" s="35" t="str">
        <f>IFERROR(VLOOKUP(H29,[1]SEMIELABORADOS!$A$2:$H$65536,8,0),"")</f>
        <v/>
      </c>
      <c r="F29" s="35" t="str">
        <f t="shared" si="7"/>
        <v/>
      </c>
      <c r="G29" s="36" t="str">
        <f t="shared" si="5"/>
        <v/>
      </c>
      <c r="H29" s="37"/>
      <c r="I29" s="37"/>
      <c r="J29" s="38"/>
    </row>
    <row r="30" spans="1:10" ht="13.5" hidden="1" x14ac:dyDescent="0.25">
      <c r="A30" s="33"/>
      <c r="B30" s="21" t="str">
        <f>IFERROR(VLOOKUP(H30,[1]SEMIELABORADOS!$A$2:$M$6000,2,0),"")</f>
        <v/>
      </c>
      <c r="C30" s="34">
        <f t="shared" si="6"/>
        <v>0</v>
      </c>
      <c r="D30" s="34" t="str">
        <f>IFERROR(VLOOKUP(H30,[1]SEMIELABORADOS!$A$2:$M$6000,6,0),"")</f>
        <v/>
      </c>
      <c r="E30" s="35" t="str">
        <f>IFERROR(VLOOKUP(H30,[1]SEMIELABORADOS!$A$2:$H$65536,8,0),"")</f>
        <v/>
      </c>
      <c r="F30" s="35" t="str">
        <f t="shared" si="7"/>
        <v/>
      </c>
      <c r="G30" s="36" t="str">
        <f t="shared" si="5"/>
        <v/>
      </c>
      <c r="H30" s="37"/>
      <c r="I30" s="37"/>
      <c r="J30" s="38"/>
    </row>
    <row r="31" spans="1:10" ht="14.25" thickBot="1" x14ac:dyDescent="0.3">
      <c r="A31" s="33"/>
      <c r="C31" s="34"/>
      <c r="D31" s="34"/>
      <c r="E31" s="35"/>
      <c r="F31" s="35"/>
      <c r="G31" s="36"/>
      <c r="H31" s="37"/>
      <c r="I31" s="37"/>
      <c r="J31" s="38"/>
    </row>
    <row r="32" spans="1:10" ht="26.25" hidden="1" thickBot="1" x14ac:dyDescent="0.3">
      <c r="A32" s="28" t="s">
        <v>77</v>
      </c>
      <c r="B32" s="29" t="s">
        <v>85</v>
      </c>
      <c r="C32" s="29" t="s">
        <v>77</v>
      </c>
      <c r="D32" s="30" t="s">
        <v>79</v>
      </c>
      <c r="E32" s="30" t="s">
        <v>80</v>
      </c>
      <c r="F32" s="30" t="s">
        <v>81</v>
      </c>
      <c r="G32" s="30" t="s">
        <v>82</v>
      </c>
      <c r="H32" s="31" t="s">
        <v>83</v>
      </c>
      <c r="I32" s="32"/>
    </row>
    <row r="33" spans="1:12" ht="13.5" hidden="1" x14ac:dyDescent="0.25">
      <c r="A33" s="33">
        <v>0</v>
      </c>
      <c r="B33" s="39" t="str">
        <f>IFERROR(VLOOKUP(H33,'[1]Consolidado MP Planta'!$A$2:$M$823,3,0),"")</f>
        <v/>
      </c>
      <c r="C33" s="34">
        <f t="shared" ref="C33:C38" si="8">+A33</f>
        <v>0</v>
      </c>
      <c r="D33" s="35" t="str">
        <f>IFERROR(VLOOKUP(H33,'[1]Consolidado MP Planta'!$A$2:$M$823,13,0),"")</f>
        <v/>
      </c>
      <c r="E33" s="35" t="str">
        <f>IFERROR(VLOOKUP(H33,'[1]Consolidado MP Planta'!$A$2:$M$823,12,0),"")</f>
        <v/>
      </c>
      <c r="F33" s="35" t="str">
        <f t="shared" ref="F33:F38" si="9">IFERROR(C33*E33,"")</f>
        <v/>
      </c>
      <c r="G33" s="36" t="str">
        <f t="shared" ref="G33:G38" si="10">IFERROR(F33/$F$72,"")</f>
        <v/>
      </c>
      <c r="H33" s="40"/>
      <c r="I33" s="40"/>
      <c r="J33" s="38"/>
      <c r="K33" s="136"/>
      <c r="L33" s="136"/>
    </row>
    <row r="34" spans="1:12" ht="13.5" hidden="1" x14ac:dyDescent="0.25">
      <c r="A34" s="33"/>
      <c r="B34" s="39" t="str">
        <f>IFERROR(VLOOKUP(H34,'[1]Consolidado MP Planta'!$A$2:$M$823,3,0),"")</f>
        <v/>
      </c>
      <c r="C34" s="34">
        <f t="shared" si="8"/>
        <v>0</v>
      </c>
      <c r="D34" s="35" t="str">
        <f>IFERROR(VLOOKUP(H34,'[1]Consolidado MP Planta'!$A$2:$M$823,13,0),"")</f>
        <v/>
      </c>
      <c r="E34" s="35" t="str">
        <f>IFERROR(VLOOKUP(H34,'[1]Consolidado MP Planta'!$A$2:$M$823,12,0),"")</f>
        <v/>
      </c>
      <c r="F34" s="35" t="str">
        <f t="shared" si="9"/>
        <v/>
      </c>
      <c r="G34" s="36" t="str">
        <f t="shared" si="10"/>
        <v/>
      </c>
      <c r="H34" s="40"/>
      <c r="I34" s="40"/>
      <c r="J34" s="38"/>
      <c r="K34" s="136"/>
      <c r="L34" s="136"/>
    </row>
    <row r="35" spans="1:12" ht="13.5" hidden="1" x14ac:dyDescent="0.25">
      <c r="A35" s="33"/>
      <c r="B35" s="39" t="str">
        <f>IFERROR(VLOOKUP(H35,'[1]Consolidado MP Planta'!$A$2:$M$823,3,0),"")</f>
        <v/>
      </c>
      <c r="C35" s="34">
        <f t="shared" si="8"/>
        <v>0</v>
      </c>
      <c r="D35" s="35" t="str">
        <f>IFERROR(VLOOKUP(H35,'[1]Consolidado MP Planta'!$A$2:$M$823,13,0),"")</f>
        <v/>
      </c>
      <c r="E35" s="35" t="str">
        <f>IFERROR(VLOOKUP(H35,'[1]Consolidado MP Planta'!$A$2:$M$823,12,0),"")</f>
        <v/>
      </c>
      <c r="F35" s="35" t="str">
        <f t="shared" si="9"/>
        <v/>
      </c>
      <c r="G35" s="36" t="str">
        <f t="shared" si="10"/>
        <v/>
      </c>
      <c r="H35" s="40"/>
      <c r="I35" s="40"/>
      <c r="J35" s="38"/>
      <c r="K35" s="136"/>
      <c r="L35" s="136"/>
    </row>
    <row r="36" spans="1:12" ht="13.5" hidden="1" x14ac:dyDescent="0.25">
      <c r="A36" s="33"/>
      <c r="B36" s="39" t="str">
        <f>IFERROR(VLOOKUP(H36,'[1]Consolidado MP Planta'!$A$2:$M$823,3,0),"")</f>
        <v/>
      </c>
      <c r="C36" s="34">
        <f t="shared" si="8"/>
        <v>0</v>
      </c>
      <c r="D36" s="35" t="str">
        <f>IFERROR(VLOOKUP(H36,'[1]Consolidado MP Planta'!$A$2:$M$823,13,0),"")</f>
        <v/>
      </c>
      <c r="E36" s="35" t="str">
        <f>IFERROR(VLOOKUP(H36,'[1]Consolidado MP Planta'!$A$2:$M$823,12,0),"")</f>
        <v/>
      </c>
      <c r="F36" s="35" t="str">
        <f t="shared" si="9"/>
        <v/>
      </c>
      <c r="G36" s="36" t="str">
        <f t="shared" si="10"/>
        <v/>
      </c>
      <c r="H36" s="40"/>
      <c r="I36" s="40"/>
      <c r="J36" s="38"/>
      <c r="K36" s="136"/>
      <c r="L36" s="136"/>
    </row>
    <row r="37" spans="1:12" ht="13.5" hidden="1" x14ac:dyDescent="0.25">
      <c r="A37" s="33"/>
      <c r="B37" s="39" t="str">
        <f>IFERROR(VLOOKUP(H37,'[1]Consolidado MP Planta'!$A$2:$M$823,3,0),"")</f>
        <v/>
      </c>
      <c r="C37" s="34">
        <f t="shared" si="8"/>
        <v>0</v>
      </c>
      <c r="D37" s="35" t="str">
        <f>IFERROR(VLOOKUP(H37,'[1]Consolidado MP Planta'!$A$2:$M$823,13,0),"")</f>
        <v/>
      </c>
      <c r="E37" s="35" t="str">
        <f>IFERROR(VLOOKUP(H37,'[1]Consolidado MP Planta'!$A$2:$M$823,12,0),"")</f>
        <v/>
      </c>
      <c r="F37" s="35" t="str">
        <f t="shared" si="9"/>
        <v/>
      </c>
      <c r="G37" s="36" t="str">
        <f t="shared" si="10"/>
        <v/>
      </c>
      <c r="H37" s="40"/>
      <c r="I37" s="40"/>
      <c r="J37" s="38"/>
      <c r="K37" s="41"/>
      <c r="L37" s="42"/>
    </row>
    <row r="38" spans="1:12" ht="13.5" hidden="1" x14ac:dyDescent="0.25">
      <c r="A38" s="33"/>
      <c r="B38" s="39" t="str">
        <f>IFERROR(VLOOKUP(H38,'[1]Consolidado MP Planta'!$A$2:$M$823,3,0),"")</f>
        <v/>
      </c>
      <c r="C38" s="34">
        <f t="shared" si="8"/>
        <v>0</v>
      </c>
      <c r="D38" s="35" t="str">
        <f>IFERROR(VLOOKUP(H38,'[1]Consolidado MP Planta'!$A$2:$M$823,13,0),"")</f>
        <v/>
      </c>
      <c r="E38" s="35" t="str">
        <f>IFERROR(VLOOKUP(H38,'[1]Consolidado MP Planta'!$A$2:$M$823,12,0),"")</f>
        <v/>
      </c>
      <c r="F38" s="35" t="str">
        <f t="shared" si="9"/>
        <v/>
      </c>
      <c r="G38" s="36" t="str">
        <f t="shared" si="10"/>
        <v/>
      </c>
      <c r="H38" s="40"/>
      <c r="I38" s="40"/>
      <c r="J38" s="38"/>
    </row>
    <row r="39" spans="1:12" ht="14.25" hidden="1" thickBot="1" x14ac:dyDescent="0.3">
      <c r="A39" s="33"/>
      <c r="B39" s="39"/>
      <c r="C39" s="34"/>
      <c r="D39" s="35"/>
      <c r="E39" s="35"/>
      <c r="F39" s="35"/>
      <c r="G39" s="36"/>
      <c r="H39" s="40"/>
      <c r="I39" s="40"/>
      <c r="J39" s="38"/>
    </row>
    <row r="40" spans="1:12" ht="26.25" thickBot="1" x14ac:dyDescent="0.25">
      <c r="A40" s="28" t="s">
        <v>77</v>
      </c>
      <c r="B40" s="29" t="s">
        <v>86</v>
      </c>
      <c r="C40" s="29" t="s">
        <v>77</v>
      </c>
      <c r="D40" s="30" t="s">
        <v>79</v>
      </c>
      <c r="E40" s="30" t="s">
        <v>80</v>
      </c>
      <c r="F40" s="30" t="s">
        <v>81</v>
      </c>
      <c r="G40" s="30" t="s">
        <v>82</v>
      </c>
      <c r="H40" s="31" t="s">
        <v>83</v>
      </c>
      <c r="I40" s="40"/>
      <c r="J40" s="38"/>
    </row>
    <row r="41" spans="1:12" ht="13.5" x14ac:dyDescent="0.25">
      <c r="A41" s="33">
        <f>+A23</f>
        <v>10</v>
      </c>
      <c r="B41" s="21" t="s">
        <v>49</v>
      </c>
      <c r="C41" s="34">
        <f>+A41</f>
        <v>10</v>
      </c>
      <c r="D41" s="35" t="s">
        <v>123</v>
      </c>
      <c r="E41" s="35">
        <v>0.01</v>
      </c>
      <c r="F41" s="35">
        <f>IFERROR(E41*C41,"")</f>
        <v>0.1</v>
      </c>
      <c r="G41" s="36">
        <f t="shared" ref="G41:G47" si="11">IFERROR(F41/$F$72,"")</f>
        <v>3.6057856561630256E-5</v>
      </c>
      <c r="H41" s="40" t="s">
        <v>48</v>
      </c>
      <c r="I41" s="40"/>
      <c r="J41" s="38"/>
    </row>
    <row r="42" spans="1:12" ht="13.5" x14ac:dyDescent="0.25">
      <c r="A42" s="33">
        <f t="shared" ref="A42:A47" si="12">+A24</f>
        <v>10</v>
      </c>
      <c r="B42" s="21" t="s">
        <v>51</v>
      </c>
      <c r="C42" s="34">
        <f t="shared" ref="C42:C47" si="13">+A42</f>
        <v>10</v>
      </c>
      <c r="D42" s="35" t="s">
        <v>123</v>
      </c>
      <c r="E42" s="35">
        <v>0.01</v>
      </c>
      <c r="F42" s="35">
        <f t="shared" ref="F42:F47" si="14">IFERROR(E42*C42,"")</f>
        <v>0.1</v>
      </c>
      <c r="G42" s="36">
        <f t="shared" si="11"/>
        <v>3.6057856561630256E-5</v>
      </c>
      <c r="H42" s="40" t="s">
        <v>50</v>
      </c>
      <c r="I42" s="40"/>
      <c r="J42" s="38"/>
    </row>
    <row r="43" spans="1:12" ht="13.5" hidden="1" x14ac:dyDescent="0.25">
      <c r="A43" s="33">
        <f t="shared" si="12"/>
        <v>0</v>
      </c>
      <c r="B43" s="39" t="str">
        <f>IFERROR(VLOOKUP(H43,[1]SEMIELABORADOS!$A$2:$M$6000,2,0),"")</f>
        <v/>
      </c>
      <c r="C43" s="34">
        <f t="shared" si="13"/>
        <v>0</v>
      </c>
      <c r="D43" s="35" t="str">
        <f>IFERROR(VLOOKUP(H43,[1]SEMIELABORADOS!$A$2:$M$6000,6,0),"")</f>
        <v/>
      </c>
      <c r="E43" s="35" t="str">
        <f>IFERROR(VLOOKUP(H43,[1]SEMIELABORADOS!$A$2:$M$65536,10,0),"")</f>
        <v/>
      </c>
      <c r="F43" s="35" t="str">
        <f t="shared" si="14"/>
        <v/>
      </c>
      <c r="G43" s="36" t="str">
        <f t="shared" si="11"/>
        <v/>
      </c>
      <c r="H43" s="40"/>
      <c r="I43" s="40"/>
      <c r="J43" s="38"/>
    </row>
    <row r="44" spans="1:12" ht="13.5" hidden="1" x14ac:dyDescent="0.25">
      <c r="A44" s="33">
        <f t="shared" si="12"/>
        <v>0</v>
      </c>
      <c r="B44" s="39" t="str">
        <f>IFERROR(VLOOKUP(H44,[1]SEMIELABORADOS!$A$2:$M$6000,2,0),"")</f>
        <v/>
      </c>
      <c r="C44" s="34">
        <f>+A44</f>
        <v>0</v>
      </c>
      <c r="D44" s="35" t="str">
        <f>IFERROR(VLOOKUP(H44,[1]SEMIELABORADOS!$A$2:$M$6000,6,0),"")</f>
        <v/>
      </c>
      <c r="E44" s="35" t="str">
        <f>IFERROR(VLOOKUP(H44,[1]SEMIELABORADOS!$A$2:$M$65536,10,0),"")</f>
        <v/>
      </c>
      <c r="F44" s="35" t="str">
        <f>IFERROR(E44*C44,"")</f>
        <v/>
      </c>
      <c r="G44" s="36" t="str">
        <f t="shared" si="11"/>
        <v/>
      </c>
      <c r="H44" s="40"/>
      <c r="I44" s="40"/>
      <c r="J44" s="38"/>
    </row>
    <row r="45" spans="1:12" ht="13.5" hidden="1" x14ac:dyDescent="0.25">
      <c r="A45" s="33">
        <f t="shared" si="12"/>
        <v>0</v>
      </c>
      <c r="B45" s="39" t="str">
        <f>IFERROR(VLOOKUP(H45,[1]SEMIELABORADOS!$A$2:$M$6000,2,0),"")</f>
        <v/>
      </c>
      <c r="C45" s="34">
        <f>+A45</f>
        <v>0</v>
      </c>
      <c r="D45" s="35" t="str">
        <f>IFERROR(VLOOKUP(H45,[1]SEMIELABORADOS!$A$2:$M$6000,6,0),"")</f>
        <v/>
      </c>
      <c r="E45" s="35" t="str">
        <f>IFERROR(VLOOKUP(H45,[1]SEMIELABORADOS!$A$2:$M$65536,10,0),"")</f>
        <v/>
      </c>
      <c r="F45" s="35" t="str">
        <f>IFERROR(E45*C45,"")</f>
        <v/>
      </c>
      <c r="G45" s="36" t="str">
        <f t="shared" si="11"/>
        <v/>
      </c>
      <c r="H45" s="40"/>
      <c r="I45" s="40"/>
      <c r="J45" s="38"/>
    </row>
    <row r="46" spans="1:12" ht="13.5" hidden="1" x14ac:dyDescent="0.25">
      <c r="A46" s="33">
        <f t="shared" si="12"/>
        <v>0</v>
      </c>
      <c r="B46" s="39" t="str">
        <f>IFERROR(VLOOKUP(H46,[1]SEMIELABORADOS!$A$2:$M$6000,2,0),"")</f>
        <v/>
      </c>
      <c r="C46" s="34">
        <f t="shared" si="13"/>
        <v>0</v>
      </c>
      <c r="D46" s="35" t="str">
        <f>IFERROR(VLOOKUP(H46,[1]SEMIELABORADOS!$A$2:$M$6000,6,0),"")</f>
        <v/>
      </c>
      <c r="E46" s="35" t="str">
        <f>IFERROR(VLOOKUP(H46,[1]SEMIELABORADOS!$A$2:$M$65536,10,0),"")</f>
        <v/>
      </c>
      <c r="F46" s="35" t="str">
        <f t="shared" si="14"/>
        <v/>
      </c>
      <c r="G46" s="36" t="str">
        <f t="shared" si="11"/>
        <v/>
      </c>
      <c r="H46" s="40"/>
      <c r="I46" s="40"/>
      <c r="J46" s="38"/>
    </row>
    <row r="47" spans="1:12" ht="13.5" hidden="1" x14ac:dyDescent="0.25">
      <c r="A47" s="33">
        <f t="shared" si="12"/>
        <v>0</v>
      </c>
      <c r="B47" s="39" t="str">
        <f>IFERROR(VLOOKUP(H47,[1]SEMIELABORADOS!$A$2:$M$6000,2,0),"")</f>
        <v/>
      </c>
      <c r="C47" s="34">
        <f t="shared" si="13"/>
        <v>0</v>
      </c>
      <c r="D47" s="35" t="str">
        <f>IFERROR(VLOOKUP(H47,[1]SEMIELABORADOS!$A$2:$M$6000,6,0),"")</f>
        <v/>
      </c>
      <c r="E47" s="35" t="str">
        <f>IFERROR(VLOOKUP(H47,[1]SEMIELABORADOS!$A$2:$M$65536,10,0),"")</f>
        <v/>
      </c>
      <c r="F47" s="35" t="str">
        <f t="shared" si="14"/>
        <v/>
      </c>
      <c r="G47" s="36" t="str">
        <f t="shared" si="11"/>
        <v/>
      </c>
      <c r="H47" s="40"/>
      <c r="I47" s="40"/>
      <c r="J47" s="38"/>
    </row>
    <row r="48" spans="1:12" ht="14.25" thickBot="1" x14ac:dyDescent="0.3">
      <c r="A48" s="33"/>
      <c r="B48" s="39"/>
      <c r="C48" s="34"/>
      <c r="D48" s="35"/>
      <c r="E48" s="35"/>
      <c r="F48" s="35"/>
      <c r="G48" s="36"/>
      <c r="H48" s="40"/>
      <c r="I48" s="40"/>
      <c r="J48" s="38"/>
    </row>
    <row r="49" spans="1:17" ht="26.25" thickBot="1" x14ac:dyDescent="0.3">
      <c r="A49" s="28" t="s">
        <v>77</v>
      </c>
      <c r="B49" s="29" t="s">
        <v>87</v>
      </c>
      <c r="C49" s="29" t="s">
        <v>77</v>
      </c>
      <c r="D49" s="30" t="s">
        <v>79</v>
      </c>
      <c r="E49" s="30" t="s">
        <v>80</v>
      </c>
      <c r="F49" s="30" t="s">
        <v>81</v>
      </c>
      <c r="G49" s="30" t="s">
        <v>82</v>
      </c>
      <c r="H49" s="31" t="s">
        <v>83</v>
      </c>
      <c r="I49" s="32"/>
      <c r="J49" s="38"/>
    </row>
    <row r="50" spans="1:17" ht="13.5" x14ac:dyDescent="0.25">
      <c r="A50" s="33">
        <f>+A41</f>
        <v>10</v>
      </c>
      <c r="B50" s="21" t="s">
        <v>49</v>
      </c>
      <c r="C50" s="34">
        <f>+A50</f>
        <v>10</v>
      </c>
      <c r="D50" s="35" t="s">
        <v>123</v>
      </c>
      <c r="E50" s="35">
        <v>0.01</v>
      </c>
      <c r="F50" s="35">
        <f>IFERROR(E50*C50,"")</f>
        <v>0.1</v>
      </c>
      <c r="G50" s="36">
        <f>IFERROR(F50/$F$72,"")</f>
        <v>3.6057856561630256E-5</v>
      </c>
      <c r="H50" s="40" t="s">
        <v>48</v>
      </c>
      <c r="I50" s="32"/>
      <c r="J50" s="38"/>
    </row>
    <row r="51" spans="1:17" ht="13.5" x14ac:dyDescent="0.25">
      <c r="A51" s="33">
        <f t="shared" ref="A51:A56" si="15">+A42</f>
        <v>10</v>
      </c>
      <c r="B51" s="21" t="s">
        <v>51</v>
      </c>
      <c r="C51" s="34">
        <f t="shared" ref="C51:C56" si="16">+A51</f>
        <v>10</v>
      </c>
      <c r="D51" s="35" t="s">
        <v>123</v>
      </c>
      <c r="E51" s="35">
        <v>0.01</v>
      </c>
      <c r="F51" s="35">
        <f t="shared" ref="F51:F56" si="17">IFERROR(E51*C51,"")</f>
        <v>0.1</v>
      </c>
      <c r="G51" s="36">
        <f t="shared" ref="G51:G56" si="18">IFERROR(F51/$F$72,"")</f>
        <v>3.6057856561630256E-5</v>
      </c>
      <c r="H51" s="40" t="s">
        <v>50</v>
      </c>
      <c r="I51" s="32"/>
      <c r="J51" s="38"/>
      <c r="M51" s="43"/>
    </row>
    <row r="52" spans="1:17" ht="13.5" hidden="1" x14ac:dyDescent="0.25">
      <c r="A52" s="33">
        <f t="shared" si="15"/>
        <v>0</v>
      </c>
      <c r="B52" s="39" t="str">
        <f>IFERROR(VLOOKUP(H52,[1]SEMIELABORADOS!$A$2:$M$6000,2,0),"")</f>
        <v/>
      </c>
      <c r="C52" s="34">
        <f t="shared" si="16"/>
        <v>0</v>
      </c>
      <c r="D52" s="35" t="str">
        <f>IFERROR(VLOOKUP(H52,[1]SEMIELABORADOS!$A$2:$M$6000,6,0),"")</f>
        <v/>
      </c>
      <c r="E52" s="35" t="str">
        <f>IFERROR(VLOOKUP(H52,[1]SEMIELABORADOS!$A$2:$M$65536,12,0),"")</f>
        <v/>
      </c>
      <c r="F52" s="35" t="str">
        <f t="shared" si="17"/>
        <v/>
      </c>
      <c r="G52" s="36" t="str">
        <f t="shared" si="18"/>
        <v/>
      </c>
      <c r="H52" s="40"/>
      <c r="I52" s="32"/>
      <c r="J52" s="38"/>
    </row>
    <row r="53" spans="1:17" ht="13.5" hidden="1" x14ac:dyDescent="0.25">
      <c r="A53" s="33">
        <f t="shared" si="15"/>
        <v>0</v>
      </c>
      <c r="B53" s="39" t="str">
        <f>IFERROR(VLOOKUP(H53,[1]SEMIELABORADOS!$A$2:$M$6000,2,0),"")</f>
        <v/>
      </c>
      <c r="C53" s="34">
        <f t="shared" si="16"/>
        <v>0</v>
      </c>
      <c r="D53" s="35" t="str">
        <f>IFERROR(VLOOKUP(H53,[1]SEMIELABORADOS!$A$2:$M$6000,6,0),"")</f>
        <v/>
      </c>
      <c r="E53" s="35" t="str">
        <f>IFERROR(VLOOKUP(H53,[1]SEMIELABORADOS!$A$2:$M$65536,12,0),"")</f>
        <v/>
      </c>
      <c r="F53" s="35" t="str">
        <f t="shared" si="17"/>
        <v/>
      </c>
      <c r="G53" s="36" t="str">
        <f t="shared" si="18"/>
        <v/>
      </c>
      <c r="H53" s="40"/>
      <c r="I53" s="32"/>
      <c r="J53" s="38"/>
    </row>
    <row r="54" spans="1:17" ht="13.5" hidden="1" x14ac:dyDescent="0.25">
      <c r="A54" s="33">
        <f t="shared" si="15"/>
        <v>0</v>
      </c>
      <c r="B54" s="39" t="str">
        <f>IFERROR(VLOOKUP(H54,[1]SEMIELABORADOS!$A$2:$M$6000,2,0),"")</f>
        <v/>
      </c>
      <c r="C54" s="34">
        <f t="shared" si="16"/>
        <v>0</v>
      </c>
      <c r="D54" s="35" t="str">
        <f>IFERROR(VLOOKUP(H54,[1]SEMIELABORADOS!$A$2:$M$6000,6,0),"")</f>
        <v/>
      </c>
      <c r="E54" s="35" t="str">
        <f>IFERROR(VLOOKUP(H54,[1]SEMIELABORADOS!$A$2:$M$65536,12,0),"")</f>
        <v/>
      </c>
      <c r="F54" s="35" t="str">
        <f t="shared" si="17"/>
        <v/>
      </c>
      <c r="G54" s="36" t="str">
        <f t="shared" si="18"/>
        <v/>
      </c>
      <c r="H54" s="40"/>
      <c r="I54" s="32"/>
      <c r="J54" s="38"/>
    </row>
    <row r="55" spans="1:17" ht="13.5" hidden="1" x14ac:dyDescent="0.25">
      <c r="A55" s="33">
        <f t="shared" si="15"/>
        <v>0</v>
      </c>
      <c r="B55" s="39" t="str">
        <f>IFERROR(VLOOKUP(H55,[1]SEMIELABORADOS!$A$2:$M$6000,2,0),"")</f>
        <v/>
      </c>
      <c r="C55" s="34">
        <f t="shared" si="16"/>
        <v>0</v>
      </c>
      <c r="D55" s="35" t="str">
        <f>IFERROR(VLOOKUP(H55,[1]SEMIELABORADOS!$A$2:$M$6000,6,0),"")</f>
        <v/>
      </c>
      <c r="E55" s="35" t="str">
        <f>IFERROR(VLOOKUP(H55,[1]SEMIELABORADOS!$A$2:$M$65536,12,0),"")</f>
        <v/>
      </c>
      <c r="F55" s="35" t="str">
        <f t="shared" si="17"/>
        <v/>
      </c>
      <c r="G55" s="36" t="str">
        <f t="shared" si="18"/>
        <v/>
      </c>
      <c r="H55" s="40"/>
      <c r="I55" s="32"/>
      <c r="J55" s="38"/>
    </row>
    <row r="56" spans="1:17" ht="13.5" hidden="1" x14ac:dyDescent="0.25">
      <c r="A56" s="33">
        <f t="shared" si="15"/>
        <v>0</v>
      </c>
      <c r="B56" s="39" t="str">
        <f>IFERROR(VLOOKUP(H56,[1]SEMIELABORADOS!$A$2:$M$6000,2,0),"")</f>
        <v/>
      </c>
      <c r="C56" s="34">
        <f t="shared" si="16"/>
        <v>0</v>
      </c>
      <c r="D56" s="35" t="str">
        <f>IFERROR(VLOOKUP(H56,[1]SEMIELABORADOS!$A$2:$M$6000,6,0),"")</f>
        <v/>
      </c>
      <c r="E56" s="35" t="str">
        <f>IFERROR(VLOOKUP(H56,[1]SEMIELABORADOS!$A$2:$M$65536,12,0),"")</f>
        <v/>
      </c>
      <c r="F56" s="35" t="str">
        <f t="shared" si="17"/>
        <v/>
      </c>
      <c r="G56" s="36" t="str">
        <f t="shared" si="18"/>
        <v/>
      </c>
      <c r="H56" s="39"/>
      <c r="I56" s="32"/>
      <c r="J56" s="38"/>
    </row>
    <row r="57" spans="1:17" ht="13.5" x14ac:dyDescent="0.25">
      <c r="A57" s="33">
        <v>1</v>
      </c>
      <c r="B57" s="39" t="s">
        <v>88</v>
      </c>
      <c r="C57" s="34">
        <f>+A57</f>
        <v>1</v>
      </c>
      <c r="D57" s="34" t="s">
        <v>89</v>
      </c>
      <c r="E57" s="35">
        <f>+F71</f>
        <v>308</v>
      </c>
      <c r="F57" s="35">
        <f>IFERROR(C57*E57,"")</f>
        <v>308</v>
      </c>
      <c r="G57" s="36">
        <f>IFERROR(F57/$F$72,"")</f>
        <v>0.11105819820982119</v>
      </c>
      <c r="H57" s="44"/>
      <c r="I57" s="44"/>
      <c r="J57" s="38"/>
    </row>
    <row r="58" spans="1:17" ht="14.25" thickBot="1" x14ac:dyDescent="0.3">
      <c r="A58" s="33"/>
      <c r="B58" s="39"/>
      <c r="C58" s="34"/>
      <c r="D58" s="34"/>
      <c r="E58" s="35"/>
      <c r="F58" s="35"/>
      <c r="G58" s="36"/>
      <c r="H58" s="44"/>
      <c r="I58" s="44"/>
      <c r="J58" s="38"/>
    </row>
    <row r="59" spans="1:17" ht="13.5" thickBot="1" x14ac:dyDescent="0.3">
      <c r="A59" s="45"/>
      <c r="B59" s="146" t="s">
        <v>90</v>
      </c>
      <c r="C59" s="146"/>
      <c r="D59" s="146"/>
      <c r="E59" s="146"/>
      <c r="F59" s="47">
        <f>SUM(F8:F20,F23:F30)</f>
        <v>2416.7849999999999</v>
      </c>
      <c r="G59" s="36">
        <f>+F59/$F$72</f>
        <v>0.87144086870299564</v>
      </c>
      <c r="H59" s="48">
        <f>+F59/$D$66</f>
        <v>2416.7849999999999</v>
      </c>
      <c r="I59" s="48"/>
      <c r="J59" s="49"/>
      <c r="K59" s="50"/>
      <c r="L59" s="50"/>
      <c r="M59" s="50"/>
      <c r="N59" s="50"/>
      <c r="O59" s="50"/>
      <c r="P59" s="50"/>
      <c r="Q59" s="51"/>
    </row>
    <row r="60" spans="1:17" x14ac:dyDescent="0.2">
      <c r="A60" s="45"/>
      <c r="B60" s="146" t="s">
        <v>91</v>
      </c>
      <c r="C60" s="146"/>
      <c r="D60" s="146"/>
      <c r="E60" s="146"/>
      <c r="F60" s="47">
        <f>SUM(F33:F38,F41:F47)</f>
        <v>0.2</v>
      </c>
      <c r="G60" s="36">
        <f>+F60/$F$72</f>
        <v>7.2115713123260513E-5</v>
      </c>
      <c r="H60" s="48">
        <f>+F60/$D$66</f>
        <v>0.2</v>
      </c>
      <c r="I60" s="48"/>
      <c r="J60" s="52"/>
      <c r="K60" s="147" t="s">
        <v>92</v>
      </c>
      <c r="L60" s="148"/>
      <c r="M60" s="148"/>
      <c r="N60" s="148"/>
      <c r="O60" s="53">
        <f>+F61</f>
        <v>2416.9849999999997</v>
      </c>
      <c r="P60" s="53"/>
      <c r="Q60" s="54"/>
    </row>
    <row r="61" spans="1:17" x14ac:dyDescent="0.2">
      <c r="A61" s="45"/>
      <c r="B61" s="146" t="s">
        <v>93</v>
      </c>
      <c r="C61" s="146"/>
      <c r="D61" s="146"/>
      <c r="E61" s="146"/>
      <c r="F61" s="47">
        <f>+F59+F60</f>
        <v>2416.9849999999997</v>
      </c>
      <c r="G61" s="36">
        <f>+F61/$F$72</f>
        <v>0.87151298441611891</v>
      </c>
      <c r="H61" s="48">
        <f>+F61/$D$66</f>
        <v>2416.9849999999997</v>
      </c>
      <c r="I61" s="48"/>
      <c r="J61" s="55"/>
      <c r="K61" s="56"/>
      <c r="M61" s="57" t="s">
        <v>94</v>
      </c>
      <c r="N61" s="58"/>
      <c r="O61" s="53">
        <f>+H62</f>
        <v>308.2</v>
      </c>
      <c r="P61" s="53"/>
      <c r="Q61" s="54"/>
    </row>
    <row r="62" spans="1:17" ht="13.5" thickBot="1" x14ac:dyDescent="0.25">
      <c r="A62" s="45"/>
      <c r="B62" s="46"/>
      <c r="C62" s="146" t="s">
        <v>95</v>
      </c>
      <c r="D62" s="146"/>
      <c r="E62" s="146"/>
      <c r="F62" s="47">
        <f>SUM(F50:F57)</f>
        <v>308.2</v>
      </c>
      <c r="G62" s="36">
        <f>+F62/$F$72</f>
        <v>0.11113031392294444</v>
      </c>
      <c r="H62" s="48">
        <f>+F62/$D$66</f>
        <v>308.2</v>
      </c>
      <c r="I62" s="48"/>
      <c r="J62" s="55"/>
      <c r="K62" s="56"/>
      <c r="L62" s="56"/>
      <c r="M62" s="56" t="s">
        <v>96</v>
      </c>
      <c r="N62" s="59"/>
      <c r="O62" s="53">
        <f>O60*N62</f>
        <v>0</v>
      </c>
      <c r="P62" s="53"/>
      <c r="Q62" s="54"/>
    </row>
    <row r="63" spans="1:17" ht="13.5" thickBot="1" x14ac:dyDescent="0.25">
      <c r="A63" s="45"/>
      <c r="B63" s="60"/>
      <c r="C63" s="60"/>
      <c r="D63" s="60"/>
      <c r="E63" s="60"/>
      <c r="F63" s="61"/>
      <c r="G63" s="36"/>
      <c r="H63" s="62"/>
      <c r="I63" s="48"/>
      <c r="J63" s="55"/>
      <c r="K63" s="63"/>
      <c r="M63" s="64" t="s">
        <v>97</v>
      </c>
      <c r="N63" s="65"/>
      <c r="O63" s="66">
        <f>SUM(O60:O62)</f>
        <v>2725.1849999999995</v>
      </c>
      <c r="P63" s="67"/>
      <c r="Q63" s="54"/>
    </row>
    <row r="64" spans="1:17" x14ac:dyDescent="0.2">
      <c r="B64" s="149" t="s">
        <v>98</v>
      </c>
      <c r="C64" s="149"/>
      <c r="D64" s="68">
        <v>1200</v>
      </c>
      <c r="E64" s="69"/>
      <c r="G64" s="36"/>
      <c r="H64" s="62">
        <f>+H62/77</f>
        <v>4.0025974025974023</v>
      </c>
      <c r="I64" s="70"/>
      <c r="J64" s="55"/>
      <c r="K64" s="63"/>
      <c r="L64" s="56"/>
      <c r="M64" s="56" t="s">
        <v>99</v>
      </c>
      <c r="N64" s="71"/>
      <c r="O64" s="53">
        <f>+H65</f>
        <v>332.21558441558437</v>
      </c>
      <c r="P64" s="53"/>
      <c r="Q64" s="54"/>
    </row>
    <row r="65" spans="2:17" x14ac:dyDescent="0.2">
      <c r="B65" s="149" t="s">
        <v>100</v>
      </c>
      <c r="C65" s="149"/>
      <c r="D65" s="72">
        <v>1200</v>
      </c>
      <c r="E65" s="69"/>
      <c r="G65" s="36"/>
      <c r="H65" s="62">
        <f>+H64*83</f>
        <v>332.21558441558437</v>
      </c>
      <c r="I65" s="70"/>
      <c r="J65" s="55"/>
      <c r="K65" s="63"/>
      <c r="L65" s="56"/>
      <c r="M65" s="150" t="s">
        <v>97</v>
      </c>
      <c r="N65" s="150"/>
      <c r="O65" s="53">
        <f>SUM(O63:O64)</f>
        <v>3057.400584415584</v>
      </c>
      <c r="P65" s="53"/>
      <c r="Q65" s="54"/>
    </row>
    <row r="66" spans="2:17" ht="13.5" thickBot="1" x14ac:dyDescent="0.25">
      <c r="B66" s="142" t="s">
        <v>101</v>
      </c>
      <c r="C66" s="142"/>
      <c r="D66" s="68">
        <f>+D64/D65</f>
        <v>1</v>
      </c>
      <c r="E66" s="69"/>
      <c r="F66" s="73"/>
      <c r="G66" s="36"/>
      <c r="H66" s="62"/>
      <c r="I66" s="70"/>
      <c r="J66" s="55"/>
      <c r="K66" s="63"/>
      <c r="L66" s="150"/>
      <c r="M66" s="150"/>
      <c r="N66" s="71"/>
      <c r="O66" s="53">
        <f>+O65*N66</f>
        <v>0</v>
      </c>
      <c r="P66" s="53"/>
      <c r="Q66" s="54"/>
    </row>
    <row r="67" spans="2:17" ht="13.5" thickBot="1" x14ac:dyDescent="0.25">
      <c r="B67" s="142" t="s">
        <v>102</v>
      </c>
      <c r="C67" s="142"/>
      <c r="D67" s="74"/>
      <c r="E67" s="69"/>
      <c r="F67" s="73"/>
      <c r="G67" s="36"/>
      <c r="H67" s="62"/>
      <c r="I67" s="70"/>
      <c r="J67" s="55"/>
      <c r="K67" s="143" t="s">
        <v>103</v>
      </c>
      <c r="L67" s="144"/>
      <c r="M67" s="144"/>
      <c r="N67" s="145"/>
      <c r="O67" s="66">
        <f>SUM(O65:O66)</f>
        <v>3057.400584415584</v>
      </c>
      <c r="P67" s="75" t="s">
        <v>104</v>
      </c>
      <c r="Q67" s="54"/>
    </row>
    <row r="68" spans="2:17" ht="13.5" thickBot="1" x14ac:dyDescent="0.25">
      <c r="C68" s="45" t="s">
        <v>105</v>
      </c>
      <c r="D68" s="76"/>
      <c r="E68" s="19" t="s">
        <v>106</v>
      </c>
      <c r="F68" s="77" t="s">
        <v>107</v>
      </c>
      <c r="G68" s="36"/>
      <c r="H68" s="62"/>
      <c r="I68" s="70"/>
      <c r="J68" s="78"/>
      <c r="K68" s="79"/>
      <c r="L68" s="156" t="s">
        <v>108</v>
      </c>
      <c r="M68" s="156"/>
      <c r="N68" s="156"/>
      <c r="O68" s="80">
        <f>+O67/D66</f>
        <v>3057.400584415584</v>
      </c>
      <c r="P68" s="81">
        <f>+O68/D65</f>
        <v>2.54783382034632</v>
      </c>
      <c r="Q68" s="82"/>
    </row>
    <row r="69" spans="2:17" ht="13.5" thickBot="1" x14ac:dyDescent="0.25">
      <c r="B69" s="157" t="s">
        <v>93</v>
      </c>
      <c r="C69" s="157"/>
      <c r="D69" s="157"/>
      <c r="E69" s="83">
        <f>+F69/F69</f>
        <v>1</v>
      </c>
      <c r="F69" s="84">
        <f>SUM(F61)</f>
        <v>2416.9849999999997</v>
      </c>
      <c r="G69" s="36">
        <f>+F69/$F$72</f>
        <v>0.87151298441611891</v>
      </c>
      <c r="H69" s="62"/>
      <c r="I69" s="70"/>
      <c r="K69" s="158"/>
      <c r="L69" s="159"/>
      <c r="M69" s="159"/>
      <c r="N69" s="159"/>
      <c r="O69" s="85"/>
      <c r="P69" s="86"/>
    </row>
    <row r="70" spans="2:17" ht="13.5" thickBot="1" x14ac:dyDescent="0.3">
      <c r="B70" s="160" t="s">
        <v>109</v>
      </c>
      <c r="C70" s="160"/>
      <c r="D70" s="160"/>
      <c r="E70" s="87">
        <v>0.02</v>
      </c>
      <c r="F70" s="84">
        <f>+F59*E70</f>
        <v>48.335699999999996</v>
      </c>
      <c r="G70" s="36">
        <f>+F70/$F$72</f>
        <v>1.7428817374059914E-2</v>
      </c>
      <c r="H70" s="48"/>
      <c r="I70" s="70"/>
      <c r="J70" s="88"/>
      <c r="O70" s="89"/>
      <c r="P70" s="46"/>
    </row>
    <row r="71" spans="2:17" ht="13.5" thickBot="1" x14ac:dyDescent="0.3">
      <c r="B71" s="161" t="s">
        <v>110</v>
      </c>
      <c r="C71" s="162"/>
      <c r="D71" s="90">
        <v>4</v>
      </c>
      <c r="E71" s="91">
        <v>77</v>
      </c>
      <c r="F71" s="84">
        <f>+E71*D71</f>
        <v>308</v>
      </c>
      <c r="G71" s="36">
        <f>+F71/$F$72</f>
        <v>0.11105819820982119</v>
      </c>
      <c r="H71" s="48"/>
      <c r="I71" s="48"/>
      <c r="J71" s="38"/>
    </row>
    <row r="72" spans="2:17" ht="13.5" thickBot="1" x14ac:dyDescent="0.3">
      <c r="B72" s="163" t="s">
        <v>111</v>
      </c>
      <c r="C72" s="164"/>
      <c r="D72" s="164"/>
      <c r="E72" s="165"/>
      <c r="F72" s="61">
        <f>SUM(F69:F71)</f>
        <v>2773.3206999999998</v>
      </c>
      <c r="G72" s="36">
        <f>+F72/$F$72</f>
        <v>1</v>
      </c>
      <c r="H72" s="166"/>
      <c r="I72" s="48"/>
      <c r="J72" s="38"/>
      <c r="M72" s="21" t="s">
        <v>112</v>
      </c>
    </row>
    <row r="73" spans="2:17" x14ac:dyDescent="0.25">
      <c r="C73" s="43"/>
      <c r="D73" s="43"/>
      <c r="E73" s="93"/>
      <c r="F73" s="84"/>
      <c r="G73" s="36"/>
      <c r="H73" s="166"/>
      <c r="I73" s="92"/>
      <c r="J73" s="21"/>
      <c r="M73" s="21" t="s">
        <v>113</v>
      </c>
    </row>
    <row r="74" spans="2:17" ht="13.5" thickBot="1" x14ac:dyDescent="0.3">
      <c r="B74" s="151" t="s">
        <v>114</v>
      </c>
      <c r="C74" s="151"/>
      <c r="D74" s="151"/>
      <c r="E74" s="151"/>
      <c r="F74" s="151"/>
      <c r="G74" s="36"/>
      <c r="H74" s="95"/>
      <c r="I74" s="92"/>
      <c r="J74" s="21"/>
      <c r="M74" s="21" t="s">
        <v>115</v>
      </c>
    </row>
    <row r="75" spans="2:17" ht="13.5" thickBot="1" x14ac:dyDescent="0.3">
      <c r="B75" s="96" t="s">
        <v>116</v>
      </c>
      <c r="C75" s="97">
        <f>+F59</f>
        <v>2416.7849999999999</v>
      </c>
      <c r="D75" s="97">
        <f>+D64</f>
        <v>1200</v>
      </c>
      <c r="E75" s="98">
        <f>+C75/D75</f>
        <v>2.0139874999999998</v>
      </c>
      <c r="F75" s="36"/>
      <c r="G75" s="95"/>
      <c r="H75" s="38"/>
      <c r="I75" s="95"/>
      <c r="J75" s="21"/>
    </row>
    <row r="76" spans="2:17" x14ac:dyDescent="0.25">
      <c r="B76" s="99"/>
      <c r="C76" s="100"/>
      <c r="D76" s="101"/>
      <c r="E76" s="84"/>
      <c r="F76" s="36"/>
      <c r="G76" s="95"/>
      <c r="H76" s="38"/>
      <c r="I76" s="38"/>
      <c r="J76" s="21"/>
    </row>
    <row r="77" spans="2:17" x14ac:dyDescent="0.25">
      <c r="B77" s="96" t="s">
        <v>117</v>
      </c>
      <c r="C77" s="97">
        <f>SUM(F69:F70)</f>
        <v>2465.3206999999998</v>
      </c>
      <c r="D77" s="97">
        <f>+D64</f>
        <v>1200</v>
      </c>
      <c r="E77" s="102">
        <f>+C77/D77</f>
        <v>2.0544339166666665</v>
      </c>
      <c r="F77" s="36"/>
      <c r="G77" s="95"/>
      <c r="H77" s="38"/>
      <c r="I77" s="38"/>
      <c r="J77" s="21"/>
    </row>
    <row r="78" spans="2:17" x14ac:dyDescent="0.25">
      <c r="B78" s="96"/>
      <c r="C78" s="97"/>
      <c r="D78" s="97"/>
      <c r="E78" s="102"/>
      <c r="F78" s="36"/>
      <c r="G78" s="95"/>
      <c r="H78" s="38"/>
      <c r="I78" s="38"/>
      <c r="J78" s="21"/>
    </row>
    <row r="79" spans="2:17" ht="13.5" thickBot="1" x14ac:dyDescent="0.3">
      <c r="B79" s="96" t="s">
        <v>118</v>
      </c>
      <c r="C79" s="97">
        <f>+F71</f>
        <v>308</v>
      </c>
      <c r="D79" s="97">
        <f>+D64</f>
        <v>1200</v>
      </c>
      <c r="E79" s="102">
        <f>+C79/D79</f>
        <v>0.25666666666666665</v>
      </c>
      <c r="F79" s="36"/>
      <c r="G79" s="95"/>
      <c r="H79" s="38"/>
      <c r="I79" s="38"/>
      <c r="J79" s="21"/>
    </row>
    <row r="80" spans="2:17" ht="13.5" thickBot="1" x14ac:dyDescent="0.3">
      <c r="B80" s="96" t="s">
        <v>119</v>
      </c>
      <c r="C80" s="97">
        <f>+F62</f>
        <v>308.2</v>
      </c>
      <c r="D80" s="97">
        <f>+D79</f>
        <v>1200</v>
      </c>
      <c r="E80" s="98">
        <f>+C80/D80</f>
        <v>0.2568333333333333</v>
      </c>
      <c r="F80" s="36"/>
      <c r="G80" s="95"/>
      <c r="H80" s="38"/>
      <c r="I80" s="38"/>
      <c r="J80" s="21"/>
    </row>
    <row r="81" spans="1:10" ht="13.5" thickBot="1" x14ac:dyDescent="0.3">
      <c r="B81" s="60"/>
      <c r="C81" s="61"/>
      <c r="D81" s="61"/>
      <c r="E81" s="102"/>
      <c r="F81" s="36"/>
      <c r="G81" s="95"/>
      <c r="H81" s="38"/>
      <c r="I81" s="38"/>
      <c r="J81" s="21"/>
    </row>
    <row r="82" spans="1:10" ht="13.5" thickBot="1" x14ac:dyDescent="0.3">
      <c r="B82" s="96" t="s">
        <v>120</v>
      </c>
      <c r="C82" s="97">
        <f>+F60</f>
        <v>0.2</v>
      </c>
      <c r="D82" s="97">
        <f>+D80</f>
        <v>1200</v>
      </c>
      <c r="E82" s="98">
        <f>+C82/D82</f>
        <v>1.6666666666666669E-4</v>
      </c>
      <c r="F82" s="36"/>
      <c r="G82" s="95"/>
      <c r="H82" s="38"/>
      <c r="I82" s="38"/>
      <c r="J82" s="38"/>
    </row>
    <row r="83" spans="1:10" ht="13.5" thickBot="1" x14ac:dyDescent="0.3">
      <c r="B83" s="60"/>
      <c r="C83" s="61"/>
      <c r="D83" s="61"/>
      <c r="E83" s="102"/>
      <c r="F83" s="36"/>
      <c r="G83" s="95"/>
      <c r="H83" s="38"/>
      <c r="I83" s="38"/>
    </row>
    <row r="84" spans="1:10" ht="13.5" thickBot="1" x14ac:dyDescent="0.3">
      <c r="B84" s="152" t="s">
        <v>121</v>
      </c>
      <c r="C84" s="153"/>
      <c r="D84" s="154"/>
      <c r="E84" s="98">
        <f>+E75+E80</f>
        <v>2.2708208333333331</v>
      </c>
      <c r="G84" s="36"/>
      <c r="H84" s="95"/>
      <c r="I84" s="38"/>
      <c r="J84" s="102"/>
    </row>
    <row r="85" spans="1:10" x14ac:dyDescent="0.25">
      <c r="I85" s="95"/>
      <c r="J85" s="21"/>
    </row>
    <row r="86" spans="1:10" ht="13.5" thickBot="1" x14ac:dyDescent="0.3">
      <c r="B86" s="151" t="s">
        <v>122</v>
      </c>
      <c r="C86" s="151"/>
      <c r="D86" s="151"/>
      <c r="E86" s="151"/>
      <c r="F86" s="151"/>
      <c r="G86" s="36"/>
      <c r="H86" s="95"/>
      <c r="J86" s="21"/>
    </row>
    <row r="87" spans="1:10" ht="13.5" thickBot="1" x14ac:dyDescent="0.3">
      <c r="B87" s="96" t="s">
        <v>116</v>
      </c>
      <c r="C87" s="97">
        <f>+C75</f>
        <v>2416.7849999999999</v>
      </c>
      <c r="D87" s="97">
        <f>+D66</f>
        <v>1</v>
      </c>
      <c r="E87" s="98">
        <f>+C87/D87</f>
        <v>2416.7849999999999</v>
      </c>
      <c r="F87" s="36"/>
      <c r="G87" s="95"/>
      <c r="H87" s="38"/>
      <c r="I87" s="95"/>
      <c r="J87" s="21"/>
    </row>
    <row r="88" spans="1:10" x14ac:dyDescent="0.25">
      <c r="B88" s="99"/>
      <c r="C88" s="100"/>
      <c r="D88" s="101"/>
      <c r="E88" s="84"/>
      <c r="F88" s="36"/>
      <c r="G88" s="95"/>
      <c r="H88" s="38"/>
      <c r="I88" s="38"/>
      <c r="J88" s="21"/>
    </row>
    <row r="89" spans="1:10" x14ac:dyDescent="0.25">
      <c r="B89" s="96" t="s">
        <v>117</v>
      </c>
      <c r="C89" s="97">
        <f>+C77</f>
        <v>2465.3206999999998</v>
      </c>
      <c r="D89" s="97">
        <f>+D66</f>
        <v>1</v>
      </c>
      <c r="E89" s="102">
        <f>+C89/D89</f>
        <v>2465.3206999999998</v>
      </c>
      <c r="F89" s="36"/>
      <c r="G89" s="95"/>
      <c r="H89" s="38"/>
      <c r="I89" s="38"/>
      <c r="J89" s="21"/>
    </row>
    <row r="90" spans="1:10" x14ac:dyDescent="0.25">
      <c r="B90" s="96"/>
      <c r="C90" s="97"/>
      <c r="D90" s="97"/>
      <c r="E90" s="102"/>
      <c r="F90" s="36"/>
      <c r="G90" s="95"/>
      <c r="H90" s="38"/>
      <c r="I90" s="38"/>
      <c r="J90" s="21"/>
    </row>
    <row r="91" spans="1:10" ht="13.5" thickBot="1" x14ac:dyDescent="0.3">
      <c r="B91" s="96" t="s">
        <v>119</v>
      </c>
      <c r="C91" s="97">
        <f>+C79</f>
        <v>308</v>
      </c>
      <c r="D91" s="97">
        <f>+D66</f>
        <v>1</v>
      </c>
      <c r="E91" s="102">
        <f>+C91/D91</f>
        <v>308</v>
      </c>
      <c r="F91" s="104"/>
      <c r="G91" s="94"/>
      <c r="H91" s="20"/>
      <c r="I91" s="38"/>
    </row>
    <row r="92" spans="1:10" ht="13.5" thickBot="1" x14ac:dyDescent="0.3">
      <c r="B92" s="96" t="s">
        <v>119</v>
      </c>
      <c r="C92" s="97">
        <f>+C80</f>
        <v>308.2</v>
      </c>
      <c r="D92" s="97">
        <f>+D91</f>
        <v>1</v>
      </c>
      <c r="E92" s="98">
        <f>+C92/D92</f>
        <v>308.2</v>
      </c>
      <c r="F92" s="103"/>
      <c r="G92" s="94"/>
      <c r="H92" s="20"/>
      <c r="I92" s="20"/>
    </row>
    <row r="93" spans="1:10" x14ac:dyDescent="0.25">
      <c r="I93" s="20"/>
    </row>
    <row r="94" spans="1:10" x14ac:dyDescent="0.2">
      <c r="A94" s="155"/>
      <c r="B94" s="155"/>
      <c r="C94" s="105"/>
      <c r="D94" s="105"/>
      <c r="E94" s="106"/>
      <c r="G94" s="107"/>
    </row>
    <row r="95" spans="1:10" x14ac:dyDescent="0.2">
      <c r="A95" s="39"/>
      <c r="B95" s="108"/>
      <c r="C95" s="109"/>
      <c r="D95" s="109"/>
      <c r="E95" s="110"/>
      <c r="G95" s="107"/>
    </row>
    <row r="96" spans="1:10" x14ac:dyDescent="0.2">
      <c r="A96" s="39"/>
      <c r="B96" s="108"/>
      <c r="C96" s="111"/>
      <c r="D96" s="111"/>
      <c r="E96" s="39"/>
      <c r="G96" s="107"/>
    </row>
    <row r="97" spans="1:7" x14ac:dyDescent="0.2">
      <c r="A97" s="39"/>
      <c r="B97" s="108"/>
      <c r="C97" s="112"/>
      <c r="D97" s="112"/>
      <c r="E97" s="39"/>
      <c r="G97" s="107"/>
    </row>
  </sheetData>
  <mergeCells count="30"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  <mergeCell ref="B67:C67"/>
    <mergeCell ref="K67:N67"/>
    <mergeCell ref="K36:L36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K35:L35"/>
    <mergeCell ref="A4:H4"/>
    <mergeCell ref="A5:H5"/>
    <mergeCell ref="F6:G6"/>
    <mergeCell ref="K33:L33"/>
    <mergeCell ref="K34:L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2491-7E9A-4EE6-AA58-995E2E207B57}">
  <sheetPr>
    <pageSetUpPr fitToPage="1"/>
  </sheetPr>
  <dimension ref="A1:I39"/>
  <sheetViews>
    <sheetView tabSelected="1" zoomScale="80" zoomScaleNormal="80" workbookViewId="0">
      <selection activeCell="K37" sqref="K37"/>
    </sheetView>
  </sheetViews>
  <sheetFormatPr baseColWidth="10" defaultRowHeight="15" x14ac:dyDescent="0.25"/>
  <cols>
    <col min="1" max="1" width="20.5703125" customWidth="1"/>
    <col min="2" max="2" width="42.85546875" customWidth="1"/>
    <col min="3" max="3" width="14.140625" customWidth="1"/>
    <col min="5" max="5" width="12.140625" customWidth="1"/>
    <col min="6" max="6" width="12.7109375" customWidth="1"/>
    <col min="9" max="9" width="18.85546875" customWidth="1"/>
  </cols>
  <sheetData>
    <row r="1" spans="1:9" ht="18" x14ac:dyDescent="0.25">
      <c r="A1" s="113"/>
      <c r="B1" s="116" t="s">
        <v>0</v>
      </c>
      <c r="C1" s="116"/>
      <c r="D1" s="116"/>
      <c r="E1" s="116"/>
      <c r="F1" s="116"/>
      <c r="G1" s="116"/>
      <c r="H1" s="13" t="s">
        <v>1</v>
      </c>
      <c r="I1" s="1" t="s">
        <v>127</v>
      </c>
    </row>
    <row r="2" spans="1:9" ht="18" x14ac:dyDescent="0.25">
      <c r="A2" s="114"/>
      <c r="B2" s="117" t="s">
        <v>2</v>
      </c>
      <c r="C2" s="117"/>
      <c r="D2" s="117"/>
      <c r="E2" s="117"/>
      <c r="F2" s="117"/>
      <c r="G2" s="117"/>
      <c r="H2" s="14" t="s">
        <v>3</v>
      </c>
      <c r="I2" s="2" t="s">
        <v>4</v>
      </c>
    </row>
    <row r="3" spans="1:9" ht="38.25" x14ac:dyDescent="0.25">
      <c r="A3" s="114"/>
      <c r="B3" s="236" t="s">
        <v>126</v>
      </c>
      <c r="C3" s="236"/>
      <c r="D3" s="236"/>
      <c r="E3" s="236"/>
      <c r="F3" s="236"/>
      <c r="G3" s="236"/>
      <c r="H3" s="15" t="s">
        <v>5</v>
      </c>
      <c r="I3" s="237">
        <v>45959</v>
      </c>
    </row>
    <row r="4" spans="1:9" ht="15.75" thickBot="1" x14ac:dyDescent="0.3">
      <c r="A4" s="115"/>
      <c r="B4" s="12" t="s">
        <v>6</v>
      </c>
      <c r="C4" s="133" t="s">
        <v>36</v>
      </c>
      <c r="D4" s="133"/>
      <c r="E4" s="134" t="s">
        <v>7</v>
      </c>
      <c r="F4" s="134"/>
      <c r="G4" s="133"/>
      <c r="H4" s="133"/>
      <c r="I4" s="135"/>
    </row>
    <row r="5" spans="1:9" x14ac:dyDescent="0.25">
      <c r="A5" s="7"/>
      <c r="B5" s="8"/>
      <c r="C5" s="9"/>
      <c r="D5" s="9"/>
      <c r="E5" s="9"/>
      <c r="F5" s="9"/>
      <c r="G5" s="9"/>
      <c r="H5" s="10"/>
      <c r="I5" s="11"/>
    </row>
    <row r="6" spans="1:9" ht="18.75" thickBot="1" x14ac:dyDescent="0.3">
      <c r="A6" s="118" t="s">
        <v>8</v>
      </c>
      <c r="B6" s="118"/>
      <c r="C6" s="229" t="s">
        <v>39</v>
      </c>
      <c r="D6" s="229"/>
      <c r="E6" s="118" t="s">
        <v>9</v>
      </c>
      <c r="F6" s="118"/>
      <c r="G6" s="118"/>
      <c r="H6" s="230" t="s">
        <v>19</v>
      </c>
      <c r="I6" s="230"/>
    </row>
    <row r="7" spans="1:9" ht="18.75" thickBot="1" x14ac:dyDescent="0.3">
      <c r="A7" s="4"/>
      <c r="B7" s="4"/>
      <c r="C7" s="6"/>
      <c r="D7" s="6"/>
      <c r="E7" s="6"/>
      <c r="F7" s="6"/>
      <c r="G7" s="5"/>
      <c r="H7" s="5"/>
      <c r="I7" s="3"/>
    </row>
    <row r="8" spans="1:9" x14ac:dyDescent="0.25">
      <c r="A8" s="119" t="s">
        <v>10</v>
      </c>
      <c r="B8" s="121" t="s">
        <v>11</v>
      </c>
      <c r="C8" s="121" t="s">
        <v>12</v>
      </c>
      <c r="D8" s="123" t="s">
        <v>13</v>
      </c>
      <c r="E8" s="121" t="s">
        <v>15</v>
      </c>
      <c r="F8" s="131" t="s">
        <v>33</v>
      </c>
      <c r="G8" s="125" t="s">
        <v>14</v>
      </c>
      <c r="H8" s="126"/>
      <c r="I8" s="127"/>
    </row>
    <row r="9" spans="1:9" ht="15.75" thickBot="1" x14ac:dyDescent="0.3">
      <c r="A9" s="120"/>
      <c r="B9" s="122"/>
      <c r="C9" s="122"/>
      <c r="D9" s="124"/>
      <c r="E9" s="122"/>
      <c r="F9" s="132" t="s">
        <v>16</v>
      </c>
      <c r="G9" s="128"/>
      <c r="H9" s="129"/>
      <c r="I9" s="130"/>
    </row>
    <row r="10" spans="1:9" ht="20.25" x14ac:dyDescent="0.3">
      <c r="A10" s="167"/>
      <c r="B10" s="168"/>
      <c r="C10" s="169"/>
      <c r="D10" s="169"/>
      <c r="E10" s="170"/>
      <c r="F10" s="171"/>
      <c r="G10" s="172"/>
      <c r="H10" s="173"/>
      <c r="I10" s="174"/>
    </row>
    <row r="11" spans="1:9" ht="20.25" x14ac:dyDescent="0.3">
      <c r="A11" s="175" t="s">
        <v>125</v>
      </c>
      <c r="B11" s="176" t="s">
        <v>69</v>
      </c>
      <c r="C11" s="177" t="s">
        <v>17</v>
      </c>
      <c r="D11" s="177"/>
      <c r="E11" s="178">
        <v>300</v>
      </c>
      <c r="F11" s="179" t="s">
        <v>18</v>
      </c>
      <c r="G11" s="180"/>
      <c r="H11" s="181"/>
      <c r="I11" s="182"/>
    </row>
    <row r="12" spans="1:9" ht="20.25" x14ac:dyDescent="0.3">
      <c r="A12" s="183"/>
      <c r="B12" s="184"/>
      <c r="C12" s="177"/>
      <c r="D12" s="177"/>
      <c r="E12" s="185"/>
      <c r="F12" s="179"/>
      <c r="G12" s="180"/>
      <c r="H12" s="181"/>
      <c r="I12" s="182"/>
    </row>
    <row r="13" spans="1:9" ht="20.25" x14ac:dyDescent="0.3">
      <c r="A13" s="238" t="s">
        <v>52</v>
      </c>
      <c r="B13" s="239" t="s">
        <v>53</v>
      </c>
      <c r="C13" s="177" t="s">
        <v>22</v>
      </c>
      <c r="D13" s="177"/>
      <c r="E13" s="185">
        <v>1</v>
      </c>
      <c r="F13" s="179" t="s">
        <v>20</v>
      </c>
      <c r="G13" s="180"/>
      <c r="H13" s="181"/>
      <c r="I13" s="182"/>
    </row>
    <row r="14" spans="1:9" ht="20.25" x14ac:dyDescent="0.3">
      <c r="A14" s="238" t="s">
        <v>54</v>
      </c>
      <c r="B14" s="239" t="s">
        <v>55</v>
      </c>
      <c r="C14" s="185" t="s">
        <v>22</v>
      </c>
      <c r="D14" s="185"/>
      <c r="E14" s="177">
        <v>1</v>
      </c>
      <c r="F14" s="179" t="s">
        <v>20</v>
      </c>
      <c r="G14" s="180"/>
      <c r="H14" s="181"/>
      <c r="I14" s="182"/>
    </row>
    <row r="15" spans="1:9" ht="20.25" x14ac:dyDescent="0.3">
      <c r="A15" s="238" t="s">
        <v>21</v>
      </c>
      <c r="B15" s="239" t="s">
        <v>56</v>
      </c>
      <c r="C15" s="185" t="s">
        <v>22</v>
      </c>
      <c r="D15" s="185"/>
      <c r="E15" s="177">
        <v>1</v>
      </c>
      <c r="F15" s="179" t="s">
        <v>20</v>
      </c>
      <c r="G15" s="180"/>
      <c r="H15" s="181"/>
      <c r="I15" s="182"/>
    </row>
    <row r="16" spans="1:9" ht="21" thickBot="1" x14ac:dyDescent="0.35">
      <c r="A16" s="186"/>
      <c r="B16" s="187"/>
      <c r="C16" s="188"/>
      <c r="D16" s="188"/>
      <c r="E16" s="188"/>
      <c r="F16" s="189"/>
      <c r="G16" s="180"/>
      <c r="H16" s="181"/>
      <c r="I16" s="182"/>
    </row>
    <row r="17" spans="1:9" ht="21" thickBot="1" x14ac:dyDescent="0.35">
      <c r="A17" s="190"/>
      <c r="B17" s="191"/>
      <c r="C17" s="191"/>
      <c r="D17" s="191"/>
      <c r="E17" s="192"/>
      <c r="F17" s="193"/>
      <c r="G17" s="191"/>
      <c r="H17" s="191"/>
      <c r="I17" s="194"/>
    </row>
    <row r="18" spans="1:9" ht="21" thickBot="1" x14ac:dyDescent="0.35">
      <c r="A18" s="195"/>
      <c r="B18" s="196"/>
      <c r="C18" s="197" t="s">
        <v>15</v>
      </c>
      <c r="D18" s="198" t="s">
        <v>23</v>
      </c>
      <c r="E18" s="168"/>
      <c r="F18" s="199" t="s">
        <v>24</v>
      </c>
      <c r="G18" s="200"/>
      <c r="H18" s="200"/>
      <c r="I18" s="201"/>
    </row>
    <row r="19" spans="1:9" ht="20.25" x14ac:dyDescent="0.3">
      <c r="A19" s="202" t="s">
        <v>25</v>
      </c>
      <c r="B19" s="203"/>
      <c r="C19" s="240">
        <v>300</v>
      </c>
      <c r="D19" s="204" t="s">
        <v>18</v>
      </c>
      <c r="E19" s="168"/>
      <c r="F19" s="205"/>
      <c r="G19" s="206"/>
      <c r="H19" s="206"/>
      <c r="I19" s="207"/>
    </row>
    <row r="20" spans="1:9" ht="20.25" x14ac:dyDescent="0.3">
      <c r="A20" s="202" t="s">
        <v>26</v>
      </c>
      <c r="B20" s="203"/>
      <c r="C20" s="240">
        <v>1</v>
      </c>
      <c r="D20" s="204" t="s">
        <v>27</v>
      </c>
      <c r="E20" s="168"/>
      <c r="F20" s="205"/>
      <c r="G20" s="206"/>
      <c r="H20" s="206"/>
      <c r="I20" s="207"/>
    </row>
    <row r="21" spans="1:9" ht="20.25" x14ac:dyDescent="0.3">
      <c r="A21" s="202" t="s">
        <v>28</v>
      </c>
      <c r="B21" s="203"/>
      <c r="C21" s="240">
        <f>C19/C22</f>
        <v>1</v>
      </c>
      <c r="D21" s="204" t="s">
        <v>20</v>
      </c>
      <c r="E21" s="168"/>
      <c r="F21" s="205"/>
      <c r="G21" s="206"/>
      <c r="H21" s="206"/>
      <c r="I21" s="207"/>
    </row>
    <row r="22" spans="1:9" ht="20.25" x14ac:dyDescent="0.3">
      <c r="A22" s="202" t="s">
        <v>29</v>
      </c>
      <c r="B22" s="203"/>
      <c r="C22" s="240">
        <v>300</v>
      </c>
      <c r="D22" s="204" t="s">
        <v>18</v>
      </c>
      <c r="E22" s="168"/>
      <c r="F22" s="205"/>
      <c r="G22" s="206"/>
      <c r="H22" s="206"/>
      <c r="I22" s="207"/>
    </row>
    <row r="23" spans="1:9" ht="21" thickBot="1" x14ac:dyDescent="0.35">
      <c r="A23" s="208" t="s">
        <v>30</v>
      </c>
      <c r="B23" s="209"/>
      <c r="C23" s="241">
        <v>0</v>
      </c>
      <c r="D23" s="210" t="s">
        <v>18</v>
      </c>
      <c r="E23" s="168"/>
      <c r="F23" s="211"/>
      <c r="G23" s="212"/>
      <c r="H23" s="212"/>
      <c r="I23" s="213"/>
    </row>
    <row r="24" spans="1:9" ht="21" thickBot="1" x14ac:dyDescent="0.35">
      <c r="A24" s="214"/>
      <c r="B24" s="215"/>
      <c r="C24" s="215"/>
      <c r="D24" s="216"/>
      <c r="E24" s="168"/>
      <c r="F24" s="217"/>
      <c r="G24" s="217"/>
      <c r="H24" s="217"/>
      <c r="I24" s="217"/>
    </row>
    <row r="25" spans="1:9" ht="21" thickBot="1" x14ac:dyDescent="0.35">
      <c r="A25" s="233" t="s">
        <v>31</v>
      </c>
      <c r="B25" s="234"/>
      <c r="C25" s="234"/>
      <c r="D25" s="234"/>
      <c r="E25" s="234"/>
      <c r="F25" s="234"/>
      <c r="G25" s="234"/>
      <c r="H25" s="234"/>
      <c r="I25" s="235"/>
    </row>
    <row r="26" spans="1:9" ht="21" thickBot="1" x14ac:dyDescent="0.3">
      <c r="A26" s="218" t="s">
        <v>70</v>
      </c>
      <c r="B26" s="219"/>
      <c r="C26" s="219"/>
      <c r="D26" s="219"/>
      <c r="E26" s="219"/>
      <c r="F26" s="219"/>
      <c r="G26" s="219"/>
      <c r="H26" s="219"/>
      <c r="I26" s="220"/>
    </row>
    <row r="27" spans="1:9" ht="21" thickBot="1" x14ac:dyDescent="0.3">
      <c r="A27" s="218" t="s">
        <v>58</v>
      </c>
      <c r="B27" s="219"/>
      <c r="C27" s="219"/>
      <c r="D27" s="219"/>
      <c r="E27" s="219"/>
      <c r="F27" s="219"/>
      <c r="G27" s="219"/>
      <c r="H27" s="219"/>
      <c r="I27" s="220"/>
    </row>
    <row r="28" spans="1:9" ht="21" thickBot="1" x14ac:dyDescent="0.3">
      <c r="A28" s="218"/>
      <c r="B28" s="219"/>
      <c r="C28" s="219"/>
      <c r="D28" s="219"/>
      <c r="E28" s="219"/>
      <c r="F28" s="219"/>
      <c r="G28" s="219"/>
      <c r="H28" s="219"/>
      <c r="I28" s="220"/>
    </row>
    <row r="29" spans="1:9" ht="21" thickBot="1" x14ac:dyDescent="0.3">
      <c r="A29" s="218"/>
      <c r="B29" s="219"/>
      <c r="C29" s="219"/>
      <c r="D29" s="219"/>
      <c r="E29" s="219"/>
      <c r="F29" s="219"/>
      <c r="G29" s="219"/>
      <c r="H29" s="219"/>
      <c r="I29" s="220"/>
    </row>
    <row r="30" spans="1:9" ht="20.25" x14ac:dyDescent="0.25">
      <c r="A30" s="218"/>
      <c r="B30" s="219"/>
      <c r="C30" s="219"/>
      <c r="D30" s="219"/>
      <c r="E30" s="219"/>
      <c r="F30" s="219"/>
      <c r="G30" s="219"/>
      <c r="H30" s="219"/>
      <c r="I30" s="220"/>
    </row>
    <row r="31" spans="1:9" ht="21" thickBot="1" x14ac:dyDescent="0.35">
      <c r="A31" s="221"/>
      <c r="B31" s="222"/>
      <c r="C31" s="222"/>
      <c r="D31" s="222"/>
      <c r="E31" s="222"/>
      <c r="F31" s="222"/>
      <c r="G31" s="222"/>
      <c r="H31" s="222"/>
      <c r="I31" s="223"/>
    </row>
    <row r="32" spans="1:9" ht="20.25" x14ac:dyDescent="0.3">
      <c r="A32" s="231" t="s">
        <v>32</v>
      </c>
      <c r="B32" s="231"/>
      <c r="C32" s="231"/>
      <c r="D32" s="231"/>
      <c r="E32" s="231"/>
      <c r="F32" s="231"/>
      <c r="G32" s="231"/>
      <c r="H32" s="231"/>
      <c r="I32" s="232"/>
    </row>
    <row r="33" spans="1:9" ht="20.25" x14ac:dyDescent="0.3">
      <c r="A33" s="224" t="s">
        <v>34</v>
      </c>
      <c r="B33" s="225" t="s">
        <v>35</v>
      </c>
      <c r="C33" s="226"/>
      <c r="D33" s="226"/>
      <c r="E33" s="226"/>
      <c r="F33" s="226"/>
      <c r="G33" s="226"/>
      <c r="H33" s="226"/>
      <c r="I33" s="227"/>
    </row>
    <row r="34" spans="1:9" ht="20.25" x14ac:dyDescent="0.3">
      <c r="A34" s="228">
        <v>1</v>
      </c>
      <c r="B34" s="225"/>
      <c r="C34" s="226"/>
      <c r="D34" s="226"/>
      <c r="E34" s="226"/>
      <c r="F34" s="226"/>
      <c r="G34" s="226"/>
      <c r="H34" s="226"/>
      <c r="I34" s="227"/>
    </row>
    <row r="35" spans="1:9" ht="20.25" x14ac:dyDescent="0.3">
      <c r="A35" s="228">
        <v>2</v>
      </c>
      <c r="B35" s="225"/>
      <c r="C35" s="226"/>
      <c r="D35" s="226"/>
      <c r="E35" s="226"/>
      <c r="F35" s="226"/>
      <c r="G35" s="226"/>
      <c r="H35" s="226"/>
      <c r="I35" s="227"/>
    </row>
    <row r="36" spans="1:9" ht="20.25" x14ac:dyDescent="0.3">
      <c r="A36" s="228">
        <v>3</v>
      </c>
      <c r="B36" s="225"/>
      <c r="C36" s="226"/>
      <c r="D36" s="226"/>
      <c r="E36" s="226"/>
      <c r="F36" s="226"/>
      <c r="G36" s="226"/>
      <c r="H36" s="226"/>
      <c r="I36" s="227"/>
    </row>
    <row r="37" spans="1:9" ht="20.25" x14ac:dyDescent="0.3">
      <c r="A37" s="228">
        <v>4</v>
      </c>
      <c r="B37" s="225"/>
      <c r="C37" s="226"/>
      <c r="D37" s="226"/>
      <c r="E37" s="226"/>
      <c r="F37" s="226"/>
      <c r="G37" s="226"/>
      <c r="H37" s="226"/>
      <c r="I37" s="227"/>
    </row>
    <row r="38" spans="1:9" ht="20.25" x14ac:dyDescent="0.3">
      <c r="A38" s="228">
        <v>5</v>
      </c>
      <c r="B38" s="225"/>
      <c r="C38" s="226"/>
      <c r="D38" s="226"/>
      <c r="E38" s="226"/>
      <c r="F38" s="226"/>
      <c r="G38" s="226"/>
      <c r="H38" s="226"/>
      <c r="I38" s="227"/>
    </row>
    <row r="39" spans="1:9" ht="20.25" x14ac:dyDescent="0.3">
      <c r="A39" s="242"/>
      <c r="B39" s="242"/>
      <c r="C39" s="242"/>
      <c r="D39" s="242"/>
      <c r="E39" s="242"/>
      <c r="F39" s="242"/>
      <c r="G39" s="242"/>
      <c r="H39" s="242"/>
      <c r="I39" s="242"/>
    </row>
  </sheetData>
  <mergeCells count="47">
    <mergeCell ref="A39:I39"/>
    <mergeCell ref="A1:A4"/>
    <mergeCell ref="B1:G1"/>
    <mergeCell ref="B2:G2"/>
    <mergeCell ref="B3:G3"/>
    <mergeCell ref="C4:D4"/>
    <mergeCell ref="E4:F4"/>
    <mergeCell ref="G4:I4"/>
    <mergeCell ref="A6:B6"/>
    <mergeCell ref="C6:D6"/>
    <mergeCell ref="E6:G6"/>
    <mergeCell ref="H6:I6"/>
    <mergeCell ref="A8:A9"/>
    <mergeCell ref="B8:B9"/>
    <mergeCell ref="C8:C9"/>
    <mergeCell ref="D8:D9"/>
    <mergeCell ref="E8:E9"/>
    <mergeCell ref="F8:F9"/>
    <mergeCell ref="G15:I15"/>
    <mergeCell ref="G8:I9"/>
    <mergeCell ref="G10:I10"/>
    <mergeCell ref="G11:I11"/>
    <mergeCell ref="G12:I12"/>
    <mergeCell ref="G13:I13"/>
    <mergeCell ref="G14:I14"/>
    <mergeCell ref="A31:I31"/>
    <mergeCell ref="G16:I16"/>
    <mergeCell ref="F18:I18"/>
    <mergeCell ref="A19:B19"/>
    <mergeCell ref="F19:I23"/>
    <mergeCell ref="A20:B20"/>
    <mergeCell ref="A21:B21"/>
    <mergeCell ref="A22:B22"/>
    <mergeCell ref="A23:B23"/>
    <mergeCell ref="A26:I26"/>
    <mergeCell ref="A27:I27"/>
    <mergeCell ref="A28:I28"/>
    <mergeCell ref="A29:I29"/>
    <mergeCell ref="A30:I30"/>
    <mergeCell ref="A25:I25"/>
    <mergeCell ref="B38:I38"/>
    <mergeCell ref="A32:I32"/>
    <mergeCell ref="B33:I33"/>
    <mergeCell ref="B34:I34"/>
    <mergeCell ref="B35:I35"/>
    <mergeCell ref="B36:I36"/>
    <mergeCell ref="B37:I37"/>
  </mergeCells>
  <pageMargins left="0.7" right="0.7" top="0.75" bottom="0.75" header="0.3" footer="0.3"/>
  <pageSetup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1DC3-0191-4900-A851-6F87460C0EA9}">
  <dimension ref="A1:Q91"/>
  <sheetViews>
    <sheetView topLeftCell="A4" workbookViewId="0">
      <selection activeCell="A30" sqref="A30:XFD32"/>
    </sheetView>
  </sheetViews>
  <sheetFormatPr baseColWidth="10" defaultColWidth="8.42578125" defaultRowHeight="12.75" x14ac:dyDescent="0.25"/>
  <cols>
    <col min="1" max="1" width="10" style="21" bestFit="1" customWidth="1"/>
    <col min="2" max="2" width="44.28515625" style="21" bestFit="1" customWidth="1"/>
    <col min="3" max="3" width="10.42578125" style="21" bestFit="1" customWidth="1"/>
    <col min="4" max="4" width="10.42578125" style="21" customWidth="1"/>
    <col min="5" max="5" width="11" style="21" customWidth="1"/>
    <col min="6" max="6" width="9.5703125" style="21" bestFit="1" customWidth="1"/>
    <col min="7" max="7" width="10.85546875" style="103" customWidth="1"/>
    <col min="8" max="8" width="10.42578125" style="94" bestFit="1" customWidth="1"/>
    <col min="9" max="9" width="4.5703125" style="94" customWidth="1"/>
    <col min="10" max="10" width="1.85546875" style="20" customWidth="1"/>
    <col min="11" max="11" width="7" style="21" bestFit="1" customWidth="1"/>
    <col min="12" max="12" width="6.285156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28515625" style="21" customWidth="1"/>
    <col min="18" max="16384" width="8.42578125" style="21"/>
  </cols>
  <sheetData>
    <row r="1" spans="1:10" ht="27.75" customHeight="1" x14ac:dyDescent="0.25">
      <c r="A1" s="16"/>
      <c r="B1" s="16"/>
      <c r="C1" s="16"/>
      <c r="D1" s="16"/>
      <c r="E1" s="17" t="s">
        <v>71</v>
      </c>
      <c r="F1" s="18" t="s">
        <v>72</v>
      </c>
      <c r="G1" s="18" t="s">
        <v>73</v>
      </c>
      <c r="H1" s="18" t="s">
        <v>74</v>
      </c>
      <c r="I1" s="19"/>
    </row>
    <row r="2" spans="1:10" ht="30.75" customHeight="1" x14ac:dyDescent="0.25">
      <c r="A2" s="16"/>
      <c r="B2" s="16"/>
      <c r="C2" s="16"/>
      <c r="D2" s="16"/>
      <c r="E2" s="22">
        <f>IFERROR(O62,"")</f>
        <v>940.32014610389604</v>
      </c>
      <c r="F2" s="22">
        <f>IFERROR(H53,"")</f>
        <v>604.19624999999996</v>
      </c>
      <c r="G2" s="22">
        <f>IFERROR(H54,"")</f>
        <v>16.02</v>
      </c>
      <c r="H2" s="22">
        <f>IFERROR(H56,"")</f>
        <v>154.05000000000001</v>
      </c>
      <c r="I2" s="23"/>
    </row>
    <row r="3" spans="1:10" ht="15" customHeight="1" x14ac:dyDescent="0.25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3">
      <c r="A4" s="137"/>
      <c r="B4" s="137"/>
      <c r="C4" s="137"/>
      <c r="D4" s="137"/>
      <c r="E4" s="137"/>
      <c r="F4" s="137"/>
      <c r="G4" s="137"/>
      <c r="H4" s="137"/>
      <c r="I4" s="25"/>
    </row>
    <row r="5" spans="1:10" ht="19.5" customHeight="1" thickBot="1" x14ac:dyDescent="0.3">
      <c r="A5" s="138" t="s">
        <v>75</v>
      </c>
      <c r="B5" s="139"/>
      <c r="C5" s="139"/>
      <c r="D5" s="139"/>
      <c r="E5" s="139"/>
      <c r="F5" s="139"/>
      <c r="G5" s="139"/>
      <c r="H5" s="140"/>
      <c r="I5" s="26"/>
    </row>
    <row r="6" spans="1:10" ht="19.5" thickBot="1" x14ac:dyDescent="0.3">
      <c r="A6" s="26"/>
      <c r="B6" s="26"/>
      <c r="C6" s="26"/>
      <c r="D6" s="26"/>
      <c r="E6" s="26"/>
      <c r="F6" s="141" t="s">
        <v>76</v>
      </c>
      <c r="G6" s="141"/>
      <c r="H6" s="27">
        <f ca="1">TODAY()</f>
        <v>45959</v>
      </c>
      <c r="I6" s="27"/>
    </row>
    <row r="7" spans="1:10" ht="26.25" hidden="1" thickBot="1" x14ac:dyDescent="0.3">
      <c r="A7" s="28" t="s">
        <v>77</v>
      </c>
      <c r="B7" s="29" t="s">
        <v>78</v>
      </c>
      <c r="C7" s="29" t="s">
        <v>77</v>
      </c>
      <c r="D7" s="30" t="s">
        <v>79</v>
      </c>
      <c r="E7" s="30" t="s">
        <v>80</v>
      </c>
      <c r="F7" s="30" t="s">
        <v>81</v>
      </c>
      <c r="G7" s="30" t="s">
        <v>82</v>
      </c>
      <c r="H7" s="31" t="s">
        <v>83</v>
      </c>
      <c r="I7" s="32"/>
    </row>
    <row r="8" spans="1:10" ht="13.5" hidden="1" x14ac:dyDescent="0.25">
      <c r="A8" s="33"/>
      <c r="B8" s="21" t="str">
        <f>IFERROR(VLOOKUP(H8,'[1]Consolidado MP Planta'!$A$2:$M$823,3,0),"")</f>
        <v/>
      </c>
      <c r="C8" s="34">
        <f>+A8</f>
        <v>0</v>
      </c>
      <c r="D8" s="35" t="str">
        <f>IFERROR(VLOOKUP(H8,'[1]Consolidado MP Planta'!$A$2:$M$823,13,0),"")</f>
        <v/>
      </c>
      <c r="E8" s="35" t="str">
        <f>IFERROR(VLOOKUP(H8,'[1]Consolidado MP Planta'!$A$2:$M$823,12,0),"")</f>
        <v/>
      </c>
      <c r="F8" s="35" t="str">
        <f>IFERROR(C8*E8,"")</f>
        <v/>
      </c>
      <c r="G8" s="36" t="str">
        <f t="shared" ref="G8:G14" si="0">IFERROR(F8/$F$66,"")</f>
        <v/>
      </c>
      <c r="H8" s="37"/>
      <c r="I8" s="37"/>
      <c r="J8" s="38"/>
    </row>
    <row r="9" spans="1:10" ht="13.5" hidden="1" x14ac:dyDescent="0.25">
      <c r="A9" s="33"/>
      <c r="B9" s="21" t="str">
        <f>IFERROR(VLOOKUP(H9,'[1]Consolidado MP Planta'!$A$2:$M$823,3,0),"")</f>
        <v/>
      </c>
      <c r="C9" s="34">
        <f t="shared" ref="C9:C14" si="1">+A9</f>
        <v>0</v>
      </c>
      <c r="D9" s="35" t="str">
        <f>IFERROR(VLOOKUP(H9,'[1]Consolidado MP Planta'!$A$2:$M$823,13,0),"")</f>
        <v/>
      </c>
      <c r="E9" s="35" t="str">
        <f>IFERROR(VLOOKUP(H9,'[1]Consolidado MP Planta'!$A$2:$M$823,12,0),"")</f>
        <v/>
      </c>
      <c r="F9" s="35" t="str">
        <f t="shared" ref="F9:F14" si="2">IFERROR(C9*E9,"")</f>
        <v/>
      </c>
      <c r="G9" s="36" t="str">
        <f t="shared" si="0"/>
        <v/>
      </c>
      <c r="H9" s="37"/>
      <c r="I9" s="37"/>
      <c r="J9" s="38"/>
    </row>
    <row r="10" spans="1:10" ht="13.5" hidden="1" x14ac:dyDescent="0.25">
      <c r="A10" s="33"/>
      <c r="B10" s="21" t="str">
        <f>IFERROR(VLOOKUP(H10,'[1]Consolidado MP Planta'!$A$2:$M$823,3,0),"")</f>
        <v/>
      </c>
      <c r="C10" s="34">
        <f t="shared" si="1"/>
        <v>0</v>
      </c>
      <c r="D10" s="35" t="str">
        <f>IFERROR(VLOOKUP(H10,'[1]Consolidado MP Planta'!$A$2:$M$823,13,0),"")</f>
        <v/>
      </c>
      <c r="E10" s="35" t="str">
        <f>IFERROR(VLOOKUP(H10,'[1]Consolidado MP Planta'!$A$2:$M$823,12,0),"")</f>
        <v/>
      </c>
      <c r="F10" s="35" t="str">
        <f t="shared" si="2"/>
        <v/>
      </c>
      <c r="G10" s="36" t="str">
        <f t="shared" si="0"/>
        <v/>
      </c>
      <c r="H10" s="37"/>
      <c r="I10" s="37"/>
      <c r="J10" s="38"/>
    </row>
    <row r="11" spans="1:10" ht="13.5" hidden="1" x14ac:dyDescent="0.25">
      <c r="A11" s="33"/>
      <c r="B11" s="21" t="str">
        <f>IFERROR(VLOOKUP(H11,'[1]Consolidado MP Planta'!$A$2:$M$823,3,0),"")</f>
        <v/>
      </c>
      <c r="C11" s="34">
        <f t="shared" si="1"/>
        <v>0</v>
      </c>
      <c r="D11" s="35" t="str">
        <f>IFERROR(VLOOKUP(H11,'[1]Consolidado MP Planta'!$A$2:$M$823,13,0),"")</f>
        <v/>
      </c>
      <c r="E11" s="35" t="str">
        <f>IFERROR(VLOOKUP(H11,'[1]Consolidado MP Planta'!$A$2:$M$823,12,0),"")</f>
        <v/>
      </c>
      <c r="F11" s="35" t="str">
        <f t="shared" si="2"/>
        <v/>
      </c>
      <c r="G11" s="36" t="str">
        <f t="shared" si="0"/>
        <v/>
      </c>
      <c r="H11" s="37"/>
      <c r="I11" s="37"/>
      <c r="J11" s="38"/>
    </row>
    <row r="12" spans="1:10" ht="13.5" hidden="1" x14ac:dyDescent="0.25">
      <c r="A12" s="33"/>
      <c r="B12" s="21" t="str">
        <f>IFERROR(VLOOKUP(H12,'[1]Consolidado MP Planta'!$A$2:$M$823,3,0),"")</f>
        <v/>
      </c>
      <c r="C12" s="34">
        <f t="shared" si="1"/>
        <v>0</v>
      </c>
      <c r="D12" s="35" t="str">
        <f>IFERROR(VLOOKUP(H12,'[1]Consolidado MP Planta'!$A$2:$M$823,13,0),"")</f>
        <v/>
      </c>
      <c r="E12" s="35" t="str">
        <f>IFERROR(VLOOKUP(H12,'[1]Consolidado MP Planta'!$A$2:$M$823,12,0),"")</f>
        <v/>
      </c>
      <c r="F12" s="35" t="str">
        <f t="shared" si="2"/>
        <v/>
      </c>
      <c r="G12" s="36" t="str">
        <f t="shared" si="0"/>
        <v/>
      </c>
      <c r="H12" s="37"/>
      <c r="I12" s="37"/>
      <c r="J12" s="38"/>
    </row>
    <row r="13" spans="1:10" ht="13.5" hidden="1" x14ac:dyDescent="0.25">
      <c r="A13" s="33"/>
      <c r="B13" s="21" t="str">
        <f>IFERROR(VLOOKUP(H13,'[1]Consolidado MP Planta'!$A$2:$M$823,3,0),"")</f>
        <v/>
      </c>
      <c r="C13" s="34">
        <f t="shared" si="1"/>
        <v>0</v>
      </c>
      <c r="D13" s="35" t="str">
        <f>IFERROR(VLOOKUP(H13,'[1]Consolidado MP Planta'!$A$2:$M$823,13,0),"")</f>
        <v/>
      </c>
      <c r="E13" s="35" t="str">
        <f>IFERROR(VLOOKUP(H13,'[1]Consolidado MP Planta'!$A$2:$M$823,12,0),"")</f>
        <v/>
      </c>
      <c r="F13" s="35" t="str">
        <f t="shared" si="2"/>
        <v/>
      </c>
      <c r="G13" s="36" t="str">
        <f t="shared" si="0"/>
        <v/>
      </c>
      <c r="H13" s="37"/>
      <c r="I13" s="37"/>
      <c r="J13" s="38"/>
    </row>
    <row r="14" spans="1:10" ht="13.5" hidden="1" x14ac:dyDescent="0.25">
      <c r="A14" s="33"/>
      <c r="B14" s="21" t="str">
        <f>IFERROR(VLOOKUP(H14,'[1]Consolidado MP Planta'!$A$2:$M$823,3,0),"")</f>
        <v/>
      </c>
      <c r="C14" s="34">
        <f t="shared" si="1"/>
        <v>0</v>
      </c>
      <c r="D14" s="35" t="str">
        <f>IFERROR(VLOOKUP(H14,'[1]Consolidado MP Planta'!$A$2:$M$823,13,0),"")</f>
        <v/>
      </c>
      <c r="E14" s="35" t="str">
        <f>IFERROR(VLOOKUP(H14,'[1]Consolidado MP Planta'!$A$2:$M$823,12,0),"")</f>
        <v/>
      </c>
      <c r="F14" s="35" t="str">
        <f t="shared" si="2"/>
        <v/>
      </c>
      <c r="G14" s="36" t="str">
        <f t="shared" si="0"/>
        <v/>
      </c>
      <c r="H14" s="37"/>
      <c r="I14" s="37"/>
      <c r="J14" s="38"/>
    </row>
    <row r="15" spans="1:10" ht="14.25" hidden="1" thickBot="1" x14ac:dyDescent="0.3">
      <c r="A15" s="33"/>
      <c r="B15" s="21" t="str">
        <f>IFERROR(VLOOKUP(H15,[2]Hoja2!$A$2:$G$589,2,0),"")</f>
        <v/>
      </c>
      <c r="C15" s="34"/>
      <c r="D15" s="35"/>
      <c r="E15" s="35"/>
      <c r="F15" s="35"/>
      <c r="G15" s="36"/>
      <c r="H15" s="37"/>
      <c r="I15" s="37"/>
      <c r="J15" s="38"/>
    </row>
    <row r="16" spans="1:10" ht="26.25" thickBot="1" x14ac:dyDescent="0.3">
      <c r="A16" s="28" t="s">
        <v>77</v>
      </c>
      <c r="B16" s="29" t="s">
        <v>84</v>
      </c>
      <c r="C16" s="29" t="s">
        <v>77</v>
      </c>
      <c r="D16" s="30" t="s">
        <v>79</v>
      </c>
      <c r="E16" s="30" t="s">
        <v>80</v>
      </c>
      <c r="F16" s="30" t="s">
        <v>81</v>
      </c>
      <c r="G16" s="30" t="s">
        <v>82</v>
      </c>
      <c r="H16" s="31" t="s">
        <v>83</v>
      </c>
      <c r="I16" s="32"/>
      <c r="J16" s="38"/>
    </row>
    <row r="17" spans="1:12" ht="13.5" x14ac:dyDescent="0.25">
      <c r="A17" s="33">
        <v>300</v>
      </c>
      <c r="B17" s="21" t="s">
        <v>69</v>
      </c>
      <c r="C17" s="34">
        <f>+A17</f>
        <v>300</v>
      </c>
      <c r="D17" s="34" t="s">
        <v>123</v>
      </c>
      <c r="E17" s="35">
        <f>+'Costo Salsa Pastor '!E75</f>
        <v>2.0139874999999998</v>
      </c>
      <c r="F17" s="35">
        <f>IFERROR(E17*C17,"")</f>
        <v>604.19624999999996</v>
      </c>
      <c r="G17" s="36">
        <f t="shared" ref="G17:G24" si="3">IFERROR(F17/$F$66,"")</f>
        <v>0.8518202466254855</v>
      </c>
      <c r="H17" s="37" t="s">
        <v>57</v>
      </c>
      <c r="I17" s="37"/>
      <c r="J17" s="38"/>
    </row>
    <row r="18" spans="1:12" ht="13.5" hidden="1" x14ac:dyDescent="0.25">
      <c r="A18" s="33"/>
      <c r="B18" s="21" t="str">
        <f>IFERROR(VLOOKUP(H18,[1]SEMIELABORADOS!$A$2:$M$6000,2,0),"")</f>
        <v/>
      </c>
      <c r="C18" s="34">
        <f t="shared" ref="C18:C24" si="4">+A18</f>
        <v>0</v>
      </c>
      <c r="D18" s="34" t="str">
        <f>IFERROR(VLOOKUP(H18,[1]SEMIELABORADOS!$A$2:$M$6000,6,0),"")</f>
        <v/>
      </c>
      <c r="E18" s="35" t="str">
        <f>IFERROR(VLOOKUP(H18,[1]SEMIELABORADOS!$A$2:$H$65536,8,0),"")</f>
        <v/>
      </c>
      <c r="F18" s="35" t="str">
        <f t="shared" ref="F18:F24" si="5">IFERROR(E18*C18,"")</f>
        <v/>
      </c>
      <c r="G18" s="36" t="str">
        <f t="shared" si="3"/>
        <v/>
      </c>
      <c r="H18" s="37"/>
      <c r="I18" s="37"/>
      <c r="J18" s="38"/>
    </row>
    <row r="19" spans="1:12" ht="13.5" hidden="1" x14ac:dyDescent="0.25">
      <c r="A19" s="33"/>
      <c r="B19" s="21" t="str">
        <f>IFERROR(VLOOKUP(H19,[1]SEMIELABORADOS!$A$2:$M$6000,2,0),"")</f>
        <v/>
      </c>
      <c r="C19" s="34">
        <f>+A19</f>
        <v>0</v>
      </c>
      <c r="D19" s="34" t="str">
        <f>IFERROR(VLOOKUP(H19,[1]SEMIELABORADOS!$A$2:$M$6000,6,0),"")</f>
        <v/>
      </c>
      <c r="E19" s="35" t="str">
        <f>IFERROR(VLOOKUP(H19,[1]SEMIELABORADOS!$A$2:$H$65536,8,0),"")</f>
        <v/>
      </c>
      <c r="F19" s="35" t="str">
        <f>IFERROR(E19*C19,"")</f>
        <v/>
      </c>
      <c r="G19" s="36" t="str">
        <f t="shared" si="3"/>
        <v/>
      </c>
      <c r="H19" s="37"/>
      <c r="I19" s="37"/>
      <c r="J19" s="38"/>
    </row>
    <row r="20" spans="1:12" ht="13.5" hidden="1" x14ac:dyDescent="0.25">
      <c r="A20" s="33"/>
      <c r="B20" s="21" t="str">
        <f>IFERROR(VLOOKUP(H20,[1]SEMIELABORADOS!$A$2:$M$6000,2,0),"")</f>
        <v/>
      </c>
      <c r="C20" s="34">
        <f>+A20</f>
        <v>0</v>
      </c>
      <c r="D20" s="34" t="str">
        <f>IFERROR(VLOOKUP(H20,[1]SEMIELABORADOS!$A$2:$M$6000,6,0),"")</f>
        <v/>
      </c>
      <c r="E20" s="35" t="str">
        <f>IFERROR(VLOOKUP(H20,[1]SEMIELABORADOS!$A$2:$H$65536,8,0),"")</f>
        <v/>
      </c>
      <c r="F20" s="35" t="str">
        <f>IFERROR(E20*C20,"")</f>
        <v/>
      </c>
      <c r="G20" s="36" t="str">
        <f t="shared" si="3"/>
        <v/>
      </c>
      <c r="H20" s="37"/>
      <c r="I20" s="37"/>
      <c r="J20" s="38"/>
    </row>
    <row r="21" spans="1:12" ht="13.5" hidden="1" x14ac:dyDescent="0.25">
      <c r="A21" s="33"/>
      <c r="B21" s="21" t="str">
        <f>IFERROR(VLOOKUP(H21,[1]SEMIELABORADOS!$A$2:$M$6000,2,0),"")</f>
        <v/>
      </c>
      <c r="C21" s="34">
        <f>+A21</f>
        <v>0</v>
      </c>
      <c r="D21" s="34" t="str">
        <f>IFERROR(VLOOKUP(H21,[1]SEMIELABORADOS!$A$2:$M$6000,6,0),"")</f>
        <v/>
      </c>
      <c r="E21" s="35" t="str">
        <f>IFERROR(VLOOKUP(H21,[1]SEMIELABORADOS!$A$2:$H$65536,8,0),"")</f>
        <v/>
      </c>
      <c r="F21" s="35" t="str">
        <f>IFERROR(E21*C21,"")</f>
        <v/>
      </c>
      <c r="G21" s="36" t="str">
        <f t="shared" si="3"/>
        <v/>
      </c>
      <c r="H21" s="37"/>
      <c r="I21" s="37"/>
      <c r="J21" s="38"/>
    </row>
    <row r="22" spans="1:12" ht="13.5" hidden="1" x14ac:dyDescent="0.25">
      <c r="A22" s="33"/>
      <c r="B22" s="21" t="str">
        <f>IFERROR(VLOOKUP(H22,[1]SEMIELABORADOS!$A$2:$M$6000,2,0),"")</f>
        <v/>
      </c>
      <c r="C22" s="34">
        <f t="shared" si="4"/>
        <v>0</v>
      </c>
      <c r="D22" s="34" t="str">
        <f>IFERROR(VLOOKUP(H22,[1]SEMIELABORADOS!$A$2:$M$6000,6,0),"")</f>
        <v/>
      </c>
      <c r="E22" s="35" t="str">
        <f>IFERROR(VLOOKUP(H22,[1]SEMIELABORADOS!$A$2:$H$65536,8,0),"")</f>
        <v/>
      </c>
      <c r="F22" s="35" t="str">
        <f t="shared" si="5"/>
        <v/>
      </c>
      <c r="G22" s="36" t="str">
        <f t="shared" si="3"/>
        <v/>
      </c>
      <c r="H22" s="37"/>
      <c r="I22" s="37"/>
      <c r="J22" s="38"/>
    </row>
    <row r="23" spans="1:12" ht="13.5" hidden="1" x14ac:dyDescent="0.25">
      <c r="A23" s="33"/>
      <c r="B23" s="21" t="str">
        <f>IFERROR(VLOOKUP(H23,[1]SEMIELABORADOS!$A$2:$M$6000,2,0),"")</f>
        <v/>
      </c>
      <c r="C23" s="34">
        <f t="shared" si="4"/>
        <v>0</v>
      </c>
      <c r="D23" s="34" t="str">
        <f>IFERROR(VLOOKUP(H23,[1]SEMIELABORADOS!$A$2:$M$6000,6,0),"")</f>
        <v/>
      </c>
      <c r="E23" s="35" t="str">
        <f>IFERROR(VLOOKUP(H23,[1]SEMIELABORADOS!$A$2:$H$65536,8,0),"")</f>
        <v/>
      </c>
      <c r="F23" s="35" t="str">
        <f t="shared" si="5"/>
        <v/>
      </c>
      <c r="G23" s="36" t="str">
        <f t="shared" si="3"/>
        <v/>
      </c>
      <c r="H23" s="37"/>
      <c r="I23" s="37"/>
      <c r="J23" s="38"/>
    </row>
    <row r="24" spans="1:12" ht="13.5" hidden="1" x14ac:dyDescent="0.25">
      <c r="A24" s="33"/>
      <c r="B24" s="21" t="str">
        <f>IFERROR(VLOOKUP(H24,[1]SEMIELABORADOS!$A$2:$M$6000,2,0),"")</f>
        <v/>
      </c>
      <c r="C24" s="34">
        <f t="shared" si="4"/>
        <v>0</v>
      </c>
      <c r="D24" s="34" t="str">
        <f>IFERROR(VLOOKUP(H24,[1]SEMIELABORADOS!$A$2:$M$6000,6,0),"")</f>
        <v/>
      </c>
      <c r="E24" s="35" t="str">
        <f>IFERROR(VLOOKUP(H24,[1]SEMIELABORADOS!$A$2:$H$65536,8,0),"")</f>
        <v/>
      </c>
      <c r="F24" s="35" t="str">
        <f t="shared" si="5"/>
        <v/>
      </c>
      <c r="G24" s="36" t="str">
        <f t="shared" si="3"/>
        <v/>
      </c>
      <c r="H24" s="37"/>
      <c r="I24" s="37"/>
      <c r="J24" s="38"/>
    </row>
    <row r="25" spans="1:12" ht="14.25" thickBot="1" x14ac:dyDescent="0.3">
      <c r="A25" s="33"/>
      <c r="C25" s="34"/>
      <c r="D25" s="34"/>
      <c r="E25" s="35"/>
      <c r="F25" s="35"/>
      <c r="G25" s="36"/>
      <c r="H25" s="37"/>
      <c r="I25" s="37"/>
      <c r="J25" s="38"/>
    </row>
    <row r="26" spans="1:12" ht="26.25" thickBot="1" x14ac:dyDescent="0.3">
      <c r="A26" s="28" t="s">
        <v>77</v>
      </c>
      <c r="B26" s="29" t="s">
        <v>85</v>
      </c>
      <c r="C26" s="29" t="s">
        <v>77</v>
      </c>
      <c r="D26" s="30" t="s">
        <v>79</v>
      </c>
      <c r="E26" s="30" t="s">
        <v>80</v>
      </c>
      <c r="F26" s="30" t="s">
        <v>81</v>
      </c>
      <c r="G26" s="30" t="s">
        <v>82</v>
      </c>
      <c r="H26" s="31" t="s">
        <v>83</v>
      </c>
      <c r="I26" s="32"/>
    </row>
    <row r="27" spans="1:12" ht="13.5" x14ac:dyDescent="0.25">
      <c r="A27" s="33">
        <v>1</v>
      </c>
      <c r="B27" s="39" t="s">
        <v>53</v>
      </c>
      <c r="C27" s="34">
        <f t="shared" ref="C27:C32" si="6">+A27</f>
        <v>1</v>
      </c>
      <c r="D27" s="35" t="s">
        <v>124</v>
      </c>
      <c r="E27" s="35">
        <v>15</v>
      </c>
      <c r="F27" s="35">
        <f t="shared" ref="F27:F32" si="7">IFERROR(C27*E27,"")</f>
        <v>15</v>
      </c>
      <c r="G27" s="36">
        <f t="shared" ref="G27:G32" si="8">IFERROR(F27/$F$66,"")</f>
        <v>2.1147605102451866E-2</v>
      </c>
      <c r="H27" s="40" t="s">
        <v>52</v>
      </c>
      <c r="I27" s="40"/>
      <c r="J27" s="38"/>
      <c r="K27" s="136"/>
      <c r="L27" s="136"/>
    </row>
    <row r="28" spans="1:12" ht="13.5" x14ac:dyDescent="0.25">
      <c r="A28" s="33">
        <v>1</v>
      </c>
      <c r="B28" s="39" t="s">
        <v>55</v>
      </c>
      <c r="C28" s="34">
        <f t="shared" si="6"/>
        <v>1</v>
      </c>
      <c r="D28" s="35" t="s">
        <v>124</v>
      </c>
      <c r="E28" s="35">
        <v>0.57999999999999996</v>
      </c>
      <c r="F28" s="35">
        <f t="shared" si="7"/>
        <v>0.57999999999999996</v>
      </c>
      <c r="G28" s="36">
        <f t="shared" si="8"/>
        <v>8.1770739729480544E-4</v>
      </c>
      <c r="H28" s="40" t="s">
        <v>54</v>
      </c>
      <c r="I28" s="40"/>
      <c r="J28" s="38"/>
      <c r="K28" s="136"/>
      <c r="L28" s="136"/>
    </row>
    <row r="29" spans="1:12" ht="13.5" x14ac:dyDescent="0.25">
      <c r="A29" s="33">
        <v>1</v>
      </c>
      <c r="B29" s="39" t="s">
        <v>56</v>
      </c>
      <c r="C29" s="34">
        <f t="shared" si="6"/>
        <v>1</v>
      </c>
      <c r="D29" s="35" t="s">
        <v>124</v>
      </c>
      <c r="E29" s="35">
        <v>0.39</v>
      </c>
      <c r="F29" s="35">
        <f t="shared" si="7"/>
        <v>0.39</v>
      </c>
      <c r="G29" s="36">
        <f t="shared" si="8"/>
        <v>5.4983773266374853E-4</v>
      </c>
      <c r="H29" s="40" t="s">
        <v>21</v>
      </c>
      <c r="I29" s="40"/>
      <c r="J29" s="38"/>
      <c r="K29" s="136"/>
      <c r="L29" s="136"/>
    </row>
    <row r="30" spans="1:12" ht="13.5" hidden="1" x14ac:dyDescent="0.25">
      <c r="A30" s="33"/>
      <c r="B30" s="39" t="str">
        <f>IFERROR(VLOOKUP(H30,'[1]Consolidado MP Planta'!$A$2:$M$823,3,0),"")</f>
        <v/>
      </c>
      <c r="C30" s="34">
        <f t="shared" si="6"/>
        <v>0</v>
      </c>
      <c r="D30" s="35" t="str">
        <f>IFERROR(VLOOKUP(H30,'[1]Consolidado MP Planta'!$A$2:$M$823,13,0),"")</f>
        <v/>
      </c>
      <c r="E30" s="35" t="str">
        <f>IFERROR(VLOOKUP(H30,'[1]Consolidado MP Planta'!$A$2:$M$823,12,0),"")</f>
        <v/>
      </c>
      <c r="F30" s="35" t="str">
        <f t="shared" si="7"/>
        <v/>
      </c>
      <c r="G30" s="36" t="str">
        <f t="shared" si="8"/>
        <v/>
      </c>
      <c r="H30" s="40"/>
      <c r="I30" s="40"/>
      <c r="J30" s="38"/>
      <c r="K30" s="136"/>
      <c r="L30" s="136"/>
    </row>
    <row r="31" spans="1:12" ht="13.5" hidden="1" x14ac:dyDescent="0.25">
      <c r="A31" s="33"/>
      <c r="B31" s="39" t="str">
        <f>IFERROR(VLOOKUP(H31,'[1]Consolidado MP Planta'!$A$2:$M$823,3,0),"")</f>
        <v/>
      </c>
      <c r="C31" s="34">
        <f t="shared" si="6"/>
        <v>0</v>
      </c>
      <c r="D31" s="35" t="str">
        <f>IFERROR(VLOOKUP(H31,'[1]Consolidado MP Planta'!$A$2:$M$823,13,0),"")</f>
        <v/>
      </c>
      <c r="E31" s="35" t="str">
        <f>IFERROR(VLOOKUP(H31,'[1]Consolidado MP Planta'!$A$2:$M$823,12,0),"")</f>
        <v/>
      </c>
      <c r="F31" s="35" t="str">
        <f t="shared" si="7"/>
        <v/>
      </c>
      <c r="G31" s="36" t="str">
        <f t="shared" si="8"/>
        <v/>
      </c>
      <c r="H31" s="40"/>
      <c r="I31" s="40"/>
      <c r="J31" s="38"/>
      <c r="K31" s="41"/>
      <c r="L31" s="42"/>
    </row>
    <row r="32" spans="1:12" ht="13.5" hidden="1" x14ac:dyDescent="0.25">
      <c r="A32" s="33"/>
      <c r="B32" s="39" t="str">
        <f>IFERROR(VLOOKUP(H32,'[1]Consolidado MP Planta'!$A$2:$M$823,3,0),"")</f>
        <v/>
      </c>
      <c r="C32" s="34">
        <f t="shared" si="6"/>
        <v>0</v>
      </c>
      <c r="D32" s="35" t="str">
        <f>IFERROR(VLOOKUP(H32,'[1]Consolidado MP Planta'!$A$2:$M$823,13,0),"")</f>
        <v/>
      </c>
      <c r="E32" s="35" t="str">
        <f>IFERROR(VLOOKUP(H32,'[1]Consolidado MP Planta'!$A$2:$M$823,12,0),"")</f>
        <v/>
      </c>
      <c r="F32" s="35" t="str">
        <f t="shared" si="7"/>
        <v/>
      </c>
      <c r="G32" s="36" t="str">
        <f t="shared" si="8"/>
        <v/>
      </c>
      <c r="H32" s="40"/>
      <c r="I32" s="40"/>
      <c r="J32" s="38"/>
    </row>
    <row r="33" spans="1:13" ht="14.25" thickBot="1" x14ac:dyDescent="0.3">
      <c r="A33" s="33"/>
      <c r="B33" s="39"/>
      <c r="C33" s="34"/>
      <c r="D33" s="35"/>
      <c r="E33" s="35"/>
      <c r="F33" s="35"/>
      <c r="G33" s="36"/>
      <c r="H33" s="40"/>
      <c r="I33" s="40"/>
      <c r="J33" s="38"/>
    </row>
    <row r="34" spans="1:13" ht="26.25" thickBot="1" x14ac:dyDescent="0.25">
      <c r="A34" s="28" t="s">
        <v>77</v>
      </c>
      <c r="B34" s="29" t="s">
        <v>86</v>
      </c>
      <c r="C34" s="29" t="s">
        <v>77</v>
      </c>
      <c r="D34" s="30" t="s">
        <v>79</v>
      </c>
      <c r="E34" s="30" t="s">
        <v>80</v>
      </c>
      <c r="F34" s="30" t="s">
        <v>81</v>
      </c>
      <c r="G34" s="30" t="s">
        <v>82</v>
      </c>
      <c r="H34" s="31" t="s">
        <v>83</v>
      </c>
      <c r="I34" s="40"/>
      <c r="J34" s="38"/>
    </row>
    <row r="35" spans="1:13" ht="13.5" x14ac:dyDescent="0.25">
      <c r="A35" s="33">
        <f>+A17</f>
        <v>300</v>
      </c>
      <c r="B35" s="21" t="s">
        <v>69</v>
      </c>
      <c r="C35" s="34">
        <f>+A35</f>
        <v>300</v>
      </c>
      <c r="D35" s="35" t="s">
        <v>123</v>
      </c>
      <c r="E35" s="35">
        <f>+'Costo Salsa Pastor '!E82</f>
        <v>1.6666666666666669E-4</v>
      </c>
      <c r="F35" s="35">
        <f>IFERROR(E35*C35,"")</f>
        <v>5.000000000000001E-2</v>
      </c>
      <c r="G35" s="36">
        <f t="shared" ref="G35:G41" si="9">IFERROR(F35/$F$66,"")</f>
        <v>7.0492017008172894E-5</v>
      </c>
      <c r="H35" s="40" t="s">
        <v>57</v>
      </c>
      <c r="I35" s="40"/>
      <c r="J35" s="38"/>
    </row>
    <row r="36" spans="1:13" ht="13.5" hidden="1" x14ac:dyDescent="0.25">
      <c r="A36" s="33">
        <f t="shared" ref="A36:A41" si="10">+A18</f>
        <v>0</v>
      </c>
      <c r="B36" s="39" t="str">
        <f>IFERROR(VLOOKUP(H36,[1]SEMIELABORADOS!$A$2:$M$6000,2,0),"")</f>
        <v/>
      </c>
      <c r="C36" s="34">
        <f t="shared" ref="C36:C41" si="11">+A36</f>
        <v>0</v>
      </c>
      <c r="D36" s="35" t="str">
        <f>IFERROR(VLOOKUP(H36,[1]SEMIELABORADOS!$A$2:$M$6000,6,0),"")</f>
        <v/>
      </c>
      <c r="E36" s="35" t="str">
        <f>IFERROR(VLOOKUP(H36,[1]SEMIELABORADOS!$A$2:$M$65536,10,0),"")</f>
        <v/>
      </c>
      <c r="F36" s="35" t="str">
        <f t="shared" ref="F36:F41" si="12">IFERROR(E36*C36,"")</f>
        <v/>
      </c>
      <c r="G36" s="36" t="str">
        <f t="shared" si="9"/>
        <v/>
      </c>
      <c r="H36" s="40"/>
      <c r="I36" s="40"/>
      <c r="J36" s="38"/>
    </row>
    <row r="37" spans="1:13" ht="13.5" hidden="1" x14ac:dyDescent="0.25">
      <c r="A37" s="33">
        <f t="shared" si="10"/>
        <v>0</v>
      </c>
      <c r="B37" s="39" t="str">
        <f>IFERROR(VLOOKUP(H37,[1]SEMIELABORADOS!$A$2:$M$6000,2,0),"")</f>
        <v/>
      </c>
      <c r="C37" s="34">
        <f t="shared" si="11"/>
        <v>0</v>
      </c>
      <c r="D37" s="35" t="str">
        <f>IFERROR(VLOOKUP(H37,[1]SEMIELABORADOS!$A$2:$M$6000,6,0),"")</f>
        <v/>
      </c>
      <c r="E37" s="35" t="str">
        <f>IFERROR(VLOOKUP(H37,[1]SEMIELABORADOS!$A$2:$M$65536,10,0),"")</f>
        <v/>
      </c>
      <c r="F37" s="35" t="str">
        <f t="shared" si="12"/>
        <v/>
      </c>
      <c r="G37" s="36" t="str">
        <f t="shared" si="9"/>
        <v/>
      </c>
      <c r="H37" s="40"/>
      <c r="I37" s="40"/>
      <c r="J37" s="38"/>
    </row>
    <row r="38" spans="1:13" ht="13.5" hidden="1" x14ac:dyDescent="0.25">
      <c r="A38" s="33">
        <f t="shared" si="10"/>
        <v>0</v>
      </c>
      <c r="B38" s="39" t="str">
        <f>IFERROR(VLOOKUP(H38,[1]SEMIELABORADOS!$A$2:$M$6000,2,0),"")</f>
        <v/>
      </c>
      <c r="C38" s="34">
        <f>+A38</f>
        <v>0</v>
      </c>
      <c r="D38" s="35" t="str">
        <f>IFERROR(VLOOKUP(H38,[1]SEMIELABORADOS!$A$2:$M$6000,6,0),"")</f>
        <v/>
      </c>
      <c r="E38" s="35" t="str">
        <f>IFERROR(VLOOKUP(H38,[1]SEMIELABORADOS!$A$2:$M$65536,10,0),"")</f>
        <v/>
      </c>
      <c r="F38" s="35" t="str">
        <f>IFERROR(E38*C38,"")</f>
        <v/>
      </c>
      <c r="G38" s="36" t="str">
        <f t="shared" si="9"/>
        <v/>
      </c>
      <c r="H38" s="40"/>
      <c r="I38" s="40"/>
      <c r="J38" s="38"/>
    </row>
    <row r="39" spans="1:13" ht="13.5" hidden="1" x14ac:dyDescent="0.25">
      <c r="A39" s="33">
        <f t="shared" si="10"/>
        <v>0</v>
      </c>
      <c r="B39" s="39" t="str">
        <f>IFERROR(VLOOKUP(H39,[1]SEMIELABORADOS!$A$2:$M$6000,2,0),"")</f>
        <v/>
      </c>
      <c r="C39" s="34">
        <f>+A39</f>
        <v>0</v>
      </c>
      <c r="D39" s="35" t="str">
        <f>IFERROR(VLOOKUP(H39,[1]SEMIELABORADOS!$A$2:$M$6000,6,0),"")</f>
        <v/>
      </c>
      <c r="E39" s="35" t="str">
        <f>IFERROR(VLOOKUP(H39,[1]SEMIELABORADOS!$A$2:$M$65536,10,0),"")</f>
        <v/>
      </c>
      <c r="F39" s="35" t="str">
        <f>IFERROR(E39*C39,"")</f>
        <v/>
      </c>
      <c r="G39" s="36" t="str">
        <f t="shared" si="9"/>
        <v/>
      </c>
      <c r="H39" s="40"/>
      <c r="I39" s="40"/>
      <c r="J39" s="38"/>
    </row>
    <row r="40" spans="1:13" ht="13.5" hidden="1" x14ac:dyDescent="0.25">
      <c r="A40" s="33">
        <f t="shared" si="10"/>
        <v>0</v>
      </c>
      <c r="B40" s="39" t="str">
        <f>IFERROR(VLOOKUP(H40,[1]SEMIELABORADOS!$A$2:$M$6000,2,0),"")</f>
        <v/>
      </c>
      <c r="C40" s="34">
        <f t="shared" si="11"/>
        <v>0</v>
      </c>
      <c r="D40" s="35" t="str">
        <f>IFERROR(VLOOKUP(H40,[1]SEMIELABORADOS!$A$2:$M$6000,6,0),"")</f>
        <v/>
      </c>
      <c r="E40" s="35" t="str">
        <f>IFERROR(VLOOKUP(H40,[1]SEMIELABORADOS!$A$2:$M$65536,10,0),"")</f>
        <v/>
      </c>
      <c r="F40" s="35" t="str">
        <f t="shared" si="12"/>
        <v/>
      </c>
      <c r="G40" s="36" t="str">
        <f t="shared" si="9"/>
        <v/>
      </c>
      <c r="H40" s="40"/>
      <c r="I40" s="40"/>
      <c r="J40" s="38"/>
    </row>
    <row r="41" spans="1:13" ht="13.5" hidden="1" x14ac:dyDescent="0.25">
      <c r="A41" s="33">
        <f t="shared" si="10"/>
        <v>0</v>
      </c>
      <c r="B41" s="39" t="str">
        <f>IFERROR(VLOOKUP(H41,[1]SEMIELABORADOS!$A$2:$M$6000,2,0),"")</f>
        <v/>
      </c>
      <c r="C41" s="34">
        <f t="shared" si="11"/>
        <v>0</v>
      </c>
      <c r="D41" s="35" t="str">
        <f>IFERROR(VLOOKUP(H41,[1]SEMIELABORADOS!$A$2:$M$6000,6,0),"")</f>
        <v/>
      </c>
      <c r="E41" s="35" t="str">
        <f>IFERROR(VLOOKUP(H41,[1]SEMIELABORADOS!$A$2:$M$65536,10,0),"")</f>
        <v/>
      </c>
      <c r="F41" s="35" t="str">
        <f t="shared" si="12"/>
        <v/>
      </c>
      <c r="G41" s="36" t="str">
        <f t="shared" si="9"/>
        <v/>
      </c>
      <c r="H41" s="40"/>
      <c r="I41" s="40"/>
      <c r="J41" s="38"/>
    </row>
    <row r="42" spans="1:13" ht="14.25" thickBot="1" x14ac:dyDescent="0.3">
      <c r="A42" s="33"/>
      <c r="B42" s="39"/>
      <c r="C42" s="34"/>
      <c r="D42" s="35"/>
      <c r="E42" s="35"/>
      <c r="F42" s="35"/>
      <c r="G42" s="36"/>
      <c r="H42" s="40"/>
      <c r="I42" s="40"/>
      <c r="J42" s="38"/>
    </row>
    <row r="43" spans="1:13" ht="26.25" thickBot="1" x14ac:dyDescent="0.3">
      <c r="A43" s="28" t="s">
        <v>77</v>
      </c>
      <c r="B43" s="29" t="s">
        <v>87</v>
      </c>
      <c r="C43" s="29" t="s">
        <v>77</v>
      </c>
      <c r="D43" s="30" t="s">
        <v>79</v>
      </c>
      <c r="E43" s="30" t="s">
        <v>80</v>
      </c>
      <c r="F43" s="30" t="s">
        <v>81</v>
      </c>
      <c r="G43" s="30" t="s">
        <v>82</v>
      </c>
      <c r="H43" s="31" t="s">
        <v>83</v>
      </c>
      <c r="I43" s="32"/>
      <c r="J43" s="38"/>
    </row>
    <row r="44" spans="1:13" ht="13.5" x14ac:dyDescent="0.25">
      <c r="A44" s="33">
        <f>+A35</f>
        <v>300</v>
      </c>
      <c r="B44" s="21" t="s">
        <v>69</v>
      </c>
      <c r="C44" s="34">
        <f>+A44</f>
        <v>300</v>
      </c>
      <c r="D44" s="35" t="s">
        <v>123</v>
      </c>
      <c r="E44" s="35">
        <f>+'Costo Salsa Pastor '!E80</f>
        <v>0.2568333333333333</v>
      </c>
      <c r="F44" s="35">
        <f>IFERROR(E44*C44,"")</f>
        <v>77.05</v>
      </c>
      <c r="G44" s="36">
        <f>IFERROR(F44/$F$66,"")</f>
        <v>0.10862819820959441</v>
      </c>
      <c r="H44" s="40" t="s">
        <v>57</v>
      </c>
      <c r="I44" s="32"/>
      <c r="J44" s="38"/>
    </row>
    <row r="45" spans="1:13" ht="13.5" hidden="1" x14ac:dyDescent="0.25">
      <c r="A45" s="33">
        <f t="shared" ref="A45:A50" si="13">+A36</f>
        <v>0</v>
      </c>
      <c r="B45" s="39" t="str">
        <f>IFERROR(VLOOKUP(H45,[1]SEMIELABORADOS!$A$2:$M$6000,2,0),"")</f>
        <v/>
      </c>
      <c r="C45" s="34">
        <f t="shared" ref="C45:C50" si="14">+A45</f>
        <v>0</v>
      </c>
      <c r="D45" s="35" t="str">
        <f>IFERROR(VLOOKUP(H45,[1]SEMIELABORADOS!$A$2:$M$6000,6,0),"")</f>
        <v/>
      </c>
      <c r="E45" s="35" t="str">
        <f>IFERROR(VLOOKUP(H45,[1]SEMIELABORADOS!$A$2:$M$65536,12,0),"")</f>
        <v/>
      </c>
      <c r="F45" s="35" t="str">
        <f t="shared" ref="F45:F50" si="15">IFERROR(E45*C45,"")</f>
        <v/>
      </c>
      <c r="G45" s="36" t="str">
        <f t="shared" ref="G45:G50" si="16">IFERROR(F45/$F$66,"")</f>
        <v/>
      </c>
      <c r="H45" s="40"/>
      <c r="I45" s="32"/>
      <c r="J45" s="38"/>
      <c r="M45" s="43"/>
    </row>
    <row r="46" spans="1:13" ht="13.5" hidden="1" x14ac:dyDescent="0.25">
      <c r="A46" s="33">
        <f t="shared" si="13"/>
        <v>0</v>
      </c>
      <c r="B46" s="39" t="str">
        <f>IFERROR(VLOOKUP(H46,[1]SEMIELABORADOS!$A$2:$M$6000,2,0),"")</f>
        <v/>
      </c>
      <c r="C46" s="34">
        <f t="shared" si="14"/>
        <v>0</v>
      </c>
      <c r="D46" s="35" t="str">
        <f>IFERROR(VLOOKUP(H46,[1]SEMIELABORADOS!$A$2:$M$6000,6,0),"")</f>
        <v/>
      </c>
      <c r="E46" s="35" t="str">
        <f>IFERROR(VLOOKUP(H46,[1]SEMIELABORADOS!$A$2:$M$65536,12,0),"")</f>
        <v/>
      </c>
      <c r="F46" s="35" t="str">
        <f t="shared" si="15"/>
        <v/>
      </c>
      <c r="G46" s="36" t="str">
        <f t="shared" si="16"/>
        <v/>
      </c>
      <c r="H46" s="40"/>
      <c r="I46" s="32"/>
      <c r="J46" s="38"/>
    </row>
    <row r="47" spans="1:13" ht="13.5" hidden="1" x14ac:dyDescent="0.25">
      <c r="A47" s="33">
        <f t="shared" si="13"/>
        <v>0</v>
      </c>
      <c r="B47" s="39" t="str">
        <f>IFERROR(VLOOKUP(H47,[1]SEMIELABORADOS!$A$2:$M$6000,2,0),"")</f>
        <v/>
      </c>
      <c r="C47" s="34">
        <f t="shared" si="14"/>
        <v>0</v>
      </c>
      <c r="D47" s="35" t="str">
        <f>IFERROR(VLOOKUP(H47,[1]SEMIELABORADOS!$A$2:$M$6000,6,0),"")</f>
        <v/>
      </c>
      <c r="E47" s="35" t="str">
        <f>IFERROR(VLOOKUP(H47,[1]SEMIELABORADOS!$A$2:$M$65536,12,0),"")</f>
        <v/>
      </c>
      <c r="F47" s="35" t="str">
        <f t="shared" si="15"/>
        <v/>
      </c>
      <c r="G47" s="36" t="str">
        <f t="shared" si="16"/>
        <v/>
      </c>
      <c r="H47" s="40"/>
      <c r="I47" s="32"/>
      <c r="J47" s="38"/>
    </row>
    <row r="48" spans="1:13" ht="13.5" hidden="1" x14ac:dyDescent="0.25">
      <c r="A48" s="33">
        <f t="shared" si="13"/>
        <v>0</v>
      </c>
      <c r="B48" s="39" t="str">
        <f>IFERROR(VLOOKUP(H48,[1]SEMIELABORADOS!$A$2:$M$6000,2,0),"")</f>
        <v/>
      </c>
      <c r="C48" s="34">
        <f t="shared" si="14"/>
        <v>0</v>
      </c>
      <c r="D48" s="35" t="str">
        <f>IFERROR(VLOOKUP(H48,[1]SEMIELABORADOS!$A$2:$M$6000,6,0),"")</f>
        <v/>
      </c>
      <c r="E48" s="35" t="str">
        <f>IFERROR(VLOOKUP(H48,[1]SEMIELABORADOS!$A$2:$M$65536,12,0),"")</f>
        <v/>
      </c>
      <c r="F48" s="35" t="str">
        <f t="shared" si="15"/>
        <v/>
      </c>
      <c r="G48" s="36" t="str">
        <f t="shared" si="16"/>
        <v/>
      </c>
      <c r="H48" s="40"/>
      <c r="I48" s="32"/>
      <c r="J48" s="38"/>
    </row>
    <row r="49" spans="1:17" ht="13.5" hidden="1" x14ac:dyDescent="0.25">
      <c r="A49" s="33">
        <f t="shared" si="13"/>
        <v>0</v>
      </c>
      <c r="B49" s="39" t="str">
        <f>IFERROR(VLOOKUP(H49,[1]SEMIELABORADOS!$A$2:$M$6000,2,0),"")</f>
        <v/>
      </c>
      <c r="C49" s="34">
        <f t="shared" si="14"/>
        <v>0</v>
      </c>
      <c r="D49" s="35" t="str">
        <f>IFERROR(VLOOKUP(H49,[1]SEMIELABORADOS!$A$2:$M$6000,6,0),"")</f>
        <v/>
      </c>
      <c r="E49" s="35" t="str">
        <f>IFERROR(VLOOKUP(H49,[1]SEMIELABORADOS!$A$2:$M$65536,12,0),"")</f>
        <v/>
      </c>
      <c r="F49" s="35" t="str">
        <f t="shared" si="15"/>
        <v/>
      </c>
      <c r="G49" s="36" t="str">
        <f t="shared" si="16"/>
        <v/>
      </c>
      <c r="H49" s="40"/>
      <c r="I49" s="32"/>
      <c r="J49" s="38"/>
    </row>
    <row r="50" spans="1:17" ht="13.5" hidden="1" x14ac:dyDescent="0.25">
      <c r="A50" s="33">
        <f t="shared" si="13"/>
        <v>0</v>
      </c>
      <c r="B50" s="39" t="str">
        <f>IFERROR(VLOOKUP(H50,[1]SEMIELABORADOS!$A$2:$M$6000,2,0),"")</f>
        <v/>
      </c>
      <c r="C50" s="34">
        <f t="shared" si="14"/>
        <v>0</v>
      </c>
      <c r="D50" s="35" t="str">
        <f>IFERROR(VLOOKUP(H50,[1]SEMIELABORADOS!$A$2:$M$6000,6,0),"")</f>
        <v/>
      </c>
      <c r="E50" s="35" t="str">
        <f>IFERROR(VLOOKUP(H50,[1]SEMIELABORADOS!$A$2:$M$65536,12,0),"")</f>
        <v/>
      </c>
      <c r="F50" s="35" t="str">
        <f t="shared" si="15"/>
        <v/>
      </c>
      <c r="G50" s="36" t="str">
        <f t="shared" si="16"/>
        <v/>
      </c>
      <c r="H50" s="39"/>
      <c r="I50" s="32"/>
      <c r="J50" s="38"/>
    </row>
    <row r="51" spans="1:17" ht="13.5" x14ac:dyDescent="0.25">
      <c r="A51" s="33">
        <v>1</v>
      </c>
      <c r="B51" s="39" t="s">
        <v>88</v>
      </c>
      <c r="C51" s="34">
        <f>+A51</f>
        <v>1</v>
      </c>
      <c r="D51" s="34" t="s">
        <v>89</v>
      </c>
      <c r="E51" s="35">
        <f>+F65</f>
        <v>77</v>
      </c>
      <c r="F51" s="35">
        <f>IFERROR(C51*E51,"")</f>
        <v>77</v>
      </c>
      <c r="G51" s="36">
        <f>IFERROR(F51/$F$66,"")</f>
        <v>0.10855770619258624</v>
      </c>
      <c r="H51" s="44"/>
      <c r="I51" s="44"/>
      <c r="J51" s="38"/>
    </row>
    <row r="52" spans="1:17" ht="14.25" thickBot="1" x14ac:dyDescent="0.3">
      <c r="A52" s="33"/>
      <c r="B52" s="39"/>
      <c r="C52" s="34"/>
      <c r="D52" s="34"/>
      <c r="E52" s="35"/>
      <c r="F52" s="35"/>
      <c r="G52" s="36"/>
      <c r="H52" s="44"/>
      <c r="I52" s="44"/>
      <c r="J52" s="38"/>
    </row>
    <row r="53" spans="1:17" ht="13.5" thickBot="1" x14ac:dyDescent="0.3">
      <c r="A53" s="45"/>
      <c r="B53" s="146" t="s">
        <v>90</v>
      </c>
      <c r="C53" s="146"/>
      <c r="D53" s="146"/>
      <c r="E53" s="146"/>
      <c r="F53" s="47">
        <f>SUM(F8:F14,F17:F24)</f>
        <v>604.19624999999996</v>
      </c>
      <c r="G53" s="36">
        <f>+F53/$F$66</f>
        <v>0.8518202466254855</v>
      </c>
      <c r="H53" s="48">
        <f>+F53/$D$60</f>
        <v>604.19624999999996</v>
      </c>
      <c r="I53" s="48"/>
      <c r="J53" s="49"/>
      <c r="K53" s="50"/>
      <c r="L53" s="50"/>
      <c r="M53" s="50"/>
      <c r="N53" s="50"/>
      <c r="O53" s="50"/>
      <c r="P53" s="50"/>
      <c r="Q53" s="51"/>
    </row>
    <row r="54" spans="1:17" x14ac:dyDescent="0.2">
      <c r="A54" s="45"/>
      <c r="B54" s="146" t="s">
        <v>91</v>
      </c>
      <c r="C54" s="146"/>
      <c r="D54" s="146"/>
      <c r="E54" s="146"/>
      <c r="F54" s="47">
        <f>SUM(F27:F32,F35:F41)</f>
        <v>16.02</v>
      </c>
      <c r="G54" s="36">
        <f>+F54/$F$66</f>
        <v>2.2585642249418589E-2</v>
      </c>
      <c r="H54" s="48">
        <f>+F54/$D$60</f>
        <v>16.02</v>
      </c>
      <c r="I54" s="48"/>
      <c r="J54" s="52"/>
      <c r="K54" s="147" t="s">
        <v>92</v>
      </c>
      <c r="L54" s="148"/>
      <c r="M54" s="148"/>
      <c r="N54" s="148"/>
      <c r="O54" s="53">
        <f>+F55</f>
        <v>620.21624999999995</v>
      </c>
      <c r="P54" s="53"/>
      <c r="Q54" s="54"/>
    </row>
    <row r="55" spans="1:17" x14ac:dyDescent="0.2">
      <c r="A55" s="45"/>
      <c r="B55" s="146" t="s">
        <v>93</v>
      </c>
      <c r="C55" s="146"/>
      <c r="D55" s="146"/>
      <c r="E55" s="146"/>
      <c r="F55" s="47">
        <f>+F53+F54</f>
        <v>620.21624999999995</v>
      </c>
      <c r="G55" s="36">
        <f>+F55/$F$66</f>
        <v>0.874405888874904</v>
      </c>
      <c r="H55" s="48">
        <f>+F55/$D$60</f>
        <v>620.21624999999995</v>
      </c>
      <c r="I55" s="48"/>
      <c r="J55" s="55"/>
      <c r="K55" s="56"/>
      <c r="M55" s="57" t="s">
        <v>94</v>
      </c>
      <c r="N55" s="58"/>
      <c r="O55" s="53">
        <f>+H56</f>
        <v>154.05000000000001</v>
      </c>
      <c r="P55" s="53"/>
      <c r="Q55" s="54"/>
    </row>
    <row r="56" spans="1:17" ht="13.5" thickBot="1" x14ac:dyDescent="0.25">
      <c r="A56" s="45"/>
      <c r="B56" s="46"/>
      <c r="C56" s="146" t="s">
        <v>95</v>
      </c>
      <c r="D56" s="146"/>
      <c r="E56" s="146"/>
      <c r="F56" s="47">
        <f>SUM(F44:F51)</f>
        <v>154.05000000000001</v>
      </c>
      <c r="G56" s="36">
        <f>+F56/$F$66</f>
        <v>0.21718590440218066</v>
      </c>
      <c r="H56" s="48">
        <f>+F56/$D$60</f>
        <v>154.05000000000001</v>
      </c>
      <c r="I56" s="48"/>
      <c r="J56" s="55"/>
      <c r="K56" s="56"/>
      <c r="L56" s="56"/>
      <c r="M56" s="56" t="s">
        <v>96</v>
      </c>
      <c r="N56" s="59"/>
      <c r="O56" s="53">
        <f>O54*N56</f>
        <v>0</v>
      </c>
      <c r="P56" s="53"/>
      <c r="Q56" s="54"/>
    </row>
    <row r="57" spans="1:17" ht="13.5" thickBot="1" x14ac:dyDescent="0.25">
      <c r="A57" s="45"/>
      <c r="B57" s="60"/>
      <c r="C57" s="60"/>
      <c r="D57" s="60"/>
      <c r="E57" s="60"/>
      <c r="F57" s="61"/>
      <c r="G57" s="36"/>
      <c r="H57" s="62"/>
      <c r="I57" s="48"/>
      <c r="J57" s="55"/>
      <c r="K57" s="63"/>
      <c r="M57" s="64" t="s">
        <v>97</v>
      </c>
      <c r="N57" s="65"/>
      <c r="O57" s="66">
        <f>SUM(O54:O56)</f>
        <v>774.2662499999999</v>
      </c>
      <c r="P57" s="67"/>
      <c r="Q57" s="54"/>
    </row>
    <row r="58" spans="1:17" x14ac:dyDescent="0.2">
      <c r="B58" s="149" t="s">
        <v>98</v>
      </c>
      <c r="C58" s="149"/>
      <c r="D58" s="68">
        <v>300</v>
      </c>
      <c r="E58" s="69"/>
      <c r="G58" s="36"/>
      <c r="H58" s="62">
        <f>+H56/77</f>
        <v>2.000649350649351</v>
      </c>
      <c r="I58" s="70"/>
      <c r="J58" s="55"/>
      <c r="K58" s="63"/>
      <c r="L58" s="56"/>
      <c r="M58" s="56" t="s">
        <v>99</v>
      </c>
      <c r="N58" s="71"/>
      <c r="O58" s="53">
        <f>+H59</f>
        <v>166.05389610389614</v>
      </c>
      <c r="P58" s="53"/>
      <c r="Q58" s="54"/>
    </row>
    <row r="59" spans="1:17" x14ac:dyDescent="0.2">
      <c r="B59" s="149" t="s">
        <v>100</v>
      </c>
      <c r="C59" s="149"/>
      <c r="D59" s="72">
        <v>300</v>
      </c>
      <c r="E59" s="69"/>
      <c r="G59" s="36"/>
      <c r="H59" s="62">
        <f>+H58*83</f>
        <v>166.05389610389614</v>
      </c>
      <c r="I59" s="70"/>
      <c r="J59" s="55"/>
      <c r="K59" s="63"/>
      <c r="L59" s="56"/>
      <c r="M59" s="150" t="s">
        <v>97</v>
      </c>
      <c r="N59" s="150"/>
      <c r="O59" s="53">
        <f>SUM(O57:O58)</f>
        <v>940.32014610389604</v>
      </c>
      <c r="P59" s="53"/>
      <c r="Q59" s="54"/>
    </row>
    <row r="60" spans="1:17" ht="13.5" thickBot="1" x14ac:dyDescent="0.25">
      <c r="B60" s="142" t="s">
        <v>101</v>
      </c>
      <c r="C60" s="142"/>
      <c r="D60" s="68">
        <f>+D58/D59</f>
        <v>1</v>
      </c>
      <c r="E60" s="69"/>
      <c r="F60" s="73"/>
      <c r="G60" s="36"/>
      <c r="H60" s="62"/>
      <c r="I60" s="70"/>
      <c r="J60" s="55"/>
      <c r="K60" s="63"/>
      <c r="L60" s="150"/>
      <c r="M60" s="150"/>
      <c r="N60" s="71"/>
      <c r="O60" s="53">
        <f>+O59*N60</f>
        <v>0</v>
      </c>
      <c r="P60" s="53"/>
      <c r="Q60" s="54"/>
    </row>
    <row r="61" spans="1:17" ht="13.5" thickBot="1" x14ac:dyDescent="0.25">
      <c r="B61" s="142" t="s">
        <v>102</v>
      </c>
      <c r="C61" s="142"/>
      <c r="D61" s="74"/>
      <c r="E61" s="69"/>
      <c r="F61" s="73"/>
      <c r="G61" s="36"/>
      <c r="H61" s="62"/>
      <c r="I61" s="70"/>
      <c r="J61" s="55"/>
      <c r="K61" s="143" t="s">
        <v>103</v>
      </c>
      <c r="L61" s="144"/>
      <c r="M61" s="144"/>
      <c r="N61" s="145"/>
      <c r="O61" s="66">
        <f>SUM(O59:O60)</f>
        <v>940.32014610389604</v>
      </c>
      <c r="P61" s="75" t="s">
        <v>104</v>
      </c>
      <c r="Q61" s="54"/>
    </row>
    <row r="62" spans="1:17" ht="13.5" thickBot="1" x14ac:dyDescent="0.25">
      <c r="C62" s="45" t="s">
        <v>105</v>
      </c>
      <c r="D62" s="76"/>
      <c r="E62" s="19" t="s">
        <v>106</v>
      </c>
      <c r="F62" s="77" t="s">
        <v>107</v>
      </c>
      <c r="G62" s="36"/>
      <c r="H62" s="62"/>
      <c r="I62" s="70"/>
      <c r="J62" s="78"/>
      <c r="K62" s="79"/>
      <c r="L62" s="156" t="s">
        <v>108</v>
      </c>
      <c r="M62" s="156"/>
      <c r="N62" s="156"/>
      <c r="O62" s="80">
        <f>+O61/D60</f>
        <v>940.32014610389604</v>
      </c>
      <c r="P62" s="81">
        <f>+O62/D59</f>
        <v>3.1344004870129867</v>
      </c>
      <c r="Q62" s="82"/>
    </row>
    <row r="63" spans="1:17" ht="13.5" thickBot="1" x14ac:dyDescent="0.25">
      <c r="B63" s="157" t="s">
        <v>93</v>
      </c>
      <c r="C63" s="157"/>
      <c r="D63" s="157"/>
      <c r="E63" s="83">
        <f>+F63/F63</f>
        <v>1</v>
      </c>
      <c r="F63" s="84">
        <f>SUM(F55)</f>
        <v>620.21624999999995</v>
      </c>
      <c r="G63" s="36">
        <f>+F63/$F$66</f>
        <v>0.874405888874904</v>
      </c>
      <c r="H63" s="62"/>
      <c r="I63" s="70"/>
      <c r="K63" s="158"/>
      <c r="L63" s="159"/>
      <c r="M63" s="159"/>
      <c r="N63" s="159"/>
      <c r="O63" s="85"/>
      <c r="P63" s="86"/>
    </row>
    <row r="64" spans="1:17" ht="13.5" thickBot="1" x14ac:dyDescent="0.3">
      <c r="B64" s="160" t="s">
        <v>109</v>
      </c>
      <c r="C64" s="160"/>
      <c r="D64" s="160"/>
      <c r="E64" s="87">
        <v>0.02</v>
      </c>
      <c r="F64" s="84">
        <f>+F53*E64</f>
        <v>12.083924999999999</v>
      </c>
      <c r="G64" s="36">
        <f>+F64/$F$66</f>
        <v>1.703640493250971E-2</v>
      </c>
      <c r="H64" s="48"/>
      <c r="I64" s="70"/>
      <c r="J64" s="88"/>
      <c r="O64" s="89"/>
      <c r="P64" s="46"/>
    </row>
    <row r="65" spans="2:13" ht="13.5" thickBot="1" x14ac:dyDescent="0.3">
      <c r="B65" s="161" t="s">
        <v>110</v>
      </c>
      <c r="C65" s="162"/>
      <c r="D65" s="90">
        <v>1</v>
      </c>
      <c r="E65" s="91">
        <v>77</v>
      </c>
      <c r="F65" s="84">
        <f>+E65*D65</f>
        <v>77</v>
      </c>
      <c r="G65" s="36">
        <f>+F65/$F$66</f>
        <v>0.10855770619258624</v>
      </c>
      <c r="H65" s="48"/>
      <c r="I65" s="48"/>
      <c r="J65" s="38"/>
    </row>
    <row r="66" spans="2:13" ht="13.5" thickBot="1" x14ac:dyDescent="0.3">
      <c r="B66" s="163" t="s">
        <v>111</v>
      </c>
      <c r="C66" s="164"/>
      <c r="D66" s="164"/>
      <c r="E66" s="165"/>
      <c r="F66" s="61">
        <f>SUM(F63:F65)</f>
        <v>709.30017499999997</v>
      </c>
      <c r="G66" s="36">
        <f>+F66/$F$66</f>
        <v>1</v>
      </c>
      <c r="H66" s="166"/>
      <c r="I66" s="48"/>
      <c r="J66" s="38"/>
      <c r="M66" s="21" t="s">
        <v>112</v>
      </c>
    </row>
    <row r="67" spans="2:13" x14ac:dyDescent="0.25">
      <c r="C67" s="43"/>
      <c r="D67" s="43"/>
      <c r="E67" s="93"/>
      <c r="F67" s="84"/>
      <c r="G67" s="36"/>
      <c r="H67" s="166"/>
      <c r="I67" s="92"/>
      <c r="J67" s="21"/>
      <c r="M67" s="21" t="s">
        <v>113</v>
      </c>
    </row>
    <row r="68" spans="2:13" ht="13.5" thickBot="1" x14ac:dyDescent="0.3">
      <c r="B68" s="151" t="s">
        <v>114</v>
      </c>
      <c r="C68" s="151"/>
      <c r="D68" s="151"/>
      <c r="E68" s="151"/>
      <c r="F68" s="151"/>
      <c r="G68" s="36"/>
      <c r="H68" s="95"/>
      <c r="I68" s="92"/>
      <c r="J68" s="21"/>
      <c r="M68" s="21" t="s">
        <v>115</v>
      </c>
    </row>
    <row r="69" spans="2:13" ht="13.5" thickBot="1" x14ac:dyDescent="0.3">
      <c r="B69" s="96" t="s">
        <v>116</v>
      </c>
      <c r="C69" s="97">
        <f>+F53</f>
        <v>604.19624999999996</v>
      </c>
      <c r="D69" s="97">
        <f>+D58</f>
        <v>300</v>
      </c>
      <c r="E69" s="98">
        <f>+C69/D69</f>
        <v>2.0139874999999998</v>
      </c>
      <c r="F69" s="36"/>
      <c r="G69" s="95"/>
      <c r="H69" s="38"/>
      <c r="I69" s="95"/>
      <c r="J69" s="21"/>
    </row>
    <row r="70" spans="2:13" x14ac:dyDescent="0.25">
      <c r="B70" s="99"/>
      <c r="C70" s="100"/>
      <c r="D70" s="101"/>
      <c r="E70" s="84"/>
      <c r="F70" s="36"/>
      <c r="G70" s="95"/>
      <c r="H70" s="38"/>
      <c r="I70" s="38"/>
      <c r="J70" s="21"/>
    </row>
    <row r="71" spans="2:13" x14ac:dyDescent="0.25">
      <c r="B71" s="96" t="s">
        <v>117</v>
      </c>
      <c r="C71" s="97">
        <f>SUM(F63:F64)</f>
        <v>632.30017499999997</v>
      </c>
      <c r="D71" s="97">
        <f>+D58</f>
        <v>300</v>
      </c>
      <c r="E71" s="102">
        <f>+C71/D71</f>
        <v>2.10766725</v>
      </c>
      <c r="F71" s="36"/>
      <c r="G71" s="95"/>
      <c r="H71" s="38"/>
      <c r="I71" s="38"/>
      <c r="J71" s="21"/>
    </row>
    <row r="72" spans="2:13" x14ac:dyDescent="0.25">
      <c r="B72" s="96"/>
      <c r="C72" s="97"/>
      <c r="D72" s="97"/>
      <c r="E72" s="102"/>
      <c r="F72" s="36"/>
      <c r="G72" s="95"/>
      <c r="H72" s="38"/>
      <c r="I72" s="38"/>
      <c r="J72" s="21"/>
    </row>
    <row r="73" spans="2:13" ht="13.5" thickBot="1" x14ac:dyDescent="0.3">
      <c r="B73" s="96" t="s">
        <v>118</v>
      </c>
      <c r="C73" s="97">
        <f>+F65</f>
        <v>77</v>
      </c>
      <c r="D73" s="97">
        <f>+D58</f>
        <v>300</v>
      </c>
      <c r="E73" s="102">
        <f>+C73/D73</f>
        <v>0.25666666666666665</v>
      </c>
      <c r="F73" s="36"/>
      <c r="G73" s="95"/>
      <c r="H73" s="38"/>
      <c r="I73" s="38"/>
      <c r="J73" s="21"/>
    </row>
    <row r="74" spans="2:13" ht="13.5" thickBot="1" x14ac:dyDescent="0.3">
      <c r="B74" s="96" t="s">
        <v>119</v>
      </c>
      <c r="C74" s="97">
        <f>+F56</f>
        <v>154.05000000000001</v>
      </c>
      <c r="D74" s="97">
        <f>+D73</f>
        <v>300</v>
      </c>
      <c r="E74" s="98">
        <f>+C74/D74</f>
        <v>0.51350000000000007</v>
      </c>
      <c r="F74" s="36"/>
      <c r="G74" s="95"/>
      <c r="H74" s="38"/>
      <c r="I74" s="38"/>
      <c r="J74" s="21"/>
    </row>
    <row r="75" spans="2:13" ht="13.5" thickBot="1" x14ac:dyDescent="0.3">
      <c r="B75" s="60"/>
      <c r="C75" s="61"/>
      <c r="D75" s="61"/>
      <c r="E75" s="102"/>
      <c r="F75" s="36"/>
      <c r="G75" s="95"/>
      <c r="H75" s="38"/>
      <c r="I75" s="38"/>
      <c r="J75" s="21"/>
    </row>
    <row r="76" spans="2:13" ht="13.5" thickBot="1" x14ac:dyDescent="0.3">
      <c r="B76" s="96" t="s">
        <v>120</v>
      </c>
      <c r="C76" s="97">
        <f>+F54</f>
        <v>16.02</v>
      </c>
      <c r="D76" s="97">
        <f>+D74</f>
        <v>300</v>
      </c>
      <c r="E76" s="98">
        <f>+C76/D76</f>
        <v>5.3399999999999996E-2</v>
      </c>
      <c r="F76" s="36"/>
      <c r="G76" s="95"/>
      <c r="H76" s="38"/>
      <c r="I76" s="38"/>
      <c r="J76" s="38"/>
    </row>
    <row r="77" spans="2:13" ht="13.5" thickBot="1" x14ac:dyDescent="0.3">
      <c r="B77" s="60"/>
      <c r="C77" s="61"/>
      <c r="D77" s="61"/>
      <c r="E77" s="102"/>
      <c r="F77" s="36"/>
      <c r="G77" s="95"/>
      <c r="H77" s="38"/>
      <c r="I77" s="38"/>
    </row>
    <row r="78" spans="2:13" ht="13.5" thickBot="1" x14ac:dyDescent="0.3">
      <c r="B78" s="152" t="s">
        <v>121</v>
      </c>
      <c r="C78" s="153"/>
      <c r="D78" s="154"/>
      <c r="E78" s="98">
        <f>+E69+E74</f>
        <v>2.5274874999999999</v>
      </c>
      <c r="G78" s="36"/>
      <c r="H78" s="95"/>
      <c r="I78" s="38"/>
      <c r="J78" s="102"/>
    </row>
    <row r="79" spans="2:13" x14ac:dyDescent="0.25">
      <c r="I79" s="95"/>
      <c r="J79" s="21"/>
    </row>
    <row r="80" spans="2:13" ht="13.5" thickBot="1" x14ac:dyDescent="0.3">
      <c r="B80" s="151" t="s">
        <v>122</v>
      </c>
      <c r="C80" s="151"/>
      <c r="D80" s="151"/>
      <c r="E80" s="151"/>
      <c r="F80" s="151"/>
      <c r="G80" s="36"/>
      <c r="H80" s="95"/>
      <c r="J80" s="21"/>
    </row>
    <row r="81" spans="1:10" ht="13.5" thickBot="1" x14ac:dyDescent="0.3">
      <c r="B81" s="96" t="s">
        <v>116</v>
      </c>
      <c r="C81" s="97">
        <f>+C69</f>
        <v>604.19624999999996</v>
      </c>
      <c r="D81" s="97">
        <f>+D60</f>
        <v>1</v>
      </c>
      <c r="E81" s="98">
        <f>+C81/D81</f>
        <v>604.19624999999996</v>
      </c>
      <c r="F81" s="36"/>
      <c r="G81" s="95"/>
      <c r="H81" s="38"/>
      <c r="I81" s="95"/>
      <c r="J81" s="21"/>
    </row>
    <row r="82" spans="1:10" x14ac:dyDescent="0.25">
      <c r="B82" s="99"/>
      <c r="C82" s="100"/>
      <c r="D82" s="101"/>
      <c r="E82" s="84"/>
      <c r="F82" s="36"/>
      <c r="G82" s="95"/>
      <c r="H82" s="38"/>
      <c r="I82" s="38"/>
      <c r="J82" s="21"/>
    </row>
    <row r="83" spans="1:10" x14ac:dyDescent="0.25">
      <c r="B83" s="96" t="s">
        <v>117</v>
      </c>
      <c r="C83" s="97">
        <f>+C71</f>
        <v>632.30017499999997</v>
      </c>
      <c r="D83" s="97">
        <f>+D60</f>
        <v>1</v>
      </c>
      <c r="E83" s="102">
        <f>+C83/D83</f>
        <v>632.30017499999997</v>
      </c>
      <c r="F83" s="36"/>
      <c r="G83" s="95"/>
      <c r="H83" s="38"/>
      <c r="I83" s="38"/>
      <c r="J83" s="21"/>
    </row>
    <row r="84" spans="1:10" x14ac:dyDescent="0.25">
      <c r="B84" s="96"/>
      <c r="C84" s="97"/>
      <c r="D84" s="97"/>
      <c r="E84" s="102"/>
      <c r="F84" s="36"/>
      <c r="G84" s="95"/>
      <c r="H84" s="38"/>
      <c r="I84" s="38"/>
      <c r="J84" s="21"/>
    </row>
    <row r="85" spans="1:10" ht="13.5" thickBot="1" x14ac:dyDescent="0.3">
      <c r="B85" s="96" t="s">
        <v>119</v>
      </c>
      <c r="C85" s="97">
        <f>+C73</f>
        <v>77</v>
      </c>
      <c r="D85" s="97">
        <f>+D60</f>
        <v>1</v>
      </c>
      <c r="E85" s="102">
        <f>+C85/D85</f>
        <v>77</v>
      </c>
      <c r="F85" s="104"/>
      <c r="G85" s="94"/>
      <c r="H85" s="20"/>
      <c r="I85" s="38"/>
    </row>
    <row r="86" spans="1:10" ht="13.5" thickBot="1" x14ac:dyDescent="0.3">
      <c r="B86" s="96" t="s">
        <v>119</v>
      </c>
      <c r="C86" s="97">
        <f>+C74</f>
        <v>154.05000000000001</v>
      </c>
      <c r="D86" s="97">
        <f>+D85</f>
        <v>1</v>
      </c>
      <c r="E86" s="98">
        <f>+C86/D86</f>
        <v>154.05000000000001</v>
      </c>
      <c r="F86" s="103"/>
      <c r="G86" s="94"/>
      <c r="H86" s="20"/>
      <c r="I86" s="20"/>
    </row>
    <row r="87" spans="1:10" x14ac:dyDescent="0.25">
      <c r="I87" s="20"/>
    </row>
    <row r="88" spans="1:10" x14ac:dyDescent="0.2">
      <c r="A88" s="155"/>
      <c r="B88" s="155"/>
      <c r="C88" s="105"/>
      <c r="D88" s="105"/>
      <c r="E88" s="106"/>
      <c r="G88" s="107"/>
    </row>
    <row r="89" spans="1:10" x14ac:dyDescent="0.2">
      <c r="A89" s="39"/>
      <c r="B89" s="108"/>
      <c r="C89" s="109"/>
      <c r="D89" s="109"/>
      <c r="E89" s="110"/>
      <c r="G89" s="107"/>
    </row>
    <row r="90" spans="1:10" x14ac:dyDescent="0.2">
      <c r="A90" s="39"/>
      <c r="B90" s="108"/>
      <c r="C90" s="111"/>
      <c r="D90" s="111"/>
      <c r="E90" s="39"/>
      <c r="G90" s="107"/>
    </row>
    <row r="91" spans="1:10" x14ac:dyDescent="0.2">
      <c r="A91" s="39"/>
      <c r="B91" s="108"/>
      <c r="C91" s="112"/>
      <c r="D91" s="112"/>
      <c r="E91" s="39"/>
      <c r="G91" s="10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4180C7-3DDE-429F-9AEE-E20D80090EF6}"/>
</file>

<file path=customXml/itemProps2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Salsa Pastor </vt:lpstr>
      <vt:lpstr>Empaque</vt:lpstr>
      <vt:lpstr>Costo Empaque </vt:lpstr>
      <vt:lpstr>Empaque!Área_de_impresión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Allan Brenes</cp:lastModifiedBy>
  <cp:revision/>
  <cp:lastPrinted>2025-10-29T23:24:57Z</cp:lastPrinted>
  <dcterms:created xsi:type="dcterms:W3CDTF">2023-12-19T21:30:11Z</dcterms:created>
  <dcterms:modified xsi:type="dcterms:W3CDTF">2025-10-29T23:24:58Z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
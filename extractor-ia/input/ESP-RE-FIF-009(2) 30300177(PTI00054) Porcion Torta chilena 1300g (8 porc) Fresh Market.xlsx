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0" documentId="8_{FE472E14-8351-4450-AA1C-7EE9F074EA49}" xr6:coauthVersionLast="47" xr6:coauthVersionMax="47" xr10:uidLastSave="{00000000-0000-0000-0000-000000000000}"/>
  <bookViews>
    <workbookView minimized="1" xWindow="8976" yWindow="4740" windowWidth="7080" windowHeight="3636" xr2:uid="{3FFC5CDC-D70E-440A-AFCB-5D9BC523B7E1}"/>
  </bookViews>
  <sheets>
    <sheet name="Hoja1" sheetId="6" r:id="rId1"/>
    <sheet name="Costo " sheetId="4" state="hidden" r:id="rId2"/>
    <sheet name="Precio" sheetId="5" state="hidden" r:id="rId3"/>
  </sheets>
  <externalReferences>
    <externalReference r:id="rId4"/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6" l="1"/>
  <c r="E41" i="4"/>
  <c r="E34" i="4"/>
  <c r="F34" i="4"/>
  <c r="G34" i="4"/>
  <c r="C27" i="4"/>
  <c r="F27" i="4"/>
  <c r="E18" i="4"/>
  <c r="D67" i="4"/>
  <c r="D68" i="4"/>
  <c r="D70" i="4"/>
  <c r="D65" i="4"/>
  <c r="D63" i="4"/>
  <c r="F59" i="4"/>
  <c r="C67" i="4"/>
  <c r="D54" i="4"/>
  <c r="D79" i="4"/>
  <c r="D80" i="4"/>
  <c r="C45" i="4"/>
  <c r="E44" i="4"/>
  <c r="A44" i="4"/>
  <c r="C44" i="4"/>
  <c r="E43" i="4"/>
  <c r="A43" i="4"/>
  <c r="C43" i="4"/>
  <c r="E42" i="4"/>
  <c r="A42" i="4"/>
  <c r="C42" i="4"/>
  <c r="A41" i="4"/>
  <c r="C41" i="4"/>
  <c r="E40" i="4"/>
  <c r="A40" i="4"/>
  <c r="C40" i="4"/>
  <c r="E37" i="4"/>
  <c r="A37" i="4"/>
  <c r="C37" i="4"/>
  <c r="E36" i="4"/>
  <c r="A36" i="4"/>
  <c r="C36" i="4"/>
  <c r="E35" i="4"/>
  <c r="A35" i="4"/>
  <c r="C35" i="4"/>
  <c r="A34" i="4"/>
  <c r="C34" i="4"/>
  <c r="E33" i="4"/>
  <c r="A33" i="4"/>
  <c r="C33" i="4"/>
  <c r="B31" i="4"/>
  <c r="E30" i="4"/>
  <c r="D30" i="4"/>
  <c r="C30" i="4"/>
  <c r="F29" i="4"/>
  <c r="C29" i="4"/>
  <c r="C28" i="4"/>
  <c r="F28" i="4"/>
  <c r="C26" i="4"/>
  <c r="C25" i="4"/>
  <c r="C24" i="4"/>
  <c r="F24" i="4"/>
  <c r="E21" i="4"/>
  <c r="D21" i="4"/>
  <c r="C21" i="4"/>
  <c r="B21" i="4"/>
  <c r="E20" i="4"/>
  <c r="F20" i="4"/>
  <c r="D20" i="4"/>
  <c r="C20" i="4"/>
  <c r="B20" i="4"/>
  <c r="E19" i="4"/>
  <c r="D19" i="4"/>
  <c r="C19" i="4"/>
  <c r="B19" i="4"/>
  <c r="C18" i="4"/>
  <c r="E17" i="4"/>
  <c r="D17" i="4"/>
  <c r="C17" i="4"/>
  <c r="B17" i="4"/>
  <c r="B15" i="4"/>
  <c r="E14" i="4"/>
  <c r="F14" i="4" s="1"/>
  <c r="D14" i="4"/>
  <c r="C14" i="4"/>
  <c r="B14" i="4"/>
  <c r="E13" i="4"/>
  <c r="F13" i="4" s="1"/>
  <c r="D13" i="4"/>
  <c r="C13" i="4"/>
  <c r="B13" i="4"/>
  <c r="E12" i="4"/>
  <c r="F12" i="4" s="1"/>
  <c r="D12" i="4"/>
  <c r="C12" i="4"/>
  <c r="B12" i="4"/>
  <c r="E11" i="4"/>
  <c r="F11" i="4" s="1"/>
  <c r="D11" i="4"/>
  <c r="C11" i="4"/>
  <c r="B11" i="4"/>
  <c r="E10" i="4"/>
  <c r="F10" i="4" s="1"/>
  <c r="D10" i="4"/>
  <c r="C10" i="4"/>
  <c r="B10" i="4"/>
  <c r="E9" i="4"/>
  <c r="F9" i="4" s="1"/>
  <c r="D9" i="4"/>
  <c r="C9" i="4"/>
  <c r="B9" i="4"/>
  <c r="E8" i="4"/>
  <c r="F8" i="4" s="1"/>
  <c r="D8" i="4"/>
  <c r="C8" i="4"/>
  <c r="B8" i="4"/>
  <c r="H6" i="4"/>
  <c r="D9" i="5"/>
  <c r="D6" i="5"/>
  <c r="F26" i="4"/>
  <c r="F30" i="4"/>
  <c r="F44" i="4"/>
  <c r="D77" i="4"/>
  <c r="F25" i="4"/>
  <c r="F21" i="4"/>
  <c r="F41" i="4"/>
  <c r="F18" i="4"/>
  <c r="F17" i="4"/>
  <c r="E45" i="4"/>
  <c r="F45" i="4"/>
  <c r="D75" i="4"/>
  <c r="F19" i="4"/>
  <c r="F36" i="4"/>
  <c r="G36" i="4"/>
  <c r="F40" i="4"/>
  <c r="F42" i="4"/>
  <c r="F33" i="4"/>
  <c r="G33" i="4"/>
  <c r="F35" i="4"/>
  <c r="G35" i="4"/>
  <c r="F37" i="4"/>
  <c r="G37" i="4"/>
  <c r="F43" i="4"/>
  <c r="F50" i="4"/>
  <c r="C79" i="4"/>
  <c r="E79" i="4"/>
  <c r="E67" i="4"/>
  <c r="F48" i="4"/>
  <c r="C70" i="4" s="1"/>
  <c r="E70" i="4" s="1"/>
  <c r="H50" i="4"/>
  <c r="C68" i="4"/>
  <c r="O49" i="4"/>
  <c r="C80" i="4"/>
  <c r="E80" i="4"/>
  <c r="E68" i="4"/>
  <c r="F6" i="5"/>
  <c r="F9" i="5"/>
  <c r="H2" i="4"/>
  <c r="F12" i="5"/>
  <c r="F18" i="5"/>
  <c r="F11" i="5"/>
  <c r="F13" i="5"/>
  <c r="F15" i="5"/>
  <c r="F17" i="5"/>
  <c r="F19" i="5"/>
  <c r="F20" i="5"/>
  <c r="F21" i="5"/>
  <c r="F22" i="5"/>
  <c r="F23" i="5"/>
  <c r="G21" i="5"/>
  <c r="G19" i="5"/>
  <c r="G23" i="5"/>
  <c r="F27" i="5"/>
  <c r="G9" i="5"/>
  <c r="G6" i="5"/>
  <c r="G16" i="5"/>
  <c r="G18" i="5"/>
  <c r="G11" i="5"/>
  <c r="G12" i="5"/>
  <c r="G13" i="5"/>
  <c r="G15" i="5"/>
  <c r="G17" i="5"/>
  <c r="G20" i="5"/>
  <c r="G22" i="5"/>
  <c r="F28" i="5"/>
  <c r="F29" i="5"/>
  <c r="F30" i="5"/>
  <c r="F31" i="5"/>
  <c r="H29" i="5"/>
  <c r="F34" i="5"/>
  <c r="F35" i="5"/>
  <c r="F32" i="5"/>
  <c r="G29" i="5"/>
  <c r="F47" i="4" l="1"/>
  <c r="H48" i="4"/>
  <c r="G2" i="4" s="1"/>
  <c r="H47" i="4" l="1"/>
  <c r="F2" i="4" s="1"/>
  <c r="F49" i="4"/>
  <c r="F58" i="4"/>
  <c r="C63" i="4"/>
  <c r="C75" i="4" l="1"/>
  <c r="E75" i="4" s="1"/>
  <c r="E63" i="4"/>
  <c r="E72" i="4" s="1"/>
  <c r="H49" i="4"/>
  <c r="O48" i="4"/>
  <c r="F57" i="4"/>
  <c r="O50" i="4" l="1"/>
  <c r="O51" i="4" s="1"/>
  <c r="F60" i="4"/>
  <c r="G57" i="4" s="1"/>
  <c r="C65" i="4"/>
  <c r="E57" i="4"/>
  <c r="O52" i="4" l="1"/>
  <c r="O53" i="4" s="1"/>
  <c r="G43" i="4"/>
  <c r="G19" i="4"/>
  <c r="G26" i="4"/>
  <c r="G18" i="4"/>
  <c r="G30" i="4"/>
  <c r="G45" i="4"/>
  <c r="G21" i="4"/>
  <c r="G50" i="4"/>
  <c r="G41" i="4"/>
  <c r="G59" i="4"/>
  <c r="G24" i="4"/>
  <c r="G60" i="4"/>
  <c r="G20" i="4"/>
  <c r="G25" i="4"/>
  <c r="G40" i="4"/>
  <c r="G29" i="4"/>
  <c r="G27" i="4"/>
  <c r="G17" i="4"/>
  <c r="G42" i="4"/>
  <c r="G28" i="4"/>
  <c r="G44" i="4"/>
  <c r="G48" i="4"/>
  <c r="G10" i="4"/>
  <c r="G9" i="4"/>
  <c r="G13" i="4"/>
  <c r="G14" i="4"/>
  <c r="G8" i="4"/>
  <c r="G11" i="4"/>
  <c r="G12" i="4"/>
  <c r="G47" i="4"/>
  <c r="G58" i="4"/>
  <c r="G49" i="4"/>
  <c r="C77" i="4"/>
  <c r="E77" i="4" s="1"/>
  <c r="E65" i="4"/>
  <c r="O54" i="4" l="1"/>
  <c r="O55" i="4" s="1"/>
  <c r="O56" i="4" s="1"/>
  <c r="E2" i="4" l="1"/>
  <c r="P56" i="4"/>
</calcChain>
</file>

<file path=xl/sharedStrings.xml><?xml version="1.0" encoding="utf-8"?>
<sst xmlns="http://schemas.openxmlformats.org/spreadsheetml/2006/main" count="293" uniqueCount="180">
  <si>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</si>
  <si>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</si>
  <si>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</si>
  <si>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</si>
  <si>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</si>
  <si>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</si>
  <si>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</si>
  <si>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</si>
  <si>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</si>
  <si>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Cantidad</t>
  </si>
  <si>
    <t xml:space="preserve">Unidad medida </t>
  </si>
  <si>
    <t>g</t>
  </si>
  <si>
    <t>Unidad</t>
  </si>
  <si>
    <t>PESO TOTAL OBTENIDO</t>
  </si>
  <si>
    <t>TIEMPO TOTAL DE PREPARACION</t>
  </si>
  <si>
    <t>CANTIDAD DE PORCIONES OBTENIDAS</t>
  </si>
  <si>
    <t>PESO DE CADA PORCIÓN</t>
  </si>
  <si>
    <t>MERMA</t>
  </si>
  <si>
    <t>PROCEDIMIENTO DE PREPARACION DE LA  RECETA</t>
  </si>
  <si>
    <t>EMPAQUE</t>
  </si>
  <si>
    <t>SERVICIOS DE PASTELERIA S.A.</t>
  </si>
  <si>
    <t>Unidad Internacional</t>
  </si>
  <si>
    <t>Horno:</t>
  </si>
  <si>
    <t>1112431</t>
  </si>
  <si>
    <t>0702012</t>
  </si>
  <si>
    <t>ETIQUETA FECHA VENCIMIENTO</t>
  </si>
  <si>
    <t>702174</t>
  </si>
  <si>
    <t>4- Llevar al chiller por 4 horas antes de porcionar.</t>
  </si>
  <si>
    <t>2- Distribuir 200g de manjar con una manga en toda la galleta, repetir esta operacion alternando galletas y manjar (terminar con galleta)</t>
  </si>
  <si>
    <t>1950705</t>
  </si>
  <si>
    <t>BOLSA 8x12 TRANSP (KILO)</t>
  </si>
  <si>
    <t>ud</t>
  </si>
  <si>
    <t>AREA QUE PRODUCE:</t>
  </si>
  <si>
    <t xml:space="preserve">AREA QUE EMPACA: </t>
  </si>
  <si>
    <t>905000058</t>
  </si>
  <si>
    <t>CREMA LIMON BUCCA 21000G</t>
  </si>
  <si>
    <t>NUEVO</t>
  </si>
  <si>
    <t>ETIQUETA SELLO SEGURIDAD (ROLLO:1000)</t>
  </si>
  <si>
    <t>PUENTES P</t>
  </si>
  <si>
    <t>3- Distribuir 100g de merengue de limon Bucca y dibujar una espiral con la espatula partiendo del centro hacia el exterior</t>
  </si>
  <si>
    <t>0702123</t>
  </si>
  <si>
    <t>ETIQUETA BLANCA 2 5/8X1 15/16 (UND)</t>
  </si>
  <si>
    <t>95471</t>
  </si>
  <si>
    <t>CORTE GALLETA GDE P/TORTA CHILENA (UND)</t>
  </si>
  <si>
    <t>701096</t>
  </si>
  <si>
    <t>ETIQUETA BLANCA R-153 (UND)</t>
  </si>
  <si>
    <t>5- Porcionar la torta chilena fria en 8 piezas y hacer hilos de manjar en cada porción con 5 gramos</t>
  </si>
  <si>
    <t>6- Colocar en la base externa de los empaque triangulares etiqueta con ingredientes, #juliano y fecha de vencimiento</t>
  </si>
  <si>
    <t>1- Colocar la primer galleta de chilena en el plato de aluminio</t>
  </si>
  <si>
    <t>8- Tapar y colocar en la parte superior etiqueta bucca y al cierre el sello de seguridad</t>
  </si>
  <si>
    <t>ETIQUETA TORTA CHILENA FRESH MARKET</t>
  </si>
  <si>
    <t>1952912</t>
  </si>
  <si>
    <t>CONTENEDOR TRIANGU ALTO (CAJA:200 UND)</t>
  </si>
  <si>
    <t>MACROCOMERCIAL</t>
  </si>
  <si>
    <t>7- Colocar cada porciÓn de chilena.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</si>
  <si>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</si>
  <si>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</si>
  <si>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</si>
  <si>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</si>
  <si>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</si>
  <si>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</si>
  <si>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</si>
  <si>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</si>
  <si>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</si>
  <si>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</si>
  <si>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</si>
  <si>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</si>
  <si>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</si>
  <si>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</si>
  <si>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</si>
  <si>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</si>
  <si>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</si>
  <si>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</si>
  <si>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</si>
  <si>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</si>
  <si>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</si>
  <si>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</si>
  <si>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</si>
  <si>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</si>
  <si>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</si>
  <si>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S/MARGEN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</si>
  <si>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</si>
  <si>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</si>
  <si>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</si>
  <si>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</si>
  <si>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</si>
  <si>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</si>
  <si>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</si>
  <si>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</si>
  <si>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</si>
  <si>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</si>
  <si>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</si>
  <si>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</si>
  <si>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</si>
  <si>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</si>
  <si>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</si>
  <si>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</si>
  <si>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</si>
  <si>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</si>
  <si>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</si>
  <si>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</si>
  <si>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</si>
  <si>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</si>
  <si>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</si>
  <si>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</si>
  <si>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</si>
  <si>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</si>
  <si>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</si>
  <si>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</si>
  <si>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</si>
  <si>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</si>
  <si>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</si>
  <si>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</si>
  <si>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</si>
  <si>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</si>
  <si>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</si>
  <si>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</si>
  <si>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</si>
  <si>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COSTO PLANTA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</si>
  <si>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</si>
  <si>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</si>
  <si>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</si>
  <si>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</si>
  <si>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</si>
  <si>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</si>
  <si>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</si>
  <si>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</si>
  <si>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</si>
  <si>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</si>
  <si>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</si>
  <si>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Gramo</t>
  </si>
  <si>
    <t>UND</t>
  </si>
  <si>
    <t xml:space="preserve">UND </t>
  </si>
  <si>
    <t>Porcion Torta Chilena FM</t>
  </si>
  <si>
    <t>60100061</t>
  </si>
  <si>
    <t>min</t>
  </si>
  <si>
    <t>11400066</t>
  </si>
  <si>
    <t>CONTROL DE CAMBIOS</t>
  </si>
  <si>
    <t>MP10007</t>
  </si>
  <si>
    <t>SE00277</t>
  </si>
  <si>
    <t>EM10124</t>
  </si>
  <si>
    <t>EM10255</t>
  </si>
  <si>
    <t>EM10079</t>
  </si>
  <si>
    <t>EM10135</t>
  </si>
  <si>
    <t>EM10037</t>
  </si>
  <si>
    <t>EM10011</t>
  </si>
  <si>
    <t>EM10005</t>
  </si>
  <si>
    <t>906000002</t>
  </si>
  <si>
    <t>SE00204</t>
  </si>
  <si>
    <t>MANJAR LECHE CONDENSADA</t>
  </si>
  <si>
    <t xml:space="preserve">MANJAR LECHE CONDENSADA </t>
  </si>
  <si>
    <t>Javier Tong, Chef</t>
  </si>
  <si>
    <t>Esteban Cartin, Gte Manufactura</t>
  </si>
  <si>
    <t>Figuras</t>
  </si>
  <si>
    <t># Código Netsuite</t>
  </si>
  <si>
    <t>Medida alternativa</t>
  </si>
  <si>
    <t xml:space="preserve">Costo - Referencia </t>
  </si>
  <si>
    <t>Colones</t>
  </si>
  <si>
    <t>Ensamble</t>
  </si>
  <si>
    <t>CORTE GALLETA CHILENA GRANDE</t>
  </si>
  <si>
    <t>FAS</t>
  </si>
  <si>
    <t>NESTLE</t>
  </si>
  <si>
    <t>Decoración</t>
  </si>
  <si>
    <t/>
  </si>
  <si>
    <t>Empaque</t>
  </si>
  <si>
    <t>CEMUSA</t>
  </si>
  <si>
    <t>ETIQ.FECHA VENCIMIENTO VERDE</t>
  </si>
  <si>
    <t>ETIPLAST</t>
  </si>
  <si>
    <t>BOLSA 8X12 TRANSP (KILO)</t>
  </si>
  <si>
    <t>Tiempo de Horneo:</t>
  </si>
  <si>
    <t>Temperatura de Horneo:</t>
  </si>
  <si>
    <t>Otros</t>
  </si>
  <si>
    <t>ESP-RE-FIF-009</t>
  </si>
  <si>
    <t>4 UND</t>
  </si>
  <si>
    <t>200g / CAPA</t>
  </si>
  <si>
    <t>SE00034</t>
  </si>
  <si>
    <t>Mezcla Sirope manjar Dulce Leche</t>
  </si>
  <si>
    <t xml:space="preserve">2, Se actualiza dato receta </t>
  </si>
  <si>
    <t>02</t>
  </si>
  <si>
    <t xml:space="preserve"> 30300177(PTI00054) Porcion Torta chilena 1300g (8 porc) Fresh Market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</si>
</sst>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0.0"/>
    <numFmt numFmtId="169" formatCode="_-* #,##0.0\ _€_-;\-* #,##0.0\ _€_-;_-* &quot;-&quot;??\ _€_-;_-@_-"/>
    <numFmt numFmtId="170" formatCode="0.0%"/>
    <numFmt numFmtId="171" formatCode="[$-409]d\-mmm\-yy;@"/>
    <numFmt numFmtId="172" formatCode="0.0000"/>
  </numFmts>
  <fonts count="60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b/>
      <sz val="8"/>
      <name val="Times New Roman"/>
      <family val="1"/>
    </font>
    <font>
      <b/>
      <sz val="8"/>
      <color indexed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9"/>
      <name val="Times New Roman"/>
      <family val="1"/>
    </font>
    <font>
      <sz val="9"/>
      <color indexed="19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sz val="9"/>
      <color indexed="12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b/>
      <sz val="8"/>
      <color indexed="17"/>
      <name val="Times New Roman"/>
      <family val="1"/>
    </font>
    <font>
      <b/>
      <sz val="9"/>
      <color indexed="57"/>
      <name val="Times New Roman"/>
      <family val="1"/>
    </font>
    <font>
      <b/>
      <sz val="9"/>
      <color indexed="60"/>
      <name val="Times New Roman"/>
      <family val="1"/>
    </font>
    <font>
      <b/>
      <sz val="10"/>
      <color indexed="18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2" fillId="0" borderId="0"/>
    <xf numFmtId="0" fontId="2" fillId="0" borderId="0"/>
    <xf numFmtId="9" fontId="12" fillId="0" borderId="0" applyFont="0" applyFill="0" applyBorder="0" applyAlignment="0" applyProtection="0"/>
    <xf numFmtId="0" fontId="7" fillId="0" borderId="0"/>
    <xf numFmtId="0" fontId="50" fillId="0" borderId="0"/>
    <xf numFmtId="0" fontId="7" fillId="0" borderId="0"/>
  </cellStyleXfs>
  <cellXfs count="360">
    <xf numFmtId="0" fontId="0" fillId="0" borderId="0" xfId="0"/>
    <xf numFmtId="0" fontId="5" fillId="2" borderId="2" xfId="5" applyFont="1" applyFill="1" applyBorder="1" applyAlignment="1">
      <alignment horizontal="right"/>
    </xf>
    <xf numFmtId="0" fontId="5" fillId="2" borderId="3" xfId="5" applyFont="1" applyFill="1" applyBorder="1" applyAlignment="1">
      <alignment horizontal="right"/>
    </xf>
    <xf numFmtId="0" fontId="4" fillId="2" borderId="4" xfId="5" applyFont="1" applyFill="1" applyBorder="1" applyAlignment="1">
      <alignment horizontal="right"/>
    </xf>
    <xf numFmtId="1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49" fontId="9" fillId="0" borderId="3" xfId="0" applyNumberFormat="1" applyFont="1" applyBorder="1"/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49" fontId="8" fillId="0" borderId="14" xfId="0" applyNumberFormat="1" applyFont="1" applyBorder="1" applyAlignment="1">
      <alignment horizontal="center"/>
    </xf>
    <xf numFmtId="1" fontId="4" fillId="2" borderId="16" xfId="0" applyNumberFormat="1" applyFont="1" applyFill="1" applyBorder="1" applyAlignment="1">
      <alignment horizontal="center"/>
    </xf>
    <xf numFmtId="49" fontId="4" fillId="2" borderId="5" xfId="5" applyNumberFormat="1" applyFont="1" applyFill="1" applyBorder="1" applyAlignment="1">
      <alignment horizontal="center"/>
    </xf>
    <xf numFmtId="0" fontId="4" fillId="2" borderId="15" xfId="5" applyFont="1" applyFill="1" applyBorder="1" applyAlignment="1">
      <alignment horizontal="center"/>
    </xf>
    <xf numFmtId="49" fontId="10" fillId="0" borderId="3" xfId="0" applyNumberFormat="1" applyFont="1" applyBorder="1"/>
    <xf numFmtId="49" fontId="8" fillId="0" borderId="19" xfId="0" applyNumberFormat="1" applyFont="1" applyBorder="1" applyAlignment="1">
      <alignment horizontal="center"/>
    </xf>
    <xf numFmtId="49" fontId="9" fillId="0" borderId="13" xfId="0" applyNumberFormat="1" applyFont="1" applyBorder="1"/>
    <xf numFmtId="1" fontId="8" fillId="0" borderId="13" xfId="0" applyNumberFormat="1" applyFont="1" applyBorder="1" applyAlignment="1">
      <alignment horizontal="center" wrapText="1"/>
    </xf>
    <xf numFmtId="10" fontId="17" fillId="0" borderId="0" xfId="7" applyNumberFormat="1" applyFont="1" applyFill="1" applyAlignment="1">
      <alignment vertical="center"/>
    </xf>
    <xf numFmtId="10" fontId="14" fillId="0" borderId="0" xfId="7" applyNumberFormat="1" applyFont="1" applyFill="1" applyAlignment="1">
      <alignment vertical="center"/>
    </xf>
    <xf numFmtId="10" fontId="9" fillId="0" borderId="0" xfId="7" applyNumberFormat="1" applyFont="1" applyFill="1" applyAlignment="1">
      <alignment vertical="center"/>
    </xf>
    <xf numFmtId="0" fontId="9" fillId="0" borderId="0" xfId="0" applyFont="1" applyAlignment="1">
      <alignment horizontal="center" vertical="center" wrapText="1"/>
    </xf>
    <xf numFmtId="10" fontId="23" fillId="0" borderId="0" xfId="7" applyNumberFormat="1" applyFont="1" applyFill="1" applyAlignment="1">
      <alignment vertical="center"/>
    </xf>
    <xf numFmtId="10" fontId="23" fillId="0" borderId="0" xfId="7" applyNumberFormat="1" applyFont="1" applyFill="1" applyBorder="1" applyAlignment="1">
      <alignment vertical="center"/>
    </xf>
    <xf numFmtId="0" fontId="17" fillId="4" borderId="20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/>
    </xf>
    <xf numFmtId="0" fontId="17" fillId="4" borderId="21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10" fontId="31" fillId="0" borderId="0" xfId="7" applyNumberFormat="1" applyFont="1" applyFill="1" applyAlignment="1">
      <alignment vertical="center"/>
    </xf>
    <xf numFmtId="10" fontId="37" fillId="0" borderId="0" xfId="7" applyNumberFormat="1" applyFont="1" applyFill="1" applyBorder="1"/>
    <xf numFmtId="10" fontId="31" fillId="0" borderId="0" xfId="7" applyNumberFormat="1" applyFont="1" applyFill="1"/>
    <xf numFmtId="10" fontId="35" fillId="0" borderId="0" xfId="7" applyNumberFormat="1" applyFont="1" applyFill="1" applyAlignment="1">
      <alignment horizontal="right"/>
    </xf>
    <xf numFmtId="10" fontId="33" fillId="0" borderId="0" xfId="7" applyNumberFormat="1" applyFont="1" applyFill="1" applyAlignment="1">
      <alignment horizontal="right"/>
    </xf>
    <xf numFmtId="10" fontId="37" fillId="0" borderId="0" xfId="7" applyNumberFormat="1" applyFont="1" applyFill="1"/>
    <xf numFmtId="10" fontId="41" fillId="0" borderId="0" xfId="7" applyNumberFormat="1" applyFont="1" applyFill="1"/>
    <xf numFmtId="0" fontId="28" fillId="5" borderId="3" xfId="0" applyFont="1" applyFill="1" applyBorder="1" applyAlignment="1">
      <alignment horizontal="center"/>
    </xf>
    <xf numFmtId="0" fontId="28" fillId="5" borderId="3" xfId="0" applyFont="1" applyFill="1" applyBorder="1" applyAlignment="1">
      <alignment horizontal="center" wrapText="1"/>
    </xf>
    <xf numFmtId="0" fontId="31" fillId="0" borderId="0" xfId="0" applyFont="1"/>
    <xf numFmtId="10" fontId="30" fillId="0" borderId="0" xfId="7" applyNumberFormat="1" applyFont="1" applyFill="1" applyAlignment="1">
      <alignment horizontal="right"/>
    </xf>
    <xf numFmtId="0" fontId="30" fillId="4" borderId="10" xfId="0" applyFont="1" applyFill="1" applyBorder="1"/>
    <xf numFmtId="10" fontId="14" fillId="4" borderId="23" xfId="7" applyNumberFormat="1" applyFont="1" applyFill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0" fontId="9" fillId="4" borderId="23" xfId="0" applyFont="1" applyFill="1" applyBorder="1" applyAlignment="1">
      <alignment vertical="center"/>
    </xf>
    <xf numFmtId="0" fontId="9" fillId="4" borderId="24" xfId="0" applyFont="1" applyFill="1" applyBorder="1" applyAlignment="1">
      <alignment vertical="center"/>
    </xf>
    <xf numFmtId="10" fontId="14" fillId="4" borderId="24" xfId="7" applyNumberFormat="1" applyFont="1" applyFill="1" applyBorder="1" applyAlignment="1">
      <alignment vertical="center"/>
    </xf>
    <xf numFmtId="0" fontId="9" fillId="4" borderId="25" xfId="0" applyFont="1" applyFill="1" applyBorder="1" applyAlignment="1">
      <alignment vertical="center"/>
    </xf>
    <xf numFmtId="10" fontId="14" fillId="0" borderId="0" xfId="7" applyNumberFormat="1" applyFont="1" applyFill="1" applyBorder="1" applyAlignment="1">
      <alignment vertical="center"/>
    </xf>
    <xf numFmtId="0" fontId="14" fillId="4" borderId="25" xfId="0" applyFont="1" applyFill="1" applyBorder="1" applyAlignment="1">
      <alignment vertical="center"/>
    </xf>
    <xf numFmtId="0" fontId="17" fillId="4" borderId="11" xfId="0" applyFont="1" applyFill="1" applyBorder="1" applyAlignment="1">
      <alignment horizontal="right" vertical="center"/>
    </xf>
    <xf numFmtId="0" fontId="36" fillId="0" borderId="0" xfId="0" applyFont="1" applyAlignment="1">
      <alignment horizontal="center"/>
    </xf>
    <xf numFmtId="3" fontId="31" fillId="3" borderId="1" xfId="0" applyNumberFormat="1" applyFont="1" applyFill="1" applyBorder="1" applyAlignment="1">
      <alignment horizontal="center"/>
    </xf>
    <xf numFmtId="10" fontId="37" fillId="0" borderId="0" xfId="7" applyNumberFormat="1" applyFont="1" applyFill="1" applyAlignment="1">
      <alignment horizontal="right"/>
    </xf>
    <xf numFmtId="9" fontId="31" fillId="0" borderId="0" xfId="7" applyFont="1" applyFill="1" applyAlignment="1">
      <alignment vertical="center"/>
    </xf>
    <xf numFmtId="9" fontId="31" fillId="0" borderId="0" xfId="7" applyFont="1" applyAlignment="1">
      <alignment horizontal="right"/>
    </xf>
    <xf numFmtId="9" fontId="36" fillId="0" borderId="0" xfId="7" applyFont="1" applyFill="1"/>
    <xf numFmtId="10" fontId="31" fillId="0" borderId="0" xfId="7" applyNumberFormat="1" applyFont="1" applyFill="1" applyBorder="1" applyAlignment="1">
      <alignment horizontal="right"/>
    </xf>
    <xf numFmtId="0" fontId="9" fillId="9" borderId="0" xfId="0" applyFont="1" applyFill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9" fillId="9" borderId="0" xfId="0" applyFont="1" applyFill="1" applyAlignment="1">
      <alignment vertical="center"/>
    </xf>
    <xf numFmtId="0" fontId="17" fillId="10" borderId="3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9" fontId="36" fillId="0" borderId="0" xfId="7" applyFont="1" applyFill="1" applyAlignment="1">
      <alignment horizontal="center"/>
    </xf>
    <xf numFmtId="9" fontId="52" fillId="0" borderId="0" xfId="7" applyFont="1" applyFill="1" applyAlignment="1">
      <alignment horizontal="center"/>
    </xf>
    <xf numFmtId="0" fontId="31" fillId="0" borderId="0" xfId="7" applyNumberFormat="1" applyFont="1" applyFill="1" applyAlignment="1">
      <alignment vertical="center"/>
    </xf>
    <xf numFmtId="0" fontId="10" fillId="0" borderId="0" xfId="0" applyFont="1"/>
    <xf numFmtId="0" fontId="46" fillId="0" borderId="26" xfId="0" applyFont="1" applyBorder="1" applyAlignment="1">
      <alignment horizontal="center" vertical="center" wrapText="1"/>
    </xf>
    <xf numFmtId="171" fontId="47" fillId="0" borderId="0" xfId="0" applyNumberFormat="1" applyFont="1" applyAlignment="1">
      <alignment horizontal="center" vertical="center" wrapText="1"/>
    </xf>
    <xf numFmtId="166" fontId="31" fillId="0" borderId="0" xfId="1" applyFont="1"/>
    <xf numFmtId="4" fontId="31" fillId="0" borderId="0" xfId="1" applyNumberFormat="1" applyFont="1" applyAlignment="1">
      <alignment horizontal="right"/>
    </xf>
    <xf numFmtId="49" fontId="31" fillId="0" borderId="0" xfId="2" applyNumberFormat="1" applyFont="1" applyAlignment="1">
      <alignment horizontal="center"/>
    </xf>
    <xf numFmtId="0" fontId="30" fillId="0" borderId="0" xfId="0" applyFont="1"/>
    <xf numFmtId="166" fontId="38" fillId="0" borderId="0" xfId="1" applyFont="1" applyFill="1" applyBorder="1" applyAlignment="1">
      <alignment horizontal="center"/>
    </xf>
    <xf numFmtId="0" fontId="38" fillId="0" borderId="0" xfId="0" applyFont="1"/>
    <xf numFmtId="4" fontId="38" fillId="0" borderId="0" xfId="2" applyNumberFormat="1" applyFont="1" applyFill="1" applyBorder="1"/>
    <xf numFmtId="4" fontId="38" fillId="0" borderId="0" xfId="2" applyNumberFormat="1" applyFont="1" applyFill="1" applyBorder="1" applyAlignment="1">
      <alignment horizontal="right"/>
    </xf>
    <xf numFmtId="49" fontId="38" fillId="0" borderId="0" xfId="2" applyNumberFormat="1" applyFont="1" applyFill="1" applyBorder="1" applyAlignment="1">
      <alignment horizontal="center"/>
    </xf>
    <xf numFmtId="0" fontId="32" fillId="0" borderId="0" xfId="0" applyFont="1" applyAlignment="1">
      <alignment horizontal="right"/>
    </xf>
    <xf numFmtId="166" fontId="30" fillId="0" borderId="0" xfId="1" applyFont="1" applyFill="1" applyBorder="1" applyAlignment="1">
      <alignment horizontal="right"/>
    </xf>
    <xf numFmtId="166" fontId="30" fillId="0" borderId="27" xfId="1" applyFont="1" applyFill="1" applyBorder="1" applyAlignment="1">
      <alignment horizontal="right"/>
    </xf>
    <xf numFmtId="166" fontId="31" fillId="0" borderId="0" xfId="1" applyFont="1" applyFill="1" applyBorder="1" applyAlignment="1">
      <alignment horizontal="right"/>
    </xf>
    <xf numFmtId="0" fontId="36" fillId="0" borderId="0" xfId="0" applyFont="1" applyAlignment="1">
      <alignment horizontal="right"/>
    </xf>
    <xf numFmtId="9" fontId="36" fillId="0" borderId="0" xfId="1" applyNumberFormat="1" applyFont="1" applyFill="1" applyBorder="1"/>
    <xf numFmtId="4" fontId="36" fillId="0" borderId="0" xfId="1" applyNumberFormat="1" applyFont="1" applyFill="1" applyBorder="1" applyAlignment="1">
      <alignment horizontal="right"/>
    </xf>
    <xf numFmtId="170" fontId="35" fillId="0" borderId="0" xfId="1" applyNumberFormat="1" applyFont="1" applyFill="1"/>
    <xf numFmtId="0" fontId="37" fillId="0" borderId="0" xfId="0" applyFont="1" applyAlignment="1">
      <alignment horizontal="right"/>
    </xf>
    <xf numFmtId="0" fontId="37" fillId="0" borderId="28" xfId="0" applyFont="1" applyBorder="1" applyAlignment="1">
      <alignment horizontal="right"/>
    </xf>
    <xf numFmtId="166" fontId="31" fillId="5" borderId="1" xfId="1" applyFont="1" applyFill="1" applyBorder="1" applyAlignment="1">
      <alignment horizontal="right"/>
    </xf>
    <xf numFmtId="2" fontId="36" fillId="0" borderId="0" xfId="0" applyNumberFormat="1" applyFont="1" applyAlignment="1">
      <alignment horizontal="center"/>
    </xf>
    <xf numFmtId="0" fontId="43" fillId="0" borderId="0" xfId="0" applyFont="1" applyAlignment="1">
      <alignment horizontal="right"/>
    </xf>
    <xf numFmtId="0" fontId="30" fillId="0" borderId="16" xfId="0" applyFont="1" applyBorder="1" applyAlignment="1">
      <alignment horizontal="right"/>
    </xf>
    <xf numFmtId="166" fontId="31" fillId="9" borderId="0" xfId="1" applyFont="1" applyFill="1" applyBorder="1" applyAlignment="1">
      <alignment horizontal="right"/>
    </xf>
    <xf numFmtId="2" fontId="40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166" fontId="35" fillId="0" borderId="0" xfId="0" applyNumberFormat="1" applyFont="1" applyAlignment="1">
      <alignment horizontal="right"/>
    </xf>
    <xf numFmtId="0" fontId="30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29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6" fontId="17" fillId="0" borderId="3" xfId="1" applyFont="1" applyFill="1" applyBorder="1" applyAlignment="1">
      <alignment horizontal="center" vertical="center"/>
    </xf>
    <xf numFmtId="166" fontId="17" fillId="0" borderId="0" xfId="1" applyFont="1" applyFill="1" applyBorder="1" applyAlignment="1">
      <alignment horizontal="center" vertical="center"/>
    </xf>
    <xf numFmtId="166" fontId="49" fillId="0" borderId="0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2" applyNumberFormat="1" applyFont="1" applyFill="1" applyAlignment="1">
      <alignment horizontal="center" vertical="center"/>
    </xf>
    <xf numFmtId="4" fontId="17" fillId="0" borderId="0" xfId="2" applyNumberFormat="1" applyFont="1" applyFill="1" applyAlignment="1">
      <alignment horizontal="center" vertical="center"/>
    </xf>
    <xf numFmtId="49" fontId="17" fillId="0" borderId="0" xfId="0" applyNumberFormat="1" applyFont="1" applyAlignment="1">
      <alignment horizontal="center" vertical="center"/>
    </xf>
    <xf numFmtId="0" fontId="9" fillId="0" borderId="0" xfId="0" applyFont="1"/>
    <xf numFmtId="49" fontId="17" fillId="0" borderId="0" xfId="0" applyNumberFormat="1" applyFont="1" applyAlignment="1">
      <alignment horizontal="center"/>
    </xf>
    <xf numFmtId="164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9" fontId="9" fillId="0" borderId="0" xfId="0" applyNumberFormat="1" applyFont="1"/>
    <xf numFmtId="49" fontId="1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Fill="1" applyAlignment="1">
      <alignment vertical="center"/>
    </xf>
    <xf numFmtId="166" fontId="21" fillId="0" borderId="0" xfId="1" applyFont="1" applyFill="1" applyAlignment="1">
      <alignment horizontal="center" vertical="center"/>
    </xf>
    <xf numFmtId="166" fontId="21" fillId="4" borderId="24" xfId="1" applyFont="1" applyFill="1" applyBorder="1" applyAlignment="1">
      <alignment horizontal="center" vertical="center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21" fillId="0" borderId="0" xfId="2" applyNumberFormat="1" applyFont="1" applyAlignment="1">
      <alignment horizontal="center" vertical="center"/>
    </xf>
    <xf numFmtId="166" fontId="17" fillId="0" borderId="3" xfId="1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4" fontId="21" fillId="0" borderId="0" xfId="2" applyNumberFormat="1" applyFont="1" applyFill="1" applyAlignment="1">
      <alignment horizontal="center" vertical="center"/>
    </xf>
    <xf numFmtId="169" fontId="17" fillId="4" borderId="3" xfId="1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166" fontId="17" fillId="6" borderId="3" xfId="1" applyFont="1" applyFill="1" applyBorder="1" applyAlignment="1">
      <alignment vertical="center"/>
    </xf>
    <xf numFmtId="166" fontId="23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2" fontId="35" fillId="0" borderId="0" xfId="1" applyNumberFormat="1" applyFont="1" applyFill="1" applyBorder="1" applyAlignment="1">
      <alignment horizontal="center"/>
    </xf>
    <xf numFmtId="2" fontId="37" fillId="0" borderId="0" xfId="1" applyNumberFormat="1" applyFont="1" applyFill="1" applyBorder="1" applyAlignment="1">
      <alignment horizontal="center"/>
    </xf>
    <xf numFmtId="4" fontId="9" fillId="0" borderId="0" xfId="1" applyNumberFormat="1" applyFont="1" applyFill="1" applyAlignment="1">
      <alignment vertical="center"/>
    </xf>
    <xf numFmtId="166" fontId="31" fillId="4" borderId="10" xfId="1" applyFont="1" applyFill="1" applyBorder="1" applyAlignment="1">
      <alignment horizontal="right"/>
    </xf>
    <xf numFmtId="10" fontId="22" fillId="0" borderId="0" xfId="1" applyNumberFormat="1" applyFont="1" applyFill="1" applyAlignment="1">
      <alignment vertical="center"/>
    </xf>
    <xf numFmtId="166" fontId="44" fillId="0" borderId="0" xfId="0" applyNumberFormat="1" applyFont="1" applyAlignment="1">
      <alignment horizontal="center" vertical="center"/>
    </xf>
    <xf numFmtId="166" fontId="24" fillId="0" borderId="0" xfId="1" applyFont="1" applyFill="1" applyAlignment="1">
      <alignment vertical="center"/>
    </xf>
    <xf numFmtId="4" fontId="16" fillId="0" borderId="0" xfId="2" applyNumberFormat="1" applyFont="1" applyFill="1" applyAlignment="1">
      <alignment horizontal="center" vertical="center" wrapText="1"/>
    </xf>
    <xf numFmtId="166" fontId="9" fillId="0" borderId="0" xfId="1" applyFont="1" applyFill="1" applyAlignment="1">
      <alignment vertical="center"/>
    </xf>
    <xf numFmtId="9" fontId="9" fillId="0" borderId="0" xfId="1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17" fillId="7" borderId="1" xfId="1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166" fontId="48" fillId="0" borderId="0" xfId="1" applyFont="1" applyFill="1" applyAlignment="1">
      <alignment vertical="center"/>
    </xf>
    <xf numFmtId="9" fontId="48" fillId="0" borderId="0" xfId="1" applyNumberFormat="1" applyFont="1" applyFill="1" applyAlignment="1">
      <alignment vertical="center"/>
    </xf>
    <xf numFmtId="4" fontId="17" fillId="0" borderId="0" xfId="1" applyNumberFormat="1" applyFont="1" applyFill="1" applyAlignment="1">
      <alignment horizontal="center" vertical="center"/>
    </xf>
    <xf numFmtId="166" fontId="23" fillId="0" borderId="0" xfId="1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166" fontId="9" fillId="0" borderId="0" xfId="1" applyFont="1" applyFill="1" applyBorder="1"/>
    <xf numFmtId="0" fontId="23" fillId="0" borderId="0" xfId="0" applyFont="1" applyAlignment="1">
      <alignment horizontal="right"/>
    </xf>
    <xf numFmtId="166" fontId="9" fillId="0" borderId="0" xfId="1" applyFont="1" applyFill="1" applyBorder="1" applyAlignment="1">
      <alignment horizontal="center"/>
    </xf>
    <xf numFmtId="9" fontId="26" fillId="0" borderId="0" xfId="0" applyNumberFormat="1" applyFont="1" applyAlignment="1">
      <alignment horizontal="left"/>
    </xf>
    <xf numFmtId="4" fontId="17" fillId="0" borderId="0" xfId="0" applyNumberFormat="1" applyFont="1" applyAlignment="1">
      <alignment horizontal="center"/>
    </xf>
    <xf numFmtId="166" fontId="17" fillId="0" borderId="0" xfId="0" applyNumberFormat="1" applyFont="1"/>
    <xf numFmtId="10" fontId="34" fillId="11" borderId="0" xfId="7" applyNumberFormat="1" applyFont="1" applyFill="1" applyAlignment="1">
      <alignment horizontal="right"/>
    </xf>
    <xf numFmtId="166" fontId="30" fillId="11" borderId="0" xfId="1" applyFont="1" applyFill="1" applyBorder="1" applyAlignment="1">
      <alignment horizontal="right"/>
    </xf>
    <xf numFmtId="49" fontId="8" fillId="0" borderId="6" xfId="0" applyNumberFormat="1" applyFont="1" applyBorder="1" applyAlignment="1">
      <alignment horizontal="center"/>
    </xf>
    <xf numFmtId="49" fontId="8" fillId="0" borderId="3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2" borderId="3" xfId="5" applyFont="1" applyFill="1" applyBorder="1" applyAlignment="1">
      <alignment horizontal="right"/>
    </xf>
    <xf numFmtId="14" fontId="51" fillId="2" borderId="0" xfId="6" applyNumberFormat="1" applyFont="1" applyFill="1" applyAlignment="1">
      <alignment horizontal="center" vertical="center" wrapText="1"/>
    </xf>
    <xf numFmtId="0" fontId="5" fillId="3" borderId="15" xfId="8" applyFont="1" applyFill="1" applyBorder="1" applyAlignment="1">
      <alignment horizontal="center" vertical="center" wrapText="1"/>
    </xf>
    <xf numFmtId="1" fontId="5" fillId="3" borderId="13" xfId="8" applyNumberFormat="1" applyFont="1" applyFill="1" applyBorder="1" applyAlignment="1">
      <alignment horizontal="center"/>
    </xf>
    <xf numFmtId="1" fontId="5" fillId="3" borderId="13" xfId="8" applyNumberFormat="1" applyFont="1" applyFill="1" applyBorder="1" applyAlignment="1">
      <alignment horizontal="center" wrapText="1"/>
    </xf>
    <xf numFmtId="0" fontId="5" fillId="3" borderId="56" xfId="8" applyFont="1" applyFill="1" applyBorder="1" applyAlignment="1">
      <alignment horizontal="center"/>
    </xf>
    <xf numFmtId="0" fontId="54" fillId="0" borderId="14" xfId="8" applyFont="1" applyBorder="1" applyAlignment="1">
      <alignment horizontal="center" vertical="center"/>
    </xf>
    <xf numFmtId="0" fontId="54" fillId="0" borderId="6" xfId="8" applyFont="1" applyBorder="1" applyAlignment="1">
      <alignment horizontal="center" vertical="center"/>
    </xf>
    <xf numFmtId="0" fontId="55" fillId="0" borderId="3" xfId="8" applyFont="1" applyBorder="1" applyAlignment="1">
      <alignment vertical="center"/>
    </xf>
    <xf numFmtId="0" fontId="54" fillId="0" borderId="3" xfId="8" applyFont="1" applyBorder="1" applyAlignment="1">
      <alignment horizontal="center" vertical="center"/>
    </xf>
    <xf numFmtId="1" fontId="54" fillId="0" borderId="3" xfId="8" applyNumberFormat="1" applyFont="1" applyBorder="1" applyAlignment="1">
      <alignment horizontal="center"/>
    </xf>
    <xf numFmtId="1" fontId="54" fillId="0" borderId="3" xfId="8" applyNumberFormat="1" applyFont="1" applyBorder="1" applyAlignment="1">
      <alignment horizontal="center" wrapText="1"/>
    </xf>
    <xf numFmtId="0" fontId="8" fillId="0" borderId="5" xfId="8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0" fillId="0" borderId="3" xfId="9" applyFont="1" applyBorder="1" applyAlignment="1">
      <alignment horizontal="center"/>
    </xf>
    <xf numFmtId="172" fontId="7" fillId="0" borderId="4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54" fillId="0" borderId="3" xfId="0" applyFont="1" applyBorder="1" applyAlignment="1">
      <alignment horizontal="center"/>
    </xf>
    <xf numFmtId="1" fontId="54" fillId="0" borderId="3" xfId="0" applyNumberFormat="1" applyFont="1" applyBorder="1" applyAlignment="1">
      <alignment horizontal="center"/>
    </xf>
    <xf numFmtId="1" fontId="54" fillId="0" borderId="3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16" fontId="7" fillId="0" borderId="3" xfId="8" applyNumberFormat="1" applyBorder="1" applyAlignment="1">
      <alignment horizontal="center"/>
    </xf>
    <xf numFmtId="1" fontId="7" fillId="0" borderId="0" xfId="8" applyNumberFormat="1" applyAlignment="1">
      <alignment horizontal="center"/>
    </xf>
    <xf numFmtId="1" fontId="7" fillId="0" borderId="0" xfId="8" applyNumberFormat="1" applyAlignment="1">
      <alignment horizontal="center" wrapText="1"/>
    </xf>
    <xf numFmtId="2" fontId="4" fillId="0" borderId="4" xfId="8" applyNumberFormat="1" applyFont="1" applyBorder="1" applyAlignment="1">
      <alignment horizontal="center"/>
    </xf>
    <xf numFmtId="0" fontId="0" fillId="9" borderId="3" xfId="0" applyFill="1" applyBorder="1"/>
    <xf numFmtId="1" fontId="8" fillId="0" borderId="3" xfId="8" applyNumberFormat="1" applyFont="1" applyBorder="1" applyAlignment="1">
      <alignment horizontal="center"/>
    </xf>
    <xf numFmtId="1" fontId="8" fillId="0" borderId="3" xfId="8" applyNumberFormat="1" applyFont="1" applyBorder="1" applyAlignment="1">
      <alignment horizontal="center" wrapText="1"/>
    </xf>
    <xf numFmtId="0" fontId="7" fillId="0" borderId="4" xfId="8" applyBorder="1" applyAlignment="1">
      <alignment horizontal="center"/>
    </xf>
    <xf numFmtId="49" fontId="8" fillId="0" borderId="14" xfId="8" applyNumberFormat="1" applyFont="1" applyBorder="1" applyAlignment="1">
      <alignment horizontal="center"/>
    </xf>
    <xf numFmtId="49" fontId="8" fillId="0" borderId="6" xfId="8" applyNumberFormat="1" applyFont="1" applyBorder="1" applyAlignment="1">
      <alignment horizontal="center"/>
    </xf>
    <xf numFmtId="0" fontId="46" fillId="9" borderId="3" xfId="8" applyFont="1" applyFill="1" applyBorder="1" applyAlignment="1">
      <alignment horizontal="left"/>
    </xf>
    <xf numFmtId="0" fontId="8" fillId="0" borderId="3" xfId="8" applyFont="1" applyBorder="1" applyAlignment="1">
      <alignment horizontal="center"/>
    </xf>
    <xf numFmtId="168" fontId="8" fillId="0" borderId="3" xfId="8" applyNumberFormat="1" applyFont="1" applyBorder="1" applyAlignment="1">
      <alignment horizontal="center"/>
    </xf>
    <xf numFmtId="0" fontId="0" fillId="0" borderId="14" xfId="0" applyBorder="1"/>
    <xf numFmtId="0" fontId="56" fillId="0" borderId="3" xfId="0" applyFont="1" applyBorder="1" applyAlignment="1">
      <alignment horizontal="center"/>
    </xf>
    <xf numFmtId="16" fontId="8" fillId="0" borderId="3" xfId="0" applyNumberFormat="1" applyFont="1" applyBorder="1" applyAlignment="1">
      <alignment horizontal="center"/>
    </xf>
    <xf numFmtId="1" fontId="8" fillId="0" borderId="3" xfId="10" applyNumberFormat="1" applyFont="1" applyBorder="1" applyAlignment="1">
      <alignment horizontal="center"/>
    </xf>
    <xf numFmtId="1" fontId="8" fillId="0" borderId="3" xfId="10" applyNumberFormat="1" applyFont="1" applyBorder="1" applyAlignment="1">
      <alignment horizontal="center" wrapText="1"/>
    </xf>
    <xf numFmtId="49" fontId="54" fillId="0" borderId="18" xfId="8" applyNumberFormat="1" applyFont="1" applyBorder="1" applyAlignment="1">
      <alignment horizontal="center"/>
    </xf>
    <xf numFmtId="49" fontId="54" fillId="0" borderId="43" xfId="8" applyNumberFormat="1" applyFont="1" applyBorder="1" applyAlignment="1">
      <alignment horizontal="center"/>
    </xf>
    <xf numFmtId="0" fontId="57" fillId="9" borderId="3" xfId="8" applyFont="1" applyFill="1" applyBorder="1" applyAlignment="1">
      <alignment vertical="center"/>
    </xf>
    <xf numFmtId="0" fontId="54" fillId="0" borderId="6" xfId="8" applyFont="1" applyBorder="1" applyAlignment="1">
      <alignment horizontal="center"/>
    </xf>
    <xf numFmtId="2" fontId="8" fillId="0" borderId="3" xfId="8" applyNumberFormat="1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12" fontId="8" fillId="0" borderId="3" xfId="8" applyNumberFormat="1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56" fillId="0" borderId="3" xfId="0" applyFont="1" applyBorder="1"/>
    <xf numFmtId="1" fontId="56" fillId="0" borderId="3" xfId="0" applyNumberFormat="1" applyFont="1" applyBorder="1" applyAlignment="1">
      <alignment horizontal="center"/>
    </xf>
    <xf numFmtId="49" fontId="9" fillId="0" borderId="3" xfId="8" applyNumberFormat="1" applyFont="1" applyBorder="1"/>
    <xf numFmtId="0" fontId="56" fillId="0" borderId="3" xfId="8" applyFont="1" applyBorder="1" applyAlignment="1">
      <alignment horizontal="center"/>
    </xf>
    <xf numFmtId="49" fontId="58" fillId="2" borderId="29" xfId="8" applyNumberFormat="1" applyFont="1" applyFill="1" applyBorder="1" applyAlignment="1">
      <alignment horizontal="center" vertical="center"/>
    </xf>
    <xf numFmtId="49" fontId="58" fillId="2" borderId="0" xfId="8" applyNumberFormat="1" applyFont="1" applyFill="1" applyAlignment="1">
      <alignment horizontal="center" vertical="center"/>
    </xf>
    <xf numFmtId="0" fontId="4" fillId="2" borderId="0" xfId="8" applyFont="1" applyFill="1"/>
    <xf numFmtId="1" fontId="4" fillId="2" borderId="0" xfId="8" applyNumberFormat="1" applyFont="1" applyFill="1" applyAlignment="1">
      <alignment horizontal="center"/>
    </xf>
    <xf numFmtId="167" fontId="4" fillId="2" borderId="0" xfId="8" applyNumberFormat="1" applyFont="1" applyFill="1" applyAlignment="1">
      <alignment horizontal="center" wrapText="1"/>
    </xf>
    <xf numFmtId="0" fontId="4" fillId="2" borderId="28" xfId="8" applyFont="1" applyFill="1" applyBorder="1" applyAlignment="1">
      <alignment horizontal="center"/>
    </xf>
    <xf numFmtId="0" fontId="4" fillId="3" borderId="9" xfId="8" applyFont="1" applyFill="1" applyBorder="1" applyAlignment="1">
      <alignment horizontal="center"/>
    </xf>
    <xf numFmtId="0" fontId="4" fillId="3" borderId="10" xfId="8" applyFont="1" applyFill="1" applyBorder="1" applyAlignment="1">
      <alignment horizontal="center"/>
    </xf>
    <xf numFmtId="0" fontId="4" fillId="3" borderId="10" xfId="8" applyFont="1" applyFill="1" applyBorder="1"/>
    <xf numFmtId="0" fontId="5" fillId="3" borderId="10" xfId="8" applyFont="1" applyFill="1" applyBorder="1" applyAlignment="1">
      <alignment horizontal="center"/>
    </xf>
    <xf numFmtId="1" fontId="5" fillId="3" borderId="10" xfId="8" applyNumberFormat="1" applyFont="1" applyFill="1" applyBorder="1" applyAlignment="1">
      <alignment horizontal="center"/>
    </xf>
    <xf numFmtId="167" fontId="4" fillId="3" borderId="10" xfId="8" applyNumberFormat="1" applyFont="1" applyFill="1" applyBorder="1" applyAlignment="1">
      <alignment horizontal="center" wrapText="1"/>
    </xf>
    <xf numFmtId="0" fontId="4" fillId="3" borderId="11" xfId="8" applyFont="1" applyFill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59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13" xfId="0" applyNumberFormat="1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0" fontId="9" fillId="0" borderId="3" xfId="0" applyFont="1" applyBorder="1"/>
    <xf numFmtId="14" fontId="4" fillId="2" borderId="8" xfId="5" applyNumberFormat="1" applyFont="1" applyFill="1" applyBorder="1" applyAlignment="1">
      <alignment horizontal="center" vertical="center" wrapText="1"/>
    </xf>
    <xf numFmtId="14" fontId="4" fillId="2" borderId="52" xfId="5" applyNumberFormat="1" applyFont="1" applyFill="1" applyBorder="1" applyAlignment="1">
      <alignment horizontal="center" vertical="center" wrapText="1"/>
    </xf>
    <xf numFmtId="14" fontId="4" fillId="2" borderId="55" xfId="5" applyNumberFormat="1" applyFont="1" applyFill="1" applyBorder="1" applyAlignment="1">
      <alignment horizontal="center" vertical="center" wrapText="1"/>
    </xf>
    <xf numFmtId="0" fontId="4" fillId="2" borderId="31" xfId="5" applyFont="1" applyFill="1" applyBorder="1" applyAlignment="1">
      <alignment horizontal="left"/>
    </xf>
    <xf numFmtId="0" fontId="4" fillId="2" borderId="32" xfId="5" applyFont="1" applyFill="1" applyBorder="1" applyAlignment="1">
      <alignment horizontal="left"/>
    </xf>
    <xf numFmtId="0" fontId="4" fillId="2" borderId="33" xfId="5" applyFont="1" applyFill="1" applyBorder="1" applyAlignment="1">
      <alignment horizontal="left"/>
    </xf>
    <xf numFmtId="0" fontId="4" fillId="2" borderId="38" xfId="5" applyFont="1" applyFill="1" applyBorder="1" applyAlignment="1">
      <alignment horizontal="left"/>
    </xf>
    <xf numFmtId="0" fontId="4" fillId="2" borderId="43" xfId="5" applyFont="1" applyFill="1" applyBorder="1" applyAlignment="1">
      <alignment horizontal="left"/>
    </xf>
    <xf numFmtId="0" fontId="4" fillId="2" borderId="6" xfId="5" applyFont="1" applyFill="1" applyBorder="1" applyAlignment="1">
      <alignment horizontal="left"/>
    </xf>
    <xf numFmtId="0" fontId="4" fillId="2" borderId="36" xfId="5" applyFont="1" applyFill="1" applyBorder="1" applyAlignment="1">
      <alignment horizontal="center"/>
    </xf>
    <xf numFmtId="0" fontId="4" fillId="2" borderId="37" xfId="5" applyFont="1" applyFill="1" applyBorder="1" applyAlignment="1">
      <alignment horizontal="center"/>
    </xf>
    <xf numFmtId="0" fontId="4" fillId="2" borderId="29" xfId="5" applyFont="1" applyFill="1" applyBorder="1" applyAlignment="1">
      <alignment horizontal="center"/>
    </xf>
    <xf numFmtId="0" fontId="4" fillId="2" borderId="0" xfId="5" applyFont="1" applyFill="1" applyAlignment="1">
      <alignment horizontal="center"/>
    </xf>
    <xf numFmtId="0" fontId="4" fillId="2" borderId="44" xfId="5" applyFont="1" applyFill="1" applyBorder="1" applyAlignment="1">
      <alignment horizontal="center"/>
    </xf>
    <xf numFmtId="0" fontId="4" fillId="2" borderId="26" xfId="5" applyFont="1" applyFill="1" applyBorder="1" applyAlignment="1">
      <alignment horizontal="center"/>
    </xf>
    <xf numFmtId="0" fontId="3" fillId="2" borderId="2" xfId="5" applyFont="1" applyFill="1" applyBorder="1" applyAlignment="1">
      <alignment horizontal="center"/>
    </xf>
    <xf numFmtId="0" fontId="3" fillId="2" borderId="7" xfId="5" applyFont="1" applyFill="1" applyBorder="1" applyAlignment="1">
      <alignment horizontal="center"/>
    </xf>
    <xf numFmtId="0" fontId="6" fillId="5" borderId="9" xfId="5" applyFont="1" applyFill="1" applyBorder="1" applyAlignment="1">
      <alignment horizontal="center" vertical="center" wrapText="1"/>
    </xf>
    <xf numFmtId="0" fontId="6" fillId="5" borderId="10" xfId="5" applyFont="1" applyFill="1" applyBorder="1" applyAlignment="1">
      <alignment horizontal="center" vertical="center" wrapText="1"/>
    </xf>
    <xf numFmtId="0" fontId="6" fillId="5" borderId="11" xfId="5" applyFont="1" applyFill="1" applyBorder="1" applyAlignment="1">
      <alignment horizontal="center" vertical="center" wrapText="1"/>
    </xf>
    <xf numFmtId="0" fontId="5" fillId="2" borderId="49" xfId="5" applyFont="1" applyFill="1" applyBorder="1" applyAlignment="1">
      <alignment horizontal="right" vertical="top" wrapText="1"/>
    </xf>
    <xf numFmtId="0" fontId="5" fillId="2" borderId="50" xfId="5" applyFont="1" applyFill="1" applyBorder="1" applyAlignment="1">
      <alignment horizontal="right" vertical="top" wrapText="1"/>
    </xf>
    <xf numFmtId="0" fontId="5" fillId="2" borderId="51" xfId="5" applyFont="1" applyFill="1" applyBorder="1" applyAlignment="1">
      <alignment horizontal="right" vertical="top" wrapText="1"/>
    </xf>
    <xf numFmtId="0" fontId="11" fillId="2" borderId="0" xfId="6" applyFont="1" applyFill="1" applyAlignment="1">
      <alignment horizontal="right"/>
    </xf>
    <xf numFmtId="0" fontId="51" fillId="2" borderId="16" xfId="6" applyFont="1" applyFill="1" applyBorder="1" applyAlignment="1">
      <alignment horizontal="center"/>
    </xf>
    <xf numFmtId="0" fontId="11" fillId="2" borderId="0" xfId="6" applyFont="1" applyFill="1"/>
    <xf numFmtId="0" fontId="5" fillId="3" borderId="40" xfId="8" applyFont="1" applyFill="1" applyBorder="1" applyAlignment="1">
      <alignment horizontal="center" vertical="center"/>
    </xf>
    <xf numFmtId="0" fontId="5" fillId="3" borderId="19" xfId="8" applyFont="1" applyFill="1" applyBorder="1" applyAlignment="1">
      <alignment horizontal="center" vertical="center"/>
    </xf>
    <xf numFmtId="0" fontId="5" fillId="3" borderId="40" xfId="8" applyFont="1" applyFill="1" applyBorder="1" applyAlignment="1">
      <alignment horizontal="center" vertical="center" wrapText="1"/>
    </xf>
    <xf numFmtId="0" fontId="5" fillId="3" borderId="19" xfId="8" applyFont="1" applyFill="1" applyBorder="1" applyAlignment="1">
      <alignment horizontal="center" vertical="center" wrapText="1"/>
    </xf>
    <xf numFmtId="0" fontId="5" fillId="3" borderId="2" xfId="8" applyFont="1" applyFill="1" applyBorder="1" applyAlignment="1">
      <alignment horizontal="center" vertical="center"/>
    </xf>
    <xf numFmtId="0" fontId="5" fillId="3" borderId="13" xfId="8" applyFont="1" applyFill="1" applyBorder="1" applyAlignment="1">
      <alignment horizontal="center" vertical="center"/>
    </xf>
    <xf numFmtId="0" fontId="5" fillId="0" borderId="44" xfId="8" applyFont="1" applyBorder="1" applyAlignment="1">
      <alignment horizontal="right"/>
    </xf>
    <xf numFmtId="0" fontId="5" fillId="0" borderId="26" xfId="8" applyFont="1" applyBorder="1" applyAlignment="1">
      <alignment horizontal="right"/>
    </xf>
    <xf numFmtId="0" fontId="5" fillId="0" borderId="45" xfId="8" applyFont="1" applyBorder="1" applyAlignment="1">
      <alignment horizontal="right"/>
    </xf>
    <xf numFmtId="167" fontId="4" fillId="0" borderId="4" xfId="8" applyNumberFormat="1" applyFont="1" applyBorder="1" applyAlignment="1">
      <alignment horizontal="right"/>
    </xf>
    <xf numFmtId="0" fontId="4" fillId="2" borderId="12" xfId="8" applyFont="1" applyFill="1" applyBorder="1" applyAlignment="1">
      <alignment horizontal="center"/>
    </xf>
    <xf numFmtId="0" fontId="4" fillId="2" borderId="46" xfId="8" applyFont="1" applyFill="1" applyBorder="1" applyAlignment="1">
      <alignment horizontal="center"/>
    </xf>
    <xf numFmtId="0" fontId="5" fillId="0" borderId="18" xfId="8" applyFont="1" applyBorder="1" applyAlignment="1">
      <alignment horizontal="right"/>
    </xf>
    <xf numFmtId="0" fontId="5" fillId="0" borderId="43" xfId="8" applyFont="1" applyBorder="1" applyAlignment="1">
      <alignment horizontal="right"/>
    </xf>
    <xf numFmtId="0" fontId="5" fillId="0" borderId="6" xfId="8" applyFont="1" applyBorder="1" applyAlignment="1">
      <alignment horizontal="right"/>
    </xf>
    <xf numFmtId="0" fontId="4" fillId="0" borderId="3" xfId="8" applyFont="1" applyBorder="1" applyAlignment="1">
      <alignment horizontal="right"/>
    </xf>
    <xf numFmtId="167" fontId="4" fillId="0" borderId="38" xfId="8" applyNumberFormat="1" applyFont="1" applyBorder="1" applyAlignment="1">
      <alignment horizontal="center"/>
    </xf>
    <xf numFmtId="167" fontId="4" fillId="0" borderId="39" xfId="8" applyNumberFormat="1" applyFont="1" applyBorder="1" applyAlignment="1">
      <alignment horizontal="center"/>
    </xf>
    <xf numFmtId="0" fontId="4" fillId="0" borderId="18" xfId="0" applyFont="1" applyBorder="1" applyAlignment="1">
      <alignment horizontal="left" wrapText="1"/>
    </xf>
    <xf numFmtId="0" fontId="4" fillId="0" borderId="43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167" fontId="4" fillId="0" borderId="38" xfId="8" applyNumberFormat="1" applyFont="1" applyBorder="1" applyAlignment="1">
      <alignment horizontal="right" wrapText="1"/>
    </xf>
    <xf numFmtId="167" fontId="4" fillId="0" borderId="6" xfId="8" applyNumberFormat="1" applyFont="1" applyBorder="1" applyAlignment="1">
      <alignment horizontal="right" wrapText="1"/>
    </xf>
    <xf numFmtId="0" fontId="5" fillId="0" borderId="19" xfId="8" applyFont="1" applyBorder="1" applyAlignment="1">
      <alignment horizontal="right"/>
    </xf>
    <xf numFmtId="0" fontId="5" fillId="0" borderId="30" xfId="8" applyFont="1" applyBorder="1" applyAlignment="1">
      <alignment horizontal="right"/>
    </xf>
    <xf numFmtId="0" fontId="5" fillId="0" borderId="13" xfId="8" applyFont="1" applyBorder="1" applyAlignment="1">
      <alignment horizontal="right"/>
    </xf>
    <xf numFmtId="0" fontId="4" fillId="0" borderId="13" xfId="8" applyFont="1" applyBorder="1" applyAlignment="1">
      <alignment horizontal="right"/>
    </xf>
    <xf numFmtId="167" fontId="4" fillId="0" borderId="34" xfId="8" applyNumberFormat="1" applyFont="1" applyBorder="1" applyAlignment="1">
      <alignment horizontal="center"/>
    </xf>
    <xf numFmtId="167" fontId="4" fillId="0" borderId="42" xfId="8" applyNumberFormat="1" applyFont="1" applyBorder="1" applyAlignment="1">
      <alignment horizontal="center"/>
    </xf>
    <xf numFmtId="0" fontId="5" fillId="3" borderId="9" xfId="8" applyFont="1" applyFill="1" applyBorder="1" applyAlignment="1">
      <alignment horizontal="left"/>
    </xf>
    <xf numFmtId="0" fontId="5" fillId="3" borderId="10" xfId="8" applyFont="1" applyFill="1" applyBorder="1" applyAlignment="1">
      <alignment horizontal="left"/>
    </xf>
    <xf numFmtId="0" fontId="5" fillId="3" borderId="11" xfId="8" applyFont="1" applyFill="1" applyBorder="1" applyAlignment="1">
      <alignment horizontal="left"/>
    </xf>
    <xf numFmtId="0" fontId="4" fillId="0" borderId="48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2" borderId="58" xfId="5" applyFont="1" applyFill="1" applyBorder="1" applyAlignment="1">
      <alignment horizontal="left"/>
    </xf>
    <xf numFmtId="0" fontId="4" fillId="2" borderId="0" xfId="5" applyFont="1" applyFill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47" xfId="8" applyFont="1" applyBorder="1" applyAlignment="1">
      <alignment horizontal="left"/>
    </xf>
    <xf numFmtId="0" fontId="4" fillId="0" borderId="35" xfId="8" applyFont="1" applyBorder="1" applyAlignment="1">
      <alignment horizontal="left"/>
    </xf>
    <xf numFmtId="0" fontId="4" fillId="0" borderId="42" xfId="8" applyFont="1" applyBorder="1" applyAlignment="1">
      <alignment horizontal="left"/>
    </xf>
    <xf numFmtId="0" fontId="5" fillId="12" borderId="57" xfId="5" applyFont="1" applyFill="1" applyBorder="1" applyAlignment="1">
      <alignment horizontal="center"/>
    </xf>
    <xf numFmtId="0" fontId="5" fillId="12" borderId="37" xfId="5" applyFont="1" applyFill="1" applyBorder="1" applyAlignment="1">
      <alignment horizontal="center"/>
    </xf>
    <xf numFmtId="0" fontId="35" fillId="0" borderId="16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4" fontId="16" fillId="0" borderId="0" xfId="2" applyNumberFormat="1" applyFont="1" applyFill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31" fillId="4" borderId="9" xfId="0" applyFont="1" applyFill="1" applyBorder="1" applyAlignment="1">
      <alignment horizontal="right"/>
    </xf>
    <xf numFmtId="0" fontId="31" fillId="4" borderId="10" xfId="0" applyFont="1" applyFill="1" applyBorder="1" applyAlignment="1">
      <alignment horizontal="right"/>
    </xf>
    <xf numFmtId="0" fontId="32" fillId="0" borderId="0" xfId="0" applyFont="1" applyAlignment="1">
      <alignment horizontal="right"/>
    </xf>
    <xf numFmtId="0" fontId="47" fillId="0" borderId="10" xfId="0" applyFont="1" applyBorder="1" applyAlignment="1">
      <alignment horizontal="right" vertical="center" wrapText="1"/>
    </xf>
    <xf numFmtId="0" fontId="25" fillId="0" borderId="0" xfId="0" applyFont="1" applyAlignment="1">
      <alignment horizontal="right"/>
    </xf>
    <xf numFmtId="0" fontId="21" fillId="0" borderId="0" xfId="0" applyFont="1" applyAlignment="1">
      <alignment horizontal="center" vertical="center"/>
    </xf>
    <xf numFmtId="0" fontId="17" fillId="8" borderId="9" xfId="0" applyFont="1" applyFill="1" applyBorder="1" applyAlignment="1">
      <alignment horizontal="right" vertical="center"/>
    </xf>
    <xf numFmtId="0" fontId="17" fillId="8" borderId="10" xfId="0" applyFont="1" applyFill="1" applyBorder="1" applyAlignment="1">
      <alignment horizontal="right" vertical="center"/>
    </xf>
    <xf numFmtId="0" fontId="17" fillId="8" borderId="11" xfId="0" applyFont="1" applyFill="1" applyBorder="1" applyAlignment="1">
      <alignment horizontal="right" vertical="center"/>
    </xf>
    <xf numFmtId="0" fontId="17" fillId="0" borderId="16" xfId="0" applyFont="1" applyBorder="1" applyAlignment="1">
      <alignment horizontal="right" vertical="center"/>
    </xf>
    <xf numFmtId="0" fontId="17" fillId="0" borderId="17" xfId="0" applyFont="1" applyBorder="1" applyAlignment="1">
      <alignment horizontal="right" vertical="center"/>
    </xf>
    <xf numFmtId="0" fontId="27" fillId="0" borderId="9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11" xfId="0" applyFont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42" fillId="0" borderId="29" xfId="0" applyFont="1" applyBorder="1" applyAlignment="1">
      <alignment horizontal="right"/>
    </xf>
    <xf numFmtId="0" fontId="42" fillId="0" borderId="0" xfId="0" applyFont="1" applyAlignment="1">
      <alignment horizontal="right"/>
    </xf>
    <xf numFmtId="0" fontId="42" fillId="0" borderId="28" xfId="0" applyFont="1" applyBorder="1" applyAlignment="1">
      <alignment horizontal="right"/>
    </xf>
    <xf numFmtId="0" fontId="9" fillId="0" borderId="3" xfId="0" applyFont="1" applyBorder="1" applyAlignment="1">
      <alignment horizontal="right" vertical="center"/>
    </xf>
    <xf numFmtId="0" fontId="23" fillId="0" borderId="3" xfId="0" applyFont="1" applyBorder="1" applyAlignment="1">
      <alignment horizontal="right" vertical="center"/>
    </xf>
    <xf numFmtId="0" fontId="32" fillId="0" borderId="36" xfId="0" applyFont="1" applyBorder="1" applyAlignment="1">
      <alignment horizontal="right"/>
    </xf>
    <xf numFmtId="0" fontId="32" fillId="0" borderId="37" xfId="0" applyFont="1" applyBorder="1" applyAlignment="1">
      <alignment horizontal="right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46" fillId="4" borderId="9" xfId="0" applyFont="1" applyFill="1" applyBorder="1" applyAlignment="1">
      <alignment horizontal="right"/>
    </xf>
    <xf numFmtId="0" fontId="46" fillId="4" borderId="10" xfId="0" applyFont="1" applyFill="1" applyBorder="1" applyAlignment="1">
      <alignment horizontal="right"/>
    </xf>
    <xf numFmtId="0" fontId="39" fillId="0" borderId="0" xfId="0" applyFont="1" applyAlignment="1">
      <alignment horizontal="right"/>
    </xf>
    <xf numFmtId="0" fontId="53" fillId="0" borderId="0" xfId="0" applyFont="1" applyAlignment="1">
      <alignment horizontal="right"/>
    </xf>
    <xf numFmtId="0" fontId="39" fillId="11" borderId="0" xfId="0" applyFont="1" applyFill="1" applyAlignment="1">
      <alignment horizontal="right"/>
    </xf>
    <xf numFmtId="0" fontId="39" fillId="0" borderId="16" xfId="0" applyFont="1" applyBorder="1" applyAlignment="1">
      <alignment horizontal="right"/>
    </xf>
    <xf numFmtId="0" fontId="30" fillId="4" borderId="9" xfId="0" applyFont="1" applyFill="1" applyBorder="1" applyAlignment="1">
      <alignment horizontal="center"/>
    </xf>
    <xf numFmtId="0" fontId="30" fillId="4" borderId="10" xfId="0" applyFont="1" applyFill="1" applyBorder="1" applyAlignment="1">
      <alignment horizontal="center"/>
    </xf>
    <xf numFmtId="0" fontId="39" fillId="0" borderId="37" xfId="0" applyFont="1" applyBorder="1" applyAlignment="1">
      <alignment horizontal="right"/>
    </xf>
    <xf numFmtId="0" fontId="37" fillId="0" borderId="0" xfId="0" applyFont="1" applyAlignment="1">
      <alignment horizontal="right"/>
    </xf>
    <xf numFmtId="0" fontId="37" fillId="0" borderId="28" xfId="0" applyFont="1" applyBorder="1" applyAlignment="1">
      <alignment horizontal="right"/>
    </xf>
    <xf numFmtId="0" fontId="45" fillId="0" borderId="9" xfId="0" applyFont="1" applyBorder="1" applyAlignment="1">
      <alignment horizontal="center"/>
    </xf>
    <xf numFmtId="0" fontId="45" fillId="0" borderId="10" xfId="0" applyFont="1" applyBorder="1" applyAlignment="1">
      <alignment horizontal="center"/>
    </xf>
    <xf numFmtId="0" fontId="45" fillId="0" borderId="11" xfId="0" applyFont="1" applyBorder="1" applyAlignment="1">
      <alignment horizontal="center"/>
    </xf>
    <xf numFmtId="0" fontId="45" fillId="0" borderId="53" xfId="0" applyFont="1" applyBorder="1" applyAlignment="1">
      <alignment horizontal="center" vertical="center" wrapText="1"/>
    </xf>
    <xf numFmtId="0" fontId="46" fillId="0" borderId="54" xfId="0" applyFont="1" applyBorder="1" applyAlignment="1">
      <alignment horizontal="center" vertical="center" wrapText="1"/>
    </xf>
    <xf numFmtId="0" fontId="47" fillId="0" borderId="43" xfId="0" applyFont="1" applyBorder="1" applyAlignment="1">
      <alignment horizontal="right" vertical="center" wrapText="1"/>
    </xf>
  </cellXfs>
  <cellStyles count="11">
    <cellStyle name="Millares" xfId="1" builtinId="3"/>
    <cellStyle name="Millares [0]" xfId="2" builtinId="6"/>
    <cellStyle name="Millares [0] 2" xfId="3" xr:uid="{D0F87024-C510-4C9D-8C61-5123D4583184}"/>
    <cellStyle name="Millares 2" xfId="4" xr:uid="{6BA5401E-6220-43B2-BD95-BD81FC71B864}"/>
    <cellStyle name="Normal" xfId="0" builtinId="0"/>
    <cellStyle name="Normal 2" xfId="8" xr:uid="{EEC9D4E9-81D0-4301-8247-C7B228DFAFE2}"/>
    <cellStyle name="Normal 3 2" xfId="10" xr:uid="{AAC8F7EA-9F7F-4D4C-81F7-5CEC207B5CEF}"/>
    <cellStyle name="Normal 5" xfId="9" xr:uid="{C00DF818-292B-4BE1-8C36-01B1CD25121B}"/>
    <cellStyle name="Normal_CRITERIOS DE EVALUACION PT DE GB" xfId="5" xr:uid="{FE276E72-9CAF-46FD-A380-137C726EF945}"/>
    <cellStyle name="Normal_CRITERIOS DE EVALUACION PT DE GB 2" xfId="6" xr:uid="{9F806191-F7A4-4E99-A5A5-3F05B1F24041}"/>
    <cellStyle name="Porcentaje 2" xfId="7" xr:uid="{F668D7F0-B555-47F8-BEF2-42D17498D58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71033</xdr:colOff>
      <xdr:row>0</xdr:row>
      <xdr:rowOff>19373</xdr:rowOff>
    </xdr:from>
    <xdr:to>
      <xdr:col>1</xdr:col>
      <xdr:colOff>777885</xdr:colOff>
      <xdr:row>4</xdr:row>
      <xdr:rowOff>141293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4BA2FDE6-F541-4DF3-B0EA-AF346478F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33" y="19373"/>
          <a:ext cx="150114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Base%20datos%20costos%20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Recetas%20ICG%20ingresadas\Industria\TORTA%20PIE%20LIMON\Copy%20of%20ESP-RE-FIF-037(1)%20Crema%20Lim&#243;n%20Bucca%20%2090500005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  <row r="590">
          <cell r="A590" t="str">
            <v>1160001</v>
          </cell>
          <cell r="B590" t="str">
            <v>GOMA XANTAN (KILO)</v>
          </cell>
          <cell r="C590" t="str">
            <v>KILO</v>
          </cell>
          <cell r="E590">
            <v>3276</v>
          </cell>
          <cell r="F590" t="str">
            <v>Gramo</v>
          </cell>
          <cell r="G590">
            <v>3.2759999999999998</v>
          </cell>
        </row>
        <row r="591">
          <cell r="A591" t="str">
            <v>1212438</v>
          </cell>
          <cell r="B591" t="str">
            <v>ESTABILIZANTE FRUTAS (SACO:25 K) 97178</v>
          </cell>
          <cell r="C591" t="str">
            <v>SACO</v>
          </cell>
          <cell r="E591">
            <v>125818</v>
          </cell>
          <cell r="F591" t="str">
            <v>Gramo</v>
          </cell>
          <cell r="G591">
            <v>5.0327200000000003</v>
          </cell>
        </row>
        <row r="592">
          <cell r="A592" t="str">
            <v>10400007</v>
          </cell>
          <cell r="B592" t="str">
            <v>COLORANTE GEL ELECTRIC ORANGE (UND=130m)</v>
          </cell>
          <cell r="C592" t="str">
            <v>UND</v>
          </cell>
          <cell r="E592">
            <v>2400</v>
          </cell>
          <cell r="F592" t="str">
            <v>Gramo</v>
          </cell>
          <cell r="G592">
            <v>18.46153846153846</v>
          </cell>
        </row>
        <row r="593">
          <cell r="A593" t="str">
            <v>105000013</v>
          </cell>
          <cell r="B593" t="str">
            <v>PIMIENTA NEGRA MOLIDA ( PAQ: 5000 g )</v>
          </cell>
          <cell r="C593" t="str">
            <v>PAQ</v>
          </cell>
          <cell r="E593">
            <v>35170</v>
          </cell>
          <cell r="F593" t="str">
            <v>Gramo</v>
          </cell>
          <cell r="G593">
            <v>7.0339999999999998</v>
          </cell>
        </row>
      </sheetData>
      <sheetData sheetId="1" refreshError="1">
        <row r="2">
          <cell r="A2" t="str">
            <v>10261</v>
          </cell>
          <cell r="B2" t="str">
            <v>BOLSAS TRANSP GRANDE (KILO)</v>
          </cell>
          <cell r="D2" t="str">
            <v>KILO</v>
          </cell>
          <cell r="F2">
            <v>1250</v>
          </cell>
          <cell r="G2" t="str">
            <v>UND</v>
          </cell>
          <cell r="H2">
            <v>83.333333333333329</v>
          </cell>
        </row>
        <row r="3">
          <cell r="A3" t="str">
            <v>56009</v>
          </cell>
          <cell r="B3" t="str">
            <v>CANDELAS MAGICAS (PAQ:24 UND)</v>
          </cell>
          <cell r="C3" t="str">
            <v>56009</v>
          </cell>
          <cell r="D3" t="str">
            <v>1 PAQUETE</v>
          </cell>
          <cell r="E3" t="str">
            <v>14/12/2019</v>
          </cell>
          <cell r="F3">
            <v>750</v>
          </cell>
        </row>
        <row r="4">
          <cell r="A4" t="str">
            <v>109254</v>
          </cell>
          <cell r="B4" t="str">
            <v>VASO 3.25 ONZ (PAQ*200)</v>
          </cell>
          <cell r="C4" t="str">
            <v>109254</v>
          </cell>
          <cell r="D4" t="str">
            <v>1 PAQUETE</v>
          </cell>
          <cell r="E4" t="str">
            <v>04/03/2020</v>
          </cell>
          <cell r="F4">
            <v>12.797000000000001</v>
          </cell>
        </row>
        <row r="5">
          <cell r="A5" t="str">
            <v>109254</v>
          </cell>
          <cell r="B5" t="str">
            <v>VASO 3.25 ONZ (PAQ*200)</v>
          </cell>
          <cell r="C5" t="str">
            <v>0162101</v>
          </cell>
          <cell r="D5" t="str">
            <v>1 PAQUETE</v>
          </cell>
          <cell r="E5" t="str">
            <v>05/03/2020</v>
          </cell>
          <cell r="F5">
            <v>12.797000000000001</v>
          </cell>
        </row>
        <row r="6">
          <cell r="A6" t="str">
            <v>109401</v>
          </cell>
          <cell r="B6" t="str">
            <v>CONTENED PAPEL BLANCO 8 ONZ (PAQ:50 UND)</v>
          </cell>
          <cell r="C6" t="str">
            <v>109401</v>
          </cell>
          <cell r="D6" t="str">
            <v>1 PAQUETE</v>
          </cell>
          <cell r="E6" t="str">
            <v>11/11/2019</v>
          </cell>
          <cell r="F6">
            <v>35.72</v>
          </cell>
        </row>
        <row r="7">
          <cell r="A7" t="str">
            <v>121208</v>
          </cell>
          <cell r="B7" t="str">
            <v>QUEQUERA PLAST 12 CENT (CAJA:250UND)</v>
          </cell>
          <cell r="C7" t="str">
            <v>121208</v>
          </cell>
          <cell r="D7" t="str">
            <v>1 CAJA</v>
          </cell>
          <cell r="E7" t="str">
            <v>05/03/2020</v>
          </cell>
          <cell r="F7">
            <v>16021</v>
          </cell>
          <cell r="G7" t="str">
            <v>UND</v>
          </cell>
          <cell r="H7">
            <v>64.084000000000003</v>
          </cell>
        </row>
        <row r="8">
          <cell r="A8" t="str">
            <v>121603</v>
          </cell>
          <cell r="B8" t="str">
            <v>QUEQUERA RED  BASE/DOMO 10 (CAJA:50)</v>
          </cell>
          <cell r="C8" t="str">
            <v>121603</v>
          </cell>
          <cell r="D8" t="str">
            <v>1 CAJA</v>
          </cell>
          <cell r="E8" t="str">
            <v>05/03/2020</v>
          </cell>
          <cell r="F8">
            <v>16386</v>
          </cell>
          <cell r="G8" t="str">
            <v>UND</v>
          </cell>
          <cell r="H8">
            <v>327.72</v>
          </cell>
        </row>
        <row r="9">
          <cell r="A9" t="str">
            <v>0702169</v>
          </cell>
          <cell r="B9" t="str">
            <v>CARTULINA KRAFT 2.5 X 31 -8 (UND)</v>
          </cell>
          <cell r="C9" t="str">
            <v>0702169</v>
          </cell>
          <cell r="D9" t="str">
            <v>1 UND</v>
          </cell>
          <cell r="E9" t="str">
            <v>21/02/2020</v>
          </cell>
          <cell r="F9">
            <v>15</v>
          </cell>
        </row>
        <row r="10">
          <cell r="A10" t="str">
            <v>703020</v>
          </cell>
          <cell r="B10" t="str">
            <v>CINTA ADHESIVA TRANSPARENTE 2*100 MTS</v>
          </cell>
          <cell r="C10" t="str">
            <v>0703020</v>
          </cell>
          <cell r="D10" t="str">
            <v>1 UND</v>
          </cell>
          <cell r="E10" t="str">
            <v>14/02/2020</v>
          </cell>
          <cell r="F10">
            <v>1450</v>
          </cell>
          <cell r="G10" t="str">
            <v>Centimetros</v>
          </cell>
          <cell r="H10">
            <v>0.14499999999999999</v>
          </cell>
        </row>
        <row r="11">
          <cell r="A11" t="str">
            <v>0703204</v>
          </cell>
          <cell r="B11" t="str">
            <v>TARJETA SPOONER PVC</v>
          </cell>
          <cell r="C11" t="str">
            <v>0703204</v>
          </cell>
          <cell r="D11" t="str">
            <v>1 UND</v>
          </cell>
          <cell r="E11" t="str">
            <v>24/01/2020</v>
          </cell>
          <cell r="F11">
            <v>72.249600000000001</v>
          </cell>
        </row>
        <row r="12">
          <cell r="A12" t="str">
            <v>703205</v>
          </cell>
          <cell r="B12" t="str">
            <v>BROCHURE P/TARJETAS SPOONERS</v>
          </cell>
          <cell r="C12" t="str">
            <v>703205</v>
          </cell>
          <cell r="D12" t="str">
            <v>1 UND</v>
          </cell>
          <cell r="E12" t="str">
            <v>21/01/2020</v>
          </cell>
          <cell r="F12">
            <v>44.05057</v>
          </cell>
        </row>
        <row r="13">
          <cell r="A13" t="str">
            <v>0906036</v>
          </cell>
          <cell r="B13" t="str">
            <v>PAPEL MANTEQUILLA (CAJA= 1000 UND)</v>
          </cell>
          <cell r="C13" t="str">
            <v>0906036</v>
          </cell>
          <cell r="D13" t="str">
            <v>1 CAJA</v>
          </cell>
          <cell r="E13" t="str">
            <v>03/03/2020</v>
          </cell>
          <cell r="F13">
            <v>32000</v>
          </cell>
          <cell r="G13" t="str">
            <v>UND</v>
          </cell>
          <cell r="H13">
            <v>32</v>
          </cell>
        </row>
        <row r="14">
          <cell r="A14" t="str">
            <v>1210415</v>
          </cell>
          <cell r="B14" t="str">
            <v>PABILO ROLLO</v>
          </cell>
          <cell r="C14" t="str">
            <v>1210415</v>
          </cell>
          <cell r="D14" t="str">
            <v>1 UND</v>
          </cell>
          <cell r="E14" t="str">
            <v>01/11/2019</v>
          </cell>
          <cell r="F14">
            <v>8990</v>
          </cell>
        </row>
        <row r="15">
          <cell r="A15" t="str">
            <v>1840640</v>
          </cell>
          <cell r="B15" t="str">
            <v>BOLSAS TRANSP EXTRAGRANDE 37x55 KILO</v>
          </cell>
          <cell r="C15" t="str">
            <v>1840640</v>
          </cell>
          <cell r="D15" t="str">
            <v>1 KILO</v>
          </cell>
          <cell r="E15" t="str">
            <v>02/03/2020</v>
          </cell>
          <cell r="F15">
            <v>1350</v>
          </cell>
          <cell r="G15" t="str">
            <v>UND</v>
          </cell>
          <cell r="H15">
            <v>90</v>
          </cell>
        </row>
        <row r="16">
          <cell r="A16" t="str">
            <v>1942315</v>
          </cell>
          <cell r="B16" t="str">
            <v>QUEQUERA 10" MEDIA (CAJA:66 UND)</v>
          </cell>
          <cell r="C16" t="str">
            <v>1942315</v>
          </cell>
          <cell r="D16" t="str">
            <v>1 CAJA</v>
          </cell>
          <cell r="E16" t="str">
            <v>05/03/2020</v>
          </cell>
          <cell r="F16">
            <v>20685.060000000001</v>
          </cell>
          <cell r="G16" t="str">
            <v>UND</v>
          </cell>
          <cell r="H16">
            <v>313.41000000000003</v>
          </cell>
        </row>
        <row r="17">
          <cell r="A17" t="str">
            <v>1950387</v>
          </cell>
          <cell r="B17" t="str">
            <v>CONO P/AGUA (CAJA:5000 UND)</v>
          </cell>
          <cell r="C17" t="str">
            <v>1950387</v>
          </cell>
          <cell r="D17" t="str">
            <v>1 UND</v>
          </cell>
          <cell r="E17" t="str">
            <v>14/02/2020</v>
          </cell>
          <cell r="F17">
            <v>5.68</v>
          </cell>
        </row>
        <row r="18">
          <cell r="A18" t="str">
            <v>1950409</v>
          </cell>
          <cell r="B18" t="str">
            <v>TAPA P/FONDO CAJA BLANCA UND</v>
          </cell>
          <cell r="C18" t="str">
            <v>1950409</v>
          </cell>
          <cell r="D18" t="str">
            <v>1 UND</v>
          </cell>
          <cell r="E18" t="str">
            <v>21/02/2020</v>
          </cell>
          <cell r="F18">
            <v>53</v>
          </cell>
          <cell r="G18" t="str">
            <v>UND</v>
          </cell>
          <cell r="H18">
            <v>53</v>
          </cell>
        </row>
        <row r="19">
          <cell r="A19" t="str">
            <v>1950413</v>
          </cell>
          <cell r="B19" t="str">
            <v>BANDA PVC 300x50 (UND)</v>
          </cell>
          <cell r="C19" t="str">
            <v>1950413</v>
          </cell>
          <cell r="D19" t="str">
            <v>1 UND</v>
          </cell>
          <cell r="E19" t="str">
            <v>27/11/2019</v>
          </cell>
          <cell r="F19">
            <v>32.85</v>
          </cell>
        </row>
        <row r="20">
          <cell r="A20" t="str">
            <v>1950414</v>
          </cell>
          <cell r="B20" t="str">
            <v>BANDA PVC 228x50 (UND)</v>
          </cell>
          <cell r="C20" t="str">
            <v>1950414</v>
          </cell>
          <cell r="D20" t="str">
            <v>1 UND</v>
          </cell>
          <cell r="E20" t="str">
            <v>27/11/2019</v>
          </cell>
          <cell r="F20">
            <v>23.62</v>
          </cell>
        </row>
        <row r="21">
          <cell r="A21" t="str">
            <v>1950672</v>
          </cell>
          <cell r="B21" t="str">
            <v>CONT.48 ON TRAN.TAPA PLANA (CAJA:200UND)</v>
          </cell>
          <cell r="C21" t="str">
            <v>1950672</v>
          </cell>
          <cell r="D21" t="str">
            <v>1 CAJA</v>
          </cell>
          <cell r="E21" t="str">
            <v>22/02/2020</v>
          </cell>
          <cell r="F21">
            <v>47140</v>
          </cell>
          <cell r="G21" t="str">
            <v>UND</v>
          </cell>
          <cell r="H21">
            <v>235.7</v>
          </cell>
        </row>
        <row r="22">
          <cell r="A22" t="str">
            <v>1950682</v>
          </cell>
          <cell r="B22" t="str">
            <v>CONTEN LBH 692 PRALINE (CAJA:200 UND)</v>
          </cell>
          <cell r="C22" t="str">
            <v>1950682</v>
          </cell>
          <cell r="D22" t="str">
            <v xml:space="preserve">1 CAJA </v>
          </cell>
          <cell r="E22" t="str">
            <v>05/03/2020</v>
          </cell>
          <cell r="F22">
            <v>40795</v>
          </cell>
          <cell r="G22" t="str">
            <v>UND</v>
          </cell>
          <cell r="H22">
            <v>203.97499999999999</v>
          </cell>
        </row>
        <row r="23">
          <cell r="A23" t="str">
            <v>1950692</v>
          </cell>
          <cell r="B23" t="str">
            <v>ORLA CARTON 10" DORADA UND</v>
          </cell>
          <cell r="C23" t="str">
            <v>1950692</v>
          </cell>
          <cell r="D23" t="str">
            <v>1 UND</v>
          </cell>
          <cell r="E23" t="str">
            <v>02/03/2020</v>
          </cell>
          <cell r="F23">
            <v>111</v>
          </cell>
          <cell r="G23" t="str">
            <v>UND</v>
          </cell>
          <cell r="H23">
            <v>111</v>
          </cell>
        </row>
        <row r="24">
          <cell r="A24" t="str">
            <v>1950693</v>
          </cell>
          <cell r="B24" t="str">
            <v>ORLA #9  DORADA UND</v>
          </cell>
          <cell r="C24" t="str">
            <v>1950693</v>
          </cell>
          <cell r="D24" t="str">
            <v>1 UND</v>
          </cell>
          <cell r="E24" t="str">
            <v>21/02/2020</v>
          </cell>
          <cell r="F24">
            <v>105</v>
          </cell>
          <cell r="G24" t="str">
            <v>UND</v>
          </cell>
          <cell r="H24">
            <v>105</v>
          </cell>
        </row>
        <row r="25">
          <cell r="A25" t="str">
            <v>1950699</v>
          </cell>
          <cell r="B25" t="str">
            <v>BASE PARA ROSQUETE UND</v>
          </cell>
          <cell r="C25" t="str">
            <v>1950699</v>
          </cell>
          <cell r="D25" t="str">
            <v>1 UND</v>
          </cell>
          <cell r="E25" t="str">
            <v>05/03/2020</v>
          </cell>
          <cell r="F25">
            <v>125</v>
          </cell>
          <cell r="G25" t="str">
            <v>UND</v>
          </cell>
          <cell r="H25">
            <v>125</v>
          </cell>
        </row>
        <row r="26">
          <cell r="A26" t="str">
            <v>1950702</v>
          </cell>
          <cell r="B26" t="str">
            <v>BOLSA 12x18 TRANSP KILO</v>
          </cell>
          <cell r="C26" t="str">
            <v>1950702</v>
          </cell>
          <cell r="D26" t="str">
            <v xml:space="preserve">1 KILO </v>
          </cell>
          <cell r="E26" t="str">
            <v>02/03/2020</v>
          </cell>
          <cell r="F26">
            <v>1400</v>
          </cell>
          <cell r="G26" t="str">
            <v>UND</v>
          </cell>
          <cell r="H26">
            <v>11.2</v>
          </cell>
        </row>
        <row r="27">
          <cell r="A27" t="str">
            <v>1950703</v>
          </cell>
          <cell r="B27" t="str">
            <v>BOLSA IMP. SPOON CAMI 8*16 KILO</v>
          </cell>
          <cell r="C27" t="str">
            <v>1950703</v>
          </cell>
          <cell r="D27" t="str">
            <v>1 KILO</v>
          </cell>
          <cell r="E27" t="str">
            <v>14/02/2020</v>
          </cell>
          <cell r="F27">
            <v>1400</v>
          </cell>
        </row>
        <row r="28">
          <cell r="A28" t="str">
            <v>1950704</v>
          </cell>
          <cell r="B28" t="str">
            <v>BOLSA 5x8 TRANSPARENTE KILO</v>
          </cell>
          <cell r="C28" t="str">
            <v>1950704</v>
          </cell>
          <cell r="D28" t="str">
            <v xml:space="preserve">1 KILO </v>
          </cell>
          <cell r="E28" t="str">
            <v>04/03/2020</v>
          </cell>
          <cell r="F28">
            <v>1400</v>
          </cell>
          <cell r="G28" t="str">
            <v>UND</v>
          </cell>
          <cell r="H28">
            <v>2.8</v>
          </cell>
        </row>
        <row r="29">
          <cell r="A29" t="str">
            <v>1950705</v>
          </cell>
          <cell r="B29" t="str">
            <v>BOLSA 8x12 TRANSPARENTE KILO</v>
          </cell>
          <cell r="C29" t="str">
            <v>1950705</v>
          </cell>
          <cell r="D29" t="str">
            <v xml:space="preserve">1 KILO  </v>
          </cell>
          <cell r="E29" t="str">
            <v>02/03/2020</v>
          </cell>
          <cell r="F29">
            <v>1400</v>
          </cell>
          <cell r="G29" t="str">
            <v>UND</v>
          </cell>
          <cell r="H29">
            <v>7</v>
          </cell>
        </row>
        <row r="30">
          <cell r="A30" t="str">
            <v>1950708</v>
          </cell>
          <cell r="B30" t="str">
            <v>BOLSA 17x25 TRANSP KILO</v>
          </cell>
          <cell r="C30" t="str">
            <v>1950708</v>
          </cell>
          <cell r="D30" t="str">
            <v>1 KILO</v>
          </cell>
          <cell r="E30" t="str">
            <v>21/02/2020</v>
          </cell>
          <cell r="F30">
            <v>1400</v>
          </cell>
          <cell r="G30" t="str">
            <v>UND</v>
          </cell>
          <cell r="H30">
            <v>33.333333333333336</v>
          </cell>
        </row>
        <row r="31">
          <cell r="A31" t="str">
            <v>1950715</v>
          </cell>
          <cell r="B31" t="str">
            <v>CAPSULA # 2 BLANCA (UND)</v>
          </cell>
          <cell r="C31" t="str">
            <v>1950715</v>
          </cell>
          <cell r="D31" t="str">
            <v>1 UND</v>
          </cell>
          <cell r="E31" t="str">
            <v>30/11/2019</v>
          </cell>
          <cell r="F31">
            <v>2.7397999999999998</v>
          </cell>
        </row>
        <row r="32">
          <cell r="A32" t="str">
            <v>1950716</v>
          </cell>
          <cell r="B32" t="str">
            <v>BANDEJA  94121 24 OZ (CAJA:200 UND)</v>
          </cell>
          <cell r="C32" t="str">
            <v>1950716</v>
          </cell>
          <cell r="D32" t="str">
            <v>1 CAJA</v>
          </cell>
          <cell r="E32" t="str">
            <v>04/03/2020</v>
          </cell>
          <cell r="F32">
            <v>21981</v>
          </cell>
          <cell r="G32" t="str">
            <v>UND</v>
          </cell>
          <cell r="H32">
            <v>109.905</v>
          </cell>
        </row>
        <row r="33">
          <cell r="A33" t="str">
            <v>1950725</v>
          </cell>
          <cell r="B33" t="str">
            <v>CAJA TROQUELADA # 25 (UND)</v>
          </cell>
          <cell r="C33" t="str">
            <v>1950725</v>
          </cell>
          <cell r="D33" t="str">
            <v>1 UND</v>
          </cell>
          <cell r="E33" t="str">
            <v>26/12/2019</v>
          </cell>
          <cell r="F33">
            <v>3.1474000000000002</v>
          </cell>
        </row>
        <row r="34">
          <cell r="A34" t="str">
            <v>1950729</v>
          </cell>
          <cell r="B34" t="str">
            <v>CAJA BLANCA MEDIANA UND</v>
          </cell>
          <cell r="C34" t="str">
            <v>1950729</v>
          </cell>
          <cell r="D34" t="str">
            <v>1 UND</v>
          </cell>
          <cell r="E34" t="str">
            <v>03/03/2020</v>
          </cell>
          <cell r="F34">
            <v>40</v>
          </cell>
          <cell r="G34" t="str">
            <v>UND</v>
          </cell>
          <cell r="H34">
            <v>40</v>
          </cell>
        </row>
        <row r="35">
          <cell r="A35" t="str">
            <v>1950730</v>
          </cell>
          <cell r="B35" t="str">
            <v>CAJA BLANCA PEQUEÑA UND</v>
          </cell>
          <cell r="C35" t="str">
            <v>1950730</v>
          </cell>
          <cell r="D35" t="str">
            <v>1 UND</v>
          </cell>
          <cell r="E35" t="str">
            <v>03/03/2020</v>
          </cell>
          <cell r="F35">
            <v>24.5</v>
          </cell>
          <cell r="G35" t="str">
            <v>UND</v>
          </cell>
          <cell r="H35">
            <v>24.5</v>
          </cell>
        </row>
        <row r="36">
          <cell r="A36" t="str">
            <v>1950731</v>
          </cell>
          <cell r="B36" t="str">
            <v>CAPSULA # 3 LOGO UND</v>
          </cell>
          <cell r="C36" t="str">
            <v>1950731</v>
          </cell>
          <cell r="D36" t="str">
            <v>1 UND</v>
          </cell>
          <cell r="E36" t="str">
            <v>25/02/2020</v>
          </cell>
          <cell r="F36">
            <v>7.52</v>
          </cell>
          <cell r="G36" t="str">
            <v>UND</v>
          </cell>
          <cell r="H36">
            <v>7.52</v>
          </cell>
        </row>
        <row r="37">
          <cell r="A37" t="str">
            <v>1950732</v>
          </cell>
          <cell r="B37" t="str">
            <v>CAPSULA # 3 BLANCA (UND)</v>
          </cell>
          <cell r="C37" t="str">
            <v>1950732</v>
          </cell>
          <cell r="D37" t="str">
            <v>1 UND</v>
          </cell>
          <cell r="E37" t="str">
            <v>16/12/2019</v>
          </cell>
          <cell r="F37">
            <v>3.3578000000000001</v>
          </cell>
          <cell r="G37" t="str">
            <v>UND</v>
          </cell>
          <cell r="H37">
            <v>3.3578000000000001</v>
          </cell>
        </row>
        <row r="38">
          <cell r="A38" t="str">
            <v>1950733</v>
          </cell>
          <cell r="B38" t="str">
            <v>CAPSULA # 10 BLANCA (UND)</v>
          </cell>
          <cell r="C38" t="str">
            <v>1950733</v>
          </cell>
          <cell r="D38" t="str">
            <v>1 UND</v>
          </cell>
          <cell r="E38" t="str">
            <v>15/02/2020</v>
          </cell>
          <cell r="F38">
            <v>5.9534000000000002</v>
          </cell>
        </row>
        <row r="39">
          <cell r="A39" t="str">
            <v>1950735</v>
          </cell>
          <cell r="B39" t="str">
            <v>CAPSULA # 5 LOGO UND</v>
          </cell>
          <cell r="C39" t="str">
            <v>1950735</v>
          </cell>
          <cell r="D39" t="str">
            <v>1 UND</v>
          </cell>
          <cell r="E39" t="str">
            <v>02/03/2020</v>
          </cell>
          <cell r="F39">
            <v>9.35</v>
          </cell>
          <cell r="G39" t="str">
            <v>UND</v>
          </cell>
          <cell r="H39">
            <v>9.35</v>
          </cell>
        </row>
        <row r="40">
          <cell r="A40" t="str">
            <v>1950741</v>
          </cell>
          <cell r="B40" t="str">
            <v>VASO 3.25 OZ (PAQ*200 UND)</v>
          </cell>
          <cell r="C40" t="str">
            <v>1950741</v>
          </cell>
          <cell r="D40" t="str">
            <v>1 PAQUETE</v>
          </cell>
          <cell r="E40" t="str">
            <v>25/11/2019</v>
          </cell>
          <cell r="F40">
            <v>2053</v>
          </cell>
        </row>
        <row r="41">
          <cell r="A41" t="str">
            <v>1950752</v>
          </cell>
          <cell r="B41" t="str">
            <v>CAJA MINI BLANCA (100xPaq)</v>
          </cell>
          <cell r="C41" t="str">
            <v>1950752</v>
          </cell>
          <cell r="D41" t="str">
            <v>1 UND</v>
          </cell>
          <cell r="E41" t="str">
            <v>29/11/2019</v>
          </cell>
          <cell r="F41">
            <v>19.606999999999999</v>
          </cell>
          <cell r="G41" t="str">
            <v>UND</v>
          </cell>
          <cell r="H41">
            <v>19.606999999999999</v>
          </cell>
        </row>
        <row r="42">
          <cell r="A42" t="str">
            <v>1950752</v>
          </cell>
          <cell r="B42" t="str">
            <v>CAJA BLANCA MINI UND</v>
          </cell>
          <cell r="C42" t="str">
            <v>1959752</v>
          </cell>
          <cell r="D42" t="str">
            <v>1 UND</v>
          </cell>
          <cell r="E42" t="str">
            <v>21/02/2020</v>
          </cell>
          <cell r="F42">
            <v>21</v>
          </cell>
        </row>
        <row r="43">
          <cell r="A43" t="str">
            <v>1950756</v>
          </cell>
          <cell r="B43" t="str">
            <v>BANDEJA ALUM DESE #4040 6 POR (UND)</v>
          </cell>
          <cell r="C43" t="str">
            <v>1950756</v>
          </cell>
          <cell r="D43" t="str">
            <v>1 UND</v>
          </cell>
          <cell r="E43" t="str">
            <v>05/03/2020</v>
          </cell>
          <cell r="F43">
            <v>199.696</v>
          </cell>
          <cell r="G43" t="str">
            <v>UND</v>
          </cell>
          <cell r="H43">
            <v>199.696</v>
          </cell>
        </row>
        <row r="44">
          <cell r="A44" t="str">
            <v>1950765</v>
          </cell>
          <cell r="B44" t="str">
            <v>PLASTICO  AUTOAD (UND: 18 * 2000 M)</v>
          </cell>
          <cell r="C44" t="str">
            <v>1950765</v>
          </cell>
          <cell r="D44" t="str">
            <v>1 UND</v>
          </cell>
          <cell r="E44" t="str">
            <v>03/03/2020</v>
          </cell>
          <cell r="F44">
            <v>9813</v>
          </cell>
          <cell r="G44" t="str">
            <v>Cm</v>
          </cell>
          <cell r="H44">
            <v>0.49064999999999998</v>
          </cell>
        </row>
        <row r="45">
          <cell r="A45" t="str">
            <v>1950767</v>
          </cell>
          <cell r="B45" t="str">
            <v>PAPEL ALUMINIO 12 * 1000 (CAJA)</v>
          </cell>
          <cell r="C45" t="str">
            <v>1950767</v>
          </cell>
          <cell r="D45" t="str">
            <v>1 CAJA</v>
          </cell>
          <cell r="E45" t="str">
            <v>16/01/2020</v>
          </cell>
          <cell r="F45">
            <v>14758</v>
          </cell>
        </row>
        <row r="46">
          <cell r="A46" t="str">
            <v>1950771</v>
          </cell>
          <cell r="B46" t="str">
            <v>PAPEL ENCERADO 10X10 (CAJA)</v>
          </cell>
          <cell r="C46" t="str">
            <v>1950771</v>
          </cell>
          <cell r="D46" t="str">
            <v>1 CAJA</v>
          </cell>
          <cell r="E46" t="str">
            <v>27/02/2020</v>
          </cell>
          <cell r="F46">
            <v>2774</v>
          </cell>
          <cell r="G46" t="str">
            <v>Und</v>
          </cell>
          <cell r="H46">
            <v>5.0436363636363639</v>
          </cell>
        </row>
        <row r="47">
          <cell r="A47" t="str">
            <v>1950772</v>
          </cell>
          <cell r="B47" t="str">
            <v>PAPEL ENCERADO 12 X 10 (CAJA:500 UND)</v>
          </cell>
          <cell r="C47" t="str">
            <v>1950772</v>
          </cell>
          <cell r="D47" t="str">
            <v>1 CAJA</v>
          </cell>
          <cell r="E47" t="str">
            <v>22/02/2020</v>
          </cell>
          <cell r="F47">
            <v>3497</v>
          </cell>
          <cell r="G47" t="str">
            <v>UND</v>
          </cell>
          <cell r="H47">
            <v>6.9939999999999998</v>
          </cell>
        </row>
        <row r="48">
          <cell r="A48" t="str">
            <v>1950786</v>
          </cell>
          <cell r="B48" t="str">
            <v>BOLSA IMP. SPOON CAMI 12*25 KILO</v>
          </cell>
          <cell r="C48" t="str">
            <v>1950786</v>
          </cell>
          <cell r="D48" t="str">
            <v>1 KILO</v>
          </cell>
          <cell r="E48" t="str">
            <v>02/03/2020</v>
          </cell>
          <cell r="F48">
            <v>1850</v>
          </cell>
        </row>
        <row r="49">
          <cell r="A49" t="str">
            <v>1950797</v>
          </cell>
          <cell r="B49" t="str">
            <v>VASO PLAST. TRASL 16OZ (PAQ:50 UND)</v>
          </cell>
          <cell r="C49" t="str">
            <v>1950797</v>
          </cell>
          <cell r="D49" t="str">
            <v>1 PAQUETE</v>
          </cell>
          <cell r="E49" t="str">
            <v>22/02/2020</v>
          </cell>
          <cell r="F49">
            <v>4024</v>
          </cell>
        </row>
        <row r="50">
          <cell r="A50" t="str">
            <v>1950808</v>
          </cell>
          <cell r="B50" t="str">
            <v>ORLA CARTON  8" DORADA (UND )</v>
          </cell>
          <cell r="C50" t="str">
            <v>1950808</v>
          </cell>
          <cell r="D50" t="str">
            <v>1 UND</v>
          </cell>
          <cell r="E50" t="str">
            <v>02/03/2020</v>
          </cell>
          <cell r="F50">
            <v>77</v>
          </cell>
          <cell r="G50" t="str">
            <v>UND</v>
          </cell>
          <cell r="H50">
            <v>77</v>
          </cell>
        </row>
        <row r="51">
          <cell r="A51" t="str">
            <v>1950811</v>
          </cell>
          <cell r="B51" t="str">
            <v>BASE CARTON 15 PORCIONES UND</v>
          </cell>
          <cell r="C51" t="str">
            <v>1950811</v>
          </cell>
          <cell r="D51" t="str">
            <v>1 UND</v>
          </cell>
          <cell r="E51" t="str">
            <v>02/03/2020</v>
          </cell>
          <cell r="F51">
            <v>165</v>
          </cell>
        </row>
        <row r="52">
          <cell r="A52" t="str">
            <v>1950818</v>
          </cell>
          <cell r="B52" t="str">
            <v>QUEQUERA RECT. T41 (CAJA:50 UND)</v>
          </cell>
          <cell r="C52" t="str">
            <v>1950818</v>
          </cell>
          <cell r="D52" t="str">
            <v>1 CAJA</v>
          </cell>
          <cell r="E52" t="str">
            <v>03/03/2020</v>
          </cell>
          <cell r="F52">
            <v>39213</v>
          </cell>
        </row>
        <row r="53">
          <cell r="A53" t="str">
            <v>1950829</v>
          </cell>
          <cell r="B53" t="str">
            <v>BASE CARTON 30 PORCIONES UND</v>
          </cell>
          <cell r="C53" t="str">
            <v>1950829</v>
          </cell>
          <cell r="D53" t="str">
            <v>1 UND</v>
          </cell>
          <cell r="E53" t="str">
            <v>02/03/2020</v>
          </cell>
          <cell r="F53">
            <v>212</v>
          </cell>
        </row>
        <row r="54">
          <cell r="A54" t="str">
            <v>1950837</v>
          </cell>
          <cell r="B54" t="str">
            <v>FONDO P/CAJA BLANCA ( UND)</v>
          </cell>
          <cell r="C54" t="str">
            <v>1950837</v>
          </cell>
          <cell r="D54" t="str">
            <v>1 UND</v>
          </cell>
          <cell r="E54" t="str">
            <v>21/02/2020</v>
          </cell>
          <cell r="F54">
            <v>53</v>
          </cell>
          <cell r="G54" t="str">
            <v>UND</v>
          </cell>
          <cell r="H54">
            <v>53</v>
          </cell>
        </row>
        <row r="55">
          <cell r="A55" t="str">
            <v>1950853</v>
          </cell>
          <cell r="B55" t="str">
            <v>VASO 9oz SUNDA TS9 PAQ:50(CAJA:1000 UND)</v>
          </cell>
          <cell r="C55" t="str">
            <v>1950853</v>
          </cell>
          <cell r="D55" t="str">
            <v>1 CAJA</v>
          </cell>
          <cell r="E55" t="str">
            <v>26/02/2020</v>
          </cell>
          <cell r="F55">
            <v>41500</v>
          </cell>
        </row>
        <row r="56">
          <cell r="A56" t="str">
            <v>1950854</v>
          </cell>
          <cell r="B56" t="str">
            <v>TAPA VASO 9oz P/SUN PAQ:50 (CAJA:2000UN)</v>
          </cell>
          <cell r="C56" t="str">
            <v>1950854</v>
          </cell>
          <cell r="D56" t="str">
            <v>1 CAJA</v>
          </cell>
          <cell r="E56" t="str">
            <v>26/02/2020</v>
          </cell>
          <cell r="F56">
            <v>39500</v>
          </cell>
        </row>
        <row r="57">
          <cell r="A57" t="str">
            <v>1950865</v>
          </cell>
          <cell r="B57" t="str">
            <v>QUEQUERA 8 ALTA (CAJA:70 UND)</v>
          </cell>
          <cell r="C57" t="str">
            <v>1950865</v>
          </cell>
          <cell r="D57" t="str">
            <v>1 CAJA</v>
          </cell>
          <cell r="E57" t="str">
            <v>05/03/2020</v>
          </cell>
          <cell r="F57">
            <v>16752.04</v>
          </cell>
          <cell r="G57" t="str">
            <v>UND</v>
          </cell>
          <cell r="H57">
            <v>239.31485714285716</v>
          </cell>
        </row>
        <row r="58">
          <cell r="A58" t="str">
            <v>1950873</v>
          </cell>
          <cell r="B58" t="str">
            <v>BOLSA CELOFAN 30X45 (KILO)</v>
          </cell>
          <cell r="C58" t="str">
            <v>1950873</v>
          </cell>
          <cell r="D58" t="str">
            <v>1 KILO</v>
          </cell>
          <cell r="E58" t="str">
            <v>15/01/2020</v>
          </cell>
          <cell r="F58">
            <v>4254.79</v>
          </cell>
        </row>
        <row r="59">
          <cell r="A59" t="str">
            <v>1950879</v>
          </cell>
          <cell r="B59" t="str">
            <v>BANDEJA PLAST 3 DIV (CAJA:250 UND)</v>
          </cell>
          <cell r="C59" t="str">
            <v>1950879</v>
          </cell>
          <cell r="D59" t="str">
            <v>1 UND</v>
          </cell>
          <cell r="E59" t="str">
            <v>15/02/2020</v>
          </cell>
          <cell r="F59">
            <v>114.648</v>
          </cell>
        </row>
        <row r="60">
          <cell r="A60" t="str">
            <v>1950880</v>
          </cell>
          <cell r="B60" t="str">
            <v>TAPA BANDEJA PLAST 3 DIV (CAJA:250 UND)</v>
          </cell>
          <cell r="C60" t="str">
            <v>1950880</v>
          </cell>
          <cell r="D60" t="str">
            <v>1 UND</v>
          </cell>
          <cell r="E60" t="str">
            <v>15/02/2020</v>
          </cell>
          <cell r="F60">
            <v>87.215999999999994</v>
          </cell>
        </row>
        <row r="61">
          <cell r="A61" t="str">
            <v>1950886</v>
          </cell>
          <cell r="B61" t="str">
            <v>PLATO 10 COMPOSTABLE CAJA:500 (UND)</v>
          </cell>
          <cell r="C61" t="str">
            <v>1950886</v>
          </cell>
          <cell r="D61" t="str">
            <v>1 UND</v>
          </cell>
          <cell r="E61" t="str">
            <v>12/11/2019</v>
          </cell>
          <cell r="F61">
            <v>82.49</v>
          </cell>
        </row>
        <row r="62">
          <cell r="A62" t="str">
            <v>1950887</v>
          </cell>
          <cell r="B62" t="str">
            <v>PLATO 9 COMPOSTABLE CAJA:500 (UND)</v>
          </cell>
          <cell r="C62" t="str">
            <v>1950887</v>
          </cell>
          <cell r="D62" t="str">
            <v>1 UND</v>
          </cell>
          <cell r="E62" t="str">
            <v>25/02/2020</v>
          </cell>
          <cell r="F62">
            <v>61</v>
          </cell>
        </row>
        <row r="63">
          <cell r="A63" t="str">
            <v>1950888</v>
          </cell>
          <cell r="B63" t="str">
            <v>PLATO  6 COMPOSTABLE (CAJA:1000 UND)</v>
          </cell>
          <cell r="C63" t="str">
            <v>1950888</v>
          </cell>
          <cell r="D63" t="str">
            <v>1 UND</v>
          </cell>
          <cell r="E63" t="str">
            <v>25/02/2020</v>
          </cell>
          <cell r="F63">
            <v>29.945</v>
          </cell>
        </row>
        <row r="64">
          <cell r="A64" t="str">
            <v>1950895</v>
          </cell>
          <cell r="B64" t="str">
            <v>BOLSA CELOFAN 6 X 9 (KILO)</v>
          </cell>
          <cell r="C64" t="str">
            <v>1950895</v>
          </cell>
          <cell r="D64" t="str">
            <v>1 KILO</v>
          </cell>
          <cell r="E64" t="str">
            <v>27/02/2020</v>
          </cell>
          <cell r="F64">
            <v>4227.38</v>
          </cell>
        </row>
        <row r="65">
          <cell r="A65" t="str">
            <v>1950896</v>
          </cell>
          <cell r="B65" t="str">
            <v>BANDEJA 17-1 NEGRA (PAQ:500 UND)</v>
          </cell>
          <cell r="C65" t="str">
            <v>1950896</v>
          </cell>
          <cell r="D65" t="str">
            <v>1 PAQUETE</v>
          </cell>
          <cell r="E65" t="str">
            <v>27/01/2020</v>
          </cell>
          <cell r="F65">
            <v>15040</v>
          </cell>
        </row>
        <row r="66">
          <cell r="A66" t="str">
            <v>1950904</v>
          </cell>
          <cell r="B66" t="str">
            <v>BOLSA TRANSPARENTE  6 X 10 KILO</v>
          </cell>
          <cell r="C66" t="str">
            <v>1950904</v>
          </cell>
          <cell r="D66" t="str">
            <v>1 KILO</v>
          </cell>
          <cell r="E66" t="str">
            <v>02/03/2020</v>
          </cell>
          <cell r="F66">
            <v>1400</v>
          </cell>
          <cell r="G66" t="str">
            <v>UND</v>
          </cell>
          <cell r="H66">
            <v>4.1916167664670656</v>
          </cell>
        </row>
        <row r="67">
          <cell r="A67" t="str">
            <v>1950909</v>
          </cell>
          <cell r="B67" t="str">
            <v>CONT.24 ONZ.TAPA PLANA (PAQ:100 UND)</v>
          </cell>
          <cell r="C67" t="str">
            <v>1950909</v>
          </cell>
          <cell r="D67" t="str">
            <v>1 CAJA</v>
          </cell>
          <cell r="E67" t="str">
            <v>31/01/2020</v>
          </cell>
          <cell r="F67">
            <v>40470</v>
          </cell>
          <cell r="G67" t="str">
            <v>UND</v>
          </cell>
          <cell r="H67">
            <v>202.35</v>
          </cell>
        </row>
        <row r="68">
          <cell r="A68" t="str">
            <v>1950914</v>
          </cell>
          <cell r="B68" t="str">
            <v>PORTA VASO 4 CAVIDADES (UND)</v>
          </cell>
          <cell r="C68" t="str">
            <v>1950914</v>
          </cell>
          <cell r="D68" t="str">
            <v>1 UND</v>
          </cell>
          <cell r="E68" t="str">
            <v>03/03/2020</v>
          </cell>
          <cell r="F68">
            <v>61.946666666666701</v>
          </cell>
        </row>
        <row r="69">
          <cell r="A69" t="str">
            <v>1950921</v>
          </cell>
          <cell r="B69" t="str">
            <v>TAPA SUFLE PLAS 5/.75/1 OZ (PAQ:100 UND)</v>
          </cell>
          <cell r="C69" t="str">
            <v>1950921</v>
          </cell>
          <cell r="D69" t="str">
            <v>1 PAQUETE</v>
          </cell>
          <cell r="E69" t="str">
            <v>04/03/2020</v>
          </cell>
          <cell r="F69">
            <v>537.08000000000004</v>
          </cell>
          <cell r="G69" t="str">
            <v>UND</v>
          </cell>
          <cell r="H69">
            <v>5.3708</v>
          </cell>
        </row>
        <row r="70">
          <cell r="A70" t="str">
            <v>1950928</v>
          </cell>
          <cell r="B70" t="str">
            <v>BOLSA TRANSPARENTE 56X96X1.80 KILO</v>
          </cell>
          <cell r="C70" t="str">
            <v>1950928</v>
          </cell>
          <cell r="D70" t="str">
            <v>1 KILO</v>
          </cell>
          <cell r="E70" t="str">
            <v>21/02/2020</v>
          </cell>
          <cell r="F70">
            <v>1400</v>
          </cell>
          <cell r="G70" t="str">
            <v>UND</v>
          </cell>
          <cell r="H70">
            <v>50</v>
          </cell>
        </row>
        <row r="71">
          <cell r="A71" t="str">
            <v>1950942</v>
          </cell>
          <cell r="B71" t="str">
            <v>ORLA #4 AZUL REDONDA (UND)</v>
          </cell>
          <cell r="C71" t="str">
            <v>1950942</v>
          </cell>
          <cell r="D71" t="str">
            <v>1 UND</v>
          </cell>
          <cell r="E71" t="str">
            <v>02/03/2020</v>
          </cell>
          <cell r="F71">
            <v>33</v>
          </cell>
          <cell r="G71" t="str">
            <v>UND</v>
          </cell>
          <cell r="H71">
            <v>33</v>
          </cell>
        </row>
        <row r="72">
          <cell r="A72" t="str">
            <v>1950958</v>
          </cell>
          <cell r="B72" t="str">
            <v>ORLA #2 P/LATA NAVIDEÑA (UND)</v>
          </cell>
          <cell r="C72" t="str">
            <v>1950958</v>
          </cell>
          <cell r="D72" t="str">
            <v>1 UND</v>
          </cell>
          <cell r="E72" t="str">
            <v>09/01/2020</v>
          </cell>
          <cell r="F72">
            <v>115</v>
          </cell>
        </row>
        <row r="73">
          <cell r="A73" t="str">
            <v>1950959</v>
          </cell>
          <cell r="B73" t="str">
            <v>TAPA PLASTI SUFLE 3.25 onz (PAQ:120 UND)</v>
          </cell>
          <cell r="C73" t="str">
            <v>1950959</v>
          </cell>
          <cell r="D73" t="str">
            <v>1 PAQUETE</v>
          </cell>
          <cell r="E73" t="str">
            <v>13/02/2020</v>
          </cell>
          <cell r="F73">
            <v>1126.8</v>
          </cell>
        </row>
        <row r="74">
          <cell r="A74" t="str">
            <v>1952393</v>
          </cell>
          <cell r="B74" t="str">
            <v>BOLSA AL VACIO 8*10 ( 100 * PAQ )</v>
          </cell>
          <cell r="C74" t="str">
            <v>1952393</v>
          </cell>
          <cell r="D74" t="str">
            <v>1 UND</v>
          </cell>
          <cell r="E74" t="str">
            <v>08/11/2019</v>
          </cell>
          <cell r="F74">
            <v>30</v>
          </cell>
        </row>
        <row r="75">
          <cell r="A75" t="str">
            <v>1952400</v>
          </cell>
          <cell r="B75" t="str">
            <v>BOLSA BUCCA PALMERITAS (10*20CM)( KILO )</v>
          </cell>
          <cell r="C75" t="str">
            <v>1952400</v>
          </cell>
          <cell r="D75" t="str">
            <v>1 KILO</v>
          </cell>
          <cell r="E75" t="str">
            <v>01/02/2020</v>
          </cell>
          <cell r="F75">
            <v>3916.8</v>
          </cell>
        </row>
        <row r="76">
          <cell r="A76" t="str">
            <v>1952409</v>
          </cell>
          <cell r="B76" t="str">
            <v>BANDEJA ALUMINIO A-42 (4POR)(CAJA:500 U)</v>
          </cell>
          <cell r="C76" t="str">
            <v>1952409</v>
          </cell>
          <cell r="D76" t="str">
            <v>1 UND</v>
          </cell>
          <cell r="E76" t="str">
            <v>03/02/2020</v>
          </cell>
          <cell r="F76">
            <v>83</v>
          </cell>
          <cell r="G76" t="str">
            <v>UND</v>
          </cell>
          <cell r="H76">
            <v>83</v>
          </cell>
        </row>
        <row r="77">
          <cell r="A77" t="str">
            <v>1952410</v>
          </cell>
          <cell r="B77" t="str">
            <v>TAPA CONTE.ALUMI A-42 (4 POR) (CAJA:500)</v>
          </cell>
          <cell r="C77" t="str">
            <v>1952410</v>
          </cell>
          <cell r="D77" t="str">
            <v>1 UND</v>
          </cell>
          <cell r="E77" t="str">
            <v>03/02/2020</v>
          </cell>
          <cell r="F77">
            <v>59.6</v>
          </cell>
          <cell r="G77" t="str">
            <v>UND</v>
          </cell>
          <cell r="H77">
            <v>59.6</v>
          </cell>
        </row>
        <row r="78">
          <cell r="A78" t="str">
            <v>1952432</v>
          </cell>
          <cell r="B78" t="str">
            <v>TAPA BAND ALUM. DESE 4040 (UND)</v>
          </cell>
          <cell r="C78" t="str">
            <v>1952432</v>
          </cell>
          <cell r="D78" t="str">
            <v>1 UND</v>
          </cell>
          <cell r="E78" t="str">
            <v>05/03/2020</v>
          </cell>
          <cell r="F78">
            <v>81.391999999999996</v>
          </cell>
          <cell r="G78" t="str">
            <v>UND</v>
          </cell>
          <cell r="H78">
            <v>81.391999999999996</v>
          </cell>
        </row>
        <row r="79">
          <cell r="A79" t="str">
            <v>1952434</v>
          </cell>
          <cell r="B79" t="str">
            <v>CAJA SPOON #1 (20 UND) (INDUSTRIA)</v>
          </cell>
          <cell r="C79" t="str">
            <v>1952434</v>
          </cell>
          <cell r="D79" t="str">
            <v>1 UND</v>
          </cell>
          <cell r="E79" t="str">
            <v>05/03/2020</v>
          </cell>
          <cell r="F79">
            <v>460</v>
          </cell>
        </row>
        <row r="80">
          <cell r="A80" t="str">
            <v>1952445</v>
          </cell>
          <cell r="B80" t="str">
            <v>CAJA SIX PACK MUSMANNI (UND)</v>
          </cell>
          <cell r="C80" t="str">
            <v>1952445</v>
          </cell>
          <cell r="D80" t="str">
            <v>1 UND</v>
          </cell>
          <cell r="E80" t="str">
            <v>02/03/2020</v>
          </cell>
          <cell r="F80">
            <v>185</v>
          </cell>
          <cell r="G80" t="str">
            <v>UND</v>
          </cell>
          <cell r="H80">
            <v>185</v>
          </cell>
        </row>
        <row r="81">
          <cell r="A81" t="str">
            <v>1952826</v>
          </cell>
          <cell r="B81" t="str">
            <v>TAPA DOMO P/VASO TRASL 16onz ( PAQ*100)</v>
          </cell>
          <cell r="C81" t="str">
            <v>1952826</v>
          </cell>
          <cell r="D81" t="str">
            <v>1 PAQUETE</v>
          </cell>
          <cell r="E81" t="str">
            <v>22/02/2020</v>
          </cell>
          <cell r="F81">
            <v>4361</v>
          </cell>
        </row>
        <row r="82">
          <cell r="A82" t="str">
            <v>1952831</v>
          </cell>
          <cell r="B82" t="str">
            <v>TAPA NESCAFE 12/14/16  ONZ (PAQ:100 UND)</v>
          </cell>
          <cell r="C82" t="str">
            <v>1952831</v>
          </cell>
          <cell r="D82" t="str">
            <v>1 PAQUETE</v>
          </cell>
          <cell r="E82" t="str">
            <v>27/12/2019</v>
          </cell>
          <cell r="F82">
            <v>2490</v>
          </cell>
        </row>
        <row r="83">
          <cell r="A83" t="str">
            <v>1952851</v>
          </cell>
          <cell r="B83" t="str">
            <v>CONTENEDOR CUADRADO 9X9X5 (CAJA:600 UND)</v>
          </cell>
          <cell r="C83" t="str">
            <v>1952851</v>
          </cell>
          <cell r="D83" t="str">
            <v>1 CAJA</v>
          </cell>
          <cell r="E83" t="str">
            <v>09/12/2019</v>
          </cell>
          <cell r="F83">
            <v>30816</v>
          </cell>
        </row>
        <row r="84">
          <cell r="A84" t="str">
            <v>1952856</v>
          </cell>
          <cell r="B84" t="str">
            <v>BOLSA TRANSPARENTE 76X24X210 (KILO)</v>
          </cell>
          <cell r="C84" t="str">
            <v>1952856</v>
          </cell>
          <cell r="D84" t="str">
            <v>1 KILO</v>
          </cell>
          <cell r="E84" t="str">
            <v>21/02/2020</v>
          </cell>
          <cell r="F84">
            <v>3930.4</v>
          </cell>
        </row>
        <row r="85">
          <cell r="A85" t="str">
            <v>1952874</v>
          </cell>
          <cell r="B85" t="str">
            <v>ORLA #8 BUCCA UND</v>
          </cell>
          <cell r="C85" t="str">
            <v>1952874</v>
          </cell>
          <cell r="D85" t="str">
            <v>1 UND</v>
          </cell>
          <cell r="E85" t="str">
            <v>02/03/2020</v>
          </cell>
          <cell r="F85">
            <v>77</v>
          </cell>
        </row>
        <row r="86">
          <cell r="A86" t="str">
            <v>1952875</v>
          </cell>
          <cell r="B86" t="str">
            <v>ORLA # 10 BUCCA UND</v>
          </cell>
          <cell r="C86" t="str">
            <v>1952875</v>
          </cell>
          <cell r="D86" t="str">
            <v>1 UND</v>
          </cell>
          <cell r="E86" t="str">
            <v>02/03/2020</v>
          </cell>
          <cell r="F86">
            <v>111</v>
          </cell>
          <cell r="G86" t="str">
            <v>UND</v>
          </cell>
          <cell r="H86">
            <v>111</v>
          </cell>
        </row>
        <row r="87">
          <cell r="A87" t="str">
            <v>1952910</v>
          </cell>
          <cell r="B87" t="str">
            <v>CAJA CARTON GRANDE</v>
          </cell>
          <cell r="C87" t="str">
            <v>1952910</v>
          </cell>
          <cell r="D87" t="str">
            <v>1 UND</v>
          </cell>
          <cell r="E87" t="str">
            <v>05/03/2020</v>
          </cell>
          <cell r="F87">
            <v>550</v>
          </cell>
        </row>
        <row r="88">
          <cell r="A88" t="str">
            <v>1952912</v>
          </cell>
          <cell r="B88" t="str">
            <v>CONTENEDOR TRIANGU ALTO (CAJA:200 UND)</v>
          </cell>
          <cell r="C88" t="str">
            <v>1952912</v>
          </cell>
          <cell r="D88" t="str">
            <v>1 CAJA</v>
          </cell>
          <cell r="E88" t="str">
            <v>22/02/2020</v>
          </cell>
          <cell r="F88">
            <v>14270</v>
          </cell>
        </row>
        <row r="89">
          <cell r="A89" t="str">
            <v>1952915</v>
          </cell>
          <cell r="B89" t="str">
            <v>BANDEJA CONCHA TRANSPAR 4X4 (CJ=500 UND)</v>
          </cell>
          <cell r="C89" t="str">
            <v>1952915</v>
          </cell>
          <cell r="D89" t="str">
            <v>1 UND</v>
          </cell>
          <cell r="E89" t="str">
            <v>04/03/2020</v>
          </cell>
          <cell r="F89">
            <v>51</v>
          </cell>
          <cell r="G89" t="str">
            <v>UND</v>
          </cell>
          <cell r="H89">
            <v>51</v>
          </cell>
        </row>
        <row r="90">
          <cell r="A90" t="str">
            <v>1952919</v>
          </cell>
          <cell r="B90" t="str">
            <v>CAJA PRALINE 2 (UND)</v>
          </cell>
          <cell r="C90" t="str">
            <v>1952919</v>
          </cell>
          <cell r="D90" t="str">
            <v>1 UND</v>
          </cell>
          <cell r="E90" t="str">
            <v>03/03/2020</v>
          </cell>
          <cell r="F90">
            <v>325</v>
          </cell>
          <cell r="G90" t="str">
            <v>UND</v>
          </cell>
          <cell r="H90">
            <v>325</v>
          </cell>
        </row>
        <row r="91">
          <cell r="A91" t="str">
            <v>5062011</v>
          </cell>
          <cell r="B91" t="str">
            <v>BURBUJA # 5 (CAJA:3/125UND)</v>
          </cell>
          <cell r="C91" t="str">
            <v>5062011</v>
          </cell>
          <cell r="D91" t="str">
            <v>1 CAJA</v>
          </cell>
          <cell r="E91" t="str">
            <v>05/03/2020</v>
          </cell>
          <cell r="F91">
            <v>18190</v>
          </cell>
          <cell r="G91" t="str">
            <v>UND</v>
          </cell>
          <cell r="H91">
            <v>66.145454545454541</v>
          </cell>
        </row>
        <row r="92">
          <cell r="A92" t="str">
            <v>11000006</v>
          </cell>
          <cell r="B92" t="str">
            <v>ORLA 6.5'' (UND)</v>
          </cell>
          <cell r="C92" t="str">
            <v>11000006</v>
          </cell>
          <cell r="D92" t="str">
            <v>1 UND</v>
          </cell>
          <cell r="E92" t="str">
            <v>17/01/2020</v>
          </cell>
          <cell r="F92">
            <v>69</v>
          </cell>
        </row>
        <row r="93">
          <cell r="A93" t="str">
            <v>12050040</v>
          </cell>
          <cell r="B93" t="str">
            <v>MUG SPOON UND</v>
          </cell>
          <cell r="C93" t="str">
            <v>12050040</v>
          </cell>
          <cell r="D93" t="str">
            <v>1 Uds.</v>
          </cell>
          <cell r="E93" t="str">
            <v>07/02/2020</v>
          </cell>
          <cell r="F93">
            <v>8.9700000000000006</v>
          </cell>
        </row>
        <row r="94">
          <cell r="A94" t="str">
            <v>50100028</v>
          </cell>
          <cell r="B94" t="str">
            <v>BANDEJA ALUM 34*25 108 ONZ 394 (CJ:100)</v>
          </cell>
          <cell r="C94" t="str">
            <v>50100028</v>
          </cell>
          <cell r="D94" t="str">
            <v>1 UND</v>
          </cell>
          <cell r="E94" t="str">
            <v>13/02/2020</v>
          </cell>
          <cell r="F94">
            <v>348.46</v>
          </cell>
          <cell r="G94" t="str">
            <v>UND</v>
          </cell>
          <cell r="H94">
            <v>348.46</v>
          </cell>
        </row>
        <row r="95">
          <cell r="A95" t="str">
            <v>50100031</v>
          </cell>
          <cell r="B95" t="str">
            <v>RECIPIENTE DELI DARNEL 24OZ (CAJA:225 U)</v>
          </cell>
          <cell r="D95" t="str">
            <v>CAJA</v>
          </cell>
          <cell r="F95">
            <v>26170</v>
          </cell>
          <cell r="G95" t="str">
            <v>UND</v>
          </cell>
          <cell r="H95">
            <v>116.31111111111112</v>
          </cell>
        </row>
        <row r="96">
          <cell r="A96" t="str">
            <v>50100035</v>
          </cell>
          <cell r="B96" t="str">
            <v>TAPA CONT ALUMINIO 16 ONZ (CAJA:500 UND)</v>
          </cell>
          <cell r="C96" t="str">
            <v>50100035</v>
          </cell>
          <cell r="D96" t="str">
            <v>1 CAJA</v>
          </cell>
          <cell r="E96" t="str">
            <v>22/01/2020</v>
          </cell>
          <cell r="F96">
            <v>17230</v>
          </cell>
        </row>
        <row r="97">
          <cell r="A97" t="str">
            <v>50100036</v>
          </cell>
          <cell r="B97" t="str">
            <v>MOLDE ALUMINIO 16 ONZ (CAJA:500 UND)</v>
          </cell>
          <cell r="C97" t="str">
            <v>50100036</v>
          </cell>
          <cell r="D97" t="str">
            <v>1 CAJA</v>
          </cell>
          <cell r="E97" t="str">
            <v>22/01/2020</v>
          </cell>
          <cell r="F97">
            <v>27100</v>
          </cell>
          <cell r="G97" t="str">
            <v>UND</v>
          </cell>
          <cell r="H97">
            <v>54.2</v>
          </cell>
        </row>
        <row r="98">
          <cell r="A98" t="str">
            <v>50400003</v>
          </cell>
          <cell r="B98" t="str">
            <v>CAJA MUSMANNI #2 (UND)</v>
          </cell>
          <cell r="C98" t="str">
            <v>50400003</v>
          </cell>
          <cell r="D98" t="str">
            <v>1 UND</v>
          </cell>
          <cell r="E98" t="str">
            <v>13/02/2020</v>
          </cell>
          <cell r="F98">
            <v>195</v>
          </cell>
          <cell r="G98" t="str">
            <v>UND</v>
          </cell>
          <cell r="H98">
            <v>195</v>
          </cell>
        </row>
        <row r="99">
          <cell r="A99" t="str">
            <v>50400014</v>
          </cell>
          <cell r="B99" t="str">
            <v>CAJA PEQUEÑA OFFICE BREAK (CAJA:625 UND)</v>
          </cell>
          <cell r="C99" t="str">
            <v>50400014</v>
          </cell>
          <cell r="D99" t="str">
            <v>1 CAJA</v>
          </cell>
          <cell r="E99" t="str">
            <v>02/03/2020</v>
          </cell>
          <cell r="F99">
            <v>40312.5</v>
          </cell>
        </row>
        <row r="100">
          <cell r="A100" t="str">
            <v>50400015</v>
          </cell>
          <cell r="B100" t="str">
            <v>CAJA MEDIANA OFFICE BREAK (CAJA:400 UND)</v>
          </cell>
          <cell r="C100" t="str">
            <v>50400015</v>
          </cell>
          <cell r="D100" t="str">
            <v>1 CAJA</v>
          </cell>
          <cell r="E100" t="str">
            <v>21/02/2020</v>
          </cell>
          <cell r="F100">
            <v>31600</v>
          </cell>
        </row>
        <row r="101">
          <cell r="A101" t="str">
            <v>50400016</v>
          </cell>
          <cell r="B101" t="str">
            <v>CAJA GRANDE OFFICE BREAK (CAJA:280 UND)</v>
          </cell>
          <cell r="C101" t="str">
            <v>50400016</v>
          </cell>
          <cell r="D101" t="str">
            <v>1 CAJA</v>
          </cell>
          <cell r="E101" t="str">
            <v>02/03/2020</v>
          </cell>
          <cell r="F101">
            <v>32760</v>
          </cell>
        </row>
        <row r="102">
          <cell r="A102" t="str">
            <v>50400017</v>
          </cell>
          <cell r="B102" t="str">
            <v>CAJA PORCION OFFICE BREAK (CAJA:950 UND)</v>
          </cell>
          <cell r="C102" t="str">
            <v>50400017</v>
          </cell>
          <cell r="D102" t="str">
            <v>1 CAJA</v>
          </cell>
          <cell r="E102" t="str">
            <v>24/01/2020</v>
          </cell>
          <cell r="F102">
            <v>51870</v>
          </cell>
        </row>
        <row r="103">
          <cell r="A103" t="str">
            <v>50500001</v>
          </cell>
          <cell r="B103" t="str">
            <v>CANDELA  FIGURA SURTIDAS MINION (UND)</v>
          </cell>
          <cell r="C103" t="str">
            <v>50500001</v>
          </cell>
          <cell r="D103" t="str">
            <v>1 UND</v>
          </cell>
          <cell r="E103" t="str">
            <v>29/11/2019</v>
          </cell>
          <cell r="F103">
            <v>745</v>
          </cell>
        </row>
        <row r="104">
          <cell r="A104" t="str">
            <v>50500003</v>
          </cell>
          <cell r="B104" t="str">
            <v>CANDELA CARITAS COLORES (UND)</v>
          </cell>
          <cell r="C104" t="str">
            <v>50500003</v>
          </cell>
          <cell r="D104" t="str">
            <v>1 UND</v>
          </cell>
          <cell r="E104" t="str">
            <v>02/03/2020</v>
          </cell>
          <cell r="F104">
            <v>765</v>
          </cell>
        </row>
        <row r="105">
          <cell r="A105" t="str">
            <v>50500004</v>
          </cell>
          <cell r="B105" t="str">
            <v>CANDELA GLOBOS SURTIDO COLORES (UND)</v>
          </cell>
          <cell r="C105" t="str">
            <v>50500004</v>
          </cell>
          <cell r="D105" t="str">
            <v>1 UND</v>
          </cell>
          <cell r="E105" t="str">
            <v>04/03/2020</v>
          </cell>
          <cell r="F105">
            <v>550</v>
          </cell>
        </row>
        <row r="106">
          <cell r="A106" t="str">
            <v>50500005</v>
          </cell>
          <cell r="B106" t="str">
            <v>CANDELA FELIZ ESCARCHA SURTIDA (UND)</v>
          </cell>
          <cell r="C106" t="str">
            <v>50500005</v>
          </cell>
          <cell r="D106" t="str">
            <v>1 UND</v>
          </cell>
          <cell r="E106" t="str">
            <v>04/03/2020</v>
          </cell>
          <cell r="F106">
            <v>745</v>
          </cell>
        </row>
        <row r="107">
          <cell r="A107" t="str">
            <v>50600003</v>
          </cell>
          <cell r="B107" t="str">
            <v>CAPSULA # 5 BLANCA (PAQ:1000 UND)</v>
          </cell>
          <cell r="C107" t="str">
            <v>50600003</v>
          </cell>
          <cell r="D107" t="str">
            <v>1 PAQUETE</v>
          </cell>
          <cell r="E107" t="str">
            <v>27/12/2019</v>
          </cell>
          <cell r="F107">
            <v>8600</v>
          </cell>
        </row>
        <row r="108">
          <cell r="A108" t="str">
            <v>50700006</v>
          </cell>
          <cell r="B108" t="str">
            <v xml:space="preserve">CONTENEDOR FOAM KFC 8OZ (CAJA:1000 UND) </v>
          </cell>
          <cell r="C108" t="str">
            <v>50700006</v>
          </cell>
          <cell r="D108" t="str">
            <v>1 CAJA</v>
          </cell>
          <cell r="E108" t="str">
            <v>05/03/2020</v>
          </cell>
          <cell r="F108">
            <v>23587</v>
          </cell>
        </row>
        <row r="109">
          <cell r="A109" t="str">
            <v>50700007</v>
          </cell>
          <cell r="B109" t="str">
            <v>TAPA PLAST CONT KFC 4-8-16OZ (CAJA:1000)</v>
          </cell>
          <cell r="C109" t="str">
            <v>50700007</v>
          </cell>
          <cell r="D109" t="str">
            <v>1 CAJA</v>
          </cell>
          <cell r="E109" t="str">
            <v>05/03/2020</v>
          </cell>
          <cell r="F109">
            <v>13351</v>
          </cell>
        </row>
        <row r="110">
          <cell r="A110" t="str">
            <v>50700016</v>
          </cell>
          <cell r="B110" t="str">
            <v>CONT.24 ONZ.TAPA PLANA (CAJA:200 UND)</v>
          </cell>
          <cell r="C110" t="str">
            <v>50700016</v>
          </cell>
          <cell r="D110" t="str">
            <v>1 CAJA</v>
          </cell>
          <cell r="E110" t="str">
            <v>14/02/2020</v>
          </cell>
          <cell r="F110">
            <v>40470</v>
          </cell>
          <cell r="G110" t="str">
            <v>UND</v>
          </cell>
          <cell r="H110">
            <v>202.35</v>
          </cell>
        </row>
        <row r="111">
          <cell r="A111" t="str">
            <v>50700017</v>
          </cell>
          <cell r="B111" t="str">
            <v>CAJA MEDIANA OFFICE BREAK UND</v>
          </cell>
          <cell r="C111" t="str">
            <v>50700017</v>
          </cell>
          <cell r="D111" t="str">
            <v>1 UND</v>
          </cell>
          <cell r="E111" t="str">
            <v>25/11/2019</v>
          </cell>
          <cell r="F111">
            <v>75.44</v>
          </cell>
        </row>
        <row r="112">
          <cell r="A112" t="str">
            <v>50700024</v>
          </cell>
          <cell r="B112" t="str">
            <v>CONTENEDOR PAPEL 12 ONZAS (PAQ:50 UND)</v>
          </cell>
          <cell r="C112" t="str">
            <v>50700024</v>
          </cell>
          <cell r="D112" t="str">
            <v>1 PAQUETE</v>
          </cell>
          <cell r="E112" t="str">
            <v>29/11/2019</v>
          </cell>
          <cell r="F112">
            <v>1784.3</v>
          </cell>
        </row>
        <row r="113">
          <cell r="A113" t="str">
            <v>50700026</v>
          </cell>
          <cell r="B113" t="str">
            <v>TAPA CONTE PAPEL BLANCO 8 ONZ (PAQ:50)</v>
          </cell>
          <cell r="C113" t="str">
            <v>50700026</v>
          </cell>
          <cell r="D113" t="str">
            <v>1 PAQUETE</v>
          </cell>
          <cell r="E113" t="str">
            <v>29/11/2019</v>
          </cell>
          <cell r="F113">
            <v>1143.55</v>
          </cell>
        </row>
        <row r="114">
          <cell r="A114" t="str">
            <v>50700027</v>
          </cell>
          <cell r="B114" t="str">
            <v>TAPA PLAST P/CONT PAPEL 12 ONZ(PAQ:50)</v>
          </cell>
          <cell r="C114" t="str">
            <v>50700027</v>
          </cell>
          <cell r="D114" t="str">
            <v>1 PAQ</v>
          </cell>
          <cell r="E114" t="str">
            <v>29/11/2019</v>
          </cell>
          <cell r="F114">
            <v>1657.1880000000001</v>
          </cell>
        </row>
        <row r="115">
          <cell r="A115" t="str">
            <v>50700028</v>
          </cell>
          <cell r="B115" t="str">
            <v>CONTENEDOR PLAS SUFLE 1 OZ (PAQ:200 UND)</v>
          </cell>
          <cell r="C115" t="str">
            <v>50700028</v>
          </cell>
          <cell r="D115" t="str">
            <v>1 PAQUETE</v>
          </cell>
          <cell r="E115" t="str">
            <v>05/03/2020</v>
          </cell>
          <cell r="F115">
            <v>1199.2</v>
          </cell>
          <cell r="G115" t="str">
            <v>UND</v>
          </cell>
          <cell r="H115">
            <v>5.9960000000000004</v>
          </cell>
        </row>
        <row r="116">
          <cell r="A116" t="str">
            <v>50700029</v>
          </cell>
          <cell r="B116" t="str">
            <v>CONTENEDOR SUFLE 2 ONZ (PAQ:200 UND)</v>
          </cell>
          <cell r="C116" t="str">
            <v>50700029</v>
          </cell>
          <cell r="D116" t="str">
            <v>1 PAQUETE</v>
          </cell>
          <cell r="E116" t="str">
            <v>05/03/2020</v>
          </cell>
          <cell r="F116">
            <v>1480.5833333333301</v>
          </cell>
        </row>
        <row r="117">
          <cell r="A117" t="str">
            <v>50700039</v>
          </cell>
          <cell r="B117" t="str">
            <v>TAPA UNIVERL POLI BOTE 16PP (CJ:500 UND)</v>
          </cell>
          <cell r="C117" t="str">
            <v>50700039</v>
          </cell>
          <cell r="D117" t="str">
            <v>1 CAJA</v>
          </cell>
          <cell r="E117" t="str">
            <v>28/01/2020</v>
          </cell>
          <cell r="F117">
            <v>10825.22</v>
          </cell>
          <cell r="G117" t="str">
            <v>UND</v>
          </cell>
          <cell r="H117">
            <v>21.65044</v>
          </cell>
        </row>
        <row r="118">
          <cell r="A118" t="str">
            <v>50700040</v>
          </cell>
          <cell r="B118" t="str">
            <v>CONTENEDOR PLAST  4 OZ  (15/200 UND)</v>
          </cell>
          <cell r="C118" t="str">
            <v>50700040</v>
          </cell>
          <cell r="D118" t="str">
            <v>1 PAQUETE</v>
          </cell>
          <cell r="E118" t="str">
            <v>16/01/2020</v>
          </cell>
          <cell r="F118">
            <v>3255.4666666666699</v>
          </cell>
        </row>
        <row r="119">
          <cell r="A119" t="str">
            <v>50700042</v>
          </cell>
          <cell r="B119" t="str">
            <v>CONT COSTILLA BASE DOMO OP3 (CJ:250 UND)</v>
          </cell>
          <cell r="C119" t="str">
            <v>50700042</v>
          </cell>
          <cell r="D119" t="str">
            <v>1 CAJA</v>
          </cell>
          <cell r="E119" t="str">
            <v>27/02/2020</v>
          </cell>
          <cell r="F119">
            <v>23825.1</v>
          </cell>
          <cell r="G119" t="str">
            <v>UND</v>
          </cell>
          <cell r="H119">
            <v>95.300399999999996</v>
          </cell>
        </row>
        <row r="120">
          <cell r="A120" t="str">
            <v>50700043</v>
          </cell>
          <cell r="B120" t="str">
            <v>BISAGRA P/PASTEL ROSCA (CAJA: 180 UND)</v>
          </cell>
          <cell r="C120" t="str">
            <v>50700043</v>
          </cell>
          <cell r="D120" t="str">
            <v>1 CAJA</v>
          </cell>
          <cell r="E120" t="str">
            <v>20/02/2020</v>
          </cell>
          <cell r="F120">
            <v>39375.800000000003</v>
          </cell>
        </row>
        <row r="121">
          <cell r="A121" t="str">
            <v>50700044</v>
          </cell>
          <cell r="B121" t="str">
            <v>CONTENEDOR POLIPROP 8 ONZ (CJ:500 UND)</v>
          </cell>
          <cell r="C121" t="str">
            <v>50700044</v>
          </cell>
          <cell r="D121" t="str">
            <v>1 CAJA</v>
          </cell>
          <cell r="E121" t="str">
            <v>28/01/2020</v>
          </cell>
          <cell r="F121">
            <v>16576.87</v>
          </cell>
          <cell r="G121" t="str">
            <v>UND</v>
          </cell>
          <cell r="H121">
            <v>33.153739999999999</v>
          </cell>
        </row>
        <row r="122">
          <cell r="A122" t="str">
            <v>50700045</v>
          </cell>
          <cell r="B122" t="str">
            <v>BISAGRA 6 MANTECADA 24*16*8 (CJ:250 UND)</v>
          </cell>
          <cell r="C122" t="str">
            <v>50700045</v>
          </cell>
          <cell r="D122" t="str">
            <v>1 CAJA</v>
          </cell>
          <cell r="E122" t="str">
            <v>20/02/2020</v>
          </cell>
          <cell r="F122">
            <v>28769.96</v>
          </cell>
        </row>
        <row r="123">
          <cell r="A123" t="str">
            <v>51000003</v>
          </cell>
          <cell r="B123" t="str">
            <v>ORLA 14.5" UND</v>
          </cell>
          <cell r="C123" t="str">
            <v>51000003</v>
          </cell>
          <cell r="D123" t="str">
            <v>1 UND</v>
          </cell>
          <cell r="E123" t="str">
            <v>20/12/2019</v>
          </cell>
          <cell r="F123">
            <v>305</v>
          </cell>
        </row>
        <row r="124">
          <cell r="A124" t="str">
            <v>51100018</v>
          </cell>
          <cell r="B124" t="str">
            <v>PAPEL ENCERADO 12X12 (PAQ:1000 UND)</v>
          </cell>
          <cell r="C124" t="str">
            <v>51100018</v>
          </cell>
          <cell r="D124" t="str">
            <v>1 PAQUETE</v>
          </cell>
          <cell r="E124" t="str">
            <v>04/03/2020</v>
          </cell>
          <cell r="F124">
            <v>20570</v>
          </cell>
          <cell r="G124" t="str">
            <v>UND</v>
          </cell>
          <cell r="H124">
            <v>20.57</v>
          </cell>
        </row>
        <row r="125">
          <cell r="A125" t="str">
            <v>51400001</v>
          </cell>
          <cell r="B125" t="str">
            <v>QUEQUERA RECTANGULAR 1/2 (CAJA:35 UND)</v>
          </cell>
          <cell r="C125" t="str">
            <v>51400001</v>
          </cell>
          <cell r="D125" t="str">
            <v>1 CAJA</v>
          </cell>
          <cell r="E125" t="str">
            <v>29/02/2020</v>
          </cell>
          <cell r="F125">
            <v>40766</v>
          </cell>
        </row>
        <row r="126">
          <cell r="A126" t="str">
            <v>51400015</v>
          </cell>
          <cell r="B126" t="str">
            <v>QUEQUERA CHILENA (CAJA:50 UND)</v>
          </cell>
          <cell r="C126" t="str">
            <v>51400015</v>
          </cell>
          <cell r="D126" t="str">
            <v>1 CAJA</v>
          </cell>
          <cell r="E126" t="str">
            <v>05/03/2020</v>
          </cell>
          <cell r="F126">
            <v>12896</v>
          </cell>
          <cell r="G126" t="str">
            <v>UND</v>
          </cell>
          <cell r="H126">
            <v>257.92</v>
          </cell>
        </row>
        <row r="127">
          <cell r="A127" t="str">
            <v>51400016</v>
          </cell>
          <cell r="B127" t="str">
            <v>DOMO QUEQUERA 8" ALTA (CAJA:100 UND)</v>
          </cell>
          <cell r="C127" t="str">
            <v>51400016</v>
          </cell>
          <cell r="D127" t="str">
            <v>1 CAJA</v>
          </cell>
          <cell r="E127" t="str">
            <v>03/03/2020</v>
          </cell>
          <cell r="F127">
            <v>15551</v>
          </cell>
          <cell r="G127" t="str">
            <v>UND</v>
          </cell>
          <cell r="H127">
            <v>155.51</v>
          </cell>
        </row>
        <row r="128">
          <cell r="A128" t="str">
            <v>51400017</v>
          </cell>
          <cell r="B128" t="str">
            <v>BASE QUEQUERA 8" ALTA (CAJA:200 UND)</v>
          </cell>
          <cell r="C128" t="str">
            <v>51400017</v>
          </cell>
          <cell r="D128" t="str">
            <v>1 CAJA</v>
          </cell>
          <cell r="E128" t="str">
            <v>03/03/2020</v>
          </cell>
          <cell r="F128">
            <v>18316</v>
          </cell>
          <cell r="G128" t="str">
            <v>UND</v>
          </cell>
          <cell r="H128">
            <v>91.58</v>
          </cell>
        </row>
        <row r="129">
          <cell r="A129" t="str">
            <v>51400019</v>
          </cell>
          <cell r="B129" t="str">
            <v>QUEQUERA 10 BAJA LOGO (CAJA:66 UND)</v>
          </cell>
          <cell r="C129" t="str">
            <v>51400019</v>
          </cell>
          <cell r="D129" t="str">
            <v>1 CAJA</v>
          </cell>
          <cell r="E129" t="str">
            <v>28/11/2019</v>
          </cell>
          <cell r="F129">
            <v>23500</v>
          </cell>
        </row>
        <row r="130">
          <cell r="A130" t="str">
            <v>51400020</v>
          </cell>
          <cell r="B130" t="str">
            <v>BURBUJA I-3 ALTA (CAJA:250 UND)</v>
          </cell>
          <cell r="C130" t="str">
            <v>51400020</v>
          </cell>
          <cell r="D130" t="str">
            <v>1 CAJA</v>
          </cell>
          <cell r="E130" t="str">
            <v>11/02/2020</v>
          </cell>
          <cell r="F130">
            <v>7035.81</v>
          </cell>
          <cell r="G130" t="str">
            <v>UND</v>
          </cell>
          <cell r="H130">
            <v>28.143240000000002</v>
          </cell>
        </row>
        <row r="131">
          <cell r="A131" t="str">
            <v>51400021</v>
          </cell>
          <cell r="B131" t="str">
            <v>QUEQUERA RED C/BASE ALTA 9" (CAJA:100 U)</v>
          </cell>
          <cell r="C131" t="str">
            <v>51400021</v>
          </cell>
          <cell r="D131" t="str">
            <v>1 CAJA</v>
          </cell>
          <cell r="E131" t="str">
            <v>03/03/2020</v>
          </cell>
          <cell r="F131">
            <v>24065</v>
          </cell>
          <cell r="G131" t="str">
            <v>UND</v>
          </cell>
          <cell r="H131">
            <v>240.65</v>
          </cell>
        </row>
        <row r="132">
          <cell r="A132" t="str">
            <v>51400022</v>
          </cell>
          <cell r="B132" t="str">
            <v>BOWL FIBRA 24 ONZ COMPOST (PAQ:125 UND)</v>
          </cell>
          <cell r="C132" t="str">
            <v>51400022</v>
          </cell>
          <cell r="D132" t="str">
            <v>1 PAQUETE</v>
          </cell>
          <cell r="E132" t="str">
            <v>05/03/2020</v>
          </cell>
          <cell r="F132">
            <v>127.8</v>
          </cell>
        </row>
        <row r="133">
          <cell r="A133" t="str">
            <v>51400023</v>
          </cell>
          <cell r="B133" t="str">
            <v>BOWL FIBRA 32 ONZ COMPOST (PAQ:125 UND)</v>
          </cell>
          <cell r="C133" t="str">
            <v>51400023</v>
          </cell>
          <cell r="D133" t="str">
            <v>1 PAQUETE</v>
          </cell>
          <cell r="E133" t="str">
            <v>05/03/2020</v>
          </cell>
          <cell r="F133">
            <v>178.88</v>
          </cell>
        </row>
        <row r="134">
          <cell r="A134" t="str">
            <v>51400024</v>
          </cell>
          <cell r="B134" t="str">
            <v>TAPA  BOWL 16/24/32 ONZ (PAQ:125 UND)</v>
          </cell>
          <cell r="C134" t="str">
            <v>51400024</v>
          </cell>
          <cell r="D134" t="str">
            <v>1 PAQUETE</v>
          </cell>
          <cell r="E134" t="str">
            <v>05/03/2020</v>
          </cell>
          <cell r="F134">
            <v>89.447999999999993</v>
          </cell>
        </row>
        <row r="135">
          <cell r="A135" t="str">
            <v>51400025</v>
          </cell>
          <cell r="B135" t="str">
            <v>BANDEJA FIBRA 2 DIVISIONES (PAQ:50 UND)</v>
          </cell>
          <cell r="C135" t="str">
            <v>51400025</v>
          </cell>
          <cell r="D135" t="str">
            <v>1 PAQUETE</v>
          </cell>
          <cell r="E135" t="str">
            <v>21/01/2020</v>
          </cell>
          <cell r="F135">
            <v>127.78</v>
          </cell>
        </row>
        <row r="136">
          <cell r="A136" t="str">
            <v>51400026</v>
          </cell>
          <cell r="B136" t="str">
            <v>BANDEJA FIBRA 3 DIVISIONES (PAQ:50 UND)</v>
          </cell>
          <cell r="C136" t="str">
            <v>51400026</v>
          </cell>
          <cell r="D136" t="str">
            <v>1 PAQUETE</v>
          </cell>
          <cell r="E136" t="str">
            <v>04/03/2020</v>
          </cell>
          <cell r="F136">
            <v>146.94</v>
          </cell>
        </row>
        <row r="137">
          <cell r="A137" t="str">
            <v>51400027</v>
          </cell>
          <cell r="B137" t="str">
            <v>TAPA BOWL SOPA 8 ONZ (PAQ:50 UND)</v>
          </cell>
          <cell r="C137" t="str">
            <v>51400027</v>
          </cell>
          <cell r="D137" t="str">
            <v>1 PAQUETE</v>
          </cell>
          <cell r="E137" t="str">
            <v>04/03/2020</v>
          </cell>
          <cell r="F137">
            <v>57.5</v>
          </cell>
        </row>
        <row r="138">
          <cell r="A138" t="str">
            <v>51400028</v>
          </cell>
          <cell r="B138" t="str">
            <v>BOWL FIBRA SOPA 16 ONZ (PAQ:50 UND)</v>
          </cell>
          <cell r="C138" t="str">
            <v>51400028</v>
          </cell>
          <cell r="D138" t="str">
            <v>1 PAQUETE</v>
          </cell>
          <cell r="E138" t="str">
            <v>05/03/2020</v>
          </cell>
          <cell r="F138">
            <v>95.82</v>
          </cell>
        </row>
        <row r="139">
          <cell r="A139" t="str">
            <v>51400029</v>
          </cell>
          <cell r="B139" t="str">
            <v>BOWL FIBRA 16 ONZ COMPOST (PAQ:125 UND)</v>
          </cell>
          <cell r="C139" t="str">
            <v>51400029</v>
          </cell>
          <cell r="D139" t="str">
            <v>1 PAQUETE</v>
          </cell>
          <cell r="E139" t="str">
            <v>04/03/2020</v>
          </cell>
          <cell r="F139">
            <v>83.055999999999997</v>
          </cell>
        </row>
        <row r="140">
          <cell r="A140" t="str">
            <v>51400030</v>
          </cell>
          <cell r="B140" t="str">
            <v>TAPA FIBRA BANDEJA 2 DIV (PAQ:50 UND)</v>
          </cell>
          <cell r="C140" t="str">
            <v>51400030</v>
          </cell>
          <cell r="D140" t="str">
            <v>1 PAQUETE</v>
          </cell>
          <cell r="E140" t="str">
            <v>04/02/2020</v>
          </cell>
          <cell r="F140">
            <v>102.22</v>
          </cell>
        </row>
        <row r="141">
          <cell r="A141" t="str">
            <v>51400031</v>
          </cell>
          <cell r="B141" t="str">
            <v>TAPA FIBRA BANDEJA 3 DIV  (PAQ:50 UND)</v>
          </cell>
          <cell r="C141" t="str">
            <v>51400031</v>
          </cell>
          <cell r="D141" t="str">
            <v>1 PAQUETE</v>
          </cell>
          <cell r="E141" t="str">
            <v>04/03/2020</v>
          </cell>
          <cell r="F141">
            <v>127.78</v>
          </cell>
        </row>
        <row r="142">
          <cell r="A142" t="str">
            <v>51400032</v>
          </cell>
          <cell r="B142" t="str">
            <v>BOWL FIBRA SOPA 12 ONZ (PAQ:25 UND)</v>
          </cell>
          <cell r="C142" t="str">
            <v>51400032</v>
          </cell>
          <cell r="D142" t="str">
            <v>1 PAQUETE</v>
          </cell>
          <cell r="E142" t="str">
            <v>04/03/2020</v>
          </cell>
          <cell r="F142">
            <v>89.44</v>
          </cell>
        </row>
        <row r="143">
          <cell r="A143" t="str">
            <v>51400033</v>
          </cell>
          <cell r="B143" t="str">
            <v>TAPA BOWL SOPA 12/16/32 ONZ (PAQ:50 UND)</v>
          </cell>
          <cell r="C143" t="str">
            <v>51400033</v>
          </cell>
          <cell r="D143" t="str">
            <v>1 PAQUETE</v>
          </cell>
          <cell r="E143" t="str">
            <v>05/03/2020</v>
          </cell>
          <cell r="F143">
            <v>89.44</v>
          </cell>
        </row>
        <row r="144">
          <cell r="A144" t="str">
            <v>51400034</v>
          </cell>
          <cell r="B144" t="str">
            <v>BOWL FIBRA SOPA 8 ONZ (PAQ:50 UND)</v>
          </cell>
          <cell r="C144" t="str">
            <v>51400034</v>
          </cell>
          <cell r="D144" t="str">
            <v>1 PAQUETE</v>
          </cell>
          <cell r="E144" t="str">
            <v>04/03/2020</v>
          </cell>
          <cell r="F144">
            <v>57.5</v>
          </cell>
        </row>
        <row r="145">
          <cell r="A145" t="str">
            <v>51400035</v>
          </cell>
          <cell r="B145" t="str">
            <v>QUEQUERA PLAST RED 12" ALTA (CJ:50 UND)</v>
          </cell>
          <cell r="C145" t="str">
            <v>51400035</v>
          </cell>
          <cell r="D145" t="str">
            <v>1 CAJA</v>
          </cell>
          <cell r="E145" t="str">
            <v>29/02/2020</v>
          </cell>
          <cell r="F145">
            <v>47456</v>
          </cell>
          <cell r="G145" t="str">
            <v>UND</v>
          </cell>
          <cell r="H145">
            <v>949.12</v>
          </cell>
        </row>
        <row r="146">
          <cell r="A146" t="str">
            <v>51400036</v>
          </cell>
          <cell r="B146" t="str">
            <v>QUEQUERA PLAST RECT 48*13*11 (CJ:25 UND)</v>
          </cell>
          <cell r="C146" t="str">
            <v>51400036</v>
          </cell>
          <cell r="D146" t="str">
            <v>1 CAJA</v>
          </cell>
          <cell r="E146" t="str">
            <v>15/02/2020</v>
          </cell>
          <cell r="F146">
            <v>33564</v>
          </cell>
        </row>
        <row r="147">
          <cell r="A147" t="str">
            <v>51500012</v>
          </cell>
          <cell r="B147" t="str">
            <v>VASO BIODEGRADABLE 12 ONZ (PAQ:25 UND)</v>
          </cell>
          <cell r="C147" t="str">
            <v>51500012</v>
          </cell>
          <cell r="D147" t="str">
            <v>1 PAQUETE</v>
          </cell>
          <cell r="E147" t="str">
            <v>05/03/2020</v>
          </cell>
          <cell r="F147">
            <v>1496.7</v>
          </cell>
        </row>
        <row r="148">
          <cell r="A148" t="str">
            <v>51500013</v>
          </cell>
          <cell r="B148" t="str">
            <v>TAPA VASO BIODEGR 12,16 onz (PAQ:50 UND)</v>
          </cell>
          <cell r="C148" t="str">
            <v>51500013</v>
          </cell>
          <cell r="D148" t="str">
            <v>1 PAQ</v>
          </cell>
          <cell r="E148" t="str">
            <v>05/03/2020</v>
          </cell>
          <cell r="F148">
            <v>894.9</v>
          </cell>
        </row>
        <row r="149">
          <cell r="A149" t="str">
            <v>51500014</v>
          </cell>
          <cell r="B149" t="str">
            <v>VASO BIODEGRADABLE 8 onz (PAQ:25 UND)</v>
          </cell>
          <cell r="C149" t="str">
            <v>51500014</v>
          </cell>
          <cell r="D149" t="str">
            <v>1 PAQUETE</v>
          </cell>
          <cell r="E149" t="str">
            <v>05/03/2020</v>
          </cell>
          <cell r="F149">
            <v>1484.75</v>
          </cell>
        </row>
        <row r="150">
          <cell r="A150" t="str">
            <v>51500015</v>
          </cell>
          <cell r="B150" t="str">
            <v>TAPA VASO BIO 8 ONZ (PAQ:50 UND)</v>
          </cell>
          <cell r="C150" t="str">
            <v>51500015</v>
          </cell>
          <cell r="D150" t="str">
            <v>1 PAQUETE</v>
          </cell>
          <cell r="E150" t="str">
            <v>27/02/2020</v>
          </cell>
          <cell r="F150">
            <v>788.25</v>
          </cell>
        </row>
        <row r="151">
          <cell r="A151" t="str">
            <v>51500026</v>
          </cell>
          <cell r="B151" t="str">
            <v>VASO SOUFLE 3.25 OZ ASB325 1/2500</v>
          </cell>
          <cell r="C151" t="str">
            <v>51500026</v>
          </cell>
          <cell r="D151" t="str">
            <v>1 PAQUETE</v>
          </cell>
          <cell r="E151" t="str">
            <v>25/11/2019</v>
          </cell>
          <cell r="F151">
            <v>15.029</v>
          </cell>
        </row>
        <row r="152">
          <cell r="A152" t="str">
            <v>51500027</v>
          </cell>
          <cell r="B152" t="str">
            <v>VASO A-9 OZ APC9 (CAJA:1000/PAQ:50 UND)</v>
          </cell>
          <cell r="C152" t="str">
            <v>51500027</v>
          </cell>
          <cell r="D152" t="str">
            <v>1 PAQ</v>
          </cell>
          <cell r="E152" t="str">
            <v>29/11/2019</v>
          </cell>
          <cell r="F152">
            <v>1710.5</v>
          </cell>
        </row>
        <row r="153">
          <cell r="A153" t="str">
            <v>51500028</v>
          </cell>
          <cell r="B153" t="str">
            <v>TAPA DOMO A-9/12/20 SOUFFLE (UND)</v>
          </cell>
          <cell r="C153" t="str">
            <v>51500028</v>
          </cell>
          <cell r="D153" t="str">
            <v>1 UND</v>
          </cell>
          <cell r="E153" t="str">
            <v>29/11/2019</v>
          </cell>
          <cell r="F153">
            <v>24.56</v>
          </cell>
        </row>
        <row r="154">
          <cell r="A154" t="str">
            <v>51500032</v>
          </cell>
          <cell r="B154" t="str">
            <v>TAPA SUFLE 1,5-2-2,5 (PAQ:100 UND)</v>
          </cell>
          <cell r="C154" t="str">
            <v>51500032</v>
          </cell>
          <cell r="D154" t="str">
            <v>1 PAQUETE</v>
          </cell>
          <cell r="E154" t="str">
            <v>05/03/2020</v>
          </cell>
          <cell r="F154">
            <v>8.32</v>
          </cell>
        </row>
        <row r="155">
          <cell r="A155" t="str">
            <v>51500033</v>
          </cell>
          <cell r="B155" t="str">
            <v>VASO PLASTICO FABRIKAL 9 ONZ (20/50 UND)</v>
          </cell>
          <cell r="C155" t="str">
            <v>51500033</v>
          </cell>
          <cell r="D155" t="str">
            <v>1 PAQUETE</v>
          </cell>
          <cell r="E155" t="str">
            <v>16/01/2020</v>
          </cell>
          <cell r="F155">
            <v>1647.9</v>
          </cell>
        </row>
        <row r="156">
          <cell r="A156" t="str">
            <v>51500034</v>
          </cell>
          <cell r="B156" t="str">
            <v>TAPA PLAST DOMO SUNDAE POLAR 9 (10/100)</v>
          </cell>
          <cell r="C156" t="str">
            <v>51500034</v>
          </cell>
          <cell r="D156" t="str">
            <v>1 PAQUETE</v>
          </cell>
          <cell r="E156" t="str">
            <v>20/01/2020</v>
          </cell>
          <cell r="F156">
            <v>2472.3000000000002</v>
          </cell>
        </row>
        <row r="157">
          <cell r="A157" t="str">
            <v>51500035</v>
          </cell>
          <cell r="B157" t="str">
            <v>TAPA DOMO PLAST BAND ALUM 394 (CJ:100)</v>
          </cell>
          <cell r="C157" t="str">
            <v>51500035</v>
          </cell>
          <cell r="D157" t="str">
            <v>1 UND</v>
          </cell>
          <cell r="E157" t="str">
            <v>13/02/2020</v>
          </cell>
          <cell r="F157">
            <v>233.22</v>
          </cell>
        </row>
        <row r="158">
          <cell r="A158" t="str">
            <v>51500036</v>
          </cell>
          <cell r="B158" t="str">
            <v xml:space="preserve">TAPA PLAS PLANA S/HOYO 9/12/20 (10/100) </v>
          </cell>
          <cell r="C158" t="str">
            <v>51500036</v>
          </cell>
          <cell r="D158" t="str">
            <v>1 PAQUETE</v>
          </cell>
          <cell r="E158" t="str">
            <v>05/03/2020</v>
          </cell>
          <cell r="F158">
            <v>1449.7</v>
          </cell>
        </row>
        <row r="159">
          <cell r="A159" t="str">
            <v>51600004</v>
          </cell>
          <cell r="B159" t="str">
            <v>LAZOS ROJOS (UND)</v>
          </cell>
          <cell r="C159" t="str">
            <v>51600004</v>
          </cell>
          <cell r="D159" t="str">
            <v>1 UND</v>
          </cell>
          <cell r="E159" t="str">
            <v>19/02/2020</v>
          </cell>
          <cell r="F159">
            <v>20</v>
          </cell>
        </row>
        <row r="160">
          <cell r="A160" t="str">
            <v>51600006</v>
          </cell>
          <cell r="B160" t="str">
            <v>ROLLO CINTA RASO 45 MTS COLOR ORO (UND)</v>
          </cell>
          <cell r="C160" t="str">
            <v>51600006</v>
          </cell>
          <cell r="D160" t="str">
            <v>1 UND</v>
          </cell>
          <cell r="E160" t="str">
            <v>06/01/2020</v>
          </cell>
          <cell r="F160">
            <v>5950</v>
          </cell>
        </row>
        <row r="161">
          <cell r="A161" t="str">
            <v>51600015</v>
          </cell>
          <cell r="B161" t="str">
            <v>CINTA TRANS 1X40 (DELGADA)</v>
          </cell>
          <cell r="C161" t="str">
            <v>51600015</v>
          </cell>
          <cell r="D161" t="str">
            <v>1 UND</v>
          </cell>
          <cell r="E161" t="str">
            <v>07/02/2020</v>
          </cell>
          <cell r="F161">
            <v>190</v>
          </cell>
        </row>
        <row r="162">
          <cell r="A162" t="str">
            <v>51600021</v>
          </cell>
          <cell r="B162" t="str">
            <v>ROLLO POS 16" 1067MTS  (UND)</v>
          </cell>
          <cell r="C162" t="str">
            <v>51600021</v>
          </cell>
          <cell r="D162" t="str">
            <v>1 UND</v>
          </cell>
          <cell r="E162" t="str">
            <v>27/11/2019</v>
          </cell>
          <cell r="F162">
            <v>72459.820000000007</v>
          </cell>
        </row>
        <row r="163">
          <cell r="A163" t="str">
            <v>51600025</v>
          </cell>
          <cell r="B163" t="str">
            <v>ROLLOS PUNTO DE VENTA 3X3X2 (ROLLO)</v>
          </cell>
          <cell r="C163" t="str">
            <v>51600025</v>
          </cell>
          <cell r="D163" t="str">
            <v>1 ROLLO</v>
          </cell>
          <cell r="E163" t="str">
            <v>05/03/2020</v>
          </cell>
          <cell r="F163">
            <v>594</v>
          </cell>
        </row>
        <row r="164">
          <cell r="A164" t="str">
            <v>60100014</v>
          </cell>
          <cell r="B164" t="str">
            <v>ETIQUETA LOGO SPOON DORADO (ROLLO:1000)</v>
          </cell>
          <cell r="D164" t="str">
            <v>ROLLO</v>
          </cell>
          <cell r="F164">
            <v>6000</v>
          </cell>
          <cell r="G164" t="str">
            <v>UND</v>
          </cell>
          <cell r="H164">
            <v>6</v>
          </cell>
        </row>
        <row r="165">
          <cell r="A165" t="str">
            <v>401000002</v>
          </cell>
          <cell r="B165" t="str">
            <v>BOLSA TRANSPARENTE 6X6X4 KILO</v>
          </cell>
          <cell r="C165" t="str">
            <v>401000002</v>
          </cell>
          <cell r="D165" t="str">
            <v>1 KILO</v>
          </cell>
          <cell r="E165" t="str">
            <v>29/01/2020</v>
          </cell>
          <cell r="F165">
            <v>1400</v>
          </cell>
          <cell r="G165" t="str">
            <v>UND</v>
          </cell>
          <cell r="H165">
            <v>3.2558139534883721</v>
          </cell>
        </row>
        <row r="166">
          <cell r="A166" t="str">
            <v>401000003</v>
          </cell>
          <cell r="B166" t="str">
            <v>BOLSA TRANSPARENTE 6X8X4 KILO</v>
          </cell>
          <cell r="C166" t="str">
            <v>401000003</v>
          </cell>
          <cell r="D166" t="str">
            <v>1 KILO</v>
          </cell>
          <cell r="E166" t="str">
            <v>14/02/2020</v>
          </cell>
          <cell r="F166">
            <v>1400</v>
          </cell>
        </row>
        <row r="167">
          <cell r="A167" t="str">
            <v>401000004</v>
          </cell>
          <cell r="B167" t="str">
            <v>BOLSA TRANSPARENTE 7X9X4 KILO</v>
          </cell>
          <cell r="C167" t="str">
            <v>401000004</v>
          </cell>
          <cell r="D167" t="str">
            <v>1 KILO</v>
          </cell>
          <cell r="E167" t="str">
            <v>27/01/2020</v>
          </cell>
          <cell r="F167">
            <v>1400</v>
          </cell>
        </row>
        <row r="168">
          <cell r="A168" t="str">
            <v>401000005</v>
          </cell>
          <cell r="B168" t="str">
            <v>BOLSA TRANSPARENTE 8X10X4 KILO</v>
          </cell>
          <cell r="C168" t="str">
            <v>401000005</v>
          </cell>
          <cell r="D168" t="str">
            <v>1 KILO</v>
          </cell>
          <cell r="E168" t="str">
            <v>07/02/2020</v>
          </cell>
          <cell r="F168">
            <v>1400</v>
          </cell>
        </row>
        <row r="169">
          <cell r="A169" t="str">
            <v>401000006</v>
          </cell>
          <cell r="B169" t="str">
            <v>BOLSA TRANSPARENTE 10X12X4 KILO</v>
          </cell>
          <cell r="C169" t="str">
            <v>401000006</v>
          </cell>
          <cell r="D169" t="str">
            <v>1 KILO</v>
          </cell>
          <cell r="E169" t="str">
            <v>27/01/2020</v>
          </cell>
          <cell r="F169">
            <v>1400</v>
          </cell>
        </row>
        <row r="170">
          <cell r="A170" t="str">
            <v>503000006</v>
          </cell>
          <cell r="B170" t="str">
            <v>BOLSA AL VACIO 10X15 UND</v>
          </cell>
          <cell r="C170" t="str">
            <v>503000006</v>
          </cell>
          <cell r="D170" t="str">
            <v>1 UND</v>
          </cell>
          <cell r="E170" t="str">
            <v>20/11/2019</v>
          </cell>
          <cell r="F170">
            <v>78</v>
          </cell>
        </row>
        <row r="171">
          <cell r="A171" t="str">
            <v>507000012</v>
          </cell>
          <cell r="B171" t="str">
            <v>TAPA PLAST P/CONT. PAPEL 12 ONZ (PAQ=50)</v>
          </cell>
          <cell r="C171" t="str">
            <v>507000012</v>
          </cell>
          <cell r="D171" t="str">
            <v>1 PAQUETE</v>
          </cell>
          <cell r="E171" t="str">
            <v>11/11/2019</v>
          </cell>
          <cell r="F171">
            <v>34.72</v>
          </cell>
        </row>
        <row r="172">
          <cell r="A172" t="str">
            <v>507000013</v>
          </cell>
          <cell r="B172" t="str">
            <v>CONTENEDOR PAPEL 12 ONZAS (PAQ=50 UND) C</v>
          </cell>
          <cell r="C172" t="str">
            <v>507000013</v>
          </cell>
          <cell r="D172" t="str">
            <v>1 PAQUETE</v>
          </cell>
          <cell r="E172" t="str">
            <v>02/11/2019</v>
          </cell>
          <cell r="F172">
            <v>34.72</v>
          </cell>
        </row>
        <row r="173">
          <cell r="A173" t="str">
            <v>510000013</v>
          </cell>
          <cell r="B173" t="str">
            <v>ORLA 13" C163 (UND)</v>
          </cell>
          <cell r="C173" t="str">
            <v>510000013</v>
          </cell>
          <cell r="D173" t="str">
            <v>1 UND</v>
          </cell>
          <cell r="E173" t="str">
            <v>06/01/2020</v>
          </cell>
          <cell r="F173">
            <v>235</v>
          </cell>
        </row>
        <row r="174">
          <cell r="A174" t="str">
            <v>510000014</v>
          </cell>
          <cell r="B174" t="str">
            <v>BASE CARTON ALUMINIO REDONDA # 12 (UND)</v>
          </cell>
          <cell r="C174" t="str">
            <v>510000014</v>
          </cell>
          <cell r="D174" t="str">
            <v>1 UND</v>
          </cell>
          <cell r="E174" t="str">
            <v>28/01/2020</v>
          </cell>
          <cell r="F174">
            <v>275</v>
          </cell>
          <cell r="G174" t="str">
            <v>UND</v>
          </cell>
          <cell r="H174">
            <v>275</v>
          </cell>
        </row>
        <row r="175">
          <cell r="A175" t="str">
            <v>510000015</v>
          </cell>
          <cell r="B175" t="str">
            <v>BASE RECTAGULAR GRANDE (UND)</v>
          </cell>
          <cell r="C175" t="str">
            <v>510000015</v>
          </cell>
          <cell r="D175" t="str">
            <v xml:space="preserve">1 UND </v>
          </cell>
          <cell r="E175" t="str">
            <v>28/01/2020</v>
          </cell>
          <cell r="F175">
            <v>220</v>
          </cell>
        </row>
        <row r="176">
          <cell r="A176" t="str">
            <v>510000016</v>
          </cell>
          <cell r="B176" t="str">
            <v>CARTON RECTA PEQ 1/2 QUEQUE CRISTAL(UND)</v>
          </cell>
          <cell r="C176" t="str">
            <v>510000016</v>
          </cell>
          <cell r="D176" t="str">
            <v>1 UND</v>
          </cell>
          <cell r="E176" t="str">
            <v>28/01/2020</v>
          </cell>
          <cell r="F176">
            <v>180</v>
          </cell>
        </row>
        <row r="177">
          <cell r="A177" t="str">
            <v>512000001</v>
          </cell>
          <cell r="B177" t="str">
            <v>PLASTICO P PALETIZAR 18X1500</v>
          </cell>
          <cell r="C177" t="str">
            <v>512000001</v>
          </cell>
          <cell r="D177" t="str">
            <v>1 UND</v>
          </cell>
          <cell r="E177" t="str">
            <v>07/02/2020</v>
          </cell>
          <cell r="F177">
            <v>4800</v>
          </cell>
        </row>
        <row r="178">
          <cell r="A178" t="str">
            <v>515000012</v>
          </cell>
          <cell r="B178" t="str">
            <v>VASO CARTON NESCAFE 8OZ (PAQ:50 UND)</v>
          </cell>
          <cell r="C178" t="str">
            <v>515000012</v>
          </cell>
          <cell r="D178" t="str">
            <v>1 PAQUETE</v>
          </cell>
          <cell r="E178" t="str">
            <v>22/02/2020</v>
          </cell>
          <cell r="F178">
            <v>1666</v>
          </cell>
        </row>
        <row r="179">
          <cell r="A179" t="str">
            <v>516000002</v>
          </cell>
          <cell r="B179" t="str">
            <v>LAMINA ACETATO (UND)</v>
          </cell>
          <cell r="C179" t="str">
            <v>516000002</v>
          </cell>
          <cell r="D179" t="str">
            <v>1 UND</v>
          </cell>
          <cell r="E179" t="str">
            <v>26/12/2019</v>
          </cell>
          <cell r="F179">
            <v>155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/>
      <sheetData sheetId="2"/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906000032</v>
          </cell>
          <cell r="B2" t="str">
            <v>PASTA DE HOJALDRE (40800g)</v>
          </cell>
          <cell r="C2" t="str">
            <v>TANDA</v>
          </cell>
          <cell r="D2" t="str">
            <v>GRAMO</v>
          </cell>
          <cell r="E2">
            <v>28282.019153681333</v>
          </cell>
          <cell r="F2">
            <v>0.6931867439627778</v>
          </cell>
          <cell r="G2">
            <v>120.16275192390387</v>
          </cell>
          <cell r="H2">
            <v>2.9451654883309772E-3</v>
          </cell>
          <cell r="I2">
            <v>3300.5130004127113</v>
          </cell>
          <cell r="J2">
            <v>8.0894926480703705E-2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(23.123 Kg)</v>
          </cell>
          <cell r="C4" t="str">
            <v>TANDA</v>
          </cell>
          <cell r="D4" t="str">
            <v>GRAMO</v>
          </cell>
          <cell r="E4">
            <v>20323.830214799997</v>
          </cell>
          <cell r="F4">
            <v>0.87894435042165797</v>
          </cell>
          <cell r="G4">
            <v>66.878521111111112</v>
          </cell>
          <cell r="H4">
            <v>2.8922943005280938E-3</v>
          </cell>
          <cell r="I4">
            <v>550</v>
          </cell>
          <cell r="J4">
            <v>2.3785840937594602E-2</v>
          </cell>
        </row>
        <row r="5">
          <cell r="A5" t="str">
            <v>95017</v>
          </cell>
          <cell r="B5" t="str">
            <v>PLATANOS MADUROS FRITOS (34500g)</v>
          </cell>
          <cell r="C5" t="str">
            <v>TANDA</v>
          </cell>
          <cell r="D5" t="str">
            <v>GRAMO</v>
          </cell>
          <cell r="E5">
            <v>48288.182619647356</v>
          </cell>
          <cell r="F5">
            <v>1.3996574672361553</v>
          </cell>
          <cell r="G5">
            <v>0</v>
          </cell>
          <cell r="H5">
            <v>0</v>
          </cell>
          <cell r="I5">
            <v>1680</v>
          </cell>
          <cell r="J5">
            <v>4.8695652173913043E-2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TANDA</v>
          </cell>
          <cell r="D6" t="str">
            <v>GRAMO</v>
          </cell>
          <cell r="E6">
            <v>4485.3189199999997</v>
          </cell>
          <cell r="F6">
            <v>0.29902126133333329</v>
          </cell>
          <cell r="G6">
            <v>0</v>
          </cell>
          <cell r="H6">
            <v>0</v>
          </cell>
          <cell r="I6">
            <v>165</v>
          </cell>
          <cell r="J6">
            <v>1.0999999999999999E-2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TANDA</v>
          </cell>
          <cell r="D9" t="str">
            <v>GRAMO</v>
          </cell>
          <cell r="E9">
            <v>12634.444444444443</v>
          </cell>
          <cell r="F9">
            <v>2.3615784008307372</v>
          </cell>
          <cell r="G9">
            <v>15.480496777777777</v>
          </cell>
          <cell r="H9">
            <v>2.8935507995846311E-3</v>
          </cell>
          <cell r="I9">
            <v>165</v>
          </cell>
          <cell r="J9">
            <v>3.0841121495327101E-2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748.49367471667972</v>
          </cell>
          <cell r="F10">
            <v>748.49367471667972</v>
          </cell>
          <cell r="G10">
            <v>7.9980445916362211</v>
          </cell>
          <cell r="H10">
            <v>7.9980445916362211</v>
          </cell>
          <cell r="I10">
            <v>16.190125433462303</v>
          </cell>
          <cell r="J10">
            <v>16.190125433462303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55797.085701248674</v>
          </cell>
          <cell r="F11">
            <v>1.2939954939992735</v>
          </cell>
          <cell r="G11">
            <v>0</v>
          </cell>
          <cell r="H11">
            <v>0</v>
          </cell>
          <cell r="I11">
            <v>2073.6931923609191</v>
          </cell>
          <cell r="J11">
            <v>4.8091215036199418E-2</v>
          </cell>
        </row>
        <row r="12">
          <cell r="A12" t="str">
            <v>95091</v>
          </cell>
          <cell r="B12" t="str">
            <v>BATIDO VAINILLA PURATOS BUCCA (49650g)</v>
          </cell>
          <cell r="C12" t="str">
            <v>KILO</v>
          </cell>
          <cell r="D12" t="str">
            <v>GRAMO</v>
          </cell>
          <cell r="E12">
            <v>40280.095809602288</v>
          </cell>
          <cell r="F12">
            <v>0.81128088236862617</v>
          </cell>
          <cell r="G12">
            <v>45.869093809523811</v>
          </cell>
          <cell r="H12">
            <v>9.2384881791588748E-4</v>
          </cell>
          <cell r="I12">
            <v>550</v>
          </cell>
          <cell r="J12">
            <v>1.1077542799597181E-2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TANDA</v>
          </cell>
          <cell r="D23" t="str">
            <v>GRAMO</v>
          </cell>
          <cell r="E23">
            <v>27447.05744215686</v>
          </cell>
          <cell r="F23">
            <v>2.7447057442156861</v>
          </cell>
          <cell r="G23">
            <v>18.652035795368263</v>
          </cell>
          <cell r="H23">
            <v>1.8652035795368263E-3</v>
          </cell>
          <cell r="I23">
            <v>897.03872437357631</v>
          </cell>
          <cell r="J23">
            <v>8.9703872437357626E-2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694.69407835326263</v>
          </cell>
          <cell r="F24">
            <v>694.69407835326263</v>
          </cell>
          <cell r="G24">
            <v>8.8666855676906913</v>
          </cell>
          <cell r="H24">
            <v>8.8666855676906913</v>
          </cell>
          <cell r="I24">
            <v>40.664349443848884</v>
          </cell>
          <cell r="J24">
            <v>40.664349443848884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2190.120338282577</v>
          </cell>
          <cell r="F25">
            <v>1.0950601691412885</v>
          </cell>
          <cell r="G25">
            <v>7.7086684015865012</v>
          </cell>
          <cell r="H25">
            <v>3.8543342007932506E-3</v>
          </cell>
          <cell r="I25">
            <v>132.60711547611805</v>
          </cell>
          <cell r="J25">
            <v>6.630355773805903E-2</v>
          </cell>
        </row>
        <row r="26">
          <cell r="A26" t="str">
            <v>95149</v>
          </cell>
          <cell r="B26" t="str">
            <v>COCCION FRIJOLES MOLIDOS (14.133g)</v>
          </cell>
          <cell r="C26" t="str">
            <v>TANDA</v>
          </cell>
          <cell r="D26" t="str">
            <v>GRAMO</v>
          </cell>
          <cell r="E26">
            <v>15072.896070586068</v>
          </cell>
          <cell r="F26">
            <v>1.066503648948282</v>
          </cell>
          <cell r="G26">
            <v>37.970244000000001</v>
          </cell>
          <cell r="H26">
            <v>2.6866372320101888E-3</v>
          </cell>
          <cell r="I26">
            <v>1375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3544.4919657142859</v>
          </cell>
          <cell r="F28">
            <v>3.5444919657142857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908000046</v>
          </cell>
          <cell r="B29" t="str">
            <v>COCCION POLLO RECORTE (31600g)</v>
          </cell>
          <cell r="C29" t="str">
            <v>TANDA</v>
          </cell>
          <cell r="D29" t="str">
            <v>GRAMO</v>
          </cell>
          <cell r="E29">
            <v>117811.73133333333</v>
          </cell>
          <cell r="F29">
            <v>3.7282193459915609</v>
          </cell>
          <cell r="G29">
            <v>0</v>
          </cell>
          <cell r="H29">
            <v>0</v>
          </cell>
          <cell r="I29">
            <v>2255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TANDA</v>
          </cell>
          <cell r="D36" t="str">
            <v>GRAMO</v>
          </cell>
          <cell r="E36">
            <v>19251.595537874768</v>
          </cell>
          <cell r="F36">
            <v>2.1155599492170074</v>
          </cell>
          <cell r="G36">
            <v>96.428571428571445</v>
          </cell>
          <cell r="H36">
            <v>1.0596546310832027E-2</v>
          </cell>
          <cell r="I36">
            <v>1211.1448992852502</v>
          </cell>
          <cell r="J36">
            <v>0.13309284607530222</v>
          </cell>
        </row>
        <row r="37">
          <cell r="A37" t="str">
            <v>905000001</v>
          </cell>
          <cell r="B37" t="str">
            <v>RELLENO P/TORTA CHOCOFRESA (23500g)</v>
          </cell>
          <cell r="C37" t="str">
            <v>TANDA</v>
          </cell>
          <cell r="D37" t="str">
            <v>GRAMO</v>
          </cell>
          <cell r="E37">
            <v>54041.682214799999</v>
          </cell>
          <cell r="F37">
            <v>2.299646051693617</v>
          </cell>
          <cell r="G37">
            <v>125.29527666666667</v>
          </cell>
          <cell r="H37">
            <v>5.33171390070922E-3</v>
          </cell>
          <cell r="I37">
            <v>990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8.0879991537949216</v>
          </cell>
          <cell r="F38">
            <v>8.0879991537949216</v>
          </cell>
          <cell r="G38">
            <v>2.6030648704752843E-2</v>
          </cell>
          <cell r="H38">
            <v>2.6030648704752843E-2</v>
          </cell>
          <cell r="I38">
            <v>3.6515725684383518</v>
          </cell>
          <cell r="J38">
            <v>3.6515725684383518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171.25607004904248</v>
          </cell>
          <cell r="F40">
            <v>171.25607004904248</v>
          </cell>
          <cell r="G40">
            <v>0.539527398366629</v>
          </cell>
          <cell r="H40">
            <v>0.539527398366629</v>
          </cell>
          <cell r="I40">
            <v>33.418256538526975</v>
          </cell>
          <cell r="J40">
            <v>33.418256538526975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22.007051430197322</v>
          </cell>
          <cell r="F41">
            <v>22.007051430197322</v>
          </cell>
          <cell r="G41">
            <v>9.6624663055969576E-2</v>
          </cell>
          <cell r="H41">
            <v>9.6624663055969576E-2</v>
          </cell>
          <cell r="I41">
            <v>8.1963877832354282</v>
          </cell>
          <cell r="J41">
            <v>8.1963877832354282</v>
          </cell>
        </row>
        <row r="42">
          <cell r="A42" t="str">
            <v>903000003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1323.8519660973845</v>
          </cell>
          <cell r="F42">
            <v>1323.8519660973845</v>
          </cell>
          <cell r="G42">
            <v>65.37484979292195</v>
          </cell>
          <cell r="H42">
            <v>65.37484979292195</v>
          </cell>
          <cell r="I42">
            <v>153.48429446331514</v>
          </cell>
          <cell r="J42">
            <v>153.48429446331514</v>
          </cell>
        </row>
        <row r="43">
          <cell r="A43">
            <v>903000002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9923.7223624379676</v>
          </cell>
          <cell r="F43">
            <v>9923.7223624379676</v>
          </cell>
          <cell r="G43">
            <v>32</v>
          </cell>
          <cell r="H43">
            <v>32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(14195g)</v>
          </cell>
          <cell r="C45" t="str">
            <v>TANDA</v>
          </cell>
          <cell r="D45" t="str">
            <v>GRAMO</v>
          </cell>
          <cell r="E45">
            <v>7479.1254258823537</v>
          </cell>
          <cell r="F45">
            <v>0.52688449636367407</v>
          </cell>
          <cell r="G45">
            <v>276.95017999999999</v>
          </cell>
          <cell r="H45">
            <v>1.9510403663261712E-2</v>
          </cell>
          <cell r="I45">
            <v>550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1758.5064069460227</v>
          </cell>
          <cell r="F46">
            <v>1.7585064069460228</v>
          </cell>
          <cell r="G46">
            <v>15.528757064935064</v>
          </cell>
          <cell r="H46">
            <v>1.5528757064935065E-2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TANDA</v>
          </cell>
          <cell r="D47" t="str">
            <v>GRAMO</v>
          </cell>
          <cell r="E47">
            <v>10045.103719999999</v>
          </cell>
          <cell r="F47">
            <v>0.7263270947216196</v>
          </cell>
          <cell r="G47">
            <v>110.87506800000001</v>
          </cell>
          <cell r="H47">
            <v>8.0169969631236453E-3</v>
          </cell>
          <cell r="I47">
            <v>825</v>
          </cell>
          <cell r="J47">
            <v>5.9652928416485902E-2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783.77464894866955</v>
          </cell>
          <cell r="F50">
            <v>0.78377464894866955</v>
          </cell>
          <cell r="G50">
            <v>142.44677419354841</v>
          </cell>
          <cell r="H50">
            <v>0.1424467741935484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TANDA</v>
          </cell>
          <cell r="D51" t="str">
            <v>GRAMO</v>
          </cell>
          <cell r="E51">
            <v>13690.75</v>
          </cell>
          <cell r="F51">
            <v>0.69075428859737642</v>
          </cell>
          <cell r="G51">
            <v>76.121990999999994</v>
          </cell>
          <cell r="H51">
            <v>3.8406655398587281E-3</v>
          </cell>
          <cell r="I51">
            <v>550</v>
          </cell>
          <cell r="J51">
            <v>2.7749747729566093E-2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TANDA</v>
          </cell>
          <cell r="D52" t="str">
            <v>GRAMO</v>
          </cell>
          <cell r="E52">
            <v>39127.173464515727</v>
          </cell>
          <cell r="F52">
            <v>1.3538814347583297</v>
          </cell>
          <cell r="G52">
            <v>538.82476734492559</v>
          </cell>
          <cell r="H52">
            <v>1.8644455617471474E-2</v>
          </cell>
          <cell r="I52">
            <v>3807.2710020827362</v>
          </cell>
          <cell r="J52">
            <v>0.13173948104092512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TANDA</v>
          </cell>
          <cell r="D53" t="str">
            <v>GRAMO</v>
          </cell>
          <cell r="E53">
            <v>140311.73133333333</v>
          </cell>
          <cell r="F53">
            <v>4.3847416041666669</v>
          </cell>
          <cell r="G53">
            <v>0</v>
          </cell>
          <cell r="H53">
            <v>0</v>
          </cell>
          <cell r="I53">
            <v>4950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TANDA</v>
          </cell>
          <cell r="D54" t="str">
            <v>GRAMO</v>
          </cell>
          <cell r="E54">
            <v>21845.003638823528</v>
          </cell>
          <cell r="F54">
            <v>2.2755212123774506</v>
          </cell>
          <cell r="G54">
            <v>420.14674999999994</v>
          </cell>
          <cell r="H54">
            <v>4.376528645833333E-2</v>
          </cell>
          <cell r="I54">
            <v>550</v>
          </cell>
          <cell r="J54">
            <v>5.7291666666666664E-2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700.14562941159068</v>
          </cell>
          <cell r="F59">
            <v>700.14562941159068</v>
          </cell>
          <cell r="G59">
            <v>4.2692446541649547</v>
          </cell>
          <cell r="H59">
            <v>4.2692446541649547</v>
          </cell>
          <cell r="I59">
            <v>46.592889436909168</v>
          </cell>
          <cell r="J59">
            <v>46.592889436909168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4824.2799000000005</v>
          </cell>
          <cell r="F61">
            <v>1.012865819861432</v>
          </cell>
          <cell r="G61">
            <v>64.754711587301585</v>
          </cell>
          <cell r="H61">
            <v>1.3595362499958342E-2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(1227 g)</v>
          </cell>
          <cell r="C62" t="str">
            <v>TANDA</v>
          </cell>
          <cell r="D62" t="str">
            <v>GRAMO</v>
          </cell>
          <cell r="E62">
            <v>520.91361319999999</v>
          </cell>
          <cell r="F62">
            <v>0.42454247204563977</v>
          </cell>
          <cell r="G62">
            <v>17.022725555555557</v>
          </cell>
          <cell r="H62">
            <v>1.3873451960517976E-2</v>
          </cell>
          <cell r="I62">
            <v>55</v>
          </cell>
          <cell r="J62">
            <v>4.4824775876120618E-2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5179.6507680000004</v>
          </cell>
          <cell r="F63">
            <v>0.53753121295143214</v>
          </cell>
          <cell r="G63">
            <v>67.090375555555553</v>
          </cell>
          <cell r="H63">
            <v>6.9624715188413818E-3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14742.3863884</v>
          </cell>
          <cell r="F65">
            <v>1.5965330721680746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43.385354920634924</v>
          </cell>
          <cell r="H66">
            <v>9.0764340838148383E-3</v>
          </cell>
          <cell r="I66">
            <v>165</v>
          </cell>
          <cell r="J66">
            <v>3.4518828451882845E-2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3405.0744131999995</v>
          </cell>
          <cell r="F67">
            <v>0.7555079683159529</v>
          </cell>
          <cell r="G67">
            <v>43.165582698412706</v>
          </cell>
          <cell r="H67">
            <v>9.5774534498364108E-3</v>
          </cell>
          <cell r="I67">
            <v>82.5</v>
          </cell>
          <cell r="J67">
            <v>1.8304859108054138E-2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18807.167751999998</v>
          </cell>
          <cell r="F69">
            <v>1.0265921262008733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TANDA</v>
          </cell>
          <cell r="D72" t="str">
            <v>GRAMO</v>
          </cell>
          <cell r="E72">
            <v>86679.037859999997</v>
          </cell>
          <cell r="F72">
            <v>1.5698458364574843</v>
          </cell>
          <cell r="G72">
            <v>0</v>
          </cell>
          <cell r="H72">
            <v>0</v>
          </cell>
          <cell r="I72">
            <v>990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TANDA</v>
          </cell>
          <cell r="D74" t="str">
            <v>GRAMO</v>
          </cell>
          <cell r="E74">
            <v>52093.046999999999</v>
          </cell>
          <cell r="F74">
            <v>6.2015532142857142</v>
          </cell>
          <cell r="G74">
            <v>28.572105000000001</v>
          </cell>
          <cell r="H74">
            <v>3.4014410714285717E-3</v>
          </cell>
          <cell r="I74">
            <v>1540</v>
          </cell>
          <cell r="J74">
            <v>0.18333333333333332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TANDA</v>
          </cell>
          <cell r="D75" t="str">
            <v>GRAMO</v>
          </cell>
          <cell r="E75">
            <v>16173.637850588233</v>
          </cell>
          <cell r="F75">
            <v>2.8006299308377893</v>
          </cell>
          <cell r="G75">
            <v>1324.7550000000001</v>
          </cell>
          <cell r="H75">
            <v>0.22939480519480521</v>
          </cell>
          <cell r="I75">
            <v>1100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125.51629951264256</v>
          </cell>
          <cell r="F77">
            <v>125.51629951264256</v>
          </cell>
          <cell r="G77">
            <v>0.39725898390898567</v>
          </cell>
          <cell r="H77">
            <v>0.39725898390898567</v>
          </cell>
          <cell r="I77">
            <v>19.596152667075415</v>
          </cell>
          <cell r="J77">
            <v>19.596152667075415</v>
          </cell>
        </row>
        <row r="78">
          <cell r="A78" t="str">
            <v>903000128</v>
          </cell>
          <cell r="B78" t="str">
            <v>SOMBRERO PALMITO (UND)</v>
          </cell>
          <cell r="C78" t="str">
            <v>UND</v>
          </cell>
          <cell r="D78" t="str">
            <v>UND</v>
          </cell>
          <cell r="E78">
            <v>76.891825005659996</v>
          </cell>
          <cell r="F78">
            <v>76.891825005659996</v>
          </cell>
          <cell r="G78">
            <v>1.0961469750919879</v>
          </cell>
          <cell r="H78">
            <v>1.0961469750919879</v>
          </cell>
          <cell r="I78">
            <v>37.355111117367287</v>
          </cell>
          <cell r="J78">
            <v>37.355111117367287</v>
          </cell>
        </row>
        <row r="79">
          <cell r="A79" t="str">
            <v>908000021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278.67987800638974</v>
          </cell>
          <cell r="F79">
            <v>0.27867987800638977</v>
          </cell>
          <cell r="G79">
            <v>5.4044722044728424</v>
          </cell>
          <cell r="H79">
            <v>5.4044722044728427E-3</v>
          </cell>
          <cell r="I79">
            <v>26.357827476038338</v>
          </cell>
          <cell r="J79">
            <v>2.6357827476038338E-2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(23300g)</v>
          </cell>
          <cell r="C81" t="str">
            <v>TANDA</v>
          </cell>
          <cell r="D81" t="str">
            <v>GRAMO</v>
          </cell>
          <cell r="E81">
            <v>20225.938512000001</v>
          </cell>
          <cell r="F81">
            <v>0.86806603055793996</v>
          </cell>
          <cell r="G81">
            <v>64.728212063492066</v>
          </cell>
          <cell r="H81">
            <v>2.7780348525103891E-3</v>
          </cell>
          <cell r="I81">
            <v>632.5</v>
          </cell>
          <cell r="J81">
            <v>2.7145922746781116E-2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903000001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869.35986014250375</v>
          </cell>
          <cell r="F85">
            <v>869.35986014250375</v>
          </cell>
          <cell r="G85">
            <v>11.256012693707518</v>
          </cell>
          <cell r="H85">
            <v>11.256012693707518</v>
          </cell>
          <cell r="I85">
            <v>93.482197464990548</v>
          </cell>
          <cell r="J85">
            <v>93.482197464990548</v>
          </cell>
        </row>
        <row r="86">
          <cell r="A86" t="str">
            <v>95555</v>
          </cell>
          <cell r="B86" t="str">
            <v>BASE PREMEZCLA CHILENA (23524g)</v>
          </cell>
          <cell r="C86" t="str">
            <v>TANDA</v>
          </cell>
          <cell r="D86" t="str">
            <v>GRAMO</v>
          </cell>
          <cell r="E86">
            <v>20225.938512000001</v>
          </cell>
          <cell r="F86">
            <v>0.85980014079238232</v>
          </cell>
          <cell r="G86">
            <v>64.728212063492066</v>
          </cell>
          <cell r="H86">
            <v>2.7515818765300147E-3</v>
          </cell>
          <cell r="I86">
            <v>192.5</v>
          </cell>
          <cell r="J86">
            <v>8.1831321203876886E-3</v>
          </cell>
        </row>
        <row r="87">
          <cell r="A87" t="str">
            <v>906000034</v>
          </cell>
          <cell r="B87" t="str">
            <v>PASTA FROLA (13287g)</v>
          </cell>
          <cell r="C87" t="str">
            <v>TANDA</v>
          </cell>
          <cell r="D87" t="str">
            <v>GRAMO</v>
          </cell>
          <cell r="E87">
            <v>10312.653875999998</v>
          </cell>
          <cell r="F87">
            <v>0.77614614856626762</v>
          </cell>
          <cell r="G87">
            <v>43.169083809523819</v>
          </cell>
          <cell r="H87">
            <v>3.248971461543149E-3</v>
          </cell>
          <cell r="I87">
            <v>1155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23.83719</v>
          </cell>
          <cell r="F88">
            <v>0.95348759999999999</v>
          </cell>
          <cell r="G88">
            <v>2.9325322222222225</v>
          </cell>
          <cell r="H88">
            <v>0.1173012888888889</v>
          </cell>
          <cell r="I88">
            <v>110</v>
          </cell>
          <cell r="J88">
            <v>4.4000000000000004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(5218g)</v>
          </cell>
          <cell r="C91" t="str">
            <v>TANDA</v>
          </cell>
          <cell r="D91" t="str">
            <v>GRAMO</v>
          </cell>
          <cell r="E91">
            <v>5181.0308002319098</v>
          </cell>
          <cell r="F91">
            <v>0.99291506328706591</v>
          </cell>
          <cell r="G91">
            <v>11.021531111111111</v>
          </cell>
          <cell r="H91">
            <v>2.1122137046974149E-3</v>
          </cell>
          <cell r="I91">
            <v>165</v>
          </cell>
          <cell r="J91">
            <v>3.1621310847067839E-2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20299.330214799997</v>
          </cell>
          <cell r="F92">
            <v>0.88169787667984179</v>
          </cell>
          <cell r="G92">
            <v>66.878521111111112</v>
          </cell>
          <cell r="H92">
            <v>2.9048569305091046E-3</v>
          </cell>
          <cell r="I92">
            <v>220</v>
          </cell>
          <cell r="J92">
            <v>9.5556617295747739E-3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20132.857961333335</v>
          </cell>
          <cell r="F93">
            <v>0.83090623034805344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9105.8788759999989</v>
          </cell>
          <cell r="F94">
            <v>0.84470119443413716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(14390g)</v>
          </cell>
          <cell r="C96" t="str">
            <v>TANDA</v>
          </cell>
          <cell r="D96" t="str">
            <v>GRAMO</v>
          </cell>
          <cell r="E96">
            <v>9327.9691929411765</v>
          </cell>
          <cell r="F96">
            <v>0.64822579520091572</v>
          </cell>
          <cell r="G96">
            <v>135.40247249999999</v>
          </cell>
          <cell r="H96">
            <v>9.4094838429464901E-3</v>
          </cell>
          <cell r="I96">
            <v>440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(21228g)</v>
          </cell>
          <cell r="C97" t="str">
            <v>TANDA</v>
          </cell>
          <cell r="D97" t="str">
            <v>GRAMO</v>
          </cell>
          <cell r="E97">
            <v>30198.672583476633</v>
          </cell>
          <cell r="F97">
            <v>1.4225867996738568</v>
          </cell>
          <cell r="G97">
            <v>0</v>
          </cell>
          <cell r="H97">
            <v>0</v>
          </cell>
          <cell r="I97">
            <v>1574.2933053543627</v>
          </cell>
          <cell r="J97">
            <v>7.4161169462707871E-2</v>
          </cell>
        </row>
        <row r="98">
          <cell r="A98" t="str">
            <v>95630</v>
          </cell>
          <cell r="B98" t="str">
            <v>ENSAMBLE PECHUGA RELLENAS (22000g)</v>
          </cell>
          <cell r="C98" t="str">
            <v>TANDA</v>
          </cell>
          <cell r="D98" t="str">
            <v>GRAMO</v>
          </cell>
          <cell r="E98">
            <v>125860.82133333334</v>
          </cell>
          <cell r="F98">
            <v>5.7209464242424248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(41085g)</v>
          </cell>
          <cell r="C99" t="str">
            <v>TANDA</v>
          </cell>
          <cell r="D99" t="str">
            <v>GRAMO</v>
          </cell>
          <cell r="E99">
            <v>118986.07140922942</v>
          </cell>
          <cell r="F99">
            <v>2.8960952028533389</v>
          </cell>
          <cell r="G99">
            <v>85.215440000000001</v>
          </cell>
          <cell r="H99">
            <v>2.0741253498843862E-3</v>
          </cell>
          <cell r="I99">
            <v>4400</v>
          </cell>
          <cell r="J99">
            <v>0.107095046854083</v>
          </cell>
        </row>
        <row r="100">
          <cell r="A100" t="str">
            <v>908000012</v>
          </cell>
          <cell r="B100" t="str">
            <v>QUESO PARMESANO RALLADO (4390g)</v>
          </cell>
          <cell r="C100" t="str">
            <v>TANDA</v>
          </cell>
          <cell r="D100" t="str">
            <v>GRAMO</v>
          </cell>
          <cell r="E100">
            <v>47256.901300000005</v>
          </cell>
          <cell r="F100">
            <v>10.764670000000001</v>
          </cell>
          <cell r="G100">
            <v>33.333333333333336</v>
          </cell>
          <cell r="H100">
            <v>7.5930144267274116E-3</v>
          </cell>
          <cell r="I100">
            <v>550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TANDA</v>
          </cell>
          <cell r="D102" t="str">
            <v>GRAMO</v>
          </cell>
          <cell r="E102">
            <v>5309.587267486776</v>
          </cell>
          <cell r="F102">
            <v>1.5170249335676502</v>
          </cell>
          <cell r="G102">
            <v>47.93678478327579</v>
          </cell>
          <cell r="H102">
            <v>1.3696224223793083E-2</v>
          </cell>
          <cell r="I102">
            <v>592.89988492520138</v>
          </cell>
          <cell r="J102">
            <v>0.16939996712148611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TANDA</v>
          </cell>
          <cell r="D103" t="str">
            <v>GRAMO</v>
          </cell>
          <cell r="E103">
            <v>23298.332923602386</v>
          </cell>
          <cell r="F103">
            <v>1.9611391349833658</v>
          </cell>
          <cell r="G103">
            <v>0</v>
          </cell>
          <cell r="H103">
            <v>0</v>
          </cell>
          <cell r="I103">
            <v>759.86258715223721</v>
          </cell>
          <cell r="J103">
            <v>6.3961497235036802E-2</v>
          </cell>
        </row>
        <row r="104">
          <cell r="A104" t="str">
            <v>905000013</v>
          </cell>
          <cell r="B104" t="str">
            <v>RELLENO CARNE P/ LASAGÑA (23200g)</v>
          </cell>
          <cell r="C104" t="str">
            <v>TANDA</v>
          </cell>
          <cell r="D104" t="str">
            <v>GRAMO</v>
          </cell>
          <cell r="E104">
            <v>31898.076823666299</v>
          </cell>
          <cell r="F104">
            <v>1.374917104468375</v>
          </cell>
          <cell r="G104">
            <v>5.9263668296050645E-5</v>
          </cell>
          <cell r="H104">
            <v>2.5544684610366657E-9</v>
          </cell>
          <cell r="I104">
            <v>4041.7999999999997</v>
          </cell>
          <cell r="J104">
            <v>0.17421551724137929</v>
          </cell>
        </row>
        <row r="105">
          <cell r="A105" t="str">
            <v>95658</v>
          </cell>
          <cell r="B105" t="str">
            <v>RELLENO POLLO CREPA (3000g)</v>
          </cell>
          <cell r="C105" t="str">
            <v>TANDA</v>
          </cell>
          <cell r="D105" t="str">
            <v>GRAMO</v>
          </cell>
          <cell r="E105">
            <v>8731.0283987621697</v>
          </cell>
          <cell r="F105">
            <v>2.9103427995873901</v>
          </cell>
          <cell r="G105">
            <v>13.544531111111111</v>
          </cell>
          <cell r="H105">
            <v>4.514843703703704E-3</v>
          </cell>
          <cell r="I105">
            <v>491.74674927061193</v>
          </cell>
          <cell r="J105">
            <v>0.16391558309020399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TANDA</v>
          </cell>
          <cell r="D106" t="str">
            <v>GRAMO</v>
          </cell>
          <cell r="E106">
            <v>4335.1080779220783</v>
          </cell>
          <cell r="F106">
            <v>5.6300104908078943</v>
          </cell>
          <cell r="G106">
            <v>0</v>
          </cell>
          <cell r="H106">
            <v>0</v>
          </cell>
          <cell r="I106">
            <v>357.14285714285717</v>
          </cell>
          <cell r="J106">
            <v>0.463821892393321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TANDA</v>
          </cell>
          <cell r="D109" t="str">
            <v>GRAMO</v>
          </cell>
          <cell r="E109">
            <v>43395.107599999996</v>
          </cell>
          <cell r="F109">
            <v>2.0664336952380951</v>
          </cell>
          <cell r="G109">
            <v>9.8401604535147387E-5</v>
          </cell>
          <cell r="H109">
            <v>4.6857906921498757E-9</v>
          </cell>
          <cell r="I109">
            <v>440</v>
          </cell>
          <cell r="J109">
            <v>2.0952380952380951E-2</v>
          </cell>
        </row>
        <row r="110">
          <cell r="A110" t="str">
            <v>905000007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5131.8064808497065</v>
          </cell>
          <cell r="F110">
            <v>1.7106021602832355</v>
          </cell>
          <cell r="G110">
            <v>115.4889219687858</v>
          </cell>
          <cell r="H110">
            <v>3.8496307322928601E-2</v>
          </cell>
          <cell r="I110">
            <v>323.14862542955325</v>
          </cell>
          <cell r="J110">
            <v>0.10771620847651775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(3000g)</v>
          </cell>
          <cell r="C112" t="str">
            <v>BOLSA</v>
          </cell>
          <cell r="D112" t="str">
            <v>GRAMO</v>
          </cell>
          <cell r="E112">
            <v>7395.5237540378503</v>
          </cell>
          <cell r="F112">
            <v>2.4651745846792834</v>
          </cell>
          <cell r="G112">
            <v>20.237424173441738</v>
          </cell>
          <cell r="H112">
            <v>6.7458080578139124E-3</v>
          </cell>
          <cell r="I112">
            <v>364.13353658536585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 8925</v>
          </cell>
          <cell r="C113" t="str">
            <v>TANDA</v>
          </cell>
          <cell r="D113" t="str">
            <v>GRAMO</v>
          </cell>
          <cell r="E113">
            <v>27163.554955068303</v>
          </cell>
          <cell r="F113">
            <v>3.0435355691953281</v>
          </cell>
          <cell r="G113">
            <v>45.909636315187292</v>
          </cell>
          <cell r="H113">
            <v>5.1439368420377919E-3</v>
          </cell>
          <cell r="I113">
            <v>1660.3668305354363</v>
          </cell>
          <cell r="J113">
            <v>0.18603549921965673</v>
          </cell>
        </row>
        <row r="114">
          <cell r="A114" t="str">
            <v>909000003</v>
          </cell>
          <cell r="B114" t="str">
            <v>RELLENO POLLO PASTEL (20730 )</v>
          </cell>
          <cell r="C114" t="str">
            <v>TANDA</v>
          </cell>
          <cell r="D114" t="str">
            <v>GRAMO</v>
          </cell>
          <cell r="E114">
            <v>67505.462348400877</v>
          </cell>
          <cell r="F114">
            <v>3.2564140061939644</v>
          </cell>
          <cell r="G114">
            <v>0</v>
          </cell>
          <cell r="H114">
            <v>0</v>
          </cell>
          <cell r="I114">
            <v>8443.875</v>
          </cell>
          <cell r="J114">
            <v>0.40732633863965267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(6200g)</v>
          </cell>
          <cell r="C116" t="str">
            <v>TANDA</v>
          </cell>
          <cell r="D116" t="str">
            <v>GRAMO</v>
          </cell>
          <cell r="E116">
            <v>13022.099999999999</v>
          </cell>
          <cell r="F116">
            <v>2.1003387096774193</v>
          </cell>
          <cell r="G116">
            <v>0</v>
          </cell>
          <cell r="H116">
            <v>0</v>
          </cell>
          <cell r="I116">
            <v>220</v>
          </cell>
          <cell r="J116">
            <v>3.5483870967741936E-2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TANDA</v>
          </cell>
          <cell r="D117" t="str">
            <v>GRAMO</v>
          </cell>
          <cell r="E117">
            <v>23723.05696794872</v>
          </cell>
          <cell r="F117">
            <v>2.2810631699950692</v>
          </cell>
          <cell r="G117">
            <v>0</v>
          </cell>
          <cell r="H117">
            <v>0</v>
          </cell>
          <cell r="I117">
            <v>1100</v>
          </cell>
          <cell r="J117">
            <v>0.10576923076923077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(6600 Kg)</v>
          </cell>
          <cell r="C119" t="str">
            <v>TANDA</v>
          </cell>
          <cell r="D119" t="str">
            <v>GRAMO</v>
          </cell>
          <cell r="E119">
            <v>13484.954282537949</v>
          </cell>
          <cell r="F119">
            <v>2.0431748912936287</v>
          </cell>
          <cell r="G119">
            <v>5.7817285407608283</v>
          </cell>
          <cell r="H119">
            <v>8.7601947587285275E-4</v>
          </cell>
          <cell r="I119">
            <v>1235.1789384001049</v>
          </cell>
          <cell r="J119">
            <v>0.18714832400001591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908000036</v>
          </cell>
          <cell r="B123" t="str">
            <v>JUGO DE LIMON (11 LIT)</v>
          </cell>
          <cell r="C123" t="str">
            <v>TANDA</v>
          </cell>
          <cell r="D123" t="str">
            <v>Mililitro</v>
          </cell>
          <cell r="E123">
            <v>4413.9799999999996</v>
          </cell>
          <cell r="F123">
            <v>0.40127090909090907</v>
          </cell>
          <cell r="G123">
            <v>25.59524588888889</v>
          </cell>
          <cell r="H123">
            <v>2.3268405353535355E-3</v>
          </cell>
          <cell r="I123">
            <v>165</v>
          </cell>
          <cell r="J123">
            <v>1.4999999999999999E-2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TANDA</v>
          </cell>
          <cell r="D124" t="str">
            <v>GRAMO</v>
          </cell>
          <cell r="E124">
            <v>8079.450220264318</v>
          </cell>
          <cell r="F124">
            <v>1.8156067910706333</v>
          </cell>
          <cell r="G124">
            <v>0</v>
          </cell>
          <cell r="H124">
            <v>0</v>
          </cell>
          <cell r="I124">
            <v>440</v>
          </cell>
          <cell r="J124">
            <v>9.8876404494382023E-2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905000028</v>
          </cell>
          <cell r="B126" t="str">
            <v>RELLENO QUESO P/TORTA ZANAHORIA (11100g)</v>
          </cell>
          <cell r="C126" t="str">
            <v>TANDA</v>
          </cell>
          <cell r="D126" t="str">
            <v>GRAMO</v>
          </cell>
          <cell r="E126">
            <v>31183.261017866665</v>
          </cell>
          <cell r="F126">
            <v>2.8348419107151512</v>
          </cell>
          <cell r="G126">
            <v>0</v>
          </cell>
          <cell r="H126">
            <v>0</v>
          </cell>
          <cell r="I126">
            <v>330</v>
          </cell>
          <cell r="J126">
            <v>0.03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TANDA</v>
          </cell>
          <cell r="D127" t="str">
            <v>GRAMO</v>
          </cell>
          <cell r="E127">
            <v>37019.90659397647</v>
          </cell>
          <cell r="F127">
            <v>1.3461784215991444</v>
          </cell>
          <cell r="G127">
            <v>204.80518793650796</v>
          </cell>
          <cell r="H127">
            <v>7.4474613795093804E-3</v>
          </cell>
          <cell r="I127">
            <v>770</v>
          </cell>
          <cell r="J127">
            <v>2.8000000000000001E-2</v>
          </cell>
        </row>
        <row r="128">
          <cell r="A128" t="str">
            <v>95716</v>
          </cell>
          <cell r="B128" t="str">
            <v>CREMA CHANTILLY FIGURITAS (6000g)</v>
          </cell>
          <cell r="C128" t="str">
            <v>KILO</v>
          </cell>
          <cell r="D128" t="str">
            <v>GRAMO</v>
          </cell>
          <cell r="E128">
            <v>1668.6120000000001</v>
          </cell>
          <cell r="F128">
            <v>1.668612</v>
          </cell>
          <cell r="G128">
            <v>0</v>
          </cell>
          <cell r="H128">
            <v>0</v>
          </cell>
          <cell r="I128">
            <v>46.666666666666671</v>
          </cell>
          <cell r="J128">
            <v>4.6666666666666669E-2</v>
          </cell>
        </row>
        <row r="129">
          <cell r="A129" t="str">
            <v>95717</v>
          </cell>
          <cell r="B129" t="str">
            <v>CREMA CHANTILLY BLANCA SPOON-IND (20800g)</v>
          </cell>
          <cell r="C129" t="str">
            <v>KILO</v>
          </cell>
          <cell r="D129" t="str">
            <v>GRAMO</v>
          </cell>
          <cell r="E129">
            <v>35437.302314</v>
          </cell>
          <cell r="F129">
            <v>1.7037164574038461</v>
          </cell>
          <cell r="G129">
            <v>1.1990000000000001</v>
          </cell>
          <cell r="H129">
            <v>5.764423076923077E-5</v>
          </cell>
          <cell r="I129">
            <v>550</v>
          </cell>
          <cell r="J129">
            <v>2.6442307692307692E-2</v>
          </cell>
        </row>
        <row r="130">
          <cell r="A130" t="str">
            <v>910000014</v>
          </cell>
          <cell r="B130" t="str">
            <v>CREMA CHANTILLY CHOCO (SPOON-IND)(24875g)</v>
          </cell>
          <cell r="C130" t="str">
            <v>KILO</v>
          </cell>
          <cell r="D130" t="str">
            <v>GRAMO</v>
          </cell>
          <cell r="E130">
            <v>44224.302314</v>
          </cell>
          <cell r="F130">
            <v>1.777861399557789</v>
          </cell>
          <cell r="G130">
            <v>0</v>
          </cell>
          <cell r="H130">
            <v>0</v>
          </cell>
          <cell r="I130">
            <v>330</v>
          </cell>
          <cell r="J130">
            <v>1.3266331658291457E-2</v>
          </cell>
        </row>
        <row r="131">
          <cell r="A131" t="str">
            <v>95719</v>
          </cell>
          <cell r="B131" t="str">
            <v>CREMA CHANTILLY CAFE (21 Kg)</v>
          </cell>
          <cell r="C131" t="str">
            <v>KILO</v>
          </cell>
          <cell r="D131" t="str">
            <v>GRAMO</v>
          </cell>
          <cell r="E131">
            <v>37164.17</v>
          </cell>
          <cell r="F131">
            <v>1.7820268520738431</v>
          </cell>
          <cell r="G131">
            <v>0</v>
          </cell>
          <cell r="H131">
            <v>0</v>
          </cell>
          <cell r="I131">
            <v>560</v>
          </cell>
          <cell r="J131">
            <v>2.685207384320307E-2</v>
          </cell>
        </row>
        <row r="132">
          <cell r="A132" t="str">
            <v>95720</v>
          </cell>
          <cell r="B132" t="str">
            <v>MEZCLA ENGRASE MOLDES (29800g)</v>
          </cell>
          <cell r="C132" t="str">
            <v>KILO</v>
          </cell>
          <cell r="D132" t="str">
            <v>GRAMO</v>
          </cell>
          <cell r="E132">
            <v>24772</v>
          </cell>
          <cell r="F132">
            <v>0.83127516778523491</v>
          </cell>
          <cell r="G132">
            <v>337.97076000000004</v>
          </cell>
          <cell r="H132">
            <v>1.1341300671140942E-2</v>
          </cell>
          <cell r="I132">
            <v>1650</v>
          </cell>
          <cell r="J132">
            <v>5.5369127516778527E-2</v>
          </cell>
        </row>
        <row r="133">
          <cell r="A133" t="str">
            <v>95721</v>
          </cell>
          <cell r="B133" t="str">
            <v>BASE PREMEZCLA P/SUSPIRO (4055g)</v>
          </cell>
          <cell r="C133" t="str">
            <v>TANDA</v>
          </cell>
          <cell r="D133" t="str">
            <v>GRAMO</v>
          </cell>
          <cell r="E133">
            <v>11950.755438000002</v>
          </cell>
          <cell r="F133">
            <v>2.9471653361282373</v>
          </cell>
          <cell r="G133">
            <v>11.020357777777779</v>
          </cell>
          <cell r="H133">
            <v>2.7177207836689959E-3</v>
          </cell>
          <cell r="I133">
            <v>110</v>
          </cell>
          <cell r="J133">
            <v>2.7127003699136867E-2</v>
          </cell>
        </row>
        <row r="134">
          <cell r="A134" t="str">
            <v>903000040</v>
          </cell>
          <cell r="B134" t="str">
            <v>ROSQUETE VAINILLA PURATOS (350g)</v>
          </cell>
          <cell r="C134" t="str">
            <v>UND</v>
          </cell>
          <cell r="D134" t="str">
            <v>UND</v>
          </cell>
          <cell r="E134">
            <v>292.26357191221223</v>
          </cell>
          <cell r="F134">
            <v>292.26357191221223</v>
          </cell>
          <cell r="G134">
            <v>6.3708003318896704</v>
          </cell>
          <cell r="H134">
            <v>6.3708003318896704</v>
          </cell>
          <cell r="I134">
            <v>9.0835665091884792</v>
          </cell>
          <cell r="J134">
            <v>9.0835665091884792</v>
          </cell>
        </row>
        <row r="135">
          <cell r="A135" t="str">
            <v>95723</v>
          </cell>
          <cell r="B135" t="str">
            <v>ROSQUETE CHOCOLATE BUCCA  (425g)</v>
          </cell>
          <cell r="C135" t="str">
            <v>UND</v>
          </cell>
          <cell r="D135" t="str">
            <v>UND</v>
          </cell>
          <cell r="E135">
            <v>474.88237784340049</v>
          </cell>
          <cell r="F135">
            <v>474.88237784340049</v>
          </cell>
          <cell r="G135">
            <v>9.1301279333483265</v>
          </cell>
          <cell r="H135">
            <v>9.1301279333483265</v>
          </cell>
          <cell r="I135">
            <v>46.30613969674372</v>
          </cell>
          <cell r="J135">
            <v>46.30613969674372</v>
          </cell>
        </row>
        <row r="136">
          <cell r="A136" t="str">
            <v>95732</v>
          </cell>
          <cell r="B136" t="str">
            <v>PLANCHA ROSQUETE ZANAHORIA (900g)</v>
          </cell>
          <cell r="C136" t="str">
            <v>UND</v>
          </cell>
          <cell r="D136" t="str">
            <v>UND</v>
          </cell>
          <cell r="E136">
            <v>1631.6073961350182</v>
          </cell>
          <cell r="F136">
            <v>1631.6073961350182</v>
          </cell>
          <cell r="G136">
            <v>33.643738712590341</v>
          </cell>
          <cell r="H136">
            <v>33.643738712590341</v>
          </cell>
          <cell r="I136">
            <v>179.32800631662062</v>
          </cell>
          <cell r="J136">
            <v>179.32800631662062</v>
          </cell>
        </row>
        <row r="137">
          <cell r="A137" t="str">
            <v>95736</v>
          </cell>
          <cell r="B137" t="str">
            <v>SALSA FRESA (1980g)</v>
          </cell>
          <cell r="C137" t="str">
            <v>TANDA</v>
          </cell>
          <cell r="D137" t="str">
            <v>GRAMO</v>
          </cell>
          <cell r="E137">
            <v>9718.1740000000009</v>
          </cell>
          <cell r="F137">
            <v>2.557414210526316</v>
          </cell>
          <cell r="G137">
            <v>10.8</v>
          </cell>
          <cell r="H137">
            <v>2.8421052631578949E-3</v>
          </cell>
          <cell r="I137">
            <v>220</v>
          </cell>
          <cell r="J137">
            <v>5.7894736842105263E-2</v>
          </cell>
        </row>
        <row r="138">
          <cell r="A138" t="str">
            <v>95739</v>
          </cell>
          <cell r="B138" t="str">
            <v>COCCION PAPA P/PURE (1000g)</v>
          </cell>
          <cell r="C138" t="str">
            <v>TANDA</v>
          </cell>
          <cell r="D138" t="str">
            <v>GRAMO</v>
          </cell>
          <cell r="E138">
            <v>1902</v>
          </cell>
          <cell r="F138">
            <v>1.9019999999999999</v>
          </cell>
          <cell r="G138">
            <v>11.571035</v>
          </cell>
          <cell r="H138">
            <v>1.1571035E-2</v>
          </cell>
          <cell r="I138">
            <v>110</v>
          </cell>
          <cell r="J138">
            <v>0.11</v>
          </cell>
        </row>
        <row r="139">
          <cell r="A139" t="str">
            <v>95742</v>
          </cell>
          <cell r="B139" t="str">
            <v>ADEREZO ALCAPARRAS Y ANCHOAS (1280g)</v>
          </cell>
          <cell r="C139" t="str">
            <v>KILO</v>
          </cell>
          <cell r="D139" t="str">
            <v>GRAMO</v>
          </cell>
          <cell r="E139">
            <v>3186.3497932995865</v>
          </cell>
          <cell r="F139">
            <v>3.1863497932995863</v>
          </cell>
          <cell r="G139">
            <v>10.480755004741077</v>
          </cell>
          <cell r="H139">
            <v>1.0480755004741077E-2</v>
          </cell>
          <cell r="I139">
            <v>220.34519033879377</v>
          </cell>
          <cell r="J139">
            <v>0.22034519033879377</v>
          </cell>
        </row>
        <row r="140">
          <cell r="A140" t="str">
            <v>95743</v>
          </cell>
          <cell r="B140" t="str">
            <v>ADEREZO TEJANO (700g)</v>
          </cell>
          <cell r="C140" t="str">
            <v>KILO</v>
          </cell>
          <cell r="D140" t="str">
            <v>GRAMO</v>
          </cell>
          <cell r="E140">
            <v>1519.4840372487097</v>
          </cell>
          <cell r="F140">
            <v>1.5194840372487097</v>
          </cell>
          <cell r="G140">
            <v>0</v>
          </cell>
          <cell r="H140">
            <v>0</v>
          </cell>
          <cell r="I140">
            <v>380.61649851794556</v>
          </cell>
          <cell r="J140">
            <v>0.38061649851794555</v>
          </cell>
        </row>
        <row r="141">
          <cell r="A141" t="str">
            <v>95745</v>
          </cell>
          <cell r="B141" t="str">
            <v>CARNE MECHADA ARREGLADA (3170g)</v>
          </cell>
          <cell r="C141" t="str">
            <v>KILO</v>
          </cell>
          <cell r="D141" t="str">
            <v>GRAMO</v>
          </cell>
          <cell r="E141">
            <v>4022.521239392076</v>
          </cell>
          <cell r="F141">
            <v>4.0225212393920762</v>
          </cell>
          <cell r="G141">
            <v>42.743247032468886</v>
          </cell>
          <cell r="H141">
            <v>4.2743247032468887E-2</v>
          </cell>
          <cell r="I141">
            <v>256.04155281028466</v>
          </cell>
          <cell r="J141">
            <v>0.25604155281028468</v>
          </cell>
        </row>
        <row r="142">
          <cell r="A142" t="str">
            <v>95776</v>
          </cell>
          <cell r="B142" t="str">
            <v>BASE PREMEZCLA VAINILLA PURATOS (12522g)</v>
          </cell>
          <cell r="C142" t="str">
            <v>KILO</v>
          </cell>
          <cell r="D142" t="str">
            <v>GRAMO</v>
          </cell>
          <cell r="E142">
            <v>1909.9114799999998</v>
          </cell>
          <cell r="F142">
            <v>0.4813284979838709</v>
          </cell>
          <cell r="G142">
            <v>45.869093809523811</v>
          </cell>
          <cell r="H142">
            <v>1.1559751464093703E-2</v>
          </cell>
          <cell r="I142">
            <v>110</v>
          </cell>
          <cell r="J142">
            <v>2.7721774193548387E-2</v>
          </cell>
        </row>
        <row r="143">
          <cell r="A143" t="str">
            <v>95781</v>
          </cell>
          <cell r="B143" t="str">
            <v>BASE PREMEZCLA GALLETA JENGIBRE (10081g)</v>
          </cell>
          <cell r="C143" t="str">
            <v>TANDA</v>
          </cell>
          <cell r="D143" t="str">
            <v>GRAMO</v>
          </cell>
          <cell r="E143">
            <v>8815.3442730000006</v>
          </cell>
          <cell r="F143">
            <v>0.87445137119333405</v>
          </cell>
          <cell r="G143">
            <v>53.963805396825393</v>
          </cell>
          <cell r="H143">
            <v>5.3530210690234496E-3</v>
          </cell>
          <cell r="I143">
            <v>280</v>
          </cell>
          <cell r="J143">
            <v>2.7775022319214363E-2</v>
          </cell>
        </row>
        <row r="144">
          <cell r="A144" t="str">
            <v>95784</v>
          </cell>
          <cell r="B144" t="str">
            <v>EMPAQUE SALSA ROJA SPOON (2000g)</v>
          </cell>
          <cell r="C144" t="str">
            <v>BOLSA</v>
          </cell>
          <cell r="D144" t="str">
            <v>GRAMO</v>
          </cell>
          <cell r="E144">
            <v>3540.6923279097305</v>
          </cell>
          <cell r="F144">
            <v>1.1802307759699102</v>
          </cell>
          <cell r="G144">
            <v>28.15436968503937</v>
          </cell>
          <cell r="H144">
            <v>9.3847898950131237E-3</v>
          </cell>
          <cell r="I144">
            <v>177.08700787401574</v>
          </cell>
          <cell r="J144">
            <v>5.9029002624671915E-2</v>
          </cell>
        </row>
        <row r="145">
          <cell r="A145" t="str">
            <v>95785</v>
          </cell>
          <cell r="B145" t="str">
            <v>COCCION BERENJENA EMPARRILLADA (2880g)</v>
          </cell>
          <cell r="C145" t="str">
            <v>KILO</v>
          </cell>
          <cell r="D145" t="str">
            <v>GRAMO</v>
          </cell>
          <cell r="E145">
            <v>2635.993496521739</v>
          </cell>
          <cell r="F145">
            <v>2.6359934965217389</v>
          </cell>
          <cell r="G145">
            <v>0</v>
          </cell>
          <cell r="H145">
            <v>0</v>
          </cell>
          <cell r="I145">
            <v>486.95652173913044</v>
          </cell>
          <cell r="J145">
            <v>0.48695652173913045</v>
          </cell>
        </row>
        <row r="146">
          <cell r="A146" t="str">
            <v>95786</v>
          </cell>
          <cell r="B146" t="str">
            <v>COCCION ZUCCINI EMPARRILLADO (1600g)</v>
          </cell>
          <cell r="C146" t="str">
            <v>KILO</v>
          </cell>
          <cell r="D146" t="str">
            <v>GRAMO</v>
          </cell>
          <cell r="E146">
            <v>5064.2918999999993</v>
          </cell>
          <cell r="F146">
            <v>5.0642918999999988</v>
          </cell>
          <cell r="G146">
            <v>0</v>
          </cell>
          <cell r="H146">
            <v>0</v>
          </cell>
          <cell r="I146">
            <v>687.5</v>
          </cell>
          <cell r="J146">
            <v>0.6875</v>
          </cell>
        </row>
        <row r="147">
          <cell r="A147" t="str">
            <v>95789</v>
          </cell>
          <cell r="B147" t="str">
            <v>CREMA CON MANJAR (21000g)</v>
          </cell>
          <cell r="C147" t="str">
            <v>TANDA</v>
          </cell>
          <cell r="D147" t="str">
            <v>GRAMO</v>
          </cell>
          <cell r="E147">
            <v>44785.534875999998</v>
          </cell>
          <cell r="F147">
            <v>2.1326445179047617</v>
          </cell>
          <cell r="G147">
            <v>0.61599999999999999</v>
          </cell>
          <cell r="H147">
            <v>2.9333333333333333E-5</v>
          </cell>
          <cell r="I147">
            <v>550</v>
          </cell>
          <cell r="J147">
            <v>2.6190476190476191E-2</v>
          </cell>
        </row>
        <row r="148">
          <cell r="A148" t="str">
            <v>95790</v>
          </cell>
          <cell r="B148" t="str">
            <v>CALDO P/SOPA NEGRA (1.780g)</v>
          </cell>
          <cell r="C148" t="str">
            <v>KILO</v>
          </cell>
          <cell r="D148" t="str">
            <v>GRAMO</v>
          </cell>
          <cell r="E148">
            <v>752.71955666666668</v>
          </cell>
          <cell r="F148">
            <v>0.75271955666666668</v>
          </cell>
          <cell r="G148">
            <v>0</v>
          </cell>
          <cell r="H148">
            <v>0</v>
          </cell>
          <cell r="I148">
            <v>137.5</v>
          </cell>
          <cell r="J148">
            <v>0.13750000000000001</v>
          </cell>
        </row>
        <row r="149">
          <cell r="A149" t="str">
            <v>95793</v>
          </cell>
          <cell r="B149" t="str">
            <v>ALMIBAR DE CAFE (12.1 Kg)</v>
          </cell>
          <cell r="C149" t="str">
            <v>KILO</v>
          </cell>
          <cell r="D149" t="str">
            <v>GRAMO</v>
          </cell>
          <cell r="E149">
            <v>408.48461283764158</v>
          </cell>
          <cell r="F149">
            <v>0.40848461283764159</v>
          </cell>
          <cell r="G149">
            <v>7.6222862358408356</v>
          </cell>
          <cell r="H149">
            <v>7.6222862358408354E-3</v>
          </cell>
          <cell r="I149">
            <v>49.755762680537586</v>
          </cell>
          <cell r="J149">
            <v>4.9755762680537587E-2</v>
          </cell>
        </row>
        <row r="150">
          <cell r="A150" t="str">
            <v>95795</v>
          </cell>
          <cell r="B150" t="str">
            <v>BASE PREMEZCLA P/ PAN BLANCO (8156g)</v>
          </cell>
          <cell r="C150" t="str">
            <v>TANDA</v>
          </cell>
          <cell r="D150" t="str">
            <v>GRAMO</v>
          </cell>
          <cell r="E150">
            <v>10933.471006</v>
          </cell>
          <cell r="F150">
            <v>0.67926633983598406</v>
          </cell>
          <cell r="G150">
            <v>45.865592698412698</v>
          </cell>
          <cell r="H150">
            <v>2.8495025284799142E-3</v>
          </cell>
          <cell r="I150">
            <v>110</v>
          </cell>
          <cell r="J150">
            <v>6.8339960238568585E-3</v>
          </cell>
        </row>
        <row r="151">
          <cell r="A151" t="str">
            <v>95797</v>
          </cell>
          <cell r="B151" t="str">
            <v>BOLLETA PAN BLANCO 140G (UND)</v>
          </cell>
          <cell r="C151" t="str">
            <v>UND</v>
          </cell>
          <cell r="D151" t="str">
            <v>UND</v>
          </cell>
          <cell r="E151">
            <v>71.121492454165036</v>
          </cell>
          <cell r="F151">
            <v>71.121492454165036</v>
          </cell>
          <cell r="G151">
            <v>0.27852989712318466</v>
          </cell>
          <cell r="H151">
            <v>0.27852989712318466</v>
          </cell>
          <cell r="I151">
            <v>18.51807179710579</v>
          </cell>
          <cell r="J151">
            <v>18.51807179710579</v>
          </cell>
        </row>
        <row r="152">
          <cell r="A152" t="str">
            <v>95803</v>
          </cell>
          <cell r="B152" t="str">
            <v>GALLETA P/ALFAJOR MEDIANO (UND)</v>
          </cell>
          <cell r="C152" t="str">
            <v>UND</v>
          </cell>
          <cell r="D152" t="str">
            <v>UND</v>
          </cell>
          <cell r="E152">
            <v>14.066912117670235</v>
          </cell>
          <cell r="F152">
            <v>14.066912117670235</v>
          </cell>
          <cell r="G152">
            <v>4.4991244674881463E-2</v>
          </cell>
          <cell r="H152">
            <v>4.4991244674881463E-2</v>
          </cell>
          <cell r="I152">
            <v>5.4696969696969697</v>
          </cell>
          <cell r="J152">
            <v>5.4696969696969697</v>
          </cell>
        </row>
        <row r="153">
          <cell r="A153" t="str">
            <v>95805</v>
          </cell>
          <cell r="B153" t="str">
            <v>ROSQUETE CHOCOLATE SPOON RED  (400g)</v>
          </cell>
          <cell r="C153" t="str">
            <v>UND</v>
          </cell>
          <cell r="D153" t="str">
            <v>UND</v>
          </cell>
          <cell r="E153">
            <v>515.15772492823965</v>
          </cell>
          <cell r="F153">
            <v>515.15772492823965</v>
          </cell>
          <cell r="G153">
            <v>7.9348272087369232</v>
          </cell>
          <cell r="H153">
            <v>7.9348272087369232</v>
          </cell>
          <cell r="I153">
            <v>19.624901438899521</v>
          </cell>
          <cell r="J153">
            <v>19.624901438899521</v>
          </cell>
        </row>
        <row r="154">
          <cell r="A154" t="str">
            <v>95812</v>
          </cell>
          <cell r="B154" t="str">
            <v>TOCINETA FRITA (265g)</v>
          </cell>
          <cell r="C154" t="str">
            <v>KILO</v>
          </cell>
          <cell r="D154" t="str">
            <v>GRAMO</v>
          </cell>
          <cell r="E154">
            <v>10598.679245283018</v>
          </cell>
          <cell r="F154">
            <v>10.598679245283018</v>
          </cell>
          <cell r="G154">
            <v>0</v>
          </cell>
          <cell r="H154">
            <v>0</v>
          </cell>
          <cell r="I154">
            <v>1056.6037735849056</v>
          </cell>
          <cell r="J154">
            <v>1.0566037735849056</v>
          </cell>
        </row>
        <row r="155">
          <cell r="A155" t="str">
            <v>907000001</v>
          </cell>
          <cell r="B155" t="str">
            <v>MEZCLA TRES LECHES PASTEURIZADA (62500 ml)</v>
          </cell>
          <cell r="C155" t="str">
            <v>LITRO</v>
          </cell>
          <cell r="D155" t="str">
            <v>Mililitro</v>
          </cell>
          <cell r="E155">
            <v>95650.073764000001</v>
          </cell>
          <cell r="F155">
            <v>1.5304011802240001</v>
          </cell>
          <cell r="G155">
            <v>0</v>
          </cell>
          <cell r="H155">
            <v>0</v>
          </cell>
          <cell r="I155">
            <v>605</v>
          </cell>
          <cell r="J155">
            <v>9.6799999999999994E-3</v>
          </cell>
        </row>
        <row r="156">
          <cell r="A156" t="str">
            <v>95820</v>
          </cell>
          <cell r="B156" t="str">
            <v>CALDO P/SOPA POLLO (1150g)</v>
          </cell>
          <cell r="C156" t="str">
            <v>KILO</v>
          </cell>
          <cell r="D156" t="str">
            <v>GRAMO</v>
          </cell>
          <cell r="E156">
            <v>545.74586700000009</v>
          </cell>
          <cell r="F156">
            <v>0.54574586700000005</v>
          </cell>
          <cell r="G156">
            <v>12.604402499999999</v>
          </cell>
          <cell r="H156">
            <v>1.2604402499999999E-2</v>
          </cell>
          <cell r="I156">
            <v>275</v>
          </cell>
          <cell r="J156">
            <v>0.27500000000000002</v>
          </cell>
        </row>
        <row r="157">
          <cell r="A157" t="str">
            <v>95821</v>
          </cell>
          <cell r="B157" t="str">
            <v>COCCION CREMA BROCOLI (4000g)</v>
          </cell>
          <cell r="C157" t="str">
            <v>KILO</v>
          </cell>
          <cell r="D157" t="str">
            <v>GRAMO</v>
          </cell>
          <cell r="E157">
            <v>1126.8274617431762</v>
          </cell>
          <cell r="F157">
            <v>1.1268274617431762</v>
          </cell>
          <cell r="G157">
            <v>0</v>
          </cell>
          <cell r="H157">
            <v>0</v>
          </cell>
          <cell r="I157">
            <v>66.532258064516128</v>
          </cell>
          <cell r="J157">
            <v>6.6532258064516125E-2</v>
          </cell>
        </row>
        <row r="158">
          <cell r="A158" t="str">
            <v>95822</v>
          </cell>
          <cell r="B158" t="str">
            <v>CALDO P/SOPA AZTECA (34580g)</v>
          </cell>
          <cell r="C158" t="str">
            <v>TANDA</v>
          </cell>
          <cell r="D158" t="str">
            <v>GRAMO</v>
          </cell>
          <cell r="E158">
            <v>33517.644825641022</v>
          </cell>
          <cell r="F158">
            <v>0.96927833503878025</v>
          </cell>
          <cell r="G158">
            <v>2.8030027039872187E-5</v>
          </cell>
          <cell r="H158">
            <v>8.1058493464060695E-10</v>
          </cell>
          <cell r="I158">
            <v>1650</v>
          </cell>
          <cell r="J158">
            <v>4.7715442452284561E-2</v>
          </cell>
        </row>
        <row r="159">
          <cell r="A159" t="str">
            <v>95827</v>
          </cell>
          <cell r="B159" t="str">
            <v>TEMPERADO CHOCOLATE LECHE BELCOLADE (4900g)</v>
          </cell>
          <cell r="C159" t="str">
            <v>KILO</v>
          </cell>
          <cell r="D159" t="str">
            <v>GRAMO</v>
          </cell>
          <cell r="E159">
            <v>6636.7346938775509</v>
          </cell>
          <cell r="F159">
            <v>6.6367346938775507</v>
          </cell>
          <cell r="G159">
            <v>1.8918510204081629</v>
          </cell>
          <cell r="H159">
            <v>1.891851020408163E-3</v>
          </cell>
          <cell r="I159">
            <v>57.142857142857139</v>
          </cell>
          <cell r="J159">
            <v>5.7142857142857141E-2</v>
          </cell>
        </row>
        <row r="160">
          <cell r="A160" t="str">
            <v>95828</v>
          </cell>
          <cell r="B160" t="str">
            <v>TEMPERADO CHOCOLATE BLANCO (3200g)</v>
          </cell>
          <cell r="C160" t="str">
            <v>KILO</v>
          </cell>
          <cell r="D160" t="str">
            <v>GRAMO</v>
          </cell>
          <cell r="E160">
            <v>4534.6199374999997</v>
          </cell>
          <cell r="F160">
            <v>4.5346199374999996</v>
          </cell>
          <cell r="G160">
            <v>2.9559371874999996</v>
          </cell>
          <cell r="H160">
            <v>2.9559371874999995E-3</v>
          </cell>
          <cell r="I160">
            <v>87.5</v>
          </cell>
          <cell r="J160">
            <v>8.7499999999999994E-2</v>
          </cell>
        </row>
        <row r="161">
          <cell r="A161" t="str">
            <v>95829</v>
          </cell>
          <cell r="B161" t="str">
            <v>GLACE BLANCO PURO (7495g)</v>
          </cell>
          <cell r="C161" t="str">
            <v>KILO</v>
          </cell>
          <cell r="D161" t="str">
            <v>GRAMO</v>
          </cell>
          <cell r="E161">
            <v>1609.9631754503</v>
          </cell>
          <cell r="F161">
            <v>1.6099631754503001</v>
          </cell>
          <cell r="G161">
            <v>4.8027942628418954</v>
          </cell>
          <cell r="H161">
            <v>4.8027942628418949E-3</v>
          </cell>
          <cell r="I161">
            <v>89.659773182121413</v>
          </cell>
          <cell r="J161">
            <v>8.9659773182121413E-2</v>
          </cell>
        </row>
        <row r="162">
          <cell r="A162" t="str">
            <v>95831</v>
          </cell>
          <cell r="B162" t="str">
            <v>BASE PREMEZCLA RELLENO CHOCOFRESA (5400g)</v>
          </cell>
          <cell r="C162" t="str">
            <v>TANDA</v>
          </cell>
          <cell r="D162" t="str">
            <v>GRAMO</v>
          </cell>
          <cell r="E162">
            <v>16413.192000000003</v>
          </cell>
          <cell r="F162">
            <v>3.0394800000000006</v>
          </cell>
          <cell r="G162">
            <v>73.876666666666665</v>
          </cell>
          <cell r="H162">
            <v>1.3680864197530864E-2</v>
          </cell>
          <cell r="I162">
            <v>55</v>
          </cell>
          <cell r="J162">
            <v>1.0185185185185186E-2</v>
          </cell>
        </row>
        <row r="163">
          <cell r="A163" t="str">
            <v>95832</v>
          </cell>
          <cell r="B163" t="str">
            <v>GALLETAS P/CAFE (UND)</v>
          </cell>
          <cell r="C163" t="str">
            <v>UND</v>
          </cell>
          <cell r="D163" t="str">
            <v>UND</v>
          </cell>
          <cell r="E163">
            <v>15.120441866741274</v>
          </cell>
          <cell r="F163">
            <v>15.120441866741274</v>
          </cell>
          <cell r="G163">
            <v>7.417582417582419E-2</v>
          </cell>
          <cell r="H163">
            <v>7.417582417582419E-2</v>
          </cell>
          <cell r="I163">
            <v>4.5983165891937823</v>
          </cell>
          <cell r="J163">
            <v>4.5983165891937823</v>
          </cell>
        </row>
        <row r="164">
          <cell r="A164" t="str">
            <v>95834</v>
          </cell>
          <cell r="B164" t="str">
            <v>FLAN CARAMELO MINI P/FLAN TRES LECHES (UND=500g)</v>
          </cell>
          <cell r="C164" t="str">
            <v>UND</v>
          </cell>
          <cell r="D164" t="str">
            <v>UND</v>
          </cell>
          <cell r="E164">
            <v>1039.3142487019609</v>
          </cell>
          <cell r="F164">
            <v>1039.3142487019609</v>
          </cell>
          <cell r="G164">
            <v>24.008873999999999</v>
          </cell>
          <cell r="H164">
            <v>24.008873999999999</v>
          </cell>
          <cell r="I164">
            <v>77.400000000000006</v>
          </cell>
          <cell r="J164">
            <v>77.400000000000006</v>
          </cell>
        </row>
        <row r="165">
          <cell r="A165" t="str">
            <v>95846</v>
          </cell>
          <cell r="B165" t="str">
            <v>COCCION SALSA ROJA SPOON (31750g)</v>
          </cell>
          <cell r="C165" t="str">
            <v>TANDA</v>
          </cell>
          <cell r="D165" t="str">
            <v>GRAMO</v>
          </cell>
          <cell r="E165">
            <v>37472.327137044653</v>
          </cell>
          <cell r="F165">
            <v>1.1802307759699102</v>
          </cell>
          <cell r="G165">
            <v>42.858157499999997</v>
          </cell>
          <cell r="H165">
            <v>1.3498632283464565E-3</v>
          </cell>
          <cell r="I165">
            <v>1100</v>
          </cell>
          <cell r="J165">
            <v>3.4645669291338582E-2</v>
          </cell>
        </row>
        <row r="166">
          <cell r="A166" t="str">
            <v>95854</v>
          </cell>
          <cell r="B166" t="str">
            <v>COCCION CREMA DE AYOTE (30800g)</v>
          </cell>
          <cell r="C166" t="str">
            <v>TANDA</v>
          </cell>
          <cell r="D166" t="str">
            <v>GRAMO</v>
          </cell>
          <cell r="E166">
            <v>42689.357034230779</v>
          </cell>
          <cell r="F166">
            <v>1.3860180855269733</v>
          </cell>
          <cell r="G166">
            <v>3.814676212170518</v>
          </cell>
          <cell r="H166">
            <v>1.2385312377177006E-4</v>
          </cell>
          <cell r="I166">
            <v>1715.2733485193621</v>
          </cell>
          <cell r="J166">
            <v>5.5690693133745521E-2</v>
          </cell>
        </row>
        <row r="167">
          <cell r="A167" t="str">
            <v>908000042</v>
          </cell>
          <cell r="B167" t="str">
            <v>COCCION PECHUGA PARRILLA (UND)</v>
          </cell>
          <cell r="C167" t="str">
            <v>UND</v>
          </cell>
          <cell r="D167" t="str">
            <v>UND</v>
          </cell>
          <cell r="E167">
            <v>452.11328695249421</v>
          </cell>
          <cell r="F167">
            <v>452.11328695249421</v>
          </cell>
          <cell r="G167">
            <v>4.0254080435939166</v>
          </cell>
          <cell r="H167">
            <v>4.0254080435939166</v>
          </cell>
          <cell r="I167">
            <v>9.8290511360080117</v>
          </cell>
          <cell r="J167">
            <v>9.8290511360080117</v>
          </cell>
        </row>
        <row r="168">
          <cell r="A168" t="str">
            <v>95863</v>
          </cell>
          <cell r="B168" t="str">
            <v>BASE PREMEZCLA PURE DE PAPA (4000g)</v>
          </cell>
          <cell r="C168" t="str">
            <v>TANDA</v>
          </cell>
          <cell r="D168" t="str">
            <v>GRAMO</v>
          </cell>
          <cell r="E168">
            <v>7311.6</v>
          </cell>
          <cell r="F168">
            <v>1.8279000000000001</v>
          </cell>
          <cell r="G168">
            <v>33.333333333333336</v>
          </cell>
          <cell r="H168">
            <v>8.3333333333333332E-3</v>
          </cell>
          <cell r="I168">
            <v>55</v>
          </cell>
          <cell r="J168">
            <v>1.375E-2</v>
          </cell>
        </row>
        <row r="169">
          <cell r="A169" t="str">
            <v>95874</v>
          </cell>
          <cell r="B169" t="str">
            <v>SALSA TAMARINDO (2905g)</v>
          </cell>
          <cell r="C169" t="str">
            <v>TANDA</v>
          </cell>
          <cell r="D169" t="str">
            <v>GRAMO</v>
          </cell>
          <cell r="E169">
            <v>2956.3493656953806</v>
          </cell>
          <cell r="F169">
            <v>0.78210300679771971</v>
          </cell>
          <cell r="G169">
            <v>12.047000000000001</v>
          </cell>
          <cell r="H169">
            <v>3.1870370370370373E-3</v>
          </cell>
          <cell r="I169">
            <v>275</v>
          </cell>
          <cell r="J169">
            <v>7.2751322751322747E-2</v>
          </cell>
        </row>
        <row r="170">
          <cell r="A170" t="str">
            <v>95878</v>
          </cell>
          <cell r="B170" t="str">
            <v>SALSA LIMON Y ALCAPARRAS (1200g)</v>
          </cell>
          <cell r="C170" t="str">
            <v>KILO</v>
          </cell>
          <cell r="D170" t="str">
            <v>GRAMO</v>
          </cell>
          <cell r="E170">
            <v>1960.6105894221296</v>
          </cell>
          <cell r="F170">
            <v>1.9606105894221295</v>
          </cell>
          <cell r="G170">
            <v>9.8570690296466451E-2</v>
          </cell>
          <cell r="H170">
            <v>9.8570690296466445E-5</v>
          </cell>
          <cell r="I170">
            <v>119.79520840170659</v>
          </cell>
          <cell r="J170">
            <v>0.11979520840170658</v>
          </cell>
        </row>
        <row r="171">
          <cell r="A171" t="str">
            <v>95879</v>
          </cell>
          <cell r="B171" t="str">
            <v>RELLENO CARNE SOMBRERO PERUANO (2057g)</v>
          </cell>
          <cell r="C171" t="str">
            <v>KILO</v>
          </cell>
          <cell r="D171" t="str">
            <v>GRAMO</v>
          </cell>
          <cell r="E171">
            <v>2820.5823037963492</v>
          </cell>
          <cell r="F171">
            <v>2.8205823037963493</v>
          </cell>
          <cell r="G171">
            <v>0</v>
          </cell>
          <cell r="H171">
            <v>0</v>
          </cell>
          <cell r="I171">
            <v>401.06951871657753</v>
          </cell>
          <cell r="J171">
            <v>0.40106951871657753</v>
          </cell>
        </row>
        <row r="172">
          <cell r="A172" t="str">
            <v>95882</v>
          </cell>
          <cell r="B172" t="str">
            <v>BATIDO MELO FROM SCRATCH (21600g)</v>
          </cell>
          <cell r="C172" t="str">
            <v>TANDA</v>
          </cell>
          <cell r="D172" t="str">
            <v>GRAMO</v>
          </cell>
          <cell r="E172">
            <v>23324.529458823534</v>
          </cell>
          <cell r="F172">
            <v>1.0798393267973858</v>
          </cell>
          <cell r="G172">
            <v>0</v>
          </cell>
          <cell r="H172">
            <v>0</v>
          </cell>
          <cell r="I172">
            <v>440</v>
          </cell>
          <cell r="J172">
            <v>2.0370370370370372E-2</v>
          </cell>
        </row>
        <row r="173">
          <cell r="A173" t="str">
            <v>95883</v>
          </cell>
          <cell r="B173" t="str">
            <v>BASE GALLETA P/BARRA PECANAS (400g)</v>
          </cell>
          <cell r="C173" t="str">
            <v>UND</v>
          </cell>
          <cell r="D173" t="str">
            <v>UND</v>
          </cell>
          <cell r="E173">
            <v>829.59735667114091</v>
          </cell>
          <cell r="F173">
            <v>829.59735667114091</v>
          </cell>
          <cell r="G173">
            <v>14.519826875838925</v>
          </cell>
          <cell r="H173">
            <v>14.519826875838925</v>
          </cell>
          <cell r="I173">
            <v>113.1275167785235</v>
          </cell>
          <cell r="J173">
            <v>113.1275167785235</v>
          </cell>
        </row>
        <row r="174">
          <cell r="A174" t="str">
            <v>95884</v>
          </cell>
          <cell r="B174" t="str">
            <v>RELLENO PECANAS P/BARRAS (3975g)</v>
          </cell>
          <cell r="C174" t="str">
            <v>KILO</v>
          </cell>
          <cell r="D174" t="str">
            <v>GRAMO</v>
          </cell>
          <cell r="E174">
            <v>1745.5228490566042</v>
          </cell>
          <cell r="F174">
            <v>1.7455228490566042</v>
          </cell>
          <cell r="G174">
            <v>0</v>
          </cell>
          <cell r="H174">
            <v>0</v>
          </cell>
          <cell r="I174">
            <v>140.88050314465409</v>
          </cell>
          <cell r="J174">
            <v>0.14088050314465408</v>
          </cell>
        </row>
        <row r="175">
          <cell r="A175" t="str">
            <v>95885</v>
          </cell>
          <cell r="B175" t="str">
            <v>PLANCHA BARRA DE PECANAS (1425g)</v>
          </cell>
          <cell r="C175" t="str">
            <v>UND</v>
          </cell>
          <cell r="D175" t="str">
            <v>UND</v>
          </cell>
          <cell r="E175">
            <v>4546.1427989352915</v>
          </cell>
          <cell r="F175">
            <v>4546.1427989352915</v>
          </cell>
          <cell r="G175">
            <v>14.519826875838925</v>
          </cell>
          <cell r="H175">
            <v>14.519826875838925</v>
          </cell>
          <cell r="I175">
            <v>335.01430923135365</v>
          </cell>
          <cell r="J175">
            <v>335.01430923135365</v>
          </cell>
        </row>
        <row r="176">
          <cell r="A176" t="str">
            <v>95890</v>
          </cell>
          <cell r="B176" t="str">
            <v>REBANADA CROSTINIS PARMESANO (UND)</v>
          </cell>
          <cell r="C176" t="str">
            <v>UND</v>
          </cell>
          <cell r="D176" t="str">
            <v>UND</v>
          </cell>
          <cell r="E176">
            <v>46.419747183579176</v>
          </cell>
          <cell r="F176">
            <v>46.419747183579176</v>
          </cell>
          <cell r="G176">
            <v>0.12270622458169364</v>
          </cell>
          <cell r="H176">
            <v>0.12270622458169364</v>
          </cell>
          <cell r="I176">
            <v>26.868729026942543</v>
          </cell>
          <cell r="J176">
            <v>26.868729026942543</v>
          </cell>
        </row>
        <row r="177">
          <cell r="A177" t="str">
            <v>95892</v>
          </cell>
          <cell r="B177" t="str">
            <v>REBANADA CROSTINIS TOMATE (UND)</v>
          </cell>
          <cell r="C177" t="str">
            <v>UND</v>
          </cell>
          <cell r="D177" t="str">
            <v>UND</v>
          </cell>
          <cell r="E177">
            <v>46.975118392240581</v>
          </cell>
          <cell r="F177">
            <v>46.975118392240581</v>
          </cell>
          <cell r="G177">
            <v>0.11339934089754986</v>
          </cell>
          <cell r="H177">
            <v>0.11339934089754986</v>
          </cell>
          <cell r="I177">
            <v>27.088700707050897</v>
          </cell>
          <cell r="J177">
            <v>27.088700707050897</v>
          </cell>
        </row>
        <row r="178">
          <cell r="A178" t="str">
            <v>95893</v>
          </cell>
          <cell r="B178" t="str">
            <v>GALLETA CHOCOLATE BLANCO/MACADAMIA (UND)</v>
          </cell>
          <cell r="C178" t="str">
            <v>UND</v>
          </cell>
          <cell r="D178" t="str">
            <v>UND</v>
          </cell>
          <cell r="E178">
            <v>243.35316090966765</v>
          </cell>
          <cell r="F178">
            <v>243.35316090966765</v>
          </cell>
          <cell r="G178">
            <v>0.34567573662551443</v>
          </cell>
          <cell r="H178">
            <v>0.34567573662551443</v>
          </cell>
          <cell r="I178">
            <v>20.657777777777778</v>
          </cell>
          <cell r="J178">
            <v>20.657777777777778</v>
          </cell>
        </row>
        <row r="179">
          <cell r="A179" t="str">
            <v>95894</v>
          </cell>
          <cell r="B179" t="str">
            <v>BASE PREMEZCLA GALLETA CHOCOLATE CHIPS (663g)</v>
          </cell>
          <cell r="C179" t="str">
            <v>TANDA</v>
          </cell>
          <cell r="D179" t="str">
            <v>GRAMO</v>
          </cell>
          <cell r="E179">
            <v>4845.6445659999999</v>
          </cell>
          <cell r="F179">
            <v>0.70206383164300201</v>
          </cell>
          <cell r="G179">
            <v>17.771546111111114</v>
          </cell>
          <cell r="H179">
            <v>2.5748400624617668E-3</v>
          </cell>
          <cell r="I179">
            <v>112</v>
          </cell>
          <cell r="J179">
            <v>1.6227180527383367E-2</v>
          </cell>
        </row>
        <row r="180">
          <cell r="A180" t="str">
            <v>95920</v>
          </cell>
          <cell r="B180" t="str">
            <v>CREMA CHOCOLATE CON AGUA (900g)</v>
          </cell>
          <cell r="C180" t="str">
            <v>Kilo</v>
          </cell>
          <cell r="D180" t="str">
            <v>Gramo</v>
          </cell>
          <cell r="E180">
            <v>1350.8181999999999</v>
          </cell>
          <cell r="F180">
            <v>1.3508182</v>
          </cell>
          <cell r="G180">
            <v>7.6890899999999993</v>
          </cell>
          <cell r="H180">
            <v>7.6890899999999991E-3</v>
          </cell>
          <cell r="I180">
            <v>50.909090909090914</v>
          </cell>
          <cell r="J180">
            <v>5.0909090909090911E-2</v>
          </cell>
        </row>
        <row r="181">
          <cell r="A181" t="str">
            <v>95930</v>
          </cell>
          <cell r="B181" t="str">
            <v>TIQUEÑOS DE QUESO (UND)</v>
          </cell>
          <cell r="C181" t="str">
            <v>UND</v>
          </cell>
          <cell r="D181" t="str">
            <v>UND</v>
          </cell>
          <cell r="E181">
            <v>47.891230026256558</v>
          </cell>
          <cell r="F181">
            <v>47.891230026256558</v>
          </cell>
          <cell r="G181">
            <v>8.8430537790697671E-3</v>
          </cell>
          <cell r="H181">
            <v>8.8430537790697671E-3</v>
          </cell>
          <cell r="I181">
            <v>5.8277616279069759</v>
          </cell>
          <cell r="J181">
            <v>5.8277616279069759</v>
          </cell>
        </row>
        <row r="182">
          <cell r="A182" t="str">
            <v>95966</v>
          </cell>
          <cell r="B182" t="str">
            <v>COCCION HONGOS SALTEADOS  (2790g)</v>
          </cell>
          <cell r="C182" t="str">
            <v>KILO</v>
          </cell>
          <cell r="D182" t="str">
            <v>GRAMO</v>
          </cell>
          <cell r="E182">
            <v>3629.3204697024025</v>
          </cell>
          <cell r="F182">
            <v>3.6293204697024026</v>
          </cell>
          <cell r="G182">
            <v>0</v>
          </cell>
          <cell r="H182">
            <v>0</v>
          </cell>
          <cell r="I182">
            <v>197.20329867335963</v>
          </cell>
          <cell r="J182">
            <v>0.19720329867335962</v>
          </cell>
        </row>
        <row r="183">
          <cell r="A183" t="str">
            <v>95968</v>
          </cell>
          <cell r="B183" t="str">
            <v>ADEREZO MOSTAZA MIEL (4450g)</v>
          </cell>
          <cell r="C183" t="str">
            <v>KILO</v>
          </cell>
          <cell r="D183" t="str">
            <v>GRAMO</v>
          </cell>
          <cell r="E183">
            <v>2339.5513111855466</v>
          </cell>
          <cell r="F183">
            <v>2.3395513111855468</v>
          </cell>
          <cell r="G183">
            <v>11.950525782111065</v>
          </cell>
          <cell r="H183">
            <v>1.1950525782111065E-2</v>
          </cell>
          <cell r="I183">
            <v>89.434579176999804</v>
          </cell>
          <cell r="J183">
            <v>8.9434579176999804E-2</v>
          </cell>
        </row>
        <row r="184">
          <cell r="A184" t="str">
            <v>95990</v>
          </cell>
          <cell r="B184" t="str">
            <v>TARTALETA OVALADA DULCE (UND)</v>
          </cell>
          <cell r="C184" t="str">
            <v>UND</v>
          </cell>
          <cell r="D184" t="str">
            <v>UND</v>
          </cell>
          <cell r="E184">
            <v>52.843058724812039</v>
          </cell>
          <cell r="F184">
            <v>52.843058724812039</v>
          </cell>
          <cell r="G184">
            <v>0.39404174340613446</v>
          </cell>
          <cell r="H184">
            <v>0.39404174340613446</v>
          </cell>
          <cell r="I184">
            <v>17.809523809523807</v>
          </cell>
          <cell r="J184">
            <v>17.809523809523807</v>
          </cell>
        </row>
        <row r="185">
          <cell r="A185" t="str">
            <v>96022</v>
          </cell>
          <cell r="B185" t="str">
            <v>RELLENO JAMON-QUESO CREMA P/EMPANADA (420g)</v>
          </cell>
          <cell r="C185" t="str">
            <v>Kilo</v>
          </cell>
          <cell r="D185" t="str">
            <v>Gramo</v>
          </cell>
          <cell r="E185">
            <v>3527.5846928571427</v>
          </cell>
          <cell r="F185">
            <v>3.5275846928571428</v>
          </cell>
          <cell r="G185">
            <v>20.062483333333333</v>
          </cell>
          <cell r="H185">
            <v>2.0062483333333332E-2</v>
          </cell>
          <cell r="I185">
            <v>261.90476190476193</v>
          </cell>
          <cell r="J185">
            <v>0.26190476190476192</v>
          </cell>
        </row>
        <row r="186">
          <cell r="A186" t="str">
            <v>96032</v>
          </cell>
          <cell r="B186" t="str">
            <v>CARAMELO AZUCAR P/FLAN (900g)</v>
          </cell>
          <cell r="C186" t="str">
            <v>KILO</v>
          </cell>
          <cell r="D186" t="str">
            <v>GRAMO</v>
          </cell>
          <cell r="E186">
            <v>401.04444444444442</v>
          </cell>
          <cell r="F186">
            <v>0.40104444444444443</v>
          </cell>
          <cell r="G186">
            <v>0</v>
          </cell>
          <cell r="H186">
            <v>0</v>
          </cell>
          <cell r="I186">
            <v>373.33333333333337</v>
          </cell>
          <cell r="J186">
            <v>0.37333333333333335</v>
          </cell>
        </row>
        <row r="187">
          <cell r="A187" t="str">
            <v>96037</v>
          </cell>
          <cell r="B187" t="str">
            <v>RELLENO CEBOLLA Y QUESO P/EMPANADA (1000g)</v>
          </cell>
          <cell r="C187" t="str">
            <v>KILO</v>
          </cell>
          <cell r="D187" t="str">
            <v>GRAMO</v>
          </cell>
          <cell r="E187">
            <v>3182.9953504999999</v>
          </cell>
          <cell r="F187">
            <v>3.1829953504999997</v>
          </cell>
          <cell r="G187">
            <v>23.595589314028313</v>
          </cell>
          <cell r="H187">
            <v>2.3595589314028314E-2</v>
          </cell>
          <cell r="I187">
            <v>337.89189189189187</v>
          </cell>
          <cell r="J187">
            <v>0.33789189189189189</v>
          </cell>
        </row>
        <row r="188">
          <cell r="A188" t="str">
            <v>96038</v>
          </cell>
          <cell r="B188" t="str">
            <v>EMPANADA CEBOLLA Y QUESO LAVAZZA (UND)</v>
          </cell>
          <cell r="C188" t="str">
            <v>UND</v>
          </cell>
          <cell r="D188" t="str">
            <v>UND</v>
          </cell>
          <cell r="E188">
            <v>154.8772280327008</v>
          </cell>
          <cell r="F188">
            <v>154.8772280327008</v>
          </cell>
          <cell r="G188">
            <v>2.1859325422494185</v>
          </cell>
          <cell r="H188">
            <v>2.1859325422494185</v>
          </cell>
          <cell r="I188">
            <v>62.028973598034135</v>
          </cell>
          <cell r="J188">
            <v>62.028973598034135</v>
          </cell>
        </row>
        <row r="189">
          <cell r="A189" t="str">
            <v>96039</v>
          </cell>
          <cell r="B189" t="str">
            <v>EMPANADA JAMON Y PETTI POIS FAS (UND)</v>
          </cell>
          <cell r="C189" t="str">
            <v>UND</v>
          </cell>
          <cell r="D189" t="str">
            <v>UND</v>
          </cell>
          <cell r="E189">
            <v>127.0016258582545</v>
          </cell>
          <cell r="F189">
            <v>127.0016258582545</v>
          </cell>
          <cell r="G189">
            <v>0.73652764234903134</v>
          </cell>
          <cell r="H189">
            <v>0.73652764234903134</v>
          </cell>
          <cell r="I189">
            <v>67.901510178238496</v>
          </cell>
          <cell r="J189">
            <v>67.901510178238496</v>
          </cell>
        </row>
        <row r="190">
          <cell r="A190" t="str">
            <v>96055</v>
          </cell>
          <cell r="B190" t="str">
            <v>EMPANADA CARNE MECHADA IND (UND)</v>
          </cell>
          <cell r="C190" t="str">
            <v>UND</v>
          </cell>
          <cell r="D190" t="str">
            <v>UND</v>
          </cell>
          <cell r="E190">
            <v>244.93062478975185</v>
          </cell>
          <cell r="F190">
            <v>244.93062478975185</v>
          </cell>
          <cell r="G190">
            <v>2.8525404214828645</v>
          </cell>
          <cell r="H190">
            <v>2.8525404214828645</v>
          </cell>
          <cell r="I190">
            <v>44.052602441043518</v>
          </cell>
          <cell r="J190">
            <v>44.052602441043518</v>
          </cell>
        </row>
        <row r="191">
          <cell r="A191" t="str">
            <v>96058</v>
          </cell>
          <cell r="B191" t="str">
            <v>BASE PREMEZCLA YOGURT CAKE  (1804g)</v>
          </cell>
          <cell r="C191" t="str">
            <v>TANDA</v>
          </cell>
          <cell r="D191" t="str">
            <v>GRAMO</v>
          </cell>
          <cell r="E191">
            <v>3078.0217600000001</v>
          </cell>
          <cell r="F191">
            <v>1.7062204878048781</v>
          </cell>
          <cell r="G191">
            <v>11.020357777777779</v>
          </cell>
          <cell r="H191">
            <v>6.1088457748213849E-3</v>
          </cell>
          <cell r="I191">
            <v>112</v>
          </cell>
          <cell r="J191">
            <v>6.2084257206208429E-2</v>
          </cell>
        </row>
        <row r="192">
          <cell r="A192" t="str">
            <v>96059</v>
          </cell>
          <cell r="B192" t="str">
            <v>ROSQUETE YOGURT CAKE (400g)</v>
          </cell>
          <cell r="C192" t="str">
            <v>UND</v>
          </cell>
          <cell r="D192" t="str">
            <v>UND</v>
          </cell>
          <cell r="E192">
            <v>566.44048035760045</v>
          </cell>
          <cell r="F192">
            <v>566.44048035760045</v>
          </cell>
          <cell r="G192">
            <v>7.6925275956760082</v>
          </cell>
          <cell r="H192">
            <v>7.6925275956760082</v>
          </cell>
          <cell r="I192">
            <v>45.229776115579696</v>
          </cell>
          <cell r="J192">
            <v>45.229776115579696</v>
          </cell>
        </row>
        <row r="193">
          <cell r="A193" t="str">
            <v>96076</v>
          </cell>
          <cell r="B193" t="str">
            <v>RELLENO CARNE MECHA-COMINO-ROMERO (1000g)</v>
          </cell>
          <cell r="C193" t="str">
            <v>Kilo</v>
          </cell>
          <cell r="D193" t="str">
            <v>Gramo</v>
          </cell>
          <cell r="E193">
            <v>3486.6073803027475</v>
          </cell>
          <cell r="F193">
            <v>3.4866073803027473</v>
          </cell>
          <cell r="G193">
            <v>33.528991908140348</v>
          </cell>
          <cell r="H193">
            <v>3.3528991908140349E-2</v>
          </cell>
          <cell r="I193">
            <v>230.83623001068085</v>
          </cell>
          <cell r="J193">
            <v>0.23083623001068085</v>
          </cell>
        </row>
        <row r="194">
          <cell r="A194" t="str">
            <v>96098</v>
          </cell>
          <cell r="B194" t="str">
            <v>ADEREZO PEPINILLOS Y ANCHOAS (390g)</v>
          </cell>
          <cell r="C194" t="str">
            <v>KILO</v>
          </cell>
          <cell r="D194" t="str">
            <v>GRAMO</v>
          </cell>
          <cell r="E194">
            <v>2774.9748658519438</v>
          </cell>
          <cell r="F194">
            <v>2.7749748658519438</v>
          </cell>
          <cell r="G194">
            <v>22.677630516055928</v>
          </cell>
          <cell r="H194">
            <v>2.2677630516055928E-2</v>
          </cell>
          <cell r="I194">
            <v>727.77511757705349</v>
          </cell>
          <cell r="J194">
            <v>0.72777511757705349</v>
          </cell>
        </row>
        <row r="195">
          <cell r="A195" t="str">
            <v>96100</v>
          </cell>
          <cell r="B195" t="str">
            <v>COCCION QUINUA BLANCA (600g)</v>
          </cell>
          <cell r="C195" t="str">
            <v>KILO</v>
          </cell>
          <cell r="D195" t="str">
            <v>GRAMO</v>
          </cell>
          <cell r="E195">
            <v>2098.3056844444445</v>
          </cell>
          <cell r="F195">
            <v>2.0983056844444445</v>
          </cell>
          <cell r="G195">
            <v>0</v>
          </cell>
          <cell r="H195">
            <v>0</v>
          </cell>
          <cell r="I195">
            <v>183.33333333333331</v>
          </cell>
          <cell r="J195">
            <v>0.18333333333333332</v>
          </cell>
        </row>
        <row r="196">
          <cell r="A196" t="str">
            <v>96108</v>
          </cell>
          <cell r="B196" t="str">
            <v>CEBOLLA CARAMELIZADA (2400g)</v>
          </cell>
          <cell r="C196" t="str">
            <v>TANDA</v>
          </cell>
          <cell r="D196" t="str">
            <v>GRAMO</v>
          </cell>
          <cell r="E196">
            <v>8344.4401738039214</v>
          </cell>
          <cell r="F196">
            <v>3.4768500724183005</v>
          </cell>
          <cell r="G196">
            <v>28.572105000000001</v>
          </cell>
          <cell r="H196">
            <v>1.190504375E-2</v>
          </cell>
          <cell r="I196">
            <v>385</v>
          </cell>
          <cell r="J196">
            <v>0.16041666666666668</v>
          </cell>
        </row>
        <row r="197">
          <cell r="A197" t="str">
            <v>96136</v>
          </cell>
          <cell r="B197" t="str">
            <v>MERENGUE P/SUSPIROS (5250g)</v>
          </cell>
          <cell r="C197" t="str">
            <v>TANDA</v>
          </cell>
          <cell r="D197" t="str">
            <v>GRAMO</v>
          </cell>
          <cell r="E197">
            <v>12100.755438000002</v>
          </cell>
          <cell r="F197">
            <v>2.3248329371757928</v>
          </cell>
          <cell r="G197">
            <v>11.020357777777779</v>
          </cell>
          <cell r="H197">
            <v>2.0991157671957673E-3</v>
          </cell>
          <cell r="I197">
            <v>770</v>
          </cell>
          <cell r="J197">
            <v>0.14666666666666667</v>
          </cell>
        </row>
        <row r="198">
          <cell r="A198" t="str">
            <v>96170</v>
          </cell>
          <cell r="B198" t="str">
            <v>EMPANADA CARNE PERUANA GRANDE (UND)</v>
          </cell>
          <cell r="C198" t="str">
            <v>UND</v>
          </cell>
          <cell r="D198" t="str">
            <v>UND</v>
          </cell>
          <cell r="E198">
            <v>184.75896482753404</v>
          </cell>
          <cell r="F198">
            <v>184.75896482753404</v>
          </cell>
          <cell r="G198">
            <v>1.8487279947561979</v>
          </cell>
          <cell r="H198">
            <v>1.8487279947561979</v>
          </cell>
          <cell r="I198">
            <v>58.297288149715087</v>
          </cell>
          <cell r="J198">
            <v>58.297288149715087</v>
          </cell>
        </row>
        <row r="199">
          <cell r="A199" t="str">
            <v>96180</v>
          </cell>
          <cell r="B199" t="str">
            <v>RELLENO DELIZZIA (7.150 Kg)</v>
          </cell>
          <cell r="C199" t="str">
            <v>KILO</v>
          </cell>
          <cell r="D199" t="str">
            <v>GRAMO</v>
          </cell>
          <cell r="E199">
            <v>1901.6339954888927</v>
          </cell>
          <cell r="F199">
            <v>1.9016339954888926</v>
          </cell>
          <cell r="G199">
            <v>1.5039062499999999E-2</v>
          </cell>
          <cell r="H199">
            <v>1.5039062499999999E-5</v>
          </cell>
          <cell r="I199">
            <v>77.01322115384616</v>
          </cell>
          <cell r="J199">
            <v>7.7013221153846165E-2</v>
          </cell>
        </row>
        <row r="200">
          <cell r="A200" t="str">
            <v>96192</v>
          </cell>
          <cell r="B200" t="str">
            <v>ACEITE DE AJO Y PEREJIL (1000g)</v>
          </cell>
          <cell r="C200" t="str">
            <v>TANDA</v>
          </cell>
          <cell r="D200" t="str">
            <v>GRAMO</v>
          </cell>
          <cell r="E200">
            <v>2790.6051721925132</v>
          </cell>
          <cell r="F200">
            <v>2.7906051721925134</v>
          </cell>
          <cell r="G200">
            <v>14.672860317171718</v>
          </cell>
          <cell r="H200">
            <v>1.4672860317171719E-2</v>
          </cell>
          <cell r="I200">
            <v>222.55</v>
          </cell>
          <cell r="J200">
            <v>0.22255</v>
          </cell>
        </row>
        <row r="201">
          <cell r="A201" t="str">
            <v>96197</v>
          </cell>
          <cell r="B201" t="str">
            <v>MEZCLA DE YEMA PARA PINTAR (1430g)</v>
          </cell>
          <cell r="C201" t="str">
            <v>TANDA</v>
          </cell>
          <cell r="D201" t="str">
            <v>GRAMO</v>
          </cell>
          <cell r="E201">
            <v>2413.21</v>
          </cell>
          <cell r="F201">
            <v>1.6875594405594405</v>
          </cell>
          <cell r="G201">
            <v>0</v>
          </cell>
          <cell r="H201">
            <v>0</v>
          </cell>
          <cell r="I201">
            <v>55</v>
          </cell>
          <cell r="J201">
            <v>3.8461538461538464E-2</v>
          </cell>
        </row>
        <row r="202">
          <cell r="A202" t="str">
            <v>96199</v>
          </cell>
          <cell r="B202" t="str">
            <v>COBERTURA CHOCOLATE LECHE RALLADO (4700g)</v>
          </cell>
          <cell r="C202" t="str">
            <v>KILO</v>
          </cell>
          <cell r="D202" t="str">
            <v>GRAMO</v>
          </cell>
          <cell r="E202">
            <v>22340</v>
          </cell>
          <cell r="F202">
            <v>4.7531914893617024</v>
          </cell>
          <cell r="G202">
            <v>1.1990000000000001</v>
          </cell>
          <cell r="H202">
            <v>2.5510638297872339E-4</v>
          </cell>
          <cell r="I202">
            <v>385</v>
          </cell>
          <cell r="J202">
            <v>8.191489361702127E-2</v>
          </cell>
        </row>
        <row r="203">
          <cell r="A203" t="str">
            <v>96223</v>
          </cell>
          <cell r="B203" t="str">
            <v>GANACHE DE DULCE LECHE (4800g)</v>
          </cell>
          <cell r="C203" t="str">
            <v>KILO</v>
          </cell>
          <cell r="D203" t="str">
            <v>GRAMO</v>
          </cell>
          <cell r="E203">
            <v>2483.106770833333</v>
          </cell>
          <cell r="F203">
            <v>2.483106770833333</v>
          </cell>
          <cell r="G203">
            <v>0</v>
          </cell>
          <cell r="H203">
            <v>0</v>
          </cell>
          <cell r="I203">
            <v>116.66666666666667</v>
          </cell>
          <cell r="J203">
            <v>0.11666666666666667</v>
          </cell>
        </row>
        <row r="204">
          <cell r="A204" t="str">
            <v>96242</v>
          </cell>
          <cell r="B204" t="str">
            <v>PURE PAPA (2000g)</v>
          </cell>
          <cell r="C204" t="str">
            <v>TANDA</v>
          </cell>
          <cell r="D204" t="str">
            <v>GRAMO</v>
          </cell>
          <cell r="E204">
            <v>3211.5108266666666</v>
          </cell>
          <cell r="F204">
            <v>1.6057554133333334</v>
          </cell>
          <cell r="G204">
            <v>23.975403333333333</v>
          </cell>
          <cell r="H204">
            <v>1.1987701666666666E-2</v>
          </cell>
          <cell r="I204">
            <v>331.375</v>
          </cell>
          <cell r="J204">
            <v>0.16568749999999999</v>
          </cell>
        </row>
        <row r="205">
          <cell r="A205" t="str">
            <v>96251</v>
          </cell>
          <cell r="B205" t="str">
            <v>GALLETA P/TORTA CHILENA FAS (210g)</v>
          </cell>
          <cell r="C205" t="str">
            <v>UND</v>
          </cell>
          <cell r="D205" t="str">
            <v>UND</v>
          </cell>
          <cell r="E205">
            <v>226.41733244134201</v>
          </cell>
          <cell r="F205">
            <v>226.41733244134201</v>
          </cell>
          <cell r="G205">
            <v>0.65629030839002267</v>
          </cell>
          <cell r="H205">
            <v>0.65629030839002267</v>
          </cell>
          <cell r="I205">
            <v>27.595238095238095</v>
          </cell>
          <cell r="J205">
            <v>27.595238095238095</v>
          </cell>
        </row>
        <row r="206">
          <cell r="A206" t="str">
            <v>96252</v>
          </cell>
          <cell r="B206" t="str">
            <v>RELLENO CHEESE CAKE INDUSTRIA (9000g)</v>
          </cell>
          <cell r="C206" t="str">
            <v>TANDA</v>
          </cell>
          <cell r="D206" t="str">
            <v>GRAMO</v>
          </cell>
          <cell r="E206">
            <v>18145.277160472564</v>
          </cell>
          <cell r="F206">
            <v>2.0161419067191737</v>
          </cell>
          <cell r="G206">
            <v>0.13834615384615384</v>
          </cell>
          <cell r="H206">
            <v>1.5371794871794872E-5</v>
          </cell>
          <cell r="I206">
            <v>888.46153846153845</v>
          </cell>
          <cell r="J206">
            <v>9.8717948717948714E-2</v>
          </cell>
        </row>
        <row r="207">
          <cell r="A207" t="str">
            <v>96263</v>
          </cell>
          <cell r="B207" t="str">
            <v>QUESO PARMESANO LAMINADO (8580g)</v>
          </cell>
          <cell r="C207" t="str">
            <v>TANDA</v>
          </cell>
          <cell r="D207" t="str">
            <v>GRAMO</v>
          </cell>
          <cell r="E207">
            <v>94190.862500000003</v>
          </cell>
          <cell r="F207">
            <v>10.977956002331002</v>
          </cell>
          <cell r="G207">
            <v>26.763632000000001</v>
          </cell>
          <cell r="H207">
            <v>3.1193044289044292E-3</v>
          </cell>
          <cell r="I207">
            <v>275</v>
          </cell>
          <cell r="J207">
            <v>3.2051282051282048E-2</v>
          </cell>
        </row>
        <row r="208">
          <cell r="A208" t="str">
            <v>96266</v>
          </cell>
          <cell r="B208" t="str">
            <v>LAMINA AZUCAR ESCANEADA (UND)</v>
          </cell>
          <cell r="C208" t="str">
            <v>UND</v>
          </cell>
          <cell r="D208" t="str">
            <v>UND</v>
          </cell>
          <cell r="E208">
            <v>1387.384</v>
          </cell>
          <cell r="F208">
            <v>1387.384</v>
          </cell>
          <cell r="G208">
            <v>0</v>
          </cell>
          <cell r="H208">
            <v>0</v>
          </cell>
          <cell r="I208">
            <v>275</v>
          </cell>
          <cell r="J208">
            <v>275</v>
          </cell>
        </row>
        <row r="209">
          <cell r="A209" t="str">
            <v>96267</v>
          </cell>
          <cell r="B209" t="str">
            <v>ROSQUETE CHOCOLATE BUCCA (320g)</v>
          </cell>
          <cell r="C209" t="str">
            <v>UND</v>
          </cell>
          <cell r="D209" t="str">
            <v>UND</v>
          </cell>
          <cell r="E209">
            <v>355.25335753863862</v>
          </cell>
          <cell r="F209">
            <v>355.25335753863862</v>
          </cell>
          <cell r="G209">
            <v>8.2092643814880741</v>
          </cell>
          <cell r="H209">
            <v>8.2092643814880741</v>
          </cell>
          <cell r="I209">
            <v>35.876510067114097</v>
          </cell>
          <cell r="J209">
            <v>35.876510067114097</v>
          </cell>
        </row>
        <row r="210">
          <cell r="A210" t="str">
            <v>96270</v>
          </cell>
          <cell r="B210" t="str">
            <v>ROSQUETE MELOCOTON PURATOS (360g)</v>
          </cell>
          <cell r="C210" t="str">
            <v>UND</v>
          </cell>
          <cell r="D210" t="str">
            <v>UND</v>
          </cell>
          <cell r="E210">
            <v>422.05372617403651</v>
          </cell>
          <cell r="F210">
            <v>422.05372617403651</v>
          </cell>
          <cell r="G210">
            <v>8.7370147215647176</v>
          </cell>
          <cell r="H210">
            <v>8.7370147215647176</v>
          </cell>
          <cell r="I210">
            <v>19.774041546820072</v>
          </cell>
          <cell r="J210">
            <v>19.774041546820072</v>
          </cell>
        </row>
        <row r="211">
          <cell r="A211" t="str">
            <v>96271</v>
          </cell>
          <cell r="B211" t="str">
            <v>CORTE  P/GALLETA ESC (UND)</v>
          </cell>
          <cell r="C211" t="str">
            <v>UND</v>
          </cell>
          <cell r="D211" t="str">
            <v>UND</v>
          </cell>
          <cell r="E211">
            <v>21.349894497743044</v>
          </cell>
          <cell r="F211">
            <v>21.349894497743044</v>
          </cell>
          <cell r="G211">
            <v>0</v>
          </cell>
          <cell r="H211">
            <v>0</v>
          </cell>
          <cell r="I211">
            <v>10.686239816064377</v>
          </cell>
          <cell r="J211">
            <v>10.686239816064377</v>
          </cell>
        </row>
        <row r="212">
          <cell r="A212" t="str">
            <v>96272</v>
          </cell>
          <cell r="B212" t="str">
            <v>EMPANADA POLLO C/AJONJOLI (UND)</v>
          </cell>
          <cell r="C212" t="str">
            <v>UND</v>
          </cell>
          <cell r="D212" t="str">
            <v>UND</v>
          </cell>
          <cell r="E212">
            <v>185.40642008823716</v>
          </cell>
          <cell r="F212">
            <v>185.40642008823716</v>
          </cell>
          <cell r="G212">
            <v>1.7940720010640245</v>
          </cell>
          <cell r="H212">
            <v>1.7940720010640245</v>
          </cell>
          <cell r="I212">
            <v>45.17753744451764</v>
          </cell>
          <cell r="J212">
            <v>45.17753744451764</v>
          </cell>
        </row>
        <row r="213">
          <cell r="A213" t="str">
            <v>96275</v>
          </cell>
          <cell r="B213" t="str">
            <v>GALLETA CHOCOLATE CHIPS STARBUCKS (UND)</v>
          </cell>
          <cell r="C213" t="str">
            <v>UND</v>
          </cell>
          <cell r="D213" t="str">
            <v>UND</v>
          </cell>
          <cell r="E213">
            <v>142.47345146308726</v>
          </cell>
          <cell r="F213">
            <v>142.47345146308726</v>
          </cell>
          <cell r="G213">
            <v>0.13315657482254814</v>
          </cell>
          <cell r="H213">
            <v>0.13315657482254814</v>
          </cell>
          <cell r="I213">
            <v>9.8643519761372112</v>
          </cell>
          <cell r="J213">
            <v>9.8643519761372112</v>
          </cell>
        </row>
        <row r="214">
          <cell r="A214" t="str">
            <v>96276</v>
          </cell>
          <cell r="B214" t="str">
            <v>ROSQUETE CARAMELO PURATOS (335g)</v>
          </cell>
          <cell r="C214" t="str">
            <v>UND</v>
          </cell>
          <cell r="D214" t="str">
            <v>UND</v>
          </cell>
          <cell r="E214">
            <v>446.846888464561</v>
          </cell>
          <cell r="F214">
            <v>446.846888464561</v>
          </cell>
          <cell r="G214">
            <v>7.6483473744357671</v>
          </cell>
          <cell r="H214">
            <v>7.6483473744357671</v>
          </cell>
          <cell r="I214">
            <v>5.5005424229143616</v>
          </cell>
          <cell r="J214">
            <v>5.5005424229143616</v>
          </cell>
        </row>
        <row r="215">
          <cell r="A215" t="str">
            <v>96277</v>
          </cell>
          <cell r="B215" t="str">
            <v>ARREGLADOS GRANDE (UND)</v>
          </cell>
          <cell r="C215" t="str">
            <v>UND</v>
          </cell>
          <cell r="D215" t="str">
            <v>UND</v>
          </cell>
          <cell r="E215">
            <v>83.714886916106408</v>
          </cell>
          <cell r="F215">
            <v>83.714886916106408</v>
          </cell>
          <cell r="G215">
            <v>1.5701248390789779</v>
          </cell>
          <cell r="H215">
            <v>1.5701248390789779</v>
          </cell>
          <cell r="I215">
            <v>14.61810476954917</v>
          </cell>
          <cell r="J215">
            <v>14.61810476954917</v>
          </cell>
        </row>
        <row r="216">
          <cell r="A216" t="str">
            <v>96280</v>
          </cell>
          <cell r="B216" t="str">
            <v>OREJITAS DULCES (5409g)</v>
          </cell>
          <cell r="C216" t="str">
            <v>KILO</v>
          </cell>
          <cell r="D216" t="str">
            <v>GRAMO</v>
          </cell>
          <cell r="E216">
            <v>935.32970759169018</v>
          </cell>
          <cell r="F216">
            <v>0.93532970759169021</v>
          </cell>
          <cell r="G216">
            <v>4.3075589700960348</v>
          </cell>
          <cell r="H216">
            <v>4.3075589700960351E-3</v>
          </cell>
          <cell r="I216">
            <v>625.67426218810954</v>
          </cell>
          <cell r="J216">
            <v>0.62567426218810951</v>
          </cell>
        </row>
        <row r="217">
          <cell r="A217" t="str">
            <v>96284</v>
          </cell>
          <cell r="B217" t="str">
            <v>CROISSANT SPOON 110g (UND)</v>
          </cell>
          <cell r="C217" t="str">
            <v>UND</v>
          </cell>
          <cell r="D217" t="str">
            <v>UND</v>
          </cell>
          <cell r="E217">
            <v>123.89697454065589</v>
          </cell>
          <cell r="F217">
            <v>123.89697454065589</v>
          </cell>
          <cell r="G217">
            <v>0.39982959433249193</v>
          </cell>
          <cell r="H217">
            <v>0.39982959433249193</v>
          </cell>
          <cell r="I217">
            <v>46.883423180592985</v>
          </cell>
          <cell r="J217">
            <v>46.883423180592985</v>
          </cell>
        </row>
        <row r="218">
          <cell r="A218" t="str">
            <v>96292</v>
          </cell>
          <cell r="B218" t="str">
            <v>ROSQUETE TRES LECHES RED. (150g)</v>
          </cell>
          <cell r="C218" t="str">
            <v>UND</v>
          </cell>
          <cell r="D218" t="str">
            <v>UND</v>
          </cell>
          <cell r="E218">
            <v>136.40286546344521</v>
          </cell>
          <cell r="F218">
            <v>136.40286546344521</v>
          </cell>
          <cell r="G218">
            <v>1.8081754333475375</v>
          </cell>
          <cell r="H218">
            <v>1.8081754333475375</v>
          </cell>
          <cell r="I218">
            <v>25.208995107028031</v>
          </cell>
          <cell r="J218">
            <v>25.208995107028031</v>
          </cell>
        </row>
        <row r="219">
          <cell r="A219" t="str">
            <v>96293</v>
          </cell>
          <cell r="B219" t="str">
            <v>BATIDO P/ROSQUETE TRES LECHES (18300g)</v>
          </cell>
          <cell r="C219" t="str">
            <v>TANDA</v>
          </cell>
          <cell r="D219" t="str">
            <v>GRAMO</v>
          </cell>
          <cell r="E219">
            <v>14872.048553600001</v>
          </cell>
          <cell r="F219">
            <v>0.81268024883060119</v>
          </cell>
          <cell r="G219">
            <v>67.090375555555553</v>
          </cell>
          <cell r="H219">
            <v>3.6661407407407405E-3</v>
          </cell>
          <cell r="I219">
            <v>440</v>
          </cell>
          <cell r="J219">
            <v>2.4043715846994537E-2</v>
          </cell>
        </row>
        <row r="220">
          <cell r="A220" t="str">
            <v>96296</v>
          </cell>
          <cell r="B220" t="str">
            <v>BATIDO P/ROSQUETE CHOCOLATE BUCCA (48100g)</v>
          </cell>
          <cell r="C220" t="str">
            <v>TANDA</v>
          </cell>
          <cell r="D220" t="str">
            <v>GRAMO</v>
          </cell>
          <cell r="E220">
            <v>39777.513660588236</v>
          </cell>
          <cell r="F220">
            <v>0.82697533597896544</v>
          </cell>
          <cell r="G220">
            <v>2.9325322222222225</v>
          </cell>
          <cell r="H220">
            <v>6.0967405867405874E-5</v>
          </cell>
          <cell r="I220">
            <v>550</v>
          </cell>
          <cell r="J220">
            <v>1.1434511434511435E-2</v>
          </cell>
        </row>
        <row r="221">
          <cell r="A221" t="str">
            <v>96299</v>
          </cell>
          <cell r="B221" t="str">
            <v>CROISSANT C/JAMON STB (UND)</v>
          </cell>
          <cell r="C221" t="str">
            <v>UND</v>
          </cell>
          <cell r="D221" t="str">
            <v>UND</v>
          </cell>
          <cell r="E221">
            <v>307.09518973819553</v>
          </cell>
          <cell r="F221">
            <v>307.09518973819553</v>
          </cell>
          <cell r="G221">
            <v>0.73358858788922221</v>
          </cell>
          <cell r="H221">
            <v>0.73358858788922221</v>
          </cell>
          <cell r="I221">
            <v>50.787974886339036</v>
          </cell>
          <cell r="J221">
            <v>50.787974886339036</v>
          </cell>
        </row>
        <row r="222">
          <cell r="A222" t="str">
            <v>902000014</v>
          </cell>
          <cell r="B222" t="str">
            <v>BATIDO P/BROWNIE SPOON (8000g)</v>
          </cell>
          <cell r="C222" t="str">
            <v>KILO</v>
          </cell>
          <cell r="D222" t="str">
            <v>GRAMO</v>
          </cell>
          <cell r="E222">
            <v>8947.9594560000005</v>
          </cell>
          <cell r="F222">
            <v>1.1184949320000002</v>
          </cell>
          <cell r="G222">
            <v>117.03071158730158</v>
          </cell>
          <cell r="H222">
            <v>1.4628838948412697E-2</v>
          </cell>
          <cell r="I222">
            <v>412.5</v>
          </cell>
          <cell r="J222">
            <v>5.1562499999999997E-2</v>
          </cell>
        </row>
        <row r="223">
          <cell r="A223" t="str">
            <v>96306</v>
          </cell>
          <cell r="B223" t="str">
            <v>BATIDO P/COCADA SPOON (21500g)</v>
          </cell>
          <cell r="C223" t="str">
            <v>TANDA</v>
          </cell>
          <cell r="D223" t="str">
            <v>GRAMO</v>
          </cell>
          <cell r="E223">
            <v>49322.221812189833</v>
          </cell>
          <cell r="F223">
            <v>2.2940568284739458</v>
          </cell>
          <cell r="G223">
            <v>0</v>
          </cell>
          <cell r="H223">
            <v>0</v>
          </cell>
          <cell r="I223">
            <v>550</v>
          </cell>
          <cell r="J223">
            <v>2.5581395348837209E-2</v>
          </cell>
        </row>
        <row r="224">
          <cell r="A224" t="str">
            <v>96311</v>
          </cell>
          <cell r="B224" t="str">
            <v>ROSQUETE CHOCOLATE RED. (700g)</v>
          </cell>
          <cell r="C224" t="str">
            <v>UND</v>
          </cell>
          <cell r="D224" t="str">
            <v>UND</v>
          </cell>
          <cell r="E224">
            <v>852.46206408625835</v>
          </cell>
          <cell r="F224">
            <v>852.46206408625835</v>
          </cell>
          <cell r="G224">
            <v>15.921994095213645</v>
          </cell>
          <cell r="H224">
            <v>15.921994095213645</v>
          </cell>
          <cell r="I224">
            <v>29.022774782704367</v>
          </cell>
          <cell r="J224">
            <v>29.022774782704367</v>
          </cell>
        </row>
        <row r="225">
          <cell r="A225" t="str">
            <v>96322</v>
          </cell>
          <cell r="B225" t="str">
            <v>BATIDO P/ROSQUETE CARAMELO (18150g)</v>
          </cell>
          <cell r="C225" t="str">
            <v>KILO</v>
          </cell>
          <cell r="D225" t="str">
            <v>GRAMO</v>
          </cell>
          <cell r="E225">
            <v>1190.2698842975205</v>
          </cell>
          <cell r="F225">
            <v>1.1902698842975206</v>
          </cell>
          <cell r="G225">
            <v>0</v>
          </cell>
          <cell r="H225">
            <v>0</v>
          </cell>
          <cell r="I225">
            <v>15.426997245179065</v>
          </cell>
          <cell r="J225">
            <v>1.5426997245179064E-2</v>
          </cell>
        </row>
        <row r="226">
          <cell r="A226" t="str">
            <v>96324</v>
          </cell>
          <cell r="B226" t="str">
            <v>ROSQUETE CARAMELO PURATOS (1060g)</v>
          </cell>
          <cell r="C226" t="str">
            <v>UND</v>
          </cell>
          <cell r="D226" t="str">
            <v>UND</v>
          </cell>
          <cell r="E226">
            <v>1440.5810135573906</v>
          </cell>
          <cell r="F226">
            <v>1440.5810135573906</v>
          </cell>
          <cell r="G226">
            <v>19.769060411482837</v>
          </cell>
          <cell r="H226">
            <v>19.769060411482837</v>
          </cell>
          <cell r="I226">
            <v>43.943276172306241</v>
          </cell>
          <cell r="J226">
            <v>43.943276172306241</v>
          </cell>
        </row>
        <row r="227">
          <cell r="A227" t="str">
            <v>96328</v>
          </cell>
          <cell r="B227" t="str">
            <v>ROSQUETE MELOCOTON RECT.PURATOS (3400g)</v>
          </cell>
          <cell r="C227" t="str">
            <v>UND</v>
          </cell>
          <cell r="D227" t="str">
            <v>UND</v>
          </cell>
          <cell r="E227">
            <v>4595.986369707296</v>
          </cell>
          <cell r="F227">
            <v>4595.986369707296</v>
          </cell>
          <cell r="G227">
            <v>29.641797018394229</v>
          </cell>
          <cell r="H227">
            <v>29.641797018394229</v>
          </cell>
          <cell r="I227">
            <v>140.25143489451781</v>
          </cell>
          <cell r="J227">
            <v>140.25143489451781</v>
          </cell>
        </row>
        <row r="228">
          <cell r="A228" t="str">
            <v>96329</v>
          </cell>
          <cell r="B228" t="str">
            <v>PRALINE (1380g)</v>
          </cell>
          <cell r="C228" t="str">
            <v>KILO</v>
          </cell>
          <cell r="D228" t="str">
            <v>GRAMO</v>
          </cell>
          <cell r="E228">
            <v>5776.4652173913037</v>
          </cell>
          <cell r="F228">
            <v>5.776465217391304</v>
          </cell>
          <cell r="G228">
            <v>7.8260869565217401</v>
          </cell>
          <cell r="H228">
            <v>7.8260869565217397E-3</v>
          </cell>
          <cell r="I228">
            <v>405.79710144927537</v>
          </cell>
          <cell r="J228">
            <v>0.40579710144927539</v>
          </cell>
        </row>
        <row r="229">
          <cell r="A229" t="str">
            <v>96331</v>
          </cell>
          <cell r="B229" t="str">
            <v>BOLLETA BLANCA P/CROCANTINI (80g)</v>
          </cell>
          <cell r="C229" t="str">
            <v>UND</v>
          </cell>
          <cell r="D229" t="str">
            <v>UND</v>
          </cell>
          <cell r="E229">
            <v>45.417622234316674</v>
          </cell>
          <cell r="F229">
            <v>45.417622234316674</v>
          </cell>
          <cell r="G229">
            <v>0.39930195657604239</v>
          </cell>
          <cell r="H229">
            <v>0.39930195657604239</v>
          </cell>
          <cell r="I229">
            <v>23.408856882257645</v>
          </cell>
          <cell r="J229">
            <v>23.408856882257645</v>
          </cell>
        </row>
        <row r="230">
          <cell r="A230" t="str">
            <v>96340</v>
          </cell>
          <cell r="B230" t="str">
            <v>CREMA MOKA C/BAILEYS (1200g)</v>
          </cell>
          <cell r="C230" t="str">
            <v>KILO</v>
          </cell>
          <cell r="D230" t="str">
            <v>GRAMO</v>
          </cell>
          <cell r="E230">
            <v>4033.7853397038107</v>
          </cell>
          <cell r="F230">
            <v>4.0337853397038108</v>
          </cell>
          <cell r="G230">
            <v>0.93512481943999726</v>
          </cell>
          <cell r="H230">
            <v>9.3512481943999726E-4</v>
          </cell>
          <cell r="I230">
            <v>249.85910983029137</v>
          </cell>
          <cell r="J230">
            <v>0.24985910983029139</v>
          </cell>
        </row>
        <row r="231">
          <cell r="A231" t="str">
            <v>96341</v>
          </cell>
          <cell r="B231" t="str">
            <v>PECANA CUBIERTA C/COCOLATE BLANCO (500g)</v>
          </cell>
          <cell r="C231" t="str">
            <v>KILO</v>
          </cell>
          <cell r="D231" t="str">
            <v>GRAMO</v>
          </cell>
          <cell r="E231">
            <v>6432.4953750000004</v>
          </cell>
          <cell r="F231">
            <v>6.4324953750000002</v>
          </cell>
          <cell r="G231">
            <v>32.96543615625</v>
          </cell>
          <cell r="H231">
            <v>3.296543615625E-2</v>
          </cell>
          <cell r="I231">
            <v>600.16666666666663</v>
          </cell>
          <cell r="J231">
            <v>0.60016666666666663</v>
          </cell>
        </row>
        <row r="232">
          <cell r="A232" t="str">
            <v>96342</v>
          </cell>
          <cell r="B232" t="str">
            <v>MEZCLA DE TRES LECHES C/BAILEYS (3600g)</v>
          </cell>
          <cell r="C232" t="str">
            <v>LITRO</v>
          </cell>
          <cell r="D232" t="str">
            <v>GRAMO</v>
          </cell>
          <cell r="E232">
            <v>6479.2919439704865</v>
          </cell>
          <cell r="F232">
            <v>6.4792919439704866</v>
          </cell>
          <cell r="G232">
            <v>2.6780055555555555</v>
          </cell>
          <cell r="H232">
            <v>2.6780055555555553E-3</v>
          </cell>
          <cell r="I232">
            <v>35.223765432098766</v>
          </cell>
          <cell r="J232">
            <v>3.5223765432098764E-2</v>
          </cell>
        </row>
        <row r="233">
          <cell r="A233" t="str">
            <v>96343</v>
          </cell>
          <cell r="B233" t="str">
            <v>GANACHE BAILEYS (700g)</v>
          </cell>
          <cell r="C233" t="str">
            <v>KILO</v>
          </cell>
          <cell r="D233" t="str">
            <v>GRAMO</v>
          </cell>
          <cell r="E233">
            <v>4033.9998857142855</v>
          </cell>
          <cell r="F233">
            <v>4.0339998857142856</v>
          </cell>
          <cell r="G233">
            <v>13.772599999999999</v>
          </cell>
          <cell r="H233">
            <v>1.3772599999999999E-2</v>
          </cell>
          <cell r="I233">
            <v>392.85714285714283</v>
          </cell>
          <cell r="J233">
            <v>0.39285714285714285</v>
          </cell>
        </row>
        <row r="234">
          <cell r="A234" t="str">
            <v>96344</v>
          </cell>
          <cell r="B234" t="str">
            <v>CREMA DULCE LECHE (24500g)</v>
          </cell>
          <cell r="C234" t="str">
            <v>TANDA</v>
          </cell>
          <cell r="D234" t="str">
            <v>GRAMO</v>
          </cell>
          <cell r="E234">
            <v>47842.976727200003</v>
          </cell>
          <cell r="F234">
            <v>1.9527745602938777</v>
          </cell>
          <cell r="G234">
            <v>0</v>
          </cell>
          <cell r="H234">
            <v>0</v>
          </cell>
          <cell r="I234">
            <v>275</v>
          </cell>
          <cell r="J234">
            <v>1.1224489795918367E-2</v>
          </cell>
        </row>
        <row r="235">
          <cell r="A235" t="str">
            <v>96349</v>
          </cell>
          <cell r="B235" t="str">
            <v>BATIDO P/ROSQUETE ZANAHORIA (10200g)</v>
          </cell>
          <cell r="C235" t="str">
            <v>KILO</v>
          </cell>
          <cell r="D235" t="str">
            <v>GRAMO</v>
          </cell>
          <cell r="E235">
            <v>19770.832487975571</v>
          </cell>
          <cell r="F235">
            <v>1.8306326377755158</v>
          </cell>
          <cell r="G235">
            <v>11.122917368936587</v>
          </cell>
          <cell r="H235">
            <v>1.0298997563830173E-3</v>
          </cell>
          <cell r="I235">
            <v>991.51782292065923</v>
          </cell>
          <cell r="J235">
            <v>9.1807205825986962E-2</v>
          </cell>
        </row>
        <row r="236">
          <cell r="A236" t="str">
            <v>96352</v>
          </cell>
          <cell r="B236" t="str">
            <v>GALLETA P/TORTA CHILENA BUCCA</v>
          </cell>
          <cell r="C236" t="str">
            <v>UND</v>
          </cell>
          <cell r="D236" t="str">
            <v>UND</v>
          </cell>
          <cell r="E236">
            <v>59.974259271360751</v>
          </cell>
          <cell r="F236">
            <v>59.974259271360751</v>
          </cell>
          <cell r="G236">
            <v>0.46606528812537668</v>
          </cell>
          <cell r="H236">
            <v>0.46606528812537668</v>
          </cell>
          <cell r="I236">
            <v>15.320253164556961</v>
          </cell>
          <cell r="J236">
            <v>15.320253164556961</v>
          </cell>
        </row>
        <row r="237">
          <cell r="A237" t="str">
            <v>90100143</v>
          </cell>
          <cell r="B237" t="str">
            <v>ROSQUETE VAINILLA PURATOS  (1000g)</v>
          </cell>
          <cell r="C237" t="str">
            <v>UND</v>
          </cell>
          <cell r="D237" t="str">
            <v>UND</v>
          </cell>
          <cell r="E237">
            <v>1023.982802590923</v>
          </cell>
          <cell r="F237">
            <v>1023.982802590923</v>
          </cell>
          <cell r="G237">
            <v>24.187790337380832</v>
          </cell>
          <cell r="H237">
            <v>24.187790337380832</v>
          </cell>
          <cell r="I237">
            <v>34.421435367327526</v>
          </cell>
          <cell r="J237">
            <v>34.421435367327526</v>
          </cell>
        </row>
        <row r="238">
          <cell r="A238" t="str">
            <v>96357</v>
          </cell>
          <cell r="B238" t="str">
            <v>ROSQUETE CHOCOLATE SPOON  (280g)</v>
          </cell>
          <cell r="C238" t="str">
            <v>UND</v>
          </cell>
          <cell r="D238" t="str">
            <v>UND</v>
          </cell>
          <cell r="E238">
            <v>370.0906676352601</v>
          </cell>
          <cell r="F238">
            <v>370.0906676352601</v>
          </cell>
          <cell r="G238">
            <v>4.146585476818637</v>
          </cell>
          <cell r="H238">
            <v>4.146585476818637</v>
          </cell>
          <cell r="I238">
            <v>23.439692448230694</v>
          </cell>
          <cell r="J238">
            <v>23.439692448230694</v>
          </cell>
        </row>
        <row r="239">
          <cell r="A239" t="str">
            <v>96360</v>
          </cell>
          <cell r="B239" t="str">
            <v>COCCION PALMITO P/ENSALADA (1900g)</v>
          </cell>
          <cell r="C239" t="str">
            <v>KILO</v>
          </cell>
          <cell r="D239" t="str">
            <v>GRAMO</v>
          </cell>
          <cell r="E239">
            <v>2347.4006557894736</v>
          </cell>
          <cell r="F239">
            <v>2.3474006557894738</v>
          </cell>
          <cell r="G239">
            <v>44.225973684210523</v>
          </cell>
          <cell r="H239">
            <v>4.4225973684210523E-2</v>
          </cell>
          <cell r="I239">
            <v>86.842105263157904</v>
          </cell>
          <cell r="J239">
            <v>8.6842105263157901E-2</v>
          </cell>
        </row>
        <row r="240">
          <cell r="A240" t="str">
            <v>96361</v>
          </cell>
          <cell r="B240" t="str">
            <v>BATIDO YOGURT CAKE (10500g)</v>
          </cell>
          <cell r="C240" t="str">
            <v>KILO</v>
          </cell>
          <cell r="D240" t="str">
            <v>GRAMO</v>
          </cell>
          <cell r="E240">
            <v>1356.717147051859</v>
          </cell>
          <cell r="F240">
            <v>1.3567171470518591</v>
          </cell>
          <cell r="G240">
            <v>3.1315248243744573</v>
          </cell>
          <cell r="H240">
            <v>3.1315248243744573E-3</v>
          </cell>
          <cell r="I240">
            <v>47.738574473123371</v>
          </cell>
          <cell r="J240">
            <v>4.7738574473123373E-2</v>
          </cell>
        </row>
        <row r="241">
          <cell r="A241" t="str">
            <v>96362</v>
          </cell>
          <cell r="B241" t="str">
            <v>ADEREZO CULANTRO RANCH (500g)</v>
          </cell>
          <cell r="C241" t="str">
            <v>KILO</v>
          </cell>
          <cell r="D241" t="str">
            <v>GRAMO</v>
          </cell>
          <cell r="E241">
            <v>1313.3792668857036</v>
          </cell>
          <cell r="F241">
            <v>1.3133792668857036</v>
          </cell>
          <cell r="G241">
            <v>64.31460317543943</v>
          </cell>
          <cell r="H241">
            <v>6.4314603175439425E-2</v>
          </cell>
          <cell r="I241">
            <v>604.54374873079269</v>
          </cell>
          <cell r="J241">
            <v>0.60454374873079264</v>
          </cell>
        </row>
        <row r="242">
          <cell r="A242" t="str">
            <v>96367</v>
          </cell>
          <cell r="B242" t="str">
            <v>ADEREZO PESTO ALBAHACA (300g)</v>
          </cell>
          <cell r="C242" t="str">
            <v>KILO</v>
          </cell>
          <cell r="D242" t="str">
            <v>GRAMO</v>
          </cell>
          <cell r="E242">
            <v>3256.399145833333</v>
          </cell>
          <cell r="F242">
            <v>3.256399145833333</v>
          </cell>
          <cell r="G242">
            <v>54.084525925925938</v>
          </cell>
          <cell r="H242">
            <v>5.4084525925925934E-2</v>
          </cell>
          <cell r="I242">
            <v>566.93693693693706</v>
          </cell>
          <cell r="J242">
            <v>0.56693693693693703</v>
          </cell>
        </row>
        <row r="243">
          <cell r="A243" t="str">
            <v>96368</v>
          </cell>
          <cell r="B243" t="str">
            <v>COCCION CARNE PHILLY (500g)</v>
          </cell>
          <cell r="C243" t="str">
            <v>KILO</v>
          </cell>
          <cell r="D243" t="str">
            <v>GRAMO</v>
          </cell>
          <cell r="E243">
            <v>11091.887170000002</v>
          </cell>
          <cell r="F243">
            <v>11.091887170000001</v>
          </cell>
          <cell r="G243">
            <v>49.338826999999995</v>
          </cell>
          <cell r="H243">
            <v>4.9338826999999995E-2</v>
          </cell>
          <cell r="I243">
            <v>560</v>
          </cell>
          <cell r="J243">
            <v>0.56000000000000005</v>
          </cell>
        </row>
        <row r="244">
          <cell r="A244" t="str">
            <v>96369</v>
          </cell>
          <cell r="B244" t="str">
            <v>COCCION CEBOLLA PHILLY (200g)</v>
          </cell>
          <cell r="C244" t="str">
            <v>KILO</v>
          </cell>
          <cell r="D244" t="str">
            <v>GRAMO</v>
          </cell>
          <cell r="E244">
            <v>7895.8827233333341</v>
          </cell>
          <cell r="F244">
            <v>7.895882723333334</v>
          </cell>
          <cell r="G244">
            <v>123.34706749999999</v>
          </cell>
          <cell r="H244">
            <v>0.12334706749999999</v>
          </cell>
          <cell r="I244">
            <v>1400</v>
          </cell>
          <cell r="J244">
            <v>1.4</v>
          </cell>
        </row>
        <row r="245">
          <cell r="A245" t="str">
            <v>96370</v>
          </cell>
          <cell r="B245" t="str">
            <v>MEZCLA CLARAS P/TORTA (1700g)</v>
          </cell>
          <cell r="C245" t="str">
            <v>KILO</v>
          </cell>
          <cell r="D245" t="str">
            <v>GRAMO</v>
          </cell>
          <cell r="E245">
            <v>2967.8659223529412</v>
          </cell>
          <cell r="F245">
            <v>2.9678659223529413</v>
          </cell>
          <cell r="G245">
            <v>0</v>
          </cell>
          <cell r="H245">
            <v>0</v>
          </cell>
          <cell r="I245">
            <v>98.823529411764696</v>
          </cell>
          <cell r="J245">
            <v>9.8823529411764699E-2</v>
          </cell>
        </row>
        <row r="246">
          <cell r="A246" t="str">
            <v>96371</v>
          </cell>
          <cell r="B246" t="str">
            <v>MEZCLA DE HUEVOS ENTEROS P/TORTA (750g)</v>
          </cell>
          <cell r="C246" t="str">
            <v>KILO</v>
          </cell>
          <cell r="D246" t="str">
            <v>GRAMO</v>
          </cell>
          <cell r="E246">
            <v>1409.0171506666668</v>
          </cell>
          <cell r="F246">
            <v>1.4090171506666669</v>
          </cell>
          <cell r="G246">
            <v>0</v>
          </cell>
          <cell r="H246">
            <v>0</v>
          </cell>
          <cell r="I246">
            <v>224</v>
          </cell>
          <cell r="J246">
            <v>0.224</v>
          </cell>
        </row>
        <row r="247">
          <cell r="A247" t="str">
            <v>96372</v>
          </cell>
          <cell r="B247" t="str">
            <v>QUESO CHEDDAR BLANCO LAMINADO Y EMPACADO (1000g)</v>
          </cell>
          <cell r="C247" t="str">
            <v>KILO</v>
          </cell>
          <cell r="D247" t="str">
            <v>GRAMO</v>
          </cell>
          <cell r="E247">
            <v>9278.7842700000001</v>
          </cell>
          <cell r="F247">
            <v>9.2787842700000009</v>
          </cell>
          <cell r="G247">
            <v>52.097924444444445</v>
          </cell>
          <cell r="H247">
            <v>5.2097924444444443E-2</v>
          </cell>
          <cell r="I247">
            <v>224</v>
          </cell>
          <cell r="J247">
            <v>0.224</v>
          </cell>
        </row>
        <row r="248">
          <cell r="A248" t="str">
            <v>96373</v>
          </cell>
          <cell r="B248" t="str">
            <v>QUESO CHEDDAR LAMINADO Y EMPACADO (1000g)</v>
          </cell>
          <cell r="C248" t="str">
            <v>KILO</v>
          </cell>
          <cell r="D248" t="str">
            <v>GRAMO</v>
          </cell>
          <cell r="E248">
            <v>9065.4797699999999</v>
          </cell>
          <cell r="F248">
            <v>9.0654797699999996</v>
          </cell>
          <cell r="G248">
            <v>52.097924444444445</v>
          </cell>
          <cell r="H248">
            <v>5.2097924444444443E-2</v>
          </cell>
          <cell r="I248">
            <v>224</v>
          </cell>
          <cell r="J248">
            <v>0.224</v>
          </cell>
        </row>
        <row r="249">
          <cell r="A249" t="str">
            <v>96374</v>
          </cell>
          <cell r="B249" t="str">
            <v>QUESO GOUDA BLANCO LAMINADO Y EMPACADO (1000g)</v>
          </cell>
          <cell r="C249" t="str">
            <v>KILO</v>
          </cell>
          <cell r="D249" t="str">
            <v>GRAMO</v>
          </cell>
          <cell r="E249">
            <v>6766.1310899999999</v>
          </cell>
          <cell r="F249">
            <v>6.76613109</v>
          </cell>
          <cell r="G249">
            <v>52.103924444444445</v>
          </cell>
          <cell r="H249">
            <v>5.2103924444444442E-2</v>
          </cell>
          <cell r="I249">
            <v>224</v>
          </cell>
          <cell r="J249">
            <v>0.224</v>
          </cell>
        </row>
        <row r="250">
          <cell r="A250" t="str">
            <v>96375</v>
          </cell>
          <cell r="B250" t="str">
            <v>QUESO MONTERREY JACK LAMINADO Y EMPACADO (1000g)</v>
          </cell>
          <cell r="C250" t="str">
            <v>KILO</v>
          </cell>
          <cell r="D250" t="str">
            <v>GRAMO</v>
          </cell>
          <cell r="E250">
            <v>6933.1377600000005</v>
          </cell>
          <cell r="F250">
            <v>6.9331377600000001</v>
          </cell>
          <cell r="G250">
            <v>52.223357777777778</v>
          </cell>
          <cell r="H250">
            <v>5.2223357777777778E-2</v>
          </cell>
          <cell r="I250">
            <v>224</v>
          </cell>
          <cell r="J250">
            <v>0.224</v>
          </cell>
        </row>
        <row r="251">
          <cell r="A251" t="str">
            <v>96376</v>
          </cell>
          <cell r="B251" t="str">
            <v>SALCHICHA AMERICANA HORNEADA (300g)</v>
          </cell>
          <cell r="C251" t="str">
            <v>UND</v>
          </cell>
          <cell r="D251" t="str">
            <v>UND</v>
          </cell>
          <cell r="E251">
            <v>263.25</v>
          </cell>
          <cell r="F251">
            <v>263.25</v>
          </cell>
          <cell r="G251">
            <v>0</v>
          </cell>
          <cell r="H251">
            <v>0</v>
          </cell>
          <cell r="I251">
            <v>16.8</v>
          </cell>
          <cell r="J251">
            <v>16.8</v>
          </cell>
        </row>
        <row r="252">
          <cell r="A252" t="str">
            <v>96376</v>
          </cell>
          <cell r="B252" t="str">
            <v>SALCHICHA AMERICANA HORNEADA (300g)</v>
          </cell>
          <cell r="C252" t="str">
            <v>KILO</v>
          </cell>
          <cell r="D252" t="str">
            <v>GRAMO</v>
          </cell>
          <cell r="E252">
            <v>263.25</v>
          </cell>
          <cell r="F252">
            <v>0.26324999999999998</v>
          </cell>
          <cell r="G252">
            <v>0</v>
          </cell>
          <cell r="H252">
            <v>0</v>
          </cell>
          <cell r="I252">
            <v>16.8</v>
          </cell>
          <cell r="J252">
            <v>1.6800000000000002E-2</v>
          </cell>
        </row>
        <row r="253">
          <cell r="A253" t="str">
            <v>96377</v>
          </cell>
          <cell r="B253" t="str">
            <v>SALSA CEBOLLA PHILLY (500g)</v>
          </cell>
          <cell r="C253" t="str">
            <v>KILO</v>
          </cell>
          <cell r="D253" t="str">
            <v>GRAMO</v>
          </cell>
          <cell r="E253">
            <v>2593.4490490000003</v>
          </cell>
          <cell r="F253">
            <v>2.5934490490000002</v>
          </cell>
          <cell r="G253">
            <v>0</v>
          </cell>
          <cell r="H253">
            <v>0</v>
          </cell>
          <cell r="I253">
            <v>560</v>
          </cell>
          <cell r="J253">
            <v>0.56000000000000005</v>
          </cell>
        </row>
        <row r="254">
          <cell r="A254" t="str">
            <v>96378</v>
          </cell>
          <cell r="B254" t="str">
            <v>TOCINETA TOSTADA (150g)</v>
          </cell>
          <cell r="C254" t="str">
            <v>KILO</v>
          </cell>
          <cell r="D254" t="str">
            <v>GRAMO</v>
          </cell>
          <cell r="E254">
            <v>12643.866666666667</v>
          </cell>
          <cell r="F254">
            <v>12.643866666666666</v>
          </cell>
          <cell r="G254">
            <v>0</v>
          </cell>
          <cell r="H254">
            <v>0</v>
          </cell>
          <cell r="I254">
            <v>1120</v>
          </cell>
          <cell r="J254">
            <v>1.1200000000000001</v>
          </cell>
        </row>
        <row r="255">
          <cell r="A255" t="str">
            <v>96379</v>
          </cell>
          <cell r="B255" t="str">
            <v>TORTA DE CLARAS (110g)</v>
          </cell>
          <cell r="C255" t="str">
            <v>UND</v>
          </cell>
          <cell r="D255" t="str">
            <v>UND</v>
          </cell>
          <cell r="E255">
            <v>508.87973196778529</v>
          </cell>
          <cell r="F255">
            <v>508.87973196778529</v>
          </cell>
          <cell r="G255">
            <v>0</v>
          </cell>
          <cell r="H255">
            <v>0</v>
          </cell>
          <cell r="I255">
            <v>33.881879194630869</v>
          </cell>
          <cell r="J255">
            <v>33.881879194630869</v>
          </cell>
        </row>
        <row r="256">
          <cell r="A256" t="str">
            <v>96380</v>
          </cell>
          <cell r="B256" t="str">
            <v>TORTA DE HUEVO (75g)</v>
          </cell>
          <cell r="C256" t="str">
            <v>UND</v>
          </cell>
          <cell r="D256" t="str">
            <v>UND</v>
          </cell>
          <cell r="E256">
            <v>107.84754888389264</v>
          </cell>
          <cell r="F256">
            <v>107.84754888389264</v>
          </cell>
          <cell r="G256">
            <v>2.838254697986577E-2</v>
          </cell>
          <cell r="H256">
            <v>2.838254697986577E-2</v>
          </cell>
          <cell r="I256">
            <v>39.340939597315433</v>
          </cell>
          <cell r="J256">
            <v>39.340939597315433</v>
          </cell>
        </row>
        <row r="257">
          <cell r="A257" t="str">
            <v>96381</v>
          </cell>
          <cell r="B257" t="str">
            <v>TORTA HUEVOS Y VEGETALES (75g)</v>
          </cell>
          <cell r="C257" t="str">
            <v>UND</v>
          </cell>
          <cell r="D257" t="str">
            <v>UND</v>
          </cell>
          <cell r="E257">
            <v>113.89141737722596</v>
          </cell>
          <cell r="F257">
            <v>113.89141737722596</v>
          </cell>
          <cell r="G257">
            <v>2.838254697986577E-2</v>
          </cell>
          <cell r="H257">
            <v>2.838254697986577E-2</v>
          </cell>
          <cell r="I257">
            <v>37.100939597315438</v>
          </cell>
          <cell r="J257">
            <v>37.100939597315438</v>
          </cell>
        </row>
        <row r="258">
          <cell r="A258" t="str">
            <v>96388</v>
          </cell>
          <cell r="B258" t="str">
            <v>BASE DE GALLETA DE CHOCOLATE (1000g)</v>
          </cell>
          <cell r="C258" t="str">
            <v>KILO</v>
          </cell>
          <cell r="D258" t="str">
            <v>GRAMO</v>
          </cell>
          <cell r="E258">
            <v>1553.7802000000001</v>
          </cell>
          <cell r="F258">
            <v>1.5537802000000001</v>
          </cell>
          <cell r="G258">
            <v>0</v>
          </cell>
          <cell r="H258">
            <v>0</v>
          </cell>
          <cell r="I258">
            <v>220</v>
          </cell>
          <cell r="J258">
            <v>0.22</v>
          </cell>
        </row>
        <row r="259">
          <cell r="A259" t="str">
            <v>96392</v>
          </cell>
          <cell r="B259" t="str">
            <v>BASTONES QUESO TURRIALBA P/TIQUEÑOS</v>
          </cell>
          <cell r="C259" t="str">
            <v>TANDA</v>
          </cell>
          <cell r="D259" t="str">
            <v>GRAMO</v>
          </cell>
          <cell r="E259">
            <v>27372.389999999996</v>
          </cell>
          <cell r="F259">
            <v>3.1828360465116274</v>
          </cell>
          <cell r="G259">
            <v>10.140034999999999</v>
          </cell>
          <cell r="H259">
            <v>1.1790738372093022E-3</v>
          </cell>
          <cell r="I259">
            <v>770</v>
          </cell>
          <cell r="J259">
            <v>8.9534883720930228E-2</v>
          </cell>
        </row>
        <row r="260">
          <cell r="A260" t="str">
            <v>96393</v>
          </cell>
          <cell r="B260" t="str">
            <v>BATIDO P/PAN BLANCO (24650g)</v>
          </cell>
          <cell r="C260" t="str">
            <v>KILO</v>
          </cell>
          <cell r="D260" t="str">
            <v>GRAMO</v>
          </cell>
          <cell r="E260">
            <v>496.04960787018251</v>
          </cell>
          <cell r="F260">
            <v>0.49604960787018249</v>
          </cell>
          <cell r="G260">
            <v>1.8606731317814482</v>
          </cell>
          <cell r="H260">
            <v>1.8606731317814481E-3</v>
          </cell>
          <cell r="I260">
            <v>20.081135902636916</v>
          </cell>
          <cell r="J260">
            <v>2.0081135902636917E-2</v>
          </cell>
        </row>
        <row r="261">
          <cell r="A261" t="str">
            <v>96395</v>
          </cell>
          <cell r="B261" t="str">
            <v>PRALINE C/CHOCOLATE BLANCO (2600g)</v>
          </cell>
          <cell r="C261" t="str">
            <v>KILO</v>
          </cell>
          <cell r="D261" t="str">
            <v>GRAMO</v>
          </cell>
          <cell r="E261">
            <v>4516.5968076923073</v>
          </cell>
          <cell r="F261">
            <v>4.5165968076923075</v>
          </cell>
          <cell r="G261">
            <v>8.6926923076923082</v>
          </cell>
          <cell r="H261">
            <v>8.6926923076923075E-3</v>
          </cell>
          <cell r="I261">
            <v>430.76923076923077</v>
          </cell>
          <cell r="J261">
            <v>0.43076923076923079</v>
          </cell>
        </row>
        <row r="262">
          <cell r="A262" t="str">
            <v>96396</v>
          </cell>
          <cell r="B262" t="str">
            <v>CREMA CHANTILLY BEIDGE (10400g)</v>
          </cell>
          <cell r="C262" t="str">
            <v>KILO</v>
          </cell>
          <cell r="D262" t="str">
            <v>GRAMO</v>
          </cell>
          <cell r="E262">
            <v>1565.0805096153845</v>
          </cell>
          <cell r="F262">
            <v>1.5650805096153844</v>
          </cell>
          <cell r="G262">
            <v>9.6249999999999988E-2</v>
          </cell>
          <cell r="H262">
            <v>9.6249999999999995E-5</v>
          </cell>
          <cell r="I262">
            <v>26.923076923076923</v>
          </cell>
          <cell r="J262">
            <v>2.6923076923076925E-2</v>
          </cell>
        </row>
        <row r="263">
          <cell r="A263" t="str">
            <v>96398</v>
          </cell>
          <cell r="B263" t="str">
            <v>ALMIBAR CON LICOR DE CAFE (3000g)</v>
          </cell>
          <cell r="C263" t="str">
            <v>TANDA</v>
          </cell>
          <cell r="D263" t="str">
            <v>MIlilitro</v>
          </cell>
          <cell r="E263">
            <v>9455.557774311821</v>
          </cell>
          <cell r="F263">
            <v>3.1518525914372737</v>
          </cell>
          <cell r="G263">
            <v>19.751088578274761</v>
          </cell>
          <cell r="H263">
            <v>6.5836961927582538E-3</v>
          </cell>
          <cell r="I263">
            <v>103.76198083067092</v>
          </cell>
          <cell r="J263">
            <v>3.4587326943556977E-2</v>
          </cell>
        </row>
        <row r="264">
          <cell r="A264" t="str">
            <v>96399</v>
          </cell>
          <cell r="B264" t="str">
            <v>BATIDO P/TORTA KALUA (7684g)</v>
          </cell>
          <cell r="C264" t="str">
            <v>KILO</v>
          </cell>
          <cell r="D264" t="str">
            <v>GRAMO</v>
          </cell>
          <cell r="E264">
            <v>2598.1708149431574</v>
          </cell>
          <cell r="F264">
            <v>2.5981708149431575</v>
          </cell>
          <cell r="G264">
            <v>7.0082209161000613</v>
          </cell>
          <cell r="H264">
            <v>7.0082209161000612E-3</v>
          </cell>
          <cell r="I264">
            <v>111.33659065921081</v>
          </cell>
          <cell r="J264">
            <v>0.11133659065921081</v>
          </cell>
        </row>
        <row r="265">
          <cell r="A265" t="str">
            <v>96409</v>
          </cell>
          <cell r="B265" t="str">
            <v>BASE PREMEZCLA CHOCOLATE PILLSBURY (6012g)</v>
          </cell>
          <cell r="C265" t="str">
            <v>TANDA</v>
          </cell>
          <cell r="D265" t="str">
            <v>GRAMO</v>
          </cell>
          <cell r="E265">
            <v>10026.521425312169</v>
          </cell>
          <cell r="F265">
            <v>1.667751401415863</v>
          </cell>
          <cell r="G265">
            <v>32.369083809523815</v>
          </cell>
          <cell r="H265">
            <v>5.3840791433007011E-3</v>
          </cell>
          <cell r="I265">
            <v>110</v>
          </cell>
          <cell r="J265">
            <v>1.8296739853626082E-2</v>
          </cell>
        </row>
        <row r="266">
          <cell r="A266" t="str">
            <v>96451</v>
          </cell>
          <cell r="B266" t="str">
            <v>MEZCLA TRES LECHES C/AGUA (2000g)</v>
          </cell>
          <cell r="C266" t="str">
            <v>Kilo</v>
          </cell>
          <cell r="D266" t="str">
            <v>Gramo</v>
          </cell>
          <cell r="E266">
            <v>866.54019873768948</v>
          </cell>
          <cell r="F266">
            <v>0.8665401987376895</v>
          </cell>
          <cell r="G266">
            <v>0</v>
          </cell>
          <cell r="H266">
            <v>0</v>
          </cell>
          <cell r="I266">
            <v>67.934680321062828</v>
          </cell>
          <cell r="J266">
            <v>6.7934680321062826E-2</v>
          </cell>
        </row>
        <row r="267">
          <cell r="A267" t="str">
            <v>96464</v>
          </cell>
          <cell r="B267" t="str">
            <v>EMPAQUE SALSA BLANCA SPOON  (5000g)</v>
          </cell>
          <cell r="C267" t="str">
            <v>KILO</v>
          </cell>
          <cell r="D267" t="str">
            <v>GRAMO</v>
          </cell>
          <cell r="E267">
            <v>1571.1600631712397</v>
          </cell>
          <cell r="F267">
            <v>1.5711600631712397</v>
          </cell>
          <cell r="G267">
            <v>7.751116539682541</v>
          </cell>
          <cell r="H267">
            <v>7.7511165396825406E-3</v>
          </cell>
          <cell r="I267">
            <v>37.179910350448246</v>
          </cell>
          <cell r="J267">
            <v>3.7179910350448243E-2</v>
          </cell>
        </row>
        <row r="268">
          <cell r="A268" t="str">
            <v>96465</v>
          </cell>
          <cell r="B268" t="str">
            <v>POLLO RECORTE EMPACADO (5000g)</v>
          </cell>
          <cell r="C268" t="str">
            <v>TANDA</v>
          </cell>
          <cell r="D268" t="str">
            <v>GRAMO</v>
          </cell>
          <cell r="E268">
            <v>18641.096729957804</v>
          </cell>
          <cell r="F268">
            <v>3.7282193459915609</v>
          </cell>
          <cell r="G268">
            <v>38.052083809523815</v>
          </cell>
          <cell r="H268">
            <v>7.6104167619047633E-3</v>
          </cell>
          <cell r="I268">
            <v>398.05379746835445</v>
          </cell>
          <cell r="J268">
            <v>7.9610759493670885E-2</v>
          </cell>
        </row>
        <row r="269">
          <cell r="A269" t="str">
            <v>96466</v>
          </cell>
          <cell r="B269" t="str">
            <v>POLLO DESMENUZADO MARMITA EMPACADO (5000g)</v>
          </cell>
          <cell r="C269" t="str">
            <v>BOLSA</v>
          </cell>
          <cell r="D269" t="str">
            <v>GRAMO</v>
          </cell>
          <cell r="E269">
            <v>21923.708020833335</v>
          </cell>
          <cell r="F269">
            <v>4.3847416041666669</v>
          </cell>
          <cell r="G269">
            <v>38.810127142857141</v>
          </cell>
          <cell r="H269">
            <v>7.762025428571428E-3</v>
          </cell>
          <cell r="I269">
            <v>828.4375</v>
          </cell>
          <cell r="J269">
            <v>0.16568749999999999</v>
          </cell>
        </row>
        <row r="270">
          <cell r="A270" t="str">
            <v>96467</v>
          </cell>
          <cell r="B270" t="str">
            <v>ARROZ PRECOCIDO P/GALLO PINTO EMPACADO (5000g)</v>
          </cell>
          <cell r="C270" t="str">
            <v>TANDA</v>
          </cell>
          <cell r="D270" t="str">
            <v>GRAMO</v>
          </cell>
          <cell r="E270">
            <v>3631.635473608098</v>
          </cell>
          <cell r="F270">
            <v>0.7263270947216196</v>
          </cell>
          <cell r="G270">
            <v>80.961763325069739</v>
          </cell>
          <cell r="H270">
            <v>1.6192352665013947E-2</v>
          </cell>
          <cell r="I270">
            <v>399.93763557483732</v>
          </cell>
          <cell r="J270">
            <v>7.9987527114967469E-2</v>
          </cell>
        </row>
        <row r="271">
          <cell r="A271" t="str">
            <v>96468</v>
          </cell>
          <cell r="B271" t="str">
            <v>FRIJOLES P/GALLO PINTO EMPACADOS (4000g)</v>
          </cell>
          <cell r="C271" t="str">
            <v>TANDA</v>
          </cell>
          <cell r="D271" t="str">
            <v>GRAMO</v>
          </cell>
          <cell r="E271">
            <v>2763.0171543895058</v>
          </cell>
          <cell r="F271">
            <v>0.69075428859737642</v>
          </cell>
          <cell r="G271">
            <v>31.588019937212692</v>
          </cell>
          <cell r="H271">
            <v>7.8970049843031728E-3</v>
          </cell>
          <cell r="I271">
            <v>195.51715438950555</v>
          </cell>
          <cell r="J271">
            <v>4.8879288597376384E-2</v>
          </cell>
        </row>
        <row r="272">
          <cell r="A272" t="str">
            <v>96475</v>
          </cell>
          <cell r="B272" t="str">
            <v>COCCION CREMA TOMATE (18500g)</v>
          </cell>
          <cell r="C272" t="str">
            <v>KILO</v>
          </cell>
          <cell r="D272" t="str">
            <v>GRAMO</v>
          </cell>
          <cell r="E272">
            <v>1122.8780081600833</v>
          </cell>
          <cell r="F272">
            <v>1.1228780081600833</v>
          </cell>
          <cell r="G272">
            <v>0</v>
          </cell>
          <cell r="H272">
            <v>0</v>
          </cell>
          <cell r="I272">
            <v>29.198841698841701</v>
          </cell>
          <cell r="J272">
            <v>2.9198841698841699E-2</v>
          </cell>
        </row>
        <row r="273">
          <cell r="A273" t="str">
            <v>96476</v>
          </cell>
          <cell r="B273" t="str">
            <v>BASE PREMEZCLA P/EMPANADA STB (9456g)</v>
          </cell>
          <cell r="C273" t="str">
            <v>TANDA</v>
          </cell>
          <cell r="D273" t="str">
            <v>GRAMO</v>
          </cell>
          <cell r="E273">
            <v>3544.9617000000003</v>
          </cell>
          <cell r="F273">
            <v>0.37489019670050766</v>
          </cell>
          <cell r="G273">
            <v>35.065582698412705</v>
          </cell>
          <cell r="H273">
            <v>3.7082892024548121E-3</v>
          </cell>
          <cell r="I273">
            <v>168</v>
          </cell>
          <cell r="J273">
            <v>1.7766497461928935E-2</v>
          </cell>
        </row>
        <row r="274">
          <cell r="A274" t="str">
            <v>96477</v>
          </cell>
          <cell r="B274" t="str">
            <v>PASTA P/EMPANADA STB (16000g)</v>
          </cell>
          <cell r="C274" t="str">
            <v>KILO</v>
          </cell>
          <cell r="D274" t="str">
            <v>GRAMO</v>
          </cell>
          <cell r="E274">
            <v>796.91226375000008</v>
          </cell>
          <cell r="F274">
            <v>0.79691226375000013</v>
          </cell>
          <cell r="G274">
            <v>2.191598918650794</v>
          </cell>
          <cell r="H274">
            <v>2.1915989186507942E-3</v>
          </cell>
          <cell r="I274">
            <v>44.875</v>
          </cell>
          <cell r="J274">
            <v>4.4874999999999998E-2</v>
          </cell>
        </row>
        <row r="275">
          <cell r="A275" t="str">
            <v>96478</v>
          </cell>
          <cell r="B275" t="str">
            <v>RECTANGULOS DE PASTA P/EMPANADA STB (UND)</v>
          </cell>
          <cell r="C275" t="str">
            <v>UND</v>
          </cell>
          <cell r="D275" t="str">
            <v>UND</v>
          </cell>
          <cell r="E275">
            <v>52.184340622010872</v>
          </cell>
          <cell r="F275">
            <v>52.184340622010872</v>
          </cell>
          <cell r="G275">
            <v>0.14245392971230164</v>
          </cell>
          <cell r="H275">
            <v>0.14245392971230164</v>
          </cell>
          <cell r="I275">
            <v>6.50383152173913</v>
          </cell>
          <cell r="J275">
            <v>6.50383152173913</v>
          </cell>
        </row>
        <row r="276">
          <cell r="A276" t="str">
            <v>96479</v>
          </cell>
          <cell r="B276" t="str">
            <v>RUEDA P/EMPANADA STB (UND)</v>
          </cell>
          <cell r="C276" t="str">
            <v>UND</v>
          </cell>
          <cell r="D276" t="str">
            <v>UND</v>
          </cell>
          <cell r="E276">
            <v>48.379197015000003</v>
          </cell>
          <cell r="F276">
            <v>48.379197015000003</v>
          </cell>
          <cell r="G276">
            <v>0.13066080357142856</v>
          </cell>
          <cell r="H276">
            <v>0.13066080357142856</v>
          </cell>
          <cell r="I276">
            <v>6.0525000000000002</v>
          </cell>
          <cell r="J276">
            <v>6.0525000000000002</v>
          </cell>
        </row>
        <row r="277">
          <cell r="A277" t="str">
            <v>96480</v>
          </cell>
          <cell r="B277" t="str">
            <v>RELLENO POLLO Y HONGOS STB EMPACADO (4000g)</v>
          </cell>
          <cell r="C277" t="str">
            <v>KILO</v>
          </cell>
          <cell r="D277" t="str">
            <v>GRAMO</v>
          </cell>
          <cell r="E277">
            <v>3397.7394979447758</v>
          </cell>
          <cell r="F277">
            <v>3.3977394979447757</v>
          </cell>
          <cell r="G277">
            <v>6.8891455555555563</v>
          </cell>
          <cell r="H277">
            <v>6.8891455555555566E-3</v>
          </cell>
          <cell r="I277">
            <v>241.83476259980947</v>
          </cell>
          <cell r="J277">
            <v>0.24183476259980946</v>
          </cell>
        </row>
        <row r="278">
          <cell r="A278" t="str">
            <v>96481</v>
          </cell>
          <cell r="B278" t="str">
            <v>RELLENO CAPRESSE STB EMPACADO (4000g)</v>
          </cell>
          <cell r="C278" t="str">
            <v>KILO</v>
          </cell>
          <cell r="D278" t="str">
            <v>GRAMO</v>
          </cell>
          <cell r="E278">
            <v>2734.9109968887979</v>
          </cell>
          <cell r="F278">
            <v>2.7349109968887979</v>
          </cell>
          <cell r="G278">
            <v>0.63700000000000001</v>
          </cell>
          <cell r="H278">
            <v>6.3699999999999998E-4</v>
          </cell>
          <cell r="I278">
            <v>165.82375204924509</v>
          </cell>
          <cell r="J278">
            <v>0.1658237520492451</v>
          </cell>
        </row>
        <row r="279">
          <cell r="A279" t="str">
            <v>96482</v>
          </cell>
          <cell r="B279" t="str">
            <v>RELLENO JAMON Y QUESO STB (4000g)</v>
          </cell>
          <cell r="C279" t="str">
            <v>KILO</v>
          </cell>
          <cell r="D279" t="str">
            <v>GRAMO</v>
          </cell>
          <cell r="E279">
            <v>2451.1142236052137</v>
          </cell>
          <cell r="F279">
            <v>2.4511142236052139</v>
          </cell>
          <cell r="G279">
            <v>6.7954622222222225</v>
          </cell>
          <cell r="H279">
            <v>6.7954622222222228E-3</v>
          </cell>
          <cell r="I279">
            <v>474.39387384356604</v>
          </cell>
          <cell r="J279">
            <v>0.47439387384356602</v>
          </cell>
        </row>
        <row r="280">
          <cell r="A280" t="str">
            <v>96483</v>
          </cell>
          <cell r="B280" t="str">
            <v>EMPANADA CAPRESSE STB (UND)</v>
          </cell>
          <cell r="C280" t="str">
            <v>UND</v>
          </cell>
          <cell r="D280" t="str">
            <v>UND</v>
          </cell>
          <cell r="E280">
            <v>189.12989046645077</v>
          </cell>
          <cell r="F280">
            <v>189.12989046645077</v>
          </cell>
          <cell r="G280">
            <v>9.459746492212302</v>
          </cell>
          <cell r="H280">
            <v>9.459746492212302</v>
          </cell>
          <cell r="I280">
            <v>35.420019124201389</v>
          </cell>
          <cell r="J280">
            <v>35.420019124201389</v>
          </cell>
        </row>
        <row r="281">
          <cell r="A281" t="str">
            <v>96484</v>
          </cell>
          <cell r="B281" t="str">
            <v>EMPANADA JAMON Y QUESO (UND)</v>
          </cell>
          <cell r="C281" t="str">
            <v>UND</v>
          </cell>
          <cell r="D281" t="str">
            <v>UND</v>
          </cell>
          <cell r="E281">
            <v>174.96650794651072</v>
          </cell>
          <cell r="F281">
            <v>174.96650794651072</v>
          </cell>
          <cell r="G281">
            <v>8.8327253432539674</v>
          </cell>
          <cell r="H281">
            <v>8.8327253432539674</v>
          </cell>
          <cell r="I281">
            <v>51.219693692178296</v>
          </cell>
          <cell r="J281">
            <v>51.219693692178296</v>
          </cell>
        </row>
        <row r="282">
          <cell r="A282" t="str">
            <v>96485</v>
          </cell>
          <cell r="B282" t="str">
            <v>EMPANADA POLLO Y HONGOS STB (UND)</v>
          </cell>
          <cell r="C282" t="str">
            <v>UND</v>
          </cell>
          <cell r="D282" t="str">
            <v>UND</v>
          </cell>
          <cell r="E282">
            <v>226.70396911503602</v>
          </cell>
          <cell r="F282">
            <v>226.70396911503602</v>
          </cell>
          <cell r="G282">
            <v>0.47511808134920641</v>
          </cell>
          <cell r="H282">
            <v>0.47511808134920641</v>
          </cell>
          <cell r="I282">
            <v>46.336545822298163</v>
          </cell>
          <cell r="J282">
            <v>46.336545822298163</v>
          </cell>
        </row>
        <row r="283">
          <cell r="A283" t="str">
            <v>96486</v>
          </cell>
          <cell r="B283" t="str">
            <v>RELLENO CARNE CON ACEITUNAS EMPACADO (2000g)</v>
          </cell>
          <cell r="C283" t="str">
            <v>KILO</v>
          </cell>
          <cell r="D283" t="str">
            <v>GRAMO</v>
          </cell>
          <cell r="E283">
            <v>3198.589746943192</v>
          </cell>
          <cell r="F283">
            <v>3.1985897469431919</v>
          </cell>
          <cell r="G283">
            <v>28.689440516707077</v>
          </cell>
          <cell r="H283">
            <v>2.8689440516707077E-2</v>
          </cell>
          <cell r="I283">
            <v>402.68474645994223</v>
          </cell>
          <cell r="J283">
            <v>0.40268474645994223</v>
          </cell>
        </row>
        <row r="284">
          <cell r="A284" t="str">
            <v>96487</v>
          </cell>
          <cell r="B284" t="str">
            <v>EMPANADA CARNE C/ACEITUNAS STB (UND)</v>
          </cell>
          <cell r="C284" t="str">
            <v>UND</v>
          </cell>
          <cell r="D284" t="str">
            <v>UND</v>
          </cell>
          <cell r="E284">
            <v>217.7416789246596</v>
          </cell>
          <cell r="F284">
            <v>217.7416789246596</v>
          </cell>
          <cell r="G284">
            <v>9.7033764771825393</v>
          </cell>
          <cell r="H284">
            <v>9.7033764771825393</v>
          </cell>
          <cell r="I284">
            <v>53.724237322997112</v>
          </cell>
          <cell r="J284">
            <v>53.724237322997112</v>
          </cell>
        </row>
        <row r="285">
          <cell r="A285" t="str">
            <v>904000013</v>
          </cell>
          <cell r="B285" t="str">
            <v>EMPAQUE MAYONESA (3000g)</v>
          </cell>
          <cell r="C285" t="str">
            <v>TANDA</v>
          </cell>
          <cell r="D285" t="str">
            <v>GRAMO</v>
          </cell>
          <cell r="E285">
            <v>38618.906589806043</v>
          </cell>
          <cell r="F285">
            <v>1.0325910852889317</v>
          </cell>
          <cell r="G285">
            <v>6.4795834880450069</v>
          </cell>
          <cell r="H285">
            <v>1.7325089540227293E-4</v>
          </cell>
          <cell r="I285">
            <v>2242.5316455696202</v>
          </cell>
          <cell r="J285">
            <v>5.996073918635348E-2</v>
          </cell>
        </row>
        <row r="286">
          <cell r="A286" t="str">
            <v>96488</v>
          </cell>
          <cell r="B286" t="str">
            <v>ROSQUETE CUADRADO TRES LECHES (330g)</v>
          </cell>
          <cell r="C286" t="str">
            <v>UND</v>
          </cell>
          <cell r="D286" t="str">
            <v>UND</v>
          </cell>
          <cell r="E286">
            <v>329.13105196412442</v>
          </cell>
          <cell r="F286">
            <v>329.13105196412442</v>
          </cell>
          <cell r="G286">
            <v>1.2382540299524487</v>
          </cell>
          <cell r="H286">
            <v>1.2382540299524487</v>
          </cell>
          <cell r="I286">
            <v>28.483709579011595</v>
          </cell>
          <cell r="J286">
            <v>28.483709579011595</v>
          </cell>
        </row>
        <row r="287">
          <cell r="A287" t="str">
            <v>95356</v>
          </cell>
          <cell r="B287" t="str">
            <v>ROSQUETE TRES LECHES (1000g)</v>
          </cell>
          <cell r="C287" t="str">
            <v>UND</v>
          </cell>
          <cell r="D287" t="str">
            <v>UND</v>
          </cell>
          <cell r="E287">
            <v>733.13104330022384</v>
          </cell>
          <cell r="F287">
            <v>733.13104330022384</v>
          </cell>
          <cell r="G287">
            <v>11.238521567375347</v>
          </cell>
          <cell r="H287">
            <v>11.238521567375347</v>
          </cell>
          <cell r="I287">
            <v>48.803930968360504</v>
          </cell>
          <cell r="J287">
            <v>48.803930968360504</v>
          </cell>
        </row>
        <row r="288">
          <cell r="A288" t="str">
            <v>96389</v>
          </cell>
          <cell r="B288" t="str">
            <v>MOUSSE P/POSTRE COOKIES AND CREAM (1800g)</v>
          </cell>
          <cell r="C288" t="str">
            <v>KILO</v>
          </cell>
          <cell r="D288" t="str">
            <v>GRAMO</v>
          </cell>
          <cell r="E288">
            <v>3412.0520363595087</v>
          </cell>
          <cell r="F288">
            <v>3.4120520363595088</v>
          </cell>
          <cell r="G288">
            <v>9.090277777777777E-3</v>
          </cell>
          <cell r="H288">
            <v>9.0902777777777772E-6</v>
          </cell>
          <cell r="I288">
            <v>157.77243589743591</v>
          </cell>
          <cell r="J288">
            <v>0.15777243589743592</v>
          </cell>
        </row>
        <row r="289">
          <cell r="A289" t="str">
            <v>96390</v>
          </cell>
          <cell r="B289" t="str">
            <v>BASE CHOCOLATE Y ALMENDRAS P/MINI POSTRE (1000g)</v>
          </cell>
          <cell r="C289" t="str">
            <v>KILO</v>
          </cell>
          <cell r="D289" t="str">
            <v>GRAMO</v>
          </cell>
          <cell r="E289">
            <v>4564.1309955584647</v>
          </cell>
          <cell r="F289">
            <v>4.5641309955584646</v>
          </cell>
          <cell r="G289">
            <v>0.4859724379484196</v>
          </cell>
          <cell r="H289">
            <v>4.859724379484196E-4</v>
          </cell>
          <cell r="I289">
            <v>195.95549738219896</v>
          </cell>
          <cell r="J289">
            <v>0.19595549738219895</v>
          </cell>
        </row>
        <row r="290">
          <cell r="A290" t="str">
            <v>96391</v>
          </cell>
          <cell r="B290" t="str">
            <v>MOUSSE CHOCOLATE DARK C/COBERTURA (6000g)</v>
          </cell>
          <cell r="C290" t="str">
            <v>KILO</v>
          </cell>
          <cell r="D290" t="str">
            <v>GRAMO</v>
          </cell>
          <cell r="E290">
            <v>3291.487916666666</v>
          </cell>
          <cell r="F290">
            <v>3.2914879166666662</v>
          </cell>
          <cell r="G290">
            <v>6.3433650000000004</v>
          </cell>
          <cell r="H290">
            <v>6.3433650000000001E-3</v>
          </cell>
          <cell r="I290">
            <v>140</v>
          </cell>
          <cell r="J290">
            <v>0.14000000000000001</v>
          </cell>
        </row>
        <row r="291">
          <cell r="A291" t="str">
            <v>95584</v>
          </cell>
          <cell r="B291" t="str">
            <v>RELLENO QUESO P/CHESSE CAKE HORNEADO (12800g)</v>
          </cell>
          <cell r="C291" t="str">
            <v>KILO</v>
          </cell>
          <cell r="D291" t="str">
            <v>GRAMO</v>
          </cell>
          <cell r="E291">
            <v>2306.3680384765626</v>
          </cell>
          <cell r="F291">
            <v>2.3063680384765624</v>
          </cell>
          <cell r="G291">
            <v>0</v>
          </cell>
          <cell r="H291">
            <v>0</v>
          </cell>
          <cell r="I291">
            <v>25.78125</v>
          </cell>
          <cell r="J291">
            <v>2.5781249999999999E-2</v>
          </cell>
        </row>
        <row r="292">
          <cell r="A292" t="str">
            <v>95702</v>
          </cell>
          <cell r="B292" t="str">
            <v>RELLENO QUESO BASE P/CHESSE CAKE SPOON (7.8 Kg)</v>
          </cell>
          <cell r="C292" t="str">
            <v>KILO</v>
          </cell>
          <cell r="D292" t="str">
            <v>GRAMO</v>
          </cell>
          <cell r="E292">
            <v>1798.4060811282054</v>
          </cell>
          <cell r="F292">
            <v>1.7984060811282054</v>
          </cell>
          <cell r="G292">
            <v>0</v>
          </cell>
          <cell r="H292">
            <v>0</v>
          </cell>
          <cell r="I292">
            <v>105.76923076923077</v>
          </cell>
          <cell r="J292">
            <v>0.10576923076923077</v>
          </cell>
        </row>
        <row r="293">
          <cell r="A293" t="str">
            <v>95833</v>
          </cell>
          <cell r="B293" t="str">
            <v>ROSQUETE MELOCOTON PURATOS (300g)</v>
          </cell>
          <cell r="C293" t="str">
            <v>UND</v>
          </cell>
          <cell r="D293" t="str">
            <v>UND</v>
          </cell>
          <cell r="E293">
            <v>354.48884494634626</v>
          </cell>
          <cell r="F293">
            <v>354.48884494634626</v>
          </cell>
          <cell r="G293">
            <v>9.2045736593345016</v>
          </cell>
          <cell r="H293">
            <v>9.2045736593345016</v>
          </cell>
          <cell r="I293">
            <v>18.692332962886429</v>
          </cell>
          <cell r="J293">
            <v>18.692332962886429</v>
          </cell>
        </row>
        <row r="294">
          <cell r="A294" t="str">
            <v>95857</v>
          </cell>
          <cell r="B294" t="str">
            <v>ROSQUETE CHOCOLATE SPOON RED. (320g)</v>
          </cell>
          <cell r="C294" t="str">
            <v>UND</v>
          </cell>
          <cell r="D294" t="str">
            <v>UND</v>
          </cell>
          <cell r="E294">
            <v>395.76817663200347</v>
          </cell>
          <cell r="F294">
            <v>395.76817663200347</v>
          </cell>
          <cell r="G294">
            <v>5.8299605890354398</v>
          </cell>
          <cell r="H294">
            <v>5.8299605890354398</v>
          </cell>
          <cell r="I294">
            <v>16.8969495634217</v>
          </cell>
          <cell r="J294">
            <v>16.8969495634217</v>
          </cell>
        </row>
        <row r="295">
          <cell r="A295" t="str">
            <v>96273</v>
          </cell>
          <cell r="B295" t="str">
            <v>CORTE GALLETA PEQ P/TORTA CHILENA (UND)</v>
          </cell>
          <cell r="C295" t="str">
            <v>UND</v>
          </cell>
          <cell r="D295" t="str">
            <v>UND</v>
          </cell>
          <cell r="E295">
            <v>91.259726746921174</v>
          </cell>
          <cell r="F295">
            <v>91.259726746921174</v>
          </cell>
          <cell r="G295">
            <v>0.71619935522714828</v>
          </cell>
          <cell r="H295">
            <v>0.71619935522714828</v>
          </cell>
          <cell r="I295">
            <v>21.555665024630542</v>
          </cell>
          <cell r="J295">
            <v>21.555665024630542</v>
          </cell>
        </row>
        <row r="296">
          <cell r="A296" t="str">
            <v>906000005</v>
          </cell>
          <cell r="B296" t="str">
            <v>EMPANADA DE POLLO PEQUEÑA  (UND)</v>
          </cell>
          <cell r="C296" t="str">
            <v>UND</v>
          </cell>
          <cell r="D296" t="str">
            <v>UND</v>
          </cell>
          <cell r="E296">
            <v>57.013804147782189</v>
          </cell>
          <cell r="F296">
            <v>57.013804147782189</v>
          </cell>
          <cell r="G296">
            <v>0.71571045852291038</v>
          </cell>
          <cell r="H296">
            <v>0.71571045852291038</v>
          </cell>
          <cell r="I296">
            <v>26.79662026328894</v>
          </cell>
          <cell r="J296">
            <v>26.79662026328894</v>
          </cell>
        </row>
        <row r="297">
          <cell r="A297" t="str">
            <v>96259</v>
          </cell>
          <cell r="B297" t="str">
            <v>EMPAQUE RELLENO QUESOS P/EMPANADA (3000g)</v>
          </cell>
          <cell r="C297" t="str">
            <v>TANDA</v>
          </cell>
          <cell r="D297" t="str">
            <v>GRAMO</v>
          </cell>
          <cell r="E297">
            <v>12479.353705098036</v>
          </cell>
          <cell r="F297">
            <v>4.1597845683660122</v>
          </cell>
          <cell r="G297">
            <v>29.449485658693998</v>
          </cell>
          <cell r="H297">
            <v>9.8164952195646665E-3</v>
          </cell>
          <cell r="I297">
            <v>386.37813211845105</v>
          </cell>
          <cell r="J297">
            <v>0.12879271070615034</v>
          </cell>
        </row>
        <row r="298">
          <cell r="A298" t="str">
            <v>96262</v>
          </cell>
          <cell r="B298" t="str">
            <v>EMPANADITA TRES QUESOS (UND)</v>
          </cell>
          <cell r="C298" t="str">
            <v>UND</v>
          </cell>
          <cell r="D298" t="str">
            <v>UND</v>
          </cell>
          <cell r="E298">
            <v>109.40284685546278</v>
          </cell>
          <cell r="F298">
            <v>109.40284685546278</v>
          </cell>
          <cell r="G298">
            <v>4.0610150815414059E-3</v>
          </cell>
          <cell r="H298">
            <v>4.0610150815414059E-3</v>
          </cell>
          <cell r="I298">
            <v>32.182415602202546</v>
          </cell>
          <cell r="J298">
            <v>32.182415602202546</v>
          </cell>
        </row>
        <row r="299">
          <cell r="A299" t="str">
            <v>95152</v>
          </cell>
          <cell r="B299" t="str">
            <v>EMPAQUE RELLENO JAMON P/ ARROLLADO (2000g)</v>
          </cell>
          <cell r="C299" t="str">
            <v>KILO</v>
          </cell>
          <cell r="D299" t="str">
            <v>GRAMO</v>
          </cell>
          <cell r="E299">
            <v>3053.0307908769746</v>
          </cell>
          <cell r="F299">
            <v>3.0530307908769747</v>
          </cell>
          <cell r="G299">
            <v>6.1319432886334617</v>
          </cell>
          <cell r="H299">
            <v>6.1319432886334617E-3</v>
          </cell>
          <cell r="I299">
            <v>74.597701149425291</v>
          </cell>
          <cell r="J299">
            <v>7.4597701149425294E-2</v>
          </cell>
        </row>
        <row r="300">
          <cell r="A300" t="str">
            <v>95230</v>
          </cell>
          <cell r="B300" t="str">
            <v>ARROLLADO DE JAMON (UND)</v>
          </cell>
          <cell r="C300" t="str">
            <v>UND</v>
          </cell>
          <cell r="D300" t="str">
            <v>UND</v>
          </cell>
          <cell r="E300">
            <v>122.67460640985297</v>
          </cell>
          <cell r="F300">
            <v>122.67460640985297</v>
          </cell>
          <cell r="G300">
            <v>1.2535177289265251</v>
          </cell>
          <cell r="H300">
            <v>1.2535177289265251</v>
          </cell>
          <cell r="I300">
            <v>33.979038314581437</v>
          </cell>
          <cell r="J300">
            <v>33.979038314581437</v>
          </cell>
        </row>
        <row r="301">
          <cell r="A301" t="str">
            <v>95475</v>
          </cell>
          <cell r="B301" t="str">
            <v>PAÑUELO ESPINACA C/RICOTTA (UND)</v>
          </cell>
          <cell r="C301" t="str">
            <v>UND</v>
          </cell>
          <cell r="D301" t="str">
            <v>UND</v>
          </cell>
          <cell r="E301">
            <v>137.21388281956311</v>
          </cell>
          <cell r="F301">
            <v>137.21388281956311</v>
          </cell>
          <cell r="G301">
            <v>0.72944441322726261</v>
          </cell>
          <cell r="H301">
            <v>0.72944441322726261</v>
          </cell>
          <cell r="I301">
            <v>36.400315884852304</v>
          </cell>
          <cell r="J301">
            <v>36.400315884852304</v>
          </cell>
        </row>
        <row r="302">
          <cell r="A302" t="str">
            <v>95446</v>
          </cell>
          <cell r="B302" t="str">
            <v>CANASTITA DULCE S/RELLENO (UND)</v>
          </cell>
          <cell r="C302" t="str">
            <v>UND</v>
          </cell>
          <cell r="D302" t="str">
            <v>UND</v>
          </cell>
          <cell r="E302">
            <v>24.2312115887846</v>
          </cell>
          <cell r="F302">
            <v>24.2312115887846</v>
          </cell>
          <cell r="G302">
            <v>0.13405430483116884</v>
          </cell>
          <cell r="H302">
            <v>0.13405430483116884</v>
          </cell>
          <cell r="I302">
            <v>13.337333333333333</v>
          </cell>
          <cell r="J302">
            <v>13.337333333333333</v>
          </cell>
        </row>
        <row r="303">
          <cell r="A303" t="str">
            <v>95253</v>
          </cell>
          <cell r="B303" t="str">
            <v>PLANCHA BROWNIE (1950g)</v>
          </cell>
          <cell r="C303" t="str">
            <v>UND</v>
          </cell>
          <cell r="D303" t="str">
            <v>UND</v>
          </cell>
          <cell r="E303">
            <v>3077.5122504999999</v>
          </cell>
          <cell r="F303">
            <v>3077.5122504999999</v>
          </cell>
          <cell r="G303">
            <v>33.108337615277776</v>
          </cell>
          <cell r="H303">
            <v>33.108337615277776</v>
          </cell>
          <cell r="I303">
            <v>184.57847222222222</v>
          </cell>
          <cell r="J303">
            <v>184.57847222222222</v>
          </cell>
        </row>
        <row r="304">
          <cell r="A304" t="str">
            <v>95519</v>
          </cell>
          <cell r="B304" t="str">
            <v>ROSQUETE VAINILLA BUCCA (1200g)</v>
          </cell>
          <cell r="C304" t="str">
            <v>UND</v>
          </cell>
          <cell r="D304" t="str">
            <v>UND</v>
          </cell>
          <cell r="E304">
            <v>1223.9160074044096</v>
          </cell>
          <cell r="F304">
            <v>1223.9160074044096</v>
          </cell>
          <cell r="G304">
            <v>24.193430851167854</v>
          </cell>
          <cell r="H304">
            <v>24.193430851167854</v>
          </cell>
          <cell r="I304">
            <v>40.990017742806444</v>
          </cell>
          <cell r="J304">
            <v>40.990017742806444</v>
          </cell>
        </row>
        <row r="305">
          <cell r="A305" t="str">
            <v>96235</v>
          </cell>
          <cell r="B305" t="str">
            <v>CANASTA REDONDA (30g)</v>
          </cell>
          <cell r="C305" t="str">
            <v>UND</v>
          </cell>
          <cell r="D305" t="str">
            <v>UND</v>
          </cell>
          <cell r="E305">
            <v>55.485211661052638</v>
          </cell>
          <cell r="F305">
            <v>55.485211661052638</v>
          </cell>
          <cell r="G305">
            <v>0.41374383057644121</v>
          </cell>
          <cell r="H305">
            <v>0.41374383057644121</v>
          </cell>
          <cell r="I305">
            <v>20.223076923076921</v>
          </cell>
          <cell r="J305">
            <v>20.223076923076921</v>
          </cell>
        </row>
        <row r="306">
          <cell r="A306" t="str">
            <v>96285</v>
          </cell>
          <cell r="B306" t="str">
            <v>ROSQUETE CHOCOLATE (50g)</v>
          </cell>
          <cell r="C306" t="str">
            <v>UND</v>
          </cell>
          <cell r="D306" t="str">
            <v>UND</v>
          </cell>
          <cell r="E306">
            <v>64.920020827704391</v>
          </cell>
          <cell r="F306">
            <v>64.920020827704391</v>
          </cell>
          <cell r="G306">
            <v>1.6945652336553261</v>
          </cell>
          <cell r="H306">
            <v>1.6945652336553261</v>
          </cell>
          <cell r="I306">
            <v>8.6622596368573692</v>
          </cell>
          <cell r="J306">
            <v>8.6622596368573692</v>
          </cell>
        </row>
        <row r="307">
          <cell r="A307" t="str">
            <v>95372</v>
          </cell>
          <cell r="B307" t="str">
            <v>BASE PREMEZCLA TURRON ALMENDRA (3047g)</v>
          </cell>
          <cell r="C307" t="str">
            <v>TANDA</v>
          </cell>
          <cell r="D307" t="str">
            <v>GRAMO</v>
          </cell>
          <cell r="E307">
            <v>1537.6218530000001</v>
          </cell>
          <cell r="F307">
            <v>0.50463467443386945</v>
          </cell>
          <cell r="G307">
            <v>21.822725555555557</v>
          </cell>
          <cell r="H307">
            <v>7.1620366116033991E-3</v>
          </cell>
          <cell r="I307">
            <v>110</v>
          </cell>
          <cell r="J307">
            <v>3.6101083032490974E-2</v>
          </cell>
        </row>
        <row r="308">
          <cell r="A308" t="str">
            <v>96358</v>
          </cell>
          <cell r="B308" t="str">
            <v>BATIDO P/TURRON ALMENDRAS (5760g)</v>
          </cell>
          <cell r="C308" t="str">
            <v>KILO</v>
          </cell>
          <cell r="D308" t="str">
            <v>GRAMO</v>
          </cell>
          <cell r="E308">
            <v>2349.0428222222222</v>
          </cell>
          <cell r="F308">
            <v>2.3490428222222222</v>
          </cell>
          <cell r="G308">
            <v>3.7886732253086417</v>
          </cell>
          <cell r="H308">
            <v>3.7886732253086417E-3</v>
          </cell>
          <cell r="I308">
            <v>76.736111111111114</v>
          </cell>
          <cell r="J308">
            <v>7.6736111111111116E-2</v>
          </cell>
        </row>
        <row r="309">
          <cell r="A309" t="str">
            <v>95103</v>
          </cell>
          <cell r="B309" t="str">
            <v>MEDIA LUNA CUBIERTA CHOCOLATE LECHE (UND)</v>
          </cell>
          <cell r="C309" t="str">
            <v>UND</v>
          </cell>
          <cell r="D309" t="str">
            <v>UND</v>
          </cell>
          <cell r="E309">
            <v>25.479206085055701</v>
          </cell>
          <cell r="F309">
            <v>25.479206085055701</v>
          </cell>
          <cell r="G309">
            <v>0.23606913072852082</v>
          </cell>
          <cell r="H309">
            <v>0.23606913072852082</v>
          </cell>
          <cell r="I309">
            <v>4.1430462944096549</v>
          </cell>
          <cell r="J309">
            <v>4.1430462944096549</v>
          </cell>
        </row>
        <row r="310">
          <cell r="A310" t="str">
            <v>95369</v>
          </cell>
          <cell r="B310" t="str">
            <v>BASE PREMEZCLA QUEQUE SECO (3320g)</v>
          </cell>
          <cell r="C310" t="str">
            <v>TANDA</v>
          </cell>
          <cell r="D310" t="str">
            <v>GRAMO</v>
          </cell>
          <cell r="E310">
            <v>5308.8964000000005</v>
          </cell>
          <cell r="F310">
            <v>1.5990651807228917</v>
          </cell>
          <cell r="G310">
            <v>21.822757777777777</v>
          </cell>
          <cell r="H310">
            <v>6.5731198125836676E-3</v>
          </cell>
          <cell r="I310">
            <v>82.5</v>
          </cell>
          <cell r="J310">
            <v>2.4849397590361446E-2</v>
          </cell>
        </row>
        <row r="311">
          <cell r="A311" t="str">
            <v>95345</v>
          </cell>
          <cell r="B311" t="str">
            <v>ROSQUETE QQ SECO C/PASAS (750g)</v>
          </cell>
          <cell r="C311" t="str">
            <v>UND</v>
          </cell>
          <cell r="D311" t="str">
            <v>UND</v>
          </cell>
          <cell r="E311">
            <v>1556.3047986021254</v>
          </cell>
          <cell r="F311">
            <v>1556.3047986021254</v>
          </cell>
          <cell r="G311">
            <v>9.9305932012357498</v>
          </cell>
          <cell r="H311">
            <v>9.9305932012357498</v>
          </cell>
          <cell r="I311">
            <v>170.27037392138064</v>
          </cell>
          <cell r="J311">
            <v>170.27037392138064</v>
          </cell>
        </row>
        <row r="312">
          <cell r="A312" t="str">
            <v>95112</v>
          </cell>
          <cell r="B312" t="str">
            <v>ROSQUETE VAINILLA PERSONAL BUCCA (200g)</v>
          </cell>
          <cell r="C312" t="str">
            <v>UND</v>
          </cell>
          <cell r="D312" t="str">
            <v>UND</v>
          </cell>
          <cell r="E312">
            <v>203.19643881318322</v>
          </cell>
          <cell r="F312">
            <v>203.19643881318322</v>
          </cell>
          <cell r="G312">
            <v>4.392269724166896</v>
          </cell>
          <cell r="H312">
            <v>4.392269724166896</v>
          </cell>
          <cell r="I312">
            <v>10.814359975068081</v>
          </cell>
          <cell r="J312">
            <v>10.814359975068081</v>
          </cell>
        </row>
        <row r="313">
          <cell r="A313" t="str">
            <v>96185</v>
          </cell>
          <cell r="B313" t="str">
            <v>BASE PREMEZCLA SOUFLE (6.035 Kg)</v>
          </cell>
          <cell r="C313" t="str">
            <v>TANDA</v>
          </cell>
          <cell r="D313" t="str">
            <v>GRAMO</v>
          </cell>
          <cell r="E313">
            <v>10445.845386000001</v>
          </cell>
          <cell r="F313">
            <v>1.7311642999668546</v>
          </cell>
          <cell r="G313">
            <v>11.022725555555557</v>
          </cell>
          <cell r="H313">
            <v>1.8267692336021804E-3</v>
          </cell>
          <cell r="I313">
            <v>165</v>
          </cell>
          <cell r="J313">
            <v>2.7345044746436859E-2</v>
          </cell>
        </row>
        <row r="314">
          <cell r="A314" t="str">
            <v>96332</v>
          </cell>
          <cell r="B314" t="str">
            <v>BATIDO P/ROSQUETE SOUFFLE (11100g)</v>
          </cell>
          <cell r="C314" t="str">
            <v>KILO</v>
          </cell>
          <cell r="D314" t="str">
            <v>GRAMO</v>
          </cell>
          <cell r="E314">
            <v>1603.841223963964</v>
          </cell>
          <cell r="F314">
            <v>1.6038412239639641</v>
          </cell>
          <cell r="G314">
            <v>0.99303833833833832</v>
          </cell>
          <cell r="H314">
            <v>9.9303833833833837E-4</v>
          </cell>
          <cell r="I314">
            <v>49.549549549549553</v>
          </cell>
          <cell r="J314">
            <v>4.954954954954955E-2</v>
          </cell>
        </row>
        <row r="315">
          <cell r="A315" t="str">
            <v>90100142</v>
          </cell>
          <cell r="B315" t="str">
            <v>SAL (5000G)</v>
          </cell>
          <cell r="C315" t="str">
            <v>BOLSA</v>
          </cell>
          <cell r="D315" t="str">
            <v>GRAMO</v>
          </cell>
          <cell r="E315">
            <v>940</v>
          </cell>
          <cell r="F315">
            <v>0.188</v>
          </cell>
          <cell r="G315">
            <v>13.475999999999999</v>
          </cell>
          <cell r="H315">
            <v>2.6952E-3</v>
          </cell>
          <cell r="I315">
            <v>55</v>
          </cell>
          <cell r="J315">
            <v>1.0999999999999999E-2</v>
          </cell>
        </row>
        <row r="316">
          <cell r="A316" t="str">
            <v>907000219</v>
          </cell>
          <cell r="B316" t="str">
            <v>Rosquete Brownie Menta 1000g</v>
          </cell>
          <cell r="C316" t="str">
            <v>UND</v>
          </cell>
          <cell r="D316" t="str">
            <v>UND</v>
          </cell>
          <cell r="E316">
            <v>3608.2294588235295</v>
          </cell>
          <cell r="F316">
            <v>3608.2294588235295</v>
          </cell>
          <cell r="G316">
            <v>54.990309948412701</v>
          </cell>
          <cell r="H316">
            <v>54.990309948412701</v>
          </cell>
          <cell r="I316">
            <v>120.3125</v>
          </cell>
          <cell r="J316">
            <v>120.3125</v>
          </cell>
        </row>
        <row r="317">
          <cell r="A317" t="str">
            <v>907000217</v>
          </cell>
          <cell r="B317" t="str">
            <v>RELLENO CHOCOMENTA</v>
          </cell>
          <cell r="C317" t="str">
            <v>KILO</v>
          </cell>
          <cell r="D317" t="str">
            <v>KILO</v>
          </cell>
          <cell r="E317">
            <v>3261.1301544444445</v>
          </cell>
          <cell r="F317">
            <v>3.2611301544444444</v>
          </cell>
          <cell r="G317">
            <v>0</v>
          </cell>
          <cell r="H317">
            <v>0</v>
          </cell>
          <cell r="I317">
            <v>275</v>
          </cell>
          <cell r="J317">
            <v>0.27500000000000002</v>
          </cell>
        </row>
        <row r="318">
          <cell r="A318" t="str">
            <v>910000005</v>
          </cell>
          <cell r="B318" t="str">
            <v>MEZCLA DULCE LECHE CON AGUA</v>
          </cell>
          <cell r="C318" t="str">
            <v>TANDA</v>
          </cell>
          <cell r="D318" t="str">
            <v>GRAMO</v>
          </cell>
          <cell r="E318">
            <v>897.49288799999999</v>
          </cell>
          <cell r="F318">
            <v>1.49582148</v>
          </cell>
          <cell r="G318">
            <v>49.681000000000004</v>
          </cell>
          <cell r="H318">
            <v>8.2801666666666676E-2</v>
          </cell>
          <cell r="I318">
            <v>55</v>
          </cell>
          <cell r="J318">
            <v>9.166666666666666E-2</v>
          </cell>
        </row>
        <row r="319">
          <cell r="A319" t="str">
            <v>902000066</v>
          </cell>
          <cell r="B319" t="str">
            <v>SUSPIRO QUEBRADO 7650 g</v>
          </cell>
          <cell r="C319" t="str">
            <v>TANDA</v>
          </cell>
          <cell r="D319" t="str">
            <v>GRAMO</v>
          </cell>
          <cell r="E319">
            <v>19353.380484982161</v>
          </cell>
          <cell r="F319">
            <v>2.5298536581676028</v>
          </cell>
          <cell r="G319">
            <v>28.481995768033212</v>
          </cell>
          <cell r="H319">
            <v>3.7231367017036879E-3</v>
          </cell>
          <cell r="I319">
            <v>2470.4311925180209</v>
          </cell>
          <cell r="J319">
            <v>0.32293218202849949</v>
          </cell>
        </row>
        <row r="320">
          <cell r="A320" t="str">
            <v>90100115</v>
          </cell>
          <cell r="B320" t="str">
            <v>SALSA NARANJA (TANDA= 500 g)</v>
          </cell>
          <cell r="C320" t="str">
            <v>TANDA</v>
          </cell>
          <cell r="D320" t="str">
            <v>GRAMO</v>
          </cell>
          <cell r="E320">
            <v>17252.58664899736</v>
          </cell>
          <cell r="F320">
            <v>1.3802069319197887</v>
          </cell>
          <cell r="G320">
            <v>0</v>
          </cell>
          <cell r="H320">
            <v>0</v>
          </cell>
          <cell r="I320">
            <v>440</v>
          </cell>
          <cell r="J320">
            <v>3.5200000000000002E-2</v>
          </cell>
        </row>
        <row r="321">
          <cell r="A321" t="str">
            <v>907000226</v>
          </cell>
          <cell r="B321" t="str">
            <v>ROSQUETE CHOCOLATE BUCCA 800G</v>
          </cell>
          <cell r="C321" t="str">
            <v>UND</v>
          </cell>
          <cell r="D321" t="str">
            <v>UND</v>
          </cell>
          <cell r="E321">
            <v>612.44387157698372</v>
          </cell>
          <cell r="F321">
            <v>612.44387157698372</v>
          </cell>
          <cell r="G321">
            <v>13.45860305381556</v>
          </cell>
          <cell r="H321">
            <v>13.45860305381556</v>
          </cell>
          <cell r="I321">
            <v>43.217561521252797</v>
          </cell>
          <cell r="J321">
            <v>43.217561521252797</v>
          </cell>
        </row>
        <row r="322">
          <cell r="A322" t="str">
            <v>901000036</v>
          </cell>
          <cell r="B322" t="str">
            <v>PREMEZCLA VAINILLA RICH 170G</v>
          </cell>
          <cell r="C322" t="str">
            <v>TANDA</v>
          </cell>
          <cell r="D322" t="str">
            <v>GRAMO</v>
          </cell>
          <cell r="E322">
            <v>154.22406599999999</v>
          </cell>
          <cell r="F322">
            <v>0.90720038823529403</v>
          </cell>
          <cell r="G322">
            <v>7.5947800000000001</v>
          </cell>
          <cell r="H322">
            <v>4.4675176470588239E-2</v>
          </cell>
          <cell r="I322">
            <v>55</v>
          </cell>
          <cell r="J322">
            <v>0.3235294117647059</v>
          </cell>
        </row>
        <row r="323">
          <cell r="A323" t="str">
            <v>902000024</v>
          </cell>
          <cell r="B323" t="str">
            <v>Batido Vainilla Rich FAS 24000g</v>
          </cell>
          <cell r="C323" t="str">
            <v>TANDA</v>
          </cell>
          <cell r="D323" t="str">
            <v>GRAMO</v>
          </cell>
          <cell r="E323">
            <v>31287.540585694296</v>
          </cell>
          <cell r="F323">
            <v>1.3036475244039289</v>
          </cell>
          <cell r="G323">
            <v>7.594780000000001</v>
          </cell>
          <cell r="H323">
            <v>3.1644916666666669E-4</v>
          </cell>
          <cell r="I323">
            <v>495</v>
          </cell>
          <cell r="J323">
            <v>2.0625000000000001E-2</v>
          </cell>
        </row>
        <row r="324">
          <cell r="A324" t="str">
            <v>903000064</v>
          </cell>
          <cell r="B324" t="str">
            <v>ROSQUETE VAINILLA RICH 900G</v>
          </cell>
          <cell r="C324" t="str">
            <v>UND</v>
          </cell>
          <cell r="D324" t="str">
            <v>UND</v>
          </cell>
          <cell r="E324">
            <v>1215.8360731204052</v>
          </cell>
          <cell r="F324">
            <v>1215.8360731204052</v>
          </cell>
          <cell r="G324">
            <v>14.598128740836346</v>
          </cell>
          <cell r="H324">
            <v>14.598128740836346</v>
          </cell>
          <cell r="I324">
            <v>57.945921528136296</v>
          </cell>
          <cell r="J324">
            <v>57.945921528136296</v>
          </cell>
        </row>
        <row r="325">
          <cell r="A325" t="str">
            <v>901000005</v>
          </cell>
          <cell r="B325" t="str">
            <v xml:space="preserve">PREMEZCLA P/BATIDO CHOCO PASTELERO </v>
          </cell>
          <cell r="C325" t="str">
            <v>TANDA</v>
          </cell>
          <cell r="D325" t="str">
            <v>GRAMO</v>
          </cell>
          <cell r="E325">
            <v>4095.2116799999994</v>
          </cell>
          <cell r="F325">
            <v>1.2546604411764704</v>
          </cell>
          <cell r="G325">
            <v>51.239250509457278</v>
          </cell>
          <cell r="H325">
            <v>1.5698299788436666E-2</v>
          </cell>
          <cell r="I325">
            <v>110</v>
          </cell>
          <cell r="J325">
            <v>3.3700980392156861E-2</v>
          </cell>
        </row>
        <row r="326">
          <cell r="A326" t="str">
            <v>902000003</v>
          </cell>
          <cell r="B326" t="str">
            <v>BATIDO CHOCOLATE PASTELERO REAL 32400G</v>
          </cell>
          <cell r="C326" t="str">
            <v>TANDA</v>
          </cell>
          <cell r="D326" t="str">
            <v>GRAMO</v>
          </cell>
          <cell r="E326">
            <v>35227.057306764706</v>
          </cell>
          <cell r="F326">
            <v>1.0872548551470589</v>
          </cell>
          <cell r="G326">
            <v>328.81658736859441</v>
          </cell>
          <cell r="H326">
            <v>1.0148660103968964E-2</v>
          </cell>
          <cell r="I326">
            <v>1153.9007352941176</v>
          </cell>
          <cell r="J326">
            <v>3.5614220225127086E-2</v>
          </cell>
        </row>
        <row r="327">
          <cell r="A327" t="str">
            <v>907000204</v>
          </cell>
          <cell r="B327" t="str">
            <v>PLANCHA CHOCOLATE PASTELERO REAL 1300g</v>
          </cell>
          <cell r="C327" t="str">
            <v>UND</v>
          </cell>
          <cell r="D327" t="str">
            <v>UND</v>
          </cell>
          <cell r="E327">
            <v>1441.5558928626554</v>
          </cell>
          <cell r="F327">
            <v>1441.5558928626554</v>
          </cell>
          <cell r="G327">
            <v>13.796570919739926</v>
          </cell>
          <cell r="H327">
            <v>13.796570919739926</v>
          </cell>
          <cell r="I327">
            <v>132.30935985831189</v>
          </cell>
          <cell r="J327">
            <v>132.30935985831189</v>
          </cell>
        </row>
        <row r="328">
          <cell r="A328" t="str">
            <v>907000211</v>
          </cell>
          <cell r="B328" t="str">
            <v>ROSQUETE MELOCOTON MED 300G</v>
          </cell>
          <cell r="C328" t="str">
            <v>UND</v>
          </cell>
          <cell r="D328" t="str">
            <v>UND</v>
          </cell>
          <cell r="E328">
            <v>346.25307546532559</v>
          </cell>
          <cell r="F328">
            <v>346.25307546532559</v>
          </cell>
          <cell r="G328">
            <v>7.3045465006072225</v>
          </cell>
          <cell r="H328">
            <v>7.3045465006072225</v>
          </cell>
          <cell r="I328">
            <v>18.950701073484009</v>
          </cell>
          <cell r="J328">
            <v>18.950701073484009</v>
          </cell>
        </row>
        <row r="329">
          <cell r="A329" t="str">
            <v>90100219</v>
          </cell>
          <cell r="B329" t="str">
            <v>PREMEZCLA TORTA DE TRES LECHES RP 4527G</v>
          </cell>
          <cell r="C329" t="str">
            <v>TANDA</v>
          </cell>
          <cell r="D329" t="str">
            <v>GRAMO</v>
          </cell>
          <cell r="E329">
            <v>2138.8148460000007</v>
          </cell>
          <cell r="F329">
            <v>0.47245744333996037</v>
          </cell>
          <cell r="G329">
            <v>42.57118777777778</v>
          </cell>
          <cell r="H329">
            <v>9.4038409051861675E-3</v>
          </cell>
          <cell r="I329">
            <v>165</v>
          </cell>
          <cell r="J329">
            <v>3.6447978793903248E-2</v>
          </cell>
        </row>
        <row r="330">
          <cell r="A330" t="str">
            <v>90100220</v>
          </cell>
          <cell r="B330" t="str">
            <v>BATIDO TORTA DE TRES LECHES RP 9600G</v>
          </cell>
          <cell r="C330" t="str">
            <v>TANDA</v>
          </cell>
          <cell r="D330" t="str">
            <v>GRAMO</v>
          </cell>
          <cell r="E330">
            <v>5277.9678302260372</v>
          </cell>
          <cell r="F330">
            <v>0.54978831564854558</v>
          </cell>
          <cell r="G330">
            <v>165</v>
          </cell>
          <cell r="H330">
            <v>1.7187500000000001E-2</v>
          </cell>
          <cell r="I330">
            <v>1815</v>
          </cell>
          <cell r="J330">
            <v>0.18906249999999999</v>
          </cell>
        </row>
        <row r="331">
          <cell r="A331" t="str">
            <v>90100275</v>
          </cell>
          <cell r="B331" t="str">
            <v>ROSQUETE GUSTITO 4 LECHES 90g</v>
          </cell>
          <cell r="C331" t="str">
            <v>UND</v>
          </cell>
          <cell r="D331" t="str">
            <v>UND</v>
          </cell>
          <cell r="E331">
            <v>49.792149341755071</v>
          </cell>
          <cell r="F331">
            <v>49.792149341755071</v>
          </cell>
          <cell r="G331">
            <v>62.56504561844865</v>
          </cell>
          <cell r="H331">
            <v>62.56504561844865</v>
          </cell>
          <cell r="I331">
            <v>27.5</v>
          </cell>
          <cell r="J331">
            <v>27.5</v>
          </cell>
        </row>
        <row r="332">
          <cell r="A332" t="str">
            <v>90100161</v>
          </cell>
          <cell r="B332" t="str">
            <v>PREMEZCLA TORTA QQ CRISTAL (8176g)</v>
          </cell>
          <cell r="C332" t="str">
            <v>TANDA</v>
          </cell>
          <cell r="D332" t="str">
            <v>GRAMO</v>
          </cell>
          <cell r="E332">
            <v>3492.2954479999999</v>
          </cell>
          <cell r="F332">
            <v>0.42713985420743639</v>
          </cell>
          <cell r="G332">
            <v>62.945187777777775</v>
          </cell>
          <cell r="H332">
            <v>7.6987754131332894E-3</v>
          </cell>
          <cell r="I332">
            <v>192.5</v>
          </cell>
          <cell r="J332">
            <v>2.3544520547945206E-2</v>
          </cell>
        </row>
        <row r="333">
          <cell r="A333" t="str">
            <v>90100225</v>
          </cell>
          <cell r="B333" t="str">
            <v>BATIDO CHOCOLATE 27500g</v>
          </cell>
          <cell r="C333" t="str">
            <v>TANDA</v>
          </cell>
          <cell r="D333" t="str">
            <v>GRAMO</v>
          </cell>
          <cell r="E333">
            <v>38581.311737905038</v>
          </cell>
          <cell r="F333">
            <v>1.4029567904692741</v>
          </cell>
          <cell r="G333">
            <v>0</v>
          </cell>
          <cell r="H333">
            <v>0</v>
          </cell>
          <cell r="I333">
            <v>440</v>
          </cell>
          <cell r="J333">
            <v>1.6E-2</v>
          </cell>
        </row>
        <row r="334">
          <cell r="A334" t="str">
            <v>90100226</v>
          </cell>
          <cell r="B334" t="str">
            <v>ROSQUETE DE CHOCOLATE 1100g</v>
          </cell>
          <cell r="C334" t="str">
            <v>UND</v>
          </cell>
          <cell r="D334" t="str">
            <v>UND</v>
          </cell>
          <cell r="E334">
            <v>1564.0343487108323</v>
          </cell>
          <cell r="F334">
            <v>1564.0343487108323</v>
          </cell>
          <cell r="G334">
            <v>0.28353251677852354</v>
          </cell>
          <cell r="H334">
            <v>0.28353251677852354</v>
          </cell>
          <cell r="I334">
            <v>95.98422818791947</v>
          </cell>
          <cell r="J334">
            <v>95.98422818791947</v>
          </cell>
        </row>
        <row r="335">
          <cell r="A335" t="str">
            <v>90100233</v>
          </cell>
          <cell r="B335" t="str">
            <v>BORONA CHOCOLATE ROSTI POLLOS 3900G</v>
          </cell>
          <cell r="C335" t="str">
            <v>TANDA</v>
          </cell>
          <cell r="D335" t="str">
            <v>GRAMO</v>
          </cell>
          <cell r="E335">
            <v>6256.1373948433293</v>
          </cell>
          <cell r="F335">
            <v>1.6041377935495715</v>
          </cell>
          <cell r="G335">
            <v>79.289130067114101</v>
          </cell>
          <cell r="H335">
            <v>2.0330546171054897E-2</v>
          </cell>
          <cell r="I335">
            <v>1153.9369127516779</v>
          </cell>
          <cell r="J335">
            <v>0.29588125967991741</v>
          </cell>
        </row>
        <row r="336">
          <cell r="A336" t="str">
            <v>90100234</v>
          </cell>
          <cell r="B336" t="str">
            <v>BATIDO QUEQUE ARCOIRIS 33930</v>
          </cell>
          <cell r="C336" t="str">
            <v>TANDA</v>
          </cell>
          <cell r="D336" t="str">
            <v>GRAMO</v>
          </cell>
          <cell r="E336">
            <v>40764.431855714094</v>
          </cell>
          <cell r="F336">
            <v>1.2014274051197789</v>
          </cell>
          <cell r="G336">
            <v>79.289130067114101</v>
          </cell>
          <cell r="H336">
            <v>2.3368443874775746E-3</v>
          </cell>
          <cell r="I336">
            <v>1483.9369127516779</v>
          </cell>
          <cell r="J336">
            <v>4.3735246470724375E-2</v>
          </cell>
        </row>
        <row r="337">
          <cell r="A337" t="str">
            <v>901000106</v>
          </cell>
          <cell r="B337" t="str">
            <v>JAMON PAVO REBANADO 2870G</v>
          </cell>
          <cell r="C337" t="str">
            <v>TANDA</v>
          </cell>
          <cell r="D337" t="str">
            <v>GRAMO</v>
          </cell>
          <cell r="E337">
            <v>8490.6059999999998</v>
          </cell>
          <cell r="F337">
            <v>2.9583993031358884</v>
          </cell>
          <cell r="G337">
            <v>294.39000000000004</v>
          </cell>
          <cell r="H337">
            <v>0.10257491289198607</v>
          </cell>
          <cell r="I337">
            <v>440</v>
          </cell>
          <cell r="J337">
            <v>0.15331010452961671</v>
          </cell>
        </row>
        <row r="338">
          <cell r="A338" t="str">
            <v>90100221</v>
          </cell>
          <cell r="B338" t="str">
            <v>ROSQUETE TORTA DE TRES LECHES RP (960 gr)</v>
          </cell>
          <cell r="C338" t="str">
            <v>UND</v>
          </cell>
          <cell r="D338" t="str">
            <v>UND</v>
          </cell>
          <cell r="E338">
            <v>527.79678302260368</v>
          </cell>
          <cell r="F338">
            <v>527.79678302260368</v>
          </cell>
          <cell r="G338">
            <v>406.73166666666668</v>
          </cell>
          <cell r="H338">
            <v>406.73166666666668</v>
          </cell>
          <cell r="I338">
            <v>225.5</v>
          </cell>
          <cell r="J338">
            <v>225.5</v>
          </cell>
        </row>
        <row r="339">
          <cell r="A339" t="str">
            <v>90100222</v>
          </cell>
          <cell r="B339" t="str">
            <v>MEZCLA DE TRES LECHES RP</v>
          </cell>
          <cell r="C339" t="str">
            <v>TANDA</v>
          </cell>
          <cell r="D339" t="str">
            <v>MIlilitro</v>
          </cell>
          <cell r="E339">
            <v>12415.167355350066</v>
          </cell>
          <cell r="F339">
            <v>2.0691945592250112</v>
          </cell>
          <cell r="G339">
            <v>0</v>
          </cell>
          <cell r="H339">
            <v>0</v>
          </cell>
          <cell r="I339">
            <v>275</v>
          </cell>
          <cell r="J339">
            <v>4.583333333333333E-2</v>
          </cell>
        </row>
        <row r="340">
          <cell r="A340" t="str">
            <v>90100223</v>
          </cell>
          <cell r="B340" t="str">
            <v>MERENGUE PARA TRES LECHES RP</v>
          </cell>
          <cell r="C340" t="str">
            <v>TANDA</v>
          </cell>
          <cell r="D340" t="str">
            <v>GRAMO</v>
          </cell>
          <cell r="E340">
            <v>3761.7899899999998</v>
          </cell>
          <cell r="F340">
            <v>1.07479714</v>
          </cell>
          <cell r="G340">
            <v>3.0708489714285713E-4</v>
          </cell>
          <cell r="H340">
            <v>8.7738542040816329E-8</v>
          </cell>
          <cell r="I340">
            <v>1100</v>
          </cell>
          <cell r="J340">
            <v>0.31428571428571428</v>
          </cell>
        </row>
        <row r="341">
          <cell r="A341" t="str">
            <v>901000006</v>
          </cell>
          <cell r="B341" t="str">
            <v xml:space="preserve">BASE PREMEZCLA P/BATIDO VAINILLA PASTELERO </v>
          </cell>
          <cell r="C341" t="str">
            <v>TANDA</v>
          </cell>
          <cell r="D341" t="str">
            <v>GRAMO</v>
          </cell>
          <cell r="E341">
            <v>4095.2116799999999</v>
          </cell>
          <cell r="F341">
            <v>1.2546604411764706</v>
          </cell>
          <cell r="G341">
            <v>19.096393366600132</v>
          </cell>
          <cell r="H341">
            <v>5.8506107128064129E-3</v>
          </cell>
          <cell r="I341">
            <v>110</v>
          </cell>
          <cell r="J341">
            <v>3.3700980392156861E-2</v>
          </cell>
        </row>
        <row r="342">
          <cell r="A342" t="str">
            <v>905000094</v>
          </cell>
          <cell r="B342" t="str">
            <v>Ensamble media torta chocolate</v>
          </cell>
          <cell r="C342" t="str">
            <v>UND</v>
          </cell>
          <cell r="D342" t="str">
            <v>UND</v>
          </cell>
          <cell r="E342">
            <v>1050.4464617677095</v>
          </cell>
          <cell r="F342">
            <v>1050.4464617677095</v>
          </cell>
          <cell r="G342">
            <v>7.8435866075199412</v>
          </cell>
          <cell r="H342">
            <v>7.8435866075199412</v>
          </cell>
          <cell r="I342">
            <v>129.29891730862488</v>
          </cell>
          <cell r="J342">
            <v>129.29891730862488</v>
          </cell>
        </row>
        <row r="343">
          <cell r="A343" t="str">
            <v>905000095</v>
          </cell>
          <cell r="B343" t="str">
            <v>Ensamble media torta melocoton</v>
          </cell>
          <cell r="C343" t="str">
            <v xml:space="preserve">UND </v>
          </cell>
          <cell r="D343" t="str">
            <v>UND</v>
          </cell>
          <cell r="E343">
            <v>1044.2221005121608</v>
          </cell>
          <cell r="F343">
            <v>1044.2221005121608</v>
          </cell>
          <cell r="G343">
            <v>8.0368646012000049</v>
          </cell>
          <cell r="H343">
            <v>8.0368646012000049</v>
          </cell>
          <cell r="I343">
            <v>145.09099221492735</v>
          </cell>
          <cell r="J343">
            <v>145.09099221492735</v>
          </cell>
        </row>
        <row r="344">
          <cell r="A344" t="str">
            <v>95342</v>
          </cell>
          <cell r="B344" t="str">
            <v>BASE Premezcla Batidos para Rosquete Super esponja</v>
          </cell>
          <cell r="C344" t="str">
            <v>TANDA</v>
          </cell>
          <cell r="D344" t="str">
            <v>GRAMO</v>
          </cell>
          <cell r="E344">
            <v>536.52239999999995</v>
          </cell>
          <cell r="F344">
            <v>4.4710199999999993</v>
          </cell>
          <cell r="G344">
            <v>4.421616766467066</v>
          </cell>
          <cell r="H344">
            <v>3.6846806387225553E-2</v>
          </cell>
          <cell r="I344">
            <v>27.5</v>
          </cell>
          <cell r="J344">
            <v>0.22916666666666666</v>
          </cell>
        </row>
        <row r="345">
          <cell r="A345" t="str">
            <v>95343</v>
          </cell>
          <cell r="B345" t="str">
            <v>BATIDO Super Esponja (40120g</v>
          </cell>
          <cell r="C345" t="str">
            <v>TANDA</v>
          </cell>
          <cell r="D345" t="str">
            <v>GRAMO</v>
          </cell>
          <cell r="E345">
            <v>53885.640047058827</v>
          </cell>
          <cell r="F345">
            <v>1.3431116661779368</v>
          </cell>
          <cell r="G345">
            <v>4.421616766467066</v>
          </cell>
          <cell r="H345">
            <v>1.1020978979229976E-4</v>
          </cell>
          <cell r="I345">
            <v>467.5</v>
          </cell>
          <cell r="J345">
            <v>1.1652542372881356E-2</v>
          </cell>
        </row>
        <row r="346">
          <cell r="A346" t="str">
            <v>907000111</v>
          </cell>
          <cell r="B346" t="str">
            <v>Rosquete Super Esponja 380g</v>
          </cell>
          <cell r="C346" t="str">
            <v>UND</v>
          </cell>
          <cell r="D346" t="str">
            <v>UND</v>
          </cell>
          <cell r="E346">
            <v>524.38269974552782</v>
          </cell>
          <cell r="F346">
            <v>524.38269974552782</v>
          </cell>
          <cell r="G346">
            <v>4.6211066985275187</v>
          </cell>
          <cell r="H346">
            <v>4.6211066985275187</v>
          </cell>
          <cell r="I346">
            <v>18.483375539635087</v>
          </cell>
          <cell r="J346">
            <v>18.483375539635087</v>
          </cell>
        </row>
        <row r="347">
          <cell r="A347" t="str">
            <v>907000200</v>
          </cell>
          <cell r="B347" t="str">
            <v>BATIDO P/ARROLLADO DULCE LECHE 3600G</v>
          </cell>
          <cell r="C347" t="str">
            <v>TANDA</v>
          </cell>
          <cell r="D347" t="str">
            <v>GRAMO</v>
          </cell>
          <cell r="E347">
            <v>3846.8646231243679</v>
          </cell>
          <cell r="F347">
            <v>1.0685735064234356</v>
          </cell>
          <cell r="G347">
            <v>20.782431036855929</v>
          </cell>
          <cell r="H347">
            <v>5.7728975102377582E-3</v>
          </cell>
          <cell r="I347">
            <v>342.14751426242867</v>
          </cell>
          <cell r="J347">
            <v>9.5040976184007961E-2</v>
          </cell>
        </row>
        <row r="348">
          <cell r="A348" t="str">
            <v>903000154</v>
          </cell>
          <cell r="B348" t="str">
            <v>RUEDA HOJALDRE EMPANADA DE POLLO PEQUEÑA</v>
          </cell>
          <cell r="C348" t="str">
            <v>UND</v>
          </cell>
          <cell r="D348" t="str">
            <v>UND</v>
          </cell>
          <cell r="E348">
            <v>17.692668599069446</v>
          </cell>
          <cell r="F348">
            <v>17.692668599069446</v>
          </cell>
          <cell r="G348">
            <v>7.3629137208274437E-2</v>
          </cell>
          <cell r="H348">
            <v>7.3629137208274437E-2</v>
          </cell>
          <cell r="I348">
            <v>11.189039828684258</v>
          </cell>
          <cell r="J348">
            <v>11.189039828684258</v>
          </cell>
        </row>
        <row r="349">
          <cell r="A349" t="str">
            <v>90100281</v>
          </cell>
          <cell r="B349" t="str">
            <v>Crema de Garbanzos 10000G</v>
          </cell>
          <cell r="C349" t="str">
            <v>TANDA</v>
          </cell>
          <cell r="D349" t="str">
            <v>GRAMO</v>
          </cell>
          <cell r="E349">
            <v>13062.089689729972</v>
          </cell>
          <cell r="F349">
            <v>1.3062089689729972</v>
          </cell>
          <cell r="G349">
            <v>69.513032603681182</v>
          </cell>
          <cell r="H349">
            <v>6.9513032603681184E-3</v>
          </cell>
          <cell r="I349">
            <v>1383.7719279201042</v>
          </cell>
          <cell r="J349">
            <v>0.13837719279201041</v>
          </cell>
        </row>
        <row r="350">
          <cell r="A350" t="str">
            <v>901000051</v>
          </cell>
          <cell r="B350" t="str">
            <v>Premezcla Pasta Piña(5262g) Spoon</v>
          </cell>
          <cell r="C350" t="str">
            <v>TANDA</v>
          </cell>
          <cell r="D350" t="str">
            <v>GRAMO</v>
          </cell>
          <cell r="E350">
            <v>4629.7639655999992</v>
          </cell>
          <cell r="F350">
            <v>0.87984872018243998</v>
          </cell>
          <cell r="G350">
            <v>28.572730555555559</v>
          </cell>
          <cell r="H350">
            <v>5.4300134085054274E-3</v>
          </cell>
          <cell r="I350">
            <v>275</v>
          </cell>
          <cell r="J350">
            <v>5.2261497529456483E-2</v>
          </cell>
        </row>
        <row r="351">
          <cell r="A351" t="str">
            <v>95466</v>
          </cell>
          <cell r="B351" t="str">
            <v>Pasta para empanada de piña</v>
          </cell>
          <cell r="C351" t="str">
            <v>TANDA</v>
          </cell>
          <cell r="D351" t="str">
            <v>GRAMO</v>
          </cell>
          <cell r="E351">
            <v>7170.5829880570664</v>
          </cell>
          <cell r="F351">
            <v>1.1636778623916044</v>
          </cell>
          <cell r="G351">
            <v>64.415063888888895</v>
          </cell>
          <cell r="H351">
            <v>1.0453596866096867E-2</v>
          </cell>
          <cell r="I351">
            <v>825</v>
          </cell>
          <cell r="J351">
            <v>0.13388510223953262</v>
          </cell>
        </row>
        <row r="352">
          <cell r="A352" t="str">
            <v>907000050</v>
          </cell>
          <cell r="B352" t="str">
            <v>ROSQUETE ARROLLADO 1000G</v>
          </cell>
          <cell r="C352" t="str">
            <v>UND</v>
          </cell>
          <cell r="D352" t="str">
            <v>UND</v>
          </cell>
          <cell r="E352">
            <v>1078.5488084368583</v>
          </cell>
          <cell r="F352">
            <v>1078.5488084368583</v>
          </cell>
          <cell r="G352">
            <v>64.069821784958108</v>
          </cell>
          <cell r="H352">
            <v>64.069821784958108</v>
          </cell>
          <cell r="I352">
            <v>150.70540571420932</v>
          </cell>
          <cell r="J352">
            <v>150.70540571420932</v>
          </cell>
        </row>
        <row r="353">
          <cell r="A353" t="str">
            <v>90100280</v>
          </cell>
          <cell r="B353" t="str">
            <v>SALSA POMODORO 15000</v>
          </cell>
          <cell r="C353" t="str">
            <v>TANDA</v>
          </cell>
          <cell r="D353" t="str">
            <v>GRAMO</v>
          </cell>
          <cell r="E353">
            <v>21018.911828324784</v>
          </cell>
          <cell r="F353">
            <v>1.4012607885549857</v>
          </cell>
          <cell r="G353">
            <v>0</v>
          </cell>
          <cell r="H353"/>
          <cell r="I353">
            <v>1925</v>
          </cell>
          <cell r="J353">
            <v>0.12833333333333333</v>
          </cell>
        </row>
        <row r="354">
          <cell r="A354" t="str">
            <v>95969</v>
          </cell>
          <cell r="B354" t="str">
            <v>CALDO POLLO C/CARCASA 47000</v>
          </cell>
          <cell r="C354" t="str">
            <v>TANDA</v>
          </cell>
          <cell r="D354" t="str">
            <v>GRAMO</v>
          </cell>
          <cell r="E354">
            <v>25962.644746666661</v>
          </cell>
          <cell r="F354">
            <v>0.55239669673758851</v>
          </cell>
          <cell r="G354">
            <v>231.47791333333333</v>
          </cell>
          <cell r="H354">
            <v>4.9250619858156024E-3</v>
          </cell>
          <cell r="I354">
            <v>1650</v>
          </cell>
          <cell r="J354">
            <v>3.5106382978723406E-2</v>
          </cell>
        </row>
        <row r="355">
          <cell r="A355" t="str">
            <v>90100129</v>
          </cell>
          <cell r="B355" t="str">
            <v>ALMIDON MODIFICADO (BOLSA:5000g)</v>
          </cell>
          <cell r="C355" t="str">
            <v>TANDA</v>
          </cell>
          <cell r="D355" t="str">
            <v>GRAMO</v>
          </cell>
          <cell r="E355">
            <v>5716.2</v>
          </cell>
          <cell r="F355">
            <v>1.14324</v>
          </cell>
          <cell r="G355">
            <v>35.609333333333339</v>
          </cell>
          <cell r="H355">
            <v>7.1218666666666682E-3</v>
          </cell>
          <cell r="I355">
            <v>55</v>
          </cell>
          <cell r="J355">
            <v>1.0999999999999999E-2</v>
          </cell>
        </row>
        <row r="356">
          <cell r="A356" t="str">
            <v>90100279</v>
          </cell>
          <cell r="B356" t="str">
            <v>SALSA CULANTRO 2000G</v>
          </cell>
          <cell r="C356" t="str">
            <v>TANDA</v>
          </cell>
          <cell r="D356" t="str">
            <v>GRAMO</v>
          </cell>
          <cell r="E356">
            <v>3002.3665583193829</v>
          </cell>
          <cell r="F356">
            <v>1.5011832791596915</v>
          </cell>
          <cell r="G356">
            <v>9.5495689134751789</v>
          </cell>
          <cell r="H356">
            <v>4.7747844567375894E-3</v>
          </cell>
          <cell r="I356">
            <v>600.18293617021277</v>
          </cell>
          <cell r="J356">
            <v>0.30009146808510639</v>
          </cell>
        </row>
        <row r="357">
          <cell r="A357" t="str">
            <v>90100126</v>
          </cell>
          <cell r="B357" t="str">
            <v>RELLENO LOMO SALTEADO 3150G</v>
          </cell>
          <cell r="C357" t="str">
            <v>TANDA</v>
          </cell>
          <cell r="D357" t="str">
            <v>GRAMO</v>
          </cell>
          <cell r="E357">
            <v>24248.467874774124</v>
          </cell>
          <cell r="F357">
            <v>7.6979263094521029</v>
          </cell>
          <cell r="G357">
            <v>66.339104999999989</v>
          </cell>
          <cell r="H357">
            <v>2.1060033333333329E-2</v>
          </cell>
          <cell r="I357">
            <v>440</v>
          </cell>
          <cell r="J357">
            <v>0.13968253968253969</v>
          </cell>
        </row>
        <row r="358">
          <cell r="A358" t="str">
            <v>90100127</v>
          </cell>
          <cell r="B358" t="str">
            <v>SALSA DE AJI 1400G</v>
          </cell>
          <cell r="C358" t="str">
            <v>TANDA</v>
          </cell>
          <cell r="D358" t="str">
            <v>GRAMO</v>
          </cell>
          <cell r="E358">
            <v>2818.5643070588239</v>
          </cell>
          <cell r="F358">
            <v>2.0132602193277314</v>
          </cell>
          <cell r="G358">
            <v>29.188105</v>
          </cell>
          <cell r="H358">
            <v>2.084864642857143E-2</v>
          </cell>
          <cell r="I358">
            <v>275</v>
          </cell>
          <cell r="J358">
            <v>0.19642857142857142</v>
          </cell>
        </row>
        <row r="359">
          <cell r="A359" t="str">
            <v>95970</v>
          </cell>
          <cell r="B359" t="str">
            <v>MEZCLA GALLO PINTO BUCCA 4000G</v>
          </cell>
          <cell r="C359" t="str">
            <v>TANDA</v>
          </cell>
          <cell r="D359" t="str">
            <v>GRAMO</v>
          </cell>
          <cell r="E359">
            <v>3822.7241065995277</v>
          </cell>
          <cell r="F359">
            <v>0.95568102664988186</v>
          </cell>
          <cell r="G359">
            <v>466.21886999568108</v>
          </cell>
          <cell r="H359">
            <v>0.11655471749892027</v>
          </cell>
          <cell r="I359">
            <v>927.99820046856735</v>
          </cell>
          <cell r="J359">
            <v>0.23199955011714185</v>
          </cell>
        </row>
        <row r="360">
          <cell r="A360" t="str">
            <v>90100249</v>
          </cell>
          <cell r="B360" t="str">
            <v>COCCION POLLO DIABLA TIA FLORITA 9600G</v>
          </cell>
          <cell r="C360" t="str">
            <v>TANDA</v>
          </cell>
          <cell r="D360" t="str">
            <v>GRAMO</v>
          </cell>
          <cell r="E360">
            <v>38900.07380369032</v>
          </cell>
          <cell r="F360">
            <v>4.8808122714793374</v>
          </cell>
          <cell r="G360">
            <v>0</v>
          </cell>
          <cell r="H360">
            <v>0</v>
          </cell>
          <cell r="I360">
            <v>1650</v>
          </cell>
          <cell r="J360">
            <v>0.20702634880803011</v>
          </cell>
        </row>
        <row r="361">
          <cell r="A361" t="str">
            <v>90100250</v>
          </cell>
          <cell r="B361" t="str">
            <v>SALSA DIABLA TIA FLORITA 10025G</v>
          </cell>
          <cell r="C361" t="str">
            <v>TANDA</v>
          </cell>
          <cell r="D361" t="str">
            <v>GRAMO</v>
          </cell>
          <cell r="E361">
            <v>36165.161374030591</v>
          </cell>
          <cell r="F361">
            <v>2.2200835711498215</v>
          </cell>
          <cell r="G361">
            <v>2.2200835711498215</v>
          </cell>
          <cell r="H361">
            <v>1.3628505654695038E-4</v>
          </cell>
          <cell r="I361">
            <v>1375</v>
          </cell>
          <cell r="J361">
            <v>8.4407612031921431E-2</v>
          </cell>
        </row>
        <row r="362">
          <cell r="A362" t="str">
            <v>90100247</v>
          </cell>
          <cell r="B362" t="str">
            <v>COCCION SALSA BOLOGNESA TIA FLORITA 8495</v>
          </cell>
          <cell r="C362" t="str">
            <v>TANDA</v>
          </cell>
          <cell r="D362" t="str">
            <v>GRAMO</v>
          </cell>
          <cell r="E362">
            <v>22006.831315487259</v>
          </cell>
          <cell r="F362">
            <v>2.0820086391189458</v>
          </cell>
          <cell r="G362">
            <v>2.0820086391189458</v>
          </cell>
          <cell r="H362">
            <v>1.9697338118438465E-4</v>
          </cell>
          <cell r="I362">
            <v>1925</v>
          </cell>
          <cell r="J362">
            <v>0.18211920529801323</v>
          </cell>
        </row>
        <row r="363">
          <cell r="A363" t="str">
            <v>90100251</v>
          </cell>
          <cell r="B363" t="str">
            <v>COCCION CARNE STROGANOFF TIA FLORITA 7000G</v>
          </cell>
          <cell r="C363" t="str">
            <v>TANDA</v>
          </cell>
          <cell r="D363" t="str">
            <v>GRAMO</v>
          </cell>
          <cell r="E363">
            <v>55631.603751121198</v>
          </cell>
          <cell r="F363">
            <v>6.4017955985179746</v>
          </cell>
          <cell r="G363">
            <v>6.4017955985179746</v>
          </cell>
          <cell r="H363">
            <v>7.3668533930011215E-4</v>
          </cell>
          <cell r="I363">
            <v>3850</v>
          </cell>
          <cell r="J363">
            <v>0.44303797468354428</v>
          </cell>
        </row>
        <row r="364">
          <cell r="A364" t="str">
            <v>90100252</v>
          </cell>
          <cell r="B364" t="str">
            <v>SALSA STROGANOFF TIA FLORITA 5400G</v>
          </cell>
          <cell r="C364" t="str">
            <v>TANDA</v>
          </cell>
          <cell r="D364" t="str">
            <v>GRAMO</v>
          </cell>
          <cell r="E364">
            <v>35284.488087999998</v>
          </cell>
          <cell r="F364">
            <v>2.3856989917511831</v>
          </cell>
          <cell r="G364">
            <v>2.3856989917511831</v>
          </cell>
          <cell r="H364">
            <v>1.6130486759642886E-4</v>
          </cell>
          <cell r="I364">
            <v>1100</v>
          </cell>
          <cell r="J364">
            <v>7.4374577417173765E-2</v>
          </cell>
        </row>
        <row r="365">
          <cell r="A365" t="str">
            <v>90100244</v>
          </cell>
          <cell r="B365" t="str">
            <v>ESTOFADO RES TIA FLORITA</v>
          </cell>
          <cell r="C365" t="str">
            <v>TANDA</v>
          </cell>
          <cell r="D365" t="str">
            <v>GRAMO</v>
          </cell>
          <cell r="E365">
            <v>20782.546792963221</v>
          </cell>
          <cell r="F365">
            <v>2.3091718658848022</v>
          </cell>
          <cell r="G365">
            <v>3.5152563036760576E-4</v>
          </cell>
          <cell r="H365">
            <v>5.3512807180332738E-8</v>
          </cell>
          <cell r="I365">
            <v>4950</v>
          </cell>
          <cell r="J365">
            <v>0.55000000000000004</v>
          </cell>
        </row>
        <row r="366">
          <cell r="A366" t="str">
            <v>90100117</v>
          </cell>
          <cell r="B366" t="str">
            <v>RELLENO ESPINACA-POLLO 9200G</v>
          </cell>
          <cell r="C366" t="str">
            <v>TANDA</v>
          </cell>
          <cell r="D366" t="str">
            <v>GRAMO</v>
          </cell>
          <cell r="E366">
            <v>34639.842823397303</v>
          </cell>
          <cell r="F366">
            <v>3.7652003068910114</v>
          </cell>
          <cell r="G366">
            <v>28.8983727040243</v>
          </cell>
          <cell r="H366">
            <v>3.1411274678287285E-3</v>
          </cell>
          <cell r="I366">
            <v>2320.3334390085506</v>
          </cell>
          <cell r="J366">
            <v>0.25221015641397287</v>
          </cell>
        </row>
        <row r="367">
          <cell r="A367" t="str">
            <v>902000009</v>
          </cell>
          <cell r="B367" t="str">
            <v>BATIDO MELOCOTON FROM SCRATCH 21600</v>
          </cell>
          <cell r="C367" t="str">
            <v>TANDA</v>
          </cell>
          <cell r="D367" t="str">
            <v>GRAMO</v>
          </cell>
          <cell r="E367">
            <v>23324.529458823534</v>
          </cell>
          <cell r="F367">
            <v>1.0798393267973858</v>
          </cell>
          <cell r="G367">
            <v>0</v>
          </cell>
          <cell r="H367">
            <v>0</v>
          </cell>
          <cell r="I367">
            <v>440</v>
          </cell>
          <cell r="J367">
            <v>2.0370370370370372E-2</v>
          </cell>
        </row>
        <row r="368">
          <cell r="A368" t="str">
            <v>907000233</v>
          </cell>
          <cell r="B368" t="str">
            <v>ROSQUETE MELOCOTON PERSONAL 180G</v>
          </cell>
          <cell r="C368" t="str">
            <v>UND</v>
          </cell>
          <cell r="D368" t="str">
            <v>UND</v>
          </cell>
          <cell r="E368">
            <v>208.40697893340794</v>
          </cell>
          <cell r="F368">
            <v>208.40697893340794</v>
          </cell>
          <cell r="G368">
            <v>0.90565200671140944</v>
          </cell>
          <cell r="H368">
            <v>0.90565200671140944</v>
          </cell>
          <cell r="I368">
            <v>10.744987571464083</v>
          </cell>
          <cell r="J368">
            <v>10.744987571464083</v>
          </cell>
        </row>
        <row r="369">
          <cell r="A369" t="str">
            <v>902000085</v>
          </cell>
          <cell r="B369" t="str">
            <v>RELLENO LIMON PLANTA 2000G</v>
          </cell>
          <cell r="C369" t="str">
            <v>TANDA</v>
          </cell>
          <cell r="D369" t="str">
            <v>GRAMO</v>
          </cell>
          <cell r="E369">
            <v>41745.107599999996</v>
          </cell>
          <cell r="F369">
            <v>2.0872553799999998</v>
          </cell>
          <cell r="G369">
            <v>442.81700000000006</v>
          </cell>
          <cell r="H369">
            <v>0.22140850000000004</v>
          </cell>
          <cell r="I369">
            <v>440</v>
          </cell>
          <cell r="J369">
            <v>0.22</v>
          </cell>
        </row>
        <row r="370">
          <cell r="A370" t="str">
            <v>90100131</v>
          </cell>
          <cell r="B370" t="str">
            <v>AZUCAR BLANCO INDUSTRIAL</v>
          </cell>
          <cell r="C370" t="str">
            <v>TANDA</v>
          </cell>
          <cell r="D370" t="str">
            <v>GRAMO</v>
          </cell>
          <cell r="E370">
            <v>585.51</v>
          </cell>
          <cell r="F370">
            <v>0.39034000000000002</v>
          </cell>
          <cell r="G370">
            <v>35.609333333333339</v>
          </cell>
          <cell r="H370">
            <v>2.3739555555555559E-2</v>
          </cell>
          <cell r="I370">
            <v>55</v>
          </cell>
          <cell r="J370">
            <v>3.6666666666666667E-2</v>
          </cell>
        </row>
        <row r="371">
          <cell r="A371" t="str">
            <v>90100286</v>
          </cell>
          <cell r="B371" t="str">
            <v>TOPPING MELOCOTON PLANTA 10000G</v>
          </cell>
          <cell r="C371" t="str">
            <v>TANDA</v>
          </cell>
          <cell r="D371" t="str">
            <v>GRAMO</v>
          </cell>
          <cell r="E371">
            <v>12376.555990909092</v>
          </cell>
          <cell r="F371">
            <v>1.2376555990909091</v>
          </cell>
          <cell r="G371">
            <v>73.45082882676769</v>
          </cell>
          <cell r="H371">
            <v>7.3450828826767687E-3</v>
          </cell>
          <cell r="I371">
            <v>1205.3583333333333</v>
          </cell>
          <cell r="J371">
            <v>0.12053583333333333</v>
          </cell>
        </row>
        <row r="372">
          <cell r="A372" t="str">
            <v>20100117</v>
          </cell>
          <cell r="B372" t="str">
            <v>EMPAQUE TOPPING MELOCOTON PLANTA 2000G</v>
          </cell>
          <cell r="C372" t="str">
            <v>BOLSA</v>
          </cell>
          <cell r="D372" t="str">
            <v>GRAMO</v>
          </cell>
          <cell r="E372">
            <v>2475.3111981818179</v>
          </cell>
          <cell r="F372">
            <v>1.2376555990909088</v>
          </cell>
          <cell r="G372">
            <v>26.73494576535354</v>
          </cell>
          <cell r="H372">
            <v>1.336747288267677E-2</v>
          </cell>
          <cell r="I372">
            <v>296.07166666666666</v>
          </cell>
          <cell r="J372">
            <v>0.14803583333333334</v>
          </cell>
        </row>
        <row r="373">
          <cell r="A373" t="str">
            <v>20500039</v>
          </cell>
          <cell r="B373" t="str">
            <v>TOPPING MELOCOON C/TOPPING 8000G PLANTA</v>
          </cell>
          <cell r="C373" t="str">
            <v>TANDA</v>
          </cell>
          <cell r="D373" t="str">
            <v>GRAMO</v>
          </cell>
          <cell r="E373">
            <v>11210.111968745454</v>
          </cell>
          <cell r="F373">
            <v>1.4012639960931816</v>
          </cell>
          <cell r="G373">
            <v>38.222176783227283</v>
          </cell>
          <cell r="H373">
            <v>4.7777720979034106E-3</v>
          </cell>
          <cell r="I373">
            <v>674.69675000000007</v>
          </cell>
          <cell r="J373">
            <v>8.4337093750000008E-2</v>
          </cell>
        </row>
        <row r="374">
          <cell r="A374" t="str">
            <v>90100056</v>
          </cell>
          <cell r="B374" t="str">
            <v>SALSA TOMATE NUEVAPLANTA 5950G</v>
          </cell>
          <cell r="C374" t="str">
            <v>TANDA</v>
          </cell>
          <cell r="D374" t="str">
            <v>GRAMO</v>
          </cell>
          <cell r="E374">
            <v>9784.4693420111053</v>
          </cell>
          <cell r="F374">
            <v>1.6444486289094296</v>
          </cell>
          <cell r="G374">
            <v>0</v>
          </cell>
          <cell r="H374">
            <v>0</v>
          </cell>
          <cell r="I374">
            <v>1100</v>
          </cell>
          <cell r="J374">
            <v>0.18487394957983194</v>
          </cell>
        </row>
        <row r="375">
          <cell r="A375" t="str">
            <v>90100232</v>
          </cell>
          <cell r="B375" t="str">
            <v>STRIPS RP 15850G</v>
          </cell>
          <cell r="C375" t="str">
            <v>TANDA</v>
          </cell>
          <cell r="D375" t="str">
            <v>GRAMO</v>
          </cell>
          <cell r="E375">
            <v>68056.679166666669</v>
          </cell>
          <cell r="F375">
            <v>4.2937967928496317</v>
          </cell>
          <cell r="G375">
            <v>0</v>
          </cell>
          <cell r="H375">
            <v>0</v>
          </cell>
          <cell r="I375">
            <v>4400</v>
          </cell>
          <cell r="J375">
            <v>0.27760252365930599</v>
          </cell>
        </row>
        <row r="376">
          <cell r="A376" t="str">
            <v>90100159</v>
          </cell>
          <cell r="B376" t="str">
            <v>PATACONES RP UND</v>
          </cell>
          <cell r="C376" t="str">
            <v>UND</v>
          </cell>
          <cell r="D376" t="str">
            <v>UND</v>
          </cell>
          <cell r="E376">
            <v>60.769213483146068</v>
          </cell>
          <cell r="F376">
            <v>60.769213483146068</v>
          </cell>
          <cell r="G376">
            <v>1.3627415730337077E-3</v>
          </cell>
          <cell r="H376">
            <v>1.3627415730337077E-3</v>
          </cell>
          <cell r="I376">
            <v>5.5673595505617977</v>
          </cell>
          <cell r="J376">
            <v>5.5673595505617977</v>
          </cell>
        </row>
        <row r="377">
          <cell r="A377" t="str">
            <v>90100196</v>
          </cell>
          <cell r="B377" t="str">
            <v>REPOLLO RALLADO ROTIPOLLOS 14500G</v>
          </cell>
          <cell r="C377" t="str">
            <v>TANDA</v>
          </cell>
          <cell r="D377" t="str">
            <v>GRAMO</v>
          </cell>
          <cell r="E377">
            <v>6080</v>
          </cell>
          <cell r="F377">
            <v>0.41931034482758622</v>
          </cell>
          <cell r="G377">
            <v>0</v>
          </cell>
          <cell r="H377">
            <v>0</v>
          </cell>
          <cell r="I377">
            <v>385</v>
          </cell>
          <cell r="J377">
            <v>2.6551724137931033E-2</v>
          </cell>
        </row>
        <row r="378">
          <cell r="A378" t="str">
            <v>90100197</v>
          </cell>
          <cell r="B378" t="str">
            <v>ZANAHORIA RALLADA ROSTIPOLLOS 3700G</v>
          </cell>
          <cell r="C378" t="str">
            <v>TANDA</v>
          </cell>
          <cell r="D378" t="str">
            <v>GRAMO</v>
          </cell>
          <cell r="E378">
            <v>2460</v>
          </cell>
          <cell r="F378">
            <v>0.66486486486486485</v>
          </cell>
          <cell r="G378">
            <v>0</v>
          </cell>
          <cell r="H378">
            <v>0</v>
          </cell>
          <cell r="I378">
            <v>385</v>
          </cell>
          <cell r="J378">
            <v>0.10405405405405406</v>
          </cell>
        </row>
        <row r="379">
          <cell r="A379" t="str">
            <v>90100287</v>
          </cell>
          <cell r="B379" t="str">
            <v>CHILE RALLADO RP 2400G</v>
          </cell>
          <cell r="C379" t="str">
            <v>TANDA</v>
          </cell>
          <cell r="D379" t="str">
            <v>GRAMO</v>
          </cell>
          <cell r="E379">
            <v>3285</v>
          </cell>
          <cell r="F379">
            <v>1.3687499999999999</v>
          </cell>
          <cell r="G379">
            <v>0</v>
          </cell>
          <cell r="H379">
            <v>0</v>
          </cell>
          <cell r="I379">
            <v>385</v>
          </cell>
          <cell r="J379">
            <v>0.16041666666666668</v>
          </cell>
        </row>
        <row r="380">
          <cell r="A380" t="str">
            <v>90100276</v>
          </cell>
          <cell r="B380" t="str">
            <v>BATIDO DE VAINILLA RP 27500G</v>
          </cell>
          <cell r="C380" t="str">
            <v>TANDA</v>
          </cell>
          <cell r="D380" t="str">
            <v>GRAMO</v>
          </cell>
          <cell r="E380">
            <v>34551.182990282527</v>
          </cell>
          <cell r="F380">
            <v>1.256406654192092</v>
          </cell>
          <cell r="G380">
            <v>4.5687514697894255E-5</v>
          </cell>
          <cell r="H380">
            <v>1.6613641708325183E-9</v>
          </cell>
          <cell r="I380">
            <v>440</v>
          </cell>
          <cell r="J380">
            <v>1.6E-2</v>
          </cell>
        </row>
        <row r="381">
          <cell r="A381" t="str">
            <v>90100277</v>
          </cell>
          <cell r="B381" t="str">
            <v>ROSQUETE DE VAINILLA RP (1100G)</v>
          </cell>
          <cell r="C381" t="str">
            <v>UND</v>
          </cell>
          <cell r="D381" t="str">
            <v>UND</v>
          </cell>
          <cell r="E381">
            <v>1382.8785947790864</v>
          </cell>
          <cell r="F381">
            <v>1382.8785947790864</v>
          </cell>
          <cell r="G381">
            <v>1.1341300671140942E-2</v>
          </cell>
          <cell r="H381">
            <v>1.1341300671140942E-2</v>
          </cell>
          <cell r="I381">
            <v>94.655369127516792</v>
          </cell>
          <cell r="J381">
            <v>94.655369127516792</v>
          </cell>
        </row>
        <row r="382">
          <cell r="A382" t="str">
            <v>90100278</v>
          </cell>
          <cell r="B382" t="str">
            <v>ENSAMBLE TORTA VAINILLA RP</v>
          </cell>
          <cell r="C382" t="str">
            <v>UND</v>
          </cell>
          <cell r="D382" t="str">
            <v>UND</v>
          </cell>
          <cell r="E382">
            <v>4249.5394535523583</v>
          </cell>
          <cell r="F382">
            <v>4249.5394535523583</v>
          </cell>
          <cell r="G382">
            <v>275.0164492263159</v>
          </cell>
          <cell r="H382">
            <v>275.0164492263159</v>
          </cell>
          <cell r="I382">
            <v>4249.5394535523583</v>
          </cell>
          <cell r="J382">
            <v>456.13340346148783</v>
          </cell>
        </row>
        <row r="383">
          <cell r="A383" t="str">
            <v>90100288</v>
          </cell>
          <cell r="B383" t="str">
            <v>RELLENO MELOCOTON BUCCA  16000G</v>
          </cell>
          <cell r="C383" t="str">
            <v>TANDA</v>
          </cell>
          <cell r="D383" t="str">
            <v>GRAMO</v>
          </cell>
          <cell r="E383">
            <v>22739.972676923077</v>
          </cell>
          <cell r="F383">
            <v>1.4212482923076923</v>
          </cell>
          <cell r="G383">
            <v>0</v>
          </cell>
          <cell r="H383">
            <v>0</v>
          </cell>
          <cell r="I383">
            <v>825</v>
          </cell>
          <cell r="J383">
            <v>5.1562499999999997E-2</v>
          </cell>
        </row>
        <row r="384">
          <cell r="A384" t="str">
            <v>90100289</v>
          </cell>
          <cell r="B384" t="str">
            <v>EMPAQUE RELLENO MELOCOTON BUCCA 4000G</v>
          </cell>
          <cell r="C384" t="str">
            <v>TANDA</v>
          </cell>
          <cell r="D384" t="str">
            <v>GRAMO</v>
          </cell>
          <cell r="E384">
            <v>5684.9931692307691</v>
          </cell>
          <cell r="F384">
            <v>1.4212482923076923</v>
          </cell>
          <cell r="G384">
            <v>12.027854444444444</v>
          </cell>
          <cell r="H384">
            <v>3.006963611111111E-3</v>
          </cell>
          <cell r="I384">
            <v>261.25</v>
          </cell>
          <cell r="J384">
            <v>6.5312499999999996E-2</v>
          </cell>
        </row>
        <row r="385">
          <cell r="A385" t="str">
            <v>907000088</v>
          </cell>
          <cell r="B385" t="str">
            <v>ROSQUETE SUPER ESPONJA 250G</v>
          </cell>
          <cell r="C385" t="str">
            <v>UND</v>
          </cell>
          <cell r="D385" t="str">
            <v>UND</v>
          </cell>
          <cell r="E385">
            <v>342.19956566918029</v>
          </cell>
          <cell r="F385">
            <v>342.19956566918029</v>
          </cell>
          <cell r="G385">
            <v>3.225383877796784</v>
          </cell>
          <cell r="H385">
            <v>3.225383877796784</v>
          </cell>
          <cell r="I385">
            <v>12.772742170347644</v>
          </cell>
          <cell r="J385">
            <v>12.772742170347644</v>
          </cell>
        </row>
        <row r="386">
          <cell r="A386" t="str">
            <v>907000005</v>
          </cell>
          <cell r="B386" t="str">
            <v>MEZCLA FLAN COCO SPOON 14000G</v>
          </cell>
          <cell r="C386" t="str">
            <v>TANDA</v>
          </cell>
          <cell r="D386" t="str">
            <v>GRAMO</v>
          </cell>
          <cell r="E386">
            <v>28505.621473458821</v>
          </cell>
          <cell r="F386">
            <v>2.0361158195327729</v>
          </cell>
          <cell r="G386">
            <v>1.4543684425234092E-4</v>
          </cell>
          <cell r="H386">
            <v>1.0388346018024351E-8</v>
          </cell>
          <cell r="I386">
            <v>550</v>
          </cell>
          <cell r="J386">
            <v>3.9285714285714285E-2</v>
          </cell>
        </row>
        <row r="387">
          <cell r="A387" t="str">
            <v>906000051</v>
          </cell>
          <cell r="B387" t="str">
            <v>SOMBRERO PALMITO FROLA 65G</v>
          </cell>
          <cell r="C387" t="str">
            <v>UND</v>
          </cell>
          <cell r="D387" t="str">
            <v>UND</v>
          </cell>
          <cell r="E387">
            <v>91.65801588330207</v>
          </cell>
          <cell r="F387">
            <v>91.65801588330207</v>
          </cell>
          <cell r="G387">
            <v>1.9184015901103857</v>
          </cell>
          <cell r="H387">
            <v>1.9184015901103857</v>
          </cell>
          <cell r="I387">
            <v>38.22613334084074</v>
          </cell>
          <cell r="J387">
            <v>38.22613334084074</v>
          </cell>
        </row>
        <row r="388">
          <cell r="A388" t="str">
            <v>903000155</v>
          </cell>
          <cell r="B388" t="str">
            <v>CUADRO HOJALDRE ENCHILADA PAPA</v>
          </cell>
          <cell r="C388" t="str">
            <v>UND</v>
          </cell>
          <cell r="D388" t="str">
            <v>UND</v>
          </cell>
          <cell r="E388">
            <v>28.199774758511111</v>
          </cell>
          <cell r="F388">
            <v>28.199774758511111</v>
          </cell>
          <cell r="G388">
            <v>0.11780661953323908</v>
          </cell>
          <cell r="H388">
            <v>0.11780661953323908</v>
          </cell>
          <cell r="I388">
            <v>12.402463725894815</v>
          </cell>
          <cell r="J388">
            <v>12.402463725894815</v>
          </cell>
        </row>
        <row r="389">
          <cell r="A389" t="str">
            <v>903000127</v>
          </cell>
          <cell r="B389" t="str">
            <v>ENCHILADA PAPA Y CARNE</v>
          </cell>
          <cell r="C389" t="str">
            <v>UND</v>
          </cell>
          <cell r="D389" t="str">
            <v>UND</v>
          </cell>
          <cell r="E389">
            <v>188.15803653845248</v>
          </cell>
          <cell r="F389">
            <v>188.15803653845248</v>
          </cell>
          <cell r="G389">
            <v>0.41355966518192949</v>
          </cell>
          <cell r="H389">
            <v>0.41355966518192949</v>
          </cell>
          <cell r="I389">
            <v>32.825871204054749</v>
          </cell>
          <cell r="J389">
            <v>32.825871204054749</v>
          </cell>
        </row>
        <row r="390">
          <cell r="A390" t="str">
            <v>905000073</v>
          </cell>
          <cell r="B390" t="str">
            <v>RELLENO PAPA CON CARNE ENCHILADA</v>
          </cell>
          <cell r="C390" t="str">
            <v>TANDA</v>
          </cell>
          <cell r="D390" t="str">
            <v>GRAMO</v>
          </cell>
          <cell r="E390">
            <v>14483.312060873948</v>
          </cell>
          <cell r="F390">
            <v>2.4138853434789915</v>
          </cell>
          <cell r="G390">
            <v>3.4014410714285717</v>
          </cell>
          <cell r="H390">
            <v>5.6690684523809528E-4</v>
          </cell>
          <cell r="I390">
            <v>1008.3333333333333</v>
          </cell>
          <cell r="J390">
            <v>0.16805555555555554</v>
          </cell>
        </row>
        <row r="391">
          <cell r="A391" t="str">
            <v>903000173</v>
          </cell>
          <cell r="B391" t="str">
            <v>CIRCULO HOJALDRE 6 CM</v>
          </cell>
          <cell r="C391" t="str">
            <v>UND</v>
          </cell>
          <cell r="D391" t="str">
            <v>UND</v>
          </cell>
          <cell r="E391">
            <v>15.178328251236945</v>
          </cell>
          <cell r="F391">
            <v>15.178328251236945</v>
          </cell>
          <cell r="G391">
            <v>6.0375892510785033E-2</v>
          </cell>
          <cell r="H391">
            <v>6.0375892510785033E-2</v>
          </cell>
          <cell r="I391">
            <v>5.5083459928544265</v>
          </cell>
          <cell r="J391">
            <v>5.5083459928544265</v>
          </cell>
        </row>
        <row r="392">
          <cell r="A392" t="str">
            <v>903000174</v>
          </cell>
          <cell r="B392" t="str">
            <v>ARREGLADO MINI</v>
          </cell>
          <cell r="C392" t="str">
            <v>UND</v>
          </cell>
          <cell r="D392" t="str">
            <v>UND</v>
          </cell>
          <cell r="E392">
            <v>16.938328251236943</v>
          </cell>
          <cell r="F392">
            <v>16.938328251236943</v>
          </cell>
          <cell r="G392">
            <v>0.36531751251078504</v>
          </cell>
          <cell r="H392">
            <v>0.36531751251078504</v>
          </cell>
          <cell r="I392">
            <v>6.0583459928544263</v>
          </cell>
          <cell r="J392">
            <v>6.0583459928544263</v>
          </cell>
        </row>
        <row r="393">
          <cell r="A393" t="str">
            <v>907000221</v>
          </cell>
          <cell r="B393" t="str">
            <v>BATIDO BROWNIE BLONDIE</v>
          </cell>
          <cell r="C393" t="str">
            <v>TANDA</v>
          </cell>
          <cell r="D393" t="str">
            <v>GRAMO</v>
          </cell>
          <cell r="E393">
            <v>19788.55594117647</v>
          </cell>
          <cell r="F393">
            <v>1.9788555941176469</v>
          </cell>
          <cell r="G393">
            <v>0</v>
          </cell>
          <cell r="H393">
            <v>0</v>
          </cell>
          <cell r="I393">
            <v>275</v>
          </cell>
          <cell r="J393">
            <v>2.75E-2</v>
          </cell>
        </row>
        <row r="394">
          <cell r="A394" t="str">
            <v>907000222</v>
          </cell>
          <cell r="B394" t="str">
            <v>PLANCHA BROWNIE BLONDIE</v>
          </cell>
          <cell r="C394" t="str">
            <v>UND</v>
          </cell>
          <cell r="D394" t="str">
            <v>UND</v>
          </cell>
          <cell r="E394">
            <v>4190.6290235294118</v>
          </cell>
          <cell r="F394">
            <v>4190.6290235294118</v>
          </cell>
          <cell r="G394">
            <v>111.21710400000001</v>
          </cell>
          <cell r="H394">
            <v>111.21710400000001</v>
          </cell>
          <cell r="I394">
            <v>110</v>
          </cell>
          <cell r="J394">
            <v>110</v>
          </cell>
        </row>
        <row r="395">
          <cell r="A395" t="str">
            <v>96333</v>
          </cell>
          <cell r="B395" t="str">
            <v>MEZCLA TRES LECHES CON DULCE LECHE</v>
          </cell>
          <cell r="C395" t="str">
            <v>TANDA</v>
          </cell>
          <cell r="D395" t="str">
            <v>GRAMO</v>
          </cell>
          <cell r="E395">
            <v>7978.930311008</v>
          </cell>
          <cell r="F395">
            <v>1.5957860622016</v>
          </cell>
          <cell r="G395">
            <v>5.3780174999999995</v>
          </cell>
          <cell r="H395">
            <v>1.0756034999999998E-3</v>
          </cell>
          <cell r="I395">
            <v>153.56</v>
          </cell>
          <cell r="J395">
            <v>3.0712E-2</v>
          </cell>
        </row>
        <row r="396">
          <cell r="A396" t="str">
            <v>905000061</v>
          </cell>
          <cell r="B396" t="str">
            <v>Crema Chantilly Fucsia</v>
          </cell>
          <cell r="C396" t="str">
            <v>TANDA</v>
          </cell>
          <cell r="D396" t="str">
            <v>GRAMO</v>
          </cell>
          <cell r="E396">
            <v>18642.174413199999</v>
          </cell>
          <cell r="F396">
            <v>1.9022626952244897</v>
          </cell>
          <cell r="G396">
            <v>0</v>
          </cell>
          <cell r="H396">
            <v>0</v>
          </cell>
          <cell r="I396">
            <v>550</v>
          </cell>
          <cell r="J396">
            <v>5.6122448979591837E-2</v>
          </cell>
        </row>
        <row r="397">
          <cell r="A397" t="str">
            <v>95237</v>
          </cell>
          <cell r="B397" t="str">
            <v>PASTEL PALMITO PEQ</v>
          </cell>
          <cell r="C397" t="str">
            <v>UND</v>
          </cell>
          <cell r="D397" t="str">
            <v>UND</v>
          </cell>
          <cell r="E397">
            <v>184.50862978491162</v>
          </cell>
          <cell r="F397">
            <v>184.50862978491162</v>
          </cell>
          <cell r="G397">
            <v>3.0933846334028137</v>
          </cell>
          <cell r="H397">
            <v>3.0933846334028137</v>
          </cell>
          <cell r="I397">
            <v>59.574693822721429</v>
          </cell>
          <cell r="J397">
            <v>59.574693822721429</v>
          </cell>
        </row>
        <row r="398">
          <cell r="A398" t="str">
            <v>90100098</v>
          </cell>
          <cell r="B398" t="str">
            <v>RELLENO PASTEL ALMENDRAS 7500G</v>
          </cell>
          <cell r="C398" t="str">
            <v>TANDA</v>
          </cell>
          <cell r="D398" t="str">
            <v>GRAMO</v>
          </cell>
          <cell r="E398">
            <v>15080.066657318017</v>
          </cell>
          <cell r="F398">
            <v>2.0106755543090689</v>
          </cell>
          <cell r="G398">
            <v>34.418857142857149</v>
          </cell>
          <cell r="H398">
            <v>4.5891809523809536E-3</v>
          </cell>
          <cell r="I398">
            <v>550</v>
          </cell>
          <cell r="J398">
            <v>7.3333333333333334E-2</v>
          </cell>
        </row>
        <row r="399">
          <cell r="A399" t="str">
            <v>90100099</v>
          </cell>
          <cell r="B399" t="str">
            <v>PIE ALMENDRAS Y PECANAS PERSONAL</v>
          </cell>
          <cell r="C399" t="str">
            <v>UND</v>
          </cell>
          <cell r="D399" t="str">
            <v>UND</v>
          </cell>
          <cell r="E399">
            <v>223.11516382003214</v>
          </cell>
          <cell r="F399">
            <v>223.11516382003214</v>
          </cell>
          <cell r="G399">
            <v>1.0054282854078063</v>
          </cell>
          <cell r="H399">
            <v>1.0054282854078063</v>
          </cell>
          <cell r="I399">
            <v>54.949213516922292</v>
          </cell>
          <cell r="J399">
            <v>54.949213516922292</v>
          </cell>
        </row>
        <row r="400">
          <cell r="A400" t="str">
            <v>903000162</v>
          </cell>
          <cell r="B400" t="str">
            <v>RUEDA PASTA FROLA EMPANA POLLO Y CEBOLLA</v>
          </cell>
          <cell r="C400" t="str">
            <v>UND</v>
          </cell>
          <cell r="D400" t="str">
            <v>UND</v>
          </cell>
          <cell r="E400">
            <v>35.299909185482043</v>
          </cell>
          <cell r="F400">
            <v>35.299909185482043</v>
          </cell>
          <cell r="G400">
            <v>0.14620371576944172</v>
          </cell>
          <cell r="H400">
            <v>0.14620371576944172</v>
          </cell>
          <cell r="I400">
            <v>13.078384887484008</v>
          </cell>
          <cell r="J400">
            <v>13.078384887484008</v>
          </cell>
        </row>
        <row r="401">
          <cell r="A401" t="str">
            <v>902000013</v>
          </cell>
          <cell r="B401" t="str">
            <v>RELLENO POLLO Y CEBOLLA 400G</v>
          </cell>
          <cell r="C401" t="str">
            <v>PAQ</v>
          </cell>
          <cell r="D401" t="str">
            <v>GRAMO</v>
          </cell>
          <cell r="E401">
            <v>1554.2800282203368</v>
          </cell>
          <cell r="F401">
            <v>3.885700070550842</v>
          </cell>
          <cell r="G401">
            <v>16.491913485116637</v>
          </cell>
          <cell r="H401">
            <v>4.1229783712791596E-2</v>
          </cell>
          <cell r="I401">
            <v>94.590803754408284</v>
          </cell>
          <cell r="J401">
            <v>0.2364770093860207</v>
          </cell>
        </row>
        <row r="402">
          <cell r="A402" t="str">
            <v>903000100</v>
          </cell>
          <cell r="B402" t="str">
            <v>EMPANADA POLLO Y CEBOLLA 72G</v>
          </cell>
          <cell r="C402" t="str">
            <v>UND</v>
          </cell>
          <cell r="D402" t="str">
            <v>UND</v>
          </cell>
          <cell r="E402">
            <v>192.72245786881328</v>
          </cell>
          <cell r="F402">
            <v>192.72245786881328</v>
          </cell>
          <cell r="G402">
            <v>2.305521314392962</v>
          </cell>
          <cell r="H402">
            <v>2.305521314392962</v>
          </cell>
          <cell r="I402">
            <v>31.713360117510963</v>
          </cell>
          <cell r="J402">
            <v>31.713360117510963</v>
          </cell>
        </row>
        <row r="403">
          <cell r="A403" t="str">
            <v>906000086</v>
          </cell>
          <cell r="B403" t="str">
            <v>EMPANADA PIÑA Y COCO 85G</v>
          </cell>
          <cell r="C403" t="str">
            <v>UND</v>
          </cell>
          <cell r="D403" t="str">
            <v>UND</v>
          </cell>
          <cell r="E403">
            <v>123.83184685326725</v>
          </cell>
          <cell r="F403">
            <v>123.83184685326725</v>
          </cell>
          <cell r="G403">
            <v>0.95754501644058276</v>
          </cell>
          <cell r="H403">
            <v>0.95754501644058276</v>
          </cell>
          <cell r="I403">
            <v>20.467087348334118</v>
          </cell>
          <cell r="J403">
            <v>20.467087348334118</v>
          </cell>
        </row>
        <row r="404">
          <cell r="A404" t="str">
            <v>901000182</v>
          </cell>
          <cell r="B404" t="str">
            <v>ADEREZO CULANTRO 2400G</v>
          </cell>
          <cell r="C404" t="str">
            <v>TANDA</v>
          </cell>
          <cell r="D404" t="str">
            <v>GRAMO</v>
          </cell>
          <cell r="E404">
            <v>4534.0574728730599</v>
          </cell>
          <cell r="F404">
            <v>1.8891906136971082</v>
          </cell>
          <cell r="G404">
            <v>14.437899462426836</v>
          </cell>
          <cell r="H404">
            <v>6.0157914426778487E-3</v>
          </cell>
          <cell r="I404">
            <v>205.6984989507886</v>
          </cell>
          <cell r="J404">
            <v>8.5707707896161917E-2</v>
          </cell>
        </row>
        <row r="405">
          <cell r="A405" t="str">
            <v>907000064</v>
          </cell>
          <cell r="B405" t="str">
            <v>ROSQUETE ZANAHORIA RECT (900g)</v>
          </cell>
          <cell r="C405" t="str">
            <v>UND</v>
          </cell>
          <cell r="D405" t="str">
            <v>UND</v>
          </cell>
          <cell r="E405">
            <v>1486.4085368633203</v>
          </cell>
          <cell r="F405">
            <v>1486.4085368633203</v>
          </cell>
          <cell r="G405">
            <v>11.738226791491613</v>
          </cell>
          <cell r="H405">
            <v>11.738226791491613</v>
          </cell>
          <cell r="I405">
            <v>142.08472634928557</v>
          </cell>
          <cell r="J405">
            <v>142.08472634928557</v>
          </cell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CREMA"/>
      <sheetName val="Costo "/>
    </sheetNames>
    <sheetDataSet>
      <sheetData sheetId="0"/>
      <sheetData sheetId="1">
        <row r="62">
          <cell r="E62">
            <v>1.7665630562500001</v>
          </cell>
        </row>
        <row r="67">
          <cell r="E67">
            <v>2.6442307692307692E-2</v>
          </cell>
        </row>
        <row r="69">
          <cell r="E69">
            <v>1.9615384615384615E-4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BCFC-F829-4018-9A0C-C8628A58B105}">
  <dimension ref="A1:I58"/>
  <sheetViews>
    <sheetView tabSelected="1" topLeftCell="A5" zoomScale="118" zoomScaleNormal="70" workbookViewId="0">
      <selection activeCell="A6" sqref="A6:C6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27" customWidth="1"/>
    <col min="9" max="9" width="23.44140625" bestFit="1" customWidth="1"/>
  </cols>
  <sheetData>
    <row r="1" spans="1:9" ht="15" x14ac:dyDescent="0.25">
      <c r="A1" s="250"/>
      <c r="B1" s="251"/>
      <c r="C1" s="256" t="s">
        <v>20</v>
      </c>
      <c r="D1" s="256"/>
      <c r="E1" s="256"/>
      <c r="F1" s="256"/>
      <c r="G1" s="256"/>
      <c r="H1" s="1" t="s">
        <v>0</v>
      </c>
      <c r="I1" s="13" t="s">
        <v>172</v>
      </c>
    </row>
    <row r="2" spans="1:9" ht="15.6" thickBot="1" x14ac:dyDescent="0.3">
      <c r="A2" s="252"/>
      <c r="B2" s="253"/>
      <c r="C2" s="257" t="s">
        <v>1</v>
      </c>
      <c r="D2" s="257"/>
      <c r="E2" s="257"/>
      <c r="F2" s="257"/>
      <c r="G2" s="257"/>
      <c r="H2" s="2" t="s">
        <v>2</v>
      </c>
      <c r="I2" s="12" t="s">
        <v>178</v>
      </c>
    </row>
    <row r="3" spans="1:9" ht="15.9" customHeight="1" thickBot="1" x14ac:dyDescent="0.3">
      <c r="A3" s="252"/>
      <c r="B3" s="253"/>
      <c r="C3" s="258" t="s">
        <v>179</v>
      </c>
      <c r="D3" s="259"/>
      <c r="E3" s="259"/>
      <c r="F3" s="259"/>
      <c r="G3" s="260"/>
      <c r="H3" s="261" t="s">
        <v>3</v>
      </c>
      <c r="I3" s="241">
        <v>45609</v>
      </c>
    </row>
    <row r="4" spans="1:9" x14ac:dyDescent="0.25">
      <c r="A4" s="252"/>
      <c r="B4" s="253"/>
      <c r="C4" s="3" t="s">
        <v>4</v>
      </c>
      <c r="D4" s="244" t="s">
        <v>151</v>
      </c>
      <c r="E4" s="245"/>
      <c r="F4" s="245"/>
      <c r="G4" s="246"/>
      <c r="H4" s="262"/>
      <c r="I4" s="242"/>
    </row>
    <row r="5" spans="1:9" ht="13.8" thickBot="1" x14ac:dyDescent="0.3">
      <c r="A5" s="254"/>
      <c r="B5" s="255"/>
      <c r="C5" s="166" t="s">
        <v>5</v>
      </c>
      <c r="D5" s="247" t="s">
        <v>152</v>
      </c>
      <c r="E5" s="248"/>
      <c r="F5" s="248"/>
      <c r="G5" s="249"/>
      <c r="H5" s="263"/>
      <c r="I5" s="243"/>
    </row>
    <row r="6" spans="1:9" ht="18" thickBot="1" x14ac:dyDescent="0.35">
      <c r="A6" s="264" t="s">
        <v>32</v>
      </c>
      <c r="B6" s="264"/>
      <c r="C6" s="264"/>
      <c r="D6" s="265" t="s">
        <v>153</v>
      </c>
      <c r="E6" s="265"/>
      <c r="F6" s="265"/>
      <c r="G6" s="266" t="s">
        <v>33</v>
      </c>
      <c r="H6" s="266"/>
      <c r="I6" s="167" t="s">
        <v>153</v>
      </c>
    </row>
    <row r="7" spans="1:9" x14ac:dyDescent="0.25">
      <c r="A7" s="267" t="s">
        <v>6</v>
      </c>
      <c r="B7" s="269" t="s">
        <v>154</v>
      </c>
      <c r="C7" s="271" t="s">
        <v>7</v>
      </c>
      <c r="D7" s="271" t="s">
        <v>8</v>
      </c>
      <c r="E7" s="271" t="s">
        <v>21</v>
      </c>
      <c r="F7" s="271"/>
      <c r="G7" s="271" t="s">
        <v>155</v>
      </c>
      <c r="H7" s="271"/>
      <c r="I7" s="168" t="s">
        <v>156</v>
      </c>
    </row>
    <row r="8" spans="1:9" ht="26.4" thickBot="1" x14ac:dyDescent="0.3">
      <c r="A8" s="268"/>
      <c r="B8" s="270"/>
      <c r="C8" s="272"/>
      <c r="D8" s="272"/>
      <c r="E8" s="169" t="s">
        <v>9</v>
      </c>
      <c r="F8" s="170" t="s">
        <v>10</v>
      </c>
      <c r="G8" s="169" t="s">
        <v>9</v>
      </c>
      <c r="H8" s="170" t="s">
        <v>10</v>
      </c>
      <c r="I8" s="171" t="s">
        <v>157</v>
      </c>
    </row>
    <row r="9" spans="1:9" ht="13.8" x14ac:dyDescent="0.25">
      <c r="A9" s="172"/>
      <c r="B9" s="173"/>
      <c r="C9" s="174" t="s">
        <v>158</v>
      </c>
      <c r="D9" s="175"/>
      <c r="E9" s="176"/>
      <c r="F9" s="177"/>
      <c r="G9" s="176"/>
      <c r="H9" s="177"/>
      <c r="I9" s="178"/>
    </row>
    <row r="10" spans="1:9" ht="15.9" customHeight="1" x14ac:dyDescent="0.25">
      <c r="A10" s="10" t="s">
        <v>147</v>
      </c>
      <c r="B10" s="162" t="s">
        <v>148</v>
      </c>
      <c r="C10" s="14" t="s">
        <v>159</v>
      </c>
      <c r="D10" s="179" t="s">
        <v>160</v>
      </c>
      <c r="E10" s="4">
        <v>520</v>
      </c>
      <c r="F10" s="6" t="s">
        <v>11</v>
      </c>
      <c r="G10" s="180"/>
      <c r="H10" s="181" t="s">
        <v>173</v>
      </c>
      <c r="I10" s="178"/>
    </row>
    <row r="11" spans="1:9" ht="13.8" x14ac:dyDescent="0.25">
      <c r="A11" s="10" t="s">
        <v>136</v>
      </c>
      <c r="B11" s="162" t="s">
        <v>138</v>
      </c>
      <c r="C11" s="14" t="s">
        <v>150</v>
      </c>
      <c r="D11" s="179" t="s">
        <v>161</v>
      </c>
      <c r="E11" s="4">
        <v>600</v>
      </c>
      <c r="F11" s="6" t="s">
        <v>11</v>
      </c>
      <c r="G11" s="180"/>
      <c r="H11" s="181" t="s">
        <v>174</v>
      </c>
      <c r="I11" s="178"/>
    </row>
    <row r="12" spans="1:9" ht="13.8" x14ac:dyDescent="0.25">
      <c r="A12" s="10" t="s">
        <v>34</v>
      </c>
      <c r="B12" s="162" t="s">
        <v>139</v>
      </c>
      <c r="C12" s="14" t="s">
        <v>35</v>
      </c>
      <c r="D12" s="179" t="s">
        <v>160</v>
      </c>
      <c r="E12" s="5">
        <v>100</v>
      </c>
      <c r="F12" s="6" t="s">
        <v>11</v>
      </c>
      <c r="G12" s="4"/>
      <c r="H12" s="181"/>
      <c r="I12" s="178"/>
    </row>
    <row r="13" spans="1:9" ht="13.8" x14ac:dyDescent="0.25">
      <c r="A13" s="10" t="s">
        <v>136</v>
      </c>
      <c r="B13" s="162" t="s">
        <v>138</v>
      </c>
      <c r="C13" s="14" t="s">
        <v>149</v>
      </c>
      <c r="D13" s="179" t="s">
        <v>161</v>
      </c>
      <c r="E13" s="4">
        <v>40</v>
      </c>
      <c r="F13" s="6" t="s">
        <v>11</v>
      </c>
      <c r="G13" s="4"/>
      <c r="H13" s="181"/>
      <c r="I13" s="178"/>
    </row>
    <row r="14" spans="1:9" ht="13.8" x14ac:dyDescent="0.25">
      <c r="A14" s="239"/>
      <c r="B14" s="188" t="s">
        <v>175</v>
      </c>
      <c r="C14" s="240" t="s">
        <v>176</v>
      </c>
      <c r="D14" s="179"/>
      <c r="E14" s="4">
        <v>25</v>
      </c>
      <c r="F14" s="6" t="s">
        <v>11</v>
      </c>
      <c r="G14" s="4"/>
      <c r="H14" s="181"/>
      <c r="I14" s="178"/>
    </row>
    <row r="15" spans="1:9" ht="13.8" x14ac:dyDescent="0.25">
      <c r="A15" s="183"/>
      <c r="B15" s="183"/>
      <c r="C15" s="184"/>
      <c r="D15" s="179"/>
      <c r="E15" s="8"/>
      <c r="F15" s="9"/>
      <c r="G15" s="182"/>
      <c r="H15" s="181"/>
      <c r="I15" s="178"/>
    </row>
    <row r="16" spans="1:9" ht="13.8" x14ac:dyDescent="0.25">
      <c r="A16" s="183"/>
      <c r="B16" s="183"/>
      <c r="C16" s="184"/>
      <c r="D16" s="179"/>
      <c r="E16" s="8"/>
      <c r="F16" s="9"/>
      <c r="G16" s="182"/>
      <c r="H16" s="181"/>
      <c r="I16" s="178"/>
    </row>
    <row r="17" spans="1:9" ht="13.8" x14ac:dyDescent="0.25">
      <c r="A17" s="183"/>
      <c r="B17" s="183"/>
      <c r="C17" s="184"/>
      <c r="D17" s="185"/>
      <c r="E17" s="186"/>
      <c r="F17" s="187"/>
      <c r="G17" s="182"/>
      <c r="H17" s="181"/>
      <c r="I17" s="178"/>
    </row>
    <row r="18" spans="1:9" ht="13.8" x14ac:dyDescent="0.25">
      <c r="A18" s="188"/>
      <c r="B18" s="188"/>
      <c r="C18" s="189"/>
      <c r="D18" s="190"/>
      <c r="E18" s="191"/>
      <c r="F18" s="192"/>
      <c r="G18" s="193"/>
      <c r="H18" s="181"/>
      <c r="I18" s="178"/>
    </row>
    <row r="19" spans="1:9" ht="13.8" x14ac:dyDescent="0.25">
      <c r="A19" s="188"/>
      <c r="B19" s="188"/>
      <c r="C19" s="194"/>
      <c r="D19" s="195"/>
      <c r="E19" s="195"/>
      <c r="F19" s="196"/>
      <c r="G19" s="176"/>
      <c r="H19" s="197"/>
      <c r="I19" s="178"/>
    </row>
    <row r="20" spans="1:9" ht="15.6" x14ac:dyDescent="0.3">
      <c r="A20" s="198"/>
      <c r="B20" s="199"/>
      <c r="C20" s="200" t="s">
        <v>162</v>
      </c>
      <c r="D20" s="201" t="s">
        <v>163</v>
      </c>
      <c r="E20" s="202"/>
      <c r="F20" s="196"/>
      <c r="G20" s="176"/>
      <c r="H20" s="197"/>
      <c r="I20" s="178"/>
    </row>
    <row r="21" spans="1:9" ht="15.6" x14ac:dyDescent="0.3">
      <c r="A21" s="203"/>
      <c r="B21" s="188"/>
      <c r="C21" s="189"/>
      <c r="D21" s="204"/>
      <c r="E21" s="204"/>
      <c r="F21" s="204"/>
      <c r="G21" s="176"/>
      <c r="H21" s="197"/>
      <c r="I21" s="178"/>
    </row>
    <row r="22" spans="1:9" ht="15.6" x14ac:dyDescent="0.3">
      <c r="A22" s="203"/>
      <c r="B22" s="188"/>
      <c r="C22" s="189"/>
      <c r="D22" s="179"/>
      <c r="E22" s="204"/>
      <c r="F22" s="204"/>
      <c r="G22" s="176"/>
      <c r="H22" s="197"/>
      <c r="I22" s="178"/>
    </row>
    <row r="23" spans="1:9" ht="15.6" x14ac:dyDescent="0.3">
      <c r="A23" s="203"/>
      <c r="B23" s="188"/>
      <c r="C23" s="189"/>
      <c r="D23" s="179"/>
      <c r="E23" s="204"/>
      <c r="F23" s="204"/>
      <c r="G23" s="176"/>
      <c r="H23" s="197"/>
      <c r="I23" s="178"/>
    </row>
    <row r="24" spans="1:9" ht="13.8" x14ac:dyDescent="0.25">
      <c r="A24" s="188"/>
      <c r="B24" s="188"/>
      <c r="C24" s="194"/>
      <c r="D24" s="195"/>
      <c r="E24" s="201"/>
      <c r="F24" s="196"/>
      <c r="G24" s="176"/>
      <c r="H24" s="197"/>
      <c r="I24" s="178"/>
    </row>
    <row r="25" spans="1:9" ht="13.8" x14ac:dyDescent="0.25">
      <c r="A25" s="188"/>
      <c r="B25" s="188"/>
      <c r="C25" s="194"/>
      <c r="D25" s="205" t="s">
        <v>163</v>
      </c>
      <c r="E25" s="206"/>
      <c r="F25" s="207"/>
      <c r="G25" s="176"/>
      <c r="H25" s="197"/>
      <c r="I25" s="178"/>
    </row>
    <row r="26" spans="1:9" ht="15.6" x14ac:dyDescent="0.25">
      <c r="A26" s="208"/>
      <c r="B26" s="209"/>
      <c r="C26" s="210" t="s">
        <v>164</v>
      </c>
      <c r="D26" s="211" t="s">
        <v>163</v>
      </c>
      <c r="E26" s="176"/>
      <c r="F26" s="177"/>
      <c r="G26" s="176"/>
      <c r="H26" s="197"/>
      <c r="I26" s="178"/>
    </row>
    <row r="27" spans="1:9" ht="13.8" x14ac:dyDescent="0.25">
      <c r="A27" s="10" t="s">
        <v>44</v>
      </c>
      <c r="B27" s="162" t="s">
        <v>140</v>
      </c>
      <c r="C27" s="7" t="s">
        <v>45</v>
      </c>
      <c r="D27" s="179" t="s">
        <v>165</v>
      </c>
      <c r="E27" s="8">
        <v>8</v>
      </c>
      <c r="F27" s="9" t="s">
        <v>31</v>
      </c>
      <c r="G27" s="182"/>
      <c r="H27" s="197"/>
      <c r="I27" s="178"/>
    </row>
    <row r="28" spans="1:9" ht="13.8" x14ac:dyDescent="0.25">
      <c r="A28" s="10" t="s">
        <v>24</v>
      </c>
      <c r="B28" s="164" t="s">
        <v>146</v>
      </c>
      <c r="C28" s="165" t="s">
        <v>166</v>
      </c>
      <c r="D28" s="179" t="s">
        <v>167</v>
      </c>
      <c r="E28" s="8">
        <v>8</v>
      </c>
      <c r="F28" s="9" t="s">
        <v>31</v>
      </c>
      <c r="G28" s="212"/>
      <c r="H28" s="197"/>
      <c r="I28" s="178"/>
    </row>
    <row r="29" spans="1:9" ht="13.8" x14ac:dyDescent="0.25">
      <c r="A29" s="10" t="s">
        <v>40</v>
      </c>
      <c r="B29" s="162" t="s">
        <v>145</v>
      </c>
      <c r="C29" s="7" t="s">
        <v>41</v>
      </c>
      <c r="D29" s="179" t="s">
        <v>167</v>
      </c>
      <c r="E29" s="8">
        <v>8</v>
      </c>
      <c r="F29" s="9" t="s">
        <v>31</v>
      </c>
      <c r="G29" s="176"/>
      <c r="H29" s="197"/>
      <c r="I29" s="178"/>
    </row>
    <row r="30" spans="1:9" ht="13.8" x14ac:dyDescent="0.25">
      <c r="A30" s="10" t="s">
        <v>134</v>
      </c>
      <c r="B30" s="162" t="s">
        <v>141</v>
      </c>
      <c r="C30" s="7" t="s">
        <v>50</v>
      </c>
      <c r="D30" s="179" t="s">
        <v>163</v>
      </c>
      <c r="E30" s="8">
        <v>8</v>
      </c>
      <c r="F30" s="9" t="s">
        <v>31</v>
      </c>
      <c r="G30" s="176"/>
      <c r="H30" s="197"/>
      <c r="I30" s="178"/>
    </row>
    <row r="31" spans="1:9" ht="13.8" x14ac:dyDescent="0.25">
      <c r="A31" s="10" t="s">
        <v>51</v>
      </c>
      <c r="B31" s="162" t="s">
        <v>142</v>
      </c>
      <c r="C31" s="7" t="s">
        <v>52</v>
      </c>
      <c r="D31" s="213" t="s">
        <v>53</v>
      </c>
      <c r="E31" s="8">
        <v>8</v>
      </c>
      <c r="F31" s="9" t="s">
        <v>31</v>
      </c>
      <c r="G31" s="176"/>
      <c r="H31" s="197"/>
      <c r="I31" s="178"/>
    </row>
    <row r="32" spans="1:9" ht="13.8" x14ac:dyDescent="0.25">
      <c r="A32" s="10" t="s">
        <v>26</v>
      </c>
      <c r="B32" s="162" t="s">
        <v>143</v>
      </c>
      <c r="C32" s="7" t="s">
        <v>37</v>
      </c>
      <c r="D32" s="179" t="s">
        <v>167</v>
      </c>
      <c r="E32" s="8">
        <v>8</v>
      </c>
      <c r="F32" s="9" t="s">
        <v>31</v>
      </c>
      <c r="G32" s="214"/>
      <c r="H32" s="197"/>
      <c r="I32" s="178"/>
    </row>
    <row r="33" spans="1:9" ht="14.4" thickBot="1" x14ac:dyDescent="0.3">
      <c r="A33" s="15" t="s">
        <v>29</v>
      </c>
      <c r="B33" s="163" t="s">
        <v>144</v>
      </c>
      <c r="C33" s="16" t="s">
        <v>168</v>
      </c>
      <c r="D33" s="215" t="s">
        <v>38</v>
      </c>
      <c r="E33" s="11">
        <v>2</v>
      </c>
      <c r="F33" s="17" t="s">
        <v>31</v>
      </c>
      <c r="G33" s="195"/>
      <c r="H33" s="197"/>
      <c r="I33" s="178"/>
    </row>
    <row r="34" spans="1:9" ht="15.6" x14ac:dyDescent="0.3">
      <c r="A34" s="188"/>
      <c r="B34" s="188"/>
      <c r="C34" s="189"/>
      <c r="D34" s="216"/>
      <c r="E34" s="217"/>
      <c r="F34" s="217"/>
      <c r="G34" s="195"/>
      <c r="H34" s="197"/>
      <c r="I34" s="178"/>
    </row>
    <row r="35" spans="1:9" ht="15.6" x14ac:dyDescent="0.3">
      <c r="A35" s="188"/>
      <c r="B35" s="164"/>
      <c r="C35" s="189"/>
      <c r="D35" s="204"/>
      <c r="E35" s="217"/>
      <c r="F35" s="9"/>
      <c r="G35" s="195"/>
      <c r="H35" s="201"/>
      <c r="I35" s="178"/>
    </row>
    <row r="36" spans="1:9" ht="15.6" x14ac:dyDescent="0.3">
      <c r="A36" s="198"/>
      <c r="B36" s="199"/>
      <c r="C36" s="218"/>
      <c r="D36" s="201"/>
      <c r="E36" s="201"/>
      <c r="F36" s="196"/>
      <c r="G36" s="219"/>
      <c r="H36" s="219"/>
      <c r="I36" s="178"/>
    </row>
    <row r="37" spans="1:9" ht="13.8" thickBot="1" x14ac:dyDescent="0.3">
      <c r="A37" s="220"/>
      <c r="B37" s="221"/>
      <c r="C37" s="222"/>
      <c r="D37" s="222"/>
      <c r="E37" s="223"/>
      <c r="F37" s="224"/>
      <c r="G37" s="222"/>
      <c r="H37" s="222"/>
      <c r="I37" s="225"/>
    </row>
    <row r="38" spans="1:9" ht="13.8" thickBot="1" x14ac:dyDescent="0.3">
      <c r="A38" s="226"/>
      <c r="B38" s="227"/>
      <c r="C38" s="228"/>
      <c r="D38" s="229" t="s">
        <v>9</v>
      </c>
      <c r="E38" s="230" t="s">
        <v>12</v>
      </c>
      <c r="F38" s="231"/>
      <c r="G38" s="228"/>
      <c r="H38" s="228"/>
      <c r="I38" s="232"/>
    </row>
    <row r="39" spans="1:9" x14ac:dyDescent="0.25">
      <c r="A39" s="273" t="s">
        <v>13</v>
      </c>
      <c r="B39" s="274"/>
      <c r="C39" s="275"/>
      <c r="D39" s="233">
        <v>1280</v>
      </c>
      <c r="E39" s="234" t="s">
        <v>11</v>
      </c>
      <c r="F39" s="276" t="s">
        <v>169</v>
      </c>
      <c r="G39" s="276"/>
      <c r="H39" s="277"/>
      <c r="I39" s="278"/>
    </row>
    <row r="40" spans="1:9" x14ac:dyDescent="0.25">
      <c r="A40" s="279" t="s">
        <v>14</v>
      </c>
      <c r="B40" s="280"/>
      <c r="C40" s="281"/>
      <c r="D40" s="235">
        <v>10</v>
      </c>
      <c r="E40" s="236" t="s">
        <v>135</v>
      </c>
      <c r="F40" s="282" t="s">
        <v>22</v>
      </c>
      <c r="G40" s="282"/>
      <c r="H40" s="283"/>
      <c r="I40" s="284"/>
    </row>
    <row r="41" spans="1:9" x14ac:dyDescent="0.25">
      <c r="A41" s="279" t="s">
        <v>15</v>
      </c>
      <c r="B41" s="280"/>
      <c r="C41" s="281"/>
      <c r="D41" s="236">
        <v>8</v>
      </c>
      <c r="E41" s="236" t="s">
        <v>31</v>
      </c>
      <c r="F41" s="282" t="s">
        <v>170</v>
      </c>
      <c r="G41" s="282"/>
      <c r="H41" s="283"/>
      <c r="I41" s="284"/>
    </row>
    <row r="42" spans="1:9" x14ac:dyDescent="0.25">
      <c r="A42" s="279" t="s">
        <v>16</v>
      </c>
      <c r="B42" s="280"/>
      <c r="C42" s="281"/>
      <c r="D42" s="236">
        <v>160</v>
      </c>
      <c r="E42" s="236" t="s">
        <v>11</v>
      </c>
      <c r="F42" s="288" t="s">
        <v>171</v>
      </c>
      <c r="G42" s="289"/>
      <c r="H42" s="283"/>
      <c r="I42" s="284"/>
    </row>
    <row r="43" spans="1:9" ht="13.8" thickBot="1" x14ac:dyDescent="0.3">
      <c r="A43" s="290" t="s">
        <v>17</v>
      </c>
      <c r="B43" s="291"/>
      <c r="C43" s="292"/>
      <c r="D43" s="237">
        <f>SUM(E10:E14)-D39</f>
        <v>5</v>
      </c>
      <c r="E43" s="238" t="s">
        <v>11</v>
      </c>
      <c r="F43" s="293"/>
      <c r="G43" s="293"/>
      <c r="H43" s="294"/>
      <c r="I43" s="295"/>
    </row>
    <row r="44" spans="1:9" ht="13.8" thickBot="1" x14ac:dyDescent="0.3">
      <c r="A44" s="296" t="s">
        <v>18</v>
      </c>
      <c r="B44" s="297"/>
      <c r="C44" s="297"/>
      <c r="D44" s="297"/>
      <c r="E44" s="297"/>
      <c r="F44" s="297"/>
      <c r="G44" s="297"/>
      <c r="H44" s="297"/>
      <c r="I44" s="298"/>
    </row>
    <row r="45" spans="1:9" ht="14.4" customHeight="1" x14ac:dyDescent="0.25">
      <c r="A45" s="299" t="s">
        <v>48</v>
      </c>
      <c r="B45" s="300"/>
      <c r="C45" s="300"/>
      <c r="D45" s="300"/>
      <c r="E45" s="300"/>
      <c r="F45" s="300"/>
      <c r="G45" s="300"/>
      <c r="H45" s="300"/>
      <c r="I45" s="301"/>
    </row>
    <row r="46" spans="1:9" ht="14.4" customHeight="1" x14ac:dyDescent="0.25">
      <c r="A46" s="285" t="s">
        <v>28</v>
      </c>
      <c r="B46" s="286"/>
      <c r="C46" s="286"/>
      <c r="D46" s="286"/>
      <c r="E46" s="286"/>
      <c r="F46" s="286"/>
      <c r="G46" s="286"/>
      <c r="H46" s="286"/>
      <c r="I46" s="287"/>
    </row>
    <row r="47" spans="1:9" ht="14.4" customHeight="1" x14ac:dyDescent="0.25">
      <c r="A47" s="285" t="s">
        <v>39</v>
      </c>
      <c r="B47" s="286"/>
      <c r="C47" s="286"/>
      <c r="D47" s="286"/>
      <c r="E47" s="286"/>
      <c r="F47" s="286"/>
      <c r="G47" s="286"/>
      <c r="H47" s="286"/>
      <c r="I47" s="287"/>
    </row>
    <row r="48" spans="1:9" x14ac:dyDescent="0.25">
      <c r="A48" s="304" t="s">
        <v>27</v>
      </c>
      <c r="B48" s="305"/>
      <c r="C48" s="305"/>
      <c r="D48" s="305"/>
      <c r="E48" s="305"/>
      <c r="F48" s="305"/>
      <c r="G48" s="305"/>
      <c r="H48" s="305"/>
      <c r="I48" s="306"/>
    </row>
    <row r="49" spans="1:9" x14ac:dyDescent="0.25">
      <c r="A49" s="304" t="s">
        <v>46</v>
      </c>
      <c r="B49" s="305"/>
      <c r="C49" s="305"/>
      <c r="D49" s="305"/>
      <c r="E49" s="305"/>
      <c r="F49" s="305"/>
      <c r="G49" s="305"/>
      <c r="H49" s="305"/>
      <c r="I49" s="306"/>
    </row>
    <row r="50" spans="1:9" x14ac:dyDescent="0.25">
      <c r="A50" s="285" t="s">
        <v>47</v>
      </c>
      <c r="B50" s="286"/>
      <c r="C50" s="286"/>
      <c r="D50" s="286"/>
      <c r="E50" s="286"/>
      <c r="F50" s="286"/>
      <c r="G50" s="286"/>
      <c r="H50" s="286"/>
      <c r="I50" s="287"/>
    </row>
    <row r="51" spans="1:9" x14ac:dyDescent="0.25">
      <c r="A51" s="304" t="s">
        <v>54</v>
      </c>
      <c r="B51" s="305"/>
      <c r="C51" s="305"/>
      <c r="D51" s="305"/>
      <c r="E51" s="305"/>
      <c r="F51" s="305"/>
      <c r="G51" s="305"/>
      <c r="H51" s="305"/>
      <c r="I51" s="306"/>
    </row>
    <row r="52" spans="1:9" x14ac:dyDescent="0.25">
      <c r="A52" s="304" t="s">
        <v>49</v>
      </c>
      <c r="B52" s="305"/>
      <c r="C52" s="305"/>
      <c r="D52" s="305"/>
      <c r="E52" s="305"/>
      <c r="F52" s="305"/>
      <c r="G52" s="305"/>
      <c r="H52" s="305"/>
      <c r="I52" s="306"/>
    </row>
    <row r="53" spans="1:9" ht="18" customHeight="1" x14ac:dyDescent="0.25">
      <c r="A53" s="304"/>
      <c r="B53" s="305"/>
      <c r="C53" s="305"/>
      <c r="D53" s="305"/>
      <c r="E53" s="305"/>
      <c r="F53" s="305"/>
      <c r="G53" s="305"/>
      <c r="H53" s="305"/>
      <c r="I53" s="306"/>
    </row>
    <row r="54" spans="1:9" x14ac:dyDescent="0.25">
      <c r="A54" s="304"/>
      <c r="B54" s="305"/>
      <c r="C54" s="305"/>
      <c r="D54" s="305"/>
      <c r="E54" s="305"/>
      <c r="F54" s="305"/>
      <c r="G54" s="305"/>
      <c r="H54" s="305"/>
      <c r="I54" s="306"/>
    </row>
    <row r="55" spans="1:9" ht="13.8" thickBot="1" x14ac:dyDescent="0.3">
      <c r="A55" s="307"/>
      <c r="B55" s="308"/>
      <c r="C55" s="308"/>
      <c r="D55" s="308"/>
      <c r="E55" s="308"/>
      <c r="F55" s="308"/>
      <c r="G55" s="308"/>
      <c r="H55" s="308"/>
      <c r="I55" s="309"/>
    </row>
    <row r="56" spans="1:9" x14ac:dyDescent="0.25">
      <c r="A56" s="310" t="s">
        <v>137</v>
      </c>
      <c r="B56" s="311"/>
      <c r="C56" s="311"/>
      <c r="D56" s="311"/>
      <c r="E56" s="311"/>
      <c r="F56" s="311"/>
      <c r="G56" s="311"/>
      <c r="H56" s="311"/>
      <c r="I56" s="311"/>
    </row>
    <row r="57" spans="1:9" x14ac:dyDescent="0.25">
      <c r="A57" s="247" t="s">
        <v>177</v>
      </c>
      <c r="B57" s="248"/>
      <c r="C57" s="248"/>
      <c r="D57" s="248"/>
      <c r="E57" s="248"/>
      <c r="F57" s="248"/>
      <c r="G57" s="248"/>
      <c r="H57" s="248"/>
      <c r="I57" s="249"/>
    </row>
    <row r="58" spans="1:9" x14ac:dyDescent="0.25">
      <c r="A58" s="302"/>
      <c r="B58" s="303"/>
      <c r="C58" s="303"/>
      <c r="D58" s="303"/>
      <c r="E58" s="303"/>
      <c r="F58" s="303"/>
      <c r="G58" s="303"/>
      <c r="H58" s="303"/>
      <c r="I58" s="303"/>
    </row>
  </sheetData>
  <mergeCells count="47">
    <mergeCell ref="A58:I58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E988-198A-479D-8952-C946FD3EA0EB}">
  <dimension ref="A1:Q85"/>
  <sheetViews>
    <sheetView topLeftCell="A8" workbookViewId="0">
      <selection activeCell="E27" sqref="E27"/>
    </sheetView>
  </sheetViews>
  <sheetFormatPr baseColWidth="10" defaultColWidth="8.44140625" defaultRowHeight="13.2" x14ac:dyDescent="0.25"/>
  <cols>
    <col min="1" max="1" width="10" style="100" bestFit="1" customWidth="1"/>
    <col min="2" max="2" width="44.33203125" style="100" bestFit="1" customWidth="1"/>
    <col min="3" max="3" width="10.44140625" style="100" bestFit="1" customWidth="1"/>
    <col min="4" max="4" width="10.44140625" style="100" customWidth="1"/>
    <col min="5" max="5" width="9.6640625" style="100" bestFit="1" customWidth="1"/>
    <col min="6" max="6" width="9.5546875" style="100" bestFit="1" customWidth="1"/>
    <col min="7" max="7" width="9.5546875" style="22" bestFit="1" customWidth="1"/>
    <col min="8" max="8" width="10.44140625" style="144" bestFit="1" customWidth="1"/>
    <col min="9" max="9" width="4.5546875" style="144" customWidth="1"/>
    <col min="10" max="10" width="1.6640625" style="99" customWidth="1"/>
    <col min="11" max="11" width="7" style="100" bestFit="1" customWidth="1"/>
    <col min="12" max="12" width="6.33203125" style="100" customWidth="1"/>
    <col min="13" max="13" width="20.44140625" style="100" customWidth="1"/>
    <col min="14" max="14" width="6.44140625" style="100" bestFit="1" customWidth="1"/>
    <col min="15" max="16" width="8.44140625" style="100"/>
    <col min="17" max="17" width="3.33203125" style="100" customWidth="1"/>
    <col min="18" max="16384" width="8.44140625" style="100"/>
  </cols>
  <sheetData>
    <row r="1" spans="1:10" ht="27.75" customHeight="1" x14ac:dyDescent="0.25">
      <c r="A1" s="59"/>
      <c r="B1" s="59"/>
      <c r="C1" s="59"/>
      <c r="D1" s="59"/>
      <c r="E1" s="60" t="s">
        <v>55</v>
      </c>
      <c r="F1" s="58" t="s">
        <v>56</v>
      </c>
      <c r="G1" s="58" t="s">
        <v>57</v>
      </c>
      <c r="H1" s="58" t="s">
        <v>58</v>
      </c>
      <c r="I1" s="98"/>
    </row>
    <row r="2" spans="1:10" ht="30.75" customHeight="1" x14ac:dyDescent="0.25">
      <c r="A2" s="59"/>
      <c r="B2" s="59"/>
      <c r="C2" s="59"/>
      <c r="D2" s="59"/>
      <c r="E2" s="101">
        <f>IFERROR(O56,"")</f>
        <v>625.17650946823221</v>
      </c>
      <c r="F2" s="101">
        <f>IFERROR(H47,"")</f>
        <v>298.02591045803263</v>
      </c>
      <c r="G2" s="101">
        <f>IFERROR(H48,"")</f>
        <v>95.725631933754386</v>
      </c>
      <c r="H2" s="101">
        <f>IFERROR(H50,"")</f>
        <v>78.635901779138663</v>
      </c>
      <c r="I2" s="102"/>
    </row>
    <row r="3" spans="1:10" ht="15" customHeight="1" x14ac:dyDescent="0.25">
      <c r="A3" s="59"/>
      <c r="B3" s="59"/>
      <c r="C3" s="59"/>
      <c r="D3" s="59"/>
      <c r="E3" s="59"/>
      <c r="F3" s="103"/>
      <c r="G3" s="103"/>
      <c r="H3" s="103"/>
      <c r="I3" s="103"/>
    </row>
    <row r="4" spans="1:10" ht="24.75" customHeight="1" thickBot="1" x14ac:dyDescent="0.3">
      <c r="A4" s="332"/>
      <c r="B4" s="332"/>
      <c r="C4" s="332"/>
      <c r="D4" s="332"/>
      <c r="E4" s="332"/>
      <c r="F4" s="332"/>
      <c r="G4" s="332"/>
      <c r="H4" s="332"/>
      <c r="I4" s="104"/>
    </row>
    <row r="5" spans="1:10" ht="19.5" customHeight="1" thickBot="1" x14ac:dyDescent="0.3">
      <c r="A5" s="340" t="s">
        <v>59</v>
      </c>
      <c r="B5" s="341"/>
      <c r="C5" s="341"/>
      <c r="D5" s="341"/>
      <c r="E5" s="341"/>
      <c r="F5" s="341"/>
      <c r="G5" s="341"/>
      <c r="H5" s="342"/>
      <c r="I5" s="105"/>
    </row>
    <row r="6" spans="1:10" ht="18" thickBot="1" x14ac:dyDescent="0.3">
      <c r="A6" s="105"/>
      <c r="B6" s="105"/>
      <c r="C6" s="105"/>
      <c r="D6" s="105"/>
      <c r="E6" s="105"/>
      <c r="F6" s="320" t="s">
        <v>60</v>
      </c>
      <c r="G6" s="320"/>
      <c r="H6" s="67">
        <f ca="1">TODAY()</f>
        <v>45841</v>
      </c>
      <c r="I6" s="67"/>
    </row>
    <row r="7" spans="1:10" ht="40.200000000000003" thickBot="1" x14ac:dyDescent="0.3">
      <c r="A7" s="24" t="s">
        <v>61</v>
      </c>
      <c r="B7" s="25" t="s">
        <v>62</v>
      </c>
      <c r="C7" s="25" t="s">
        <v>61</v>
      </c>
      <c r="D7" s="26" t="s">
        <v>63</v>
      </c>
      <c r="E7" s="26" t="s">
        <v>64</v>
      </c>
      <c r="F7" s="26" t="s">
        <v>65</v>
      </c>
      <c r="G7" s="26" t="s">
        <v>66</v>
      </c>
      <c r="H7" s="27" t="s">
        <v>67</v>
      </c>
      <c r="I7" s="106"/>
    </row>
    <row r="8" spans="1:10" ht="13.8" x14ac:dyDescent="0.3">
      <c r="A8" s="107">
        <v>680</v>
      </c>
      <c r="B8" s="100" t="str">
        <f>IFERROR(VLOOKUP(H8,'[1]ARTICULOS MP PLANTA'!$A$2:$G$2000,2,0),"")</f>
        <v>MANJAR LECHE CONDENSADA (PAQ: 4.5 K)</v>
      </c>
      <c r="C8" s="108">
        <f>+A8</f>
        <v>680</v>
      </c>
      <c r="D8" s="109" t="str">
        <f>IFERROR(VLOOKUP(H8,'[1]ARTICULOS MP PLANTA'!$A$2:$G$2000,6,0),"")</f>
        <v>Gramo</v>
      </c>
      <c r="E8" s="109">
        <f>IFERROR(VLOOKUP(H8,'[1]ARTICULOS MP PLANTA'!$A$2:$G$2000,7,0),"")</f>
        <v>2.5188888888888887</v>
      </c>
      <c r="F8" s="109">
        <f>IFERROR(C8*E8,"")</f>
        <v>1712.8444444444444</v>
      </c>
      <c r="G8" s="18">
        <f t="shared" ref="G8:G14" si="0">IFERROR(F8/$F$60,"")</f>
        <v>0.45583882801783848</v>
      </c>
      <c r="H8" s="110" t="s">
        <v>23</v>
      </c>
      <c r="I8" s="110"/>
      <c r="J8" s="19"/>
    </row>
    <row r="9" spans="1:10" ht="13.8" hidden="1" x14ac:dyDescent="0.3">
      <c r="A9" s="107"/>
      <c r="B9" s="100" t="str">
        <f>IFERROR(VLOOKUP(H9,'[1]ARTICULOS MP PLANTA'!$A$2:$G$2000,2,0),"")</f>
        <v/>
      </c>
      <c r="C9" s="108">
        <f t="shared" ref="C9:C14" si="1">+A9</f>
        <v>0</v>
      </c>
      <c r="D9" s="109" t="str">
        <f>IFERROR(VLOOKUP(H9,'[1]ARTICULOS MP PLANTA'!$A$2:$G$2000,6,0),"")</f>
        <v/>
      </c>
      <c r="E9" s="109" t="str">
        <f>IFERROR(VLOOKUP(H9,'[1]ARTICULOS MP PLANTA'!$A$2:$G$2000,7,0),"")</f>
        <v/>
      </c>
      <c r="F9" s="109" t="str">
        <f t="shared" ref="F9:F14" si="2">IFERROR(C9*E9,"")</f>
        <v/>
      </c>
      <c r="G9" s="18" t="str">
        <f t="shared" si="0"/>
        <v/>
      </c>
      <c r="H9" s="110"/>
      <c r="I9" s="110"/>
      <c r="J9" s="19"/>
    </row>
    <row r="10" spans="1:10" ht="13.8" hidden="1" x14ac:dyDescent="0.3">
      <c r="A10" s="107"/>
      <c r="B10" s="100" t="str">
        <f>IFERROR(VLOOKUP(H10,'[1]ARTICULOS MP PLANTA'!$A$2:$G$2000,2,0),"")</f>
        <v/>
      </c>
      <c r="C10" s="108">
        <f t="shared" si="1"/>
        <v>0</v>
      </c>
      <c r="D10" s="109" t="str">
        <f>IFERROR(VLOOKUP(H10,'[1]ARTICULOS MP PLANTA'!$A$2:$G$2000,6,0),"")</f>
        <v/>
      </c>
      <c r="E10" s="109" t="str">
        <f>IFERROR(VLOOKUP(H10,'[1]ARTICULOS MP PLANTA'!$A$2:$G$2000,7,0),"")</f>
        <v/>
      </c>
      <c r="F10" s="109" t="str">
        <f t="shared" si="2"/>
        <v/>
      </c>
      <c r="G10" s="18" t="str">
        <f t="shared" si="0"/>
        <v/>
      </c>
      <c r="H10" s="110"/>
      <c r="I10" s="110"/>
      <c r="J10" s="19"/>
    </row>
    <row r="11" spans="1:10" ht="13.8" hidden="1" x14ac:dyDescent="0.3">
      <c r="A11" s="107"/>
      <c r="B11" s="100" t="str">
        <f>IFERROR(VLOOKUP(H11,'[1]ARTICULOS MP PLANTA'!$A$2:$G$2000,2,0),"")</f>
        <v/>
      </c>
      <c r="C11" s="108">
        <f t="shared" si="1"/>
        <v>0</v>
      </c>
      <c r="D11" s="109" t="str">
        <f>IFERROR(VLOOKUP(H11,'[1]ARTICULOS MP PLANTA'!$A$2:$G$2000,6,0),"")</f>
        <v/>
      </c>
      <c r="E11" s="109" t="str">
        <f>IFERROR(VLOOKUP(H11,'[1]ARTICULOS MP PLANTA'!$A$2:$G$2000,7,0),"")</f>
        <v/>
      </c>
      <c r="F11" s="109" t="str">
        <f t="shared" si="2"/>
        <v/>
      </c>
      <c r="G11" s="18" t="str">
        <f t="shared" si="0"/>
        <v/>
      </c>
      <c r="H11" s="110"/>
      <c r="I11" s="110"/>
      <c r="J11" s="19"/>
    </row>
    <row r="12" spans="1:10" ht="13.8" hidden="1" x14ac:dyDescent="0.3">
      <c r="A12" s="107"/>
      <c r="B12" s="100" t="str">
        <f>IFERROR(VLOOKUP(H12,'[1]ARTICULOS MP PLANTA'!$A$2:$G$2000,2,0),"")</f>
        <v/>
      </c>
      <c r="C12" s="108">
        <f t="shared" si="1"/>
        <v>0</v>
      </c>
      <c r="D12" s="109" t="str">
        <f>IFERROR(VLOOKUP(H12,'[1]ARTICULOS MP PLANTA'!$A$2:$G$2000,6,0),"")</f>
        <v/>
      </c>
      <c r="E12" s="109" t="str">
        <f>IFERROR(VLOOKUP(H12,'[1]ARTICULOS MP PLANTA'!$A$2:$G$2000,7,0),"")</f>
        <v/>
      </c>
      <c r="F12" s="109" t="str">
        <f t="shared" si="2"/>
        <v/>
      </c>
      <c r="G12" s="18" t="str">
        <f t="shared" si="0"/>
        <v/>
      </c>
      <c r="H12" s="110"/>
      <c r="I12" s="110"/>
      <c r="J12" s="19"/>
    </row>
    <row r="13" spans="1:10" ht="13.8" hidden="1" x14ac:dyDescent="0.3">
      <c r="A13" s="107"/>
      <c r="B13" s="100" t="str">
        <f>IFERROR(VLOOKUP(H13,'[1]ARTICULOS MP PLANTA'!$A$2:$G$2000,2,0),"")</f>
        <v/>
      </c>
      <c r="C13" s="108">
        <f t="shared" si="1"/>
        <v>0</v>
      </c>
      <c r="D13" s="109" t="str">
        <f>IFERROR(VLOOKUP(H13,'[1]ARTICULOS MP PLANTA'!$A$2:$G$2000,6,0),"")</f>
        <v/>
      </c>
      <c r="E13" s="109" t="str">
        <f>IFERROR(VLOOKUP(H13,'[1]ARTICULOS MP PLANTA'!$A$2:$G$2000,7,0),"")</f>
        <v/>
      </c>
      <c r="F13" s="109" t="str">
        <f t="shared" si="2"/>
        <v/>
      </c>
      <c r="G13" s="18" t="str">
        <f t="shared" si="0"/>
        <v/>
      </c>
      <c r="H13" s="110"/>
      <c r="I13" s="110"/>
      <c r="J13" s="19"/>
    </row>
    <row r="14" spans="1:10" ht="13.8" hidden="1" x14ac:dyDescent="0.3">
      <c r="A14" s="107"/>
      <c r="B14" s="100" t="str">
        <f>IFERROR(VLOOKUP(H14,'[1]ARTICULOS MP PLANTA'!$A$2:$G$2000,2,0),"")</f>
        <v/>
      </c>
      <c r="C14" s="108">
        <f t="shared" si="1"/>
        <v>0</v>
      </c>
      <c r="D14" s="109" t="str">
        <f>IFERROR(VLOOKUP(H14,'[1]ARTICULOS MP PLANTA'!$A$2:$G$2000,6,0),"")</f>
        <v/>
      </c>
      <c r="E14" s="109" t="str">
        <f>IFERROR(VLOOKUP(H14,'[1]ARTICULOS MP PLANTA'!$A$2:$G$2000,7,0),"")</f>
        <v/>
      </c>
      <c r="F14" s="109" t="str">
        <f t="shared" si="2"/>
        <v/>
      </c>
      <c r="G14" s="18" t="str">
        <f t="shared" si="0"/>
        <v/>
      </c>
      <c r="H14" s="110"/>
      <c r="I14" s="110"/>
      <c r="J14" s="19"/>
    </row>
    <row r="15" spans="1:10" ht="14.4" thickBot="1" x14ac:dyDescent="0.35">
      <c r="A15" s="107"/>
      <c r="B15" s="100" t="str">
        <f>IFERROR(VLOOKUP(H15,'[1]ARTICULOS MP PLANTA'!$A$2:$G$589,2,0),"")</f>
        <v/>
      </c>
      <c r="C15" s="108"/>
      <c r="D15" s="109"/>
      <c r="E15" s="109"/>
      <c r="F15" s="109"/>
      <c r="G15" s="18"/>
      <c r="H15" s="110"/>
      <c r="I15" s="110"/>
      <c r="J15" s="19"/>
    </row>
    <row r="16" spans="1:10" ht="40.200000000000003" thickBot="1" x14ac:dyDescent="0.3">
      <c r="A16" s="24" t="s">
        <v>61</v>
      </c>
      <c r="B16" s="25" t="s">
        <v>68</v>
      </c>
      <c r="C16" s="25" t="s">
        <v>61</v>
      </c>
      <c r="D16" s="26" t="s">
        <v>63</v>
      </c>
      <c r="E16" s="26" t="s">
        <v>64</v>
      </c>
      <c r="F16" s="26" t="s">
        <v>65</v>
      </c>
      <c r="G16" s="26" t="s">
        <v>66</v>
      </c>
      <c r="H16" s="27" t="s">
        <v>67</v>
      </c>
      <c r="I16" s="106"/>
      <c r="J16" s="19"/>
    </row>
    <row r="17" spans="1:12" ht="13.8" x14ac:dyDescent="0.3">
      <c r="A17" s="107">
        <v>4</v>
      </c>
      <c r="B17" s="100" t="str">
        <f>IFERROR(VLOOKUP($H17,[2]SEMIELABORADOS!$A$1:$J$998,2,0),"")</f>
        <v>CORTE GALLETA GDE P/TORTA CHILENA (UND)</v>
      </c>
      <c r="C17" s="108">
        <f>+A17</f>
        <v>4</v>
      </c>
      <c r="D17" s="108" t="str">
        <f>IFERROR(VLOOKUP($H17,[2]SEMIELABORADOS!$A$1:$J$998,4,0),"")</f>
        <v>UND</v>
      </c>
      <c r="E17" s="109">
        <f>IFERROR(VLOOKUP($H17,[2]SEMIELABORADOS!$A$1:$J$998,6,0),"")</f>
        <v>125.51629951264256</v>
      </c>
      <c r="F17" s="109">
        <f>IFERROR(E17*C17,"")</f>
        <v>502.06519805057025</v>
      </c>
      <c r="G17" s="18">
        <f>IFERROR(F17/$F$60,"")</f>
        <v>0.13361447515576708</v>
      </c>
      <c r="H17" s="110" t="s">
        <v>42</v>
      </c>
      <c r="I17" s="110"/>
      <c r="J17" s="19"/>
    </row>
    <row r="18" spans="1:12" ht="13.8" x14ac:dyDescent="0.3">
      <c r="A18" s="107">
        <v>100</v>
      </c>
      <c r="B18" s="100" t="s">
        <v>35</v>
      </c>
      <c r="C18" s="108">
        <f>+A18</f>
        <v>100</v>
      </c>
      <c r="D18" s="108" t="s">
        <v>130</v>
      </c>
      <c r="E18" s="109">
        <f>+'[3]Costo '!$E$62</f>
        <v>1.7665630562500001</v>
      </c>
      <c r="F18" s="109">
        <f>IFERROR(E18*C18,"")</f>
        <v>176.65630562500002</v>
      </c>
      <c r="G18" s="18">
        <f>IFERROR(F18/$F$60,"")</f>
        <v>4.7013494762613836E-2</v>
      </c>
      <c r="H18" s="110" t="s">
        <v>34</v>
      </c>
      <c r="I18" s="110"/>
      <c r="J18" s="19"/>
    </row>
    <row r="19" spans="1:12" ht="13.8" hidden="1" x14ac:dyDescent="0.3">
      <c r="A19" s="107"/>
      <c r="B19" s="100" t="str">
        <f>IFERROR(VLOOKUP($H19,[2]SEMIELABORADOS!$A$1:$J$998,2,0),"")</f>
        <v/>
      </c>
      <c r="C19" s="108">
        <f>+A19</f>
        <v>0</v>
      </c>
      <c r="D19" s="108" t="str">
        <f>IFERROR(VLOOKUP($H19,[2]SEMIELABORADOS!$A$1:$J$998,4,0),"")</f>
        <v/>
      </c>
      <c r="E19" s="109" t="str">
        <f>IFERROR(VLOOKUP($H19,[2]SEMIELABORADOS!$A$1:$J$998,6,0),"")</f>
        <v/>
      </c>
      <c r="F19" s="109" t="str">
        <f>IFERROR(E19*C19,"")</f>
        <v/>
      </c>
      <c r="G19" s="18" t="str">
        <f>IFERROR(F19/$F$60,"")</f>
        <v/>
      </c>
      <c r="H19" s="110"/>
      <c r="I19" s="110"/>
      <c r="J19" s="19"/>
    </row>
    <row r="20" spans="1:12" ht="13.8" hidden="1" x14ac:dyDescent="0.3">
      <c r="A20" s="107"/>
      <c r="B20" s="100" t="str">
        <f>IFERROR(VLOOKUP($H20,[2]SEMIELABORADOS!$A$1:$J$998,2,0),"")</f>
        <v/>
      </c>
      <c r="C20" s="108">
        <f>+A20</f>
        <v>0</v>
      </c>
      <c r="D20" s="108" t="str">
        <f>IFERROR(VLOOKUP($H20,[2]SEMIELABORADOS!$A$1:$J$998,4,0),"")</f>
        <v/>
      </c>
      <c r="E20" s="109" t="str">
        <f>IFERROR(VLOOKUP($H20,[2]SEMIELABORADOS!$A$1:$J$998,6,0),"")</f>
        <v/>
      </c>
      <c r="F20" s="109" t="str">
        <f>IFERROR(E20*C20,"")</f>
        <v/>
      </c>
      <c r="G20" s="18" t="str">
        <f>IFERROR(F20/$F$60,"")</f>
        <v/>
      </c>
      <c r="H20" s="110"/>
      <c r="I20" s="110"/>
      <c r="J20" s="19"/>
    </row>
    <row r="21" spans="1:12" ht="13.8" hidden="1" x14ac:dyDescent="0.3">
      <c r="A21" s="107"/>
      <c r="B21" s="100" t="str">
        <f>IFERROR(VLOOKUP($H21,[2]SEMIELABORADOS!$A$1:$J$998,2,0),"")</f>
        <v/>
      </c>
      <c r="C21" s="108">
        <f>+A21</f>
        <v>0</v>
      </c>
      <c r="D21" s="108" t="str">
        <f>IFERROR(VLOOKUP($H21,[2]SEMIELABORADOS!$A$1:$J$998,4,0),"")</f>
        <v/>
      </c>
      <c r="E21" s="109" t="str">
        <f>IFERROR(VLOOKUP($H21,[2]SEMIELABORADOS!$A$1:$J$998,6,0),"")</f>
        <v/>
      </c>
      <c r="F21" s="109" t="str">
        <f>IFERROR(E21*C21,"")</f>
        <v/>
      </c>
      <c r="G21" s="18" t="str">
        <f>IFERROR(F21/$F$60,"")</f>
        <v/>
      </c>
      <c r="H21" s="110"/>
      <c r="I21" s="110"/>
      <c r="J21" s="19"/>
    </row>
    <row r="22" spans="1:12" ht="14.4" thickBot="1" x14ac:dyDescent="0.35">
      <c r="A22" s="107"/>
      <c r="C22" s="108"/>
      <c r="D22" s="108"/>
      <c r="E22" s="109"/>
      <c r="F22" s="109"/>
      <c r="G22" s="18"/>
      <c r="H22" s="110"/>
      <c r="I22" s="110"/>
      <c r="J22" s="19"/>
    </row>
    <row r="23" spans="1:12" ht="40.200000000000003" thickBot="1" x14ac:dyDescent="0.3">
      <c r="A23" s="24" t="s">
        <v>61</v>
      </c>
      <c r="B23" s="25" t="s">
        <v>19</v>
      </c>
      <c r="C23" s="25" t="s">
        <v>61</v>
      </c>
      <c r="D23" s="26" t="s">
        <v>63</v>
      </c>
      <c r="E23" s="26" t="s">
        <v>64</v>
      </c>
      <c r="F23" s="26" t="s">
        <v>65</v>
      </c>
      <c r="G23" s="26" t="s">
        <v>66</v>
      </c>
      <c r="H23" s="27" t="s">
        <v>67</v>
      </c>
      <c r="I23" s="106"/>
    </row>
    <row r="24" spans="1:12" ht="13.8" x14ac:dyDescent="0.3">
      <c r="A24" s="107">
        <v>8</v>
      </c>
      <c r="B24" s="111" t="s">
        <v>45</v>
      </c>
      <c r="C24" s="108">
        <f t="shared" ref="C24:C30" si="3">+A24</f>
        <v>8</v>
      </c>
      <c r="D24" s="109" t="s">
        <v>132</v>
      </c>
      <c r="E24" s="109">
        <v>0.39</v>
      </c>
      <c r="F24" s="109">
        <f t="shared" ref="F24:F30" si="4">IFERROR(E24*C24,"")</f>
        <v>3.12</v>
      </c>
      <c r="G24" s="18">
        <f t="shared" ref="G24:G30" si="5">IFERROR(F24/$F$60,"")</f>
        <v>8.303247548419072E-4</v>
      </c>
      <c r="H24" s="112" t="s">
        <v>44</v>
      </c>
      <c r="I24" s="112"/>
      <c r="J24" s="19"/>
      <c r="K24" s="331"/>
      <c r="L24" s="331"/>
    </row>
    <row r="25" spans="1:12" ht="13.8" x14ac:dyDescent="0.3">
      <c r="A25" s="107">
        <v>8</v>
      </c>
      <c r="B25" s="111" t="s">
        <v>25</v>
      </c>
      <c r="C25" s="108">
        <f t="shared" si="3"/>
        <v>8</v>
      </c>
      <c r="D25" s="109" t="s">
        <v>132</v>
      </c>
      <c r="E25" s="109">
        <v>0.21</v>
      </c>
      <c r="F25" s="109">
        <f t="shared" si="4"/>
        <v>1.68</v>
      </c>
      <c r="G25" s="18">
        <f t="shared" si="5"/>
        <v>4.4709794491487305E-4</v>
      </c>
      <c r="H25" s="112" t="s">
        <v>24</v>
      </c>
      <c r="I25" s="112"/>
      <c r="J25" s="19"/>
      <c r="K25" s="331"/>
      <c r="L25" s="331"/>
    </row>
    <row r="26" spans="1:12" ht="13.8" x14ac:dyDescent="0.3">
      <c r="A26" s="107">
        <v>8</v>
      </c>
      <c r="B26" s="111" t="s">
        <v>41</v>
      </c>
      <c r="C26" s="108">
        <f t="shared" si="3"/>
        <v>8</v>
      </c>
      <c r="D26" s="109" t="s">
        <v>132</v>
      </c>
      <c r="E26" s="109">
        <v>4.08</v>
      </c>
      <c r="F26" s="109">
        <f t="shared" si="4"/>
        <v>32.64</v>
      </c>
      <c r="G26" s="18">
        <f t="shared" si="5"/>
        <v>8.6864743583461058E-3</v>
      </c>
      <c r="H26" s="112" t="s">
        <v>40</v>
      </c>
      <c r="I26" s="112"/>
      <c r="J26" s="19"/>
      <c r="K26" s="331"/>
      <c r="L26" s="331"/>
    </row>
    <row r="27" spans="1:12" ht="13.8" x14ac:dyDescent="0.3">
      <c r="A27" s="107">
        <v>8</v>
      </c>
      <c r="B27" s="111" t="s">
        <v>50</v>
      </c>
      <c r="C27" s="108">
        <f>+A27</f>
        <v>8</v>
      </c>
      <c r="D27" s="109" t="s">
        <v>132</v>
      </c>
      <c r="E27" s="109">
        <v>32</v>
      </c>
      <c r="F27" s="109">
        <f>IFERROR(E27*C27,"")</f>
        <v>256</v>
      </c>
      <c r="G27" s="18">
        <f t="shared" si="5"/>
        <v>6.8129210653694941E-2</v>
      </c>
      <c r="H27" s="112" t="s">
        <v>36</v>
      </c>
      <c r="I27" s="112"/>
      <c r="J27" s="19"/>
      <c r="K27" s="98"/>
      <c r="L27" s="98"/>
    </row>
    <row r="28" spans="1:12" ht="13.8" x14ac:dyDescent="0.3">
      <c r="A28" s="107">
        <v>8</v>
      </c>
      <c r="B28" s="111" t="s">
        <v>52</v>
      </c>
      <c r="C28" s="108">
        <f t="shared" si="3"/>
        <v>8</v>
      </c>
      <c r="D28" s="109" t="s">
        <v>131</v>
      </c>
      <c r="E28" s="109">
        <v>51.39</v>
      </c>
      <c r="F28" s="109">
        <f t="shared" si="4"/>
        <v>411.12</v>
      </c>
      <c r="G28" s="18">
        <f t="shared" si="5"/>
        <v>0.10941125423416823</v>
      </c>
      <c r="H28" s="112" t="s">
        <v>51</v>
      </c>
      <c r="I28" s="112"/>
      <c r="J28" s="19"/>
      <c r="K28" s="331"/>
      <c r="L28" s="331"/>
    </row>
    <row r="29" spans="1:12" ht="13.8" x14ac:dyDescent="0.3">
      <c r="A29" s="107">
        <v>8</v>
      </c>
      <c r="B29" s="111" t="s">
        <v>37</v>
      </c>
      <c r="C29" s="108">
        <f t="shared" si="3"/>
        <v>8</v>
      </c>
      <c r="D29" s="109" t="s">
        <v>132</v>
      </c>
      <c r="E29" s="109">
        <v>6</v>
      </c>
      <c r="F29" s="109">
        <f t="shared" si="4"/>
        <v>48</v>
      </c>
      <c r="G29" s="18">
        <f t="shared" si="5"/>
        <v>1.2774226997567802E-2</v>
      </c>
      <c r="H29" s="112" t="s">
        <v>26</v>
      </c>
      <c r="I29" s="112"/>
      <c r="J29" s="19"/>
      <c r="K29" s="113"/>
      <c r="L29" s="114"/>
    </row>
    <row r="30" spans="1:12" ht="13.8" x14ac:dyDescent="0.3">
      <c r="A30" s="107">
        <v>2</v>
      </c>
      <c r="B30" s="111" t="s">
        <v>30</v>
      </c>
      <c r="C30" s="108">
        <f t="shared" si="3"/>
        <v>2</v>
      </c>
      <c r="D30" s="109" t="str">
        <f>IFERROR(VLOOKUP(H30,'[1]EMPAQUE PLANTA'!$A$2:$H$1000,7,0),"")</f>
        <v>UND</v>
      </c>
      <c r="E30" s="109">
        <f>IFERROR(VLOOKUP(H30,'[1]EMPAQUE PLANTA'!$A$2:$H$1000,8,0),"")</f>
        <v>7</v>
      </c>
      <c r="F30" s="109">
        <f t="shared" si="4"/>
        <v>14</v>
      </c>
      <c r="G30" s="18">
        <f t="shared" si="5"/>
        <v>3.7258162076239422E-3</v>
      </c>
      <c r="H30" s="112" t="s">
        <v>29</v>
      </c>
      <c r="I30" s="112"/>
      <c r="J30" s="19"/>
    </row>
    <row r="31" spans="1:12" ht="14.4" thickBot="1" x14ac:dyDescent="0.35">
      <c r="A31" s="107"/>
      <c r="B31" s="111" t="str">
        <f>IFERROR(VLOOKUP(H31,'[1]EMPAQUE PLANTA'!$A$2:$H$176,2,0),"")</f>
        <v/>
      </c>
      <c r="C31" s="108"/>
      <c r="D31" s="109"/>
      <c r="E31" s="109"/>
      <c r="F31" s="109"/>
      <c r="G31" s="18"/>
      <c r="H31" s="112"/>
      <c r="I31" s="112"/>
      <c r="J31" s="19"/>
    </row>
    <row r="32" spans="1:12" ht="40.200000000000003" thickBot="1" x14ac:dyDescent="0.3">
      <c r="A32" s="24" t="s">
        <v>61</v>
      </c>
      <c r="B32" s="25" t="s">
        <v>69</v>
      </c>
      <c r="C32" s="25" t="s">
        <v>61</v>
      </c>
      <c r="D32" s="26" t="s">
        <v>63</v>
      </c>
      <c r="E32" s="26" t="s">
        <v>64</v>
      </c>
      <c r="F32" s="26" t="s">
        <v>65</v>
      </c>
      <c r="G32" s="26" t="s">
        <v>66</v>
      </c>
      <c r="H32" s="27" t="s">
        <v>67</v>
      </c>
      <c r="I32" s="106"/>
      <c r="J32" s="19"/>
    </row>
    <row r="33" spans="1:17" ht="13.8" x14ac:dyDescent="0.3">
      <c r="A33" s="107">
        <f>+A17</f>
        <v>4</v>
      </c>
      <c r="B33" s="111" t="s">
        <v>43</v>
      </c>
      <c r="C33" s="108">
        <f>+A33</f>
        <v>4</v>
      </c>
      <c r="D33" s="109" t="s">
        <v>70</v>
      </c>
      <c r="E33" s="109">
        <f>IFERROR(VLOOKUP($H33,[2]SEMIELABORADOS!$A$1:$J$998,8,0),"")</f>
        <v>0.39725898390898567</v>
      </c>
      <c r="F33" s="109">
        <f>IFERROR(E33*C33,"")</f>
        <v>1.5890359356359427</v>
      </c>
      <c r="G33" s="18">
        <f>IFERROR(F33/$F$59,"")</f>
        <v>2.8891562466108051E-3</v>
      </c>
      <c r="H33" s="112" t="s">
        <v>42</v>
      </c>
      <c r="I33" s="112"/>
      <c r="J33" s="19"/>
    </row>
    <row r="34" spans="1:17" ht="13.8" x14ac:dyDescent="0.3">
      <c r="A34" s="107">
        <f>+A18</f>
        <v>100</v>
      </c>
      <c r="B34" s="111" t="s">
        <v>35</v>
      </c>
      <c r="C34" s="108">
        <f>+A34</f>
        <v>100</v>
      </c>
      <c r="D34" s="109" t="s">
        <v>70</v>
      </c>
      <c r="E34" s="109">
        <f>+'[3]Costo '!$E$69</f>
        <v>1.9615384615384615E-4</v>
      </c>
      <c r="F34" s="109">
        <f>IFERROR(E34*C34,"")</f>
        <v>1.9615384615384614E-2</v>
      </c>
      <c r="G34" s="18">
        <f>IFERROR(F34/$F$59,"")</f>
        <v>3.5664335664335665E-5</v>
      </c>
      <c r="H34" s="112" t="s">
        <v>34</v>
      </c>
      <c r="I34" s="112"/>
      <c r="J34" s="19"/>
    </row>
    <row r="35" spans="1:17" ht="13.8" hidden="1" x14ac:dyDescent="0.3">
      <c r="A35" s="107">
        <f>+A19</f>
        <v>0</v>
      </c>
      <c r="B35" s="111"/>
      <c r="C35" s="108">
        <f>+A35</f>
        <v>0</v>
      </c>
      <c r="D35" s="109" t="s">
        <v>70</v>
      </c>
      <c r="E35" s="109" t="str">
        <f>IFERROR(VLOOKUP($H35,[2]SEMIELABORADOS!$A$1:$J$998,8,0),"")</f>
        <v/>
      </c>
      <c r="F35" s="109" t="str">
        <f>IFERROR(E35*C35,"")</f>
        <v/>
      </c>
      <c r="G35" s="18" t="str">
        <f>IFERROR(F35/$F$59,"")</f>
        <v/>
      </c>
      <c r="H35" s="112"/>
      <c r="I35" s="112"/>
      <c r="J35" s="19"/>
    </row>
    <row r="36" spans="1:17" ht="13.8" hidden="1" x14ac:dyDescent="0.3">
      <c r="A36" s="107">
        <f>+A20</f>
        <v>0</v>
      </c>
      <c r="B36" s="111"/>
      <c r="C36" s="108">
        <f>+A36</f>
        <v>0</v>
      </c>
      <c r="D36" s="109" t="s">
        <v>70</v>
      </c>
      <c r="E36" s="109" t="str">
        <f>IFERROR(VLOOKUP($H36,[2]SEMIELABORADOS!$A$1:$J$998,8,0),"")</f>
        <v/>
      </c>
      <c r="F36" s="109" t="str">
        <f>IFERROR(E36*C36,"")</f>
        <v/>
      </c>
      <c r="G36" s="18" t="str">
        <f>IFERROR(F36/$F$59,"")</f>
        <v/>
      </c>
      <c r="H36" s="112"/>
      <c r="I36" s="112"/>
      <c r="J36" s="19"/>
    </row>
    <row r="37" spans="1:17" ht="13.8" hidden="1" x14ac:dyDescent="0.3">
      <c r="A37" s="107">
        <f>+A21</f>
        <v>0</v>
      </c>
      <c r="B37" s="111"/>
      <c r="C37" s="108">
        <f>+A37</f>
        <v>0</v>
      </c>
      <c r="D37" s="109" t="s">
        <v>70</v>
      </c>
      <c r="E37" s="109" t="str">
        <f>IFERROR(VLOOKUP($H37,[2]SEMIELABORADOS!$A$1:$J$998,8,0),"")</f>
        <v/>
      </c>
      <c r="F37" s="109" t="str">
        <f>IFERROR(E37*C37,"")</f>
        <v/>
      </c>
      <c r="G37" s="18" t="str">
        <f>IFERROR(F37/$F$59,"")</f>
        <v/>
      </c>
      <c r="H37" s="112"/>
      <c r="I37" s="112"/>
      <c r="J37" s="19"/>
    </row>
    <row r="38" spans="1:17" ht="14.4" thickBot="1" x14ac:dyDescent="0.35">
      <c r="A38" s="107"/>
      <c r="B38" s="111"/>
      <c r="C38" s="108"/>
      <c r="D38" s="109"/>
      <c r="E38" s="109"/>
      <c r="F38" s="109"/>
      <c r="G38" s="18"/>
      <c r="H38" s="112"/>
      <c r="I38" s="112"/>
      <c r="J38" s="19"/>
    </row>
    <row r="39" spans="1:17" ht="40.200000000000003" thickBot="1" x14ac:dyDescent="0.3">
      <c r="A39" s="24" t="s">
        <v>61</v>
      </c>
      <c r="B39" s="25" t="s">
        <v>71</v>
      </c>
      <c r="C39" s="25" t="s">
        <v>61</v>
      </c>
      <c r="D39" s="25"/>
      <c r="E39" s="26" t="s">
        <v>64</v>
      </c>
      <c r="F39" s="26" t="s">
        <v>65</v>
      </c>
      <c r="G39" s="26" t="s">
        <v>66</v>
      </c>
      <c r="H39" s="27" t="s">
        <v>67</v>
      </c>
      <c r="I39" s="106"/>
      <c r="J39" s="19"/>
    </row>
    <row r="40" spans="1:17" ht="13.8" x14ac:dyDescent="0.3">
      <c r="A40" s="107">
        <f>+A17</f>
        <v>4</v>
      </c>
      <c r="B40" s="115" t="s">
        <v>43</v>
      </c>
      <c r="C40" s="108">
        <f t="shared" ref="C40:C45" si="6">+A40</f>
        <v>4</v>
      </c>
      <c r="D40" s="108" t="s">
        <v>70</v>
      </c>
      <c r="E40" s="109">
        <f>IFERROR(VLOOKUP($H40,[2]SEMIELABORADOS!$A$1:$J$998,10,0),"")</f>
        <v>19.596152667075415</v>
      </c>
      <c r="F40" s="109">
        <f t="shared" ref="F40:F45" si="7">IFERROR(C40*E40,"")</f>
        <v>78.384610668301661</v>
      </c>
      <c r="G40" s="18">
        <f t="shared" ref="G40:G45" si="8">IFERROR(F40/$F$60,"")</f>
        <v>2.0860475204017924E-2</v>
      </c>
      <c r="H40" s="116" t="s">
        <v>42</v>
      </c>
      <c r="I40" s="116"/>
      <c r="J40" s="19"/>
    </row>
    <row r="41" spans="1:17" ht="13.8" x14ac:dyDescent="0.3">
      <c r="A41" s="107">
        <f>+A18</f>
        <v>100</v>
      </c>
      <c r="B41" s="115" t="s">
        <v>35</v>
      </c>
      <c r="C41" s="108">
        <f t="shared" si="6"/>
        <v>100</v>
      </c>
      <c r="D41" s="108" t="s">
        <v>70</v>
      </c>
      <c r="E41" s="109">
        <f>+'[3]Costo '!$E$67</f>
        <v>2.6442307692307692E-2</v>
      </c>
      <c r="F41" s="109">
        <f t="shared" si="7"/>
        <v>2.6442307692307692</v>
      </c>
      <c r="G41" s="18">
        <f t="shared" si="8"/>
        <v>7.03708418335566E-4</v>
      </c>
      <c r="H41" s="116" t="s">
        <v>34</v>
      </c>
      <c r="I41" s="116"/>
      <c r="J41" s="19"/>
    </row>
    <row r="42" spans="1:17" ht="13.8" hidden="1" x14ac:dyDescent="0.3">
      <c r="A42" s="107">
        <f>+A19</f>
        <v>0</v>
      </c>
      <c r="B42" s="115"/>
      <c r="C42" s="108">
        <f t="shared" si="6"/>
        <v>0</v>
      </c>
      <c r="D42" s="108" t="s">
        <v>70</v>
      </c>
      <c r="E42" s="109" t="str">
        <f>IFERROR(VLOOKUP($H42,[2]SEMIELABORADOS!$A$1:$J$998,10,0),"")</f>
        <v/>
      </c>
      <c r="F42" s="109" t="str">
        <f t="shared" si="7"/>
        <v/>
      </c>
      <c r="G42" s="18" t="str">
        <f t="shared" si="8"/>
        <v/>
      </c>
      <c r="H42" s="116"/>
      <c r="I42" s="116"/>
      <c r="J42" s="19"/>
    </row>
    <row r="43" spans="1:17" ht="13.8" hidden="1" x14ac:dyDescent="0.3">
      <c r="A43" s="107">
        <f>+A20</f>
        <v>0</v>
      </c>
      <c r="B43" s="115"/>
      <c r="C43" s="108">
        <f t="shared" si="6"/>
        <v>0</v>
      </c>
      <c r="D43" s="108" t="s">
        <v>70</v>
      </c>
      <c r="E43" s="109" t="str">
        <f>IFERROR(VLOOKUP($H43,[2]SEMIELABORADOS!$A$1:$J$998,10,0),"")</f>
        <v/>
      </c>
      <c r="F43" s="109" t="str">
        <f t="shared" si="7"/>
        <v/>
      </c>
      <c r="G43" s="18" t="str">
        <f t="shared" si="8"/>
        <v/>
      </c>
      <c r="H43" s="116"/>
      <c r="I43" s="116"/>
      <c r="J43" s="19"/>
    </row>
    <row r="44" spans="1:17" ht="13.8" hidden="1" x14ac:dyDescent="0.3">
      <c r="A44" s="107">
        <f>+A21</f>
        <v>0</v>
      </c>
      <c r="B44" s="115"/>
      <c r="C44" s="108">
        <f t="shared" si="6"/>
        <v>0</v>
      </c>
      <c r="D44" s="108" t="s">
        <v>70</v>
      </c>
      <c r="E44" s="109" t="str">
        <f>IFERROR(VLOOKUP($H44,[2]SEMIELABORADOS!$A$1:$J$998,10,0),"")</f>
        <v/>
      </c>
      <c r="F44" s="109" t="str">
        <f t="shared" si="7"/>
        <v/>
      </c>
      <c r="G44" s="18" t="str">
        <f t="shared" si="8"/>
        <v/>
      </c>
      <c r="H44" s="116"/>
      <c r="I44" s="116"/>
      <c r="J44" s="19"/>
    </row>
    <row r="45" spans="1:17" ht="13.8" x14ac:dyDescent="0.3">
      <c r="A45" s="107">
        <v>1</v>
      </c>
      <c r="B45" s="111" t="s">
        <v>72</v>
      </c>
      <c r="C45" s="108">
        <f t="shared" si="6"/>
        <v>1</v>
      </c>
      <c r="D45" s="108" t="s">
        <v>70</v>
      </c>
      <c r="E45" s="109">
        <f>+F59</f>
        <v>550</v>
      </c>
      <c r="F45" s="109">
        <f t="shared" si="7"/>
        <v>550</v>
      </c>
      <c r="G45" s="18">
        <f t="shared" si="8"/>
        <v>0.14637135101379772</v>
      </c>
      <c r="H45" s="116"/>
      <c r="I45" s="116"/>
      <c r="J45" s="19"/>
    </row>
    <row r="46" spans="1:17" ht="14.4" thickBot="1" x14ac:dyDescent="0.35">
      <c r="A46" s="107"/>
      <c r="B46" s="111"/>
      <c r="C46" s="108"/>
      <c r="D46" s="108"/>
      <c r="E46" s="109"/>
      <c r="F46" s="109"/>
      <c r="G46" s="18"/>
      <c r="H46" s="116"/>
      <c r="I46" s="116"/>
      <c r="J46" s="19"/>
    </row>
    <row r="47" spans="1:17" ht="13.8" thickBot="1" x14ac:dyDescent="0.3">
      <c r="A47" s="117"/>
      <c r="B47" s="315" t="s">
        <v>73</v>
      </c>
      <c r="C47" s="315"/>
      <c r="D47" s="315"/>
      <c r="E47" s="315"/>
      <c r="F47" s="119">
        <f>SUM(F8:F14,F17:F21)</f>
        <v>2391.565948120015</v>
      </c>
      <c r="G47" s="18">
        <f>+F47/$F$60</f>
        <v>0.63646679793621952</v>
      </c>
      <c r="H47" s="120">
        <f>+F47/$D$54</f>
        <v>298.02591045803263</v>
      </c>
      <c r="I47" s="120"/>
      <c r="J47" s="41"/>
      <c r="K47" s="42"/>
      <c r="L47" s="42"/>
      <c r="M47" s="42"/>
      <c r="N47" s="42"/>
      <c r="O47" s="42"/>
      <c r="P47" s="42"/>
      <c r="Q47" s="43"/>
    </row>
    <row r="48" spans="1:17" x14ac:dyDescent="0.25">
      <c r="A48" s="117"/>
      <c r="B48" s="315" t="s">
        <v>74</v>
      </c>
      <c r="C48" s="315"/>
      <c r="D48" s="315"/>
      <c r="E48" s="315"/>
      <c r="F48" s="119">
        <f>SUM(F24:F30,F33:F37)</f>
        <v>768.16865132025123</v>
      </c>
      <c r="G48" s="18">
        <f>+F48/$F$60</f>
        <v>0.20443251509125834</v>
      </c>
      <c r="H48" s="120">
        <f>+F48/$D$54</f>
        <v>95.725631933754386</v>
      </c>
      <c r="I48" s="120"/>
      <c r="J48" s="121"/>
      <c r="K48" s="338" t="s">
        <v>75</v>
      </c>
      <c r="L48" s="339"/>
      <c r="M48" s="339"/>
      <c r="N48" s="339"/>
      <c r="O48" s="78">
        <f>+F49</f>
        <v>3159.7345994402663</v>
      </c>
      <c r="P48" s="78"/>
      <c r="Q48" s="44"/>
    </row>
    <row r="49" spans="1:17" x14ac:dyDescent="0.25">
      <c r="A49" s="117"/>
      <c r="B49" s="315" t="s">
        <v>76</v>
      </c>
      <c r="C49" s="315"/>
      <c r="D49" s="315"/>
      <c r="E49" s="315"/>
      <c r="F49" s="119">
        <f>+F47+F48</f>
        <v>3159.7345994402663</v>
      </c>
      <c r="G49" s="18">
        <f>+F49/$F$60</f>
        <v>0.84089931302747778</v>
      </c>
      <c r="H49" s="120">
        <f>+F49/$D$54</f>
        <v>393.75154239178704</v>
      </c>
      <c r="I49" s="120"/>
      <c r="J49" s="45"/>
      <c r="K49" s="77"/>
      <c r="L49" s="319" t="s">
        <v>77</v>
      </c>
      <c r="M49" s="319"/>
      <c r="N49" s="319"/>
      <c r="O49" s="78">
        <f>+F50</f>
        <v>631.02884143753249</v>
      </c>
      <c r="P49" s="78"/>
      <c r="Q49" s="44"/>
    </row>
    <row r="50" spans="1:17" ht="13.8" thickBot="1" x14ac:dyDescent="0.3">
      <c r="A50" s="117"/>
      <c r="B50" s="118"/>
      <c r="C50" s="315" t="s">
        <v>78</v>
      </c>
      <c r="D50" s="315"/>
      <c r="E50" s="315"/>
      <c r="F50" s="119">
        <f>SUM(F40:F45)</f>
        <v>631.02884143753249</v>
      </c>
      <c r="G50" s="18">
        <f>+F50/$F$60</f>
        <v>0.16793553463615124</v>
      </c>
      <c r="H50" s="120">
        <f>+F50/$D$54</f>
        <v>78.635901779138663</v>
      </c>
      <c r="I50" s="120"/>
      <c r="J50" s="45"/>
      <c r="K50" s="77"/>
      <c r="L50" s="77"/>
      <c r="M50" s="77" t="s">
        <v>79</v>
      </c>
      <c r="N50" s="63">
        <v>0.01</v>
      </c>
      <c r="O50" s="78">
        <f>O48*N50</f>
        <v>31.597345994402662</v>
      </c>
      <c r="P50" s="78"/>
      <c r="Q50" s="44"/>
    </row>
    <row r="51" spans="1:17" ht="13.8" thickBot="1" x14ac:dyDescent="0.25">
      <c r="A51" s="117"/>
      <c r="B51" s="122"/>
      <c r="C51" s="122"/>
      <c r="D51" s="122"/>
      <c r="E51" s="122"/>
      <c r="F51" s="123"/>
      <c r="G51" s="18"/>
      <c r="H51" s="124"/>
      <c r="I51" s="120"/>
      <c r="J51" s="45"/>
      <c r="K51" s="81"/>
      <c r="M51" s="85" t="s">
        <v>80</v>
      </c>
      <c r="N51" s="86"/>
      <c r="O51" s="87">
        <f>SUM(O48:O50)</f>
        <v>3822.3607868722011</v>
      </c>
      <c r="P51" s="80"/>
      <c r="Q51" s="44"/>
    </row>
    <row r="52" spans="1:17" x14ac:dyDescent="0.25">
      <c r="B52" s="336" t="s">
        <v>81</v>
      </c>
      <c r="C52" s="336"/>
      <c r="D52" s="125">
        <v>1300</v>
      </c>
      <c r="E52" s="126"/>
      <c r="G52" s="18"/>
      <c r="H52" s="124"/>
      <c r="I52" s="127"/>
      <c r="J52" s="45"/>
      <c r="K52" s="81"/>
      <c r="L52" s="77"/>
      <c r="M52" s="77" t="s">
        <v>82</v>
      </c>
      <c r="N52" s="32">
        <v>0.25</v>
      </c>
      <c r="O52" s="78">
        <f>+O51*N52</f>
        <v>955.59019671805027</v>
      </c>
      <c r="P52" s="78"/>
      <c r="Q52" s="44"/>
    </row>
    <row r="53" spans="1:17" x14ac:dyDescent="0.25">
      <c r="B53" s="336" t="s">
        <v>83</v>
      </c>
      <c r="C53" s="336"/>
      <c r="D53" s="128">
        <v>162</v>
      </c>
      <c r="E53" s="126"/>
      <c r="G53" s="18"/>
      <c r="H53" s="124"/>
      <c r="I53" s="127"/>
      <c r="J53" s="45"/>
      <c r="K53" s="81"/>
      <c r="L53" s="77"/>
      <c r="M53" s="319" t="s">
        <v>65</v>
      </c>
      <c r="N53" s="319"/>
      <c r="O53" s="78">
        <f>SUM(O51:O52)</f>
        <v>4777.9509835902518</v>
      </c>
      <c r="P53" s="78"/>
      <c r="Q53" s="44"/>
    </row>
    <row r="54" spans="1:17" ht="13.8" thickBot="1" x14ac:dyDescent="0.3">
      <c r="B54" s="337" t="s">
        <v>84</v>
      </c>
      <c r="C54" s="337"/>
      <c r="D54" s="125">
        <f>+D52/D53</f>
        <v>8.0246913580246915</v>
      </c>
      <c r="E54" s="126"/>
      <c r="F54" s="129"/>
      <c r="G54" s="18"/>
      <c r="H54" s="124"/>
      <c r="I54" s="127"/>
      <c r="J54" s="45"/>
      <c r="K54" s="81"/>
      <c r="L54" s="319" t="s">
        <v>85</v>
      </c>
      <c r="M54" s="319"/>
      <c r="N54" s="32">
        <v>0.05</v>
      </c>
      <c r="O54" s="78">
        <f>+O53*N54</f>
        <v>238.89754917951259</v>
      </c>
      <c r="P54" s="78"/>
      <c r="Q54" s="44"/>
    </row>
    <row r="55" spans="1:17" ht="13.8" thickBot="1" x14ac:dyDescent="0.25">
      <c r="B55" s="337" t="s">
        <v>86</v>
      </c>
      <c r="C55" s="337"/>
      <c r="D55" s="130"/>
      <c r="E55" s="126"/>
      <c r="F55" s="129"/>
      <c r="G55" s="18"/>
      <c r="H55" s="124"/>
      <c r="I55" s="127"/>
      <c r="J55" s="45"/>
      <c r="K55" s="333" t="s">
        <v>87</v>
      </c>
      <c r="L55" s="334"/>
      <c r="M55" s="334"/>
      <c r="N55" s="335"/>
      <c r="O55" s="87">
        <f>SUM(O53:O54)</f>
        <v>5016.8485327697645</v>
      </c>
      <c r="P55" s="131" t="s">
        <v>88</v>
      </c>
      <c r="Q55" s="44"/>
    </row>
    <row r="56" spans="1:17" ht="13.8" thickBot="1" x14ac:dyDescent="0.25">
      <c r="C56" s="117" t="s">
        <v>89</v>
      </c>
      <c r="D56" s="57"/>
      <c r="E56" s="98" t="s">
        <v>90</v>
      </c>
      <c r="F56" s="132" t="s">
        <v>91</v>
      </c>
      <c r="G56" s="18"/>
      <c r="H56" s="124"/>
      <c r="I56" s="127"/>
      <c r="J56" s="48"/>
      <c r="K56" s="133"/>
      <c r="L56" s="312" t="s">
        <v>92</v>
      </c>
      <c r="M56" s="312"/>
      <c r="N56" s="312"/>
      <c r="O56" s="134">
        <f>+O55/D54</f>
        <v>625.17650946823221</v>
      </c>
      <c r="P56" s="135">
        <f>+O56/D53</f>
        <v>3.859114255976742</v>
      </c>
      <c r="Q56" s="46"/>
    </row>
    <row r="57" spans="1:17" ht="13.8" thickBot="1" x14ac:dyDescent="0.25">
      <c r="B57" s="313" t="s">
        <v>76</v>
      </c>
      <c r="C57" s="313"/>
      <c r="D57" s="313"/>
      <c r="E57" s="20">
        <f>+F57/F57</f>
        <v>1</v>
      </c>
      <c r="F57" s="136">
        <f>SUM(F49)</f>
        <v>3159.7345994402663</v>
      </c>
      <c r="G57" s="18">
        <f>+F57/$F$60</f>
        <v>0.84089931302747778</v>
      </c>
      <c r="H57" s="124"/>
      <c r="I57" s="127"/>
      <c r="K57" s="317"/>
      <c r="L57" s="318"/>
      <c r="M57" s="318"/>
      <c r="N57" s="318"/>
      <c r="O57" s="137"/>
      <c r="P57" s="49"/>
    </row>
    <row r="58" spans="1:17" ht="13.8" thickBot="1" x14ac:dyDescent="0.3">
      <c r="B58" s="316" t="s">
        <v>93</v>
      </c>
      <c r="C58" s="316"/>
      <c r="D58" s="316"/>
      <c r="E58" s="138">
        <v>0.02</v>
      </c>
      <c r="F58" s="136">
        <f>+F47*E58</f>
        <v>47.831318962400303</v>
      </c>
      <c r="G58" s="18">
        <f>+F58/$F$60</f>
        <v>1.2729335958724389E-2</v>
      </c>
      <c r="H58" s="120"/>
      <c r="I58" s="127"/>
      <c r="J58" s="47"/>
      <c r="O58" s="139"/>
      <c r="P58" s="118"/>
    </row>
    <row r="59" spans="1:17" ht="13.8" thickBot="1" x14ac:dyDescent="0.3">
      <c r="B59" s="326" t="s">
        <v>94</v>
      </c>
      <c r="C59" s="327"/>
      <c r="D59" s="61">
        <v>10</v>
      </c>
      <c r="E59" s="140">
        <v>55</v>
      </c>
      <c r="F59" s="136">
        <f>+E59*D59</f>
        <v>550</v>
      </c>
      <c r="G59" s="18">
        <f>+F59/$F$60</f>
        <v>0.14637135101379772</v>
      </c>
      <c r="H59" s="120"/>
      <c r="I59" s="120"/>
      <c r="J59" s="19"/>
    </row>
    <row r="60" spans="1:17" ht="13.8" thickBot="1" x14ac:dyDescent="0.3">
      <c r="B60" s="323" t="s">
        <v>95</v>
      </c>
      <c r="C60" s="324"/>
      <c r="D60" s="324"/>
      <c r="E60" s="325"/>
      <c r="F60" s="123">
        <f>SUM(F57:F59)</f>
        <v>3757.5659184026667</v>
      </c>
      <c r="G60" s="18">
        <f>+F60/$F$60</f>
        <v>1</v>
      </c>
      <c r="H60" s="314"/>
      <c r="I60" s="120"/>
      <c r="J60" s="19"/>
    </row>
    <row r="61" spans="1:17" x14ac:dyDescent="0.25">
      <c r="C61" s="142"/>
      <c r="D61" s="142"/>
      <c r="E61" s="143"/>
      <c r="F61" s="136"/>
      <c r="G61" s="18"/>
      <c r="H61" s="314"/>
      <c r="I61" s="141"/>
      <c r="J61" s="100"/>
    </row>
    <row r="62" spans="1:17" ht="13.8" thickBot="1" x14ac:dyDescent="0.3">
      <c r="B62" s="322" t="s">
        <v>96</v>
      </c>
      <c r="C62" s="322"/>
      <c r="D62" s="322"/>
      <c r="E62" s="322"/>
      <c r="F62" s="322"/>
      <c r="G62" s="18"/>
      <c r="H62" s="21"/>
      <c r="I62" s="141"/>
      <c r="J62" s="100"/>
    </row>
    <row r="63" spans="1:17" ht="13.8" thickBot="1" x14ac:dyDescent="0.3">
      <c r="B63" s="145" t="s">
        <v>97</v>
      </c>
      <c r="C63" s="146">
        <f>+F47</f>
        <v>2391.565948120015</v>
      </c>
      <c r="D63" s="146">
        <f>+D52</f>
        <v>1300</v>
      </c>
      <c r="E63" s="147">
        <f>+C63/D63</f>
        <v>1.8396661139384731</v>
      </c>
      <c r="F63" s="18"/>
      <c r="G63" s="21"/>
      <c r="H63" s="19"/>
      <c r="I63" s="21"/>
      <c r="J63" s="100"/>
    </row>
    <row r="64" spans="1:17" x14ac:dyDescent="0.25">
      <c r="B64" s="148"/>
      <c r="C64" s="149"/>
      <c r="D64" s="150"/>
      <c r="E64" s="136"/>
      <c r="F64" s="18"/>
      <c r="G64" s="21"/>
      <c r="H64" s="19"/>
      <c r="I64" s="19"/>
      <c r="J64" s="100"/>
    </row>
    <row r="65" spans="2:10" x14ac:dyDescent="0.25">
      <c r="B65" s="145" t="s">
        <v>98</v>
      </c>
      <c r="C65" s="146">
        <f>SUM(F57:F58)</f>
        <v>3207.5659184026667</v>
      </c>
      <c r="D65" s="146">
        <f>+D52</f>
        <v>1300</v>
      </c>
      <c r="E65" s="151">
        <f>+C65/D65</f>
        <v>2.4673583987712822</v>
      </c>
      <c r="F65" s="18"/>
      <c r="G65" s="21"/>
      <c r="H65" s="19"/>
      <c r="I65" s="19"/>
      <c r="J65" s="100"/>
    </row>
    <row r="66" spans="2:10" x14ac:dyDescent="0.25">
      <c r="B66" s="145"/>
      <c r="C66" s="146"/>
      <c r="D66" s="146"/>
      <c r="E66" s="151"/>
      <c r="F66" s="18"/>
      <c r="G66" s="21"/>
      <c r="H66" s="19"/>
      <c r="I66" s="19"/>
      <c r="J66" s="100"/>
    </row>
    <row r="67" spans="2:10" ht="13.8" thickBot="1" x14ac:dyDescent="0.3">
      <c r="B67" s="145" t="s">
        <v>99</v>
      </c>
      <c r="C67" s="146">
        <f>+F59</f>
        <v>550</v>
      </c>
      <c r="D67" s="146">
        <f>+D52</f>
        <v>1300</v>
      </c>
      <c r="E67" s="151">
        <f>+C67/D67</f>
        <v>0.42307692307692307</v>
      </c>
      <c r="F67" s="18"/>
      <c r="G67" s="21"/>
      <c r="H67" s="19"/>
      <c r="I67" s="19"/>
      <c r="J67" s="100"/>
    </row>
    <row r="68" spans="2:10" ht="13.8" thickBot="1" x14ac:dyDescent="0.3">
      <c r="B68" s="145" t="s">
        <v>100</v>
      </c>
      <c r="C68" s="146">
        <f>+F50</f>
        <v>631.02884143753249</v>
      </c>
      <c r="D68" s="146">
        <f>+D67</f>
        <v>1300</v>
      </c>
      <c r="E68" s="147">
        <f>+C68/D68</f>
        <v>0.48540680110579421</v>
      </c>
      <c r="F68" s="18"/>
      <c r="G68" s="21"/>
      <c r="H68" s="19"/>
      <c r="I68" s="19"/>
      <c r="J68" s="100"/>
    </row>
    <row r="69" spans="2:10" ht="13.8" thickBot="1" x14ac:dyDescent="0.3">
      <c r="B69" s="122"/>
      <c r="C69" s="123"/>
      <c r="D69" s="123"/>
      <c r="E69" s="151"/>
      <c r="F69" s="18"/>
      <c r="G69" s="21"/>
      <c r="H69" s="19"/>
      <c r="I69" s="19"/>
      <c r="J69" s="100"/>
    </row>
    <row r="70" spans="2:10" ht="13.8" thickBot="1" x14ac:dyDescent="0.3">
      <c r="B70" s="145" t="s">
        <v>101</v>
      </c>
      <c r="C70" s="146">
        <f>+F48</f>
        <v>768.16865132025123</v>
      </c>
      <c r="D70" s="146">
        <f>+D68</f>
        <v>1300</v>
      </c>
      <c r="E70" s="147">
        <f>+C70/D70</f>
        <v>0.5908989625540394</v>
      </c>
      <c r="F70" s="18"/>
      <c r="G70" s="21"/>
      <c r="H70" s="19"/>
      <c r="I70" s="19"/>
      <c r="J70" s="19"/>
    </row>
    <row r="71" spans="2:10" ht="13.8" thickBot="1" x14ac:dyDescent="0.3">
      <c r="B71" s="122"/>
      <c r="C71" s="123"/>
      <c r="D71" s="123"/>
      <c r="E71" s="151"/>
      <c r="F71" s="18"/>
      <c r="G71" s="21"/>
      <c r="H71" s="19"/>
      <c r="I71" s="19"/>
    </row>
    <row r="72" spans="2:10" ht="13.8" thickBot="1" x14ac:dyDescent="0.3">
      <c r="B72" s="328" t="s">
        <v>102</v>
      </c>
      <c r="C72" s="329"/>
      <c r="D72" s="330"/>
      <c r="E72" s="147">
        <f>+E63+E68</f>
        <v>2.3250729150442675</v>
      </c>
      <c r="G72" s="18"/>
      <c r="H72" s="21"/>
      <c r="I72" s="19"/>
      <c r="J72" s="151"/>
    </row>
    <row r="73" spans="2:10" x14ac:dyDescent="0.25">
      <c r="I73" s="21"/>
      <c r="J73" s="100"/>
    </row>
    <row r="74" spans="2:10" ht="13.8" thickBot="1" x14ac:dyDescent="0.3">
      <c r="B74" s="322" t="s">
        <v>103</v>
      </c>
      <c r="C74" s="322"/>
      <c r="D74" s="322"/>
      <c r="E74" s="322"/>
      <c r="F74" s="322"/>
      <c r="G74" s="18"/>
      <c r="H74" s="21"/>
      <c r="J74" s="100"/>
    </row>
    <row r="75" spans="2:10" ht="13.8" thickBot="1" x14ac:dyDescent="0.3">
      <c r="B75" s="145" t="s">
        <v>97</v>
      </c>
      <c r="C75" s="146">
        <f>+C63</f>
        <v>2391.565948120015</v>
      </c>
      <c r="D75" s="146">
        <f>+D54</f>
        <v>8.0246913580246915</v>
      </c>
      <c r="E75" s="147">
        <f>+C75/D75</f>
        <v>298.02591045803263</v>
      </c>
      <c r="F75" s="18"/>
      <c r="G75" s="21"/>
      <c r="H75" s="19"/>
      <c r="I75" s="21"/>
      <c r="J75" s="100"/>
    </row>
    <row r="76" spans="2:10" x14ac:dyDescent="0.25">
      <c r="B76" s="148"/>
      <c r="C76" s="149"/>
      <c r="D76" s="150"/>
      <c r="E76" s="136"/>
      <c r="F76" s="18"/>
      <c r="G76" s="21"/>
      <c r="H76" s="19"/>
      <c r="I76" s="19"/>
      <c r="J76" s="100"/>
    </row>
    <row r="77" spans="2:10" x14ac:dyDescent="0.25">
      <c r="B77" s="145" t="s">
        <v>98</v>
      </c>
      <c r="C77" s="146">
        <f>+C65</f>
        <v>3207.5659184026667</v>
      </c>
      <c r="D77" s="146">
        <f>+D54</f>
        <v>8.0246913580246915</v>
      </c>
      <c r="E77" s="151">
        <f>+C77/D77</f>
        <v>399.71206060094772</v>
      </c>
      <c r="F77" s="18"/>
      <c r="G77" s="21"/>
      <c r="H77" s="19"/>
      <c r="I77" s="19"/>
      <c r="J77" s="100"/>
    </row>
    <row r="78" spans="2:10" x14ac:dyDescent="0.25">
      <c r="B78" s="145"/>
      <c r="C78" s="146"/>
      <c r="D78" s="146"/>
      <c r="E78" s="151"/>
      <c r="F78" s="18"/>
      <c r="G78" s="21"/>
      <c r="H78" s="19"/>
      <c r="I78" s="19"/>
      <c r="J78" s="100"/>
    </row>
    <row r="79" spans="2:10" ht="13.8" thickBot="1" x14ac:dyDescent="0.3">
      <c r="B79" s="145" t="s">
        <v>100</v>
      </c>
      <c r="C79" s="146">
        <f>+C67</f>
        <v>550</v>
      </c>
      <c r="D79" s="146">
        <f>+D54</f>
        <v>8.0246913580246915</v>
      </c>
      <c r="E79" s="151">
        <f>+C79/D79</f>
        <v>68.538461538461533</v>
      </c>
      <c r="F79" s="152"/>
      <c r="G79" s="144"/>
      <c r="H79" s="99"/>
      <c r="I79" s="19"/>
    </row>
    <row r="80" spans="2:10" ht="13.8" thickBot="1" x14ac:dyDescent="0.3">
      <c r="B80" s="145" t="s">
        <v>100</v>
      </c>
      <c r="C80" s="146">
        <f>+C68</f>
        <v>631.02884143753249</v>
      </c>
      <c r="D80" s="146">
        <f>+D79</f>
        <v>8.0246913580246915</v>
      </c>
      <c r="E80" s="147">
        <f>+C80/D80</f>
        <v>78.635901779138663</v>
      </c>
      <c r="F80" s="22"/>
      <c r="G80" s="144"/>
      <c r="H80" s="99"/>
      <c r="I80" s="99"/>
    </row>
    <row r="81" spans="1:9" x14ac:dyDescent="0.25">
      <c r="I81" s="99"/>
    </row>
    <row r="82" spans="1:9" x14ac:dyDescent="0.25">
      <c r="A82" s="321"/>
      <c r="B82" s="321"/>
      <c r="C82" s="153"/>
      <c r="D82" s="153"/>
      <c r="E82" s="154"/>
      <c r="G82" s="23"/>
    </row>
    <row r="83" spans="1:9" x14ac:dyDescent="0.25">
      <c r="A83" s="111"/>
      <c r="B83" s="155"/>
      <c r="C83" s="156"/>
      <c r="D83" s="156"/>
      <c r="E83" s="157"/>
      <c r="G83" s="23"/>
    </row>
    <row r="84" spans="1:9" x14ac:dyDescent="0.25">
      <c r="A84" s="111"/>
      <c r="B84" s="155"/>
      <c r="C84" s="158"/>
      <c r="D84" s="158"/>
      <c r="E84" s="111"/>
      <c r="G84" s="23"/>
    </row>
    <row r="85" spans="1:9" x14ac:dyDescent="0.25">
      <c r="A85" s="111"/>
      <c r="B85" s="155"/>
      <c r="C85" s="159"/>
      <c r="D85" s="159"/>
      <c r="E85" s="111"/>
      <c r="G85" s="23"/>
    </row>
  </sheetData>
  <mergeCells count="31">
    <mergeCell ref="K24:L24"/>
    <mergeCell ref="A4:H4"/>
    <mergeCell ref="K55:N55"/>
    <mergeCell ref="B53:C53"/>
    <mergeCell ref="B52:C52"/>
    <mergeCell ref="B54:C54"/>
    <mergeCell ref="K25:L25"/>
    <mergeCell ref="K48:N48"/>
    <mergeCell ref="K26:L26"/>
    <mergeCell ref="L54:M54"/>
    <mergeCell ref="B47:E47"/>
    <mergeCell ref="L49:N49"/>
    <mergeCell ref="B55:C55"/>
    <mergeCell ref="K28:L28"/>
    <mergeCell ref="A5:H5"/>
    <mergeCell ref="B48:E48"/>
    <mergeCell ref="F6:G6"/>
    <mergeCell ref="A82:B82"/>
    <mergeCell ref="B62:F62"/>
    <mergeCell ref="B74:F74"/>
    <mergeCell ref="B60:E60"/>
    <mergeCell ref="B59:C59"/>
    <mergeCell ref="B72:D72"/>
    <mergeCell ref="B49:E49"/>
    <mergeCell ref="L56:N56"/>
    <mergeCell ref="B57:D57"/>
    <mergeCell ref="H60:H61"/>
    <mergeCell ref="C50:E50"/>
    <mergeCell ref="B58:D58"/>
    <mergeCell ref="K57:N57"/>
    <mergeCell ref="M53:N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0FBC5-273A-4BCB-A4BD-63E224EB6C4D}">
  <dimension ref="A1:AK43"/>
  <sheetViews>
    <sheetView topLeftCell="A19" workbookViewId="0">
      <selection activeCell="L30" sqref="L30"/>
    </sheetView>
  </sheetViews>
  <sheetFormatPr baseColWidth="10" defaultColWidth="8.44140625" defaultRowHeight="10.199999999999999" x14ac:dyDescent="0.2"/>
  <cols>
    <col min="1" max="1" width="7.5546875" style="65" customWidth="1"/>
    <col min="2" max="2" width="7.6640625" style="65" bestFit="1" customWidth="1"/>
    <col min="3" max="3" width="39.33203125" style="65" customWidth="1"/>
    <col min="4" max="4" width="10" style="65" bestFit="1" customWidth="1"/>
    <col min="5" max="5" width="9.44140625" style="65" bestFit="1" customWidth="1"/>
    <col min="6" max="6" width="11.6640625" style="96" customWidth="1"/>
    <col min="7" max="7" width="8.6640625" style="35" bestFit="1" customWidth="1"/>
    <col min="8" max="8" width="10.33203125" style="97" bestFit="1" customWidth="1"/>
    <col min="9" max="16384" width="8.44140625" style="65"/>
  </cols>
  <sheetData>
    <row r="1" spans="2:8" ht="36" customHeight="1" thickBot="1" x14ac:dyDescent="0.4">
      <c r="B1" s="354"/>
      <c r="C1" s="355"/>
      <c r="D1" s="355"/>
      <c r="E1" s="355"/>
      <c r="F1" s="355"/>
      <c r="G1" s="355"/>
      <c r="H1" s="356"/>
    </row>
    <row r="2" spans="2:8" ht="19.5" customHeight="1" thickBot="1" x14ac:dyDescent="0.25">
      <c r="B2" s="357" t="s">
        <v>104</v>
      </c>
      <c r="C2" s="357"/>
      <c r="D2" s="357"/>
      <c r="E2" s="357"/>
      <c r="F2" s="357"/>
      <c r="G2" s="357"/>
      <c r="H2" s="357"/>
    </row>
    <row r="3" spans="2:8" ht="19.5" customHeight="1" thickTop="1" x14ac:dyDescent="0.2">
      <c r="B3" s="358" t="s">
        <v>105</v>
      </c>
      <c r="C3" s="358"/>
      <c r="D3" s="358"/>
      <c r="E3" s="358"/>
      <c r="F3" s="358"/>
      <c r="G3" s="358"/>
      <c r="H3" s="358"/>
    </row>
    <row r="4" spans="2:8" ht="19.5" customHeight="1" x14ac:dyDescent="0.2">
      <c r="B4" s="66"/>
      <c r="C4" s="66"/>
      <c r="D4" s="66"/>
      <c r="E4" s="66"/>
      <c r="F4" s="359" t="s">
        <v>60</v>
      </c>
      <c r="G4" s="359"/>
      <c r="H4" s="67"/>
    </row>
    <row r="5" spans="2:8" ht="30" customHeight="1" x14ac:dyDescent="0.2">
      <c r="B5" s="36" t="s">
        <v>92</v>
      </c>
      <c r="C5" s="36" t="s">
        <v>62</v>
      </c>
      <c r="D5" s="36" t="s">
        <v>92</v>
      </c>
      <c r="E5" s="37" t="s">
        <v>106</v>
      </c>
      <c r="F5" s="37" t="s">
        <v>107</v>
      </c>
      <c r="G5" s="37" t="s">
        <v>108</v>
      </c>
      <c r="H5" s="37" t="s">
        <v>109</v>
      </c>
    </row>
    <row r="6" spans="2:8" s="38" customFormat="1" ht="20.100000000000001" customHeight="1" x14ac:dyDescent="0.2">
      <c r="B6" s="28">
        <v>1</v>
      </c>
      <c r="C6" s="38" t="s">
        <v>133</v>
      </c>
      <c r="D6" s="68">
        <f>+B6</f>
        <v>1</v>
      </c>
      <c r="E6" s="68">
        <v>298.02591045803263</v>
      </c>
      <c r="F6" s="69">
        <f>+D6*E6</f>
        <v>298.02591045803263</v>
      </c>
      <c r="G6" s="54">
        <f>+F6/$F$23</f>
        <v>0.49240425739598459</v>
      </c>
      <c r="H6" s="70" t="s">
        <v>110</v>
      </c>
    </row>
    <row r="7" spans="2:8" s="38" customFormat="1" ht="20.100000000000001" customHeight="1" x14ac:dyDescent="0.2">
      <c r="B7" s="28"/>
      <c r="D7" s="68"/>
      <c r="E7" s="68"/>
      <c r="F7" s="69"/>
      <c r="G7" s="54"/>
      <c r="H7" s="70"/>
    </row>
    <row r="8" spans="2:8" ht="30" customHeight="1" x14ac:dyDescent="0.2">
      <c r="B8" s="36" t="s">
        <v>92</v>
      </c>
      <c r="C8" s="36" t="s">
        <v>19</v>
      </c>
      <c r="D8" s="36" t="s">
        <v>92</v>
      </c>
      <c r="E8" s="37" t="s">
        <v>106</v>
      </c>
      <c r="F8" s="37" t="s">
        <v>107</v>
      </c>
      <c r="G8" s="37" t="s">
        <v>108</v>
      </c>
      <c r="H8" s="37" t="s">
        <v>109</v>
      </c>
    </row>
    <row r="9" spans="2:8" s="38" customFormat="1" ht="20.100000000000001" customHeight="1" x14ac:dyDescent="0.2">
      <c r="B9" s="28">
        <v>1</v>
      </c>
      <c r="C9" s="38" t="s">
        <v>111</v>
      </c>
      <c r="D9" s="68">
        <f>+B9</f>
        <v>1</v>
      </c>
      <c r="E9" s="68">
        <v>95.725631933754386</v>
      </c>
      <c r="F9" s="69">
        <f>+D9*E9</f>
        <v>95.725631933754386</v>
      </c>
      <c r="G9" s="54">
        <f>+F9/$F$23</f>
        <v>0.15815976749692451</v>
      </c>
      <c r="H9" s="70" t="s">
        <v>112</v>
      </c>
    </row>
    <row r="10" spans="2:8" s="71" customFormat="1" ht="17.25" customHeight="1" x14ac:dyDescent="0.25">
      <c r="B10" s="72"/>
      <c r="C10" s="73"/>
      <c r="D10" s="74"/>
      <c r="E10" s="74"/>
      <c r="F10" s="75"/>
      <c r="G10" s="55"/>
      <c r="H10" s="76"/>
    </row>
    <row r="11" spans="2:8" s="71" customFormat="1" ht="12" x14ac:dyDescent="0.25">
      <c r="B11" s="28"/>
      <c r="C11" s="319" t="s">
        <v>113</v>
      </c>
      <c r="D11" s="319"/>
      <c r="E11" s="68"/>
      <c r="F11" s="78">
        <f>SUM(F6)</f>
        <v>298.02591045803263</v>
      </c>
      <c r="G11" s="53">
        <f>+F11/$F$23</f>
        <v>0.49240425739598459</v>
      </c>
      <c r="H11" s="70"/>
    </row>
    <row r="12" spans="2:8" s="71" customFormat="1" ht="12.6" thickBot="1" x14ac:dyDescent="0.3">
      <c r="B12" s="28"/>
      <c r="C12" s="319" t="s">
        <v>114</v>
      </c>
      <c r="D12" s="319"/>
      <c r="E12" s="68"/>
      <c r="F12" s="79">
        <f>SUM(F9)</f>
        <v>95.725631933754386</v>
      </c>
      <c r="G12" s="53">
        <f>+F12/$F$23</f>
        <v>0.15815976749692451</v>
      </c>
      <c r="H12" s="70"/>
    </row>
    <row r="13" spans="2:8" s="71" customFormat="1" ht="12.6" thickTop="1" x14ac:dyDescent="0.25">
      <c r="B13" s="28"/>
      <c r="C13" s="334" t="s">
        <v>75</v>
      </c>
      <c r="D13" s="334"/>
      <c r="E13" s="334"/>
      <c r="F13" s="80">
        <f>SUM(F11:F12)</f>
        <v>393.75154239178698</v>
      </c>
      <c r="G13" s="53">
        <f>+F13/$F$23</f>
        <v>0.6505640248929091</v>
      </c>
      <c r="H13" s="70"/>
    </row>
    <row r="14" spans="2:8" s="71" customFormat="1" ht="12" x14ac:dyDescent="0.25">
      <c r="C14" s="81"/>
      <c r="D14" s="81"/>
      <c r="E14" s="82"/>
      <c r="F14" s="83"/>
      <c r="G14" s="53"/>
    </row>
    <row r="15" spans="2:8" s="71" customFormat="1" ht="12" x14ac:dyDescent="0.25">
      <c r="B15" s="319" t="s">
        <v>75</v>
      </c>
      <c r="C15" s="319"/>
      <c r="D15" s="319"/>
      <c r="E15" s="39" t="s">
        <v>115</v>
      </c>
      <c r="F15" s="78">
        <f>+F13</f>
        <v>393.75154239178698</v>
      </c>
      <c r="G15" s="53">
        <f t="shared" ref="G15:G23" si="0">+F15/$F$23</f>
        <v>0.6505640248929091</v>
      </c>
      <c r="H15" s="50"/>
    </row>
    <row r="16" spans="2:8" s="71" customFormat="1" ht="12.75" customHeight="1" thickBot="1" x14ac:dyDescent="0.3">
      <c r="B16" s="77"/>
      <c r="C16" s="319" t="s">
        <v>77</v>
      </c>
      <c r="D16" s="319"/>
      <c r="E16" s="56"/>
      <c r="F16" s="78">
        <v>78.635901779138663</v>
      </c>
      <c r="G16" s="53">
        <f t="shared" si="0"/>
        <v>0.12992377998513965</v>
      </c>
      <c r="H16" s="50"/>
    </row>
    <row r="17" spans="1:37" s="71" customFormat="1" ht="12.75" hidden="1" customHeight="1" x14ac:dyDescent="0.25">
      <c r="B17" s="77"/>
      <c r="C17" s="319" t="s">
        <v>116</v>
      </c>
      <c r="D17" s="319"/>
      <c r="E17" s="84">
        <v>0</v>
      </c>
      <c r="F17" s="78">
        <f>+(F15+F16)*E17</f>
        <v>0</v>
      </c>
      <c r="G17" s="53">
        <f t="shared" si="0"/>
        <v>0</v>
      </c>
      <c r="H17" s="50"/>
    </row>
    <row r="18" spans="1:37" s="71" customFormat="1" ht="12.6" hidden="1" thickBot="1" x14ac:dyDescent="0.3">
      <c r="B18" s="77"/>
      <c r="C18" s="319" t="s">
        <v>117</v>
      </c>
      <c r="D18" s="319"/>
      <c r="E18" s="84">
        <v>0</v>
      </c>
      <c r="F18" s="78">
        <f>+F16*E18</f>
        <v>0</v>
      </c>
      <c r="G18" s="53">
        <f t="shared" si="0"/>
        <v>0</v>
      </c>
      <c r="H18" s="50"/>
    </row>
    <row r="19" spans="1:37" s="71" customFormat="1" ht="12.6" thickBot="1" x14ac:dyDescent="0.3">
      <c r="B19" s="81"/>
      <c r="C19" s="352"/>
      <c r="D19" s="352"/>
      <c r="E19" s="353"/>
      <c r="F19" s="87">
        <f>SUM(F15:F18)</f>
        <v>472.38744417092562</v>
      </c>
      <c r="G19" s="64">
        <f>+F19/$F$21</f>
        <v>0.79999999999999993</v>
      </c>
      <c r="H19" s="50"/>
    </row>
    <row r="20" spans="1:37" s="71" customFormat="1" ht="12" x14ac:dyDescent="0.25">
      <c r="B20" s="81"/>
      <c r="C20" s="319" t="s">
        <v>82</v>
      </c>
      <c r="D20" s="319"/>
      <c r="E20" s="32">
        <v>0.25</v>
      </c>
      <c r="F20" s="78">
        <f>+F19*E20</f>
        <v>118.0968610427314</v>
      </c>
      <c r="G20" s="53">
        <f t="shared" si="0"/>
        <v>0.19512195121951217</v>
      </c>
      <c r="H20" s="50"/>
    </row>
    <row r="21" spans="1:37" s="71" customFormat="1" ht="12" x14ac:dyDescent="0.25">
      <c r="B21" s="81"/>
      <c r="C21" s="319" t="s">
        <v>118</v>
      </c>
      <c r="D21" s="319"/>
      <c r="E21" s="319"/>
      <c r="F21" s="78">
        <f>SUM(F19:F20)</f>
        <v>590.48430521365708</v>
      </c>
      <c r="G21" s="53">
        <f t="shared" si="0"/>
        <v>0.97560975609756095</v>
      </c>
      <c r="H21" s="50"/>
    </row>
    <row r="22" spans="1:37" s="71" customFormat="1" ht="12.6" thickBot="1" x14ac:dyDescent="0.3">
      <c r="B22" s="81"/>
      <c r="C22" s="319" t="s">
        <v>85</v>
      </c>
      <c r="D22" s="319"/>
      <c r="E22" s="32">
        <v>2.5000000000000001E-2</v>
      </c>
      <c r="F22" s="78">
        <f>+F21*E22</f>
        <v>14.762107630341427</v>
      </c>
      <c r="G22" s="53">
        <f t="shared" si="0"/>
        <v>2.4390243902439025E-2</v>
      </c>
      <c r="H22" s="50"/>
    </row>
    <row r="23" spans="1:37" s="71" customFormat="1" ht="12.6" thickBot="1" x14ac:dyDescent="0.3">
      <c r="B23" s="81"/>
      <c r="C23" s="334" t="s">
        <v>87</v>
      </c>
      <c r="D23" s="334"/>
      <c r="E23" s="335"/>
      <c r="F23" s="87">
        <f>SUM(F21:F22)</f>
        <v>605.24641284399854</v>
      </c>
      <c r="G23" s="53">
        <f t="shared" si="0"/>
        <v>1</v>
      </c>
      <c r="H23" s="88"/>
    </row>
    <row r="24" spans="1:37" s="71" customFormat="1" ht="12.6" thickBot="1" x14ac:dyDescent="0.3">
      <c r="B24" s="81"/>
      <c r="C24" s="89"/>
      <c r="D24" s="89"/>
      <c r="E24" s="89"/>
      <c r="F24" s="80"/>
      <c r="G24" s="31"/>
      <c r="H24" s="88"/>
    </row>
    <row r="25" spans="1:37" s="40" customFormat="1" ht="19.5" customHeight="1" thickBot="1" x14ac:dyDescent="0.3">
      <c r="A25" s="349"/>
      <c r="B25" s="350"/>
      <c r="C25" s="350"/>
      <c r="D25" s="350"/>
      <c r="E25" s="350"/>
      <c r="F25" s="350"/>
      <c r="G25" s="350"/>
      <c r="H25" s="350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</row>
    <row r="26" spans="1:37" s="71" customFormat="1" ht="19.5" customHeight="1" thickBot="1" x14ac:dyDescent="0.3">
      <c r="F26" s="90"/>
      <c r="G26" s="30"/>
      <c r="H26" s="50"/>
    </row>
    <row r="27" spans="1:37" s="71" customFormat="1" ht="13.5" customHeight="1" thickBot="1" x14ac:dyDescent="0.3">
      <c r="B27" s="81"/>
      <c r="C27" s="334" t="s">
        <v>87</v>
      </c>
      <c r="D27" s="334"/>
      <c r="E27" s="335"/>
      <c r="F27" s="87">
        <f>+F23</f>
        <v>605.24641284399854</v>
      </c>
      <c r="H27" s="50"/>
    </row>
    <row r="28" spans="1:37" s="71" customFormat="1" ht="13.5" customHeight="1" x14ac:dyDescent="0.25">
      <c r="B28" s="81"/>
      <c r="C28" s="345" t="s">
        <v>119</v>
      </c>
      <c r="D28" s="345" t="s">
        <v>120</v>
      </c>
      <c r="E28" s="32">
        <v>0.1</v>
      </c>
      <c r="F28" s="91">
        <f>+F27*E28</f>
        <v>60.524641284399856</v>
      </c>
      <c r="G28" s="29" t="s">
        <v>121</v>
      </c>
      <c r="H28" s="50" t="s">
        <v>122</v>
      </c>
    </row>
    <row r="29" spans="1:37" s="71" customFormat="1" ht="13.5" customHeight="1" x14ac:dyDescent="0.25">
      <c r="B29" s="81"/>
      <c r="C29" s="346" t="s">
        <v>123</v>
      </c>
      <c r="D29" s="346"/>
      <c r="E29" s="346"/>
      <c r="F29" s="91">
        <f>SUM(F27:F28)</f>
        <v>665.77105412839842</v>
      </c>
      <c r="G29" s="29">
        <f>+F29/$F$31</f>
        <v>0.79999999999999993</v>
      </c>
      <c r="H29" s="62">
        <f>1-(F29/F31)</f>
        <v>0.20000000000000007</v>
      </c>
    </row>
    <row r="30" spans="1:37" s="71" customFormat="1" ht="12" x14ac:dyDescent="0.25">
      <c r="B30" s="73"/>
      <c r="C30" s="345" t="s">
        <v>124</v>
      </c>
      <c r="D30" s="345"/>
      <c r="E30" s="32">
        <v>0.25</v>
      </c>
      <c r="F30" s="78">
        <f>+F29*E30</f>
        <v>166.4427635320996</v>
      </c>
      <c r="G30" s="31"/>
      <c r="H30" s="92"/>
    </row>
    <row r="31" spans="1:37" s="71" customFormat="1" ht="12.6" thickBot="1" x14ac:dyDescent="0.3">
      <c r="B31" s="73"/>
      <c r="C31" s="347" t="s">
        <v>125</v>
      </c>
      <c r="D31" s="347"/>
      <c r="E31" s="160"/>
      <c r="F31" s="161">
        <f>SUM(F29:F30)</f>
        <v>832.21381766049808</v>
      </c>
      <c r="G31" s="31"/>
      <c r="H31" s="88"/>
    </row>
    <row r="32" spans="1:37" s="71" customFormat="1" ht="12.6" thickBot="1" x14ac:dyDescent="0.3">
      <c r="B32" s="73"/>
      <c r="C32" s="348" t="s">
        <v>126</v>
      </c>
      <c r="D32" s="348"/>
      <c r="E32" s="33">
        <v>0.13</v>
      </c>
      <c r="F32" s="51">
        <f>+F31*(1+E32)</f>
        <v>940.40161395636278</v>
      </c>
      <c r="G32" s="31"/>
      <c r="H32" s="88"/>
    </row>
    <row r="33" spans="1:37" s="71" customFormat="1" ht="12.6" thickBot="1" x14ac:dyDescent="0.3">
      <c r="A33" s="349"/>
      <c r="B33" s="350"/>
      <c r="C33" s="350"/>
      <c r="D33" s="350"/>
      <c r="E33" s="350"/>
      <c r="F33" s="350"/>
      <c r="G33" s="350"/>
      <c r="H33" s="350"/>
    </row>
    <row r="34" spans="1:37" s="71" customFormat="1" ht="12" x14ac:dyDescent="0.25">
      <c r="B34" s="73"/>
      <c r="C34" s="351" t="s">
        <v>127</v>
      </c>
      <c r="D34" s="351"/>
      <c r="E34" s="52">
        <v>0.65</v>
      </c>
      <c r="F34" s="93">
        <f>+F31/0.65</f>
        <v>1280.3289502469202</v>
      </c>
      <c r="G34" s="31"/>
      <c r="H34" s="88"/>
    </row>
    <row r="35" spans="1:37" s="71" customFormat="1" ht="12" x14ac:dyDescent="0.25">
      <c r="B35" s="73"/>
      <c r="C35" s="345" t="s">
        <v>128</v>
      </c>
      <c r="D35" s="345"/>
      <c r="E35" s="52">
        <v>0.13</v>
      </c>
      <c r="F35" s="93">
        <f>+F34*1.13</f>
        <v>1446.7717137790196</v>
      </c>
      <c r="G35" s="31"/>
      <c r="H35" s="88"/>
    </row>
    <row r="36" spans="1:37" s="71" customFormat="1" ht="12.6" thickBot="1" x14ac:dyDescent="0.3">
      <c r="C36" s="312"/>
      <c r="D36" s="312"/>
      <c r="F36" s="94"/>
      <c r="G36" s="34"/>
      <c r="H36" s="50"/>
    </row>
    <row r="37" spans="1:37" s="40" customFormat="1" ht="19.5" customHeight="1" thickBot="1" x14ac:dyDescent="0.35">
      <c r="A37" s="343" t="s">
        <v>129</v>
      </c>
      <c r="B37" s="344"/>
      <c r="C37" s="344"/>
      <c r="D37" s="344"/>
      <c r="E37" s="344"/>
      <c r="F37" s="344"/>
      <c r="G37" s="344"/>
      <c r="H37" s="344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</row>
    <row r="38" spans="1:37" s="71" customFormat="1" ht="12" x14ac:dyDescent="0.25">
      <c r="F38" s="95"/>
      <c r="G38" s="34"/>
      <c r="H38" s="50"/>
    </row>
    <row r="43" spans="1:37" ht="12" x14ac:dyDescent="0.25">
      <c r="H43" s="75"/>
    </row>
  </sheetData>
  <mergeCells count="28">
    <mergeCell ref="B1:H1"/>
    <mergeCell ref="B2:H2"/>
    <mergeCell ref="B3:H3"/>
    <mergeCell ref="F4:G4"/>
    <mergeCell ref="C11:D11"/>
    <mergeCell ref="C12:D12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27:E27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07C58F-C07E-4F2F-9DDA-425438C38C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7C6FE1-3BED-4CCD-A0C8-98A8439ABEC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0ACD7379-8158-4622-BEC9-6C525D4FA9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09FCD69-3435-4FBB-859A-C5B32B722674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</vt:lpstr>
      <vt:lpstr>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2025-03-29T18:04:34Z</cp:lastPrinted>
  <dcterms:created xsi:type="dcterms:W3CDTF">2012-05-10T22:32:20Z</dcterms:created>
  <dcterms:modified xsi:type="dcterms:W3CDTF">2025-07-03T23:07:11Z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325000.000000000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